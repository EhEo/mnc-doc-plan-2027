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3.xml" ContentType="application/vnd.openxmlformats-officedocument.drawing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drawings/drawing4.xml" ContentType="application/vnd.openxmlformats-officedocument.drawing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 YeongKyu\Desktop\사업계획서\2026 사업계획\"/>
    </mc:Choice>
  </mc:AlternateContent>
  <xr:revisionPtr revIDLastSave="0" documentId="13_ncr:1_{B5BD01FA-AF0D-4825-804C-56E112FBEBED}" xr6:coauthVersionLast="47" xr6:coauthVersionMax="47" xr10:uidLastSave="{00000000-0000-0000-0000-000000000000}"/>
  <bookViews>
    <workbookView xWindow="20370" yWindow="-4785" windowWidth="29040" windowHeight="15840" tabRatio="911" activeTab="12" xr2:uid="{00000000-000D-0000-FFFF-FFFF00000000}"/>
  </bookViews>
  <sheets>
    <sheet name="Cover" sheetId="131" r:id="rId1"/>
    <sheet name="Index" sheetId="132" r:id="rId2"/>
    <sheet name="1. Assumption" sheetId="196" r:id="rId3"/>
    <sheet name="1-1.Assumption" sheetId="140" r:id="rId4"/>
    <sheet name="2. S Plan" sheetId="58" r:id="rId5"/>
    <sheet name="요약" sheetId="190" state="hidden" r:id="rId6"/>
    <sheet name="SOP 2024" sheetId="188" state="hidden" r:id="rId7"/>
    <sheet name="3. P PLAN" sheetId="110" r:id="rId8"/>
    <sheet name="3. P PLAN-2" sheetId="137" r:id="rId9"/>
    <sheet name="Chart1" sheetId="200" state="hidden" r:id="rId10"/>
    <sheet name="4. L PLAN a" sheetId="192" state="hidden" r:id="rId11"/>
    <sheet name="4-1. 인원계획" sheetId="193" state="hidden" r:id="rId12"/>
    <sheet name="4. L PLAN" sheetId="133" r:id="rId13"/>
    <sheet name="5. M Plan" sheetId="124" r:id="rId14"/>
    <sheet name="AP Plan" sheetId="199" state="hidden" r:id="rId15"/>
    <sheet name="6. O Plan" sheetId="181" r:id="rId16"/>
    <sheet name="7. E Plan" sheetId="35" r:id="rId17"/>
    <sheet name="8. I Plan" sheetId="178" r:id="rId18"/>
    <sheet name="7-2. S-E Plan" sheetId="177" state="hidden" r:id="rId19"/>
    <sheet name="9. C Plan" sheetId="157" r:id="rId20"/>
    <sheet name="10. IS" sheetId="26" r:id="rId21"/>
    <sheet name="11. CF-2026" sheetId="138" r:id="rId22"/>
    <sheet name="12. FA Loan" sheetId="184" r:id="rId23"/>
    <sheet name="B.BasicInfomation" sheetId="197" state="hidden" r:id="rId24"/>
    <sheet name="Sub-L plan" sheetId="180" state="hidden" r:id="rId25"/>
    <sheet name="기준정보" sheetId="195" state="hidden" r:id="rId26"/>
    <sheet name="11. CF-2023" sheetId="175" state="hidden" r:id="rId27"/>
    <sheet name="Utilty_Data" sheetId="119" state="hidden" r:id="rId28"/>
  </sheets>
  <externalReferences>
    <externalReference r:id="rId29"/>
  </externalReferences>
  <definedNames>
    <definedName name="_1a1_" localSheetId="2">{"'Sheet1'!$L$16"}</definedName>
    <definedName name="_1a1_" localSheetId="15">{"'Sheet1'!$L$16"}</definedName>
    <definedName name="_1a1_" localSheetId="14">{"'Sheet1'!$L$16"}</definedName>
    <definedName name="_1a1_" localSheetId="5">{"'Sheet1'!$L$16"}</definedName>
    <definedName name="_1a1_">{"'Sheet1'!$L$16"}</definedName>
    <definedName name="_xlnm._FilterDatabase" localSheetId="4" hidden="1">'2. S Plan'!$A$4:$X$86</definedName>
    <definedName name="_xlnm._FilterDatabase" localSheetId="16" hidden="1">'7. E Plan'!$A$8:$R$68</definedName>
    <definedName name="_xlnm._FilterDatabase" localSheetId="17" hidden="1">'8. I Plan'!$A$4:$Y$70</definedName>
    <definedName name="_xlnm._FilterDatabase" localSheetId="6" hidden="1">'SOP 2024'!$A$89:$AG$90</definedName>
    <definedName name="_Order1">255</definedName>
    <definedName name="_Order2">255</definedName>
    <definedName name="_PA3" localSheetId="2">{"'Sheet1'!$L$16"}</definedName>
    <definedName name="_PA3" localSheetId="15">{"'Sheet1'!$L$16"}</definedName>
    <definedName name="_PA3" localSheetId="14">{"'Sheet1'!$L$16"}</definedName>
    <definedName name="_PA3" localSheetId="5">{"'Sheet1'!$L$16"}</definedName>
    <definedName name="_PA3">{"'Sheet1'!$L$16"}</definedName>
    <definedName name="CTCT1" localSheetId="2">{"'Sheet1'!$L$16"}</definedName>
    <definedName name="CTCT1" localSheetId="15">{"'Sheet1'!$L$16"}</definedName>
    <definedName name="CTCT1" localSheetId="14">{"'Sheet1'!$L$16"}</definedName>
    <definedName name="CTCT1" localSheetId="5">{"'Sheet1'!$L$16"}</definedName>
    <definedName name="CTCT1">{"'Sheet1'!$L$16"}</definedName>
    <definedName name="HTML_CodePage">950</definedName>
    <definedName name="HTML_Control" localSheetId="2">{"'Sheet1'!$L$16"}</definedName>
    <definedName name="HTML_Control" localSheetId="15">{"'Sheet1'!$L$16"}</definedName>
    <definedName name="HTML_Control" localSheetId="14">{"'Sheet1'!$L$16"}</definedName>
    <definedName name="HTML_Control" localSheetId="5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 localSheetId="2">{"'Sheet1'!$L$16"}</definedName>
    <definedName name="huy" localSheetId="15">{"'Sheet1'!$L$16"}</definedName>
    <definedName name="huy" localSheetId="14">{"'Sheet1'!$L$16"}</definedName>
    <definedName name="huy" localSheetId="5">{"'Sheet1'!$L$16"}</definedName>
    <definedName name="huy">{"'Sheet1'!$L$16"}</definedName>
    <definedName name="SAPBEXrevision">1</definedName>
    <definedName name="SAPBEXsysID">"BW1"</definedName>
    <definedName name="SAPBEXwbID">"3QT0CSGPFJF5207Y4HB3WVBJY"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33" l="1"/>
  <c r="C70" i="133"/>
  <c r="C63" i="133"/>
  <c r="C59" i="133"/>
  <c r="H22" i="133"/>
  <c r="I22" i="133"/>
  <c r="J22" i="133"/>
  <c r="K22" i="133"/>
  <c r="L22" i="133"/>
  <c r="M22" i="133"/>
  <c r="N22" i="133"/>
  <c r="O22" i="133"/>
  <c r="P22" i="133"/>
  <c r="Q22" i="133" s="1"/>
  <c r="G22" i="133"/>
  <c r="H23" i="133"/>
  <c r="I23" i="133"/>
  <c r="J23" i="133"/>
  <c r="K23" i="133" s="1"/>
  <c r="L23" i="133" s="1"/>
  <c r="M23" i="133" s="1"/>
  <c r="N23" i="133" s="1"/>
  <c r="O23" i="133" s="1"/>
  <c r="P23" i="133" s="1"/>
  <c r="Q23" i="133" s="1"/>
  <c r="G23" i="133"/>
  <c r="G21" i="133"/>
  <c r="H21" i="133" s="1"/>
  <c r="I21" i="133" s="1"/>
  <c r="J21" i="133" s="1"/>
  <c r="K21" i="133" s="1"/>
  <c r="L21" i="133" s="1"/>
  <c r="M21" i="133" s="1"/>
  <c r="N21" i="133" s="1"/>
  <c r="O21" i="133" s="1"/>
  <c r="P21" i="133" s="1"/>
  <c r="Q21" i="133" s="1"/>
  <c r="H19" i="133"/>
  <c r="I19" i="133"/>
  <c r="J19" i="133"/>
  <c r="K19" i="133"/>
  <c r="L19" i="133"/>
  <c r="M19" i="133"/>
  <c r="N19" i="133"/>
  <c r="O19" i="133"/>
  <c r="P19" i="133"/>
  <c r="Q19" i="133"/>
  <c r="G19" i="133"/>
  <c r="H18" i="133"/>
  <c r="I18" i="133"/>
  <c r="J18" i="133"/>
  <c r="K18" i="133"/>
  <c r="L18" i="133" s="1"/>
  <c r="M18" i="133" s="1"/>
  <c r="N18" i="133" s="1"/>
  <c r="O18" i="133" s="1"/>
  <c r="P18" i="133" s="1"/>
  <c r="Q18" i="133" s="1"/>
  <c r="G18" i="133"/>
  <c r="C61" i="133"/>
  <c r="C57" i="133"/>
  <c r="C50" i="133"/>
  <c r="C49" i="133"/>
  <c r="Q17" i="133"/>
  <c r="H17" i="133"/>
  <c r="I17" i="133"/>
  <c r="J17" i="133" s="1"/>
  <c r="K17" i="133" s="1"/>
  <c r="L17" i="133" s="1"/>
  <c r="M17" i="133" s="1"/>
  <c r="N17" i="133" s="1"/>
  <c r="O17" i="133" s="1"/>
  <c r="P17" i="133" s="1"/>
  <c r="G17" i="133"/>
  <c r="E94" i="133"/>
  <c r="C48" i="133"/>
  <c r="H7" i="133"/>
  <c r="I7" i="133"/>
  <c r="J7" i="133"/>
  <c r="K7" i="133"/>
  <c r="L7" i="133"/>
  <c r="M7" i="133"/>
  <c r="N7" i="133"/>
  <c r="O7" i="133"/>
  <c r="P7" i="133"/>
  <c r="Q7" i="133"/>
  <c r="G7" i="133"/>
  <c r="H6" i="133"/>
  <c r="I6" i="133" s="1"/>
  <c r="J6" i="133" s="1"/>
  <c r="K6" i="133" s="1"/>
  <c r="L6" i="133" s="1"/>
  <c r="M6" i="133" s="1"/>
  <c r="N6" i="133" s="1"/>
  <c r="O6" i="133" s="1"/>
  <c r="P6" i="133" s="1"/>
  <c r="Q6" i="133" s="1"/>
  <c r="G6" i="133"/>
  <c r="C46" i="133"/>
  <c r="C45" i="133"/>
  <c r="C44" i="133"/>
  <c r="G44" i="133" s="1"/>
  <c r="C50" i="138" l="1"/>
  <c r="L19" i="178"/>
  <c r="J19" i="178"/>
  <c r="H19" i="178"/>
  <c r="N18" i="138" l="1"/>
  <c r="M18" i="138"/>
  <c r="L18" i="138"/>
  <c r="K18" i="138"/>
  <c r="J18" i="138"/>
  <c r="I18" i="138"/>
  <c r="H18" i="138"/>
  <c r="G18" i="138"/>
  <c r="F18" i="138"/>
  <c r="E18" i="138"/>
  <c r="D18" i="138"/>
  <c r="C18" i="138"/>
  <c r="T31" i="178" l="1"/>
  <c r="K31" i="178"/>
  <c r="J31" i="178"/>
  <c r="H31" i="178"/>
  <c r="G31" i="178"/>
  <c r="W94" i="58" l="1"/>
  <c r="V94" i="58"/>
  <c r="U94" i="58"/>
  <c r="T94" i="58"/>
  <c r="S94" i="58"/>
  <c r="R93" i="58"/>
  <c r="Q93" i="58"/>
  <c r="P93" i="58"/>
  <c r="O93" i="58"/>
  <c r="N93" i="58"/>
  <c r="M93" i="58"/>
  <c r="L93" i="58"/>
  <c r="L84" i="58"/>
  <c r="L86" i="58" s="1"/>
  <c r="M84" i="58"/>
  <c r="M86" i="58" s="1"/>
  <c r="N84" i="58"/>
  <c r="O84" i="58"/>
  <c r="O86" i="58" s="1"/>
  <c r="P84" i="58"/>
  <c r="Q84" i="58"/>
  <c r="Q86" i="58" s="1"/>
  <c r="R84" i="58"/>
  <c r="R86" i="58" s="1"/>
  <c r="S84" i="58"/>
  <c r="S86" i="58" s="1"/>
  <c r="T84" i="58"/>
  <c r="T86" i="58" s="1"/>
  <c r="U84" i="58"/>
  <c r="U86" i="58" s="1"/>
  <c r="V84" i="58"/>
  <c r="W84" i="58"/>
  <c r="W86" i="58" s="1"/>
  <c r="N86" i="58"/>
  <c r="P86" i="58"/>
  <c r="V86" i="58"/>
  <c r="L89" i="58"/>
  <c r="M89" i="58"/>
  <c r="N89" i="58"/>
  <c r="O89" i="58"/>
  <c r="P89" i="58"/>
  <c r="Q89" i="58"/>
  <c r="R89" i="58"/>
  <c r="S89" i="58"/>
  <c r="T89" i="58"/>
  <c r="U89" i="58"/>
  <c r="V89" i="58"/>
  <c r="W89" i="58"/>
  <c r="L90" i="58"/>
  <c r="M90" i="58"/>
  <c r="N90" i="58"/>
  <c r="O90" i="58"/>
  <c r="P90" i="58"/>
  <c r="Q90" i="58"/>
  <c r="R90" i="58"/>
  <c r="S90" i="58"/>
  <c r="T90" i="58"/>
  <c r="U90" i="58"/>
  <c r="V90" i="58"/>
  <c r="W90" i="58"/>
  <c r="L91" i="58"/>
  <c r="M91" i="58"/>
  <c r="N91" i="58"/>
  <c r="O91" i="58"/>
  <c r="P91" i="58"/>
  <c r="Q91" i="58"/>
  <c r="R91" i="58"/>
  <c r="S91" i="58"/>
  <c r="T91" i="58"/>
  <c r="U91" i="58"/>
  <c r="V91" i="58"/>
  <c r="W91" i="58"/>
  <c r="M163" i="58" l="1"/>
  <c r="O48" i="178"/>
  <c r="M48" i="178"/>
  <c r="K48" i="178"/>
  <c r="H48" i="178"/>
  <c r="B13" i="26"/>
  <c r="N162" i="58" l="1"/>
  <c r="M162" i="58"/>
  <c r="I48" i="184"/>
  <c r="M47" i="184"/>
  <c r="L47" i="184"/>
  <c r="H47" i="184"/>
  <c r="G47" i="184"/>
  <c r="E47" i="184"/>
  <c r="M46" i="184"/>
  <c r="L46" i="184"/>
  <c r="H46" i="184"/>
  <c r="G46" i="184"/>
  <c r="E46" i="184"/>
  <c r="M45" i="184"/>
  <c r="L45" i="184"/>
  <c r="H45" i="184"/>
  <c r="G45" i="184"/>
  <c r="M44" i="184"/>
  <c r="L44" i="184"/>
  <c r="H44" i="184"/>
  <c r="G44" i="184"/>
  <c r="E44" i="184"/>
  <c r="M43" i="184"/>
  <c r="L43" i="184"/>
  <c r="H43" i="184"/>
  <c r="G43" i="184"/>
  <c r="E43" i="184"/>
  <c r="M42" i="184"/>
  <c r="L42" i="184"/>
  <c r="H42" i="184"/>
  <c r="G42" i="184"/>
  <c r="E42" i="184"/>
  <c r="M41" i="184"/>
  <c r="L41" i="184"/>
  <c r="H41" i="184"/>
  <c r="G41" i="184"/>
  <c r="E41" i="184"/>
  <c r="M40" i="184"/>
  <c r="L40" i="184"/>
  <c r="H40" i="184"/>
  <c r="G40" i="184"/>
  <c r="E40" i="184"/>
  <c r="M39" i="184"/>
  <c r="L39" i="184"/>
  <c r="H39" i="184"/>
  <c r="G39" i="184"/>
  <c r="M38" i="184"/>
  <c r="L38" i="184"/>
  <c r="H38" i="184"/>
  <c r="G38" i="184"/>
  <c r="M37" i="184"/>
  <c r="L37" i="184"/>
  <c r="H37" i="184"/>
  <c r="G37" i="184"/>
  <c r="M36" i="184"/>
  <c r="L36" i="184"/>
  <c r="H36" i="184"/>
  <c r="G36" i="184"/>
  <c r="E36" i="184"/>
  <c r="E35" i="184"/>
  <c r="J34" i="184"/>
  <c r="I34" i="184"/>
  <c r="J33" i="184"/>
  <c r="I33" i="184" s="1"/>
  <c r="W32" i="184"/>
  <c r="V32" i="184"/>
  <c r="U32" i="184"/>
  <c r="T32" i="184"/>
  <c r="S32" i="184"/>
  <c r="R32" i="184"/>
  <c r="Q32" i="184"/>
  <c r="P32" i="184"/>
  <c r="O32" i="184"/>
  <c r="N32" i="184"/>
  <c r="M32" i="184"/>
  <c r="L32" i="184"/>
  <c r="I32" i="184"/>
  <c r="B32" i="184"/>
  <c r="W31" i="184"/>
  <c r="V31" i="184"/>
  <c r="U31" i="184"/>
  <c r="T31" i="184"/>
  <c r="S31" i="184"/>
  <c r="R31" i="184"/>
  <c r="Q31" i="184"/>
  <c r="P31" i="184"/>
  <c r="O31" i="184"/>
  <c r="N31" i="184"/>
  <c r="M31" i="184"/>
  <c r="L31" i="184"/>
  <c r="X31" i="184" s="1"/>
  <c r="J31" i="184" s="1"/>
  <c r="I31" i="184"/>
  <c r="B31" i="184"/>
  <c r="W30" i="184"/>
  <c r="V30" i="184"/>
  <c r="U30" i="184"/>
  <c r="T30" i="184"/>
  <c r="S30" i="184"/>
  <c r="R30" i="184"/>
  <c r="Q30" i="184"/>
  <c r="P30" i="184"/>
  <c r="O30" i="184"/>
  <c r="N30" i="184"/>
  <c r="M30" i="184"/>
  <c r="L30" i="184"/>
  <c r="I30" i="184"/>
  <c r="B30" i="184"/>
  <c r="Q29" i="184"/>
  <c r="P29" i="184"/>
  <c r="O29" i="184"/>
  <c r="N29" i="184"/>
  <c r="M29" i="184"/>
  <c r="L29" i="184"/>
  <c r="I29" i="184"/>
  <c r="I35" i="184" s="1"/>
  <c r="B29" i="184"/>
  <c r="L24" i="184"/>
  <c r="I24" i="184"/>
  <c r="AC23" i="184"/>
  <c r="AD23" i="184" s="1"/>
  <c r="AE23" i="184" s="1"/>
  <c r="AF23" i="184" s="1"/>
  <c r="AG23" i="184" s="1"/>
  <c r="AH23" i="184" s="1"/>
  <c r="AI23" i="184" s="1"/>
  <c r="AB23" i="184"/>
  <c r="M23" i="184"/>
  <c r="E23" i="184"/>
  <c r="J23" i="184" s="1"/>
  <c r="AC22" i="184"/>
  <c r="AD22" i="184" s="1"/>
  <c r="AE22" i="184" s="1"/>
  <c r="AF22" i="184" s="1"/>
  <c r="AG22" i="184" s="1"/>
  <c r="AH22" i="184" s="1"/>
  <c r="AI22" i="184" s="1"/>
  <c r="AB22" i="184"/>
  <c r="M22" i="184"/>
  <c r="N22" i="184" s="1"/>
  <c r="E22" i="184"/>
  <c r="J22" i="184" s="1"/>
  <c r="AC21" i="184"/>
  <c r="AD21" i="184" s="1"/>
  <c r="AE21" i="184" s="1"/>
  <c r="AF21" i="184" s="1"/>
  <c r="AG21" i="184" s="1"/>
  <c r="AH21" i="184" s="1"/>
  <c r="AI21" i="184" s="1"/>
  <c r="AB21" i="184"/>
  <c r="M21" i="184"/>
  <c r="J21" i="184"/>
  <c r="AC20" i="184"/>
  <c r="AD20" i="184" s="1"/>
  <c r="AE20" i="184" s="1"/>
  <c r="AF20" i="184" s="1"/>
  <c r="AG20" i="184" s="1"/>
  <c r="AH20" i="184" s="1"/>
  <c r="AI20" i="184" s="1"/>
  <c r="AB20" i="184"/>
  <c r="M20" i="184"/>
  <c r="J20" i="184"/>
  <c r="E20" i="184"/>
  <c r="AC19" i="184"/>
  <c r="AD19" i="184" s="1"/>
  <c r="AE19" i="184" s="1"/>
  <c r="AF19" i="184" s="1"/>
  <c r="AG19" i="184" s="1"/>
  <c r="AH19" i="184" s="1"/>
  <c r="AI19" i="184" s="1"/>
  <c r="AB19" i="184"/>
  <c r="M19" i="184"/>
  <c r="N19" i="184" s="1"/>
  <c r="E19" i="184"/>
  <c r="J19" i="184" s="1"/>
  <c r="AC18" i="184"/>
  <c r="AD18" i="184" s="1"/>
  <c r="AE18" i="184" s="1"/>
  <c r="AF18" i="184" s="1"/>
  <c r="AG18" i="184" s="1"/>
  <c r="AH18" i="184" s="1"/>
  <c r="AI18" i="184" s="1"/>
  <c r="AB18" i="184"/>
  <c r="M18" i="184"/>
  <c r="J18" i="184"/>
  <c r="E18" i="184"/>
  <c r="AC17" i="184"/>
  <c r="AD17" i="184" s="1"/>
  <c r="AE17" i="184" s="1"/>
  <c r="AF17" i="184" s="1"/>
  <c r="AG17" i="184" s="1"/>
  <c r="AH17" i="184" s="1"/>
  <c r="AI17" i="184" s="1"/>
  <c r="AB17" i="184"/>
  <c r="M17" i="184"/>
  <c r="N41" i="184" s="1"/>
  <c r="E17" i="184"/>
  <c r="J17" i="184" s="1"/>
  <c r="AC16" i="184"/>
  <c r="AD16" i="184" s="1"/>
  <c r="AE16" i="184" s="1"/>
  <c r="AF16" i="184" s="1"/>
  <c r="AG16" i="184" s="1"/>
  <c r="AH16" i="184" s="1"/>
  <c r="AI16" i="184" s="1"/>
  <c r="AB16" i="184"/>
  <c r="M16" i="184"/>
  <c r="E16" i="184"/>
  <c r="J16" i="184" s="1"/>
  <c r="AC15" i="184"/>
  <c r="AD15" i="184" s="1"/>
  <c r="AE15" i="184" s="1"/>
  <c r="AF15" i="184" s="1"/>
  <c r="AG15" i="184" s="1"/>
  <c r="AH15" i="184" s="1"/>
  <c r="AI15" i="184" s="1"/>
  <c r="AB15" i="184"/>
  <c r="M15" i="184"/>
  <c r="J15" i="184"/>
  <c r="AC14" i="184"/>
  <c r="AD14" i="184" s="1"/>
  <c r="AE14" i="184" s="1"/>
  <c r="AF14" i="184" s="1"/>
  <c r="AG14" i="184" s="1"/>
  <c r="AH14" i="184" s="1"/>
  <c r="AI14" i="184" s="1"/>
  <c r="AB14" i="184"/>
  <c r="M14" i="184"/>
  <c r="N38" i="184" s="1"/>
  <c r="J14" i="184"/>
  <c r="AC13" i="184"/>
  <c r="AD13" i="184" s="1"/>
  <c r="AE13" i="184" s="1"/>
  <c r="AF13" i="184" s="1"/>
  <c r="AG13" i="184" s="1"/>
  <c r="AH13" i="184" s="1"/>
  <c r="AI13" i="184" s="1"/>
  <c r="AB13" i="184"/>
  <c r="N13" i="184"/>
  <c r="M13" i="184"/>
  <c r="J13" i="184"/>
  <c r="AC12" i="184"/>
  <c r="AD12" i="184" s="1"/>
  <c r="AE12" i="184" s="1"/>
  <c r="AF12" i="184" s="1"/>
  <c r="AG12" i="184" s="1"/>
  <c r="AH12" i="184" s="1"/>
  <c r="AI12" i="184" s="1"/>
  <c r="AB12" i="184"/>
  <c r="N12" i="184"/>
  <c r="M12" i="184"/>
  <c r="J12" i="184"/>
  <c r="J11" i="184"/>
  <c r="E11" i="184"/>
  <c r="J10" i="184"/>
  <c r="L10" i="184" s="1"/>
  <c r="I10" i="184"/>
  <c r="J9" i="184"/>
  <c r="L9" i="184" s="1"/>
  <c r="I9" i="184"/>
  <c r="X8" i="184"/>
  <c r="K8" i="184" s="1"/>
  <c r="X7" i="184"/>
  <c r="K7" i="184"/>
  <c r="J7" i="184"/>
  <c r="X6" i="184"/>
  <c r="K6" i="184" s="1"/>
  <c r="Q5" i="184"/>
  <c r="X5" i="184" s="1"/>
  <c r="K5" i="184" s="1"/>
  <c r="X4" i="184"/>
  <c r="X28" i="184" s="1"/>
  <c r="W4" i="184"/>
  <c r="W28" i="184" s="1"/>
  <c r="V4" i="184"/>
  <c r="V28" i="184" s="1"/>
  <c r="U4" i="184"/>
  <c r="U28" i="184" s="1"/>
  <c r="T4" i="184"/>
  <c r="T28" i="184" s="1"/>
  <c r="S4" i="184"/>
  <c r="S28" i="184" s="1"/>
  <c r="R4" i="184"/>
  <c r="R28" i="184" s="1"/>
  <c r="Q4" i="184"/>
  <c r="Q28" i="184" s="1"/>
  <c r="P4" i="184"/>
  <c r="P28" i="184" s="1"/>
  <c r="O4" i="184"/>
  <c r="O28" i="184" s="1"/>
  <c r="N4" i="184"/>
  <c r="N28" i="184" s="1"/>
  <c r="M4" i="184"/>
  <c r="M28" i="184" s="1"/>
  <c r="L4" i="184"/>
  <c r="L28" i="184" s="1"/>
  <c r="O19" i="184" l="1"/>
  <c r="O43" i="184"/>
  <c r="J24" i="184"/>
  <c r="N15" i="184"/>
  <c r="O15" i="184" s="1"/>
  <c r="P15" i="184" s="1"/>
  <c r="Q15" i="184" s="1"/>
  <c r="X30" i="184"/>
  <c r="J30" i="184" s="1"/>
  <c r="M48" i="184"/>
  <c r="N17" i="184"/>
  <c r="O17" i="184" s="1"/>
  <c r="P17" i="184" s="1"/>
  <c r="Q17" i="184" s="1"/>
  <c r="X29" i="184"/>
  <c r="L48" i="184"/>
  <c r="J25" i="184"/>
  <c r="N14" i="184"/>
  <c r="O14" i="184" s="1"/>
  <c r="P14" i="184" s="1"/>
  <c r="Q14" i="184" s="1"/>
  <c r="X32" i="184"/>
  <c r="J32" i="184" s="1"/>
  <c r="E48" i="184"/>
  <c r="I49" i="184"/>
  <c r="L11" i="184"/>
  <c r="L25" i="184" s="1"/>
  <c r="M9" i="184"/>
  <c r="M10" i="184"/>
  <c r="N10" i="184" s="1"/>
  <c r="O10" i="184" s="1"/>
  <c r="P10" i="184" s="1"/>
  <c r="Q10" i="184" s="1"/>
  <c r="R10" i="184" s="1"/>
  <c r="S10" i="184" s="1"/>
  <c r="T10" i="184" s="1"/>
  <c r="U10" i="184" s="1"/>
  <c r="V10" i="184" s="1"/>
  <c r="W10" i="184" s="1"/>
  <c r="P43" i="184"/>
  <c r="J29" i="184"/>
  <c r="J35" i="184" s="1"/>
  <c r="P19" i="184"/>
  <c r="Q19" i="184" s="1"/>
  <c r="E49" i="184"/>
  <c r="O36" i="184"/>
  <c r="O37" i="184"/>
  <c r="Q43" i="184"/>
  <c r="N44" i="184"/>
  <c r="N45" i="184"/>
  <c r="N34" i="184"/>
  <c r="O13" i="184"/>
  <c r="P37" i="184" s="1"/>
  <c r="N18" i="184"/>
  <c r="O18" i="184" s="1"/>
  <c r="P18" i="184" s="1"/>
  <c r="Q18" i="184" s="1"/>
  <c r="N21" i="184"/>
  <c r="O22" i="184"/>
  <c r="Q34" i="184"/>
  <c r="P38" i="184"/>
  <c r="N39" i="184"/>
  <c r="N46" i="184"/>
  <c r="X15" i="184"/>
  <c r="K15" i="184" s="1"/>
  <c r="E24" i="184"/>
  <c r="E25" i="184" s="1"/>
  <c r="R34" i="184"/>
  <c r="Q38" i="184"/>
  <c r="O39" i="184"/>
  <c r="Q41" i="184"/>
  <c r="N42" i="184"/>
  <c r="O46" i="184"/>
  <c r="N47" i="184"/>
  <c r="O12" i="184"/>
  <c r="N20" i="184"/>
  <c r="O44" i="184" s="1"/>
  <c r="S34" i="184"/>
  <c r="P39" i="184"/>
  <c r="O42" i="184"/>
  <c r="P46" i="184"/>
  <c r="M33" i="184"/>
  <c r="L34" i="184"/>
  <c r="T34" i="184"/>
  <c r="N40" i="184"/>
  <c r="P42" i="184"/>
  <c r="X18" i="184"/>
  <c r="K18" i="184" s="1"/>
  <c r="L33" i="184"/>
  <c r="M34" i="184"/>
  <c r="U34" i="184"/>
  <c r="N43" i="184"/>
  <c r="X43" i="184" s="1"/>
  <c r="J43" i="184" s="1"/>
  <c r="V34" i="184"/>
  <c r="I11" i="184"/>
  <c r="I25" i="184" s="1"/>
  <c r="N16" i="184"/>
  <c r="O16" i="184" s="1"/>
  <c r="P16" i="184" s="1"/>
  <c r="Q16" i="184" s="1"/>
  <c r="N23" i="184"/>
  <c r="O23" i="184" s="1"/>
  <c r="P23" i="184" s="1"/>
  <c r="Q23" i="184" s="1"/>
  <c r="R23" i="184" s="1"/>
  <c r="S23" i="184" s="1"/>
  <c r="T23" i="184" s="1"/>
  <c r="U23" i="184" s="1"/>
  <c r="V23" i="184" s="1"/>
  <c r="W23" i="184" s="1"/>
  <c r="M24" i="184"/>
  <c r="N33" i="184"/>
  <c r="N35" i="184" s="1"/>
  <c r="O34" i="184"/>
  <c r="N36" i="184"/>
  <c r="N37" i="184"/>
  <c r="P41" i="184" l="1"/>
  <c r="X17" i="184"/>
  <c r="K17" i="184" s="1"/>
  <c r="Q39" i="184"/>
  <c r="X39" i="184" s="1"/>
  <c r="J39" i="184" s="1"/>
  <c r="P40" i="184"/>
  <c r="O41" i="184"/>
  <c r="X41" i="184" s="1"/>
  <c r="J41" i="184" s="1"/>
  <c r="L35" i="184"/>
  <c r="L49" i="184" s="1"/>
  <c r="L50" i="184" s="1"/>
  <c r="M35" i="184"/>
  <c r="M49" i="184" s="1"/>
  <c r="M50" i="184" s="1"/>
  <c r="X14" i="184"/>
  <c r="K14" i="184" s="1"/>
  <c r="O38" i="184"/>
  <c r="X38" i="184" s="1"/>
  <c r="J38" i="184" s="1"/>
  <c r="P13" i="184"/>
  <c r="Q13" i="184" s="1"/>
  <c r="R13" i="184" s="1"/>
  <c r="S13" i="184" s="1"/>
  <c r="T13" i="184" s="1"/>
  <c r="U13" i="184" s="1"/>
  <c r="V13" i="184" s="1"/>
  <c r="W13" i="184" s="1"/>
  <c r="U37" i="184"/>
  <c r="W47" i="184"/>
  <c r="O45" i="184"/>
  <c r="T47" i="184"/>
  <c r="N24" i="184"/>
  <c r="Q40" i="184"/>
  <c r="P47" i="184"/>
  <c r="O47" i="184"/>
  <c r="V47" i="184"/>
  <c r="X10" i="184"/>
  <c r="K10" i="184" s="1"/>
  <c r="Q47" i="184"/>
  <c r="X34" i="184"/>
  <c r="R47" i="184"/>
  <c r="X23" i="184"/>
  <c r="K23" i="184" s="1"/>
  <c r="W34" i="184"/>
  <c r="O40" i="184"/>
  <c r="X40" i="184" s="1"/>
  <c r="J40" i="184" s="1"/>
  <c r="P36" i="184"/>
  <c r="N48" i="184"/>
  <c r="N49" i="184" s="1"/>
  <c r="N50" i="184" s="1"/>
  <c r="P22" i="184"/>
  <c r="M11" i="184"/>
  <c r="M25" i="184" s="1"/>
  <c r="N9" i="184"/>
  <c r="P12" i="184"/>
  <c r="O20" i="184"/>
  <c r="U47" i="184"/>
  <c r="L52" i="184"/>
  <c r="S47" i="184"/>
  <c r="S37" i="184"/>
  <c r="Q36" i="184"/>
  <c r="O21" i="184"/>
  <c r="X16" i="184"/>
  <c r="K16" i="184" s="1"/>
  <c r="P34" i="184"/>
  <c r="Q42" i="184"/>
  <c r="X42" i="184" s="1"/>
  <c r="J42" i="184" s="1"/>
  <c r="X19" i="184"/>
  <c r="K19" i="184" s="1"/>
  <c r="M52" i="184" l="1"/>
  <c r="O48" i="184"/>
  <c r="R37" i="184"/>
  <c r="P21" i="184"/>
  <c r="Q12" i="184"/>
  <c r="N11" i="184"/>
  <c r="N25" i="184" s="1"/>
  <c r="N52" i="184" s="1"/>
  <c r="O9" i="184"/>
  <c r="P33" i="184"/>
  <c r="P35" i="184" s="1"/>
  <c r="O33" i="184"/>
  <c r="Q22" i="184"/>
  <c r="R46" i="184"/>
  <c r="Q46" i="184"/>
  <c r="X13" i="184"/>
  <c r="K13" i="184" s="1"/>
  <c r="R36" i="184"/>
  <c r="P45" i="184"/>
  <c r="P48" i="184" s="1"/>
  <c r="Q37" i="184"/>
  <c r="T37" i="184"/>
  <c r="X47" i="184"/>
  <c r="J47" i="184" s="1"/>
  <c r="P20" i="184"/>
  <c r="P44" i="184"/>
  <c r="O24" i="184"/>
  <c r="W37" i="184"/>
  <c r="V37" i="184"/>
  <c r="P49" i="184" l="1"/>
  <c r="P50" i="184" s="1"/>
  <c r="P24" i="184"/>
  <c r="R12" i="184"/>
  <c r="X37" i="184"/>
  <c r="J37" i="184" s="1"/>
  <c r="R22" i="184"/>
  <c r="Q21" i="184"/>
  <c r="Q45" i="184"/>
  <c r="Q20" i="184"/>
  <c r="R20" i="184" s="1"/>
  <c r="S20" i="184" s="1"/>
  <c r="T20" i="184" s="1"/>
  <c r="Q44" i="184"/>
  <c r="O35" i="184"/>
  <c r="O49" i="184" s="1"/>
  <c r="O50" i="184" s="1"/>
  <c r="O11" i="184"/>
  <c r="O25" i="184" s="1"/>
  <c r="P9" i="184"/>
  <c r="O52" i="184" l="1"/>
  <c r="R21" i="184"/>
  <c r="S45" i="184"/>
  <c r="R45" i="184"/>
  <c r="T44" i="184"/>
  <c r="S44" i="184"/>
  <c r="Q48" i="184"/>
  <c r="U20" i="184"/>
  <c r="V20" i="184" s="1"/>
  <c r="W20" i="184" s="1"/>
  <c r="U44" i="184"/>
  <c r="S22" i="184"/>
  <c r="T22" i="184" s="1"/>
  <c r="U22" i="184" s="1"/>
  <c r="V22" i="184" s="1"/>
  <c r="W22" i="184" s="1"/>
  <c r="S46" i="184"/>
  <c r="S12" i="184"/>
  <c r="T36" i="184" s="1"/>
  <c r="R24" i="184"/>
  <c r="S36" i="184"/>
  <c r="P11" i="184"/>
  <c r="P25" i="184" s="1"/>
  <c r="P52" i="184" s="1"/>
  <c r="Q9" i="184"/>
  <c r="Q33" i="184"/>
  <c r="Q24" i="184"/>
  <c r="R44" i="184"/>
  <c r="T12" i="184" l="1"/>
  <c r="R9" i="184"/>
  <c r="Q11" i="184"/>
  <c r="Q25" i="184" s="1"/>
  <c r="H41" i="138" s="1"/>
  <c r="S33" i="184"/>
  <c r="S35" i="184" s="1"/>
  <c r="S49" i="184" s="1"/>
  <c r="S50" i="184" s="1"/>
  <c r="R33" i="184"/>
  <c r="R35" i="184" s="1"/>
  <c r="W46" i="184"/>
  <c r="X22" i="184"/>
  <c r="K22" i="184" s="1"/>
  <c r="X20" i="184"/>
  <c r="K20" i="184" s="1"/>
  <c r="S48" i="184"/>
  <c r="Q35" i="184"/>
  <c r="Q49" i="184" s="1"/>
  <c r="Q50" i="184" s="1"/>
  <c r="R48" i="184"/>
  <c r="V46" i="184"/>
  <c r="W44" i="184"/>
  <c r="X44" i="184" s="1"/>
  <c r="J44" i="184" s="1"/>
  <c r="S21" i="184"/>
  <c r="T45" i="184"/>
  <c r="T48" i="184" s="1"/>
  <c r="U46" i="184"/>
  <c r="U36" i="184"/>
  <c r="V44" i="184"/>
  <c r="T46" i="184"/>
  <c r="T21" i="184" l="1"/>
  <c r="Q52" i="184"/>
  <c r="R11" i="184"/>
  <c r="R25" i="184" s="1"/>
  <c r="S9" i="184"/>
  <c r="X46" i="184"/>
  <c r="J46" i="184" s="1"/>
  <c r="T24" i="184"/>
  <c r="U12" i="184"/>
  <c r="R49" i="184"/>
  <c r="R50" i="184" s="1"/>
  <c r="S24" i="184"/>
  <c r="R52" i="184" l="1"/>
  <c r="I41" i="138"/>
  <c r="V12" i="184"/>
  <c r="V36" i="184"/>
  <c r="S11" i="184"/>
  <c r="S25" i="184" s="1"/>
  <c r="T9" i="184"/>
  <c r="T33" i="184"/>
  <c r="T35" i="184" s="1"/>
  <c r="T49" i="184" s="1"/>
  <c r="T50" i="184" s="1"/>
  <c r="U33" i="184"/>
  <c r="U35" i="184" s="1"/>
  <c r="U49" i="184" s="1"/>
  <c r="U50" i="184" s="1"/>
  <c r="U21" i="184"/>
  <c r="U45" i="184"/>
  <c r="U48" i="184" s="1"/>
  <c r="S52" i="184" l="1"/>
  <c r="J41" i="138"/>
  <c r="T11" i="184"/>
  <c r="T25" i="184" s="1"/>
  <c r="U9" i="184"/>
  <c r="W12" i="184"/>
  <c r="W36" i="184"/>
  <c r="V21" i="184"/>
  <c r="W21" i="184" s="1"/>
  <c r="X21" i="184" s="1"/>
  <c r="K21" i="184" s="1"/>
  <c r="V45" i="184"/>
  <c r="V48" i="184" s="1"/>
  <c r="U24" i="184"/>
  <c r="T52" i="184" l="1"/>
  <c r="K41" i="138"/>
  <c r="W45" i="184"/>
  <c r="X45" i="184" s="1"/>
  <c r="J45" i="184" s="1"/>
  <c r="W48" i="184"/>
  <c r="X36" i="184"/>
  <c r="V24" i="184"/>
  <c r="W24" i="184"/>
  <c r="X24" i="184" s="1"/>
  <c r="X12" i="184"/>
  <c r="K12" i="184" s="1"/>
  <c r="K24" i="184" s="1"/>
  <c r="U11" i="184"/>
  <c r="U25" i="184" s="1"/>
  <c r="V9" i="184"/>
  <c r="V33" i="184"/>
  <c r="V35" i="184" s="1"/>
  <c r="V49" i="184" s="1"/>
  <c r="V50" i="184" s="1"/>
  <c r="U52" i="184" l="1"/>
  <c r="L41" i="138"/>
  <c r="V11" i="184"/>
  <c r="V25" i="184" s="1"/>
  <c r="W9" i="184"/>
  <c r="W33" i="184"/>
  <c r="X48" i="184"/>
  <c r="J36" i="184"/>
  <c r="J48" i="184" s="1"/>
  <c r="J49" i="184" s="1"/>
  <c r="V52" i="184" l="1"/>
  <c r="M41" i="138"/>
  <c r="W35" i="184"/>
  <c r="W49" i="184" s="1"/>
  <c r="W50" i="184" s="1"/>
  <c r="X33" i="184"/>
  <c r="X35" i="184" s="1"/>
  <c r="X49" i="184" s="1"/>
  <c r="X50" i="184" s="1"/>
  <c r="W11" i="184"/>
  <c r="W25" i="184" s="1"/>
  <c r="X9" i="184"/>
  <c r="W52" i="184" l="1"/>
  <c r="N41" i="138"/>
  <c r="K9" i="184"/>
  <c r="K11" i="184" s="1"/>
  <c r="K25" i="184" s="1"/>
  <c r="X11" i="184"/>
  <c r="X25" i="184" s="1"/>
  <c r="X52" i="184" s="1"/>
  <c r="X53" i="184" s="1"/>
  <c r="G6" i="178" l="1"/>
  <c r="H6" i="178" s="1"/>
  <c r="T6" i="178" s="1"/>
  <c r="R76" i="133" l="1"/>
  <c r="E47" i="178" l="1"/>
  <c r="I47" i="178" s="1"/>
  <c r="O44" i="138" l="1"/>
  <c r="E75" i="133"/>
  <c r="F128" i="133"/>
  <c r="N122" i="133"/>
  <c r="O122" i="133" s="1"/>
  <c r="P122" i="133" s="1"/>
  <c r="Q122" i="133" s="1"/>
  <c r="G122" i="133"/>
  <c r="H122" i="133" s="1"/>
  <c r="I122" i="133" s="1"/>
  <c r="J122" i="133" s="1"/>
  <c r="K122" i="133" s="1"/>
  <c r="E115" i="133"/>
  <c r="Q115" i="133" s="1"/>
  <c r="D114" i="133"/>
  <c r="E114" i="133" s="1"/>
  <c r="F114" i="133" l="1"/>
  <c r="F116" i="133" s="1"/>
  <c r="G114" i="133"/>
  <c r="G116" i="133" s="1"/>
  <c r="H115" i="133"/>
  <c r="K115" i="133"/>
  <c r="L115" i="133"/>
  <c r="I115" i="133"/>
  <c r="M115" i="133"/>
  <c r="F115" i="133"/>
  <c r="N115" i="133"/>
  <c r="G115" i="133"/>
  <c r="O115" i="133"/>
  <c r="J115" i="133"/>
  <c r="P114" i="133"/>
  <c r="P116" i="133" s="1"/>
  <c r="H114" i="133"/>
  <c r="H116" i="133" s="1"/>
  <c r="O114" i="133"/>
  <c r="O116" i="133" s="1"/>
  <c r="I114" i="133"/>
  <c r="I116" i="133" s="1"/>
  <c r="N114" i="133"/>
  <c r="N116" i="133" s="1"/>
  <c r="K114" i="133"/>
  <c r="K116" i="133" s="1"/>
  <c r="M114" i="133"/>
  <c r="M116" i="133" s="1"/>
  <c r="Q114" i="133"/>
  <c r="Q116" i="133" s="1"/>
  <c r="L114" i="133"/>
  <c r="L116" i="133" s="1"/>
  <c r="J114" i="133"/>
  <c r="J116" i="133" s="1"/>
  <c r="P115" i="133"/>
  <c r="H62" i="181" l="1"/>
  <c r="Q67" i="124"/>
  <c r="P67" i="124"/>
  <c r="O67" i="124"/>
  <c r="N67" i="124"/>
  <c r="M67" i="124"/>
  <c r="L67" i="124"/>
  <c r="K67" i="124"/>
  <c r="J67" i="124"/>
  <c r="I67" i="124"/>
  <c r="H67" i="124"/>
  <c r="G67" i="124"/>
  <c r="F67" i="124"/>
  <c r="G66" i="124"/>
  <c r="H66" i="124"/>
  <c r="I66" i="124"/>
  <c r="J66" i="124"/>
  <c r="K66" i="124"/>
  <c r="L66" i="124"/>
  <c r="M66" i="124"/>
  <c r="N66" i="124"/>
  <c r="O66" i="124"/>
  <c r="P66" i="124"/>
  <c r="Q66" i="124"/>
  <c r="F66" i="124"/>
  <c r="R67" i="124" l="1"/>
  <c r="R66" i="124"/>
  <c r="F162" i="58"/>
  <c r="F248" i="58" s="1"/>
  <c r="E20" i="181" s="1"/>
  <c r="F163" i="58"/>
  <c r="F249" i="58" s="1"/>
  <c r="E21" i="181" s="1"/>
  <c r="G63" i="181"/>
  <c r="G44" i="181" s="1"/>
  <c r="G62" i="181"/>
  <c r="G43" i="181" s="1"/>
  <c r="E96" i="133" l="1"/>
  <c r="E95" i="133"/>
  <c r="J24" i="178" l="1"/>
  <c r="G24" i="178"/>
  <c r="I24" i="178" s="1"/>
  <c r="G28" i="178"/>
  <c r="I28" i="178" s="1"/>
  <c r="G27" i="178"/>
  <c r="H27" i="178" s="1"/>
  <c r="H24" i="178" l="1"/>
  <c r="H28" i="178"/>
  <c r="I27" i="178"/>
  <c r="T28" i="178"/>
  <c r="T27" i="178"/>
  <c r="F197" i="58" l="1"/>
  <c r="F198" i="58"/>
  <c r="F199" i="58"/>
  <c r="F200" i="58"/>
  <c r="F201" i="58"/>
  <c r="F202" i="58"/>
  <c r="F203" i="58"/>
  <c r="F204" i="58"/>
  <c r="F205" i="58"/>
  <c r="F206" i="58"/>
  <c r="F207" i="58"/>
  <c r="F208" i="58"/>
  <c r="F209" i="58"/>
  <c r="E39" i="197"/>
  <c r="D39" i="197"/>
  <c r="D40" i="197"/>
  <c r="E40" i="197"/>
  <c r="D41" i="197"/>
  <c r="E41" i="197"/>
  <c r="K51" i="197"/>
  <c r="K49" i="197"/>
  <c r="A39" i="197"/>
  <c r="A40" i="197"/>
  <c r="A41" i="197"/>
  <c r="A42" i="197"/>
  <c r="A43" i="197"/>
  <c r="A44" i="197"/>
  <c r="A45" i="197"/>
  <c r="A46" i="197"/>
  <c r="A47" i="197"/>
  <c r="A48" i="197"/>
  <c r="A49" i="197"/>
  <c r="A50" i="197"/>
  <c r="A51" i="197"/>
  <c r="W123" i="58"/>
  <c r="V123" i="58"/>
  <c r="U123" i="58"/>
  <c r="T123" i="58"/>
  <c r="W209" i="58" s="1"/>
  <c r="S123" i="58"/>
  <c r="V209" i="58" s="1"/>
  <c r="R123" i="58"/>
  <c r="U209" i="58" s="1"/>
  <c r="Q123" i="58"/>
  <c r="T209" i="58" s="1"/>
  <c r="P123" i="58"/>
  <c r="S209" i="58" s="1"/>
  <c r="O123" i="58"/>
  <c r="R209" i="58" s="1"/>
  <c r="N123" i="58"/>
  <c r="Q209" i="58" s="1"/>
  <c r="M123" i="58"/>
  <c r="P209" i="58" s="1"/>
  <c r="W122" i="58"/>
  <c r="V122" i="58"/>
  <c r="U122" i="58"/>
  <c r="T122" i="58"/>
  <c r="S122" i="58"/>
  <c r="R122" i="58"/>
  <c r="Q122" i="58"/>
  <c r="P122" i="58"/>
  <c r="O122" i="58"/>
  <c r="N122" i="58"/>
  <c r="M122" i="58"/>
  <c r="W121" i="58"/>
  <c r="V121" i="58"/>
  <c r="U121" i="58"/>
  <c r="T121" i="58"/>
  <c r="W207" i="58" s="1"/>
  <c r="S121" i="58"/>
  <c r="V207" i="58" s="1"/>
  <c r="R121" i="58"/>
  <c r="U207" i="58" s="1"/>
  <c r="Q121" i="58"/>
  <c r="T207" i="58" s="1"/>
  <c r="P121" i="58"/>
  <c r="S207" i="58" s="1"/>
  <c r="O121" i="58"/>
  <c r="R207" i="58" s="1"/>
  <c r="N121" i="58"/>
  <c r="Q207" i="58" s="1"/>
  <c r="M121" i="58"/>
  <c r="P207" i="58" s="1"/>
  <c r="L123" i="58"/>
  <c r="O209" i="58" s="1"/>
  <c r="L122" i="58"/>
  <c r="L121" i="58"/>
  <c r="O207" i="58" s="1"/>
  <c r="W113" i="58"/>
  <c r="V113" i="58"/>
  <c r="U113" i="58"/>
  <c r="T113" i="58"/>
  <c r="W199" i="58" s="1"/>
  <c r="S113" i="58"/>
  <c r="V199" i="58" s="1"/>
  <c r="R113" i="58"/>
  <c r="U199" i="58" s="1"/>
  <c r="Q113" i="58"/>
  <c r="T199" i="58" s="1"/>
  <c r="P113" i="58"/>
  <c r="S199" i="58" s="1"/>
  <c r="O113" i="58"/>
  <c r="R199" i="58" s="1"/>
  <c r="N113" i="58"/>
  <c r="Q199" i="58" s="1"/>
  <c r="M113" i="58"/>
  <c r="P199" i="58" s="1"/>
  <c r="L113" i="58"/>
  <c r="O199" i="58" s="1"/>
  <c r="W112" i="58"/>
  <c r="V112" i="58"/>
  <c r="U112" i="58"/>
  <c r="T112" i="58"/>
  <c r="S112" i="58"/>
  <c r="R112" i="58"/>
  <c r="Q112" i="58"/>
  <c r="P112" i="58"/>
  <c r="O112" i="58"/>
  <c r="N112" i="58"/>
  <c r="M112" i="58"/>
  <c r="L112" i="58"/>
  <c r="W111" i="58"/>
  <c r="V111" i="58"/>
  <c r="U111" i="58"/>
  <c r="T111" i="58"/>
  <c r="W197" i="58" s="1"/>
  <c r="S111" i="58"/>
  <c r="V197" i="58" s="1"/>
  <c r="R111" i="58"/>
  <c r="U197" i="58" s="1"/>
  <c r="Q111" i="58"/>
  <c r="T197" i="58" s="1"/>
  <c r="P111" i="58"/>
  <c r="S197" i="58" s="1"/>
  <c r="O111" i="58"/>
  <c r="R197" i="58" s="1"/>
  <c r="N111" i="58"/>
  <c r="Q197" i="58" s="1"/>
  <c r="M111" i="58"/>
  <c r="P197" i="58" s="1"/>
  <c r="L111" i="58"/>
  <c r="O197" i="58" s="1"/>
  <c r="M105" i="58"/>
  <c r="N105" i="58"/>
  <c r="O105" i="58"/>
  <c r="P105" i="58"/>
  <c r="Q105" i="58"/>
  <c r="R105" i="58"/>
  <c r="S105" i="58"/>
  <c r="T105" i="58"/>
  <c r="U105" i="58"/>
  <c r="V105" i="58"/>
  <c r="W105" i="58"/>
  <c r="L106" i="58"/>
  <c r="M106" i="58"/>
  <c r="N106" i="58"/>
  <c r="O106" i="58"/>
  <c r="P106" i="58"/>
  <c r="Q106" i="58"/>
  <c r="R106" i="58"/>
  <c r="S106" i="58"/>
  <c r="T106" i="58"/>
  <c r="U106" i="58"/>
  <c r="V106" i="58"/>
  <c r="W106" i="58"/>
  <c r="L107" i="58"/>
  <c r="M107" i="58"/>
  <c r="N107" i="58"/>
  <c r="O107" i="58"/>
  <c r="P107" i="58"/>
  <c r="Q107" i="58"/>
  <c r="R107" i="58"/>
  <c r="S107" i="58"/>
  <c r="T107" i="58"/>
  <c r="U107" i="58"/>
  <c r="V107" i="58"/>
  <c r="W107" i="58"/>
  <c r="L108" i="58"/>
  <c r="M108" i="58"/>
  <c r="N108" i="58"/>
  <c r="O108" i="58"/>
  <c r="P108" i="58"/>
  <c r="Q108" i="58"/>
  <c r="R108" i="58"/>
  <c r="S108" i="58"/>
  <c r="T108" i="58"/>
  <c r="U108" i="58"/>
  <c r="V108" i="58"/>
  <c r="W108" i="58"/>
  <c r="L109" i="58"/>
  <c r="M109" i="58"/>
  <c r="N109" i="58"/>
  <c r="O109" i="58"/>
  <c r="P109" i="58"/>
  <c r="Q109" i="58"/>
  <c r="R109" i="58"/>
  <c r="S109" i="58"/>
  <c r="T109" i="58"/>
  <c r="U109" i="58"/>
  <c r="V109" i="58"/>
  <c r="W109" i="58"/>
  <c r="L110" i="58"/>
  <c r="M110" i="58"/>
  <c r="N110" i="58"/>
  <c r="O110" i="58"/>
  <c r="P110" i="58"/>
  <c r="Q110" i="58"/>
  <c r="R110" i="58"/>
  <c r="S110" i="58"/>
  <c r="T110" i="58"/>
  <c r="U110" i="58"/>
  <c r="V110" i="58"/>
  <c r="W110" i="58"/>
  <c r="L114" i="58"/>
  <c r="M114" i="58"/>
  <c r="M197" i="58" s="1"/>
  <c r="N114" i="58"/>
  <c r="N197" i="58" s="1"/>
  <c r="O114" i="58"/>
  <c r="P114" i="58"/>
  <c r="Q114" i="58"/>
  <c r="R114" i="58"/>
  <c r="S114" i="58"/>
  <c r="T114" i="58"/>
  <c r="U114" i="58"/>
  <c r="V114" i="58"/>
  <c r="W114" i="58"/>
  <c r="L115" i="58"/>
  <c r="M115" i="58"/>
  <c r="N115" i="58"/>
  <c r="O115" i="58"/>
  <c r="P115" i="58"/>
  <c r="Q115" i="58"/>
  <c r="R115" i="58"/>
  <c r="S115" i="58"/>
  <c r="T115" i="58"/>
  <c r="U115" i="58"/>
  <c r="V115" i="58"/>
  <c r="W115" i="58"/>
  <c r="L116" i="58"/>
  <c r="M116" i="58"/>
  <c r="N116" i="58"/>
  <c r="O116" i="58"/>
  <c r="P116" i="58"/>
  <c r="Q116" i="58"/>
  <c r="R116" i="58"/>
  <c r="S116" i="58"/>
  <c r="T116" i="58"/>
  <c r="U116" i="58"/>
  <c r="V116" i="58"/>
  <c r="W116" i="58"/>
  <c r="L117" i="58"/>
  <c r="M117" i="58"/>
  <c r="N117" i="58"/>
  <c r="O117" i="58"/>
  <c r="P117" i="58"/>
  <c r="Q117" i="58"/>
  <c r="R117" i="58"/>
  <c r="S117" i="58"/>
  <c r="T117" i="58"/>
  <c r="U117" i="58"/>
  <c r="V117" i="58"/>
  <c r="W117" i="58"/>
  <c r="L118" i="58"/>
  <c r="M118" i="58"/>
  <c r="N118" i="58"/>
  <c r="O118" i="58"/>
  <c r="P118" i="58"/>
  <c r="Q118" i="58"/>
  <c r="R118" i="58"/>
  <c r="S118" i="58"/>
  <c r="T118" i="58"/>
  <c r="U118" i="58"/>
  <c r="V118" i="58"/>
  <c r="W118" i="58"/>
  <c r="L119" i="58"/>
  <c r="O205" i="58" s="1"/>
  <c r="M119" i="58"/>
  <c r="P205" i="58" s="1"/>
  <c r="N119" i="58"/>
  <c r="Q205" i="58" s="1"/>
  <c r="O119" i="58"/>
  <c r="R205" i="58" s="1"/>
  <c r="P119" i="58"/>
  <c r="S205" i="58" s="1"/>
  <c r="Q119" i="58"/>
  <c r="T205" i="58" s="1"/>
  <c r="R119" i="58"/>
  <c r="U205" i="58" s="1"/>
  <c r="S119" i="58"/>
  <c r="V205" i="58" s="1"/>
  <c r="T119" i="58"/>
  <c r="W205" i="58" s="1"/>
  <c r="U119" i="58"/>
  <c r="V119" i="58"/>
  <c r="W119" i="58"/>
  <c r="L120" i="58"/>
  <c r="M120" i="58"/>
  <c r="N120" i="58"/>
  <c r="O120" i="58"/>
  <c r="P120" i="58"/>
  <c r="Q120" i="58"/>
  <c r="R120" i="58"/>
  <c r="S120" i="58"/>
  <c r="T120" i="58"/>
  <c r="U120" i="58"/>
  <c r="V120" i="58"/>
  <c r="W120" i="58"/>
  <c r="L124" i="58"/>
  <c r="M124" i="58"/>
  <c r="M207" i="58" s="1"/>
  <c r="N124" i="58"/>
  <c r="N207" i="58" s="1"/>
  <c r="O124" i="58"/>
  <c r="P124" i="58"/>
  <c r="Q124" i="58"/>
  <c r="R124" i="58"/>
  <c r="S124" i="58"/>
  <c r="T124" i="58"/>
  <c r="U124" i="58"/>
  <c r="V124" i="58"/>
  <c r="W124" i="58"/>
  <c r="L125" i="58"/>
  <c r="M125" i="58"/>
  <c r="N125" i="58"/>
  <c r="O125" i="58"/>
  <c r="P125" i="58"/>
  <c r="Q125" i="58"/>
  <c r="R125" i="58"/>
  <c r="S125" i="58"/>
  <c r="T125" i="58"/>
  <c r="U125" i="58"/>
  <c r="V125" i="58"/>
  <c r="W125" i="58"/>
  <c r="L126" i="58"/>
  <c r="L209" i="58" s="1"/>
  <c r="M126" i="58"/>
  <c r="M209" i="58" s="1"/>
  <c r="N126" i="58"/>
  <c r="N209" i="58" s="1"/>
  <c r="O126" i="58"/>
  <c r="P126" i="58"/>
  <c r="Q126" i="58"/>
  <c r="R126" i="58"/>
  <c r="S126" i="58"/>
  <c r="T126" i="58"/>
  <c r="U126" i="58"/>
  <c r="V126" i="58"/>
  <c r="W126" i="58"/>
  <c r="L127" i="58"/>
  <c r="M127" i="58"/>
  <c r="N127" i="58"/>
  <c r="O127" i="58"/>
  <c r="P127" i="58"/>
  <c r="Q127" i="58"/>
  <c r="R127" i="58"/>
  <c r="S127" i="58"/>
  <c r="T127" i="58"/>
  <c r="U127" i="58"/>
  <c r="V127" i="58"/>
  <c r="W127" i="58"/>
  <c r="L128" i="58"/>
  <c r="M128" i="58"/>
  <c r="N128" i="58"/>
  <c r="O128" i="58"/>
  <c r="P128" i="58"/>
  <c r="Q128" i="58"/>
  <c r="R128" i="58"/>
  <c r="S128" i="58"/>
  <c r="T128" i="58"/>
  <c r="U128" i="58"/>
  <c r="V128" i="58"/>
  <c r="W128" i="58"/>
  <c r="L129" i="58"/>
  <c r="M129" i="58"/>
  <c r="N129" i="58"/>
  <c r="O129" i="58"/>
  <c r="P129" i="58"/>
  <c r="Q129" i="58"/>
  <c r="R129" i="58"/>
  <c r="S129" i="58"/>
  <c r="T129" i="58"/>
  <c r="U129" i="58"/>
  <c r="V129" i="58"/>
  <c r="W129" i="58"/>
  <c r="L130" i="58"/>
  <c r="M130" i="58"/>
  <c r="N130" i="58"/>
  <c r="O130" i="58"/>
  <c r="P130" i="58"/>
  <c r="Q130" i="58"/>
  <c r="R130" i="58"/>
  <c r="S130" i="58"/>
  <c r="T130" i="58"/>
  <c r="U130" i="58"/>
  <c r="V130" i="58"/>
  <c r="W130" i="58"/>
  <c r="L131" i="58"/>
  <c r="M131" i="58"/>
  <c r="N131" i="58"/>
  <c r="O131" i="58"/>
  <c r="P131" i="58"/>
  <c r="Q131" i="58"/>
  <c r="R131" i="58"/>
  <c r="S131" i="58"/>
  <c r="T131" i="58"/>
  <c r="U131" i="58"/>
  <c r="V131" i="58"/>
  <c r="W131" i="58"/>
  <c r="L132" i="58"/>
  <c r="M132" i="58"/>
  <c r="N132" i="58"/>
  <c r="O132" i="58"/>
  <c r="P132" i="58"/>
  <c r="Q132" i="58"/>
  <c r="R132" i="58"/>
  <c r="S132" i="58"/>
  <c r="T132" i="58"/>
  <c r="U132" i="58"/>
  <c r="V132" i="58"/>
  <c r="W132" i="58"/>
  <c r="L133" i="58"/>
  <c r="M133" i="58"/>
  <c r="N133" i="58"/>
  <c r="O133" i="58"/>
  <c r="P133" i="58"/>
  <c r="Q133" i="58"/>
  <c r="R133" i="58"/>
  <c r="S133" i="58"/>
  <c r="T133" i="58"/>
  <c r="U133" i="58"/>
  <c r="V133" i="58"/>
  <c r="W133" i="58"/>
  <c r="L134" i="58"/>
  <c r="M134" i="58"/>
  <c r="N134" i="58"/>
  <c r="O134" i="58"/>
  <c r="P134" i="58"/>
  <c r="Q134" i="58"/>
  <c r="R134" i="58"/>
  <c r="S134" i="58"/>
  <c r="T134" i="58"/>
  <c r="U134" i="58"/>
  <c r="V134" i="58"/>
  <c r="W134" i="58"/>
  <c r="L135" i="58"/>
  <c r="M135" i="58"/>
  <c r="N135" i="58"/>
  <c r="O135" i="58"/>
  <c r="P135" i="58"/>
  <c r="Q135" i="58"/>
  <c r="R135" i="58"/>
  <c r="S135" i="58"/>
  <c r="T135" i="58"/>
  <c r="U135" i="58"/>
  <c r="V135" i="58"/>
  <c r="W135" i="58"/>
  <c r="L136" i="58"/>
  <c r="M136" i="58"/>
  <c r="N136" i="58"/>
  <c r="O136" i="58"/>
  <c r="P136" i="58"/>
  <c r="Q136" i="58"/>
  <c r="R136" i="58"/>
  <c r="S136" i="58"/>
  <c r="T136" i="58"/>
  <c r="U136" i="58"/>
  <c r="V136" i="58"/>
  <c r="W136" i="58"/>
  <c r="L137" i="58"/>
  <c r="M137" i="58"/>
  <c r="N137" i="58"/>
  <c r="O137" i="58"/>
  <c r="P137" i="58"/>
  <c r="Q137" i="58"/>
  <c r="R137" i="58"/>
  <c r="S137" i="58"/>
  <c r="T137" i="58"/>
  <c r="U137" i="58"/>
  <c r="V137" i="58"/>
  <c r="W137" i="58"/>
  <c r="L138" i="58"/>
  <c r="M138" i="58"/>
  <c r="N138" i="58"/>
  <c r="O138" i="58"/>
  <c r="P138" i="58"/>
  <c r="Q138" i="58"/>
  <c r="R138" i="58"/>
  <c r="S138" i="58"/>
  <c r="T138" i="58"/>
  <c r="U138" i="58"/>
  <c r="V138" i="58"/>
  <c r="W138" i="58"/>
  <c r="L139" i="58"/>
  <c r="M139" i="58"/>
  <c r="N139" i="58"/>
  <c r="O139" i="58"/>
  <c r="P139" i="58"/>
  <c r="Q139" i="58"/>
  <c r="R139" i="58"/>
  <c r="S139" i="58"/>
  <c r="T139" i="58"/>
  <c r="U139" i="58"/>
  <c r="V139" i="58"/>
  <c r="W139" i="58"/>
  <c r="L140" i="58"/>
  <c r="M140" i="58"/>
  <c r="N140" i="58"/>
  <c r="O140" i="58"/>
  <c r="P140" i="58"/>
  <c r="Q140" i="58"/>
  <c r="R140" i="58"/>
  <c r="S140" i="58"/>
  <c r="T140" i="58"/>
  <c r="U140" i="58"/>
  <c r="V140" i="58"/>
  <c r="W140" i="58"/>
  <c r="L141" i="58"/>
  <c r="M141" i="58"/>
  <c r="N141" i="58"/>
  <c r="O141" i="58"/>
  <c r="P141" i="58"/>
  <c r="Q141" i="58"/>
  <c r="R141" i="58"/>
  <c r="S141" i="58"/>
  <c r="T141" i="58"/>
  <c r="U141" i="58"/>
  <c r="V141" i="58"/>
  <c r="W141" i="58"/>
  <c r="L142" i="58"/>
  <c r="M142" i="58"/>
  <c r="N142" i="58"/>
  <c r="O142" i="58"/>
  <c r="P142" i="58"/>
  <c r="Q142" i="58"/>
  <c r="R142" i="58"/>
  <c r="S142" i="58"/>
  <c r="T142" i="58"/>
  <c r="U142" i="58"/>
  <c r="V142" i="58"/>
  <c r="W142" i="58"/>
  <c r="L143" i="58"/>
  <c r="M143" i="58"/>
  <c r="N143" i="58"/>
  <c r="O143" i="58"/>
  <c r="P143" i="58"/>
  <c r="Q143" i="58"/>
  <c r="R143" i="58"/>
  <c r="S143" i="58"/>
  <c r="T143" i="58"/>
  <c r="U143" i="58"/>
  <c r="V143" i="58"/>
  <c r="W143" i="58"/>
  <c r="L144" i="58"/>
  <c r="M144" i="58"/>
  <c r="N144" i="58"/>
  <c r="O144" i="58"/>
  <c r="P144" i="58"/>
  <c r="Q144" i="58"/>
  <c r="R144" i="58"/>
  <c r="S144" i="58"/>
  <c r="T144" i="58"/>
  <c r="U144" i="58"/>
  <c r="V144" i="58"/>
  <c r="W144" i="58"/>
  <c r="L145" i="58"/>
  <c r="M145" i="58"/>
  <c r="N145" i="58"/>
  <c r="O145" i="58"/>
  <c r="P145" i="58"/>
  <c r="Q145" i="58"/>
  <c r="R145" i="58"/>
  <c r="S145" i="58"/>
  <c r="T145" i="58"/>
  <c r="U145" i="58"/>
  <c r="V145" i="58"/>
  <c r="W145" i="58"/>
  <c r="L146" i="58"/>
  <c r="M146" i="58"/>
  <c r="N146" i="58"/>
  <c r="O146" i="58"/>
  <c r="P146" i="58"/>
  <c r="Q146" i="58"/>
  <c r="R146" i="58"/>
  <c r="S146" i="58"/>
  <c r="T146" i="58"/>
  <c r="U146" i="58"/>
  <c r="V146" i="58"/>
  <c r="W146" i="58"/>
  <c r="L147" i="58"/>
  <c r="M147" i="58"/>
  <c r="N147" i="58"/>
  <c r="O147" i="58"/>
  <c r="P147" i="58"/>
  <c r="Q147" i="58"/>
  <c r="R147" i="58"/>
  <c r="S147" i="58"/>
  <c r="T147" i="58"/>
  <c r="U147" i="58"/>
  <c r="V147" i="58"/>
  <c r="W147" i="58"/>
  <c r="L148" i="58"/>
  <c r="M148" i="58"/>
  <c r="N148" i="58"/>
  <c r="O148" i="58"/>
  <c r="P148" i="58"/>
  <c r="Q148" i="58"/>
  <c r="R148" i="58"/>
  <c r="S148" i="58"/>
  <c r="T148" i="58"/>
  <c r="U148" i="58"/>
  <c r="V148" i="58"/>
  <c r="W148" i="58"/>
  <c r="L149" i="58"/>
  <c r="M149" i="58"/>
  <c r="N149" i="58"/>
  <c r="O149" i="58"/>
  <c r="P149" i="58"/>
  <c r="Q149" i="58"/>
  <c r="R149" i="58"/>
  <c r="S149" i="58"/>
  <c r="T149" i="58"/>
  <c r="U149" i="58"/>
  <c r="V149" i="58"/>
  <c r="W149" i="58"/>
  <c r="L150" i="58"/>
  <c r="M150" i="58"/>
  <c r="N150" i="58"/>
  <c r="O150" i="58"/>
  <c r="P150" i="58"/>
  <c r="Q150" i="58"/>
  <c r="R150" i="58"/>
  <c r="S150" i="58"/>
  <c r="T150" i="58"/>
  <c r="U150" i="58"/>
  <c r="V150" i="58"/>
  <c r="W150" i="58"/>
  <c r="L151" i="58"/>
  <c r="M151" i="58"/>
  <c r="N151" i="58"/>
  <c r="O151" i="58"/>
  <c r="P151" i="58"/>
  <c r="Q151" i="58"/>
  <c r="R151" i="58"/>
  <c r="S151" i="58"/>
  <c r="T151" i="58"/>
  <c r="U151" i="58"/>
  <c r="V151" i="58"/>
  <c r="W151" i="58"/>
  <c r="L152" i="58"/>
  <c r="M152" i="58"/>
  <c r="N152" i="58"/>
  <c r="O152" i="58"/>
  <c r="P152" i="58"/>
  <c r="Q152" i="58"/>
  <c r="R152" i="58"/>
  <c r="S152" i="58"/>
  <c r="T152" i="58"/>
  <c r="U152" i="58"/>
  <c r="V152" i="58"/>
  <c r="W152" i="58"/>
  <c r="L153" i="58"/>
  <c r="M153" i="58"/>
  <c r="N153" i="58"/>
  <c r="O153" i="58"/>
  <c r="P153" i="58"/>
  <c r="Q153" i="58"/>
  <c r="R153" i="58"/>
  <c r="S153" i="58"/>
  <c r="T153" i="58"/>
  <c r="U153" i="58"/>
  <c r="V153" i="58"/>
  <c r="W153" i="58"/>
  <c r="L154" i="58"/>
  <c r="M154" i="58"/>
  <c r="N154" i="58"/>
  <c r="O154" i="58"/>
  <c r="P154" i="58"/>
  <c r="Q154" i="58"/>
  <c r="R154" i="58"/>
  <c r="S154" i="58"/>
  <c r="T154" i="58"/>
  <c r="U154" i="58"/>
  <c r="V154" i="58"/>
  <c r="W154" i="58"/>
  <c r="L155" i="58"/>
  <c r="M155" i="58"/>
  <c r="N155" i="58"/>
  <c r="O155" i="58"/>
  <c r="P155" i="58"/>
  <c r="Q155" i="58"/>
  <c r="R155" i="58"/>
  <c r="S155" i="58"/>
  <c r="T155" i="58"/>
  <c r="U155" i="58"/>
  <c r="V155" i="58"/>
  <c r="W155" i="58"/>
  <c r="L156" i="58"/>
  <c r="M156" i="58"/>
  <c r="N156" i="58"/>
  <c r="O156" i="58"/>
  <c r="P156" i="58"/>
  <c r="Q156" i="58"/>
  <c r="R156" i="58"/>
  <c r="S156" i="58"/>
  <c r="T156" i="58"/>
  <c r="U156" i="58"/>
  <c r="V156" i="58"/>
  <c r="W156" i="58"/>
  <c r="L157" i="58"/>
  <c r="M157" i="58"/>
  <c r="N157" i="58"/>
  <c r="O157" i="58"/>
  <c r="P157" i="58"/>
  <c r="Q157" i="58"/>
  <c r="R157" i="58"/>
  <c r="S157" i="58"/>
  <c r="T157" i="58"/>
  <c r="U157" i="58"/>
  <c r="V157" i="58"/>
  <c r="W157" i="58"/>
  <c r="L158" i="58"/>
  <c r="M158" i="58"/>
  <c r="N158" i="58"/>
  <c r="O158" i="58"/>
  <c r="P158" i="58"/>
  <c r="Q158" i="58"/>
  <c r="R158" i="58"/>
  <c r="S158" i="58"/>
  <c r="T158" i="58"/>
  <c r="U158" i="58"/>
  <c r="V158" i="58"/>
  <c r="W158" i="58"/>
  <c r="L159" i="58"/>
  <c r="M159" i="58"/>
  <c r="N159" i="58"/>
  <c r="O159" i="58"/>
  <c r="P159" i="58"/>
  <c r="Q159" i="58"/>
  <c r="R159" i="58"/>
  <c r="S159" i="58"/>
  <c r="T159" i="58"/>
  <c r="U159" i="58"/>
  <c r="V159" i="58"/>
  <c r="W159" i="58"/>
  <c r="L160" i="58"/>
  <c r="M160" i="58"/>
  <c r="N160" i="58"/>
  <c r="O160" i="58"/>
  <c r="P160" i="58"/>
  <c r="Q160" i="58"/>
  <c r="R160" i="58"/>
  <c r="S160" i="58"/>
  <c r="T160" i="58"/>
  <c r="U160" i="58"/>
  <c r="V160" i="58"/>
  <c r="W160" i="58"/>
  <c r="L161" i="58"/>
  <c r="M161" i="58"/>
  <c r="N161" i="58"/>
  <c r="O161" i="58"/>
  <c r="P161" i="58"/>
  <c r="Q161" i="58"/>
  <c r="R161" i="58"/>
  <c r="S161" i="58"/>
  <c r="T161" i="58"/>
  <c r="U161" i="58"/>
  <c r="V161" i="58"/>
  <c r="W161" i="58"/>
  <c r="U76" i="110"/>
  <c r="T76" i="110"/>
  <c r="S76" i="110"/>
  <c r="R76" i="110"/>
  <c r="Q76" i="110"/>
  <c r="P76" i="110"/>
  <c r="O76" i="110"/>
  <c r="N76" i="110"/>
  <c r="M76" i="110"/>
  <c r="L76" i="110"/>
  <c r="K76" i="110"/>
  <c r="J76" i="110"/>
  <c r="U75" i="110"/>
  <c r="T75" i="110"/>
  <c r="S75" i="110"/>
  <c r="R75" i="110"/>
  <c r="Q75" i="110"/>
  <c r="P75" i="110"/>
  <c r="O75" i="110"/>
  <c r="N75" i="110"/>
  <c r="M75" i="110"/>
  <c r="L75" i="110"/>
  <c r="K75" i="110"/>
  <c r="J75" i="110"/>
  <c r="U74" i="110"/>
  <c r="T74" i="110"/>
  <c r="S74" i="110"/>
  <c r="R74" i="110"/>
  <c r="Q74" i="110"/>
  <c r="P74" i="110"/>
  <c r="O74" i="110"/>
  <c r="N74" i="110"/>
  <c r="M74" i="110"/>
  <c r="L74" i="110"/>
  <c r="K74" i="110"/>
  <c r="J74" i="110"/>
  <c r="U73" i="110"/>
  <c r="T73" i="110"/>
  <c r="S73" i="110"/>
  <c r="R73" i="110"/>
  <c r="Q73" i="110"/>
  <c r="P73" i="110"/>
  <c r="O73" i="110"/>
  <c r="N73" i="110"/>
  <c r="M73" i="110"/>
  <c r="L73" i="110"/>
  <c r="K73" i="110"/>
  <c r="J73" i="110"/>
  <c r="U72" i="110"/>
  <c r="T72" i="110"/>
  <c r="S72" i="110"/>
  <c r="R72" i="110"/>
  <c r="Q72" i="110"/>
  <c r="P72" i="110"/>
  <c r="O72" i="110"/>
  <c r="N72" i="110"/>
  <c r="M72" i="110"/>
  <c r="L72" i="110"/>
  <c r="K72" i="110"/>
  <c r="J72" i="110"/>
  <c r="U71" i="110"/>
  <c r="T71" i="110"/>
  <c r="S71" i="110"/>
  <c r="R71" i="110"/>
  <c r="Q71" i="110"/>
  <c r="P71" i="110"/>
  <c r="O71" i="110"/>
  <c r="N71" i="110"/>
  <c r="M71" i="110"/>
  <c r="L71" i="110"/>
  <c r="K71" i="110"/>
  <c r="J71" i="110"/>
  <c r="U70" i="110"/>
  <c r="T70" i="110"/>
  <c r="S70" i="110"/>
  <c r="R70" i="110"/>
  <c r="Q70" i="110"/>
  <c r="P70" i="110"/>
  <c r="O70" i="110"/>
  <c r="N70" i="110"/>
  <c r="M70" i="110"/>
  <c r="L70" i="110"/>
  <c r="K70" i="110"/>
  <c r="J70" i="110"/>
  <c r="U69" i="110"/>
  <c r="T69" i="110"/>
  <c r="S69" i="110"/>
  <c r="R69" i="110"/>
  <c r="Q69" i="110"/>
  <c r="P69" i="110"/>
  <c r="O69" i="110"/>
  <c r="N69" i="110"/>
  <c r="M69" i="110"/>
  <c r="L69" i="110"/>
  <c r="K69" i="110"/>
  <c r="J69" i="110"/>
  <c r="U68" i="110"/>
  <c r="T68" i="110"/>
  <c r="S68" i="110"/>
  <c r="R68" i="110"/>
  <c r="Q68" i="110"/>
  <c r="P68" i="110"/>
  <c r="O68" i="110"/>
  <c r="N68" i="110"/>
  <c r="M68" i="110"/>
  <c r="L68" i="110"/>
  <c r="K68" i="110"/>
  <c r="J68" i="110"/>
  <c r="U67" i="110"/>
  <c r="T67" i="110"/>
  <c r="S67" i="110"/>
  <c r="R67" i="110"/>
  <c r="Q67" i="110"/>
  <c r="P67" i="110"/>
  <c r="O67" i="110"/>
  <c r="N67" i="110"/>
  <c r="M67" i="110"/>
  <c r="L67" i="110"/>
  <c r="K67" i="110"/>
  <c r="J67" i="110"/>
  <c r="U66" i="110"/>
  <c r="T66" i="110"/>
  <c r="S66" i="110"/>
  <c r="R66" i="110"/>
  <c r="Q66" i="110"/>
  <c r="P66" i="110"/>
  <c r="O66" i="110"/>
  <c r="N66" i="110"/>
  <c r="M66" i="110"/>
  <c r="L66" i="110"/>
  <c r="K66" i="110"/>
  <c r="J66" i="110"/>
  <c r="U65" i="110"/>
  <c r="T65" i="110"/>
  <c r="S65" i="110"/>
  <c r="R65" i="110"/>
  <c r="Q65" i="110"/>
  <c r="P65" i="110"/>
  <c r="O65" i="110"/>
  <c r="N65" i="110"/>
  <c r="M65" i="110"/>
  <c r="L65" i="110"/>
  <c r="K65" i="110"/>
  <c r="J65" i="110"/>
  <c r="U64" i="110"/>
  <c r="T64" i="110"/>
  <c r="S64" i="110"/>
  <c r="R64" i="110"/>
  <c r="Q64" i="110"/>
  <c r="P64" i="110"/>
  <c r="O64" i="110"/>
  <c r="N64" i="110"/>
  <c r="M64" i="110"/>
  <c r="L64" i="110"/>
  <c r="K64" i="110"/>
  <c r="J64" i="110"/>
  <c r="U63" i="110"/>
  <c r="T63" i="110"/>
  <c r="S63" i="110"/>
  <c r="R63" i="110"/>
  <c r="Q63" i="110"/>
  <c r="P63" i="110"/>
  <c r="O63" i="110"/>
  <c r="N63" i="110"/>
  <c r="M63" i="110"/>
  <c r="L63" i="110"/>
  <c r="K63" i="110"/>
  <c r="J63" i="110"/>
  <c r="U62" i="110"/>
  <c r="T62" i="110"/>
  <c r="S62" i="110"/>
  <c r="R62" i="110"/>
  <c r="Q62" i="110"/>
  <c r="P62" i="110"/>
  <c r="O62" i="110"/>
  <c r="N62" i="110"/>
  <c r="M62" i="110"/>
  <c r="L62" i="110"/>
  <c r="K62" i="110"/>
  <c r="J62" i="110"/>
  <c r="U61" i="110"/>
  <c r="T61" i="110"/>
  <c r="S61" i="110"/>
  <c r="R61" i="110"/>
  <c r="Q61" i="110"/>
  <c r="P61" i="110"/>
  <c r="O61" i="110"/>
  <c r="N61" i="110"/>
  <c r="M61" i="110"/>
  <c r="L61" i="110"/>
  <c r="K61" i="110"/>
  <c r="J61" i="110"/>
  <c r="U60" i="110"/>
  <c r="T60" i="110"/>
  <c r="S60" i="110"/>
  <c r="R60" i="110"/>
  <c r="Q60" i="110"/>
  <c r="P60" i="110"/>
  <c r="O60" i="110"/>
  <c r="N60" i="110"/>
  <c r="M60" i="110"/>
  <c r="L60" i="110"/>
  <c r="K60" i="110"/>
  <c r="J60" i="110"/>
  <c r="U59" i="110"/>
  <c r="T59" i="110"/>
  <c r="S59" i="110"/>
  <c r="R59" i="110"/>
  <c r="Q59" i="110"/>
  <c r="P59" i="110"/>
  <c r="O59" i="110"/>
  <c r="N59" i="110"/>
  <c r="M59" i="110"/>
  <c r="L59" i="110"/>
  <c r="K59" i="110"/>
  <c r="J59" i="110"/>
  <c r="U58" i="110"/>
  <c r="T58" i="110"/>
  <c r="S58" i="110"/>
  <c r="R58" i="110"/>
  <c r="Q58" i="110"/>
  <c r="P58" i="110"/>
  <c r="O58" i="110"/>
  <c r="N58" i="110"/>
  <c r="M58" i="110"/>
  <c r="L58" i="110"/>
  <c r="K58" i="110"/>
  <c r="J58" i="110"/>
  <c r="U57" i="110"/>
  <c r="T57" i="110"/>
  <c r="S57" i="110"/>
  <c r="R57" i="110"/>
  <c r="Q57" i="110"/>
  <c r="P57" i="110"/>
  <c r="O57" i="110"/>
  <c r="N57" i="110"/>
  <c r="M57" i="110"/>
  <c r="L57" i="110"/>
  <c r="K57" i="110"/>
  <c r="J57" i="110"/>
  <c r="U56" i="110"/>
  <c r="T56" i="110"/>
  <c r="S56" i="110"/>
  <c r="R56" i="110"/>
  <c r="Q56" i="110"/>
  <c r="P56" i="110"/>
  <c r="O56" i="110"/>
  <c r="N56" i="110"/>
  <c r="M56" i="110"/>
  <c r="L56" i="110"/>
  <c r="K56" i="110"/>
  <c r="J56" i="110"/>
  <c r="U55" i="110"/>
  <c r="T55" i="110"/>
  <c r="S55" i="110"/>
  <c r="R55" i="110"/>
  <c r="Q55" i="110"/>
  <c r="P55" i="110"/>
  <c r="O55" i="110"/>
  <c r="N55" i="110"/>
  <c r="M55" i="110"/>
  <c r="L55" i="110"/>
  <c r="K55" i="110"/>
  <c r="J55" i="110"/>
  <c r="U54" i="110"/>
  <c r="T54" i="110"/>
  <c r="S54" i="110"/>
  <c r="R54" i="110"/>
  <c r="Q54" i="110"/>
  <c r="P54" i="110"/>
  <c r="O54" i="110"/>
  <c r="N54" i="110"/>
  <c r="M54" i="110"/>
  <c r="L54" i="110"/>
  <c r="K54" i="110"/>
  <c r="J54" i="110"/>
  <c r="U53" i="110"/>
  <c r="T53" i="110"/>
  <c r="S53" i="110"/>
  <c r="R53" i="110"/>
  <c r="Q53" i="110"/>
  <c r="P53" i="110"/>
  <c r="O53" i="110"/>
  <c r="N53" i="110"/>
  <c r="M53" i="110"/>
  <c r="L53" i="110"/>
  <c r="K53" i="110"/>
  <c r="J53" i="110"/>
  <c r="U52" i="110"/>
  <c r="T52" i="110"/>
  <c r="S52" i="110"/>
  <c r="R52" i="110"/>
  <c r="Q52" i="110"/>
  <c r="P52" i="110"/>
  <c r="O52" i="110"/>
  <c r="N52" i="110"/>
  <c r="M52" i="110"/>
  <c r="L52" i="110"/>
  <c r="K52" i="110"/>
  <c r="J52" i="110"/>
  <c r="U51" i="110"/>
  <c r="T51" i="110"/>
  <c r="S51" i="110"/>
  <c r="R51" i="110"/>
  <c r="Q51" i="110"/>
  <c r="P51" i="110"/>
  <c r="O51" i="110"/>
  <c r="N51" i="110"/>
  <c r="M51" i="110"/>
  <c r="L51" i="110"/>
  <c r="K51" i="110"/>
  <c r="J51" i="110"/>
  <c r="U50" i="110"/>
  <c r="T50" i="110"/>
  <c r="S50" i="110"/>
  <c r="R50" i="110"/>
  <c r="Q50" i="110"/>
  <c r="P50" i="110"/>
  <c r="O50" i="110"/>
  <c r="N50" i="110"/>
  <c r="M50" i="110"/>
  <c r="L50" i="110"/>
  <c r="K50" i="110"/>
  <c r="J50" i="110"/>
  <c r="U49" i="110"/>
  <c r="T49" i="110"/>
  <c r="S49" i="110"/>
  <c r="R49" i="110"/>
  <c r="Q49" i="110"/>
  <c r="P49" i="110"/>
  <c r="O49" i="110"/>
  <c r="N49" i="110"/>
  <c r="M49" i="110"/>
  <c r="L49" i="110"/>
  <c r="K49" i="110"/>
  <c r="J49" i="110"/>
  <c r="U48" i="110"/>
  <c r="T48" i="110"/>
  <c r="S48" i="110"/>
  <c r="R48" i="110"/>
  <c r="Q48" i="110"/>
  <c r="P48" i="110"/>
  <c r="O48" i="110"/>
  <c r="N48" i="110"/>
  <c r="M48" i="110"/>
  <c r="L48" i="110"/>
  <c r="K48" i="110"/>
  <c r="J48" i="110"/>
  <c r="U47" i="110"/>
  <c r="T47" i="110"/>
  <c r="S47" i="110"/>
  <c r="R47" i="110"/>
  <c r="Q47" i="110"/>
  <c r="P47" i="110"/>
  <c r="O47" i="110"/>
  <c r="N47" i="110"/>
  <c r="M47" i="110"/>
  <c r="L47" i="110"/>
  <c r="K47" i="110"/>
  <c r="J47" i="110"/>
  <c r="U46" i="110"/>
  <c r="T46" i="110"/>
  <c r="S46" i="110"/>
  <c r="R46" i="110"/>
  <c r="Q46" i="110"/>
  <c r="P46" i="110"/>
  <c r="O46" i="110"/>
  <c r="N46" i="110"/>
  <c r="M46" i="110"/>
  <c r="L46" i="110"/>
  <c r="K46" i="110"/>
  <c r="J46" i="110"/>
  <c r="U45" i="110"/>
  <c r="T45" i="110"/>
  <c r="S45" i="110"/>
  <c r="R45" i="110"/>
  <c r="Q45" i="110"/>
  <c r="P45" i="110"/>
  <c r="O45" i="110"/>
  <c r="N45" i="110"/>
  <c r="M45" i="110"/>
  <c r="L45" i="110"/>
  <c r="K45" i="110"/>
  <c r="J45" i="110"/>
  <c r="U44" i="110"/>
  <c r="T44" i="110"/>
  <c r="S44" i="110"/>
  <c r="R44" i="110"/>
  <c r="Q44" i="110"/>
  <c r="P44" i="110"/>
  <c r="O44" i="110"/>
  <c r="N44" i="110"/>
  <c r="M44" i="110"/>
  <c r="L44" i="110"/>
  <c r="K44" i="110"/>
  <c r="J44" i="110"/>
  <c r="U43" i="110"/>
  <c r="T43" i="110"/>
  <c r="S43" i="110"/>
  <c r="R43" i="110"/>
  <c r="Q43" i="110"/>
  <c r="P43" i="110"/>
  <c r="O43" i="110"/>
  <c r="N43" i="110"/>
  <c r="M43" i="110"/>
  <c r="L43" i="110"/>
  <c r="K43" i="110"/>
  <c r="J43" i="110"/>
  <c r="U42" i="110"/>
  <c r="T42" i="110"/>
  <c r="S42" i="110"/>
  <c r="R42" i="110"/>
  <c r="Q42" i="110"/>
  <c r="P42" i="110"/>
  <c r="O42" i="110"/>
  <c r="N42" i="110"/>
  <c r="M42" i="110"/>
  <c r="L42" i="110"/>
  <c r="K42" i="110"/>
  <c r="J42" i="110"/>
  <c r="U41" i="110"/>
  <c r="T41" i="110"/>
  <c r="S41" i="110"/>
  <c r="R41" i="110"/>
  <c r="Q41" i="110"/>
  <c r="P41" i="110"/>
  <c r="O41" i="110"/>
  <c r="N41" i="110"/>
  <c r="M41" i="110"/>
  <c r="L41" i="110"/>
  <c r="K41" i="110"/>
  <c r="J41" i="110"/>
  <c r="U40" i="110"/>
  <c r="T40" i="110"/>
  <c r="S40" i="110"/>
  <c r="R40" i="110"/>
  <c r="Q40" i="110"/>
  <c r="P40" i="110"/>
  <c r="O40" i="110"/>
  <c r="N40" i="110"/>
  <c r="M40" i="110"/>
  <c r="L40" i="110"/>
  <c r="K40" i="110"/>
  <c r="J40" i="110"/>
  <c r="U39" i="110"/>
  <c r="T39" i="110"/>
  <c r="S39" i="110"/>
  <c r="R39" i="110"/>
  <c r="Q39" i="110"/>
  <c r="P39" i="110"/>
  <c r="O39" i="110"/>
  <c r="N39" i="110"/>
  <c r="M39" i="110"/>
  <c r="L39" i="110"/>
  <c r="K39" i="110"/>
  <c r="J39" i="110"/>
  <c r="U38" i="110"/>
  <c r="T38" i="110"/>
  <c r="S38" i="110"/>
  <c r="R38" i="110"/>
  <c r="Q38" i="110"/>
  <c r="P38" i="110"/>
  <c r="O38" i="110"/>
  <c r="N38" i="110"/>
  <c r="M38" i="110"/>
  <c r="L38" i="110"/>
  <c r="K38" i="110"/>
  <c r="J38" i="110"/>
  <c r="U37" i="110"/>
  <c r="T37" i="110"/>
  <c r="S37" i="110"/>
  <c r="R37" i="110"/>
  <c r="Q37" i="110"/>
  <c r="P37" i="110"/>
  <c r="O37" i="110"/>
  <c r="N37" i="110"/>
  <c r="M37" i="110"/>
  <c r="L37" i="110"/>
  <c r="K37" i="110"/>
  <c r="J37" i="110"/>
  <c r="U36" i="110"/>
  <c r="T36" i="110"/>
  <c r="S36" i="110"/>
  <c r="R36" i="110"/>
  <c r="Q36" i="110"/>
  <c r="P36" i="110"/>
  <c r="O36" i="110"/>
  <c r="N36" i="110"/>
  <c r="M36" i="110"/>
  <c r="L36" i="110"/>
  <c r="K36" i="110"/>
  <c r="J36" i="110"/>
  <c r="U35" i="110"/>
  <c r="T35" i="110"/>
  <c r="S35" i="110"/>
  <c r="R35" i="110"/>
  <c r="Q35" i="110"/>
  <c r="P35" i="110"/>
  <c r="O35" i="110"/>
  <c r="N35" i="110"/>
  <c r="M35" i="110"/>
  <c r="L35" i="110"/>
  <c r="K35" i="110"/>
  <c r="J35" i="110"/>
  <c r="U34" i="110"/>
  <c r="T34" i="110"/>
  <c r="S34" i="110"/>
  <c r="R34" i="110"/>
  <c r="Q34" i="110"/>
  <c r="P34" i="110"/>
  <c r="O34" i="110"/>
  <c r="N34" i="110"/>
  <c r="M34" i="110"/>
  <c r="L34" i="110"/>
  <c r="K34" i="110"/>
  <c r="J34" i="110"/>
  <c r="U33" i="110"/>
  <c r="T33" i="110"/>
  <c r="S33" i="110"/>
  <c r="R33" i="110"/>
  <c r="Q33" i="110"/>
  <c r="P33" i="110"/>
  <c r="O33" i="110"/>
  <c r="N33" i="110"/>
  <c r="M33" i="110"/>
  <c r="L33" i="110"/>
  <c r="K33" i="110"/>
  <c r="J33" i="110"/>
  <c r="U32" i="110"/>
  <c r="T32" i="110"/>
  <c r="S32" i="110"/>
  <c r="R32" i="110"/>
  <c r="Q32" i="110"/>
  <c r="P32" i="110"/>
  <c r="O32" i="110"/>
  <c r="N32" i="110"/>
  <c r="M32" i="110"/>
  <c r="L32" i="110"/>
  <c r="K32" i="110"/>
  <c r="J32" i="110"/>
  <c r="U31" i="110"/>
  <c r="T31" i="110"/>
  <c r="S31" i="110"/>
  <c r="R31" i="110"/>
  <c r="Q31" i="110"/>
  <c r="P31" i="110"/>
  <c r="O31" i="110"/>
  <c r="N31" i="110"/>
  <c r="M31" i="110"/>
  <c r="L31" i="110"/>
  <c r="K31" i="110"/>
  <c r="J31" i="110"/>
  <c r="U30" i="110"/>
  <c r="T30" i="110"/>
  <c r="S30" i="110"/>
  <c r="R30" i="110"/>
  <c r="Q30" i="110"/>
  <c r="P30" i="110"/>
  <c r="O30" i="110"/>
  <c r="N30" i="110"/>
  <c r="M30" i="110"/>
  <c r="L30" i="110"/>
  <c r="K30" i="110"/>
  <c r="J30" i="110"/>
  <c r="U29" i="110"/>
  <c r="T29" i="110"/>
  <c r="S29" i="110"/>
  <c r="R29" i="110"/>
  <c r="Q29" i="110"/>
  <c r="P29" i="110"/>
  <c r="O29" i="110"/>
  <c r="N29" i="110"/>
  <c r="M29" i="110"/>
  <c r="L29" i="110"/>
  <c r="K29" i="110"/>
  <c r="J29" i="110"/>
  <c r="U28" i="110"/>
  <c r="T28" i="110"/>
  <c r="S28" i="110"/>
  <c r="R28" i="110"/>
  <c r="Q28" i="110"/>
  <c r="P28" i="110"/>
  <c r="O28" i="110"/>
  <c r="N28" i="110"/>
  <c r="M28" i="110"/>
  <c r="L28" i="110"/>
  <c r="K28" i="110"/>
  <c r="J28" i="110"/>
  <c r="U27" i="110"/>
  <c r="T27" i="110"/>
  <c r="S27" i="110"/>
  <c r="R27" i="110"/>
  <c r="Q27" i="110"/>
  <c r="P27" i="110"/>
  <c r="O27" i="110"/>
  <c r="N27" i="110"/>
  <c r="M27" i="110"/>
  <c r="L27" i="110"/>
  <c r="K27" i="110"/>
  <c r="J27" i="110"/>
  <c r="U26" i="110"/>
  <c r="T26" i="110"/>
  <c r="S26" i="110"/>
  <c r="R26" i="110"/>
  <c r="Q26" i="110"/>
  <c r="P26" i="110"/>
  <c r="O26" i="110"/>
  <c r="N26" i="110"/>
  <c r="M26" i="110"/>
  <c r="L26" i="110"/>
  <c r="K26" i="110"/>
  <c r="J26" i="110"/>
  <c r="U25" i="110"/>
  <c r="T25" i="110"/>
  <c r="S25" i="110"/>
  <c r="R25" i="110"/>
  <c r="Q25" i="110"/>
  <c r="P25" i="110"/>
  <c r="O25" i="110"/>
  <c r="N25" i="110"/>
  <c r="M25" i="110"/>
  <c r="L25" i="110"/>
  <c r="K25" i="110"/>
  <c r="J25" i="110"/>
  <c r="U24" i="110"/>
  <c r="T24" i="110"/>
  <c r="S24" i="110"/>
  <c r="R24" i="110"/>
  <c r="Q24" i="110"/>
  <c r="P24" i="110"/>
  <c r="O24" i="110"/>
  <c r="N24" i="110"/>
  <c r="M24" i="110"/>
  <c r="L24" i="110"/>
  <c r="K24" i="110"/>
  <c r="J24" i="110"/>
  <c r="U23" i="110"/>
  <c r="T23" i="110"/>
  <c r="S23" i="110"/>
  <c r="R23" i="110"/>
  <c r="Q23" i="110"/>
  <c r="P23" i="110"/>
  <c r="O23" i="110"/>
  <c r="N23" i="110"/>
  <c r="M23" i="110"/>
  <c r="L23" i="110"/>
  <c r="K23" i="110"/>
  <c r="J23" i="110"/>
  <c r="U22" i="110"/>
  <c r="T22" i="110"/>
  <c r="S22" i="110"/>
  <c r="R22" i="110"/>
  <c r="Q22" i="110"/>
  <c r="P22" i="110"/>
  <c r="O22" i="110"/>
  <c r="N22" i="110"/>
  <c r="M22" i="110"/>
  <c r="L22" i="110"/>
  <c r="K22" i="110"/>
  <c r="J22" i="110"/>
  <c r="U21" i="110"/>
  <c r="T21" i="110"/>
  <c r="S21" i="110"/>
  <c r="R21" i="110"/>
  <c r="Q21" i="110"/>
  <c r="P21" i="110"/>
  <c r="O21" i="110"/>
  <c r="N21" i="110"/>
  <c r="M21" i="110"/>
  <c r="L21" i="110"/>
  <c r="K21" i="110"/>
  <c r="J21" i="110"/>
  <c r="U20" i="110"/>
  <c r="T20" i="110"/>
  <c r="S20" i="110"/>
  <c r="R20" i="110"/>
  <c r="Q20" i="110"/>
  <c r="P20" i="110"/>
  <c r="O20" i="110"/>
  <c r="N20" i="110"/>
  <c r="M20" i="110"/>
  <c r="L20" i="110"/>
  <c r="K20" i="110"/>
  <c r="F26" i="110"/>
  <c r="F111" i="110" s="1"/>
  <c r="F27" i="110"/>
  <c r="G27" i="110" s="1"/>
  <c r="F28" i="110"/>
  <c r="G28" i="110" s="1"/>
  <c r="F29" i="110"/>
  <c r="G29" i="110" s="1"/>
  <c r="F30" i="110"/>
  <c r="I30" i="110" s="1"/>
  <c r="F31" i="110"/>
  <c r="H31" i="110" s="1"/>
  <c r="F32" i="110"/>
  <c r="F117" i="110" s="1"/>
  <c r="F33" i="110"/>
  <c r="F118" i="110" s="1"/>
  <c r="F34" i="110"/>
  <c r="G34" i="110" s="1"/>
  <c r="F35" i="110"/>
  <c r="F120" i="110" s="1"/>
  <c r="F36" i="110"/>
  <c r="I36" i="110" s="1"/>
  <c r="F37" i="110"/>
  <c r="G37" i="110" s="1"/>
  <c r="F38" i="110"/>
  <c r="F123" i="110" s="1"/>
  <c r="H50" i="181"/>
  <c r="T35" i="178"/>
  <c r="T36" i="178"/>
  <c r="T39" i="178"/>
  <c r="T32" i="178"/>
  <c r="M169" i="58" l="1"/>
  <c r="X156" i="58"/>
  <c r="X199" i="58"/>
  <c r="X205" i="58"/>
  <c r="X197" i="58"/>
  <c r="X207" i="58"/>
  <c r="X209" i="58"/>
  <c r="X148" i="58"/>
  <c r="X140" i="58"/>
  <c r="X132" i="58"/>
  <c r="X124" i="58"/>
  <c r="X108" i="58"/>
  <c r="X123" i="58"/>
  <c r="X122" i="58"/>
  <c r="X116" i="58"/>
  <c r="X157" i="58"/>
  <c r="X149" i="58"/>
  <c r="X141" i="58"/>
  <c r="X133" i="58"/>
  <c r="X125" i="58"/>
  <c r="X117" i="58"/>
  <c r="X109" i="58"/>
  <c r="X161" i="58"/>
  <c r="X159" i="58"/>
  <c r="X155" i="58"/>
  <c r="X153" i="58"/>
  <c r="X151" i="58"/>
  <c r="X147" i="58"/>
  <c r="X145" i="58"/>
  <c r="X143" i="58"/>
  <c r="X139" i="58"/>
  <c r="X137" i="58"/>
  <c r="X135" i="58"/>
  <c r="X131" i="58"/>
  <c r="X129" i="58"/>
  <c r="X127" i="58"/>
  <c r="X120" i="58"/>
  <c r="X118" i="58"/>
  <c r="X114" i="58"/>
  <c r="X107" i="58"/>
  <c r="X111" i="58"/>
  <c r="X113" i="58"/>
  <c r="X160" i="58"/>
  <c r="X158" i="58"/>
  <c r="X154" i="58"/>
  <c r="X152" i="58"/>
  <c r="X150" i="58"/>
  <c r="X146" i="58"/>
  <c r="X144" i="58"/>
  <c r="X142" i="58"/>
  <c r="X138" i="58"/>
  <c r="X136" i="58"/>
  <c r="X134" i="58"/>
  <c r="X130" i="58"/>
  <c r="X128" i="58"/>
  <c r="X126" i="58"/>
  <c r="X119" i="58"/>
  <c r="X115" i="58"/>
  <c r="X110" i="58"/>
  <c r="X106" i="58"/>
  <c r="X112" i="58"/>
  <c r="X121" i="58"/>
  <c r="G36" i="110"/>
  <c r="H33" i="110"/>
  <c r="I33" i="110"/>
  <c r="I26" i="110"/>
  <c r="H26" i="110"/>
  <c r="H36" i="110"/>
  <c r="H111" i="110"/>
  <c r="I111" i="110"/>
  <c r="G111" i="110"/>
  <c r="L111" i="110" s="1"/>
  <c r="F198" i="110"/>
  <c r="G120" i="110"/>
  <c r="H120" i="110"/>
  <c r="F207" i="110"/>
  <c r="I120" i="110"/>
  <c r="I118" i="110"/>
  <c r="F205" i="110"/>
  <c r="G123" i="110"/>
  <c r="N123" i="110" s="1"/>
  <c r="F210" i="110"/>
  <c r="H117" i="110"/>
  <c r="F204" i="110"/>
  <c r="G117" i="110"/>
  <c r="I28" i="110"/>
  <c r="G26" i="110"/>
  <c r="H38" i="110"/>
  <c r="I35" i="110"/>
  <c r="G33" i="110"/>
  <c r="H30" i="110"/>
  <c r="F122" i="110"/>
  <c r="F114" i="110"/>
  <c r="I38" i="110"/>
  <c r="F115" i="110"/>
  <c r="I115" i="110" s="1"/>
  <c r="H28" i="110"/>
  <c r="G38" i="110"/>
  <c r="H35" i="110"/>
  <c r="I32" i="110"/>
  <c r="G30" i="110"/>
  <c r="F121" i="110"/>
  <c r="F113" i="110"/>
  <c r="F116" i="110"/>
  <c r="H116" i="110" s="1"/>
  <c r="I37" i="110"/>
  <c r="G35" i="110"/>
  <c r="H32" i="110"/>
  <c r="I29" i="110"/>
  <c r="F112" i="110"/>
  <c r="G31" i="110"/>
  <c r="I27" i="110"/>
  <c r="H37" i="110"/>
  <c r="I34" i="110"/>
  <c r="G32" i="110"/>
  <c r="H29" i="110"/>
  <c r="F119" i="110"/>
  <c r="H27" i="110"/>
  <c r="H34" i="110"/>
  <c r="I31" i="110"/>
  <c r="I123" i="110"/>
  <c r="H118" i="110"/>
  <c r="H123" i="110"/>
  <c r="G118" i="110"/>
  <c r="I117" i="110"/>
  <c r="E57" i="124"/>
  <c r="G32" i="178"/>
  <c r="G30" i="178"/>
  <c r="G29" i="178"/>
  <c r="G42" i="178"/>
  <c r="G41" i="178"/>
  <c r="G40" i="178"/>
  <c r="G39" i="178"/>
  <c r="G38" i="178"/>
  <c r="G37" i="178"/>
  <c r="G36" i="178"/>
  <c r="G35" i="178"/>
  <c r="J42" i="178" l="1"/>
  <c r="L42" i="178"/>
  <c r="M42" i="178"/>
  <c r="I29" i="178"/>
  <c r="K29" i="178"/>
  <c r="L29" i="178"/>
  <c r="L30" i="178"/>
  <c r="K30" i="178"/>
  <c r="I30" i="178"/>
  <c r="L38" i="178"/>
  <c r="N38" i="178"/>
  <c r="L40" i="178"/>
  <c r="M40" i="178" s="1"/>
  <c r="J40" i="178"/>
  <c r="I41" i="178"/>
  <c r="K41" i="178"/>
  <c r="L41" i="178"/>
  <c r="K37" i="178"/>
  <c r="P37" i="178"/>
  <c r="N37" i="178"/>
  <c r="H115" i="110"/>
  <c r="O123" i="110"/>
  <c r="U123" i="110"/>
  <c r="K123" i="110"/>
  <c r="P123" i="110"/>
  <c r="M123" i="110"/>
  <c r="S111" i="110"/>
  <c r="U111" i="110"/>
  <c r="P111" i="110"/>
  <c r="J123" i="110"/>
  <c r="Q111" i="110"/>
  <c r="N111" i="110"/>
  <c r="S123" i="110"/>
  <c r="M111" i="110"/>
  <c r="R123" i="110"/>
  <c r="T111" i="110"/>
  <c r="O111" i="110"/>
  <c r="Q123" i="110"/>
  <c r="T123" i="110"/>
  <c r="K111" i="110"/>
  <c r="R111" i="110"/>
  <c r="J111" i="110"/>
  <c r="L123" i="110"/>
  <c r="F209" i="110"/>
  <c r="I122" i="110"/>
  <c r="G122" i="110"/>
  <c r="H122" i="110"/>
  <c r="G204" i="110"/>
  <c r="H204" i="110"/>
  <c r="I204" i="110"/>
  <c r="F319" i="110"/>
  <c r="G116" i="110"/>
  <c r="F203" i="110"/>
  <c r="I116" i="110"/>
  <c r="G115" i="110"/>
  <c r="F202" i="110"/>
  <c r="G210" i="110"/>
  <c r="H210" i="110"/>
  <c r="F325" i="110"/>
  <c r="I210" i="110"/>
  <c r="F313" i="110"/>
  <c r="I198" i="110"/>
  <c r="G198" i="110"/>
  <c r="H198" i="110"/>
  <c r="G112" i="110"/>
  <c r="H112" i="110"/>
  <c r="I112" i="110"/>
  <c r="F199" i="110"/>
  <c r="H113" i="110"/>
  <c r="F200" i="110"/>
  <c r="I113" i="110"/>
  <c r="G113" i="110"/>
  <c r="I119" i="110"/>
  <c r="H119" i="110"/>
  <c r="F206" i="110"/>
  <c r="G119" i="110"/>
  <c r="F208" i="110"/>
  <c r="G121" i="110"/>
  <c r="H121" i="110"/>
  <c r="I121" i="110"/>
  <c r="G205" i="110"/>
  <c r="F320" i="110"/>
  <c r="H205" i="110"/>
  <c r="I205" i="110"/>
  <c r="F322" i="110"/>
  <c r="G207" i="110"/>
  <c r="H207" i="110"/>
  <c r="I207" i="110"/>
  <c r="F201" i="110"/>
  <c r="G114" i="110"/>
  <c r="H114" i="110"/>
  <c r="I114" i="110"/>
  <c r="P103" i="58"/>
  <c r="S189" i="58" s="1"/>
  <c r="P102" i="58"/>
  <c r="S188" i="58" s="1"/>
  <c r="Q101" i="58"/>
  <c r="T187" i="58" s="1"/>
  <c r="T180" i="58"/>
  <c r="S179" i="58"/>
  <c r="E14" i="178"/>
  <c r="G14" i="178" s="1"/>
  <c r="M98" i="58"/>
  <c r="M99" i="58"/>
  <c r="P191" i="58"/>
  <c r="P196" i="58"/>
  <c r="P201" i="58"/>
  <c r="P202" i="58"/>
  <c r="P206" i="58"/>
  <c r="P210" i="58"/>
  <c r="P211" i="58"/>
  <c r="P212" i="58"/>
  <c r="P216" i="58"/>
  <c r="P219" i="58"/>
  <c r="P220" i="58"/>
  <c r="P227" i="58"/>
  <c r="P228" i="58"/>
  <c r="P232" i="58"/>
  <c r="P235" i="58"/>
  <c r="P236" i="58"/>
  <c r="P240" i="58"/>
  <c r="P243" i="58"/>
  <c r="P244" i="58"/>
  <c r="M164" i="58"/>
  <c r="N250" i="58" s="1"/>
  <c r="M165" i="58"/>
  <c r="M166" i="58"/>
  <c r="N252" i="58" s="1"/>
  <c r="M167" i="58"/>
  <c r="N253" i="58" s="1"/>
  <c r="M168" i="58"/>
  <c r="N254" i="58" s="1"/>
  <c r="N98" i="58"/>
  <c r="Q184" i="58" s="1"/>
  <c r="N99" i="58"/>
  <c r="Q185" i="58" s="1"/>
  <c r="Q191" i="58"/>
  <c r="Q192" i="58"/>
  <c r="Q193" i="58"/>
  <c r="Q194" i="58"/>
  <c r="Q195" i="58"/>
  <c r="Q198" i="58"/>
  <c r="Q201" i="58"/>
  <c r="Q202" i="58"/>
  <c r="Q203" i="58"/>
  <c r="Q204" i="58"/>
  <c r="Q208" i="58"/>
  <c r="Q211" i="58"/>
  <c r="Q212" i="58"/>
  <c r="Q213" i="58"/>
  <c r="Q214" i="58"/>
  <c r="Q215" i="58"/>
  <c r="Q217" i="58"/>
  <c r="Q220" i="58"/>
  <c r="Q221" i="58"/>
  <c r="Q222" i="58"/>
  <c r="Q223" i="58"/>
  <c r="Q227" i="58"/>
  <c r="Q228" i="58"/>
  <c r="Q229" i="58"/>
  <c r="Q230" i="58"/>
  <c r="Q231" i="58"/>
  <c r="Q233" i="58"/>
  <c r="Q236" i="58"/>
  <c r="Q237" i="58"/>
  <c r="Q238" i="58"/>
  <c r="Q239" i="58"/>
  <c r="Q241" i="58"/>
  <c r="Q243" i="58"/>
  <c r="Q244" i="58"/>
  <c r="Q245" i="58"/>
  <c r="Q246" i="58"/>
  <c r="N163" i="58"/>
  <c r="N169" i="58" s="1"/>
  <c r="N164" i="58"/>
  <c r="O250" i="58" s="1"/>
  <c r="N165" i="58"/>
  <c r="O251" i="58" s="1"/>
  <c r="N166" i="58"/>
  <c r="N167" i="58"/>
  <c r="N168" i="58"/>
  <c r="O98" i="58"/>
  <c r="R184" i="58" s="1"/>
  <c r="O99" i="58"/>
  <c r="R185" i="58" s="1"/>
  <c r="R191" i="58"/>
  <c r="R193" i="58"/>
  <c r="R194" i="58"/>
  <c r="R195" i="58"/>
  <c r="R196" i="58"/>
  <c r="R198" i="58"/>
  <c r="R200" i="58"/>
  <c r="R201" i="58"/>
  <c r="R204" i="58"/>
  <c r="R206" i="58"/>
  <c r="R208" i="58"/>
  <c r="R210" i="58"/>
  <c r="R211" i="58"/>
  <c r="R213" i="58"/>
  <c r="R214" i="58"/>
  <c r="R215" i="58"/>
  <c r="R216" i="58"/>
  <c r="R217" i="58"/>
  <c r="R219" i="58"/>
  <c r="R222" i="58"/>
  <c r="R224" i="58"/>
  <c r="R225" i="58"/>
  <c r="R226" i="58"/>
  <c r="R227" i="58"/>
  <c r="R229" i="58"/>
  <c r="R230" i="58"/>
  <c r="R231" i="58"/>
  <c r="R233" i="58"/>
  <c r="R234" i="58"/>
  <c r="R235" i="58"/>
  <c r="R237" i="58"/>
  <c r="R238" i="58"/>
  <c r="R239" i="58"/>
  <c r="R241" i="58"/>
  <c r="R242" i="58"/>
  <c r="R245" i="58"/>
  <c r="R246" i="58"/>
  <c r="O162" i="58"/>
  <c r="O163" i="58"/>
  <c r="O164" i="58"/>
  <c r="P250" i="58" s="1"/>
  <c r="O165" i="58"/>
  <c r="P251" i="58" s="1"/>
  <c r="O166" i="58"/>
  <c r="O167" i="58"/>
  <c r="P253" i="58" s="1"/>
  <c r="O168" i="58"/>
  <c r="P98" i="58"/>
  <c r="S184" i="58" s="1"/>
  <c r="P99" i="58"/>
  <c r="S185" i="58" s="1"/>
  <c r="S192" i="58"/>
  <c r="S193" i="58"/>
  <c r="S196" i="58"/>
  <c r="S198" i="58"/>
  <c r="S201" i="58"/>
  <c r="S202" i="58"/>
  <c r="S203" i="58"/>
  <c r="S206" i="58"/>
  <c r="S208" i="58"/>
  <c r="S210" i="58"/>
  <c r="S211" i="58"/>
  <c r="S212" i="58"/>
  <c r="S213" i="58"/>
  <c r="S216" i="58"/>
  <c r="S217" i="58"/>
  <c r="S220" i="58"/>
  <c r="S221" i="58"/>
  <c r="S223" i="58"/>
  <c r="S224" i="58"/>
  <c r="S225" i="58"/>
  <c r="S227" i="58"/>
  <c r="S228" i="58"/>
  <c r="S229" i="58"/>
  <c r="S231" i="58"/>
  <c r="S232" i="58"/>
  <c r="S233" i="58"/>
  <c r="S235" i="58"/>
  <c r="S236" i="58"/>
  <c r="S237" i="58"/>
  <c r="S240" i="58"/>
  <c r="S241" i="58"/>
  <c r="S243" i="58"/>
  <c r="S244" i="58"/>
  <c r="S245" i="58"/>
  <c r="P162" i="58"/>
  <c r="P163" i="58"/>
  <c r="P164" i="58"/>
  <c r="Q250" i="58" s="1"/>
  <c r="P165" i="58"/>
  <c r="Q251" i="58" s="1"/>
  <c r="P166" i="58"/>
  <c r="Q252" i="58" s="1"/>
  <c r="P167" i="58"/>
  <c r="Q253" i="58" s="1"/>
  <c r="P168" i="58"/>
  <c r="Q254" i="58" s="1"/>
  <c r="Q98" i="58"/>
  <c r="T184" i="58" s="1"/>
  <c r="Q99" i="58"/>
  <c r="T191" i="58"/>
  <c r="T193" i="58"/>
  <c r="T194" i="58"/>
  <c r="T195" i="58"/>
  <c r="T196" i="58"/>
  <c r="T200" i="58"/>
  <c r="T201" i="58"/>
  <c r="T203" i="58"/>
  <c r="T204" i="58"/>
  <c r="T206" i="58"/>
  <c r="T208" i="58"/>
  <c r="T210" i="58"/>
  <c r="T211" i="58"/>
  <c r="T213" i="58"/>
  <c r="T215" i="58"/>
  <c r="T216" i="58"/>
  <c r="T218" i="58"/>
  <c r="T219" i="58"/>
  <c r="T221" i="58"/>
  <c r="T222" i="58"/>
  <c r="T223" i="58"/>
  <c r="T224" i="58"/>
  <c r="T226" i="58"/>
  <c r="T227" i="58"/>
  <c r="T230" i="58"/>
  <c r="T231" i="58"/>
  <c r="T234" i="58"/>
  <c r="T235" i="58"/>
  <c r="T237" i="58"/>
  <c r="T238" i="58"/>
  <c r="T239" i="58"/>
  <c r="T240" i="58"/>
  <c r="T241" i="58"/>
  <c r="T242" i="58"/>
  <c r="T243" i="58"/>
  <c r="T245" i="58"/>
  <c r="T246" i="58"/>
  <c r="Q162" i="58"/>
  <c r="Q163" i="58"/>
  <c r="Q164" i="58"/>
  <c r="R250" i="58" s="1"/>
  <c r="Q165" i="58"/>
  <c r="R251" i="58" s="1"/>
  <c r="Q166" i="58"/>
  <c r="R252" i="58" s="1"/>
  <c r="Q167" i="58"/>
  <c r="Q168" i="58"/>
  <c r="R254" i="58" s="1"/>
  <c r="R98" i="58"/>
  <c r="U184" i="58" s="1"/>
  <c r="R99" i="58"/>
  <c r="U185" i="58" s="1"/>
  <c r="U192" i="58"/>
  <c r="U193" i="58"/>
  <c r="U196" i="58"/>
  <c r="U198" i="58"/>
  <c r="U200" i="58"/>
  <c r="U201" i="58"/>
  <c r="U202" i="58"/>
  <c r="U203" i="58"/>
  <c r="U206" i="58"/>
  <c r="U208" i="58"/>
  <c r="U210" i="58"/>
  <c r="U211" i="58"/>
  <c r="U212" i="58"/>
  <c r="U213" i="58"/>
  <c r="U216" i="58"/>
  <c r="U217" i="58"/>
  <c r="U218" i="58"/>
  <c r="U219" i="58"/>
  <c r="U220" i="58"/>
  <c r="U221" i="58"/>
  <c r="U224" i="58"/>
  <c r="U225" i="58"/>
  <c r="U226" i="58"/>
  <c r="U227" i="58"/>
  <c r="U228" i="58"/>
  <c r="U229" i="58"/>
  <c r="U232" i="58"/>
  <c r="U233" i="58"/>
  <c r="U234" i="58"/>
  <c r="U235" i="58"/>
  <c r="U236" i="58"/>
  <c r="U237" i="58"/>
  <c r="U240" i="58"/>
  <c r="U241" i="58"/>
  <c r="U242" i="58"/>
  <c r="U243" i="58"/>
  <c r="U244" i="58"/>
  <c r="U245" i="58"/>
  <c r="R162" i="58"/>
  <c r="R163" i="58"/>
  <c r="R164" i="58"/>
  <c r="S250" i="58" s="1"/>
  <c r="R165" i="58"/>
  <c r="S251" i="58" s="1"/>
  <c r="R166" i="58"/>
  <c r="S252" i="58" s="1"/>
  <c r="R167" i="58"/>
  <c r="S253" i="58" s="1"/>
  <c r="R168" i="58"/>
  <c r="S254" i="58" s="1"/>
  <c r="S98" i="58"/>
  <c r="V184" i="58" s="1"/>
  <c r="S99" i="58"/>
  <c r="V185" i="58" s="1"/>
  <c r="V191" i="58"/>
  <c r="V192" i="58"/>
  <c r="V193" i="58"/>
  <c r="V194" i="58"/>
  <c r="V195" i="58"/>
  <c r="V200" i="58"/>
  <c r="V201" i="58"/>
  <c r="V202" i="58"/>
  <c r="V203" i="58"/>
  <c r="V204" i="58"/>
  <c r="V211" i="58"/>
  <c r="V212" i="58"/>
  <c r="V213" i="58"/>
  <c r="V214" i="58"/>
  <c r="V215" i="58"/>
  <c r="V219" i="58"/>
  <c r="V220" i="58"/>
  <c r="V221" i="58"/>
  <c r="V222" i="58"/>
  <c r="V223" i="58"/>
  <c r="V227" i="58"/>
  <c r="V228" i="58"/>
  <c r="V229" i="58"/>
  <c r="V230" i="58"/>
  <c r="V231" i="58"/>
  <c r="V235" i="58"/>
  <c r="V236" i="58"/>
  <c r="V237" i="58"/>
  <c r="V238" i="58"/>
  <c r="V239" i="58"/>
  <c r="V243" i="58"/>
  <c r="V244" i="58"/>
  <c r="V245" i="58"/>
  <c r="V246" i="58"/>
  <c r="S162" i="58"/>
  <c r="S163" i="58"/>
  <c r="S164" i="58"/>
  <c r="T250" i="58" s="1"/>
  <c r="S165" i="58"/>
  <c r="T251" i="58" s="1"/>
  <c r="S166" i="58"/>
  <c r="T252" i="58" s="1"/>
  <c r="S167" i="58"/>
  <c r="T253" i="58" s="1"/>
  <c r="S168" i="58"/>
  <c r="T254" i="58" s="1"/>
  <c r="T98" i="58"/>
  <c r="W184" i="58" s="1"/>
  <c r="T99" i="58"/>
  <c r="W193" i="58"/>
  <c r="W194" i="58"/>
  <c r="W195" i="58"/>
  <c r="W196" i="58"/>
  <c r="W198" i="58"/>
  <c r="W203" i="58"/>
  <c r="W204" i="58"/>
  <c r="W206" i="58"/>
  <c r="W208" i="58"/>
  <c r="W213" i="58"/>
  <c r="W215" i="58"/>
  <c r="W216" i="58"/>
  <c r="W217" i="58"/>
  <c r="W221" i="58"/>
  <c r="W222" i="58"/>
  <c r="W223" i="58"/>
  <c r="W224" i="58"/>
  <c r="W225" i="58"/>
  <c r="W229" i="58"/>
  <c r="W230" i="58"/>
  <c r="W231" i="58"/>
  <c r="W232" i="58"/>
  <c r="W233" i="58"/>
  <c r="W237" i="58"/>
  <c r="W238" i="58"/>
  <c r="W239" i="58"/>
  <c r="W240" i="58"/>
  <c r="W241" i="58"/>
  <c r="W245" i="58"/>
  <c r="W246" i="58"/>
  <c r="T162" i="58"/>
  <c r="T163" i="58"/>
  <c r="T164" i="58"/>
  <c r="U250" i="58" s="1"/>
  <c r="T165" i="58"/>
  <c r="U251" i="58" s="1"/>
  <c r="T166" i="58"/>
  <c r="U252" i="58" s="1"/>
  <c r="T167" i="58"/>
  <c r="U253" i="58" s="1"/>
  <c r="T168" i="58"/>
  <c r="U98" i="58"/>
  <c r="U99" i="58"/>
  <c r="U162" i="58"/>
  <c r="U163" i="58"/>
  <c r="U164" i="58"/>
  <c r="V250" i="58" s="1"/>
  <c r="U165" i="58"/>
  <c r="V251" i="58" s="1"/>
  <c r="U166" i="58"/>
  <c r="V252" i="58" s="1"/>
  <c r="U167" i="58"/>
  <c r="V253" i="58" s="1"/>
  <c r="U168" i="58"/>
  <c r="V254" i="58" s="1"/>
  <c r="V98" i="58"/>
  <c r="V99" i="58"/>
  <c r="V162" i="58"/>
  <c r="V163" i="58"/>
  <c r="V164" i="58"/>
  <c r="W250" i="58" s="1"/>
  <c r="V165" i="58"/>
  <c r="W251" i="58" s="1"/>
  <c r="V166" i="58"/>
  <c r="W252" i="58" s="1"/>
  <c r="V167" i="58"/>
  <c r="W253" i="58" s="1"/>
  <c r="V168" i="58"/>
  <c r="W254" i="58" s="1"/>
  <c r="W98" i="58"/>
  <c r="W99" i="58"/>
  <c r="W162" i="58"/>
  <c r="W163" i="58"/>
  <c r="W164" i="58"/>
  <c r="W165" i="58"/>
  <c r="W166" i="58"/>
  <c r="W167" i="58"/>
  <c r="W168" i="58"/>
  <c r="L98" i="58"/>
  <c r="O184" i="58" s="1"/>
  <c r="L99" i="58"/>
  <c r="L105" i="58"/>
  <c r="O192" i="58"/>
  <c r="O193" i="58"/>
  <c r="O198" i="58"/>
  <c r="O200" i="58"/>
  <c r="O202" i="58"/>
  <c r="O203" i="58"/>
  <c r="O204" i="58"/>
  <c r="O208" i="58"/>
  <c r="O212" i="58"/>
  <c r="O213" i="58"/>
  <c r="O216" i="58"/>
  <c r="O217" i="58"/>
  <c r="O218" i="58"/>
  <c r="O220" i="58"/>
  <c r="O221" i="58"/>
  <c r="O225" i="58"/>
  <c r="O226" i="58"/>
  <c r="O228" i="58"/>
  <c r="O229" i="58"/>
  <c r="O230" i="58"/>
  <c r="O232" i="58"/>
  <c r="O233" i="58"/>
  <c r="O236" i="58"/>
  <c r="O237" i="58"/>
  <c r="O238" i="58"/>
  <c r="O240" i="58"/>
  <c r="O241" i="58"/>
  <c r="O242" i="58"/>
  <c r="O244" i="58"/>
  <c r="O245" i="58"/>
  <c r="L162" i="58"/>
  <c r="L163" i="58"/>
  <c r="L164" i="58"/>
  <c r="M250" i="58" s="1"/>
  <c r="L165" i="58"/>
  <c r="M251" i="58" s="1"/>
  <c r="L166" i="58"/>
  <c r="M252" i="58" s="1"/>
  <c r="L167" i="58"/>
  <c r="M253" i="58" s="1"/>
  <c r="L168" i="58"/>
  <c r="M254" i="58" s="1"/>
  <c r="Q35" i="133"/>
  <c r="P35" i="133"/>
  <c r="O35" i="133"/>
  <c r="N35" i="133"/>
  <c r="M35" i="133"/>
  <c r="L35" i="133"/>
  <c r="K35" i="133"/>
  <c r="J35" i="133"/>
  <c r="I35" i="133"/>
  <c r="G35" i="133"/>
  <c r="F35" i="133"/>
  <c r="H35" i="133"/>
  <c r="A10" i="197"/>
  <c r="C10" i="197" s="1"/>
  <c r="A11" i="197"/>
  <c r="C11" i="197" s="1"/>
  <c r="A12" i="197"/>
  <c r="C12" i="197" s="1"/>
  <c r="A13" i="197"/>
  <c r="A14" i="197"/>
  <c r="C14" i="197" s="1"/>
  <c r="A15" i="197"/>
  <c r="A16" i="197"/>
  <c r="C16" i="197" s="1"/>
  <c r="A29" i="197"/>
  <c r="C29" i="197" s="1"/>
  <c r="A32" i="197"/>
  <c r="C32" i="197" s="1"/>
  <c r="F5" i="110"/>
  <c r="H5" i="110" s="1"/>
  <c r="AB5" i="110" s="1"/>
  <c r="AE5" i="110" s="1"/>
  <c r="J5" i="110"/>
  <c r="I5" i="181" s="1"/>
  <c r="K5" i="110"/>
  <c r="J5" i="181" s="1"/>
  <c r="L5" i="110"/>
  <c r="K5" i="181" s="1"/>
  <c r="M5" i="110"/>
  <c r="L5" i="181" s="1"/>
  <c r="N5" i="110"/>
  <c r="M5" i="181" s="1"/>
  <c r="O5" i="110"/>
  <c r="P5" i="110"/>
  <c r="Q5" i="110"/>
  <c r="P5" i="181" s="1"/>
  <c r="R5" i="110"/>
  <c r="Q5" i="181" s="1"/>
  <c r="S5" i="110"/>
  <c r="R5" i="181" s="1"/>
  <c r="T5" i="110"/>
  <c r="S5" i="181" s="1"/>
  <c r="U5" i="110"/>
  <c r="T5" i="181" s="1"/>
  <c r="F6" i="110"/>
  <c r="F401" i="110" s="1"/>
  <c r="J6" i="110"/>
  <c r="I6" i="181" s="1"/>
  <c r="K6" i="110"/>
  <c r="J6" i="181" s="1"/>
  <c r="L6" i="110"/>
  <c r="K6" i="181" s="1"/>
  <c r="M6" i="110"/>
  <c r="L6" i="181" s="1"/>
  <c r="N6" i="110"/>
  <c r="M6" i="181" s="1"/>
  <c r="O6" i="110"/>
  <c r="N6" i="181" s="1"/>
  <c r="P6" i="110"/>
  <c r="O6" i="181" s="1"/>
  <c r="Q6" i="110"/>
  <c r="R6" i="110"/>
  <c r="Q6" i="181" s="1"/>
  <c r="S6" i="110"/>
  <c r="T6" i="110"/>
  <c r="S6" i="181" s="1"/>
  <c r="U6" i="110"/>
  <c r="T6" i="181" s="1"/>
  <c r="F7" i="110"/>
  <c r="F92" i="110" s="1"/>
  <c r="J7" i="110"/>
  <c r="K7" i="110"/>
  <c r="J7" i="181" s="1"/>
  <c r="L7" i="110"/>
  <c r="K7" i="181" s="1"/>
  <c r="M7" i="110"/>
  <c r="L7" i="181" s="1"/>
  <c r="N7" i="110"/>
  <c r="M7" i="181" s="1"/>
  <c r="O7" i="110"/>
  <c r="N7" i="181" s="1"/>
  <c r="P7" i="110"/>
  <c r="O7" i="181" s="1"/>
  <c r="Q7" i="110"/>
  <c r="P7" i="181" s="1"/>
  <c r="R7" i="110"/>
  <c r="S7" i="110"/>
  <c r="R7" i="181" s="1"/>
  <c r="T7" i="110"/>
  <c r="S7" i="181" s="1"/>
  <c r="U7" i="110"/>
  <c r="T7" i="181" s="1"/>
  <c r="F8" i="110"/>
  <c r="Y8" i="110" s="1"/>
  <c r="J8" i="110"/>
  <c r="I8" i="181" s="1"/>
  <c r="K8" i="110"/>
  <c r="L8" i="110"/>
  <c r="K8" i="181" s="1"/>
  <c r="M8" i="110"/>
  <c r="L8" i="181" s="1"/>
  <c r="N8" i="110"/>
  <c r="M8" i="181" s="1"/>
  <c r="O8" i="110"/>
  <c r="N8" i="181" s="1"/>
  <c r="P8" i="110"/>
  <c r="Q8" i="110"/>
  <c r="P8" i="181" s="1"/>
  <c r="R8" i="110"/>
  <c r="Q8" i="181" s="1"/>
  <c r="S8" i="110"/>
  <c r="R8" i="181" s="1"/>
  <c r="T8" i="110"/>
  <c r="S8" i="181" s="1"/>
  <c r="U8" i="110"/>
  <c r="T8" i="181" s="1"/>
  <c r="F9" i="110"/>
  <c r="I9" i="110" s="1"/>
  <c r="AC9" i="110" s="1"/>
  <c r="AF9" i="110" s="1"/>
  <c r="J9" i="110"/>
  <c r="I9" i="181" s="1"/>
  <c r="K9" i="110"/>
  <c r="J9" i="181" s="1"/>
  <c r="L9" i="110"/>
  <c r="M9" i="110"/>
  <c r="L9" i="181" s="1"/>
  <c r="N9" i="110"/>
  <c r="M9" i="181" s="1"/>
  <c r="O9" i="110"/>
  <c r="N9" i="181" s="1"/>
  <c r="P9" i="110"/>
  <c r="O9" i="181" s="1"/>
  <c r="Q9" i="110"/>
  <c r="P9" i="181" s="1"/>
  <c r="R9" i="110"/>
  <c r="Q9" i="181" s="1"/>
  <c r="S9" i="110"/>
  <c r="R9" i="181" s="1"/>
  <c r="T9" i="110"/>
  <c r="U9" i="110"/>
  <c r="T9" i="181" s="1"/>
  <c r="F10" i="110"/>
  <c r="F95" i="110" s="1"/>
  <c r="G95" i="110" s="1"/>
  <c r="J10" i="110"/>
  <c r="I10" i="181" s="1"/>
  <c r="K10" i="110"/>
  <c r="J10" i="181" s="1"/>
  <c r="L10" i="110"/>
  <c r="K10" i="181" s="1"/>
  <c r="M10" i="110"/>
  <c r="N10" i="110"/>
  <c r="M10" i="181" s="1"/>
  <c r="O10" i="110"/>
  <c r="N10" i="181" s="1"/>
  <c r="P10" i="110"/>
  <c r="O10" i="181" s="1"/>
  <c r="Q10" i="110"/>
  <c r="P10" i="181" s="1"/>
  <c r="R10" i="110"/>
  <c r="Q10" i="181" s="1"/>
  <c r="S10" i="110"/>
  <c r="R10" i="181" s="1"/>
  <c r="T10" i="110"/>
  <c r="S10" i="181" s="1"/>
  <c r="U10" i="110"/>
  <c r="F11" i="110"/>
  <c r="F96" i="110" s="1"/>
  <c r="H96" i="110" s="1"/>
  <c r="AB96" i="110" s="1"/>
  <c r="AE96" i="110" s="1"/>
  <c r="J11" i="110"/>
  <c r="I11" i="181" s="1"/>
  <c r="K11" i="110"/>
  <c r="L11" i="110"/>
  <c r="K11" i="181" s="1"/>
  <c r="M11" i="110"/>
  <c r="L11" i="181" s="1"/>
  <c r="N11" i="110"/>
  <c r="O11" i="110"/>
  <c r="N11" i="181" s="1"/>
  <c r="P11" i="110"/>
  <c r="Q11" i="110"/>
  <c r="P11" i="181" s="1"/>
  <c r="R11" i="110"/>
  <c r="Q11" i="181" s="1"/>
  <c r="S11" i="110"/>
  <c r="R11" i="181" s="1"/>
  <c r="T11" i="110"/>
  <c r="S11" i="181" s="1"/>
  <c r="U11" i="110"/>
  <c r="T11" i="181" s="1"/>
  <c r="F13" i="110"/>
  <c r="F98" i="110" s="1"/>
  <c r="J13" i="110"/>
  <c r="K13" i="110"/>
  <c r="L13" i="110"/>
  <c r="M13" i="110"/>
  <c r="N13" i="110"/>
  <c r="O13" i="110"/>
  <c r="P13" i="110"/>
  <c r="Q13" i="110"/>
  <c r="R13" i="110"/>
  <c r="S13" i="110"/>
  <c r="T13" i="110"/>
  <c r="U13" i="110"/>
  <c r="F14" i="110"/>
  <c r="H14" i="110" s="1"/>
  <c r="AB14" i="110" s="1"/>
  <c r="AE14" i="110" s="1"/>
  <c r="J14" i="110"/>
  <c r="K14" i="110"/>
  <c r="L14" i="110"/>
  <c r="M14" i="110"/>
  <c r="N14" i="110"/>
  <c r="O14" i="110"/>
  <c r="P14" i="110"/>
  <c r="Q14" i="110"/>
  <c r="R14" i="110"/>
  <c r="S14" i="110"/>
  <c r="T14" i="110"/>
  <c r="U14" i="110"/>
  <c r="F15" i="110"/>
  <c r="F100" i="110" s="1"/>
  <c r="G100" i="110" s="1"/>
  <c r="J15" i="110"/>
  <c r="K15" i="110"/>
  <c r="L15" i="110"/>
  <c r="M15" i="110"/>
  <c r="N15" i="110"/>
  <c r="O15" i="110"/>
  <c r="P15" i="110"/>
  <c r="Q15" i="110"/>
  <c r="R15" i="110"/>
  <c r="S15" i="110"/>
  <c r="T15" i="110"/>
  <c r="U15" i="110"/>
  <c r="F16" i="110"/>
  <c r="F101" i="110" s="1"/>
  <c r="J16" i="110"/>
  <c r="K16" i="110"/>
  <c r="J16" i="181" s="1"/>
  <c r="J35" i="181" s="1"/>
  <c r="L16" i="110"/>
  <c r="K16" i="181" s="1"/>
  <c r="K35" i="181" s="1"/>
  <c r="M16" i="110"/>
  <c r="L16" i="181" s="1"/>
  <c r="L35" i="181" s="1"/>
  <c r="N16" i="110"/>
  <c r="M16" i="181" s="1"/>
  <c r="M35" i="181" s="1"/>
  <c r="O16" i="110"/>
  <c r="N16" i="181" s="1"/>
  <c r="N35" i="181" s="1"/>
  <c r="P16" i="110"/>
  <c r="O16" i="181" s="1"/>
  <c r="O35" i="181" s="1"/>
  <c r="Q16" i="110"/>
  <c r="P16" i="181" s="1"/>
  <c r="P35" i="181" s="1"/>
  <c r="R16" i="110"/>
  <c r="Q16" i="181" s="1"/>
  <c r="Q35" i="181" s="1"/>
  <c r="S16" i="110"/>
  <c r="R16" i="181" s="1"/>
  <c r="R35" i="181" s="1"/>
  <c r="T16" i="110"/>
  <c r="S16" i="181" s="1"/>
  <c r="S35" i="181" s="1"/>
  <c r="U16" i="110"/>
  <c r="T16" i="181" s="1"/>
  <c r="T35" i="181" s="1"/>
  <c r="F17" i="110"/>
  <c r="G17" i="110" s="1"/>
  <c r="AA17" i="110" s="1"/>
  <c r="AD17" i="110" s="1"/>
  <c r="J17" i="110"/>
  <c r="I17" i="181" s="1"/>
  <c r="I34" i="181" s="1"/>
  <c r="K17" i="110"/>
  <c r="J17" i="181" s="1"/>
  <c r="L17" i="110"/>
  <c r="K17" i="181" s="1"/>
  <c r="K36" i="181" s="1"/>
  <c r="M17" i="110"/>
  <c r="N17" i="110"/>
  <c r="M17" i="181" s="1"/>
  <c r="O17" i="110"/>
  <c r="N17" i="181" s="1"/>
  <c r="P17" i="110"/>
  <c r="O17" i="181" s="1"/>
  <c r="Q17" i="110"/>
  <c r="P17" i="181" s="1"/>
  <c r="R17" i="110"/>
  <c r="Q17" i="181" s="1"/>
  <c r="Q34" i="181" s="1"/>
  <c r="S17" i="110"/>
  <c r="R17" i="181" s="1"/>
  <c r="R34" i="181" s="1"/>
  <c r="T17" i="110"/>
  <c r="S17" i="181" s="1"/>
  <c r="S34" i="181" s="1"/>
  <c r="U17" i="110"/>
  <c r="T17" i="181" s="1"/>
  <c r="F18" i="110"/>
  <c r="G18" i="110" s="1"/>
  <c r="AA18" i="110" s="1"/>
  <c r="AD18" i="110" s="1"/>
  <c r="J18" i="110"/>
  <c r="K18" i="110"/>
  <c r="L18" i="110"/>
  <c r="M18" i="110"/>
  <c r="N18" i="110"/>
  <c r="O18" i="110"/>
  <c r="P18" i="110"/>
  <c r="Q18" i="110"/>
  <c r="R18" i="110"/>
  <c r="S18" i="110"/>
  <c r="T18" i="110"/>
  <c r="U18" i="110"/>
  <c r="F12" i="110"/>
  <c r="J12" i="110"/>
  <c r="K12" i="110"/>
  <c r="L12" i="110"/>
  <c r="M12" i="110"/>
  <c r="N12" i="110"/>
  <c r="O12" i="110"/>
  <c r="P12" i="110"/>
  <c r="Q12" i="110"/>
  <c r="R12" i="110"/>
  <c r="S12" i="110"/>
  <c r="T12" i="110"/>
  <c r="U12" i="110"/>
  <c r="F20" i="110"/>
  <c r="F105" i="110" s="1"/>
  <c r="H105" i="110" s="1"/>
  <c r="AB105" i="110" s="1"/>
  <c r="AE105" i="110" s="1"/>
  <c r="J20" i="110"/>
  <c r="A17" i="197"/>
  <c r="C17" i="197" s="1"/>
  <c r="A18" i="197"/>
  <c r="C18" i="197" s="1"/>
  <c r="A19" i="197"/>
  <c r="C19" i="197" s="1"/>
  <c r="A20" i="197"/>
  <c r="C20" i="197" s="1"/>
  <c r="A21" i="197"/>
  <c r="C21" i="197" s="1"/>
  <c r="A22" i="197"/>
  <c r="C22" i="197" s="1"/>
  <c r="A23" i="197"/>
  <c r="C23" i="197" s="1"/>
  <c r="A24" i="197"/>
  <c r="C24" i="197" s="1"/>
  <c r="A25" i="197"/>
  <c r="C25" i="197" s="1"/>
  <c r="A26" i="197"/>
  <c r="C26" i="197" s="1"/>
  <c r="A27" i="197"/>
  <c r="C27" i="197" s="1"/>
  <c r="A28" i="197"/>
  <c r="C28" i="197" s="1"/>
  <c r="A30" i="197"/>
  <c r="C30" i="197" s="1"/>
  <c r="A31" i="197"/>
  <c r="C31" i="197" s="1"/>
  <c r="A33" i="197"/>
  <c r="C33" i="197" s="1"/>
  <c r="A34" i="197"/>
  <c r="C34" i="197" s="1"/>
  <c r="A35" i="197"/>
  <c r="C35" i="197" s="1"/>
  <c r="A36" i="197"/>
  <c r="C36" i="197" s="1"/>
  <c r="A37" i="197"/>
  <c r="C37" i="197" s="1"/>
  <c r="A38" i="197"/>
  <c r="C40" i="197"/>
  <c r="C42" i="197"/>
  <c r="C43" i="197"/>
  <c r="C44" i="197"/>
  <c r="E390" i="110" s="1"/>
  <c r="C45" i="197"/>
  <c r="E387" i="110" s="1"/>
  <c r="C46" i="197"/>
  <c r="C47" i="197"/>
  <c r="C48" i="197"/>
  <c r="E391" i="110" s="1"/>
  <c r="C50" i="197"/>
  <c r="E388" i="110" s="1"/>
  <c r="A52" i="197"/>
  <c r="C52" i="197" s="1"/>
  <c r="A53" i="197"/>
  <c r="C53" i="197" s="1"/>
  <c r="A54" i="197"/>
  <c r="C54" i="197" s="1"/>
  <c r="A55" i="197"/>
  <c r="C55" i="197" s="1"/>
  <c r="A56" i="197"/>
  <c r="C56" i="197" s="1"/>
  <c r="A57" i="197"/>
  <c r="C57" i="197" s="1"/>
  <c r="A58" i="197"/>
  <c r="C58" i="197" s="1"/>
  <c r="A59" i="197"/>
  <c r="C59" i="197" s="1"/>
  <c r="A60" i="197"/>
  <c r="C60" i="197" s="1"/>
  <c r="A61" i="197"/>
  <c r="C61" i="197" s="1"/>
  <c r="A62" i="197"/>
  <c r="C62" i="197" s="1"/>
  <c r="A63" i="197"/>
  <c r="C63" i="197" s="1"/>
  <c r="A64" i="197"/>
  <c r="C64" i="197" s="1"/>
  <c r="A65" i="197"/>
  <c r="C65" i="197" s="1"/>
  <c r="A66" i="197"/>
  <c r="C66" i="197" s="1"/>
  <c r="A67" i="197"/>
  <c r="C67" i="197" s="1"/>
  <c r="A68" i="197"/>
  <c r="C68" i="197" s="1"/>
  <c r="A69" i="197"/>
  <c r="C69" i="197" s="1"/>
  <c r="A70" i="197"/>
  <c r="C70" i="197" s="1"/>
  <c r="A71" i="197"/>
  <c r="C71" i="197" s="1"/>
  <c r="A72" i="197"/>
  <c r="C72" i="197" s="1"/>
  <c r="A73" i="197"/>
  <c r="C73" i="197" s="1"/>
  <c r="A74" i="197"/>
  <c r="C74" i="197" s="1"/>
  <c r="A75" i="197"/>
  <c r="C75" i="197" s="1"/>
  <c r="A76" i="197"/>
  <c r="C76" i="197" s="1"/>
  <c r="A77" i="197"/>
  <c r="C77" i="197" s="1"/>
  <c r="A78" i="197"/>
  <c r="C78" i="197" s="1"/>
  <c r="A79" i="197"/>
  <c r="C79" i="197" s="1"/>
  <c r="A80" i="197"/>
  <c r="C80" i="197" s="1"/>
  <c r="A81" i="197"/>
  <c r="C81" i="197" s="1"/>
  <c r="A82" i="197"/>
  <c r="C82" i="197" s="1"/>
  <c r="A83" i="197"/>
  <c r="C83" i="197" s="1"/>
  <c r="A84" i="197"/>
  <c r="C84" i="197" s="1"/>
  <c r="A85" i="197"/>
  <c r="C85" i="197" s="1"/>
  <c r="A86" i="197"/>
  <c r="C86" i="197" s="1"/>
  <c r="A87" i="197"/>
  <c r="C87" i="197" s="1"/>
  <c r="A88" i="197"/>
  <c r="C88" i="197" s="1"/>
  <c r="A89" i="197"/>
  <c r="C89" i="197" s="1"/>
  <c r="A90" i="197"/>
  <c r="C90" i="197" s="1"/>
  <c r="A91" i="197"/>
  <c r="C91" i="197" s="1"/>
  <c r="A92" i="197"/>
  <c r="C92" i="197" s="1"/>
  <c r="A93" i="197"/>
  <c r="C93" i="197" s="1"/>
  <c r="A94" i="197"/>
  <c r="C94" i="197" s="1"/>
  <c r="A95" i="197"/>
  <c r="C95" i="197" s="1"/>
  <c r="A96" i="197"/>
  <c r="C96" i="197" s="1"/>
  <c r="A97" i="197"/>
  <c r="C97" i="197" s="1"/>
  <c r="A98" i="197"/>
  <c r="C98" i="197" s="1"/>
  <c r="A99" i="197"/>
  <c r="C99" i="197" s="1"/>
  <c r="A100" i="197"/>
  <c r="C100" i="197" s="1"/>
  <c r="A101" i="197"/>
  <c r="C101" i="197" s="1"/>
  <c r="A102" i="197"/>
  <c r="C102" i="197" s="1"/>
  <c r="A103" i="197"/>
  <c r="C103" i="197" s="1"/>
  <c r="A104" i="197"/>
  <c r="C104" i="197" s="1"/>
  <c r="A105" i="197"/>
  <c r="C105" i="197" s="1"/>
  <c r="A106" i="197"/>
  <c r="C106" i="197" s="1"/>
  <c r="A107" i="197"/>
  <c r="C107" i="197" s="1"/>
  <c r="A108" i="197"/>
  <c r="C108" i="197" s="1"/>
  <c r="A109" i="197"/>
  <c r="C109" i="197" s="1"/>
  <c r="A110" i="197"/>
  <c r="C110" i="197" s="1"/>
  <c r="A111" i="197"/>
  <c r="C111" i="197" s="1"/>
  <c r="A112" i="197"/>
  <c r="C112" i="197" s="1"/>
  <c r="A113" i="197"/>
  <c r="C113" i="197" s="1"/>
  <c r="A114" i="197"/>
  <c r="C114" i="197" s="1"/>
  <c r="A115" i="197"/>
  <c r="C115" i="197" s="1"/>
  <c r="A116" i="197"/>
  <c r="C116" i="197" s="1"/>
  <c r="A117" i="197"/>
  <c r="C117" i="197" s="1"/>
  <c r="A118" i="197"/>
  <c r="C118" i="197" s="1"/>
  <c r="A119" i="197"/>
  <c r="C119" i="197" s="1"/>
  <c r="A120" i="197"/>
  <c r="C120" i="197" s="1"/>
  <c r="A121" i="197"/>
  <c r="C121" i="197" s="1"/>
  <c r="A122" i="197"/>
  <c r="C122" i="197" s="1"/>
  <c r="A123" i="197"/>
  <c r="C123" i="197" s="1"/>
  <c r="A124" i="197"/>
  <c r="C124" i="197" s="1"/>
  <c r="A125" i="197"/>
  <c r="C125" i="197" s="1"/>
  <c r="A126" i="197"/>
  <c r="C126" i="197" s="1"/>
  <c r="A127" i="197"/>
  <c r="C127" i="197" s="1"/>
  <c r="F21" i="110"/>
  <c r="F106" i="110" s="1"/>
  <c r="F22" i="110"/>
  <c r="F107" i="110" s="1"/>
  <c r="F23" i="110"/>
  <c r="H23" i="110" s="1"/>
  <c r="AB23" i="110" s="1"/>
  <c r="AE23" i="110" s="1"/>
  <c r="F24" i="110"/>
  <c r="F109" i="110" s="1"/>
  <c r="H109" i="110" s="1"/>
  <c r="AB109" i="110" s="1"/>
  <c r="AE109" i="110" s="1"/>
  <c r="F25" i="110"/>
  <c r="F110" i="110" s="1"/>
  <c r="I110" i="110" s="1"/>
  <c r="AA27" i="110"/>
  <c r="AD27" i="110" s="1"/>
  <c r="AC31" i="110"/>
  <c r="AF31" i="110" s="1"/>
  <c r="AC34" i="110"/>
  <c r="AF34" i="110" s="1"/>
  <c r="AC35" i="110"/>
  <c r="AF35" i="110" s="1"/>
  <c r="F39" i="110"/>
  <c r="F40" i="110"/>
  <c r="F41" i="110"/>
  <c r="F126" i="110" s="1"/>
  <c r="F42" i="110"/>
  <c r="F127" i="110" s="1"/>
  <c r="F43" i="110"/>
  <c r="F128" i="110" s="1"/>
  <c r="H128" i="110" s="1"/>
  <c r="AB128" i="110" s="1"/>
  <c r="AE128" i="110" s="1"/>
  <c r="F44" i="110"/>
  <c r="F129" i="110" s="1"/>
  <c r="G129" i="110" s="1"/>
  <c r="F45" i="110"/>
  <c r="F130" i="110" s="1"/>
  <c r="F46" i="110"/>
  <c r="G46" i="110" s="1"/>
  <c r="AA46" i="110" s="1"/>
  <c r="AD46" i="110" s="1"/>
  <c r="F47" i="110"/>
  <c r="F48" i="110"/>
  <c r="F133" i="110" s="1"/>
  <c r="F49" i="110"/>
  <c r="Y49" i="110" s="1"/>
  <c r="F50" i="110"/>
  <c r="F51" i="110"/>
  <c r="F136" i="110" s="1"/>
  <c r="F52" i="110"/>
  <c r="F137" i="110" s="1"/>
  <c r="H137" i="110" s="1"/>
  <c r="AB137" i="110" s="1"/>
  <c r="AE137" i="110" s="1"/>
  <c r="F53" i="110"/>
  <c r="F138" i="110" s="1"/>
  <c r="F54" i="110"/>
  <c r="F139" i="110" s="1"/>
  <c r="F55" i="110"/>
  <c r="F140" i="110" s="1"/>
  <c r="F56" i="110"/>
  <c r="I56" i="110" s="1"/>
  <c r="AC56" i="110" s="1"/>
  <c r="AF56" i="110" s="1"/>
  <c r="F57" i="110"/>
  <c r="F142" i="110" s="1"/>
  <c r="G142" i="110" s="1"/>
  <c r="AA142" i="110" s="1"/>
  <c r="AD142" i="110" s="1"/>
  <c r="F58" i="110"/>
  <c r="F143" i="110" s="1"/>
  <c r="G143" i="110" s="1"/>
  <c r="AA143" i="110" s="1"/>
  <c r="AD143" i="110" s="1"/>
  <c r="F59" i="110"/>
  <c r="F60" i="110"/>
  <c r="I60" i="110" s="1"/>
  <c r="AC60" i="110" s="1"/>
  <c r="AF60" i="110" s="1"/>
  <c r="F61" i="110"/>
  <c r="F146" i="110" s="1"/>
  <c r="F62" i="110"/>
  <c r="F147" i="110" s="1"/>
  <c r="F148" i="58"/>
  <c r="F63" i="110" s="1"/>
  <c r="F149" i="58"/>
  <c r="F64" i="110" s="1"/>
  <c r="F149" i="110" s="1"/>
  <c r="F150" i="58"/>
  <c r="F65" i="110" s="1"/>
  <c r="F151" i="58"/>
  <c r="F66" i="110" s="1"/>
  <c r="F152" i="58"/>
  <c r="F67" i="110" s="1"/>
  <c r="F153" i="58"/>
  <c r="F68" i="110" s="1"/>
  <c r="I68" i="110" s="1"/>
  <c r="AC68" i="110" s="1"/>
  <c r="AF68" i="110" s="1"/>
  <c r="F154" i="58"/>
  <c r="F69" i="110" s="1"/>
  <c r="F155" i="58"/>
  <c r="F70" i="110" s="1"/>
  <c r="F155" i="110" s="1"/>
  <c r="F156" i="58"/>
  <c r="F71" i="110" s="1"/>
  <c r="F157" i="58"/>
  <c r="F72" i="110" s="1"/>
  <c r="F157" i="110" s="1"/>
  <c r="F73" i="110"/>
  <c r="H73" i="110" s="1"/>
  <c r="AB73" i="110" s="1"/>
  <c r="AE73" i="110" s="1"/>
  <c r="F74" i="110"/>
  <c r="F159" i="110" s="1"/>
  <c r="F75" i="110"/>
  <c r="F160" i="110" s="1"/>
  <c r="G160" i="110" s="1"/>
  <c r="F161" i="58"/>
  <c r="F76" i="110" s="1"/>
  <c r="J77" i="110"/>
  <c r="J162" i="110" s="1"/>
  <c r="L73" i="137" s="1"/>
  <c r="K77" i="110"/>
  <c r="L77" i="110"/>
  <c r="L162" i="110" s="1"/>
  <c r="N73" i="137" s="1"/>
  <c r="M77" i="110"/>
  <c r="M162" i="110" s="1"/>
  <c r="N77" i="110"/>
  <c r="N162" i="110" s="1"/>
  <c r="P73" i="137" s="1"/>
  <c r="O77" i="110"/>
  <c r="O162" i="110" s="1"/>
  <c r="P77" i="110"/>
  <c r="P162" i="110" s="1"/>
  <c r="Q77" i="110"/>
  <c r="Q162" i="110" s="1"/>
  <c r="R77" i="110"/>
  <c r="R162" i="110" s="1"/>
  <c r="T73" i="137" s="1"/>
  <c r="S77" i="110"/>
  <c r="S162" i="110" s="1"/>
  <c r="T77" i="110"/>
  <c r="U77" i="110"/>
  <c r="U162" i="110" s="1"/>
  <c r="W73" i="137" s="1"/>
  <c r="J78" i="110"/>
  <c r="J163" i="110" s="1"/>
  <c r="L74" i="137" s="1"/>
  <c r="K78" i="110"/>
  <c r="K163" i="110" s="1"/>
  <c r="L78" i="110"/>
  <c r="L163" i="110" s="1"/>
  <c r="N74" i="137" s="1"/>
  <c r="M78" i="110"/>
  <c r="M163" i="110" s="1"/>
  <c r="O74" i="137" s="1"/>
  <c r="N78" i="110"/>
  <c r="N163" i="110" s="1"/>
  <c r="P74" i="137" s="1"/>
  <c r="O78" i="110"/>
  <c r="O163" i="110" s="1"/>
  <c r="P78" i="110"/>
  <c r="P163" i="110" s="1"/>
  <c r="Q78" i="110"/>
  <c r="Q163" i="110" s="1"/>
  <c r="R78" i="110"/>
  <c r="R163" i="110" s="1"/>
  <c r="T74" i="137" s="1"/>
  <c r="S78" i="110"/>
  <c r="S163" i="110" s="1"/>
  <c r="U74" i="137" s="1"/>
  <c r="T78" i="110"/>
  <c r="T163" i="110" s="1"/>
  <c r="V74" i="137" s="1"/>
  <c r="U78" i="110"/>
  <c r="J79" i="110"/>
  <c r="J164" i="110" s="1"/>
  <c r="L75" i="137" s="1"/>
  <c r="K79" i="110"/>
  <c r="K164" i="110" s="1"/>
  <c r="L79" i="110"/>
  <c r="L164" i="110" s="1"/>
  <c r="N75" i="137" s="1"/>
  <c r="M79" i="110"/>
  <c r="M164" i="110" s="1"/>
  <c r="O75" i="137" s="1"/>
  <c r="N79" i="110"/>
  <c r="N164" i="110" s="1"/>
  <c r="P75" i="137" s="1"/>
  <c r="O79" i="110"/>
  <c r="O164" i="110" s="1"/>
  <c r="Q75" i="137" s="1"/>
  <c r="P79" i="110"/>
  <c r="P164" i="110" s="1"/>
  <c r="R75" i="137" s="1"/>
  <c r="Q79" i="110"/>
  <c r="Q164" i="110" s="1"/>
  <c r="R79" i="110"/>
  <c r="R164" i="110" s="1"/>
  <c r="T75" i="137" s="1"/>
  <c r="S79" i="110"/>
  <c r="S164" i="110" s="1"/>
  <c r="U75" i="137" s="1"/>
  <c r="T79" i="110"/>
  <c r="T164" i="110" s="1"/>
  <c r="V75" i="137" s="1"/>
  <c r="U79" i="110"/>
  <c r="U164" i="110" s="1"/>
  <c r="W75" i="137" s="1"/>
  <c r="J80" i="110"/>
  <c r="J165" i="110" s="1"/>
  <c r="L76" i="137" s="1"/>
  <c r="K80" i="110"/>
  <c r="K165" i="110" s="1"/>
  <c r="M76" i="137" s="1"/>
  <c r="L80" i="110"/>
  <c r="L165" i="110" s="1"/>
  <c r="N76" i="137" s="1"/>
  <c r="M80" i="110"/>
  <c r="N80" i="110"/>
  <c r="N165" i="110" s="1"/>
  <c r="P76" i="137" s="1"/>
  <c r="O80" i="110"/>
  <c r="O165" i="110" s="1"/>
  <c r="Q76" i="137" s="1"/>
  <c r="P80" i="110"/>
  <c r="P165" i="110" s="1"/>
  <c r="R76" i="137" s="1"/>
  <c r="Q80" i="110"/>
  <c r="Q165" i="110" s="1"/>
  <c r="S76" i="137" s="1"/>
  <c r="R80" i="110"/>
  <c r="R165" i="110" s="1"/>
  <c r="S80" i="110"/>
  <c r="S165" i="110" s="1"/>
  <c r="U76" i="137" s="1"/>
  <c r="T80" i="110"/>
  <c r="T165" i="110" s="1"/>
  <c r="V76" i="137" s="1"/>
  <c r="U80" i="110"/>
  <c r="U165" i="110" s="1"/>
  <c r="J81" i="110"/>
  <c r="J166" i="110" s="1"/>
  <c r="L77" i="137" s="1"/>
  <c r="K81" i="110"/>
  <c r="L81" i="110"/>
  <c r="L166" i="110" s="1"/>
  <c r="N77" i="137" s="1"/>
  <c r="M81" i="110"/>
  <c r="M166" i="110" s="1"/>
  <c r="N81" i="110"/>
  <c r="N166" i="110" s="1"/>
  <c r="P77" i="137" s="1"/>
  <c r="O81" i="110"/>
  <c r="P81" i="110"/>
  <c r="P166" i="110" s="1"/>
  <c r="R77" i="137" s="1"/>
  <c r="Q81" i="110"/>
  <c r="Q166" i="110" s="1"/>
  <c r="R81" i="110"/>
  <c r="S81" i="110"/>
  <c r="S166" i="110" s="1"/>
  <c r="T81" i="110"/>
  <c r="T166" i="110" s="1"/>
  <c r="V77" i="137" s="1"/>
  <c r="U81" i="110"/>
  <c r="U166" i="110" s="1"/>
  <c r="W77" i="137" s="1"/>
  <c r="J82" i="110"/>
  <c r="K82" i="110"/>
  <c r="K167" i="110" s="1"/>
  <c r="L82" i="110"/>
  <c r="L167" i="110" s="1"/>
  <c r="N78" i="137" s="1"/>
  <c r="M82" i="110"/>
  <c r="M167" i="110" s="1"/>
  <c r="O78" i="137" s="1"/>
  <c r="N82" i="110"/>
  <c r="N167" i="110" s="1"/>
  <c r="P78" i="137" s="1"/>
  <c r="O82" i="110"/>
  <c r="P82" i="110"/>
  <c r="P167" i="110" s="1"/>
  <c r="R78" i="137" s="1"/>
  <c r="Q82" i="110"/>
  <c r="Q167" i="110" s="1"/>
  <c r="R82" i="110"/>
  <c r="R167" i="110" s="1"/>
  <c r="T78" i="137" s="1"/>
  <c r="S82" i="110"/>
  <c r="S167" i="110" s="1"/>
  <c r="T82" i="110"/>
  <c r="T167" i="110" s="1"/>
  <c r="V78" i="137" s="1"/>
  <c r="U82" i="110"/>
  <c r="U167" i="110" s="1"/>
  <c r="W78" i="137" s="1"/>
  <c r="F86" i="137"/>
  <c r="F87" i="137"/>
  <c r="F88" i="137"/>
  <c r="F89" i="137"/>
  <c r="F90" i="137"/>
  <c r="F91" i="137"/>
  <c r="F92" i="137"/>
  <c r="F93" i="137"/>
  <c r="F94" i="137"/>
  <c r="F95" i="137"/>
  <c r="F96" i="137"/>
  <c r="F97" i="137"/>
  <c r="F98" i="137"/>
  <c r="A128" i="197"/>
  <c r="C128" i="197" s="1"/>
  <c r="E243" i="58"/>
  <c r="E242" i="58"/>
  <c r="E241" i="58"/>
  <c r="E240" i="58"/>
  <c r="E239" i="58"/>
  <c r="E238" i="58"/>
  <c r="E237" i="58"/>
  <c r="E236" i="58"/>
  <c r="E235" i="58"/>
  <c r="E234" i="58"/>
  <c r="E233" i="58"/>
  <c r="E232" i="58"/>
  <c r="E231" i="58"/>
  <c r="E230" i="58"/>
  <c r="E229" i="58"/>
  <c r="E228" i="58"/>
  <c r="E224" i="58"/>
  <c r="E223" i="58"/>
  <c r="E222" i="58"/>
  <c r="E220" i="58"/>
  <c r="E214" i="58"/>
  <c r="E213" i="58"/>
  <c r="E211" i="58"/>
  <c r="E208" i="58"/>
  <c r="E206" i="58"/>
  <c r="E204" i="58"/>
  <c r="E201" i="58"/>
  <c r="E198" i="58"/>
  <c r="E196" i="58"/>
  <c r="E192" i="58"/>
  <c r="E191" i="58"/>
  <c r="E188" i="58"/>
  <c r="E187" i="58"/>
  <c r="E185" i="58"/>
  <c r="E184" i="58"/>
  <c r="E182" i="58"/>
  <c r="E181" i="58"/>
  <c r="E180" i="58"/>
  <c r="E179" i="58"/>
  <c r="E178" i="58"/>
  <c r="E177" i="58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2" i="137"/>
  <c r="F131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9" i="137"/>
  <c r="F118" i="137"/>
  <c r="F117" i="137"/>
  <c r="F116" i="137"/>
  <c r="F115" i="137"/>
  <c r="F114" i="137"/>
  <c r="F113" i="137"/>
  <c r="F112" i="137"/>
  <c r="F111" i="137"/>
  <c r="F110" i="137"/>
  <c r="F109" i="137"/>
  <c r="F108" i="137"/>
  <c r="F107" i="137"/>
  <c r="F106" i="137"/>
  <c r="F105" i="137"/>
  <c r="F104" i="137"/>
  <c r="F103" i="137"/>
  <c r="F102" i="137"/>
  <c r="F101" i="137"/>
  <c r="F100" i="137"/>
  <c r="F99" i="137"/>
  <c r="J104" i="197"/>
  <c r="J103" i="197"/>
  <c r="J102" i="197"/>
  <c r="J101" i="197"/>
  <c r="J100" i="197"/>
  <c r="J99" i="197"/>
  <c r="K99" i="197" s="1"/>
  <c r="J98" i="197"/>
  <c r="J97" i="197"/>
  <c r="J96" i="197"/>
  <c r="I48" i="110"/>
  <c r="AC48" i="110" s="1"/>
  <c r="AF48" i="110" s="1"/>
  <c r="AC37" i="110"/>
  <c r="AF37" i="110" s="1"/>
  <c r="AB37" i="110"/>
  <c r="AE37" i="110" s="1"/>
  <c r="AA37" i="110"/>
  <c r="AD37" i="110" s="1"/>
  <c r="AC33" i="110"/>
  <c r="AF33" i="110" s="1"/>
  <c r="AB33" i="110"/>
  <c r="AE33" i="110" s="1"/>
  <c r="AA33" i="110"/>
  <c r="AD33" i="110" s="1"/>
  <c r="AC32" i="110"/>
  <c r="AF32" i="110" s="1"/>
  <c r="AB32" i="110"/>
  <c r="AE32" i="110" s="1"/>
  <c r="AA32" i="110"/>
  <c r="AD32" i="110" s="1"/>
  <c r="AC29" i="110"/>
  <c r="AF29" i="110" s="1"/>
  <c r="AB29" i="110"/>
  <c r="AE29" i="110" s="1"/>
  <c r="AA29" i="110"/>
  <c r="AD29" i="110" s="1"/>
  <c r="G20" i="110"/>
  <c r="AA20" i="110" s="1"/>
  <c r="AD20" i="110" s="1"/>
  <c r="G11" i="110"/>
  <c r="AA11" i="110" s="1"/>
  <c r="AD11" i="110" s="1"/>
  <c r="G55" i="178"/>
  <c r="N55" i="178"/>
  <c r="P55" i="178"/>
  <c r="R55" i="178"/>
  <c r="S55" i="178"/>
  <c r="G49" i="178"/>
  <c r="G18" i="178"/>
  <c r="M18" i="178" s="1"/>
  <c r="G17" i="178"/>
  <c r="G16" i="178"/>
  <c r="G15" i="178"/>
  <c r="G22" i="178"/>
  <c r="H22" i="178" s="1"/>
  <c r="G9" i="178"/>
  <c r="M10" i="178" s="1"/>
  <c r="R10" i="178"/>
  <c r="Q7" i="178"/>
  <c r="Q10" i="178" s="1"/>
  <c r="P7" i="178"/>
  <c r="O7" i="178"/>
  <c r="N10" i="178"/>
  <c r="L10" i="178"/>
  <c r="K10" i="178"/>
  <c r="J5" i="178"/>
  <c r="I5" i="178"/>
  <c r="I8" i="178"/>
  <c r="T8" i="178" s="1"/>
  <c r="H10" i="178"/>
  <c r="G50" i="178"/>
  <c r="I50" i="178" s="1"/>
  <c r="G51" i="178"/>
  <c r="I51" i="178" s="1"/>
  <c r="G52" i="178"/>
  <c r="H52" i="178" s="1"/>
  <c r="G53" i="178"/>
  <c r="H53" i="178" s="1"/>
  <c r="G54" i="178"/>
  <c r="T54" i="178" s="1"/>
  <c r="G19" i="178"/>
  <c r="G23" i="178"/>
  <c r="G21" i="178"/>
  <c r="I21" i="178" s="1"/>
  <c r="G33" i="178"/>
  <c r="I33" i="178" s="1"/>
  <c r="G11" i="178"/>
  <c r="J11" i="178" s="1"/>
  <c r="G25" i="178"/>
  <c r="J25" i="178" s="1"/>
  <c r="K47" i="178"/>
  <c r="G12" i="178"/>
  <c r="O12" i="178" s="1"/>
  <c r="K14" i="178"/>
  <c r="G26" i="178"/>
  <c r="M26" i="178" s="1"/>
  <c r="L47" i="178"/>
  <c r="M57" i="178"/>
  <c r="I78" i="178"/>
  <c r="K78" i="178" s="1"/>
  <c r="G8" i="178"/>
  <c r="D50" i="138"/>
  <c r="E50" i="138" s="1"/>
  <c r="F50" i="138" s="1"/>
  <c r="G50" i="138" s="1"/>
  <c r="H50" i="138" s="1"/>
  <c r="I50" i="138" s="1"/>
  <c r="J50" i="138" s="1"/>
  <c r="K50" i="138" s="1"/>
  <c r="L50" i="138" s="1"/>
  <c r="M50" i="138" s="1"/>
  <c r="N50" i="138" s="1"/>
  <c r="O50" i="138" s="1"/>
  <c r="G48" i="178"/>
  <c r="E46" i="133"/>
  <c r="B50" i="133"/>
  <c r="B49" i="133"/>
  <c r="G9" i="133"/>
  <c r="E23" i="124"/>
  <c r="G376" i="110"/>
  <c r="G58" i="178"/>
  <c r="H58" i="178" s="1"/>
  <c r="T58" i="178" s="1"/>
  <c r="T59" i="178"/>
  <c r="D128" i="197"/>
  <c r="E128" i="197"/>
  <c r="G59" i="178"/>
  <c r="G57" i="178"/>
  <c r="G56" i="178"/>
  <c r="O56" i="178" s="1"/>
  <c r="P56" i="178" s="1"/>
  <c r="Q56" i="178" s="1"/>
  <c r="G47" i="178"/>
  <c r="G45" i="178"/>
  <c r="S45" i="178" s="1"/>
  <c r="G44" i="178"/>
  <c r="S44" i="178" s="1"/>
  <c r="G43" i="178"/>
  <c r="S43" i="178" s="1"/>
  <c r="G34" i="178"/>
  <c r="P34" i="178" s="1"/>
  <c r="G7" i="178"/>
  <c r="G5" i="178"/>
  <c r="X77" i="58"/>
  <c r="X78" i="58"/>
  <c r="X79" i="58"/>
  <c r="X80" i="58"/>
  <c r="X81" i="58"/>
  <c r="X82" i="58"/>
  <c r="X83" i="58"/>
  <c r="C62" i="133"/>
  <c r="C58" i="133"/>
  <c r="I46" i="133"/>
  <c r="T20" i="178"/>
  <c r="S56" i="178"/>
  <c r="E135" i="133"/>
  <c r="E134" i="133"/>
  <c r="F36" i="133"/>
  <c r="T13" i="178"/>
  <c r="T24" i="178"/>
  <c r="O252" i="58"/>
  <c r="P252" i="58"/>
  <c r="P254" i="58"/>
  <c r="P63" i="35"/>
  <c r="O63" i="35"/>
  <c r="N63" i="35"/>
  <c r="M63" i="35"/>
  <c r="L63" i="35"/>
  <c r="K63" i="35"/>
  <c r="J63" i="35"/>
  <c r="I63" i="35"/>
  <c r="H63" i="35"/>
  <c r="G63" i="35"/>
  <c r="F63" i="35"/>
  <c r="E63" i="35"/>
  <c r="F5" i="119"/>
  <c r="F4" i="119"/>
  <c r="X20" i="58"/>
  <c r="X21" i="58"/>
  <c r="X22" i="58"/>
  <c r="X23" i="58"/>
  <c r="X24" i="58"/>
  <c r="X25" i="58"/>
  <c r="X27" i="58"/>
  <c r="X29" i="58"/>
  <c r="X30" i="58"/>
  <c r="X31" i="58"/>
  <c r="X32" i="58"/>
  <c r="X33" i="58"/>
  <c r="X34" i="58"/>
  <c r="X35" i="58"/>
  <c r="X37" i="58"/>
  <c r="X39" i="58"/>
  <c r="X40" i="58"/>
  <c r="X41" i="58"/>
  <c r="X42" i="58"/>
  <c r="X43" i="58"/>
  <c r="X44" i="58"/>
  <c r="X45" i="58"/>
  <c r="X46" i="58"/>
  <c r="X47" i="58"/>
  <c r="X48" i="58"/>
  <c r="X49" i="58"/>
  <c r="X50" i="58"/>
  <c r="Z87" i="58"/>
  <c r="X51" i="58"/>
  <c r="X52" i="58"/>
  <c r="X53" i="58"/>
  <c r="X54" i="58"/>
  <c r="X55" i="58"/>
  <c r="X56" i="58"/>
  <c r="X57" i="58"/>
  <c r="X58" i="58"/>
  <c r="X59" i="58"/>
  <c r="X60" i="58"/>
  <c r="X61" i="58"/>
  <c r="X62" i="58"/>
  <c r="X63" i="58"/>
  <c r="X64" i="58"/>
  <c r="X65" i="58"/>
  <c r="X66" i="58"/>
  <c r="X67" i="58"/>
  <c r="X68" i="58"/>
  <c r="X69" i="58"/>
  <c r="X70" i="58"/>
  <c r="X71" i="58"/>
  <c r="X72" i="58"/>
  <c r="X73" i="58"/>
  <c r="X74" i="58"/>
  <c r="X75" i="58"/>
  <c r="Z18" i="58"/>
  <c r="Z17" i="58"/>
  <c r="Z16" i="58"/>
  <c r="Z14" i="58"/>
  <c r="Z13" i="58"/>
  <c r="Z15" i="58"/>
  <c r="F29" i="35"/>
  <c r="G29" i="35" s="1"/>
  <c r="H29" i="35" s="1"/>
  <c r="Y10" i="119"/>
  <c r="X10" i="119"/>
  <c r="W10" i="119"/>
  <c r="V10" i="119"/>
  <c r="U10" i="119"/>
  <c r="T10" i="119"/>
  <c r="S10" i="119"/>
  <c r="S8" i="119" s="1"/>
  <c r="R10" i="119"/>
  <c r="R8" i="119" s="1"/>
  <c r="R23" i="119" s="1"/>
  <c r="Q10" i="119"/>
  <c r="P10" i="119"/>
  <c r="W297" i="58"/>
  <c r="V297" i="58"/>
  <c r="V337" i="58" s="1"/>
  <c r="U297" i="58"/>
  <c r="T297" i="58"/>
  <c r="T337" i="58" s="1"/>
  <c r="S297" i="58"/>
  <c r="R297" i="58"/>
  <c r="R337" i="58" s="1"/>
  <c r="Q297" i="58"/>
  <c r="Q337" i="58" s="1"/>
  <c r="P297" i="58"/>
  <c r="P337" i="58" s="1"/>
  <c r="O297" i="58"/>
  <c r="N297" i="58"/>
  <c r="N337" i="58" s="1"/>
  <c r="M297" i="58"/>
  <c r="L297" i="58"/>
  <c r="L337" i="58" s="1"/>
  <c r="Q200" i="58"/>
  <c r="S200" i="58"/>
  <c r="W200" i="58"/>
  <c r="Q210" i="58"/>
  <c r="V210" i="58"/>
  <c r="W210" i="58"/>
  <c r="T96" i="133"/>
  <c r="U96" i="133"/>
  <c r="W96" i="133"/>
  <c r="AB96" i="133"/>
  <c r="AC96" i="133"/>
  <c r="AF96" i="133"/>
  <c r="AJ96" i="133"/>
  <c r="AK96" i="133"/>
  <c r="AL96" i="133"/>
  <c r="AN96" i="133"/>
  <c r="AT96" i="133"/>
  <c r="AU96" i="133"/>
  <c r="AW96" i="133"/>
  <c r="BA96" i="133"/>
  <c r="BB96" i="133"/>
  <c r="BC96" i="133"/>
  <c r="T122" i="133"/>
  <c r="U122" i="133" s="1"/>
  <c r="AA122" i="133"/>
  <c r="AB122" i="133" s="1"/>
  <c r="AC122" i="133" s="1"/>
  <c r="AG122" i="133"/>
  <c r="AG128" i="133" s="1"/>
  <c r="AN122" i="133"/>
  <c r="AN128" i="133" s="1"/>
  <c r="AT122" i="133"/>
  <c r="AT128" i="133" s="1"/>
  <c r="BA122" i="133"/>
  <c r="BA128" i="133" s="1"/>
  <c r="R123" i="133"/>
  <c r="AE123" i="133"/>
  <c r="AR123" i="133"/>
  <c r="BE123" i="133"/>
  <c r="AE124" i="133"/>
  <c r="AR124" i="133"/>
  <c r="BE124" i="133"/>
  <c r="AE125" i="133"/>
  <c r="AR125" i="133"/>
  <c r="BE125" i="133"/>
  <c r="AE126" i="133"/>
  <c r="AR126" i="133"/>
  <c r="BE126" i="133"/>
  <c r="AE127" i="133"/>
  <c r="AR127" i="133"/>
  <c r="BE127" i="133"/>
  <c r="S128" i="133"/>
  <c r="Y128" i="133"/>
  <c r="Z128" i="133"/>
  <c r="AF128" i="133"/>
  <c r="AL128" i="133"/>
  <c r="AM128" i="133"/>
  <c r="AS128" i="133"/>
  <c r="AY128" i="133"/>
  <c r="AZ128" i="133"/>
  <c r="W174" i="137"/>
  <c r="V174" i="137"/>
  <c r="U174" i="137"/>
  <c r="U180" i="137" s="1"/>
  <c r="T174" i="137"/>
  <c r="S174" i="137"/>
  <c r="R174" i="137"/>
  <c r="Q174" i="137"/>
  <c r="P174" i="137"/>
  <c r="O174" i="137"/>
  <c r="N174" i="137"/>
  <c r="M174" i="137"/>
  <c r="L174" i="137"/>
  <c r="W175" i="137"/>
  <c r="V175" i="137"/>
  <c r="U175" i="137"/>
  <c r="T175" i="137"/>
  <c r="S175" i="137"/>
  <c r="R175" i="137"/>
  <c r="Q175" i="137"/>
  <c r="P175" i="137"/>
  <c r="O175" i="137"/>
  <c r="N175" i="137"/>
  <c r="N176" i="137" s="1"/>
  <c r="M175" i="137"/>
  <c r="L175" i="137"/>
  <c r="G405" i="110"/>
  <c r="AA405" i="110" s="1"/>
  <c r="AD405" i="110" s="1"/>
  <c r="G404" i="110"/>
  <c r="AA404" i="110" s="1"/>
  <c r="AD404" i="110" s="1"/>
  <c r="G403" i="110"/>
  <c r="AA403" i="110" s="1"/>
  <c r="AD403" i="110" s="1"/>
  <c r="G402" i="110"/>
  <c r="AA402" i="110" s="1"/>
  <c r="AD402" i="110" s="1"/>
  <c r="G401" i="110"/>
  <c r="AA401" i="110" s="1"/>
  <c r="AD401" i="110" s="1"/>
  <c r="G400" i="110"/>
  <c r="AA400" i="110" s="1"/>
  <c r="AD400" i="110" s="1"/>
  <c r="V299" i="110"/>
  <c r="O263" i="110"/>
  <c r="P263" i="110" s="1"/>
  <c r="Q263" i="110" s="1"/>
  <c r="R263" i="110" s="1"/>
  <c r="S263" i="110" s="1"/>
  <c r="T263" i="110" s="1"/>
  <c r="U263" i="110" s="1"/>
  <c r="R253" i="58"/>
  <c r="U254" i="58"/>
  <c r="D18" i="197"/>
  <c r="E19" i="197"/>
  <c r="E22" i="197"/>
  <c r="D26" i="197"/>
  <c r="D21" i="197"/>
  <c r="E24" i="197"/>
  <c r="D17" i="197"/>
  <c r="E18" i="197"/>
  <c r="E20" i="197"/>
  <c r="E23" i="197"/>
  <c r="E26" i="197"/>
  <c r="D25" i="197"/>
  <c r="E17" i="197"/>
  <c r="D19" i="197"/>
  <c r="E21" i="197"/>
  <c r="D23" i="197"/>
  <c r="E25" i="197"/>
  <c r="D24" i="197"/>
  <c r="D22" i="197"/>
  <c r="D20" i="197"/>
  <c r="W336" i="58"/>
  <c r="R336" i="58"/>
  <c r="Q336" i="58"/>
  <c r="V336" i="58"/>
  <c r="U336" i="58"/>
  <c r="T336" i="58"/>
  <c r="S336" i="58"/>
  <c r="O43" i="138"/>
  <c r="O45" i="138"/>
  <c r="E77" i="35"/>
  <c r="F77" i="35"/>
  <c r="G77" i="35"/>
  <c r="H77" i="35"/>
  <c r="I77" i="35"/>
  <c r="J77" i="35"/>
  <c r="K77" i="35"/>
  <c r="L77" i="35"/>
  <c r="M77" i="35"/>
  <c r="N77" i="35"/>
  <c r="O77" i="35"/>
  <c r="P77" i="35"/>
  <c r="S246" i="58"/>
  <c r="P241" i="58"/>
  <c r="P239" i="58"/>
  <c r="S238" i="58"/>
  <c r="S230" i="58"/>
  <c r="O227" i="58"/>
  <c r="S226" i="58"/>
  <c r="S222" i="58"/>
  <c r="O219" i="58"/>
  <c r="S218" i="58"/>
  <c r="O215" i="58"/>
  <c r="S214" i="58"/>
  <c r="O211" i="58"/>
  <c r="S204" i="58"/>
  <c r="O201" i="58"/>
  <c r="S194" i="58"/>
  <c r="U246" i="58"/>
  <c r="P246" i="58"/>
  <c r="P245" i="58"/>
  <c r="W244" i="58"/>
  <c r="T244" i="58"/>
  <c r="R244" i="58"/>
  <c r="W243" i="58"/>
  <c r="R243" i="58"/>
  <c r="W242" i="58"/>
  <c r="V242" i="58"/>
  <c r="S242" i="58"/>
  <c r="Q242" i="58"/>
  <c r="V241" i="58"/>
  <c r="V240" i="58"/>
  <c r="R240" i="58"/>
  <c r="Q240" i="58"/>
  <c r="U239" i="58"/>
  <c r="U238" i="58"/>
  <c r="P238" i="58"/>
  <c r="P237" i="58"/>
  <c r="W236" i="58"/>
  <c r="T236" i="58"/>
  <c r="R236" i="58"/>
  <c r="W235" i="58"/>
  <c r="W234" i="58"/>
  <c r="V234" i="58"/>
  <c r="S234" i="58"/>
  <c r="Q234" i="58"/>
  <c r="V233" i="58"/>
  <c r="T233" i="58"/>
  <c r="V232" i="58"/>
  <c r="R232" i="58"/>
  <c r="Q232" i="58"/>
  <c r="U231" i="58"/>
  <c r="U230" i="58"/>
  <c r="P230" i="58"/>
  <c r="T229" i="58"/>
  <c r="P229" i="58"/>
  <c r="W228" i="58"/>
  <c r="T228" i="58"/>
  <c r="R228" i="58"/>
  <c r="W227" i="58"/>
  <c r="W226" i="58"/>
  <c r="V226" i="58"/>
  <c r="Q226" i="58"/>
  <c r="V225" i="58"/>
  <c r="Q225" i="58"/>
  <c r="V224" i="58"/>
  <c r="Q224" i="58"/>
  <c r="P224" i="58"/>
  <c r="U223" i="58"/>
  <c r="U222" i="58"/>
  <c r="P222" i="58"/>
  <c r="P221" i="58"/>
  <c r="W220" i="58"/>
  <c r="T220" i="58"/>
  <c r="R220" i="58"/>
  <c r="W219" i="58"/>
  <c r="S219" i="58"/>
  <c r="Q219" i="58"/>
  <c r="W218" i="58"/>
  <c r="V218" i="58"/>
  <c r="R218" i="58"/>
  <c r="Q218" i="58"/>
  <c r="V217" i="58"/>
  <c r="V216" i="58"/>
  <c r="Q216" i="58"/>
  <c r="U215" i="58"/>
  <c r="W214" i="58"/>
  <c r="U214" i="58"/>
  <c r="P214" i="58"/>
  <c r="P213" i="58"/>
  <c r="W212" i="58"/>
  <c r="T212" i="58"/>
  <c r="R212" i="58"/>
  <c r="W211" i="58"/>
  <c r="V208" i="58"/>
  <c r="V206" i="58"/>
  <c r="Q206" i="58"/>
  <c r="U204" i="58"/>
  <c r="P204" i="58"/>
  <c r="P203" i="58"/>
  <c r="W202" i="58"/>
  <c r="T202" i="58"/>
  <c r="R202" i="58"/>
  <c r="W201" i="58"/>
  <c r="V198" i="58"/>
  <c r="T198" i="58"/>
  <c r="V196" i="58"/>
  <c r="Q196" i="58"/>
  <c r="U195" i="58"/>
  <c r="U194" i="58"/>
  <c r="P194" i="58"/>
  <c r="P193" i="58"/>
  <c r="W192" i="58"/>
  <c r="T192" i="58"/>
  <c r="R192" i="58"/>
  <c r="P192" i="58"/>
  <c r="W191" i="58"/>
  <c r="S191" i="58"/>
  <c r="O239" i="58"/>
  <c r="O235" i="58"/>
  <c r="O234" i="58"/>
  <c r="O231" i="58"/>
  <c r="O210" i="58"/>
  <c r="N336" i="58"/>
  <c r="P336" i="58"/>
  <c r="M336" i="58"/>
  <c r="O336" i="58"/>
  <c r="L296" i="58"/>
  <c r="L336" i="58"/>
  <c r="O223" i="58"/>
  <c r="P208" i="58"/>
  <c r="P217" i="58"/>
  <c r="P225" i="58"/>
  <c r="P233" i="58"/>
  <c r="O195" i="58"/>
  <c r="P198" i="58"/>
  <c r="T232" i="58"/>
  <c r="O243" i="58"/>
  <c r="P195" i="58"/>
  <c r="P215" i="58"/>
  <c r="P223" i="58"/>
  <c r="P231" i="58"/>
  <c r="T214" i="58"/>
  <c r="P58" i="35"/>
  <c r="O58" i="35"/>
  <c r="N58" i="35"/>
  <c r="M58" i="35"/>
  <c r="L58" i="35"/>
  <c r="K58" i="35"/>
  <c r="J58" i="35"/>
  <c r="I58" i="35"/>
  <c r="H58" i="35"/>
  <c r="G58" i="35"/>
  <c r="F58" i="35"/>
  <c r="E58" i="35"/>
  <c r="P27" i="35"/>
  <c r="O27" i="35"/>
  <c r="N27" i="35"/>
  <c r="M27" i="35"/>
  <c r="L27" i="35"/>
  <c r="K27" i="35"/>
  <c r="J27" i="35"/>
  <c r="I27" i="35"/>
  <c r="H27" i="35"/>
  <c r="G27" i="35"/>
  <c r="F27" i="35"/>
  <c r="P26" i="35"/>
  <c r="O26" i="35"/>
  <c r="N26" i="35"/>
  <c r="M26" i="35"/>
  <c r="L26" i="35"/>
  <c r="K26" i="35"/>
  <c r="J26" i="35"/>
  <c r="I26" i="35"/>
  <c r="H26" i="35"/>
  <c r="G26" i="35"/>
  <c r="F26" i="35"/>
  <c r="E27" i="35"/>
  <c r="E26" i="35"/>
  <c r="N22" i="138"/>
  <c r="M22" i="138"/>
  <c r="L22" i="138"/>
  <c r="K22" i="138"/>
  <c r="J22" i="138"/>
  <c r="I22" i="138"/>
  <c r="H22" i="138"/>
  <c r="G22" i="138"/>
  <c r="F22" i="138"/>
  <c r="E22" i="138"/>
  <c r="D22" i="138"/>
  <c r="C22" i="138"/>
  <c r="T79" i="178"/>
  <c r="T77" i="178"/>
  <c r="T76" i="178"/>
  <c r="T75" i="178"/>
  <c r="T74" i="178"/>
  <c r="T73" i="178"/>
  <c r="T65" i="178"/>
  <c r="E57" i="35"/>
  <c r="J78" i="178"/>
  <c r="L78" i="178" s="1"/>
  <c r="V61" i="178"/>
  <c r="V80" i="178"/>
  <c r="G10" i="119"/>
  <c r="F10" i="119"/>
  <c r="E10" i="119"/>
  <c r="D10" i="119"/>
  <c r="C10" i="119"/>
  <c r="B10" i="119"/>
  <c r="B8" i="119" s="1"/>
  <c r="B23" i="119" s="1"/>
  <c r="W257" i="58"/>
  <c r="N20" i="138" s="1"/>
  <c r="V257" i="58"/>
  <c r="M20" i="138" s="1"/>
  <c r="U257" i="58"/>
  <c r="L20" i="138" s="1"/>
  <c r="T257" i="58"/>
  <c r="K20" i="138" s="1"/>
  <c r="S257" i="58"/>
  <c r="J20" i="138" s="1"/>
  <c r="R257" i="58"/>
  <c r="I20" i="138" s="1"/>
  <c r="Q257" i="58"/>
  <c r="H20" i="138" s="1"/>
  <c r="P257" i="58"/>
  <c r="G20" i="138" s="1"/>
  <c r="O257" i="58"/>
  <c r="F20" i="138" s="1"/>
  <c r="N257" i="58"/>
  <c r="E20" i="138" s="1"/>
  <c r="M257" i="58"/>
  <c r="D20" i="138" s="1"/>
  <c r="W256" i="58"/>
  <c r="N23" i="138" s="1"/>
  <c r="V256" i="58"/>
  <c r="M23" i="138" s="1"/>
  <c r="U256" i="58"/>
  <c r="T256" i="58"/>
  <c r="K23" i="138" s="1"/>
  <c r="S256" i="58"/>
  <c r="J23" i="138" s="1"/>
  <c r="R256" i="58"/>
  <c r="I23" i="138" s="1"/>
  <c r="Q256" i="58"/>
  <c r="H23" i="138" s="1"/>
  <c r="P256" i="58"/>
  <c r="G23" i="138" s="1"/>
  <c r="O256" i="58"/>
  <c r="F23" i="138" s="1"/>
  <c r="N256" i="58"/>
  <c r="E23" i="138" s="1"/>
  <c r="M256" i="58"/>
  <c r="D23" i="138" s="1"/>
  <c r="O46" i="138"/>
  <c r="C20" i="138"/>
  <c r="C23" i="138"/>
  <c r="J158" i="137"/>
  <c r="H158" i="137"/>
  <c r="J157" i="137"/>
  <c r="H157" i="137"/>
  <c r="J156" i="137"/>
  <c r="H156" i="137"/>
  <c r="J155" i="137"/>
  <c r="H155" i="137"/>
  <c r="J154" i="137"/>
  <c r="H154" i="137"/>
  <c r="J153" i="137"/>
  <c r="H153" i="137"/>
  <c r="J152" i="137"/>
  <c r="H152" i="137"/>
  <c r="J151" i="137"/>
  <c r="H151" i="137"/>
  <c r="J150" i="137"/>
  <c r="H150" i="137"/>
  <c r="J149" i="137"/>
  <c r="H149" i="137"/>
  <c r="J148" i="137"/>
  <c r="H148" i="137"/>
  <c r="J147" i="137"/>
  <c r="H147" i="137"/>
  <c r="J146" i="137"/>
  <c r="H146" i="137"/>
  <c r="J145" i="137"/>
  <c r="H145" i="137"/>
  <c r="J144" i="137"/>
  <c r="H144" i="137"/>
  <c r="J143" i="137"/>
  <c r="H143" i="137"/>
  <c r="J142" i="137"/>
  <c r="H142" i="137"/>
  <c r="J141" i="137"/>
  <c r="H141" i="137"/>
  <c r="J140" i="137"/>
  <c r="H140" i="137"/>
  <c r="J139" i="137"/>
  <c r="H139" i="137"/>
  <c r="J138" i="137"/>
  <c r="H138" i="137"/>
  <c r="J137" i="137"/>
  <c r="H137" i="137"/>
  <c r="J136" i="137"/>
  <c r="H136" i="137"/>
  <c r="J135" i="137"/>
  <c r="H135" i="137"/>
  <c r="J134" i="137"/>
  <c r="H134" i="137"/>
  <c r="J133" i="137"/>
  <c r="H133" i="137"/>
  <c r="J132" i="137"/>
  <c r="H132" i="137"/>
  <c r="J131" i="137"/>
  <c r="H131" i="137"/>
  <c r="J130" i="137"/>
  <c r="H130" i="137"/>
  <c r="J129" i="137"/>
  <c r="H129" i="137"/>
  <c r="J128" i="137"/>
  <c r="H128" i="137"/>
  <c r="J127" i="137"/>
  <c r="H127" i="137"/>
  <c r="J126" i="137"/>
  <c r="H126" i="137"/>
  <c r="J125" i="137"/>
  <c r="H125" i="137"/>
  <c r="J124" i="137"/>
  <c r="H124" i="137"/>
  <c r="J123" i="137"/>
  <c r="H123" i="137"/>
  <c r="J122" i="137"/>
  <c r="H122" i="137"/>
  <c r="J121" i="137"/>
  <c r="H121" i="137"/>
  <c r="J120" i="137"/>
  <c r="H120" i="137"/>
  <c r="J119" i="137"/>
  <c r="H119" i="137"/>
  <c r="J118" i="137"/>
  <c r="H118" i="137"/>
  <c r="J117" i="137"/>
  <c r="H117" i="137"/>
  <c r="J116" i="137"/>
  <c r="H116" i="137"/>
  <c r="J115" i="137"/>
  <c r="H115" i="137"/>
  <c r="J114" i="137"/>
  <c r="H114" i="137"/>
  <c r="J113" i="137"/>
  <c r="H113" i="137"/>
  <c r="J112" i="137"/>
  <c r="H112" i="137"/>
  <c r="J111" i="137"/>
  <c r="H111" i="137"/>
  <c r="J110" i="137"/>
  <c r="H110" i="137"/>
  <c r="J109" i="137"/>
  <c r="H109" i="137"/>
  <c r="J108" i="137"/>
  <c r="H108" i="137"/>
  <c r="J107" i="137"/>
  <c r="H107" i="137"/>
  <c r="J106" i="137"/>
  <c r="H106" i="137"/>
  <c r="J105" i="137"/>
  <c r="H105" i="137"/>
  <c r="J104" i="137"/>
  <c r="H104" i="137"/>
  <c r="J103" i="137"/>
  <c r="H103" i="137"/>
  <c r="J102" i="137"/>
  <c r="H102" i="137"/>
  <c r="J101" i="137"/>
  <c r="H101" i="137"/>
  <c r="J100" i="137"/>
  <c r="H100" i="137"/>
  <c r="K280" i="110"/>
  <c r="L280" i="110" s="1"/>
  <c r="G11" i="133"/>
  <c r="H11" i="133" s="1"/>
  <c r="I11" i="133" s="1"/>
  <c r="J11" i="133" s="1"/>
  <c r="K11" i="133" s="1"/>
  <c r="L11" i="133" s="1"/>
  <c r="M11" i="133" s="1"/>
  <c r="N11" i="133" s="1"/>
  <c r="O11" i="133" s="1"/>
  <c r="P11" i="133" s="1"/>
  <c r="Q11" i="133" s="1"/>
  <c r="R11" i="133" s="1"/>
  <c r="S11" i="133" s="1"/>
  <c r="T26" i="181"/>
  <c r="S26" i="181"/>
  <c r="R26" i="181"/>
  <c r="Q26" i="181"/>
  <c r="P26" i="181"/>
  <c r="O26" i="181"/>
  <c r="N26" i="181"/>
  <c r="M26" i="181"/>
  <c r="L26" i="181"/>
  <c r="K26" i="181"/>
  <c r="J26" i="181"/>
  <c r="I26" i="181"/>
  <c r="T25" i="181"/>
  <c r="S25" i="181"/>
  <c r="R25" i="181"/>
  <c r="Q25" i="181"/>
  <c r="P25" i="181"/>
  <c r="O25" i="181"/>
  <c r="N25" i="181"/>
  <c r="M25" i="181"/>
  <c r="L25" i="181"/>
  <c r="K25" i="181"/>
  <c r="J25" i="181"/>
  <c r="I25" i="181"/>
  <c r="T24" i="181"/>
  <c r="S24" i="181"/>
  <c r="R24" i="181"/>
  <c r="Q24" i="181"/>
  <c r="P24" i="181"/>
  <c r="O24" i="181"/>
  <c r="N24" i="181"/>
  <c r="M24" i="181"/>
  <c r="L24" i="181"/>
  <c r="K24" i="181"/>
  <c r="J24" i="181"/>
  <c r="I24" i="181"/>
  <c r="T23" i="181"/>
  <c r="S23" i="181"/>
  <c r="R23" i="181"/>
  <c r="Q23" i="181"/>
  <c r="P23" i="181"/>
  <c r="O23" i="181"/>
  <c r="N23" i="181"/>
  <c r="M23" i="181"/>
  <c r="L23" i="181"/>
  <c r="K23" i="181"/>
  <c r="J23" i="181"/>
  <c r="I23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T21" i="181"/>
  <c r="S21" i="181"/>
  <c r="R21" i="181"/>
  <c r="Q21" i="181"/>
  <c r="P21" i="181"/>
  <c r="O21" i="181"/>
  <c r="N21" i="181"/>
  <c r="M21" i="181"/>
  <c r="L21" i="181"/>
  <c r="K21" i="181"/>
  <c r="J21" i="181"/>
  <c r="I21" i="181"/>
  <c r="T20" i="181"/>
  <c r="S20" i="181"/>
  <c r="R20" i="181"/>
  <c r="Q20" i="181"/>
  <c r="P20" i="181"/>
  <c r="O20" i="181"/>
  <c r="N20" i="181"/>
  <c r="M20" i="181"/>
  <c r="L20" i="181"/>
  <c r="K20" i="181"/>
  <c r="J20" i="181"/>
  <c r="I20" i="181"/>
  <c r="I44" i="181" s="1"/>
  <c r="T19" i="181"/>
  <c r="T42" i="181" s="1"/>
  <c r="S19" i="181"/>
  <c r="S42" i="181" s="1"/>
  <c r="R19" i="181"/>
  <c r="R42" i="181" s="1"/>
  <c r="R61" i="181" s="1"/>
  <c r="Q19" i="181"/>
  <c r="Q42" i="181" s="1"/>
  <c r="P19" i="181"/>
  <c r="P43" i="181" s="1"/>
  <c r="P62" i="181" s="1"/>
  <c r="O19" i="181"/>
  <c r="O42" i="181" s="1"/>
  <c r="O61" i="181" s="1"/>
  <c r="N19" i="181"/>
  <c r="N42" i="181" s="1"/>
  <c r="N61" i="181" s="1"/>
  <c r="M19" i="181"/>
  <c r="M43" i="181" s="1"/>
  <c r="M62" i="181" s="1"/>
  <c r="L19" i="181"/>
  <c r="L43" i="181" s="1"/>
  <c r="L62" i="181" s="1"/>
  <c r="K19" i="181"/>
  <c r="K42" i="181" s="1"/>
  <c r="J19" i="181"/>
  <c r="J42" i="181" s="1"/>
  <c r="J61" i="181" s="1"/>
  <c r="I19" i="181"/>
  <c r="I43" i="181" s="1"/>
  <c r="D19" i="181"/>
  <c r="E26" i="181"/>
  <c r="E25" i="181"/>
  <c r="E24" i="181"/>
  <c r="E23" i="181"/>
  <c r="E22" i="181"/>
  <c r="K273" i="110"/>
  <c r="M273" i="110"/>
  <c r="O273" i="110"/>
  <c r="P273" i="110" s="1"/>
  <c r="Q273" i="110" s="1"/>
  <c r="R273" i="110" s="1"/>
  <c r="S273" i="110" s="1"/>
  <c r="T273" i="110" s="1"/>
  <c r="U273" i="110" s="1"/>
  <c r="AC406" i="110"/>
  <c r="AF406" i="110" s="1"/>
  <c r="AB406" i="110"/>
  <c r="AE406" i="110" s="1"/>
  <c r="AA406" i="110"/>
  <c r="AD406" i="110" s="1"/>
  <c r="AC405" i="110"/>
  <c r="AF405" i="110" s="1"/>
  <c r="AB405" i="110"/>
  <c r="AE405" i="110" s="1"/>
  <c r="AC404" i="110"/>
  <c r="AF404" i="110" s="1"/>
  <c r="AB404" i="110"/>
  <c r="AE404" i="110" s="1"/>
  <c r="AC403" i="110"/>
  <c r="AF403" i="110" s="1"/>
  <c r="AB403" i="110"/>
  <c r="AE403" i="110" s="1"/>
  <c r="AC402" i="110"/>
  <c r="AF402" i="110" s="1"/>
  <c r="AB402" i="110"/>
  <c r="AE402" i="110" s="1"/>
  <c r="AC401" i="110"/>
  <c r="AF401" i="110" s="1"/>
  <c r="AB401" i="110"/>
  <c r="AE401" i="110" s="1"/>
  <c r="AC400" i="110"/>
  <c r="AF400" i="110" s="1"/>
  <c r="AB400" i="110"/>
  <c r="AE400" i="110" s="1"/>
  <c r="Q65" i="124"/>
  <c r="Q68" i="124" s="1"/>
  <c r="P65" i="124"/>
  <c r="P68" i="124" s="1"/>
  <c r="O65" i="124"/>
  <c r="O68" i="124" s="1"/>
  <c r="N65" i="124"/>
  <c r="N68" i="124" s="1"/>
  <c r="M65" i="124"/>
  <c r="M68" i="124" s="1"/>
  <c r="L65" i="124"/>
  <c r="L68" i="124" s="1"/>
  <c r="K65" i="124"/>
  <c r="J65" i="124"/>
  <c r="J68" i="124" s="1"/>
  <c r="I65" i="124"/>
  <c r="I68" i="124" s="1"/>
  <c r="H65" i="124"/>
  <c r="H68" i="124" s="1"/>
  <c r="G65" i="124"/>
  <c r="G68" i="124" s="1"/>
  <c r="F65" i="124"/>
  <c r="F68" i="124" s="1"/>
  <c r="AC380" i="110"/>
  <c r="AF380" i="110" s="1"/>
  <c r="AB380" i="110"/>
  <c r="AE380" i="110" s="1"/>
  <c r="AA380" i="110"/>
  <c r="AD380" i="110" s="1"/>
  <c r="AC379" i="110"/>
  <c r="AF379" i="110" s="1"/>
  <c r="AB379" i="110"/>
  <c r="AE379" i="110" s="1"/>
  <c r="AA379" i="110"/>
  <c r="AD379" i="110" s="1"/>
  <c r="AC378" i="110"/>
  <c r="AF378" i="110" s="1"/>
  <c r="AB378" i="110"/>
  <c r="AE378" i="110" s="1"/>
  <c r="AA378" i="110"/>
  <c r="AD378" i="110" s="1"/>
  <c r="AC377" i="110"/>
  <c r="AF377" i="110" s="1"/>
  <c r="AB377" i="110"/>
  <c r="AE377" i="110" s="1"/>
  <c r="AA377" i="110"/>
  <c r="AD377" i="110" s="1"/>
  <c r="AC376" i="110"/>
  <c r="AF376" i="110" s="1"/>
  <c r="AB376" i="110"/>
  <c r="AE376" i="110" s="1"/>
  <c r="AC371" i="110"/>
  <c r="AF371" i="110" s="1"/>
  <c r="AA371" i="110"/>
  <c r="AD371" i="110" s="1"/>
  <c r="AC370" i="110"/>
  <c r="AF370" i="110" s="1"/>
  <c r="AB370" i="110"/>
  <c r="AE370" i="110" s="1"/>
  <c r="AA370" i="110"/>
  <c r="AD370" i="110" s="1"/>
  <c r="AC369" i="110"/>
  <c r="AF369" i="110" s="1"/>
  <c r="AB369" i="110"/>
  <c r="AE369" i="110" s="1"/>
  <c r="AA369" i="110"/>
  <c r="AD369" i="110" s="1"/>
  <c r="AC368" i="110"/>
  <c r="AF368" i="110" s="1"/>
  <c r="AB368" i="110"/>
  <c r="AE368" i="110" s="1"/>
  <c r="AA368" i="110"/>
  <c r="AD368" i="110" s="1"/>
  <c r="AC367" i="110"/>
  <c r="AF367" i="110" s="1"/>
  <c r="AB367" i="110"/>
  <c r="AE367" i="110" s="1"/>
  <c r="AA367" i="110"/>
  <c r="AD367" i="110" s="1"/>
  <c r="AC366" i="110"/>
  <c r="AF366" i="110" s="1"/>
  <c r="AB366" i="110"/>
  <c r="AE366" i="110" s="1"/>
  <c r="AA366" i="110"/>
  <c r="AD366" i="110" s="1"/>
  <c r="AC365" i="110"/>
  <c r="AF365" i="110" s="1"/>
  <c r="AB365" i="110"/>
  <c r="AE365" i="110" s="1"/>
  <c r="AA365" i="110"/>
  <c r="AD365" i="110" s="1"/>
  <c r="AC364" i="110"/>
  <c r="AF364" i="110" s="1"/>
  <c r="AB364" i="110"/>
  <c r="AE364" i="110" s="1"/>
  <c r="AA364" i="110"/>
  <c r="AD364" i="110" s="1"/>
  <c r="AC363" i="110"/>
  <c r="AF363" i="110" s="1"/>
  <c r="AB363" i="110"/>
  <c r="AE363" i="110" s="1"/>
  <c r="AA363" i="110"/>
  <c r="AD363" i="110" s="1"/>
  <c r="AA168" i="110"/>
  <c r="AD168" i="110" s="1"/>
  <c r="AA167" i="110"/>
  <c r="AD167" i="110" s="1"/>
  <c r="AA166" i="110"/>
  <c r="AD166" i="110" s="1"/>
  <c r="AA165" i="110"/>
  <c r="AD165" i="110" s="1"/>
  <c r="AA164" i="110"/>
  <c r="AD164" i="110" s="1"/>
  <c r="AA163" i="110"/>
  <c r="AD163" i="110" s="1"/>
  <c r="AA162" i="110"/>
  <c r="AD162" i="110" s="1"/>
  <c r="AF19" i="110"/>
  <c r="AE19" i="110"/>
  <c r="AC381" i="110"/>
  <c r="AF381" i="110" s="1"/>
  <c r="AB381" i="110"/>
  <c r="AE381" i="110" s="1"/>
  <c r="AA381" i="110"/>
  <c r="AD381" i="110" s="1"/>
  <c r="J83" i="110"/>
  <c r="K83" i="110"/>
  <c r="L83" i="110"/>
  <c r="L168" i="110" s="1"/>
  <c r="M83" i="110"/>
  <c r="M168" i="110" s="1"/>
  <c r="O79" i="137" s="1"/>
  <c r="N83" i="110"/>
  <c r="N168" i="110" s="1"/>
  <c r="P79" i="137" s="1"/>
  <c r="O83" i="110"/>
  <c r="O168" i="110" s="1"/>
  <c r="Q79" i="137" s="1"/>
  <c r="P83" i="110"/>
  <c r="Q83" i="110"/>
  <c r="Q168" i="110" s="1"/>
  <c r="R83" i="110"/>
  <c r="R168" i="110" s="1"/>
  <c r="T79" i="137" s="1"/>
  <c r="S83" i="110"/>
  <c r="S168" i="110" s="1"/>
  <c r="T83" i="110"/>
  <c r="T168" i="110" s="1"/>
  <c r="V79" i="137" s="1"/>
  <c r="U83" i="110"/>
  <c r="F77" i="110"/>
  <c r="F162" i="110" s="1"/>
  <c r="F249" i="110" s="1"/>
  <c r="F364" i="110" s="1"/>
  <c r="F78" i="110"/>
  <c r="F163" i="110" s="1"/>
  <c r="F250" i="110" s="1"/>
  <c r="F79" i="110"/>
  <c r="F164" i="110" s="1"/>
  <c r="F251" i="110" s="1"/>
  <c r="F80" i="110"/>
  <c r="F165" i="110" s="1"/>
  <c r="F252" i="110" s="1"/>
  <c r="F81" i="110"/>
  <c r="F166" i="110" s="1"/>
  <c r="F253" i="110" s="1"/>
  <c r="F82" i="110"/>
  <c r="F167" i="110" s="1"/>
  <c r="F254" i="110" s="1"/>
  <c r="F369" i="110" s="1"/>
  <c r="F83" i="110"/>
  <c r="F168" i="110" s="1"/>
  <c r="F255" i="110" s="1"/>
  <c r="F370" i="110" s="1"/>
  <c r="Q296" i="58"/>
  <c r="X76" i="58"/>
  <c r="X160" i="137"/>
  <c r="X158" i="137"/>
  <c r="X157" i="137"/>
  <c r="X156" i="137"/>
  <c r="X155" i="137"/>
  <c r="X154" i="137"/>
  <c r="X153" i="137"/>
  <c r="X152" i="137"/>
  <c r="X151" i="137"/>
  <c r="X150" i="137"/>
  <c r="X149" i="137"/>
  <c r="X148" i="137"/>
  <c r="X147" i="137"/>
  <c r="X146" i="137"/>
  <c r="X145" i="137"/>
  <c r="X144" i="137"/>
  <c r="X143" i="137"/>
  <c r="X142" i="137"/>
  <c r="X141" i="137"/>
  <c r="X140" i="137"/>
  <c r="X139" i="137"/>
  <c r="X138" i="137"/>
  <c r="X137" i="137"/>
  <c r="X136" i="137"/>
  <c r="X135" i="137"/>
  <c r="X134" i="137"/>
  <c r="X133" i="137"/>
  <c r="X132" i="137"/>
  <c r="X131" i="137"/>
  <c r="X130" i="137"/>
  <c r="X129" i="137"/>
  <c r="X128" i="137"/>
  <c r="X127" i="137"/>
  <c r="X126" i="137"/>
  <c r="X125" i="137"/>
  <c r="X124" i="137"/>
  <c r="X123" i="137"/>
  <c r="X122" i="137"/>
  <c r="X121" i="137"/>
  <c r="X120" i="137"/>
  <c r="X119" i="137"/>
  <c r="X118" i="137"/>
  <c r="X117" i="137"/>
  <c r="X116" i="137"/>
  <c r="X115" i="137"/>
  <c r="X114" i="137"/>
  <c r="X113" i="137"/>
  <c r="X112" i="137"/>
  <c r="X111" i="137"/>
  <c r="X110" i="137"/>
  <c r="X109" i="137"/>
  <c r="X108" i="137"/>
  <c r="X107" i="137"/>
  <c r="X106" i="137"/>
  <c r="X105" i="137"/>
  <c r="X104" i="137"/>
  <c r="X103" i="137"/>
  <c r="X102" i="137"/>
  <c r="X101" i="137"/>
  <c r="X100" i="137"/>
  <c r="X99" i="137"/>
  <c r="X98" i="137"/>
  <c r="X97" i="137"/>
  <c r="X96" i="137"/>
  <c r="X95" i="137"/>
  <c r="X94" i="137"/>
  <c r="X93" i="137"/>
  <c r="X92" i="137"/>
  <c r="X91" i="137"/>
  <c r="X90" i="137"/>
  <c r="X89" i="137"/>
  <c r="X88" i="137"/>
  <c r="X87" i="137"/>
  <c r="K160" i="137"/>
  <c r="I160" i="137"/>
  <c r="E127" i="197"/>
  <c r="D123" i="197"/>
  <c r="E124" i="197"/>
  <c r="E125" i="197"/>
  <c r="E119" i="197"/>
  <c r="D122" i="197"/>
  <c r="D121" i="197"/>
  <c r="D120" i="197"/>
  <c r="D125" i="197"/>
  <c r="E126" i="197"/>
  <c r="E122" i="197"/>
  <c r="E123" i="197"/>
  <c r="D119" i="197"/>
  <c r="D127" i="197"/>
  <c r="D126" i="197"/>
  <c r="D124" i="197"/>
  <c r="E121" i="197"/>
  <c r="E120" i="197"/>
  <c r="AA80" i="110"/>
  <c r="AD80" i="110" s="1"/>
  <c r="AB250" i="110"/>
  <c r="AE250" i="110" s="1"/>
  <c r="AA83" i="110"/>
  <c r="AD83" i="110" s="1"/>
  <c r="AA82" i="110"/>
  <c r="AD82" i="110" s="1"/>
  <c r="AB81" i="110"/>
  <c r="AE81" i="110" s="1"/>
  <c r="N296" i="58"/>
  <c r="O296" i="58"/>
  <c r="AA78" i="110"/>
  <c r="AD78" i="110" s="1"/>
  <c r="AC77" i="110"/>
  <c r="AF77" i="110" s="1"/>
  <c r="AB79" i="110"/>
  <c r="AE79" i="110" s="1"/>
  <c r="P296" i="58"/>
  <c r="W296" i="58"/>
  <c r="R296" i="58"/>
  <c r="S296" i="58"/>
  <c r="T296" i="58"/>
  <c r="M296" i="58"/>
  <c r="U296" i="58"/>
  <c r="V296" i="58"/>
  <c r="S18" i="181"/>
  <c r="S38" i="181" s="1"/>
  <c r="R18" i="181"/>
  <c r="R38" i="181" s="1"/>
  <c r="R39" i="181" s="1"/>
  <c r="Q18" i="181"/>
  <c r="Q38" i="181" s="1"/>
  <c r="P18" i="181"/>
  <c r="P38" i="181" s="1"/>
  <c r="O18" i="181"/>
  <c r="O38" i="181" s="1"/>
  <c r="N18" i="181"/>
  <c r="N38" i="181" s="1"/>
  <c r="M18" i="181"/>
  <c r="M38" i="181" s="1"/>
  <c r="L18" i="181"/>
  <c r="L38" i="181" s="1"/>
  <c r="K18" i="181"/>
  <c r="K38" i="181" s="1"/>
  <c r="J18" i="181"/>
  <c r="J38" i="181" s="1"/>
  <c r="I18" i="181"/>
  <c r="I38" i="181" s="1"/>
  <c r="T18" i="181"/>
  <c r="T38" i="181" s="1"/>
  <c r="J99" i="137"/>
  <c r="J98" i="137"/>
  <c r="J97" i="137"/>
  <c r="J96" i="137"/>
  <c r="J95" i="137"/>
  <c r="J94" i="137"/>
  <c r="J93" i="137"/>
  <c r="J92" i="137"/>
  <c r="J91" i="137"/>
  <c r="J90" i="137"/>
  <c r="J89" i="137"/>
  <c r="J88" i="137"/>
  <c r="J87" i="137"/>
  <c r="J86" i="137"/>
  <c r="AA249" i="110"/>
  <c r="AD249" i="110" s="1"/>
  <c r="AA251" i="110"/>
  <c r="AD251" i="110" s="1"/>
  <c r="AB251" i="110"/>
  <c r="AE251" i="110" s="1"/>
  <c r="AC251" i="110"/>
  <c r="AF251" i="110" s="1"/>
  <c r="AB80" i="110"/>
  <c r="AE80" i="110" s="1"/>
  <c r="AC80" i="110"/>
  <c r="AF80" i="110" s="1"/>
  <c r="AC81" i="110"/>
  <c r="AF81" i="110" s="1"/>
  <c r="AC83" i="110"/>
  <c r="AF83" i="110" s="1"/>
  <c r="AB83" i="110"/>
  <c r="AE83" i="110" s="1"/>
  <c r="AC82" i="110"/>
  <c r="AF82" i="110" s="1"/>
  <c r="AB82" i="110"/>
  <c r="AE82" i="110" s="1"/>
  <c r="AA81" i="110"/>
  <c r="AD81" i="110" s="1"/>
  <c r="AC250" i="110"/>
  <c r="AF250" i="110" s="1"/>
  <c r="AB164" i="110"/>
  <c r="AE164" i="110" s="1"/>
  <c r="AC249" i="110"/>
  <c r="AF249" i="110" s="1"/>
  <c r="AB249" i="110"/>
  <c r="AE249" i="110" s="1"/>
  <c r="AC167" i="110"/>
  <c r="AF167" i="110" s="1"/>
  <c r="AC164" i="110"/>
  <c r="AF164" i="110" s="1"/>
  <c r="AC78" i="110"/>
  <c r="AF78" i="110" s="1"/>
  <c r="AB78" i="110"/>
  <c r="AE78" i="110" s="1"/>
  <c r="AA79" i="110"/>
  <c r="AD79" i="110" s="1"/>
  <c r="AC79" i="110"/>
  <c r="AF79" i="110" s="1"/>
  <c r="AB77" i="110"/>
  <c r="AE77" i="110" s="1"/>
  <c r="AA77" i="110"/>
  <c r="AD77" i="110" s="1"/>
  <c r="AC163" i="110"/>
  <c r="AF163" i="110" s="1"/>
  <c r="AB163" i="110"/>
  <c r="AE163" i="110" s="1"/>
  <c r="AC162" i="110"/>
  <c r="AF162" i="110" s="1"/>
  <c r="AB162" i="110"/>
  <c r="AE162" i="110" s="1"/>
  <c r="G98" i="137"/>
  <c r="G97" i="137"/>
  <c r="G96" i="137"/>
  <c r="G95" i="137"/>
  <c r="G94" i="137"/>
  <c r="G93" i="137"/>
  <c r="G92" i="137"/>
  <c r="G91" i="137"/>
  <c r="G90" i="137"/>
  <c r="G89" i="137"/>
  <c r="G88" i="137"/>
  <c r="G87" i="137"/>
  <c r="G86" i="137"/>
  <c r="AA9" i="119"/>
  <c r="AA7" i="119"/>
  <c r="Z7" i="119"/>
  <c r="Y7" i="119"/>
  <c r="X7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B7" i="119"/>
  <c r="N13" i="26"/>
  <c r="N3" i="26"/>
  <c r="N26" i="26" s="1"/>
  <c r="M3" i="26"/>
  <c r="M26" i="26" s="1"/>
  <c r="L3" i="26"/>
  <c r="L26" i="26" s="1"/>
  <c r="K3" i="26"/>
  <c r="K26" i="26" s="1"/>
  <c r="J3" i="26"/>
  <c r="J26" i="26" s="1"/>
  <c r="I3" i="26"/>
  <c r="I26" i="26" s="1"/>
  <c r="H3" i="26"/>
  <c r="H26" i="26" s="1"/>
  <c r="G3" i="26"/>
  <c r="G26" i="26" s="1"/>
  <c r="F3" i="26"/>
  <c r="F26" i="26" s="1"/>
  <c r="E3" i="26"/>
  <c r="E26" i="26" s="1"/>
  <c r="D3" i="26"/>
  <c r="D26" i="26" s="1"/>
  <c r="C3" i="26"/>
  <c r="C26" i="26" s="1"/>
  <c r="B3" i="26"/>
  <c r="B26" i="26" s="1"/>
  <c r="F16" i="157"/>
  <c r="G15" i="35" s="1"/>
  <c r="E16" i="157"/>
  <c r="F15" i="35" s="1"/>
  <c r="D16" i="157"/>
  <c r="E15" i="35" s="1"/>
  <c r="P15" i="157"/>
  <c r="O16" i="157"/>
  <c r="P15" i="35"/>
  <c r="N16" i="157"/>
  <c r="O15" i="35" s="1"/>
  <c r="M16" i="157"/>
  <c r="N15" i="35" s="1"/>
  <c r="L16" i="157"/>
  <c r="M15" i="35" s="1"/>
  <c r="K16" i="157"/>
  <c r="L15" i="35" s="1"/>
  <c r="J16" i="157"/>
  <c r="K15" i="35" s="1"/>
  <c r="I16" i="157"/>
  <c r="H16" i="157"/>
  <c r="I15" i="35"/>
  <c r="G16" i="157"/>
  <c r="H15" i="35" s="1"/>
  <c r="O9" i="157"/>
  <c r="N9" i="157"/>
  <c r="M9" i="157"/>
  <c r="L9" i="157"/>
  <c r="L10" i="157" s="1"/>
  <c r="K9" i="157"/>
  <c r="J9" i="157"/>
  <c r="I9" i="157"/>
  <c r="I10" i="157" s="1"/>
  <c r="H9" i="157"/>
  <c r="G9" i="157"/>
  <c r="F9" i="157"/>
  <c r="E9" i="157"/>
  <c r="D9" i="157"/>
  <c r="O8" i="157"/>
  <c r="N27" i="138"/>
  <c r="N8" i="157"/>
  <c r="M8" i="157"/>
  <c r="L8" i="157"/>
  <c r="K27" i="138" s="1"/>
  <c r="K8" i="157"/>
  <c r="J8" i="157"/>
  <c r="I27" i="138"/>
  <c r="I8" i="157"/>
  <c r="H27" i="138" s="1"/>
  <c r="H8" i="157"/>
  <c r="G8" i="157"/>
  <c r="F8" i="157"/>
  <c r="E27" i="138" s="1"/>
  <c r="E8" i="157"/>
  <c r="D27" i="138"/>
  <c r="D8" i="157"/>
  <c r="P7" i="157"/>
  <c r="P6" i="157"/>
  <c r="P5" i="157"/>
  <c r="P4" i="157"/>
  <c r="P13" i="157" s="1"/>
  <c r="O4" i="157"/>
  <c r="O18" i="157" s="1"/>
  <c r="N4" i="157"/>
  <c r="M4" i="157"/>
  <c r="M18" i="157" s="1"/>
  <c r="L4" i="157"/>
  <c r="L13" i="157" s="1"/>
  <c r="K4" i="157"/>
  <c r="K13" i="157" s="1"/>
  <c r="J4" i="157"/>
  <c r="J13" i="157" s="1"/>
  <c r="I4" i="157"/>
  <c r="I13" i="157" s="1"/>
  <c r="H4" i="157"/>
  <c r="H13" i="157" s="1"/>
  <c r="G4" i="157"/>
  <c r="G18" i="157" s="1"/>
  <c r="F4" i="157"/>
  <c r="F18" i="157" s="1"/>
  <c r="E4" i="157"/>
  <c r="E18" i="157" s="1"/>
  <c r="D4" i="157"/>
  <c r="D18" i="157" s="1"/>
  <c r="Q64" i="35"/>
  <c r="Q4" i="35"/>
  <c r="Q8" i="35" s="1"/>
  <c r="Q43" i="35" s="1"/>
  <c r="Q71" i="35" s="1"/>
  <c r="P4" i="35"/>
  <c r="P8" i="35" s="1"/>
  <c r="P43" i="35" s="1"/>
  <c r="P71" i="35" s="1"/>
  <c r="O4" i="35"/>
  <c r="O8" i="35" s="1"/>
  <c r="O43" i="35" s="1"/>
  <c r="O71" i="35" s="1"/>
  <c r="N4" i="35"/>
  <c r="N8" i="35" s="1"/>
  <c r="N43" i="35" s="1"/>
  <c r="N71" i="35" s="1"/>
  <c r="M4" i="35"/>
  <c r="M8" i="35" s="1"/>
  <c r="M43" i="35" s="1"/>
  <c r="M71" i="35" s="1"/>
  <c r="L4" i="35"/>
  <c r="L8" i="35" s="1"/>
  <c r="L43" i="35" s="1"/>
  <c r="L71" i="35" s="1"/>
  <c r="K4" i="35"/>
  <c r="K8" i="35" s="1"/>
  <c r="K43" i="35" s="1"/>
  <c r="K71" i="35" s="1"/>
  <c r="J4" i="35"/>
  <c r="J8" i="35" s="1"/>
  <c r="J43" i="35" s="1"/>
  <c r="J71" i="35" s="1"/>
  <c r="I4" i="35"/>
  <c r="I8" i="35" s="1"/>
  <c r="I43" i="35" s="1"/>
  <c r="I71" i="35" s="1"/>
  <c r="H4" i="35"/>
  <c r="H8" i="35" s="1"/>
  <c r="H43" i="35" s="1"/>
  <c r="H71" i="35" s="1"/>
  <c r="G4" i="35"/>
  <c r="G8" i="35" s="1"/>
  <c r="G43" i="35" s="1"/>
  <c r="G71" i="35" s="1"/>
  <c r="F4" i="35"/>
  <c r="F8" i="35" s="1"/>
  <c r="F43" i="35" s="1"/>
  <c r="F71" i="35" s="1"/>
  <c r="E4" i="35"/>
  <c r="E8" i="35" s="1"/>
  <c r="E43" i="35" s="1"/>
  <c r="E71" i="35" s="1"/>
  <c r="U4" i="181"/>
  <c r="U30" i="181" s="1"/>
  <c r="T4" i="181"/>
  <c r="T49" i="181" s="1"/>
  <c r="S4" i="181"/>
  <c r="S49" i="181" s="1"/>
  <c r="R4" i="181"/>
  <c r="R49" i="181" s="1"/>
  <c r="Q4" i="181"/>
  <c r="P4" i="181"/>
  <c r="P49" i="181" s="1"/>
  <c r="O4" i="181"/>
  <c r="O30" i="181" s="1"/>
  <c r="N4" i="181"/>
  <c r="N49" i="181" s="1"/>
  <c r="M4" i="181"/>
  <c r="M30" i="181" s="1"/>
  <c r="L4" i="181"/>
  <c r="L30" i="181" s="1"/>
  <c r="K4" i="181"/>
  <c r="J4" i="181"/>
  <c r="J30" i="181" s="1"/>
  <c r="I4" i="181"/>
  <c r="I30" i="181" s="1"/>
  <c r="R4" i="124"/>
  <c r="R56" i="124" s="1"/>
  <c r="R64" i="124" s="1"/>
  <c r="Q4" i="124"/>
  <c r="Q8" i="124" s="1"/>
  <c r="P4" i="124"/>
  <c r="P15" i="124" s="1"/>
  <c r="O4" i="124"/>
  <c r="O49" i="124" s="1"/>
  <c r="N4" i="124"/>
  <c r="N56" i="124" s="1"/>
  <c r="N64" i="124" s="1"/>
  <c r="M4" i="124"/>
  <c r="M35" i="124" s="1"/>
  <c r="L4" i="124"/>
  <c r="L8" i="124" s="1"/>
  <c r="K4" i="124"/>
  <c r="K22" i="124" s="1"/>
  <c r="J4" i="124"/>
  <c r="J56" i="124" s="1"/>
  <c r="J64" i="124" s="1"/>
  <c r="I4" i="124"/>
  <c r="I35" i="124" s="1"/>
  <c r="H4" i="124"/>
  <c r="G4" i="124"/>
  <c r="F4" i="124"/>
  <c r="F22" i="124" s="1"/>
  <c r="R27" i="124"/>
  <c r="R24" i="124"/>
  <c r="BE4" i="133"/>
  <c r="BD4" i="133"/>
  <c r="BC4" i="133"/>
  <c r="BB4" i="133"/>
  <c r="BB82" i="133" s="1"/>
  <c r="BA4" i="133"/>
  <c r="AZ4" i="133"/>
  <c r="AZ82" i="133" s="1"/>
  <c r="AY4" i="133"/>
  <c r="AX4" i="133"/>
  <c r="AW4" i="133"/>
  <c r="AW107" i="133" s="1"/>
  <c r="AV4" i="133"/>
  <c r="AU4" i="133"/>
  <c r="AT4" i="133"/>
  <c r="AS4" i="133"/>
  <c r="AS82" i="133" s="1"/>
  <c r="AR4" i="133"/>
  <c r="AQ4" i="133"/>
  <c r="AP4" i="133"/>
  <c r="AO4" i="133"/>
  <c r="AO93" i="133" s="1"/>
  <c r="AN4" i="133"/>
  <c r="AM4" i="133"/>
  <c r="AL4" i="133"/>
  <c r="AK4" i="133"/>
  <c r="AJ4" i="133"/>
  <c r="AI4" i="133"/>
  <c r="AH4" i="133"/>
  <c r="AG4" i="133"/>
  <c r="AG69" i="133" s="1"/>
  <c r="AF4" i="133"/>
  <c r="AE4" i="133"/>
  <c r="AD4" i="133"/>
  <c r="AC4" i="133"/>
  <c r="AB4" i="133"/>
  <c r="AA4" i="133"/>
  <c r="Z4" i="133"/>
  <c r="Y4" i="133"/>
  <c r="Y69" i="133" s="1"/>
  <c r="X4" i="133"/>
  <c r="W4" i="133"/>
  <c r="V4" i="133"/>
  <c r="U4" i="133"/>
  <c r="T4" i="133"/>
  <c r="S4" i="133"/>
  <c r="R4" i="133"/>
  <c r="Q4" i="133"/>
  <c r="Q93" i="133" s="1"/>
  <c r="P4" i="133"/>
  <c r="O4" i="133"/>
  <c r="N4" i="133"/>
  <c r="M4" i="133"/>
  <c r="L4" i="133"/>
  <c r="K4" i="133"/>
  <c r="J4" i="133"/>
  <c r="I4" i="133"/>
  <c r="I56" i="133" s="1"/>
  <c r="H4" i="133"/>
  <c r="G4" i="133"/>
  <c r="F4" i="133"/>
  <c r="J4" i="110"/>
  <c r="L4" i="137" s="1"/>
  <c r="L85" i="137" s="1"/>
  <c r="L166" i="137" s="1"/>
  <c r="L173" i="137" s="1"/>
  <c r="L179" i="137" s="1"/>
  <c r="BA136" i="133"/>
  <c r="AZ136" i="133"/>
  <c r="AY136" i="133"/>
  <c r="AX136" i="133"/>
  <c r="AW136" i="133"/>
  <c r="AV136" i="133"/>
  <c r="AU136" i="133"/>
  <c r="AT136" i="133"/>
  <c r="AS136" i="133"/>
  <c r="BE135" i="133"/>
  <c r="BE134" i="133"/>
  <c r="BE130" i="133"/>
  <c r="BE117" i="133"/>
  <c r="BD115" i="133"/>
  <c r="BC115" i="133"/>
  <c r="BB115" i="133"/>
  <c r="BA115" i="133"/>
  <c r="AZ115" i="133"/>
  <c r="AY115" i="133"/>
  <c r="AX115" i="133"/>
  <c r="AW115" i="133"/>
  <c r="AV115" i="133"/>
  <c r="AU115" i="133"/>
  <c r="AT115" i="133"/>
  <c r="AS115" i="133"/>
  <c r="BD109" i="133"/>
  <c r="BD110" i="133" s="1"/>
  <c r="BC109" i="133"/>
  <c r="BC110" i="133" s="1"/>
  <c r="BB109" i="133"/>
  <c r="BB110" i="133" s="1"/>
  <c r="BA109" i="133"/>
  <c r="BA110" i="133" s="1"/>
  <c r="AZ109" i="133"/>
  <c r="AZ110" i="133" s="1"/>
  <c r="AY109" i="133"/>
  <c r="AY110" i="133" s="1"/>
  <c r="AX109" i="133"/>
  <c r="AX110" i="133" s="1"/>
  <c r="AW109" i="133"/>
  <c r="AW110" i="133" s="1"/>
  <c r="AV109" i="133"/>
  <c r="AV110" i="133" s="1"/>
  <c r="AU109" i="133"/>
  <c r="AU110" i="133" s="1"/>
  <c r="AT109" i="133"/>
  <c r="AT110" i="133" s="1"/>
  <c r="AS109" i="133"/>
  <c r="AS110" i="133" s="1"/>
  <c r="BE108" i="133"/>
  <c r="AT77" i="133"/>
  <c r="AT85" i="133" s="1"/>
  <c r="AS77" i="133"/>
  <c r="AS85" i="133" s="1"/>
  <c r="BE76" i="133"/>
  <c r="BE65" i="133"/>
  <c r="BE52" i="133"/>
  <c r="BD35" i="133"/>
  <c r="BC35" i="133"/>
  <c r="BB35" i="133"/>
  <c r="BA35" i="133"/>
  <c r="AZ35" i="133"/>
  <c r="AY35" i="133"/>
  <c r="AX35" i="133"/>
  <c r="AW35" i="133"/>
  <c r="AV35" i="133"/>
  <c r="AU35" i="133"/>
  <c r="AT35" i="133"/>
  <c r="AS35" i="133"/>
  <c r="AW23" i="133"/>
  <c r="AX23" i="133" s="1"/>
  <c r="AY23" i="133" s="1"/>
  <c r="AT21" i="133"/>
  <c r="AU21" i="133" s="1"/>
  <c r="AV21" i="133" s="1"/>
  <c r="AW21" i="133" s="1"/>
  <c r="AX21" i="133" s="1"/>
  <c r="AY21" i="133" s="1"/>
  <c r="AZ21" i="133" s="1"/>
  <c r="BA21" i="133" s="1"/>
  <c r="BB21" i="133" s="1"/>
  <c r="BC21" i="133" s="1"/>
  <c r="BD21" i="133" s="1"/>
  <c r="AS20" i="133"/>
  <c r="AW19" i="133"/>
  <c r="AX19" i="133" s="1"/>
  <c r="AT19" i="133"/>
  <c r="AU18" i="133"/>
  <c r="AV18" i="133" s="1"/>
  <c r="AW18" i="133" s="1"/>
  <c r="AX18" i="133" s="1"/>
  <c r="AY18" i="133" s="1"/>
  <c r="AZ18" i="133" s="1"/>
  <c r="BA18" i="133" s="1"/>
  <c r="BB18" i="133" s="1"/>
  <c r="BC18" i="133" s="1"/>
  <c r="BD18" i="133" s="1"/>
  <c r="AT17" i="133"/>
  <c r="AU17" i="133" s="1"/>
  <c r="AV17" i="133" s="1"/>
  <c r="AV10" i="133"/>
  <c r="AW10" i="133" s="1"/>
  <c r="AV9" i="133"/>
  <c r="AV48" i="133" s="1"/>
  <c r="AS8" i="133"/>
  <c r="AV7" i="133"/>
  <c r="AT6" i="133"/>
  <c r="AU6" i="133" s="1"/>
  <c r="AV5" i="133"/>
  <c r="AV44" i="133" s="1"/>
  <c r="AT5" i="133"/>
  <c r="AN136" i="133"/>
  <c r="AM136" i="133"/>
  <c r="AL136" i="133"/>
  <c r="AK136" i="133"/>
  <c r="AJ136" i="133"/>
  <c r="AI136" i="133"/>
  <c r="AH136" i="133"/>
  <c r="AG136" i="133"/>
  <c r="AF136" i="133"/>
  <c r="AR135" i="133"/>
  <c r="AR134" i="133"/>
  <c r="AR130" i="133"/>
  <c r="AR117" i="133"/>
  <c r="AQ115" i="133"/>
  <c r="AP115" i="133"/>
  <c r="AO115" i="133"/>
  <c r="AN115" i="133"/>
  <c r="AM115" i="133"/>
  <c r="AL115" i="133"/>
  <c r="AK115" i="133"/>
  <c r="AJ115" i="133"/>
  <c r="AI115" i="133"/>
  <c r="AH115" i="133"/>
  <c r="AG115" i="133"/>
  <c r="AF115" i="133"/>
  <c r="AQ109" i="133"/>
  <c r="AQ110" i="133" s="1"/>
  <c r="AP109" i="133"/>
  <c r="AP110" i="133" s="1"/>
  <c r="AO109" i="133"/>
  <c r="AO110" i="133" s="1"/>
  <c r="AN109" i="133"/>
  <c r="AN110" i="133" s="1"/>
  <c r="AM109" i="133"/>
  <c r="AM110" i="133" s="1"/>
  <c r="AL109" i="133"/>
  <c r="AL110" i="133" s="1"/>
  <c r="AK109" i="133"/>
  <c r="AK110" i="133" s="1"/>
  <c r="AJ109" i="133"/>
  <c r="AJ110" i="133" s="1"/>
  <c r="AI109" i="133"/>
  <c r="AI110" i="133" s="1"/>
  <c r="AH109" i="133"/>
  <c r="AH110" i="133" s="1"/>
  <c r="AG109" i="133"/>
  <c r="AG110" i="133" s="1"/>
  <c r="AF109" i="133"/>
  <c r="AF110" i="133" s="1"/>
  <c r="AR108" i="133"/>
  <c r="AG77" i="133"/>
  <c r="AG85" i="133" s="1"/>
  <c r="AF77" i="133"/>
  <c r="AF85" i="133" s="1"/>
  <c r="AR76" i="133"/>
  <c r="AR65" i="133"/>
  <c r="AR52" i="133"/>
  <c r="AQ35" i="133"/>
  <c r="AP35" i="133"/>
  <c r="AO35" i="133"/>
  <c r="AN35" i="133"/>
  <c r="AM35" i="133"/>
  <c r="AL35" i="133"/>
  <c r="AK35" i="133"/>
  <c r="AJ35" i="133"/>
  <c r="AI35" i="133"/>
  <c r="AH35" i="133"/>
  <c r="AG35" i="133"/>
  <c r="AF35" i="133"/>
  <c r="AJ23" i="133"/>
  <c r="AG21" i="133"/>
  <c r="AH21" i="133" s="1"/>
  <c r="AI21" i="133" s="1"/>
  <c r="AF20" i="133"/>
  <c r="AJ19" i="133"/>
  <c r="AG19" i="133"/>
  <c r="AH18" i="133"/>
  <c r="AG17" i="133"/>
  <c r="AG20" i="133" s="1"/>
  <c r="AI10" i="133"/>
  <c r="AJ10" i="133" s="1"/>
  <c r="AI9" i="133"/>
  <c r="AF8" i="133"/>
  <c r="AI7" i="133"/>
  <c r="AI46" i="133" s="1"/>
  <c r="AG6" i="133"/>
  <c r="AH6" i="133" s="1"/>
  <c r="AI5" i="133"/>
  <c r="AG5" i="133"/>
  <c r="AA136" i="133"/>
  <c r="Z136" i="133"/>
  <c r="Y136" i="133"/>
  <c r="X136" i="133"/>
  <c r="W136" i="133"/>
  <c r="V136" i="133"/>
  <c r="U136" i="133"/>
  <c r="T136" i="133"/>
  <c r="S136" i="133"/>
  <c r="AE135" i="133"/>
  <c r="AE134" i="133"/>
  <c r="AE130" i="133"/>
  <c r="AE117" i="133"/>
  <c r="AD115" i="133"/>
  <c r="AC115" i="133"/>
  <c r="AB115" i="133"/>
  <c r="AA115" i="133"/>
  <c r="Z115" i="133"/>
  <c r="Y115" i="133"/>
  <c r="X115" i="133"/>
  <c r="W115" i="133"/>
  <c r="V115" i="133"/>
  <c r="U115" i="133"/>
  <c r="T115" i="133"/>
  <c r="S115" i="133"/>
  <c r="AD109" i="133"/>
  <c r="AD110" i="133" s="1"/>
  <c r="AC109" i="133"/>
  <c r="AC110" i="133" s="1"/>
  <c r="AB109" i="133"/>
  <c r="AB110" i="133" s="1"/>
  <c r="AA109" i="133"/>
  <c r="AA110" i="133" s="1"/>
  <c r="Z109" i="133"/>
  <c r="Z110" i="133" s="1"/>
  <c r="Y109" i="133"/>
  <c r="Y110" i="133" s="1"/>
  <c r="X109" i="133"/>
  <c r="X110" i="133" s="1"/>
  <c r="W109" i="133"/>
  <c r="W110" i="133" s="1"/>
  <c r="V109" i="133"/>
  <c r="V110" i="133" s="1"/>
  <c r="U109" i="133"/>
  <c r="U110" i="133" s="1"/>
  <c r="T109" i="133"/>
  <c r="T110" i="133" s="1"/>
  <c r="S109" i="133"/>
  <c r="S110" i="133" s="1"/>
  <c r="AE108" i="133"/>
  <c r="T77" i="133"/>
  <c r="T85" i="133" s="1"/>
  <c r="S77" i="133"/>
  <c r="S85" i="133" s="1"/>
  <c r="AE76" i="133"/>
  <c r="AE65" i="133"/>
  <c r="AE52" i="133"/>
  <c r="AD35" i="133"/>
  <c r="AC35" i="133"/>
  <c r="AB35" i="133"/>
  <c r="AA35" i="133"/>
  <c r="Z35" i="133"/>
  <c r="Y35" i="133"/>
  <c r="X35" i="133"/>
  <c r="W35" i="133"/>
  <c r="V35" i="133"/>
  <c r="U35" i="133"/>
  <c r="T35" i="133"/>
  <c r="S35" i="133"/>
  <c r="W23" i="133"/>
  <c r="X23" i="133" s="1"/>
  <c r="T21" i="133"/>
  <c r="U21" i="133" s="1"/>
  <c r="S20" i="133"/>
  <c r="W19" i="133"/>
  <c r="X19" i="133" s="1"/>
  <c r="T19" i="133"/>
  <c r="U18" i="133"/>
  <c r="T17" i="133"/>
  <c r="V10" i="133"/>
  <c r="W10" i="133" s="1"/>
  <c r="W49" i="133" s="1"/>
  <c r="V9" i="133"/>
  <c r="S8" i="133"/>
  <c r="V7" i="133"/>
  <c r="W7" i="133" s="1"/>
  <c r="T6" i="133"/>
  <c r="V5" i="133"/>
  <c r="W5" i="133" s="1"/>
  <c r="W44" i="133" s="1"/>
  <c r="T5" i="133"/>
  <c r="T44" i="133" s="1"/>
  <c r="N136" i="133"/>
  <c r="M136" i="133"/>
  <c r="L136" i="133"/>
  <c r="K136" i="133"/>
  <c r="J136" i="133"/>
  <c r="I136" i="133"/>
  <c r="H136" i="133"/>
  <c r="G136" i="133"/>
  <c r="F136" i="133"/>
  <c r="R135" i="133"/>
  <c r="R134" i="133"/>
  <c r="R117" i="133"/>
  <c r="Z10" i="119"/>
  <c r="Z8" i="119" s="1"/>
  <c r="Z23" i="119" s="1"/>
  <c r="P110" i="133"/>
  <c r="T363" i="110" s="1"/>
  <c r="O110" i="133"/>
  <c r="S363" i="110" s="1"/>
  <c r="N110" i="133"/>
  <c r="R363" i="110" s="1"/>
  <c r="M110" i="133"/>
  <c r="Q363" i="110" s="1"/>
  <c r="L110" i="133"/>
  <c r="K110" i="133"/>
  <c r="O363" i="110" s="1"/>
  <c r="J110" i="133"/>
  <c r="N389" i="110" s="1"/>
  <c r="I110" i="133"/>
  <c r="M363" i="110" s="1"/>
  <c r="H110" i="133"/>
  <c r="G110" i="133"/>
  <c r="O10" i="119"/>
  <c r="O8" i="119" s="1"/>
  <c r="R108" i="133"/>
  <c r="R65" i="133"/>
  <c r="F24" i="133"/>
  <c r="F20" i="133"/>
  <c r="F12" i="133"/>
  <c r="W181" i="137"/>
  <c r="U181" i="137"/>
  <c r="U182" i="137" s="1"/>
  <c r="T181" i="137"/>
  <c r="S181" i="137"/>
  <c r="R181" i="137"/>
  <c r="P181" i="137"/>
  <c r="W180" i="137"/>
  <c r="V180" i="137"/>
  <c r="T180" i="137"/>
  <c r="T182" i="137" s="1"/>
  <c r="S180" i="137"/>
  <c r="Q180" i="137"/>
  <c r="P180" i="137"/>
  <c r="O180" i="137"/>
  <c r="N180" i="137"/>
  <c r="N182" i="137"/>
  <c r="M180" i="137"/>
  <c r="L180" i="137"/>
  <c r="W168" i="137"/>
  <c r="Q168" i="137"/>
  <c r="L168" i="137"/>
  <c r="R162" i="137"/>
  <c r="R168" i="137"/>
  <c r="M162" i="137"/>
  <c r="W159" i="137"/>
  <c r="W161" i="137" s="1"/>
  <c r="W163" i="137" s="1"/>
  <c r="W167" i="137" s="1"/>
  <c r="V159" i="137"/>
  <c r="V161" i="137" s="1"/>
  <c r="U159" i="137"/>
  <c r="U161" i="137" s="1"/>
  <c r="T159" i="137"/>
  <c r="T161" i="137" s="1"/>
  <c r="S159" i="137"/>
  <c r="S161" i="137" s="1"/>
  <c r="R159" i="137"/>
  <c r="Q159" i="137"/>
  <c r="Q161" i="137" s="1"/>
  <c r="Q163" i="137" s="1"/>
  <c r="Q167" i="137" s="1"/>
  <c r="Q169" i="137" s="1"/>
  <c r="P159" i="137"/>
  <c r="P161" i="137" s="1"/>
  <c r="O159" i="137"/>
  <c r="O161" i="137" s="1"/>
  <c r="N159" i="137"/>
  <c r="N161" i="137" s="1"/>
  <c r="M159" i="137"/>
  <c r="M161" i="137" s="1"/>
  <c r="L159" i="137"/>
  <c r="L161" i="137" s="1"/>
  <c r="L163" i="137" s="1"/>
  <c r="X86" i="137"/>
  <c r="K395" i="110"/>
  <c r="L395" i="110" s="1"/>
  <c r="M395" i="110" s="1"/>
  <c r="N395" i="110" s="1"/>
  <c r="O395" i="110" s="1"/>
  <c r="P395" i="110" s="1"/>
  <c r="Q395" i="110" s="1"/>
  <c r="R395" i="110" s="1"/>
  <c r="S395" i="110" s="1"/>
  <c r="T395" i="110" s="1"/>
  <c r="U395" i="110" s="1"/>
  <c r="K277" i="110"/>
  <c r="L277" i="110" s="1"/>
  <c r="M277" i="110" s="1"/>
  <c r="N277" i="110" s="1"/>
  <c r="O277" i="110" s="1"/>
  <c r="P277" i="110" s="1"/>
  <c r="Q277" i="110" s="1"/>
  <c r="R277" i="110" s="1"/>
  <c r="S277" i="110" s="1"/>
  <c r="T277" i="110" s="1"/>
  <c r="U277" i="110" s="1"/>
  <c r="V270" i="110"/>
  <c r="V89" i="110"/>
  <c r="V176" i="110" s="1"/>
  <c r="U89" i="110"/>
  <c r="U176" i="110" s="1"/>
  <c r="T89" i="110"/>
  <c r="T176" i="110" s="1"/>
  <c r="S89" i="110"/>
  <c r="S176" i="110" s="1"/>
  <c r="R89" i="110"/>
  <c r="R176" i="110" s="1"/>
  <c r="Q89" i="110"/>
  <c r="Q176" i="110" s="1"/>
  <c r="P89" i="110"/>
  <c r="P176" i="110" s="1"/>
  <c r="O89" i="110"/>
  <c r="O176" i="110" s="1"/>
  <c r="N89" i="110"/>
  <c r="N176" i="110" s="1"/>
  <c r="M89" i="110"/>
  <c r="M176" i="110" s="1"/>
  <c r="L89" i="110"/>
  <c r="L176" i="110" s="1"/>
  <c r="K89" i="110"/>
  <c r="K176" i="110" s="1"/>
  <c r="J89" i="110"/>
  <c r="J176" i="110" s="1"/>
  <c r="V4" i="110"/>
  <c r="X4" i="137" s="1"/>
  <c r="X85" i="137" s="1"/>
  <c r="X166" i="137" s="1"/>
  <c r="X173" i="137" s="1"/>
  <c r="X179" i="137" s="1"/>
  <c r="U4" i="110"/>
  <c r="W4" i="137" s="1"/>
  <c r="W85" i="137" s="1"/>
  <c r="W166" i="137" s="1"/>
  <c r="W173" i="137" s="1"/>
  <c r="W179" i="137" s="1"/>
  <c r="T4" i="110"/>
  <c r="V4" i="137" s="1"/>
  <c r="V85" i="137" s="1"/>
  <c r="V166" i="137" s="1"/>
  <c r="V173" i="137" s="1"/>
  <c r="V179" i="137" s="1"/>
  <c r="S4" i="110"/>
  <c r="U4" i="137" s="1"/>
  <c r="U85" i="137" s="1"/>
  <c r="U166" i="137" s="1"/>
  <c r="U173" i="137" s="1"/>
  <c r="U179" i="137" s="1"/>
  <c r="R4" i="110"/>
  <c r="T4" i="137" s="1"/>
  <c r="T85" i="137" s="1"/>
  <c r="T166" i="137" s="1"/>
  <c r="T173" i="137" s="1"/>
  <c r="T179" i="137" s="1"/>
  <c r="Q4" i="110"/>
  <c r="S4" i="137" s="1"/>
  <c r="S85" i="137" s="1"/>
  <c r="S166" i="137" s="1"/>
  <c r="S173" i="137" s="1"/>
  <c r="S179" i="137" s="1"/>
  <c r="P4" i="110"/>
  <c r="R4" i="137" s="1"/>
  <c r="R85" i="137" s="1"/>
  <c r="R166" i="137" s="1"/>
  <c r="R173" i="137" s="1"/>
  <c r="R179" i="137" s="1"/>
  <c r="O4" i="110"/>
  <c r="Q4" i="137" s="1"/>
  <c r="Q85" i="137" s="1"/>
  <c r="Q166" i="137" s="1"/>
  <c r="Q173" i="137" s="1"/>
  <c r="Q179" i="137" s="1"/>
  <c r="N4" i="110"/>
  <c r="P4" i="137" s="1"/>
  <c r="P85" i="137" s="1"/>
  <c r="P166" i="137" s="1"/>
  <c r="P173" i="137" s="1"/>
  <c r="P179" i="137" s="1"/>
  <c r="M4" i="110"/>
  <c r="O4" i="137" s="1"/>
  <c r="O85" i="137" s="1"/>
  <c r="O166" i="137" s="1"/>
  <c r="O173" i="137" s="1"/>
  <c r="O179" i="137" s="1"/>
  <c r="L4" i="110"/>
  <c r="N4" i="137" s="1"/>
  <c r="N85" i="137" s="1"/>
  <c r="N166" i="137" s="1"/>
  <c r="N173" i="137" s="1"/>
  <c r="N179" i="137" s="1"/>
  <c r="K4" i="110"/>
  <c r="M4" i="137" s="1"/>
  <c r="M85" i="137" s="1"/>
  <c r="M166" i="137" s="1"/>
  <c r="M173" i="137" s="1"/>
  <c r="M179" i="137" s="1"/>
  <c r="AC362" i="110"/>
  <c r="AF362" i="110" s="1"/>
  <c r="AB362" i="110"/>
  <c r="AE362" i="110" s="1"/>
  <c r="AA362" i="110"/>
  <c r="AD362" i="110" s="1"/>
  <c r="AC361" i="110"/>
  <c r="AF361" i="110" s="1"/>
  <c r="AB361" i="110"/>
  <c r="AE361" i="110" s="1"/>
  <c r="AA361" i="110"/>
  <c r="AD361" i="110" s="1"/>
  <c r="AC360" i="110"/>
  <c r="AF360" i="110" s="1"/>
  <c r="AB360" i="110"/>
  <c r="AE360" i="110" s="1"/>
  <c r="AA360" i="110"/>
  <c r="AD360" i="110" s="1"/>
  <c r="AC359" i="110"/>
  <c r="AF359" i="110" s="1"/>
  <c r="AB359" i="110"/>
  <c r="AE359" i="110" s="1"/>
  <c r="AA359" i="110"/>
  <c r="AD359" i="110" s="1"/>
  <c r="AC358" i="110"/>
  <c r="AF358" i="110" s="1"/>
  <c r="AB358" i="110"/>
  <c r="AE358" i="110" s="1"/>
  <c r="AA358" i="110"/>
  <c r="AD358" i="110" s="1"/>
  <c r="AC357" i="110"/>
  <c r="AF357" i="110" s="1"/>
  <c r="AB357" i="110"/>
  <c r="AE357" i="110" s="1"/>
  <c r="AA357" i="110"/>
  <c r="AD357" i="110" s="1"/>
  <c r="AC356" i="110"/>
  <c r="AF356" i="110" s="1"/>
  <c r="AB356" i="110"/>
  <c r="AE356" i="110" s="1"/>
  <c r="AA356" i="110"/>
  <c r="AD356" i="110" s="1"/>
  <c r="AC355" i="110"/>
  <c r="AF355" i="110" s="1"/>
  <c r="AB355" i="110"/>
  <c r="AE355" i="110" s="1"/>
  <c r="AA355" i="110"/>
  <c r="AD355" i="110" s="1"/>
  <c r="AC354" i="110"/>
  <c r="AF354" i="110" s="1"/>
  <c r="AB354" i="110"/>
  <c r="AE354" i="110" s="1"/>
  <c r="AA354" i="110"/>
  <c r="AD354" i="110" s="1"/>
  <c r="AC353" i="110"/>
  <c r="AF353" i="110" s="1"/>
  <c r="AB353" i="110"/>
  <c r="AE353" i="110" s="1"/>
  <c r="AA353" i="110"/>
  <c r="AD353" i="110" s="1"/>
  <c r="AC352" i="110"/>
  <c r="AF352" i="110" s="1"/>
  <c r="AB352" i="110"/>
  <c r="AE352" i="110" s="1"/>
  <c r="AA352" i="110"/>
  <c r="AD352" i="110" s="1"/>
  <c r="AC351" i="110"/>
  <c r="AF351" i="110" s="1"/>
  <c r="AB351" i="110"/>
  <c r="AE351" i="110" s="1"/>
  <c r="AA351" i="110"/>
  <c r="AD351" i="110" s="1"/>
  <c r="AC350" i="110"/>
  <c r="AF350" i="110" s="1"/>
  <c r="AB350" i="110"/>
  <c r="AE350" i="110" s="1"/>
  <c r="AA350" i="110"/>
  <c r="AD350" i="110" s="1"/>
  <c r="AC349" i="110"/>
  <c r="AF349" i="110" s="1"/>
  <c r="AB349" i="110"/>
  <c r="AE349" i="110" s="1"/>
  <c r="AA349" i="110"/>
  <c r="AD349" i="110" s="1"/>
  <c r="AC348" i="110"/>
  <c r="AF348" i="110" s="1"/>
  <c r="AB348" i="110"/>
  <c r="AE348" i="110" s="1"/>
  <c r="AA348" i="110"/>
  <c r="AD348" i="110" s="1"/>
  <c r="AC347" i="110"/>
  <c r="AF347" i="110" s="1"/>
  <c r="AB347" i="110"/>
  <c r="AE347" i="110" s="1"/>
  <c r="AA347" i="110"/>
  <c r="AD347" i="110" s="1"/>
  <c r="AC346" i="110"/>
  <c r="AF346" i="110" s="1"/>
  <c r="AB346" i="110"/>
  <c r="AE346" i="110" s="1"/>
  <c r="AA346" i="110"/>
  <c r="AD346" i="110" s="1"/>
  <c r="AC345" i="110"/>
  <c r="AF345" i="110" s="1"/>
  <c r="AB345" i="110"/>
  <c r="AE345" i="110" s="1"/>
  <c r="AA345" i="110"/>
  <c r="AD345" i="110" s="1"/>
  <c r="AC344" i="110"/>
  <c r="AF344" i="110" s="1"/>
  <c r="AB344" i="110"/>
  <c r="AE344" i="110" s="1"/>
  <c r="AA344" i="110"/>
  <c r="AD344" i="110" s="1"/>
  <c r="AC343" i="110"/>
  <c r="AF343" i="110" s="1"/>
  <c r="AB343" i="110"/>
  <c r="AE343" i="110" s="1"/>
  <c r="AA343" i="110"/>
  <c r="AD343" i="110" s="1"/>
  <c r="AC342" i="110"/>
  <c r="AF342" i="110" s="1"/>
  <c r="AB342" i="110"/>
  <c r="AE342" i="110" s="1"/>
  <c r="AA342" i="110"/>
  <c r="AD342" i="110" s="1"/>
  <c r="AC341" i="110"/>
  <c r="AF341" i="110" s="1"/>
  <c r="AB341" i="110"/>
  <c r="AE341" i="110" s="1"/>
  <c r="AA341" i="110"/>
  <c r="AD341" i="110" s="1"/>
  <c r="AC340" i="110"/>
  <c r="AF340" i="110" s="1"/>
  <c r="AB340" i="110"/>
  <c r="AE340" i="110" s="1"/>
  <c r="AA340" i="110"/>
  <c r="AD340" i="110" s="1"/>
  <c r="AC339" i="110"/>
  <c r="AF339" i="110" s="1"/>
  <c r="AB339" i="110"/>
  <c r="AE339" i="110" s="1"/>
  <c r="AA339" i="110"/>
  <c r="AD339" i="110" s="1"/>
  <c r="AC338" i="110"/>
  <c r="AF338" i="110" s="1"/>
  <c r="AB338" i="110"/>
  <c r="AE338" i="110" s="1"/>
  <c r="AA338" i="110"/>
  <c r="AD338" i="110" s="1"/>
  <c r="AC337" i="110"/>
  <c r="AF337" i="110" s="1"/>
  <c r="AB337" i="110"/>
  <c r="AE337" i="110" s="1"/>
  <c r="AA337" i="110"/>
  <c r="AD337" i="110" s="1"/>
  <c r="AC336" i="110"/>
  <c r="AF336" i="110" s="1"/>
  <c r="AB336" i="110"/>
  <c r="AE336" i="110" s="1"/>
  <c r="AA336" i="110"/>
  <c r="AD336" i="110" s="1"/>
  <c r="AC335" i="110"/>
  <c r="AF335" i="110" s="1"/>
  <c r="AB335" i="110"/>
  <c r="AE335" i="110" s="1"/>
  <c r="AA335" i="110"/>
  <c r="AD335" i="110" s="1"/>
  <c r="AC334" i="110"/>
  <c r="AF334" i="110" s="1"/>
  <c r="AB334" i="110"/>
  <c r="AE334" i="110" s="1"/>
  <c r="AA334" i="110"/>
  <c r="AD334" i="110" s="1"/>
  <c r="AC333" i="110"/>
  <c r="AF333" i="110" s="1"/>
  <c r="AB333" i="110"/>
  <c r="AE333" i="110" s="1"/>
  <c r="AA333" i="110"/>
  <c r="AD333" i="110" s="1"/>
  <c r="AC332" i="110"/>
  <c r="AF332" i="110" s="1"/>
  <c r="AB332" i="110"/>
  <c r="AE332" i="110" s="1"/>
  <c r="AA332" i="110"/>
  <c r="AD332" i="110" s="1"/>
  <c r="AC331" i="110"/>
  <c r="AF331" i="110" s="1"/>
  <c r="AB331" i="110"/>
  <c r="AE331" i="110" s="1"/>
  <c r="AA331" i="110"/>
  <c r="AD331" i="110" s="1"/>
  <c r="AC330" i="110"/>
  <c r="AF330" i="110" s="1"/>
  <c r="AB330" i="110"/>
  <c r="AE330" i="110" s="1"/>
  <c r="AA330" i="110"/>
  <c r="AD330" i="110" s="1"/>
  <c r="AC329" i="110"/>
  <c r="AF329" i="110" s="1"/>
  <c r="AB329" i="110"/>
  <c r="AE329" i="110" s="1"/>
  <c r="AA329" i="110"/>
  <c r="AD329" i="110" s="1"/>
  <c r="AC328" i="110"/>
  <c r="AF328" i="110" s="1"/>
  <c r="AB328" i="110"/>
  <c r="AE328" i="110" s="1"/>
  <c r="AA328" i="110"/>
  <c r="AD328" i="110" s="1"/>
  <c r="AC327" i="110"/>
  <c r="AF327" i="110" s="1"/>
  <c r="AB327" i="110"/>
  <c r="AE327" i="110" s="1"/>
  <c r="AA327" i="110"/>
  <c r="AD327" i="110" s="1"/>
  <c r="AC326" i="110"/>
  <c r="AF326" i="110" s="1"/>
  <c r="AB326" i="110"/>
  <c r="AE326" i="110" s="1"/>
  <c r="AA326" i="110"/>
  <c r="AD326" i="110" s="1"/>
  <c r="AC324" i="110"/>
  <c r="AF324" i="110" s="1"/>
  <c r="AB324" i="110"/>
  <c r="AE324" i="110" s="1"/>
  <c r="AA324" i="110"/>
  <c r="AD324" i="110" s="1"/>
  <c r="AC322" i="110"/>
  <c r="AF322" i="110" s="1"/>
  <c r="AB322" i="110"/>
  <c r="AE322" i="110" s="1"/>
  <c r="AA322" i="110"/>
  <c r="AD322" i="110" s="1"/>
  <c r="AC321" i="110"/>
  <c r="AF321" i="110" s="1"/>
  <c r="AB321" i="110"/>
  <c r="AE321" i="110" s="1"/>
  <c r="AA321" i="110"/>
  <c r="AD321" i="110" s="1"/>
  <c r="AC320" i="110"/>
  <c r="AF320" i="110" s="1"/>
  <c r="AB320" i="110"/>
  <c r="AE320" i="110" s="1"/>
  <c r="AA320" i="110"/>
  <c r="AD320" i="110" s="1"/>
  <c r="AC319" i="110"/>
  <c r="AF319" i="110" s="1"/>
  <c r="AB319" i="110"/>
  <c r="AE319" i="110" s="1"/>
  <c r="AA319" i="110"/>
  <c r="AD319" i="110" s="1"/>
  <c r="AC318" i="110"/>
  <c r="AF318" i="110" s="1"/>
  <c r="AB318" i="110"/>
  <c r="AE318" i="110" s="1"/>
  <c r="AA318" i="110"/>
  <c r="AD318" i="110" s="1"/>
  <c r="AC317" i="110"/>
  <c r="AF317" i="110" s="1"/>
  <c r="AB317" i="110"/>
  <c r="AE317" i="110" s="1"/>
  <c r="AA317" i="110"/>
  <c r="AD317" i="110" s="1"/>
  <c r="AC316" i="110"/>
  <c r="AF316" i="110" s="1"/>
  <c r="AB316" i="110"/>
  <c r="AE316" i="110" s="1"/>
  <c r="AA316" i="110"/>
  <c r="AD316" i="110" s="1"/>
  <c r="AC314" i="110"/>
  <c r="AF314" i="110" s="1"/>
  <c r="AB314" i="110"/>
  <c r="AE314" i="110" s="1"/>
  <c r="AA314" i="110"/>
  <c r="AD314" i="110" s="1"/>
  <c r="AC312" i="110"/>
  <c r="AF312" i="110" s="1"/>
  <c r="AB312" i="110"/>
  <c r="AE312" i="110" s="1"/>
  <c r="AA312" i="110"/>
  <c r="AD312" i="110" s="1"/>
  <c r="AC311" i="110"/>
  <c r="AF311" i="110" s="1"/>
  <c r="AB311" i="110"/>
  <c r="AE311" i="110" s="1"/>
  <c r="AA311" i="110"/>
  <c r="AD311" i="110" s="1"/>
  <c r="AC310" i="110"/>
  <c r="AF310" i="110" s="1"/>
  <c r="AB310" i="110"/>
  <c r="AE310" i="110" s="1"/>
  <c r="AA310" i="110"/>
  <c r="AD310" i="110" s="1"/>
  <c r="AC309" i="110"/>
  <c r="AF309" i="110" s="1"/>
  <c r="AB309" i="110"/>
  <c r="AE309" i="110" s="1"/>
  <c r="AA309" i="110"/>
  <c r="AD309" i="110" s="1"/>
  <c r="AC308" i="110"/>
  <c r="AF308" i="110" s="1"/>
  <c r="AB308" i="110"/>
  <c r="AE308" i="110" s="1"/>
  <c r="AA308" i="110"/>
  <c r="AD308" i="110" s="1"/>
  <c r="AC307" i="110"/>
  <c r="AF307" i="110" s="1"/>
  <c r="AB307" i="110"/>
  <c r="AE307" i="110" s="1"/>
  <c r="AA307" i="110"/>
  <c r="AD307" i="110" s="1"/>
  <c r="AC306" i="110"/>
  <c r="AF306" i="110" s="1"/>
  <c r="AB306" i="110"/>
  <c r="AE306" i="110" s="1"/>
  <c r="AA306" i="110"/>
  <c r="AD306" i="110" s="1"/>
  <c r="AC305" i="110"/>
  <c r="AF305" i="110" s="1"/>
  <c r="AB305" i="110"/>
  <c r="AE305" i="110" s="1"/>
  <c r="AA305" i="110"/>
  <c r="AD305" i="110" s="1"/>
  <c r="AC304" i="110"/>
  <c r="AF304" i="110" s="1"/>
  <c r="AB304" i="110"/>
  <c r="AE304" i="110" s="1"/>
  <c r="AC303" i="110"/>
  <c r="AF303" i="110" s="1"/>
  <c r="AB303" i="110"/>
  <c r="AE303" i="110" s="1"/>
  <c r="AC302" i="110"/>
  <c r="AF302" i="110" s="1"/>
  <c r="AB302" i="110"/>
  <c r="AE302" i="110" s="1"/>
  <c r="AC301" i="110"/>
  <c r="AF301" i="110" s="1"/>
  <c r="AB301" i="110"/>
  <c r="AE301" i="110" s="1"/>
  <c r="AC300" i="110"/>
  <c r="AF300" i="110" s="1"/>
  <c r="AB300" i="110"/>
  <c r="AE300" i="110" s="1"/>
  <c r="AC299" i="110"/>
  <c r="AF299" i="110" s="1"/>
  <c r="AB299" i="110"/>
  <c r="AE299" i="110" s="1"/>
  <c r="AA299" i="110"/>
  <c r="AD299" i="110" s="1"/>
  <c r="AC298" i="110"/>
  <c r="AF298" i="110" s="1"/>
  <c r="AB298" i="110"/>
  <c r="AE298" i="110" s="1"/>
  <c r="AA298" i="110"/>
  <c r="AD298" i="110" s="1"/>
  <c r="AC297" i="110"/>
  <c r="AF297" i="110" s="1"/>
  <c r="AB297" i="110"/>
  <c r="AE297" i="110" s="1"/>
  <c r="AA297" i="110"/>
  <c r="AD297" i="110" s="1"/>
  <c r="AC296" i="110"/>
  <c r="AF296" i="110" s="1"/>
  <c r="AB296" i="110"/>
  <c r="AE296" i="110" s="1"/>
  <c r="AA296" i="110"/>
  <c r="AD296" i="110" s="1"/>
  <c r="AC256" i="110"/>
  <c r="AB256" i="110"/>
  <c r="AA256" i="110"/>
  <c r="AC191" i="110"/>
  <c r="AF191" i="110" s="1"/>
  <c r="AB191" i="110"/>
  <c r="AE191" i="110" s="1"/>
  <c r="AA191" i="110"/>
  <c r="AD191" i="110" s="1"/>
  <c r="AC169" i="110"/>
  <c r="AF169" i="110" s="1"/>
  <c r="AB169" i="110"/>
  <c r="AE169" i="110" s="1"/>
  <c r="AA169" i="110"/>
  <c r="AD169" i="110" s="1"/>
  <c r="AC104" i="110"/>
  <c r="AF104" i="110" s="1"/>
  <c r="AB104" i="110"/>
  <c r="AE104" i="110" s="1"/>
  <c r="AA104" i="110"/>
  <c r="AD104" i="110" s="1"/>
  <c r="AC84" i="110"/>
  <c r="AB84" i="110"/>
  <c r="AA84" i="110"/>
  <c r="K63" i="197"/>
  <c r="K62" i="197"/>
  <c r="K61" i="197"/>
  <c r="K60" i="197"/>
  <c r="K59" i="197"/>
  <c r="K80" i="197"/>
  <c r="K79" i="197"/>
  <c r="K66" i="197"/>
  <c r="K65" i="197"/>
  <c r="K64" i="197"/>
  <c r="K58" i="197"/>
  <c r="K52" i="197"/>
  <c r="K50" i="197"/>
  <c r="K48" i="197"/>
  <c r="K47" i="197"/>
  <c r="K46" i="197"/>
  <c r="K45" i="197"/>
  <c r="K44" i="197"/>
  <c r="L315" i="58"/>
  <c r="M315" i="58"/>
  <c r="N315" i="58"/>
  <c r="O315" i="58"/>
  <c r="P315" i="58"/>
  <c r="Q315" i="58"/>
  <c r="R315" i="58"/>
  <c r="S315" i="58"/>
  <c r="T315" i="58"/>
  <c r="U315" i="58"/>
  <c r="V315" i="58"/>
  <c r="W315" i="58"/>
  <c r="W316" i="58"/>
  <c r="V316" i="58"/>
  <c r="U316" i="58"/>
  <c r="T316" i="58"/>
  <c r="S316" i="58"/>
  <c r="R316" i="58"/>
  <c r="Q316" i="58"/>
  <c r="P316" i="58"/>
  <c r="O316" i="58"/>
  <c r="N316" i="58"/>
  <c r="M316" i="58"/>
  <c r="L316" i="58"/>
  <c r="W314" i="58"/>
  <c r="V314" i="58"/>
  <c r="U314" i="58"/>
  <c r="T314" i="58"/>
  <c r="S314" i="58"/>
  <c r="R314" i="58"/>
  <c r="Q314" i="58"/>
  <c r="P314" i="58"/>
  <c r="O314" i="58"/>
  <c r="N314" i="58"/>
  <c r="M314" i="58"/>
  <c r="L314" i="58"/>
  <c r="W313" i="58"/>
  <c r="V313" i="58"/>
  <c r="U313" i="58"/>
  <c r="T313" i="58"/>
  <c r="S313" i="58"/>
  <c r="R313" i="58"/>
  <c r="Q313" i="58"/>
  <c r="P313" i="58"/>
  <c r="O313" i="58"/>
  <c r="N313" i="58"/>
  <c r="M313" i="58"/>
  <c r="L313" i="58"/>
  <c r="W312" i="58"/>
  <c r="V312" i="58"/>
  <c r="U312" i="58"/>
  <c r="T312" i="58"/>
  <c r="S312" i="58"/>
  <c r="R312" i="58"/>
  <c r="Q312" i="58"/>
  <c r="P312" i="58"/>
  <c r="O312" i="58"/>
  <c r="N312" i="58"/>
  <c r="M312" i="58"/>
  <c r="L312" i="58"/>
  <c r="W311" i="58"/>
  <c r="V311" i="58"/>
  <c r="U311" i="58"/>
  <c r="T311" i="58"/>
  <c r="S311" i="58"/>
  <c r="R311" i="58"/>
  <c r="Q311" i="58"/>
  <c r="P311" i="58"/>
  <c r="O311" i="58"/>
  <c r="N311" i="58"/>
  <c r="M311" i="58"/>
  <c r="L311" i="58"/>
  <c r="W310" i="58"/>
  <c r="V310" i="58"/>
  <c r="U310" i="58"/>
  <c r="T310" i="58"/>
  <c r="S310" i="58"/>
  <c r="R310" i="58"/>
  <c r="Q310" i="58"/>
  <c r="P310" i="58"/>
  <c r="O310" i="58"/>
  <c r="N310" i="58"/>
  <c r="M310" i="58"/>
  <c r="L310" i="58"/>
  <c r="W308" i="58"/>
  <c r="W309" i="58" s="1"/>
  <c r="Q308" i="58"/>
  <c r="Q309" i="58" s="1"/>
  <c r="P308" i="58"/>
  <c r="P309" i="58" s="1"/>
  <c r="O308" i="58"/>
  <c r="O309" i="58" s="1"/>
  <c r="N308" i="58"/>
  <c r="N309" i="58" s="1"/>
  <c r="M308" i="58"/>
  <c r="M309" i="58" s="1"/>
  <c r="L308" i="58"/>
  <c r="L309" i="58" s="1"/>
  <c r="W337" i="58"/>
  <c r="U337" i="58"/>
  <c r="W292" i="58"/>
  <c r="V292" i="58"/>
  <c r="U292" i="58"/>
  <c r="T292" i="58"/>
  <c r="S292" i="58"/>
  <c r="R292" i="58"/>
  <c r="Q292" i="58"/>
  <c r="P292" i="58"/>
  <c r="O292" i="58"/>
  <c r="N292" i="58"/>
  <c r="M292" i="58"/>
  <c r="L292" i="58"/>
  <c r="W277" i="58"/>
  <c r="W318" i="58" s="1"/>
  <c r="V277" i="58"/>
  <c r="V318" i="58" s="1"/>
  <c r="U277" i="58"/>
  <c r="U318" i="58" s="1"/>
  <c r="T277" i="58"/>
  <c r="T318" i="58" s="1"/>
  <c r="S277" i="58"/>
  <c r="S318" i="58" s="1"/>
  <c r="R277" i="58"/>
  <c r="R318" i="58" s="1"/>
  <c r="Q277" i="58"/>
  <c r="Q318" i="58" s="1"/>
  <c r="P277" i="58"/>
  <c r="P318" i="58" s="1"/>
  <c r="O277" i="58"/>
  <c r="O318" i="58" s="1"/>
  <c r="N277" i="58"/>
  <c r="N318" i="58" s="1"/>
  <c r="M277" i="58"/>
  <c r="L277" i="58"/>
  <c r="L318" i="58" s="1"/>
  <c r="W275" i="58"/>
  <c r="V275" i="58"/>
  <c r="U275" i="58"/>
  <c r="T275" i="58"/>
  <c r="S275" i="58"/>
  <c r="R275" i="58"/>
  <c r="Q275" i="58"/>
  <c r="P275" i="58"/>
  <c r="O275" i="58"/>
  <c r="N275" i="58"/>
  <c r="M275" i="58"/>
  <c r="L275" i="58"/>
  <c r="W274" i="58"/>
  <c r="V274" i="58"/>
  <c r="U274" i="58"/>
  <c r="T274" i="58"/>
  <c r="S274" i="58"/>
  <c r="R274" i="58"/>
  <c r="Q274" i="58"/>
  <c r="P274" i="58"/>
  <c r="O274" i="58"/>
  <c r="N274" i="58"/>
  <c r="M274" i="58"/>
  <c r="L274" i="58"/>
  <c r="W273" i="58"/>
  <c r="V273" i="58"/>
  <c r="U273" i="58"/>
  <c r="T273" i="58"/>
  <c r="S273" i="58"/>
  <c r="R273" i="58"/>
  <c r="Q273" i="58"/>
  <c r="P273" i="58"/>
  <c r="O273" i="58"/>
  <c r="N273" i="58"/>
  <c r="M273" i="58"/>
  <c r="L273" i="58"/>
  <c r="W272" i="58"/>
  <c r="V272" i="58"/>
  <c r="U272" i="58"/>
  <c r="T272" i="58"/>
  <c r="S272" i="58"/>
  <c r="R272" i="58"/>
  <c r="Q272" i="58"/>
  <c r="P272" i="58"/>
  <c r="O272" i="58"/>
  <c r="N272" i="58"/>
  <c r="M272" i="58"/>
  <c r="L272" i="58"/>
  <c r="W271" i="58"/>
  <c r="V271" i="58"/>
  <c r="U271" i="58"/>
  <c r="T271" i="58"/>
  <c r="S271" i="58"/>
  <c r="R271" i="58"/>
  <c r="Q271" i="58"/>
  <c r="P271" i="58"/>
  <c r="O271" i="58"/>
  <c r="N271" i="58"/>
  <c r="M271" i="58"/>
  <c r="L271" i="58"/>
  <c r="W269" i="58"/>
  <c r="Q269" i="58"/>
  <c r="P269" i="58"/>
  <c r="O269" i="58"/>
  <c r="N269" i="58"/>
  <c r="M269" i="58"/>
  <c r="L269" i="58"/>
  <c r="W268" i="58"/>
  <c r="Q268" i="58"/>
  <c r="P268" i="58"/>
  <c r="O268" i="58"/>
  <c r="N268" i="58"/>
  <c r="M268" i="58"/>
  <c r="L268" i="58"/>
  <c r="K118" i="197"/>
  <c r="K117" i="197"/>
  <c r="K116" i="197"/>
  <c r="K115" i="197"/>
  <c r="K114" i="197"/>
  <c r="K113" i="197"/>
  <c r="K112" i="197"/>
  <c r="K111" i="197"/>
  <c r="K110" i="197"/>
  <c r="K109" i="197"/>
  <c r="K108" i="197"/>
  <c r="K107" i="197"/>
  <c r="K106" i="197"/>
  <c r="K105" i="197"/>
  <c r="K95" i="197"/>
  <c r="K94" i="197"/>
  <c r="K93" i="197"/>
  <c r="K92" i="197"/>
  <c r="K91" i="197"/>
  <c r="K90" i="197"/>
  <c r="K89" i="197"/>
  <c r="K88" i="197"/>
  <c r="K87" i="197"/>
  <c r="K86" i="197"/>
  <c r="K85" i="197"/>
  <c r="K84" i="197"/>
  <c r="K83" i="197"/>
  <c r="K82" i="197"/>
  <c r="K81" i="197"/>
  <c r="K78" i="197"/>
  <c r="K77" i="197"/>
  <c r="K76" i="197"/>
  <c r="K75" i="197"/>
  <c r="K74" i="197"/>
  <c r="K73" i="197"/>
  <c r="K72" i="197"/>
  <c r="K71" i="197"/>
  <c r="K70" i="197"/>
  <c r="K69" i="197"/>
  <c r="K68" i="197"/>
  <c r="K67" i="197"/>
  <c r="K43" i="197"/>
  <c r="E42" i="197"/>
  <c r="E33" i="197"/>
  <c r="D86" i="197"/>
  <c r="E109" i="197"/>
  <c r="E31" i="197"/>
  <c r="E16" i="197"/>
  <c r="E32" i="197"/>
  <c r="D70" i="197"/>
  <c r="D79" i="197"/>
  <c r="D108" i="197"/>
  <c r="E66" i="197"/>
  <c r="D66" i="197"/>
  <c r="D53" i="197"/>
  <c r="E44" i="197"/>
  <c r="D32" i="197"/>
  <c r="D100" i="197"/>
  <c r="D116" i="197"/>
  <c r="D12" i="197"/>
  <c r="D72" i="197"/>
  <c r="E70" i="197"/>
  <c r="D42" i="197"/>
  <c r="D16" i="197"/>
  <c r="E27" i="197"/>
  <c r="E118" i="197"/>
  <c r="E15" i="197"/>
  <c r="E113" i="197"/>
  <c r="D93" i="197"/>
  <c r="D30" i="197"/>
  <c r="D57" i="197"/>
  <c r="E34" i="197"/>
  <c r="D37" i="197"/>
  <c r="D75" i="197"/>
  <c r="D38" i="197"/>
  <c r="E12" i="197"/>
  <c r="E35" i="197"/>
  <c r="D112" i="197"/>
  <c r="E110" i="197"/>
  <c r="E90" i="197"/>
  <c r="D60" i="197"/>
  <c r="E47" i="197"/>
  <c r="D10" i="197"/>
  <c r="E108" i="197"/>
  <c r="D46" i="197"/>
  <c r="D62" i="197"/>
  <c r="D94" i="197"/>
  <c r="E37" i="197"/>
  <c r="D44" i="197"/>
  <c r="E88" i="197"/>
  <c r="D105" i="197"/>
  <c r="D91" i="197"/>
  <c r="E43" i="197"/>
  <c r="D63" i="197"/>
  <c r="D14" i="197"/>
  <c r="E38" i="197"/>
  <c r="D106" i="197"/>
  <c r="D109" i="197"/>
  <c r="D103" i="197"/>
  <c r="D33" i="197"/>
  <c r="D95" i="197"/>
  <c r="D83" i="197"/>
  <c r="D77" i="197"/>
  <c r="D43" i="197"/>
  <c r="E30" i="197"/>
  <c r="D68" i="197"/>
  <c r="D27" i="197"/>
  <c r="E115" i="197"/>
  <c r="E97" i="197"/>
  <c r="D71" i="197"/>
  <c r="D65" i="197"/>
  <c r="E92" i="197"/>
  <c r="E99" i="197"/>
  <c r="E29" i="197"/>
  <c r="D35" i="197"/>
  <c r="E58" i="197"/>
  <c r="E86" i="197"/>
  <c r="D45" i="197"/>
  <c r="D28" i="197"/>
  <c r="D104" i="197"/>
  <c r="D107" i="197"/>
  <c r="E14" i="197"/>
  <c r="D29" i="197"/>
  <c r="E84" i="197"/>
  <c r="E85" i="197"/>
  <c r="E71" i="197"/>
  <c r="D101" i="197"/>
  <c r="E101" i="197"/>
  <c r="E74" i="197"/>
  <c r="D31" i="197"/>
  <c r="E56" i="197"/>
  <c r="D90" i="197"/>
  <c r="E60" i="197"/>
  <c r="E55" i="197"/>
  <c r="E36" i="197"/>
  <c r="E116" i="197"/>
  <c r="E53" i="197"/>
  <c r="D78" i="197"/>
  <c r="E77" i="197"/>
  <c r="E81" i="197"/>
  <c r="E61" i="197"/>
  <c r="E82" i="197"/>
  <c r="D69" i="197"/>
  <c r="D15" i="197"/>
  <c r="D118" i="197"/>
  <c r="D111" i="197"/>
  <c r="D81" i="197"/>
  <c r="E78" i="197"/>
  <c r="E106" i="197"/>
  <c r="D97" i="197"/>
  <c r="E45" i="197"/>
  <c r="D98" i="197"/>
  <c r="E112" i="197"/>
  <c r="D11" i="197"/>
  <c r="D55" i="197"/>
  <c r="E117" i="197"/>
  <c r="E103" i="197"/>
  <c r="E59" i="197"/>
  <c r="D115" i="197"/>
  <c r="E52" i="197"/>
  <c r="E114" i="197"/>
  <c r="E50" i="197"/>
  <c r="E94" i="197"/>
  <c r="D74" i="197"/>
  <c r="E93" i="197"/>
  <c r="D67" i="197"/>
  <c r="E62" i="197"/>
  <c r="D61" i="197"/>
  <c r="D114" i="197"/>
  <c r="D102" i="197"/>
  <c r="E48" i="197"/>
  <c r="D76" i="197"/>
  <c r="D54" i="197"/>
  <c r="D84" i="197"/>
  <c r="E89" i="197"/>
  <c r="D117" i="197"/>
  <c r="D73" i="197"/>
  <c r="D36" i="197"/>
  <c r="E68" i="197"/>
  <c r="E107" i="197"/>
  <c r="E83" i="197"/>
  <c r="E91" i="197"/>
  <c r="E76" i="197"/>
  <c r="E80" i="197"/>
  <c r="E75" i="197"/>
  <c r="E65" i="197"/>
  <c r="E46" i="197"/>
  <c r="E105" i="197"/>
  <c r="D64" i="197"/>
  <c r="E111" i="197"/>
  <c r="D110" i="197"/>
  <c r="E63" i="197"/>
  <c r="D48" i="197"/>
  <c r="D92" i="197"/>
  <c r="E100" i="197"/>
  <c r="D85" i="197"/>
  <c r="D13" i="197"/>
  <c r="D59" i="197"/>
  <c r="E98" i="197"/>
  <c r="D58" i="197"/>
  <c r="E64" i="197"/>
  <c r="D89" i="197"/>
  <c r="E28" i="197"/>
  <c r="E102" i="197"/>
  <c r="E73" i="197"/>
  <c r="D50" i="197"/>
  <c r="D87" i="197"/>
  <c r="D80" i="197"/>
  <c r="E13" i="197"/>
  <c r="D113" i="197"/>
  <c r="E96" i="197"/>
  <c r="D47" i="197"/>
  <c r="D52" i="197"/>
  <c r="D34" i="197"/>
  <c r="E95" i="197"/>
  <c r="E104" i="197"/>
  <c r="E69" i="197"/>
  <c r="D56" i="197"/>
  <c r="E87" i="197"/>
  <c r="E67" i="197"/>
  <c r="E57" i="197"/>
  <c r="E54" i="197"/>
  <c r="D82" i="197"/>
  <c r="E72" i="197"/>
  <c r="E10" i="197"/>
  <c r="D99" i="197"/>
  <c r="D96" i="197"/>
  <c r="E79" i="197"/>
  <c r="D88" i="197"/>
  <c r="E11" i="197"/>
  <c r="Q110" i="133"/>
  <c r="U363" i="110" s="1"/>
  <c r="N5" i="181"/>
  <c r="H56" i="124"/>
  <c r="H64" i="124" s="1"/>
  <c r="P363" i="110"/>
  <c r="AA250" i="110"/>
  <c r="AD250" i="110" s="1"/>
  <c r="M10" i="157"/>
  <c r="N55" i="35" s="1"/>
  <c r="L27" i="138"/>
  <c r="F110" i="133"/>
  <c r="W9" i="133"/>
  <c r="W48" i="133" s="1"/>
  <c r="H19" i="157"/>
  <c r="G27" i="138"/>
  <c r="AJ7" i="133"/>
  <c r="AK7" i="133" s="1"/>
  <c r="AK46" i="133" s="1"/>
  <c r="K10" i="157"/>
  <c r="L55" i="35" s="1"/>
  <c r="J27" i="138"/>
  <c r="K93" i="133"/>
  <c r="H56" i="133"/>
  <c r="P56" i="133"/>
  <c r="P28" i="133"/>
  <c r="P43" i="133" s="1"/>
  <c r="AC168" i="110"/>
  <c r="AF168" i="110" s="1"/>
  <c r="AB165" i="110"/>
  <c r="AE165" i="110" s="1"/>
  <c r="AC165" i="110"/>
  <c r="AF165" i="110" s="1"/>
  <c r="AB167" i="110"/>
  <c r="AE167" i="110" s="1"/>
  <c r="AB166" i="110"/>
  <c r="AE166" i="110" s="1"/>
  <c r="AB168" i="110"/>
  <c r="AE168" i="110" s="1"/>
  <c r="AC166" i="110"/>
  <c r="AF166" i="110" s="1"/>
  <c r="H10" i="157"/>
  <c r="I55" i="35" s="1"/>
  <c r="J55" i="35"/>
  <c r="X82" i="133"/>
  <c r="H35" i="124"/>
  <c r="L176" i="137"/>
  <c r="S176" i="137"/>
  <c r="T176" i="137"/>
  <c r="P107" i="133"/>
  <c r="AF69" i="133"/>
  <c r="I93" i="133"/>
  <c r="H107" i="133"/>
  <c r="AV107" i="133"/>
  <c r="AO82" i="133"/>
  <c r="H8" i="124"/>
  <c r="P35" i="124"/>
  <c r="H49" i="124"/>
  <c r="X69" i="133"/>
  <c r="AW93" i="133"/>
  <c r="P69" i="133"/>
  <c r="P82" i="133"/>
  <c r="AF93" i="133"/>
  <c r="AV69" i="133"/>
  <c r="AO69" i="133"/>
  <c r="AY69" i="133"/>
  <c r="R22" i="124"/>
  <c r="P30" i="181"/>
  <c r="D13" i="157"/>
  <c r="O176" i="137"/>
  <c r="W176" i="137"/>
  <c r="P176" i="137"/>
  <c r="S182" i="137"/>
  <c r="S162" i="137"/>
  <c r="S168" i="137"/>
  <c r="M176" i="137"/>
  <c r="O181" i="137"/>
  <c r="O182" i="137" s="1"/>
  <c r="O10" i="157"/>
  <c r="P55" i="35" s="1"/>
  <c r="P9" i="157"/>
  <c r="J10" i="157"/>
  <c r="K55" i="35"/>
  <c r="Q73" i="35"/>
  <c r="P14" i="157"/>
  <c r="P16" i="157" s="1"/>
  <c r="E19" i="157"/>
  <c r="E10" i="157"/>
  <c r="F55" i="35" s="1"/>
  <c r="F10" i="157"/>
  <c r="G55" i="35" s="1"/>
  <c r="M19" i="157"/>
  <c r="J19" i="157"/>
  <c r="K19" i="157"/>
  <c r="O19" i="157"/>
  <c r="AW7" i="133"/>
  <c r="AW46" i="133" s="1"/>
  <c r="AJ5" i="133"/>
  <c r="AI18" i="133"/>
  <c r="AJ18" i="133" s="1"/>
  <c r="AK23" i="133"/>
  <c r="AL23" i="133" s="1"/>
  <c r="V18" i="133"/>
  <c r="U6" i="133"/>
  <c r="U8" i="133" s="1"/>
  <c r="G20" i="133"/>
  <c r="P182" i="137"/>
  <c r="L182" i="137"/>
  <c r="W182" i="137"/>
  <c r="X175" i="137"/>
  <c r="M266" i="110"/>
  <c r="N266" i="110" s="1"/>
  <c r="O266" i="110" s="1"/>
  <c r="P266" i="110" s="1"/>
  <c r="Q266" i="110" s="1"/>
  <c r="R266" i="110" s="1"/>
  <c r="X10" i="58"/>
  <c r="X18" i="58"/>
  <c r="X17" i="58"/>
  <c r="X9" i="58"/>
  <c r="X7" i="58"/>
  <c r="G104" i="58"/>
  <c r="X5" i="58"/>
  <c r="X171" i="58"/>
  <c r="X89" i="58"/>
  <c r="X175" i="58" s="1"/>
  <c r="X267" i="58" s="1"/>
  <c r="X286" i="58" s="1"/>
  <c r="X307" i="58" s="1"/>
  <c r="X325" i="58" s="1"/>
  <c r="W175" i="58"/>
  <c r="W267" i="58" s="1"/>
  <c r="W286" i="58" s="1"/>
  <c r="W307" i="58" s="1"/>
  <c r="W325" i="58" s="1"/>
  <c r="V175" i="58"/>
  <c r="V267" i="58" s="1"/>
  <c r="V286" i="58" s="1"/>
  <c r="V307" i="58" s="1"/>
  <c r="V325" i="58" s="1"/>
  <c r="U175" i="58"/>
  <c r="U267" i="58" s="1"/>
  <c r="U286" i="58" s="1"/>
  <c r="U307" i="58" s="1"/>
  <c r="U325" i="58" s="1"/>
  <c r="T175" i="58"/>
  <c r="T267" i="58" s="1"/>
  <c r="T286" i="58" s="1"/>
  <c r="T307" i="58" s="1"/>
  <c r="T325" i="58" s="1"/>
  <c r="S175" i="58"/>
  <c r="S267" i="58" s="1"/>
  <c r="S286" i="58" s="1"/>
  <c r="S307" i="58" s="1"/>
  <c r="S325" i="58" s="1"/>
  <c r="R175" i="58"/>
  <c r="R267" i="58" s="1"/>
  <c r="R286" i="58" s="1"/>
  <c r="R307" i="58" s="1"/>
  <c r="R325" i="58" s="1"/>
  <c r="Q175" i="58"/>
  <c r="Q267" i="58" s="1"/>
  <c r="Q286" i="58" s="1"/>
  <c r="Q307" i="58" s="1"/>
  <c r="Q325" i="58" s="1"/>
  <c r="P175" i="58"/>
  <c r="P267" i="58" s="1"/>
  <c r="P286" i="58" s="1"/>
  <c r="P307" i="58" s="1"/>
  <c r="P325" i="58" s="1"/>
  <c r="O175" i="58"/>
  <c r="O267" i="58" s="1"/>
  <c r="O286" i="58" s="1"/>
  <c r="O307" i="58" s="1"/>
  <c r="O325" i="58" s="1"/>
  <c r="N175" i="58"/>
  <c r="N267" i="58" s="1"/>
  <c r="N286" i="58" s="1"/>
  <c r="N307" i="58" s="1"/>
  <c r="N325" i="58" s="1"/>
  <c r="M175" i="58"/>
  <c r="M267" i="58" s="1"/>
  <c r="M286" i="58" s="1"/>
  <c r="M307" i="58" s="1"/>
  <c r="M325" i="58" s="1"/>
  <c r="L175" i="58"/>
  <c r="L267" i="58" s="1"/>
  <c r="L286" i="58" s="1"/>
  <c r="L307" i="58" s="1"/>
  <c r="L325" i="58" s="1"/>
  <c r="X85" i="58"/>
  <c r="F189" i="58"/>
  <c r="F188" i="58"/>
  <c r="F187" i="58"/>
  <c r="F186" i="58"/>
  <c r="F185" i="58"/>
  <c r="F184" i="58"/>
  <c r="F183" i="58"/>
  <c r="F182" i="58"/>
  <c r="F181" i="58"/>
  <c r="F180" i="58"/>
  <c r="F179" i="58"/>
  <c r="F178" i="58"/>
  <c r="F177" i="58"/>
  <c r="F176" i="58"/>
  <c r="Q96" i="58"/>
  <c r="R182" i="58" s="1"/>
  <c r="P96" i="58"/>
  <c r="Q182" i="58" s="1"/>
  <c r="L96" i="58"/>
  <c r="M182" i="58" s="1"/>
  <c r="W96" i="58"/>
  <c r="O96" i="58"/>
  <c r="P182" i="58" s="1"/>
  <c r="N96" i="58"/>
  <c r="O182" i="58" s="1"/>
  <c r="M96" i="58"/>
  <c r="N182" i="58" s="1"/>
  <c r="P183" i="58"/>
  <c r="O183" i="58"/>
  <c r="N183" i="58"/>
  <c r="Q183" i="58"/>
  <c r="R183" i="58"/>
  <c r="M183" i="58"/>
  <c r="U177" i="58"/>
  <c r="W177" i="58"/>
  <c r="M177" i="58"/>
  <c r="T177" i="58"/>
  <c r="S177" i="58"/>
  <c r="R177" i="58"/>
  <c r="P177" i="58"/>
  <c r="O177" i="58"/>
  <c r="Q177" i="58"/>
  <c r="V177" i="58"/>
  <c r="P92" i="58"/>
  <c r="Q178" i="58" s="1"/>
  <c r="V92" i="58"/>
  <c r="W178" i="58" s="1"/>
  <c r="M92" i="58"/>
  <c r="U92" i="58"/>
  <c r="V178" i="58" s="1"/>
  <c r="L92" i="58"/>
  <c r="M178" i="58" s="1"/>
  <c r="T92" i="58"/>
  <c r="U178" i="58" s="1"/>
  <c r="W92" i="58"/>
  <c r="S92" i="58"/>
  <c r="T178" i="58" s="1"/>
  <c r="N92" i="58"/>
  <c r="O178" i="58" s="1"/>
  <c r="R92" i="58"/>
  <c r="S178" i="58" s="1"/>
  <c r="O92" i="58"/>
  <c r="P178" i="58" s="1"/>
  <c r="Q92" i="58"/>
  <c r="R178" i="58" s="1"/>
  <c r="P100" i="58"/>
  <c r="S186" i="58" s="1"/>
  <c r="O100" i="58"/>
  <c r="R186" i="58" s="1"/>
  <c r="N100" i="58"/>
  <c r="L100" i="58"/>
  <c r="O186" i="58" s="1"/>
  <c r="W100" i="58"/>
  <c r="M100" i="58"/>
  <c r="P186" i="58" s="1"/>
  <c r="Q100" i="58"/>
  <c r="T186" i="58" s="1"/>
  <c r="S95" i="58"/>
  <c r="T181" i="58" s="1"/>
  <c r="R95" i="58"/>
  <c r="S181" i="58" s="1"/>
  <c r="V95" i="58"/>
  <c r="W181" i="58" s="1"/>
  <c r="Q95" i="58"/>
  <c r="R181" i="58" s="1"/>
  <c r="W95" i="58"/>
  <c r="P95" i="58"/>
  <c r="Q181" i="58" s="1"/>
  <c r="O95" i="58"/>
  <c r="P181" i="58" s="1"/>
  <c r="T95" i="58"/>
  <c r="U181" i="58" s="1"/>
  <c r="N95" i="58"/>
  <c r="O181" i="58" s="1"/>
  <c r="L95" i="58"/>
  <c r="M181" i="58" s="1"/>
  <c r="M95" i="58"/>
  <c r="U95" i="58"/>
  <c r="V181" i="58" s="1"/>
  <c r="AB252" i="110"/>
  <c r="AE252" i="110" s="1"/>
  <c r="AC252" i="110"/>
  <c r="AF252" i="110" s="1"/>
  <c r="AC254" i="110"/>
  <c r="AF254" i="110" s="1"/>
  <c r="AB254" i="110"/>
  <c r="AE254" i="110" s="1"/>
  <c r="AB253" i="110"/>
  <c r="AE253" i="110" s="1"/>
  <c r="AC253" i="110"/>
  <c r="AF253" i="110" s="1"/>
  <c r="AB255" i="110"/>
  <c r="AE255" i="110" s="1"/>
  <c r="AC255" i="110"/>
  <c r="AF255" i="110" s="1"/>
  <c r="W294" i="58"/>
  <c r="M294" i="58"/>
  <c r="V294" i="58"/>
  <c r="U294" i="58"/>
  <c r="L294" i="58"/>
  <c r="T162" i="137"/>
  <c r="U162" i="137" s="1"/>
  <c r="W18" i="133"/>
  <c r="X18" i="133" s="1"/>
  <c r="Y18" i="133" s="1"/>
  <c r="Z18" i="133" s="1"/>
  <c r="AA18" i="133" s="1"/>
  <c r="AB18" i="133" s="1"/>
  <c r="H20" i="133"/>
  <c r="G24" i="133"/>
  <c r="X181" i="137"/>
  <c r="X6" i="58"/>
  <c r="X8" i="58"/>
  <c r="X170" i="58"/>
  <c r="F141" i="58"/>
  <c r="F140" i="58"/>
  <c r="F139" i="58"/>
  <c r="F138" i="58"/>
  <c r="F137" i="58"/>
  <c r="F136" i="58"/>
  <c r="F97" i="58"/>
  <c r="F96" i="58"/>
  <c r="F95" i="58"/>
  <c r="F94" i="58"/>
  <c r="F93" i="58"/>
  <c r="F92" i="58"/>
  <c r="F91" i="58"/>
  <c r="F90" i="58"/>
  <c r="AA254" i="110"/>
  <c r="AD254" i="110" s="1"/>
  <c r="L331" i="58"/>
  <c r="AA255" i="110"/>
  <c r="AD255" i="110" s="1"/>
  <c r="AA253" i="110"/>
  <c r="AD253" i="110" s="1"/>
  <c r="AA252" i="110"/>
  <c r="AD252" i="110" s="1"/>
  <c r="V331" i="58"/>
  <c r="T332" i="58"/>
  <c r="U331" i="58"/>
  <c r="N331" i="58"/>
  <c r="I20" i="133"/>
  <c r="H24" i="133"/>
  <c r="L330" i="58"/>
  <c r="M331" i="58"/>
  <c r="W331" i="58"/>
  <c r="L329" i="58"/>
  <c r="L333" i="58"/>
  <c r="U333" i="58"/>
  <c r="P333" i="58"/>
  <c r="R334" i="58"/>
  <c r="M333" i="58"/>
  <c r="V333" i="58"/>
  <c r="N333" i="58"/>
  <c r="W333" i="58"/>
  <c r="O333" i="58"/>
  <c r="Q333" i="58"/>
  <c r="W290" i="58"/>
  <c r="R333" i="58"/>
  <c r="S333" i="58"/>
  <c r="T333" i="58"/>
  <c r="R329" i="58"/>
  <c r="P334" i="58"/>
  <c r="R291" i="58"/>
  <c r="L293" i="58"/>
  <c r="U293" i="58"/>
  <c r="U329" i="58"/>
  <c r="V329" i="58"/>
  <c r="U334" i="58"/>
  <c r="N293" i="58"/>
  <c r="W328" i="58"/>
  <c r="M334" i="58"/>
  <c r="W293" i="58"/>
  <c r="S334" i="58"/>
  <c r="W329" i="58"/>
  <c r="N330" i="58"/>
  <c r="V334" i="58"/>
  <c r="O293" i="58"/>
  <c r="O329" i="58"/>
  <c r="N334" i="58"/>
  <c r="Q293" i="58"/>
  <c r="V330" i="58"/>
  <c r="W334" i="58"/>
  <c r="R293" i="58"/>
  <c r="P294" i="58"/>
  <c r="S293" i="58"/>
  <c r="V293" i="58"/>
  <c r="T331" i="58"/>
  <c r="P328" i="58"/>
  <c r="P290" i="58"/>
  <c r="S291" i="58"/>
  <c r="T293" i="58"/>
  <c r="W330" i="58"/>
  <c r="L332" i="58"/>
  <c r="Q334" i="58"/>
  <c r="T330" i="58"/>
  <c r="M328" i="58"/>
  <c r="M290" i="58"/>
  <c r="U291" i="58"/>
  <c r="L291" i="58"/>
  <c r="O332" i="58"/>
  <c r="N328" i="58"/>
  <c r="N290" i="58"/>
  <c r="T291" i="58"/>
  <c r="P332" i="58"/>
  <c r="Q332" i="58"/>
  <c r="N294" i="58"/>
  <c r="O328" i="58"/>
  <c r="O290" i="58"/>
  <c r="R332" i="58"/>
  <c r="N329" i="58"/>
  <c r="O331" i="58"/>
  <c r="Q328" i="58"/>
  <c r="Q290" i="58"/>
  <c r="M330" i="58"/>
  <c r="M291" i="58"/>
  <c r="S332" i="58"/>
  <c r="O294" i="58"/>
  <c r="P331" i="58"/>
  <c r="O330" i="58"/>
  <c r="V291" i="58"/>
  <c r="U332" i="58"/>
  <c r="Q294" i="58"/>
  <c r="Q331" i="58"/>
  <c r="P330" i="58"/>
  <c r="N291" i="58"/>
  <c r="M332" i="58"/>
  <c r="R294" i="58"/>
  <c r="P293" i="58"/>
  <c r="R331" i="58"/>
  <c r="T329" i="58"/>
  <c r="Q330" i="58"/>
  <c r="W291" i="58"/>
  <c r="V332" i="58"/>
  <c r="S294" i="58"/>
  <c r="M329" i="58"/>
  <c r="S331" i="58"/>
  <c r="L290" i="58"/>
  <c r="L328" i="58"/>
  <c r="R330" i="58"/>
  <c r="L334" i="58"/>
  <c r="O291" i="58"/>
  <c r="N332" i="58"/>
  <c r="T294" i="58"/>
  <c r="P329" i="58"/>
  <c r="S330" i="58"/>
  <c r="T334" i="58"/>
  <c r="P291" i="58"/>
  <c r="W332" i="58"/>
  <c r="S329" i="58"/>
  <c r="M293" i="58"/>
  <c r="Q329" i="58"/>
  <c r="U330" i="58"/>
  <c r="O334" i="58"/>
  <c r="Q291" i="58"/>
  <c r="J24" i="133"/>
  <c r="I24" i="133"/>
  <c r="J20" i="133"/>
  <c r="I9" i="137"/>
  <c r="I90" i="137"/>
  <c r="K24" i="133"/>
  <c r="K20" i="133"/>
  <c r="I11" i="137"/>
  <c r="I92" i="137" s="1"/>
  <c r="I10" i="137"/>
  <c r="I91" i="137"/>
  <c r="L24" i="133"/>
  <c r="L20" i="133"/>
  <c r="M20" i="133"/>
  <c r="M24" i="133"/>
  <c r="N20" i="133"/>
  <c r="R19" i="133"/>
  <c r="R23" i="133"/>
  <c r="R10" i="133"/>
  <c r="O20" i="133"/>
  <c r="N24" i="133"/>
  <c r="F72" i="35"/>
  <c r="G72" i="35" s="1"/>
  <c r="R18" i="133"/>
  <c r="O24" i="133"/>
  <c r="P20" i="133"/>
  <c r="Q24" i="133"/>
  <c r="P24" i="133"/>
  <c r="R21" i="133"/>
  <c r="Q20" i="133"/>
  <c r="R17" i="133"/>
  <c r="R22" i="133"/>
  <c r="S22" i="133" s="1"/>
  <c r="W287" i="58"/>
  <c r="P176" i="58"/>
  <c r="O176" i="58"/>
  <c r="W176" i="58"/>
  <c r="N176" i="58"/>
  <c r="R176" i="58"/>
  <c r="V176" i="58"/>
  <c r="U176" i="58"/>
  <c r="T176" i="58"/>
  <c r="S176" i="58"/>
  <c r="O326" i="58"/>
  <c r="O327" i="58" s="1"/>
  <c r="T185" i="58"/>
  <c r="P184" i="58"/>
  <c r="Q288" i="58"/>
  <c r="L288" i="58"/>
  <c r="W288" i="58"/>
  <c r="O288" i="58"/>
  <c r="M288" i="58"/>
  <c r="P288" i="58"/>
  <c r="N288" i="58"/>
  <c r="X261" i="58"/>
  <c r="AB142" i="133"/>
  <c r="BD142" i="133"/>
  <c r="AP142" i="133"/>
  <c r="AQ142" i="133"/>
  <c r="AD142" i="133"/>
  <c r="BC142" i="133"/>
  <c r="S142" i="133"/>
  <c r="AC142" i="133"/>
  <c r="AS142" i="133"/>
  <c r="AO142" i="133"/>
  <c r="BB142" i="133"/>
  <c r="AF142" i="133"/>
  <c r="M6" i="26"/>
  <c r="K6" i="26"/>
  <c r="L6" i="26"/>
  <c r="B6" i="26"/>
  <c r="D63" i="133"/>
  <c r="D62" i="133"/>
  <c r="D61" i="133"/>
  <c r="D59" i="133"/>
  <c r="D58" i="133"/>
  <c r="D57" i="133"/>
  <c r="D5" i="119"/>
  <c r="D4" i="119"/>
  <c r="K16" i="119"/>
  <c r="M17" i="119"/>
  <c r="J16" i="119"/>
  <c r="J18" i="119" s="1"/>
  <c r="L17" i="119"/>
  <c r="I16" i="119"/>
  <c r="K17" i="119"/>
  <c r="I17" i="119"/>
  <c r="J17" i="119"/>
  <c r="M16" i="119"/>
  <c r="L16" i="119"/>
  <c r="AY96" i="133"/>
  <c r="AG96" i="133"/>
  <c r="AA96" i="133"/>
  <c r="AX96" i="133"/>
  <c r="AQ96" i="133"/>
  <c r="Y96" i="133"/>
  <c r="AP96" i="133"/>
  <c r="X96" i="133"/>
  <c r="AV96" i="133"/>
  <c r="BD96" i="133"/>
  <c r="AM96" i="133"/>
  <c r="V96" i="133"/>
  <c r="AS96" i="133"/>
  <c r="AD96" i="133"/>
  <c r="AZ96" i="133"/>
  <c r="AI96" i="133"/>
  <c r="Z96" i="133"/>
  <c r="AO96" i="133"/>
  <c r="AH96" i="133"/>
  <c r="S96" i="133"/>
  <c r="K8" i="119"/>
  <c r="C8" i="119"/>
  <c r="M8" i="119"/>
  <c r="E8" i="119"/>
  <c r="E23" i="119" s="1"/>
  <c r="L8" i="119"/>
  <c r="L23" i="119" s="1"/>
  <c r="D8" i="119"/>
  <c r="F8" i="119"/>
  <c r="P8" i="119"/>
  <c r="P23" i="119" s="1"/>
  <c r="X8" i="119"/>
  <c r="X23" i="119" s="1"/>
  <c r="H8" i="119"/>
  <c r="H23" i="119" s="1"/>
  <c r="AA15" i="119"/>
  <c r="AA17" i="119"/>
  <c r="E63" i="133"/>
  <c r="N15" i="180"/>
  <c r="AC395" i="110"/>
  <c r="AB395" i="110"/>
  <c r="AA395" i="110"/>
  <c r="AC394" i="110"/>
  <c r="AF394" i="110" s="1"/>
  <c r="AB394" i="110"/>
  <c r="AE394" i="110" s="1"/>
  <c r="AA394" i="110"/>
  <c r="AD394" i="110" s="1"/>
  <c r="AC393" i="110"/>
  <c r="AF393" i="110" s="1"/>
  <c r="AB393" i="110"/>
  <c r="AE393" i="110" s="1"/>
  <c r="AA393" i="110"/>
  <c r="AD393" i="110" s="1"/>
  <c r="AC391" i="110"/>
  <c r="AF391" i="110" s="1"/>
  <c r="AB391" i="110"/>
  <c r="AE391" i="110" s="1"/>
  <c r="AA391" i="110"/>
  <c r="AD391" i="110" s="1"/>
  <c r="AC390" i="110"/>
  <c r="AF390" i="110" s="1"/>
  <c r="AB390" i="110"/>
  <c r="AE390" i="110" s="1"/>
  <c r="AA390" i="110"/>
  <c r="AD390" i="110" s="1"/>
  <c r="AC388" i="110"/>
  <c r="AF388" i="110" s="1"/>
  <c r="AB388" i="110"/>
  <c r="AE388" i="110" s="1"/>
  <c r="AA388" i="110"/>
  <c r="AD388" i="110" s="1"/>
  <c r="AC387" i="110"/>
  <c r="AF387" i="110" s="1"/>
  <c r="AB387" i="110"/>
  <c r="AE387" i="110" s="1"/>
  <c r="AA387" i="110"/>
  <c r="AD387" i="110" s="1"/>
  <c r="AC386" i="110"/>
  <c r="AF386" i="110" s="1"/>
  <c r="AB386" i="110"/>
  <c r="AE386" i="110" s="1"/>
  <c r="AA386" i="110"/>
  <c r="AD386" i="110" s="1"/>
  <c r="AC295" i="110"/>
  <c r="AF295" i="110" s="1"/>
  <c r="AB295" i="110"/>
  <c r="AE295" i="110" s="1"/>
  <c r="AA295" i="110"/>
  <c r="AD295" i="110" s="1"/>
  <c r="AC294" i="110"/>
  <c r="AF294" i="110" s="1"/>
  <c r="AB294" i="110"/>
  <c r="AE294" i="110" s="1"/>
  <c r="AA294" i="110"/>
  <c r="AD294" i="110" s="1"/>
  <c r="AC293" i="110"/>
  <c r="AF293" i="110" s="1"/>
  <c r="AB293" i="110"/>
  <c r="AE293" i="110" s="1"/>
  <c r="AA293" i="110"/>
  <c r="AD293" i="110" s="1"/>
  <c r="AC292" i="110"/>
  <c r="AF292" i="110" s="1"/>
  <c r="AB292" i="110"/>
  <c r="AE292" i="110" s="1"/>
  <c r="AA292" i="110"/>
  <c r="AD292" i="110" s="1"/>
  <c r="G84" i="58"/>
  <c r="E26" i="124"/>
  <c r="E28" i="124" s="1"/>
  <c r="E41" i="124" s="1"/>
  <c r="E29" i="124"/>
  <c r="E42" i="124" s="1"/>
  <c r="E25" i="124"/>
  <c r="E38" i="124" s="1"/>
  <c r="H95" i="137"/>
  <c r="H96" i="137"/>
  <c r="AA302" i="110"/>
  <c r="AD302" i="110" s="1"/>
  <c r="B10" i="133"/>
  <c r="Q61" i="199"/>
  <c r="P61" i="199"/>
  <c r="O61" i="199"/>
  <c r="N61" i="199"/>
  <c r="M61" i="199"/>
  <c r="L61" i="199"/>
  <c r="K61" i="199"/>
  <c r="J61" i="199"/>
  <c r="I61" i="199"/>
  <c r="H61" i="199"/>
  <c r="G61" i="199"/>
  <c r="F61" i="199"/>
  <c r="Q62" i="199"/>
  <c r="P62" i="199"/>
  <c r="O62" i="199"/>
  <c r="N62" i="199"/>
  <c r="M62" i="199"/>
  <c r="L62" i="199"/>
  <c r="A48" i="199"/>
  <c r="H42" i="199"/>
  <c r="H49" i="199" s="1"/>
  <c r="G42" i="199"/>
  <c r="G49" i="199" s="1"/>
  <c r="F42" i="199"/>
  <c r="F49" i="199" s="1"/>
  <c r="Q41" i="199"/>
  <c r="Q42" i="199" s="1"/>
  <c r="Q49" i="199" s="1"/>
  <c r="P41" i="199"/>
  <c r="P42" i="199"/>
  <c r="P49" i="199" s="1"/>
  <c r="O41" i="199"/>
  <c r="O42" i="199" s="1"/>
  <c r="O49" i="199" s="1"/>
  <c r="N41" i="199"/>
  <c r="N42" i="199" s="1"/>
  <c r="N49" i="199" s="1"/>
  <c r="M41" i="199"/>
  <c r="M42" i="199" s="1"/>
  <c r="M49" i="199" s="1"/>
  <c r="L41" i="199"/>
  <c r="L42" i="199"/>
  <c r="L49" i="199" s="1"/>
  <c r="K41" i="199"/>
  <c r="K42" i="199"/>
  <c r="K49" i="199" s="1"/>
  <c r="J41" i="199"/>
  <c r="J42" i="199" s="1"/>
  <c r="J49" i="199" s="1"/>
  <c r="I41" i="199"/>
  <c r="I42" i="199" s="1"/>
  <c r="I49" i="199" s="1"/>
  <c r="R36" i="199"/>
  <c r="D20" i="199"/>
  <c r="Q19" i="199"/>
  <c r="E18" i="199"/>
  <c r="E19" i="199" s="1"/>
  <c r="I15" i="199"/>
  <c r="J15" i="199" s="1"/>
  <c r="K15" i="199" s="1"/>
  <c r="K21" i="199" s="1"/>
  <c r="F21" i="199"/>
  <c r="E22" i="199"/>
  <c r="H21" i="199"/>
  <c r="E21" i="199"/>
  <c r="G21" i="199"/>
  <c r="H57" i="181"/>
  <c r="E36" i="133"/>
  <c r="B11" i="133"/>
  <c r="C23" i="119"/>
  <c r="K23" i="119"/>
  <c r="P62" i="193"/>
  <c r="H94" i="137"/>
  <c r="H97" i="137"/>
  <c r="H98" i="137"/>
  <c r="H93" i="137"/>
  <c r="AA303" i="110"/>
  <c r="AD303" i="110" s="1"/>
  <c r="AA304" i="110"/>
  <c r="AD304" i="110" s="1"/>
  <c r="F191" i="58"/>
  <c r="F192" i="58"/>
  <c r="F193" i="58"/>
  <c r="F195" i="58"/>
  <c r="F196" i="58"/>
  <c r="F213" i="58"/>
  <c r="F214" i="58"/>
  <c r="F216" i="58"/>
  <c r="F218" i="58"/>
  <c r="F219" i="58"/>
  <c r="F220" i="58"/>
  <c r="F222" i="58"/>
  <c r="F223" i="58"/>
  <c r="F224" i="58"/>
  <c r="F228" i="58"/>
  <c r="F229" i="58"/>
  <c r="F234" i="58"/>
  <c r="F235" i="58"/>
  <c r="F236" i="58"/>
  <c r="F237" i="58"/>
  <c r="F238" i="58"/>
  <c r="F239" i="58"/>
  <c r="F240" i="58"/>
  <c r="F241" i="58"/>
  <c r="F242" i="58"/>
  <c r="F243" i="58"/>
  <c r="G19" i="110"/>
  <c r="AD19" i="110" s="1"/>
  <c r="AA89" i="110"/>
  <c r="C59" i="181"/>
  <c r="G59" i="181"/>
  <c r="E59" i="181"/>
  <c r="D98" i="110"/>
  <c r="D36" i="124"/>
  <c r="G301" i="58"/>
  <c r="G300" i="58"/>
  <c r="G281" i="58"/>
  <c r="G280" i="58"/>
  <c r="L21" i="180"/>
  <c r="D90" i="110"/>
  <c r="D177" i="110"/>
  <c r="D292" i="110"/>
  <c r="D300" i="110" s="1"/>
  <c r="D351" i="110"/>
  <c r="D357" i="110"/>
  <c r="D358" i="110"/>
  <c r="D344" i="110"/>
  <c r="D338" i="110"/>
  <c r="D334" i="110"/>
  <c r="D318" i="110"/>
  <c r="D307" i="110"/>
  <c r="C73" i="133"/>
  <c r="H371" i="110"/>
  <c r="AB371" i="110" s="1"/>
  <c r="AE371" i="110" s="1"/>
  <c r="E22" i="193"/>
  <c r="O35" i="193"/>
  <c r="N35" i="193"/>
  <c r="M35" i="193"/>
  <c r="L35" i="193"/>
  <c r="K35" i="193"/>
  <c r="J35" i="193"/>
  <c r="I35" i="193"/>
  <c r="H35" i="193"/>
  <c r="G35" i="193"/>
  <c r="F35" i="193"/>
  <c r="E35" i="193"/>
  <c r="D35" i="193"/>
  <c r="D71" i="193"/>
  <c r="D57" i="193"/>
  <c r="D66" i="193" s="1"/>
  <c r="D75" i="193" s="1"/>
  <c r="H99" i="137"/>
  <c r="B256" i="58"/>
  <c r="D242" i="58"/>
  <c r="D241" i="58"/>
  <c r="D238" i="58"/>
  <c r="D235" i="58"/>
  <c r="D234" i="58"/>
  <c r="D228" i="58"/>
  <c r="D222" i="58"/>
  <c r="D218" i="58"/>
  <c r="D214" i="58"/>
  <c r="D202" i="58"/>
  <c r="D191" i="58"/>
  <c r="M97" i="193"/>
  <c r="M96" i="193"/>
  <c r="L97" i="193"/>
  <c r="L96" i="193"/>
  <c r="K98" i="193"/>
  <c r="J98" i="193"/>
  <c r="I98" i="193"/>
  <c r="H98" i="193"/>
  <c r="G98" i="193"/>
  <c r="F98" i="193"/>
  <c r="E98" i="193"/>
  <c r="D98" i="193"/>
  <c r="C98" i="193"/>
  <c r="D53" i="193"/>
  <c r="D27" i="193"/>
  <c r="D36" i="193" s="1"/>
  <c r="O111" i="193"/>
  <c r="N111" i="193"/>
  <c r="M111" i="193"/>
  <c r="L111" i="193"/>
  <c r="K111" i="193"/>
  <c r="J111" i="193"/>
  <c r="I111" i="193"/>
  <c r="H111" i="193"/>
  <c r="G111" i="193"/>
  <c r="F111" i="193"/>
  <c r="E111" i="193"/>
  <c r="D111" i="193"/>
  <c r="P110" i="193"/>
  <c r="P105" i="193"/>
  <c r="O14" i="193"/>
  <c r="P12" i="193"/>
  <c r="K90" i="193"/>
  <c r="J90" i="193"/>
  <c r="D90" i="193"/>
  <c r="P89" i="193"/>
  <c r="P88" i="193"/>
  <c r="R25" i="193"/>
  <c r="P87" i="193"/>
  <c r="P86" i="193"/>
  <c r="R23" i="193" s="1"/>
  <c r="P85" i="193"/>
  <c r="N90" i="193"/>
  <c r="E90" i="193"/>
  <c r="L90" i="193"/>
  <c r="O90" i="193"/>
  <c r="M90" i="193"/>
  <c r="F90" i="193"/>
  <c r="G90" i="193"/>
  <c r="H90" i="193"/>
  <c r="I90" i="193"/>
  <c r="F143" i="58"/>
  <c r="F142" i="58"/>
  <c r="E98" i="192"/>
  <c r="F29" i="192"/>
  <c r="G41" i="192" s="1"/>
  <c r="Q85" i="192"/>
  <c r="P85" i="192"/>
  <c r="O85" i="192"/>
  <c r="N85" i="192"/>
  <c r="M85" i="192"/>
  <c r="L85" i="192"/>
  <c r="K85" i="192"/>
  <c r="J85" i="192"/>
  <c r="I85" i="192"/>
  <c r="H85" i="192"/>
  <c r="G85" i="192"/>
  <c r="F85" i="192"/>
  <c r="Q24" i="192"/>
  <c r="P24" i="192"/>
  <c r="O24" i="192"/>
  <c r="N24" i="192"/>
  <c r="M24" i="192"/>
  <c r="L24" i="192"/>
  <c r="K24" i="192"/>
  <c r="J24" i="192"/>
  <c r="I24" i="192"/>
  <c r="H24" i="192"/>
  <c r="G24" i="192"/>
  <c r="G25" i="192" s="1"/>
  <c r="G99" i="192" s="1"/>
  <c r="R42" i="192"/>
  <c r="R43" i="192"/>
  <c r="R44" i="192"/>
  <c r="R45" i="192"/>
  <c r="F46" i="192"/>
  <c r="G40" i="192"/>
  <c r="R40" i="192"/>
  <c r="G50" i="192"/>
  <c r="N50" i="192"/>
  <c r="N56" i="192" s="1"/>
  <c r="C33" i="192"/>
  <c r="C45" i="192" s="1"/>
  <c r="C55" i="192" s="1"/>
  <c r="C32" i="192"/>
  <c r="C44" i="192" s="1"/>
  <c r="C54" i="192" s="1"/>
  <c r="C31" i="192"/>
  <c r="C43" i="192"/>
  <c r="C53" i="192" s="1"/>
  <c r="C30" i="192"/>
  <c r="C42" i="192" s="1"/>
  <c r="C52" i="192" s="1"/>
  <c r="C29" i="192"/>
  <c r="C41" i="192" s="1"/>
  <c r="C51" i="192" s="1"/>
  <c r="H40" i="192"/>
  <c r="D39" i="124"/>
  <c r="Q119" i="192"/>
  <c r="P119" i="192"/>
  <c r="O119" i="192"/>
  <c r="N119" i="192"/>
  <c r="M119" i="192"/>
  <c r="L119" i="192"/>
  <c r="K119" i="192"/>
  <c r="J119" i="192"/>
  <c r="I119" i="192"/>
  <c r="H119" i="192"/>
  <c r="G119" i="192"/>
  <c r="F119" i="192"/>
  <c r="R118" i="192"/>
  <c r="R117" i="192"/>
  <c r="Q105" i="192"/>
  <c r="Q116" i="192" s="1"/>
  <c r="Q97" i="192" s="1"/>
  <c r="P105" i="192"/>
  <c r="P116" i="192" s="1"/>
  <c r="P97" i="192" s="1"/>
  <c r="O105" i="192"/>
  <c r="O116" i="192" s="1"/>
  <c r="O97" i="192" s="1"/>
  <c r="N105" i="192"/>
  <c r="N116" i="192" s="1"/>
  <c r="N97" i="192" s="1"/>
  <c r="M105" i="192"/>
  <c r="M116" i="192" s="1"/>
  <c r="M97" i="192" s="1"/>
  <c r="L105" i="192"/>
  <c r="L116" i="192"/>
  <c r="L97" i="192" s="1"/>
  <c r="K105" i="192"/>
  <c r="K116" i="192"/>
  <c r="K97" i="192" s="1"/>
  <c r="J105" i="192"/>
  <c r="J116" i="192" s="1"/>
  <c r="J97" i="192" s="1"/>
  <c r="I105" i="192"/>
  <c r="I116" i="192" s="1"/>
  <c r="I97" i="192" s="1"/>
  <c r="H105" i="192"/>
  <c r="H116" i="192" s="1"/>
  <c r="H97" i="192" s="1"/>
  <c r="G105" i="192"/>
  <c r="G116" i="192" s="1"/>
  <c r="G97" i="192" s="1"/>
  <c r="F105" i="192"/>
  <c r="F116" i="192" s="1"/>
  <c r="F97" i="192" s="1"/>
  <c r="R81" i="192"/>
  <c r="E79" i="192"/>
  <c r="C79" i="192"/>
  <c r="P79" i="192" s="1"/>
  <c r="E78" i="192"/>
  <c r="C78" i="192"/>
  <c r="E77" i="192"/>
  <c r="E80" i="192" s="1"/>
  <c r="C77" i="192"/>
  <c r="B77" i="192"/>
  <c r="D76" i="192"/>
  <c r="C76" i="192"/>
  <c r="E75" i="192"/>
  <c r="E76" i="192" s="1"/>
  <c r="C75" i="192"/>
  <c r="E74" i="192"/>
  <c r="C74" i="192"/>
  <c r="E73" i="192"/>
  <c r="C73" i="192"/>
  <c r="B73" i="192"/>
  <c r="R68" i="192"/>
  <c r="E66" i="192"/>
  <c r="E67" i="192" s="1"/>
  <c r="E69" i="192" s="1"/>
  <c r="E65" i="192"/>
  <c r="C65" i="192"/>
  <c r="G65" i="192" s="1"/>
  <c r="E64" i="192"/>
  <c r="B64" i="192"/>
  <c r="E62" i="192"/>
  <c r="B62" i="192"/>
  <c r="E61" i="192"/>
  <c r="C61" i="192"/>
  <c r="L61" i="192" s="1"/>
  <c r="B61" i="192"/>
  <c r="E60" i="192"/>
  <c r="B60" i="192"/>
  <c r="M56" i="192"/>
  <c r="L56" i="192"/>
  <c r="F56" i="192"/>
  <c r="R55" i="192"/>
  <c r="R54" i="192"/>
  <c r="R53" i="192"/>
  <c r="R52" i="192"/>
  <c r="R51" i="192"/>
  <c r="Q33" i="192"/>
  <c r="Q90" i="192" s="1"/>
  <c r="P33" i="192"/>
  <c r="P90" i="192" s="1"/>
  <c r="O33" i="192"/>
  <c r="O90" i="192" s="1"/>
  <c r="N33" i="192"/>
  <c r="N90" i="192"/>
  <c r="M33" i="192"/>
  <c r="M90" i="192" s="1"/>
  <c r="L33" i="192"/>
  <c r="L90" i="192" s="1"/>
  <c r="K33" i="192"/>
  <c r="K90" i="192" s="1"/>
  <c r="J33" i="192"/>
  <c r="J90" i="192" s="1"/>
  <c r="I33" i="192"/>
  <c r="H33" i="192"/>
  <c r="H90" i="192" s="1"/>
  <c r="G33" i="192"/>
  <c r="G90" i="192" s="1"/>
  <c r="F33" i="192"/>
  <c r="Q32" i="192"/>
  <c r="Q89" i="192" s="1"/>
  <c r="P32" i="192"/>
  <c r="P89" i="192" s="1"/>
  <c r="O32" i="192"/>
  <c r="O89" i="192" s="1"/>
  <c r="N32" i="192"/>
  <c r="N89" i="192" s="1"/>
  <c r="M32" i="192"/>
  <c r="M89" i="192" s="1"/>
  <c r="L32" i="192"/>
  <c r="L89" i="192" s="1"/>
  <c r="K32" i="192"/>
  <c r="K89" i="192"/>
  <c r="J32" i="192"/>
  <c r="J89" i="192" s="1"/>
  <c r="I32" i="192"/>
  <c r="I89" i="192"/>
  <c r="H32" i="192"/>
  <c r="G32" i="192"/>
  <c r="G89" i="192"/>
  <c r="F32" i="192"/>
  <c r="F89" i="192" s="1"/>
  <c r="Q31" i="192"/>
  <c r="Q88" i="192"/>
  <c r="P31" i="192"/>
  <c r="P88" i="192"/>
  <c r="O31" i="192"/>
  <c r="O88" i="192" s="1"/>
  <c r="N31" i="192"/>
  <c r="N88" i="192" s="1"/>
  <c r="M31" i="192"/>
  <c r="M88" i="192"/>
  <c r="L31" i="192"/>
  <c r="K31" i="192"/>
  <c r="K88" i="192" s="1"/>
  <c r="J31" i="192"/>
  <c r="J88" i="192"/>
  <c r="I31" i="192"/>
  <c r="I88" i="192" s="1"/>
  <c r="H31" i="192"/>
  <c r="H88" i="192" s="1"/>
  <c r="G31" i="192"/>
  <c r="G88" i="192" s="1"/>
  <c r="F31" i="192"/>
  <c r="F88" i="192" s="1"/>
  <c r="Q30" i="192"/>
  <c r="Q87" i="192" s="1"/>
  <c r="P30" i="192"/>
  <c r="P87" i="192" s="1"/>
  <c r="O30" i="192"/>
  <c r="O87" i="192" s="1"/>
  <c r="N30" i="192"/>
  <c r="N87" i="192"/>
  <c r="M30" i="192"/>
  <c r="M87" i="192" s="1"/>
  <c r="L30" i="192"/>
  <c r="L87" i="192"/>
  <c r="K30" i="192"/>
  <c r="K87" i="192" s="1"/>
  <c r="J30" i="192"/>
  <c r="J87" i="192"/>
  <c r="I30" i="192"/>
  <c r="I87" i="192" s="1"/>
  <c r="H30" i="192"/>
  <c r="H87" i="192"/>
  <c r="G30" i="192"/>
  <c r="G87" i="192"/>
  <c r="F30" i="192"/>
  <c r="E24" i="192"/>
  <c r="R23" i="192"/>
  <c r="R22" i="192"/>
  <c r="R21" i="192"/>
  <c r="F20" i="192"/>
  <c r="E20" i="192"/>
  <c r="M19" i="192"/>
  <c r="N19" i="192" s="1"/>
  <c r="O19" i="192" s="1"/>
  <c r="P19" i="192" s="1"/>
  <c r="Q19" i="192" s="1"/>
  <c r="I19" i="192"/>
  <c r="J19" i="192"/>
  <c r="K19" i="192" s="1"/>
  <c r="G18" i="192"/>
  <c r="H18" i="192" s="1"/>
  <c r="I18" i="192" s="1"/>
  <c r="J18" i="192" s="1"/>
  <c r="K18" i="192" s="1"/>
  <c r="L18" i="192" s="1"/>
  <c r="M18" i="192" s="1"/>
  <c r="N18" i="192"/>
  <c r="R17" i="192"/>
  <c r="H12" i="192"/>
  <c r="G12" i="192"/>
  <c r="F12" i="192"/>
  <c r="E12" i="192"/>
  <c r="R11" i="192"/>
  <c r="C11" i="192"/>
  <c r="C66" i="192"/>
  <c r="B11" i="192"/>
  <c r="B66" i="192"/>
  <c r="I10" i="192"/>
  <c r="B10" i="192"/>
  <c r="B65" i="192" s="1"/>
  <c r="I9" i="192"/>
  <c r="C9" i="192"/>
  <c r="C64" i="192" s="1"/>
  <c r="F64" i="192" s="1"/>
  <c r="F8" i="192"/>
  <c r="E8" i="192"/>
  <c r="I7" i="192"/>
  <c r="J7" i="192"/>
  <c r="C7" i="192"/>
  <c r="C62" i="192" s="1"/>
  <c r="H62" i="192" s="1"/>
  <c r="G6" i="192"/>
  <c r="H6" i="192"/>
  <c r="G5" i="192"/>
  <c r="H5" i="192" s="1"/>
  <c r="C5" i="192"/>
  <c r="C60" i="192"/>
  <c r="I40" i="192"/>
  <c r="F24" i="192"/>
  <c r="J40" i="192"/>
  <c r="K40" i="192"/>
  <c r="L40" i="192"/>
  <c r="M40" i="192"/>
  <c r="N40" i="192"/>
  <c r="O40" i="192"/>
  <c r="P40" i="192"/>
  <c r="Q40" i="192"/>
  <c r="O19" i="138"/>
  <c r="DX150" i="188"/>
  <c r="DW150" i="188"/>
  <c r="DV150" i="188"/>
  <c r="DU150" i="188"/>
  <c r="DT150" i="188"/>
  <c r="DS150" i="188"/>
  <c r="DR150" i="188"/>
  <c r="DQ150" i="188"/>
  <c r="DP150" i="188"/>
  <c r="DO150" i="188"/>
  <c r="CX150" i="188"/>
  <c r="CW150" i="188"/>
  <c r="CV150" i="188"/>
  <c r="CU150" i="188"/>
  <c r="CT150" i="188"/>
  <c r="CS150" i="188"/>
  <c r="CR150" i="188"/>
  <c r="CQ150" i="188"/>
  <c r="CP150" i="188"/>
  <c r="CO150" i="188"/>
  <c r="X150" i="188"/>
  <c r="W150" i="188"/>
  <c r="V150" i="188"/>
  <c r="U150" i="188"/>
  <c r="T150" i="188"/>
  <c r="S150" i="188"/>
  <c r="R150" i="188"/>
  <c r="Q150" i="188"/>
  <c r="P150" i="188"/>
  <c r="O150" i="188"/>
  <c r="DX149" i="188"/>
  <c r="DW149" i="188"/>
  <c r="DV149" i="188"/>
  <c r="DU149" i="188"/>
  <c r="DT149" i="188"/>
  <c r="DS149" i="188"/>
  <c r="DR149" i="188"/>
  <c r="DQ149" i="188"/>
  <c r="DP149" i="188"/>
  <c r="DO149" i="188"/>
  <c r="CX149" i="188"/>
  <c r="CW149" i="188"/>
  <c r="CV149" i="188"/>
  <c r="CU149" i="188"/>
  <c r="CT149" i="188"/>
  <c r="CS149" i="188"/>
  <c r="CR149" i="188"/>
  <c r="CQ149" i="188"/>
  <c r="CP149" i="188"/>
  <c r="CO149" i="188"/>
  <c r="X149" i="188"/>
  <c r="W149" i="188"/>
  <c r="U149" i="188"/>
  <c r="S149" i="188"/>
  <c r="Q149" i="188"/>
  <c r="P149" i="188"/>
  <c r="O149" i="188"/>
  <c r="DX148" i="188"/>
  <c r="DW148" i="188"/>
  <c r="DV148" i="188"/>
  <c r="DU148" i="188"/>
  <c r="DT148" i="188"/>
  <c r="DS148" i="188"/>
  <c r="DR148" i="188"/>
  <c r="DQ148" i="188"/>
  <c r="DP148" i="188"/>
  <c r="DO148" i="188"/>
  <c r="CX148" i="188"/>
  <c r="CW148" i="188"/>
  <c r="CV148" i="188"/>
  <c r="CU148" i="188"/>
  <c r="CT148" i="188"/>
  <c r="CS148" i="188"/>
  <c r="CR148" i="188"/>
  <c r="CQ148" i="188"/>
  <c r="CP148" i="188"/>
  <c r="CO148" i="188"/>
  <c r="BX148" i="188"/>
  <c r="BW148" i="188"/>
  <c r="BV148" i="188"/>
  <c r="BU148" i="188"/>
  <c r="BT148" i="188"/>
  <c r="BS148" i="188"/>
  <c r="BR148" i="188"/>
  <c r="BQ148" i="188"/>
  <c r="BP148" i="188"/>
  <c r="BO148" i="188"/>
  <c r="X148" i="188"/>
  <c r="W148" i="188"/>
  <c r="V148" i="188"/>
  <c r="U148" i="188"/>
  <c r="T148" i="188"/>
  <c r="S148" i="188"/>
  <c r="R148" i="188"/>
  <c r="Q148" i="188"/>
  <c r="P148" i="188"/>
  <c r="O148" i="188"/>
  <c r="DX147" i="188"/>
  <c r="DW147" i="188"/>
  <c r="DV147" i="188"/>
  <c r="DU147" i="188"/>
  <c r="DT147" i="188"/>
  <c r="DS147" i="188"/>
  <c r="DR147" i="188"/>
  <c r="DQ147" i="188"/>
  <c r="DP147" i="188"/>
  <c r="DO147" i="188"/>
  <c r="X147" i="188"/>
  <c r="W147" i="188"/>
  <c r="V147" i="188"/>
  <c r="U147" i="188"/>
  <c r="T147" i="188"/>
  <c r="S147" i="188"/>
  <c r="R147" i="188"/>
  <c r="Q147" i="188"/>
  <c r="P147" i="188"/>
  <c r="O147" i="188"/>
  <c r="DX146" i="188"/>
  <c r="DW146" i="188"/>
  <c r="DV146" i="188"/>
  <c r="DU146" i="188"/>
  <c r="DT146" i="188"/>
  <c r="DS146" i="188"/>
  <c r="DR146" i="188"/>
  <c r="DQ146" i="188"/>
  <c r="DP146" i="188"/>
  <c r="DO146" i="188"/>
  <c r="X146" i="188"/>
  <c r="W146" i="188"/>
  <c r="V146" i="188"/>
  <c r="U146" i="188"/>
  <c r="T146" i="188"/>
  <c r="S146" i="188"/>
  <c r="R146" i="188"/>
  <c r="Q146" i="188"/>
  <c r="P146" i="188"/>
  <c r="O146" i="188"/>
  <c r="DX145" i="188"/>
  <c r="DW145" i="188"/>
  <c r="DV145" i="188"/>
  <c r="DU145" i="188"/>
  <c r="DT145" i="188"/>
  <c r="DS145" i="188"/>
  <c r="DR145" i="188"/>
  <c r="DQ145" i="188"/>
  <c r="DP145" i="188"/>
  <c r="DO145" i="188"/>
  <c r="BX145" i="188"/>
  <c r="BW145" i="188"/>
  <c r="BV145" i="188"/>
  <c r="BU145" i="188"/>
  <c r="BT145" i="188"/>
  <c r="BS145" i="188"/>
  <c r="BR145" i="188"/>
  <c r="BQ145" i="188"/>
  <c r="BP145" i="188"/>
  <c r="BO145" i="188"/>
  <c r="X145" i="188"/>
  <c r="W145" i="188"/>
  <c r="V145" i="188"/>
  <c r="U145" i="188"/>
  <c r="T145" i="188"/>
  <c r="S145" i="188"/>
  <c r="R145" i="188"/>
  <c r="Q145" i="188"/>
  <c r="P145" i="188"/>
  <c r="O145" i="188"/>
  <c r="DX144" i="188"/>
  <c r="DW144" i="188"/>
  <c r="DV144" i="188"/>
  <c r="DU144" i="188"/>
  <c r="DT144" i="188"/>
  <c r="DS144" i="188"/>
  <c r="DR144" i="188"/>
  <c r="DQ144" i="188"/>
  <c r="DP144" i="188"/>
  <c r="DO144" i="188"/>
  <c r="BX144" i="188"/>
  <c r="BW144" i="188"/>
  <c r="BV144" i="188"/>
  <c r="BU144" i="188"/>
  <c r="BT144" i="188"/>
  <c r="BS144" i="188"/>
  <c r="BR144" i="188"/>
  <c r="BQ144" i="188"/>
  <c r="BP144" i="188"/>
  <c r="BO144" i="188"/>
  <c r="X144" i="188"/>
  <c r="W144" i="188"/>
  <c r="V144" i="188"/>
  <c r="U144" i="188"/>
  <c r="T144" i="188"/>
  <c r="S144" i="188"/>
  <c r="R144" i="188"/>
  <c r="Q144" i="188"/>
  <c r="P144" i="188"/>
  <c r="O144" i="188"/>
  <c r="X143" i="188"/>
  <c r="W143" i="188"/>
  <c r="V143" i="188"/>
  <c r="U143" i="188"/>
  <c r="T143" i="188"/>
  <c r="S143" i="188"/>
  <c r="R143" i="188"/>
  <c r="Q143" i="188"/>
  <c r="P143" i="188"/>
  <c r="O143" i="188"/>
  <c r="X142" i="188"/>
  <c r="W142" i="188"/>
  <c r="V142" i="188"/>
  <c r="U142" i="188"/>
  <c r="T142" i="188"/>
  <c r="S142" i="188"/>
  <c r="R142" i="188"/>
  <c r="Q142" i="188"/>
  <c r="P142" i="188"/>
  <c r="O142" i="188"/>
  <c r="DX141" i="188"/>
  <c r="DW141" i="188"/>
  <c r="DV141" i="188"/>
  <c r="DU141" i="188"/>
  <c r="DT141" i="188"/>
  <c r="DS141" i="188"/>
  <c r="DR141" i="188"/>
  <c r="DQ141" i="188"/>
  <c r="DP141" i="188"/>
  <c r="DO141" i="188"/>
  <c r="CX141" i="188"/>
  <c r="CW141" i="188"/>
  <c r="CV141" i="188"/>
  <c r="CU141" i="188"/>
  <c r="CT141" i="188"/>
  <c r="CS141" i="188"/>
  <c r="CR141" i="188"/>
  <c r="CQ141" i="188"/>
  <c r="CP141" i="188"/>
  <c r="CO141" i="188"/>
  <c r="X141" i="188"/>
  <c r="W141" i="188"/>
  <c r="V141" i="188"/>
  <c r="U141" i="188"/>
  <c r="T141" i="188"/>
  <c r="S141" i="188"/>
  <c r="R141" i="188"/>
  <c r="Q141" i="188"/>
  <c r="O141" i="188"/>
  <c r="DX140" i="188"/>
  <c r="DW140" i="188"/>
  <c r="DV140" i="188"/>
  <c r="DU140" i="188"/>
  <c r="DT140" i="188"/>
  <c r="DS140" i="188"/>
  <c r="DR140" i="188"/>
  <c r="DQ140" i="188"/>
  <c r="DP140" i="188"/>
  <c r="DO140" i="188"/>
  <c r="CX140" i="188"/>
  <c r="CW140" i="188"/>
  <c r="CV140" i="188"/>
  <c r="CU140" i="188"/>
  <c r="CT140" i="188"/>
  <c r="CS140" i="188"/>
  <c r="CR140" i="188"/>
  <c r="CQ140" i="188"/>
  <c r="CP140" i="188"/>
  <c r="CO140" i="188"/>
  <c r="X140" i="188"/>
  <c r="W140" i="188"/>
  <c r="V140" i="188"/>
  <c r="U140" i="188"/>
  <c r="T140" i="188"/>
  <c r="S140" i="188"/>
  <c r="R140" i="188"/>
  <c r="Q140" i="188"/>
  <c r="O140" i="188"/>
  <c r="DX139" i="188"/>
  <c r="DW139" i="188"/>
  <c r="DV139" i="188"/>
  <c r="DU139" i="188"/>
  <c r="DT139" i="188"/>
  <c r="DS139" i="188"/>
  <c r="DR139" i="188"/>
  <c r="DQ139" i="188"/>
  <c r="DP139" i="188"/>
  <c r="DO139" i="188"/>
  <c r="CX139" i="188"/>
  <c r="CW139" i="188"/>
  <c r="CV139" i="188"/>
  <c r="CU139" i="188"/>
  <c r="CT139" i="188"/>
  <c r="CS139" i="188"/>
  <c r="CR139" i="188"/>
  <c r="CQ139" i="188"/>
  <c r="CP139" i="188"/>
  <c r="CO139" i="188"/>
  <c r="X139" i="188"/>
  <c r="W139" i="188"/>
  <c r="V139" i="188"/>
  <c r="U139" i="188"/>
  <c r="T139" i="188"/>
  <c r="S139" i="188"/>
  <c r="R139" i="188"/>
  <c r="Q139" i="188"/>
  <c r="P139" i="188"/>
  <c r="O139" i="188"/>
  <c r="DX138" i="188"/>
  <c r="DW138" i="188"/>
  <c r="DV138" i="188"/>
  <c r="DU138" i="188"/>
  <c r="DT138" i="188"/>
  <c r="DS138" i="188"/>
  <c r="DR138" i="188"/>
  <c r="DQ138" i="188"/>
  <c r="DP138" i="188"/>
  <c r="DO138" i="188"/>
  <c r="CX138" i="188"/>
  <c r="CW138" i="188"/>
  <c r="CV138" i="188"/>
  <c r="CU138" i="188"/>
  <c r="CT138" i="188"/>
  <c r="CS138" i="188"/>
  <c r="CR138" i="188"/>
  <c r="CQ138" i="188"/>
  <c r="CP138" i="188"/>
  <c r="CO138" i="188"/>
  <c r="X138" i="188"/>
  <c r="W138" i="188"/>
  <c r="V138" i="188"/>
  <c r="U138" i="188"/>
  <c r="T138" i="188"/>
  <c r="S138" i="188"/>
  <c r="R138" i="188"/>
  <c r="Q138" i="188"/>
  <c r="P138" i="188"/>
  <c r="O138" i="188"/>
  <c r="DX137" i="188"/>
  <c r="DW137" i="188"/>
  <c r="DV137" i="188"/>
  <c r="DU137" i="188"/>
  <c r="DT137" i="188"/>
  <c r="DS137" i="188"/>
  <c r="DR137" i="188"/>
  <c r="DQ137" i="188"/>
  <c r="DP137" i="188"/>
  <c r="DO137" i="188"/>
  <c r="CX137" i="188"/>
  <c r="CW137" i="188"/>
  <c r="CV137" i="188"/>
  <c r="CU137" i="188"/>
  <c r="CT137" i="188"/>
  <c r="CS137" i="188"/>
  <c r="CR137" i="188"/>
  <c r="CQ137" i="188"/>
  <c r="CP137" i="188"/>
  <c r="CO137" i="188"/>
  <c r="BX137" i="188"/>
  <c r="BW137" i="188"/>
  <c r="BV137" i="188"/>
  <c r="BU137" i="188"/>
  <c r="BT137" i="188"/>
  <c r="BS137" i="188"/>
  <c r="BR137" i="188"/>
  <c r="BQ137" i="188"/>
  <c r="BP137" i="188"/>
  <c r="BO137" i="188"/>
  <c r="X137" i="188"/>
  <c r="W137" i="188"/>
  <c r="V137" i="188"/>
  <c r="U137" i="188"/>
  <c r="T137" i="188"/>
  <c r="S137" i="188"/>
  <c r="R137" i="188"/>
  <c r="Q137" i="188"/>
  <c r="P137" i="188"/>
  <c r="O137" i="188"/>
  <c r="X136" i="188"/>
  <c r="W136" i="188"/>
  <c r="V136" i="188"/>
  <c r="U136" i="188"/>
  <c r="T136" i="188"/>
  <c r="S136" i="188"/>
  <c r="P136" i="188"/>
  <c r="O136" i="188"/>
  <c r="X135" i="188"/>
  <c r="W135" i="188"/>
  <c r="V135" i="188"/>
  <c r="U135" i="188"/>
  <c r="T135" i="188"/>
  <c r="S135" i="188"/>
  <c r="R135" i="188"/>
  <c r="Q135" i="188"/>
  <c r="P135" i="188"/>
  <c r="O135" i="188"/>
  <c r="X134" i="188"/>
  <c r="W134" i="188"/>
  <c r="V134" i="188"/>
  <c r="U134" i="188"/>
  <c r="T134" i="188"/>
  <c r="S134" i="188"/>
  <c r="R134" i="188"/>
  <c r="Q134" i="188"/>
  <c r="P134" i="188"/>
  <c r="O134" i="188"/>
  <c r="BX133" i="188"/>
  <c r="BW133" i="188"/>
  <c r="BV133" i="188"/>
  <c r="BU133" i="188"/>
  <c r="BT133" i="188"/>
  <c r="BS133" i="188"/>
  <c r="BR133" i="188"/>
  <c r="BQ133" i="188"/>
  <c r="BP133" i="188"/>
  <c r="BO133" i="188"/>
  <c r="X133" i="188"/>
  <c r="W133" i="188"/>
  <c r="V133" i="188"/>
  <c r="U133" i="188"/>
  <c r="T133" i="188"/>
  <c r="S133" i="188"/>
  <c r="R133" i="188"/>
  <c r="Q133" i="188"/>
  <c r="P133" i="188"/>
  <c r="O133" i="188"/>
  <c r="EL129" i="188"/>
  <c r="DY129" i="188"/>
  <c r="DL129" i="188"/>
  <c r="CY129" i="188"/>
  <c r="CL129" i="188"/>
  <c r="BY129" i="188"/>
  <c r="BL129" i="188"/>
  <c r="AY129" i="188"/>
  <c r="AE129" i="188"/>
  <c r="AD129" i="188"/>
  <c r="AC129" i="188"/>
  <c r="AB129" i="188"/>
  <c r="AA129" i="188"/>
  <c r="Z129" i="188"/>
  <c r="Y129" i="188"/>
  <c r="EK128" i="188"/>
  <c r="EJ128" i="188"/>
  <c r="EI128" i="188"/>
  <c r="EH128" i="188"/>
  <c r="EG128" i="188"/>
  <c r="EF128" i="188"/>
  <c r="EE128" i="188"/>
  <c r="ED128" i="188"/>
  <c r="EC128" i="188"/>
  <c r="EB128" i="188"/>
  <c r="EA128" i="188"/>
  <c r="DZ128" i="188"/>
  <c r="DY128" i="188"/>
  <c r="DK128" i="188"/>
  <c r="DJ128" i="188"/>
  <c r="DI128" i="188"/>
  <c r="DH128" i="188"/>
  <c r="DG128" i="188"/>
  <c r="DF128" i="188"/>
  <c r="DE128" i="188"/>
  <c r="DD128" i="188"/>
  <c r="DC128" i="188"/>
  <c r="DB128" i="188"/>
  <c r="DA128" i="188"/>
  <c r="CZ128" i="188"/>
  <c r="CY128" i="188"/>
  <c r="CK128" i="188"/>
  <c r="CJ128" i="188"/>
  <c r="CI128" i="188"/>
  <c r="CH128" i="188"/>
  <c r="CG128" i="188"/>
  <c r="CF128" i="188"/>
  <c r="CE128" i="188"/>
  <c r="CD128" i="188"/>
  <c r="CC128" i="188"/>
  <c r="CB128" i="188"/>
  <c r="CA128" i="188"/>
  <c r="BZ128" i="188"/>
  <c r="BY128" i="188"/>
  <c r="BK128" i="188"/>
  <c r="BJ128" i="188"/>
  <c r="BI128" i="188"/>
  <c r="BH128" i="188"/>
  <c r="BG128" i="188"/>
  <c r="BF128" i="188"/>
  <c r="BE128" i="188"/>
  <c r="BD128" i="188"/>
  <c r="BC128" i="188"/>
  <c r="BB128" i="188"/>
  <c r="BA128" i="188"/>
  <c r="AZ128" i="188"/>
  <c r="AY128" i="188"/>
  <c r="AK128" i="188"/>
  <c r="AJ128" i="188"/>
  <c r="AI128" i="188"/>
  <c r="AH128" i="188"/>
  <c r="AG128" i="188"/>
  <c r="AF128" i="188"/>
  <c r="AD128" i="188"/>
  <c r="AC128" i="188"/>
  <c r="AB128" i="188"/>
  <c r="AA128" i="188"/>
  <c r="Z128" i="188"/>
  <c r="R128" i="188"/>
  <c r="Y128" i="188" s="1"/>
  <c r="X127" i="188"/>
  <c r="W127" i="188"/>
  <c r="V127" i="188"/>
  <c r="U127" i="188"/>
  <c r="Q127" i="188"/>
  <c r="P127" i="188"/>
  <c r="O127" i="188"/>
  <c r="N127" i="188"/>
  <c r="M127" i="188"/>
  <c r="DX126" i="188"/>
  <c r="EK126" i="188"/>
  <c r="DW126" i="188"/>
  <c r="EJ126" i="188" s="1"/>
  <c r="DV126" i="188"/>
  <c r="EI126" i="188"/>
  <c r="DU126" i="188"/>
  <c r="EH126" i="188" s="1"/>
  <c r="DT126" i="188"/>
  <c r="DS126" i="188"/>
  <c r="EF126" i="188" s="1"/>
  <c r="DR126" i="188"/>
  <c r="EE126" i="188" s="1"/>
  <c r="DQ126" i="188"/>
  <c r="ED126" i="188"/>
  <c r="EL126" i="188" s="1"/>
  <c r="DP126" i="188"/>
  <c r="EC126" i="188" s="1"/>
  <c r="DO126" i="188"/>
  <c r="EB126" i="188"/>
  <c r="DN126" i="188"/>
  <c r="DM126" i="188"/>
  <c r="DZ126" i="188" s="1"/>
  <c r="CX126" i="188"/>
  <c r="CW126" i="188"/>
  <c r="DJ126" i="188" s="1"/>
  <c r="CV126" i="188"/>
  <c r="DI126" i="188"/>
  <c r="CU126" i="188"/>
  <c r="DH126" i="188" s="1"/>
  <c r="CT126" i="188"/>
  <c r="CS126" i="188"/>
  <c r="DF126" i="188"/>
  <c r="CR126" i="188"/>
  <c r="DE126" i="188" s="1"/>
  <c r="CQ126" i="188"/>
  <c r="DD126" i="188"/>
  <c r="CP126" i="188"/>
  <c r="CO126" i="188"/>
  <c r="DB126" i="188" s="1"/>
  <c r="CN126" i="188"/>
  <c r="DA126" i="188"/>
  <c r="CM126" i="188"/>
  <c r="CZ126" i="188" s="1"/>
  <c r="BX126" i="188"/>
  <c r="CK126" i="188" s="1"/>
  <c r="BW126" i="188"/>
  <c r="BV126" i="188"/>
  <c r="CI126" i="188"/>
  <c r="BU126" i="188"/>
  <c r="CH126" i="188"/>
  <c r="BT126" i="188"/>
  <c r="BS126" i="188"/>
  <c r="CF126" i="188" s="1"/>
  <c r="BR126" i="188"/>
  <c r="CE126" i="188" s="1"/>
  <c r="BQ126" i="188"/>
  <c r="CD126" i="188"/>
  <c r="BP126" i="188"/>
  <c r="BO126" i="188"/>
  <c r="CB126" i="188"/>
  <c r="CL126" i="188" s="1"/>
  <c r="BN126" i="188"/>
  <c r="CA126" i="188" s="1"/>
  <c r="BM126" i="188"/>
  <c r="BZ126" i="188" s="1"/>
  <c r="BZ127" i="188" s="1"/>
  <c r="BK126" i="188"/>
  <c r="BJ126" i="188"/>
  <c r="BI126" i="188"/>
  <c r="BH126" i="188"/>
  <c r="BG126" i="188"/>
  <c r="BF126" i="188"/>
  <c r="BE126" i="188"/>
  <c r="BD126" i="188"/>
  <c r="BC126" i="188"/>
  <c r="BB126" i="188"/>
  <c r="BA126" i="188"/>
  <c r="AZ126" i="188"/>
  <c r="AY126" i="188"/>
  <c r="AK126" i="188"/>
  <c r="AJ126" i="188"/>
  <c r="AI126" i="188"/>
  <c r="AH126" i="188"/>
  <c r="AG126" i="188"/>
  <c r="AF126" i="188"/>
  <c r="AE126" i="188"/>
  <c r="AD126" i="188"/>
  <c r="AC126" i="188"/>
  <c r="AB126" i="188"/>
  <c r="AA126" i="188"/>
  <c r="Z126" i="188"/>
  <c r="Y126" i="188"/>
  <c r="DX125" i="188"/>
  <c r="EK125" i="188"/>
  <c r="DW125" i="188"/>
  <c r="EJ125" i="188" s="1"/>
  <c r="DV125" i="188"/>
  <c r="DU125" i="188"/>
  <c r="EH125" i="188" s="1"/>
  <c r="DT125" i="188"/>
  <c r="EG125" i="188" s="1"/>
  <c r="DS125" i="188"/>
  <c r="EF125" i="188" s="1"/>
  <c r="DR125" i="188"/>
  <c r="EE125" i="188" s="1"/>
  <c r="DQ125" i="188"/>
  <c r="DP125" i="188"/>
  <c r="EC125" i="188" s="1"/>
  <c r="DO125" i="188"/>
  <c r="EB125" i="188" s="1"/>
  <c r="DN125" i="188"/>
  <c r="DM125" i="188"/>
  <c r="DZ125" i="188" s="1"/>
  <c r="CX125" i="188"/>
  <c r="DK125" i="188"/>
  <c r="CW125" i="188"/>
  <c r="CV125" i="188"/>
  <c r="DI125" i="188"/>
  <c r="CU125" i="188"/>
  <c r="DH125" i="188"/>
  <c r="CT125" i="188"/>
  <c r="DG125" i="188" s="1"/>
  <c r="CS125" i="188"/>
  <c r="CY125" i="188" s="1"/>
  <c r="CR125" i="188"/>
  <c r="DE125" i="188" s="1"/>
  <c r="CQ125" i="188"/>
  <c r="DD125" i="188" s="1"/>
  <c r="CP125" i="188"/>
  <c r="DC125" i="188" s="1"/>
  <c r="CO125" i="188"/>
  <c r="DB125" i="188"/>
  <c r="CN125" i="188"/>
  <c r="DA125" i="188" s="1"/>
  <c r="CM125" i="188"/>
  <c r="BX125" i="188"/>
  <c r="BW125" i="188"/>
  <c r="CJ125" i="188" s="1"/>
  <c r="BV125" i="188"/>
  <c r="CI125" i="188"/>
  <c r="BU125" i="188"/>
  <c r="CH125" i="188" s="1"/>
  <c r="BT125" i="188"/>
  <c r="CG125" i="188" s="1"/>
  <c r="BS125" i="188"/>
  <c r="BR125" i="188"/>
  <c r="CE125" i="188" s="1"/>
  <c r="BQ125" i="188"/>
  <c r="CD125" i="188"/>
  <c r="BP125" i="188"/>
  <c r="CC125" i="188" s="1"/>
  <c r="BO125" i="188"/>
  <c r="BN125" i="188"/>
  <c r="CA125" i="188" s="1"/>
  <c r="BM125" i="188"/>
  <c r="BZ125" i="188" s="1"/>
  <c r="BK125" i="188"/>
  <c r="BJ125" i="188"/>
  <c r="BI125" i="188"/>
  <c r="BH125" i="188"/>
  <c r="BG125" i="188"/>
  <c r="BF125" i="188"/>
  <c r="BL125" i="188" s="1"/>
  <c r="BE125" i="188"/>
  <c r="BD125" i="188"/>
  <c r="BC125" i="188"/>
  <c r="BB125" i="188"/>
  <c r="BA125" i="188"/>
  <c r="AZ125" i="188"/>
  <c r="AY125" i="188"/>
  <c r="AK125" i="188"/>
  <c r="AK127" i="188" s="1"/>
  <c r="AJ125" i="188"/>
  <c r="AI125" i="188"/>
  <c r="AH125" i="188"/>
  <c r="AG125" i="188"/>
  <c r="AF125" i="188"/>
  <c r="AF127" i="188" s="1"/>
  <c r="AE125" i="188"/>
  <c r="AD125" i="188"/>
  <c r="AC125" i="188"/>
  <c r="AB125" i="188"/>
  <c r="AA125" i="188"/>
  <c r="Z125" i="188"/>
  <c r="Y125" i="188"/>
  <c r="DX124" i="188"/>
  <c r="EK124" i="188" s="1"/>
  <c r="DW124" i="188"/>
  <c r="EJ124" i="188"/>
  <c r="DV124" i="188"/>
  <c r="EI124" i="188" s="1"/>
  <c r="DU124" i="188"/>
  <c r="EH124" i="188" s="1"/>
  <c r="DT124" i="188"/>
  <c r="EG124" i="188"/>
  <c r="DS124" i="188"/>
  <c r="EF124" i="188" s="1"/>
  <c r="DR124" i="188"/>
  <c r="EE124" i="188" s="1"/>
  <c r="DQ124" i="188"/>
  <c r="DP124" i="188"/>
  <c r="DO124" i="188"/>
  <c r="EB124" i="188" s="1"/>
  <c r="EB127" i="188" s="1"/>
  <c r="DN124" i="188"/>
  <c r="EA124" i="188"/>
  <c r="DM124" i="188"/>
  <c r="DZ124" i="188" s="1"/>
  <c r="CX124" i="188"/>
  <c r="CW124" i="188"/>
  <c r="CV124" i="188"/>
  <c r="DI124" i="188" s="1"/>
  <c r="CU124" i="188"/>
  <c r="DH124" i="188"/>
  <c r="CT124" i="188"/>
  <c r="DG124" i="188"/>
  <c r="CS124" i="188"/>
  <c r="CR124" i="188"/>
  <c r="DE124" i="188" s="1"/>
  <c r="CQ124" i="188"/>
  <c r="CP124" i="188"/>
  <c r="DC124" i="188" s="1"/>
  <c r="CO124" i="188"/>
  <c r="DB124" i="188" s="1"/>
  <c r="CN124" i="188"/>
  <c r="CM124" i="188"/>
  <c r="BX124" i="188"/>
  <c r="CK124" i="188" s="1"/>
  <c r="BW124" i="188"/>
  <c r="CJ124" i="188" s="1"/>
  <c r="BV124" i="188"/>
  <c r="CI124" i="188" s="1"/>
  <c r="BU124" i="188"/>
  <c r="CH124" i="188" s="1"/>
  <c r="BT124" i="188"/>
  <c r="CG124" i="188"/>
  <c r="BS124" i="188"/>
  <c r="BR124" i="188"/>
  <c r="CE124" i="188" s="1"/>
  <c r="BQ124" i="188"/>
  <c r="CD124" i="188" s="1"/>
  <c r="BP124" i="188"/>
  <c r="CC124" i="188"/>
  <c r="BO124" i="188"/>
  <c r="CB124" i="188" s="1"/>
  <c r="BN124" i="188"/>
  <c r="CA124" i="188"/>
  <c r="BM124" i="188"/>
  <c r="BZ124" i="188" s="1"/>
  <c r="AX124" i="188"/>
  <c r="AW124" i="188"/>
  <c r="BJ124" i="188" s="1"/>
  <c r="AV124" i="188"/>
  <c r="AU124" i="188"/>
  <c r="BH124" i="188" s="1"/>
  <c r="AT124" i="188"/>
  <c r="BG124" i="188" s="1"/>
  <c r="AS124" i="188"/>
  <c r="BF124" i="188" s="1"/>
  <c r="AR124" i="188"/>
  <c r="BE124" i="188" s="1"/>
  <c r="AQ124" i="188"/>
  <c r="BD124" i="188" s="1"/>
  <c r="AP124" i="188"/>
  <c r="BC124" i="188"/>
  <c r="AO124" i="188"/>
  <c r="AN124" i="188"/>
  <c r="BA124" i="188" s="1"/>
  <c r="AM124" i="188"/>
  <c r="AZ124" i="188" s="1"/>
  <c r="AZ127" i="188" s="1"/>
  <c r="AK124" i="188"/>
  <c r="AJ124" i="188"/>
  <c r="AI124" i="188"/>
  <c r="AH124" i="188"/>
  <c r="AG124" i="188"/>
  <c r="AF124" i="188"/>
  <c r="AE124" i="188"/>
  <c r="AD124" i="188"/>
  <c r="AC124" i="188"/>
  <c r="AB124" i="188"/>
  <c r="AA124" i="188"/>
  <c r="Z124" i="188"/>
  <c r="Y124" i="188"/>
  <c r="DX123" i="188"/>
  <c r="DW123" i="188"/>
  <c r="EJ123" i="188" s="1"/>
  <c r="DV123" i="188"/>
  <c r="EI123" i="188" s="1"/>
  <c r="DU123" i="188"/>
  <c r="EH123" i="188"/>
  <c r="DT123" i="188"/>
  <c r="EG123" i="188"/>
  <c r="DS123" i="188"/>
  <c r="EF123" i="188" s="1"/>
  <c r="DR123" i="188"/>
  <c r="EE123" i="188"/>
  <c r="DQ123" i="188"/>
  <c r="ED123" i="188" s="1"/>
  <c r="DP123" i="188"/>
  <c r="EC123" i="188" s="1"/>
  <c r="DO123" i="188"/>
  <c r="EB123" i="188" s="1"/>
  <c r="DN123" i="188"/>
  <c r="DM123" i="188"/>
  <c r="DZ123" i="188"/>
  <c r="CX123" i="188"/>
  <c r="CW123" i="188"/>
  <c r="DJ123" i="188" s="1"/>
  <c r="CV123" i="188"/>
  <c r="DI123" i="188" s="1"/>
  <c r="CU123" i="188"/>
  <c r="CT123" i="188"/>
  <c r="DG123" i="188" s="1"/>
  <c r="CS123" i="188"/>
  <c r="DF123" i="188"/>
  <c r="CR123" i="188"/>
  <c r="DE123" i="188" s="1"/>
  <c r="CQ123" i="188"/>
  <c r="DD123" i="188"/>
  <c r="CP123" i="188"/>
  <c r="DC123" i="188" s="1"/>
  <c r="CO123" i="188"/>
  <c r="DB123" i="188" s="1"/>
  <c r="CN123" i="188"/>
  <c r="CM123" i="188"/>
  <c r="BX123" i="188"/>
  <c r="CK123" i="188" s="1"/>
  <c r="BW123" i="188"/>
  <c r="CJ123" i="188"/>
  <c r="BV123" i="188"/>
  <c r="CI123" i="188" s="1"/>
  <c r="BU123" i="188"/>
  <c r="BT123" i="188"/>
  <c r="CG123" i="188" s="1"/>
  <c r="BS123" i="188"/>
  <c r="CF123" i="188" s="1"/>
  <c r="BR123" i="188"/>
  <c r="BQ123" i="188"/>
  <c r="CD123" i="188" s="1"/>
  <c r="BP123" i="188"/>
  <c r="CC123" i="188" s="1"/>
  <c r="BO123" i="188"/>
  <c r="BN123" i="188"/>
  <c r="CA123" i="188" s="1"/>
  <c r="BM123" i="188"/>
  <c r="BZ123" i="188" s="1"/>
  <c r="AX123" i="188"/>
  <c r="BK123" i="188" s="1"/>
  <c r="AW123" i="188"/>
  <c r="BJ123" i="188" s="1"/>
  <c r="AV123" i="188"/>
  <c r="AU123" i="188"/>
  <c r="AT123" i="188"/>
  <c r="AS123" i="188"/>
  <c r="AR123" i="188"/>
  <c r="BE123" i="188" s="1"/>
  <c r="AQ123" i="188"/>
  <c r="BD123" i="188"/>
  <c r="AP123" i="188"/>
  <c r="AO123" i="188"/>
  <c r="AN123" i="188"/>
  <c r="BA123" i="188" s="1"/>
  <c r="AM123" i="188"/>
  <c r="AZ123" i="188"/>
  <c r="AK123" i="188"/>
  <c r="AJ123" i="188"/>
  <c r="AI123" i="188"/>
  <c r="AH123" i="188"/>
  <c r="AG123" i="188"/>
  <c r="AG127" i="188" s="1"/>
  <c r="AD123" i="188"/>
  <c r="AC123" i="188"/>
  <c r="AB123" i="188"/>
  <c r="AA123" i="188"/>
  <c r="Z123" i="188"/>
  <c r="T123" i="188"/>
  <c r="T127" i="188" s="1"/>
  <c r="S123" i="188"/>
  <c r="AF123" i="188" s="1"/>
  <c r="R123" i="188"/>
  <c r="AW122" i="188"/>
  <c r="AU122" i="188"/>
  <c r="AR122" i="188"/>
  <c r="AQ122" i="188"/>
  <c r="AO122" i="188"/>
  <c r="AB122" i="188"/>
  <c r="AA122" i="188"/>
  <c r="Z122" i="188"/>
  <c r="X122" i="188"/>
  <c r="W122" i="188"/>
  <c r="U122" i="188"/>
  <c r="S122" i="188"/>
  <c r="O122" i="188"/>
  <c r="N122" i="188"/>
  <c r="M122" i="188"/>
  <c r="EK121" i="188"/>
  <c r="EJ121" i="188"/>
  <c r="EI121" i="188"/>
  <c r="EH121" i="188"/>
  <c r="EG121" i="188"/>
  <c r="EF121" i="188"/>
  <c r="EE121" i="188"/>
  <c r="ED121" i="188"/>
  <c r="EC121" i="188"/>
  <c r="EB121" i="188"/>
  <c r="EA121" i="188"/>
  <c r="DZ121" i="188"/>
  <c r="DY121" i="188"/>
  <c r="DK121" i="188"/>
  <c r="DJ121" i="188"/>
  <c r="DI121" i="188"/>
  <c r="DH121" i="188"/>
  <c r="DG121" i="188"/>
  <c r="DF121" i="188"/>
  <c r="DE121" i="188"/>
  <c r="DD121" i="188"/>
  <c r="DC121" i="188"/>
  <c r="DB121" i="188"/>
  <c r="DA121" i="188"/>
  <c r="CZ121" i="188"/>
  <c r="CY121" i="188"/>
  <c r="CK121" i="188"/>
  <c r="CJ121" i="188"/>
  <c r="CI121" i="188"/>
  <c r="CH121" i="188"/>
  <c r="CG121" i="188"/>
  <c r="CF121" i="188"/>
  <c r="CE121" i="188"/>
  <c r="CD121" i="188"/>
  <c r="CC121" i="188"/>
  <c r="CB121" i="188"/>
  <c r="CA121" i="188"/>
  <c r="BZ121" i="188"/>
  <c r="BY121" i="188"/>
  <c r="BK121" i="188"/>
  <c r="BJ121" i="188"/>
  <c r="BI121" i="188"/>
  <c r="BH121" i="188"/>
  <c r="BG121" i="188"/>
  <c r="BF121" i="188"/>
  <c r="BE121" i="188"/>
  <c r="BD121" i="188"/>
  <c r="BC121" i="188"/>
  <c r="BB121" i="188"/>
  <c r="BA121" i="188"/>
  <c r="AZ121" i="188"/>
  <c r="AY121" i="188"/>
  <c r="AK121" i="188"/>
  <c r="AJ121" i="188"/>
  <c r="AI121" i="188"/>
  <c r="AH121" i="188"/>
  <c r="AG121" i="188"/>
  <c r="AF121" i="188"/>
  <c r="AE121" i="188"/>
  <c r="Y121" i="188"/>
  <c r="DX120" i="188"/>
  <c r="DW120" i="188"/>
  <c r="DV120" i="188"/>
  <c r="DU120" i="188"/>
  <c r="DT120" i="188"/>
  <c r="DS120" i="188"/>
  <c r="DR120" i="188"/>
  <c r="DQ120" i="188"/>
  <c r="DP120" i="188"/>
  <c r="DO120" i="188"/>
  <c r="DN120" i="188"/>
  <c r="DM120" i="188"/>
  <c r="CX120" i="188"/>
  <c r="CW120" i="188"/>
  <c r="CV120" i="188"/>
  <c r="CU120" i="188"/>
  <c r="CT120" i="188"/>
  <c r="CS120" i="188"/>
  <c r="CR120" i="188"/>
  <c r="CQ120" i="188"/>
  <c r="CP120" i="188"/>
  <c r="CO120" i="188"/>
  <c r="CN120" i="188"/>
  <c r="CM120" i="188"/>
  <c r="BX120" i="188"/>
  <c r="BW120" i="188"/>
  <c r="BV120" i="188"/>
  <c r="BU120" i="188"/>
  <c r="BT120" i="188"/>
  <c r="BS120" i="188"/>
  <c r="AK120" i="188"/>
  <c r="AJ120" i="188"/>
  <c r="AI120" i="188"/>
  <c r="AH120" i="188"/>
  <c r="AG120" i="188"/>
  <c r="AF120" i="188"/>
  <c r="AE120" i="188"/>
  <c r="I120" i="188"/>
  <c r="CC120" i="188"/>
  <c r="DX119" i="188"/>
  <c r="DW119" i="188"/>
  <c r="DV119" i="188"/>
  <c r="DU119" i="188"/>
  <c r="DT119" i="188"/>
  <c r="DS119" i="188"/>
  <c r="DR119" i="188"/>
  <c r="DQ119" i="188"/>
  <c r="DP119" i="188"/>
  <c r="DO119" i="188"/>
  <c r="DN119" i="188"/>
  <c r="DM119" i="188"/>
  <c r="CX119" i="188"/>
  <c r="CW119" i="188"/>
  <c r="CV119" i="188"/>
  <c r="CU119" i="188"/>
  <c r="CT119" i="188"/>
  <c r="CS119" i="188"/>
  <c r="CR119" i="188"/>
  <c r="CQ119" i="188"/>
  <c r="CP119" i="188"/>
  <c r="CO119" i="188"/>
  <c r="CN119" i="188"/>
  <c r="CM119" i="188"/>
  <c r="BX119" i="188"/>
  <c r="BW119" i="188"/>
  <c r="BV119" i="188"/>
  <c r="BU119" i="188"/>
  <c r="BT119" i="188"/>
  <c r="BS119" i="188"/>
  <c r="AK119" i="188"/>
  <c r="AJ119" i="188"/>
  <c r="AI119" i="188"/>
  <c r="AH119" i="188"/>
  <c r="AG119" i="188"/>
  <c r="AF119" i="188"/>
  <c r="AE119" i="188"/>
  <c r="I119" i="188"/>
  <c r="CD119" i="188" s="1"/>
  <c r="DX118" i="188"/>
  <c r="DW118" i="188"/>
  <c r="DV118" i="188"/>
  <c r="DU118" i="188"/>
  <c r="DT118" i="188"/>
  <c r="DS118" i="188"/>
  <c r="DR118" i="188"/>
  <c r="DQ118" i="188"/>
  <c r="DP118" i="188"/>
  <c r="DO118" i="188"/>
  <c r="DN118" i="188"/>
  <c r="DM118" i="188"/>
  <c r="CX118" i="188"/>
  <c r="CW118" i="188"/>
  <c r="CV118" i="188"/>
  <c r="CU118" i="188"/>
  <c r="CT118" i="188"/>
  <c r="CS118" i="188"/>
  <c r="CR118" i="188"/>
  <c r="CQ118" i="188"/>
  <c r="CP118" i="188"/>
  <c r="CO118" i="188"/>
  <c r="CN118" i="188"/>
  <c r="CM118" i="188"/>
  <c r="BX118" i="188"/>
  <c r="BW118" i="188"/>
  <c r="BV118" i="188"/>
  <c r="BU118" i="188"/>
  <c r="BT118" i="188"/>
  <c r="BS118" i="188"/>
  <c r="AK118" i="188"/>
  <c r="AJ118" i="188"/>
  <c r="AI118" i="188"/>
  <c r="AH118" i="188"/>
  <c r="AG118" i="188"/>
  <c r="AF118" i="188"/>
  <c r="AE118" i="188"/>
  <c r="I118" i="188"/>
  <c r="CA118" i="188"/>
  <c r="DX117" i="188"/>
  <c r="DW117" i="188"/>
  <c r="DV117" i="188"/>
  <c r="DU117" i="188"/>
  <c r="DT117" i="188"/>
  <c r="DS117" i="188"/>
  <c r="DR117" i="188"/>
  <c r="DQ117" i="188"/>
  <c r="DP117" i="188"/>
  <c r="DO117" i="188"/>
  <c r="DN117" i="188"/>
  <c r="DM117" i="188"/>
  <c r="CX117" i="188"/>
  <c r="CW117" i="188"/>
  <c r="CV117" i="188"/>
  <c r="CU117" i="188"/>
  <c r="CT117" i="188"/>
  <c r="CS117" i="188"/>
  <c r="CR117" i="188"/>
  <c r="CQ117" i="188"/>
  <c r="CP117" i="188"/>
  <c r="CO117" i="188"/>
  <c r="CN117" i="188"/>
  <c r="CM117" i="188"/>
  <c r="BX117" i="188"/>
  <c r="BW117" i="188"/>
  <c r="BV117" i="188"/>
  <c r="BU117" i="188"/>
  <c r="BT117" i="188"/>
  <c r="BS117" i="188"/>
  <c r="BR117" i="188"/>
  <c r="BQ117" i="188"/>
  <c r="BP117" i="188"/>
  <c r="BO117" i="188"/>
  <c r="BN117" i="188"/>
  <c r="BM117" i="188"/>
  <c r="BK117" i="188"/>
  <c r="BJ117" i="188"/>
  <c r="BI117" i="188"/>
  <c r="BH117" i="188"/>
  <c r="BG117" i="188"/>
  <c r="BF117" i="188"/>
  <c r="BE117" i="188"/>
  <c r="BD117" i="188"/>
  <c r="BC117" i="188"/>
  <c r="BB117" i="188"/>
  <c r="BA117" i="188"/>
  <c r="AZ117" i="188"/>
  <c r="AY117" i="188"/>
  <c r="AK117" i="188"/>
  <c r="AJ117" i="188"/>
  <c r="AI117" i="188"/>
  <c r="AH117" i="188"/>
  <c r="AG117" i="188"/>
  <c r="Y117" i="188"/>
  <c r="I117" i="188"/>
  <c r="G117" i="188"/>
  <c r="E117" i="188"/>
  <c r="AE117" i="188" s="1"/>
  <c r="DX116" i="188"/>
  <c r="DW116" i="188"/>
  <c r="DV116" i="188"/>
  <c r="DU116" i="188"/>
  <c r="DT116" i="188"/>
  <c r="DS116" i="188"/>
  <c r="DR116" i="188"/>
  <c r="DQ116" i="188"/>
  <c r="DP116" i="188"/>
  <c r="DO116" i="188"/>
  <c r="DN116" i="188"/>
  <c r="DM116" i="188"/>
  <c r="CX116" i="188"/>
  <c r="CW116" i="188"/>
  <c r="CV116" i="188"/>
  <c r="CU116" i="188"/>
  <c r="CT116" i="188"/>
  <c r="CS116" i="188"/>
  <c r="CR116" i="188"/>
  <c r="CQ116" i="188"/>
  <c r="CP116" i="188"/>
  <c r="CO116" i="188"/>
  <c r="CN116" i="188"/>
  <c r="CM116" i="188"/>
  <c r="BX116" i="188"/>
  <c r="BW116" i="188"/>
  <c r="BV116" i="188"/>
  <c r="BU116" i="188"/>
  <c r="BT116" i="188"/>
  <c r="BS116" i="188"/>
  <c r="BR116" i="188"/>
  <c r="BQ116" i="188"/>
  <c r="BP116" i="188"/>
  <c r="BO116" i="188"/>
  <c r="BN116" i="188"/>
  <c r="BM116" i="188"/>
  <c r="BK116" i="188"/>
  <c r="BJ116" i="188"/>
  <c r="BI116" i="188"/>
  <c r="BH116" i="188"/>
  <c r="BG116" i="188"/>
  <c r="BF116" i="188"/>
  <c r="BE116" i="188"/>
  <c r="BD116" i="188"/>
  <c r="BC116" i="188"/>
  <c r="BB116" i="188"/>
  <c r="BA116" i="188"/>
  <c r="AZ116" i="188"/>
  <c r="AY116" i="188"/>
  <c r="AK116" i="188"/>
  <c r="AJ116" i="188"/>
  <c r="AI116" i="188"/>
  <c r="AH116" i="188"/>
  <c r="AG116" i="188"/>
  <c r="Y116" i="188"/>
  <c r="I116" i="188"/>
  <c r="G116" i="188"/>
  <c r="E116" i="188"/>
  <c r="AF116" i="188" s="1"/>
  <c r="DY115" i="188"/>
  <c r="CY115" i="188"/>
  <c r="BX115" i="188"/>
  <c r="BX150" i="188"/>
  <c r="BW115" i="188"/>
  <c r="BW150" i="188" s="1"/>
  <c r="BV115" i="188"/>
  <c r="BV150" i="188" s="1"/>
  <c r="BU115" i="188"/>
  <c r="BU150" i="188" s="1"/>
  <c r="BT115" i="188"/>
  <c r="BT150" i="188"/>
  <c r="BS115" i="188"/>
  <c r="BS150" i="188" s="1"/>
  <c r="BR115" i="188"/>
  <c r="BR150" i="188" s="1"/>
  <c r="BQ115" i="188"/>
  <c r="BQ150" i="188" s="1"/>
  <c r="BP115" i="188"/>
  <c r="BP150" i="188"/>
  <c r="BO115" i="188"/>
  <c r="BO150" i="188" s="1"/>
  <c r="BN115" i="188"/>
  <c r="BM115" i="188"/>
  <c r="AY115" i="188"/>
  <c r="AK115" i="188"/>
  <c r="AJ115" i="188"/>
  <c r="AI115" i="188"/>
  <c r="AH115" i="188"/>
  <c r="AG115" i="188"/>
  <c r="AF115" i="188"/>
  <c r="AE115" i="188"/>
  <c r="AD115" i="188"/>
  <c r="AC115" i="188"/>
  <c r="Y115" i="188"/>
  <c r="G115" i="188"/>
  <c r="H115" i="188" s="1"/>
  <c r="BA115" i="188" s="1"/>
  <c r="DY114" i="188"/>
  <c r="CY114" i="188"/>
  <c r="BX114" i="188"/>
  <c r="BX149" i="188"/>
  <c r="BW114" i="188"/>
  <c r="BW149" i="188" s="1"/>
  <c r="BV114" i="188"/>
  <c r="BV149" i="188" s="1"/>
  <c r="BU114" i="188"/>
  <c r="BU149" i="188"/>
  <c r="BT114" i="188"/>
  <c r="BT149" i="188"/>
  <c r="BS114" i="188"/>
  <c r="BS149" i="188" s="1"/>
  <c r="BR114" i="188"/>
  <c r="BR149" i="188" s="1"/>
  <c r="BQ114" i="188"/>
  <c r="BQ149" i="188"/>
  <c r="BP114" i="188"/>
  <c r="BP149" i="188"/>
  <c r="BO114" i="188"/>
  <c r="BO149" i="188" s="1"/>
  <c r="BN114" i="188"/>
  <c r="BM114" i="188"/>
  <c r="AM114" i="188"/>
  <c r="AY114" i="188"/>
  <c r="AK114" i="188"/>
  <c r="AJ114" i="188"/>
  <c r="AH114" i="188"/>
  <c r="AF114" i="188"/>
  <c r="AD114" i="188"/>
  <c r="AC114" i="188"/>
  <c r="V114" i="188"/>
  <c r="V122" i="188"/>
  <c r="T114" i="188"/>
  <c r="AG114" i="188"/>
  <c r="R114" i="188"/>
  <c r="G114" i="188"/>
  <c r="H114" i="188" s="1"/>
  <c r="BD114" i="188" s="1"/>
  <c r="DY113" i="188"/>
  <c r="CY113" i="188"/>
  <c r="BY113" i="188"/>
  <c r="AY113" i="188"/>
  <c r="AK113" i="188"/>
  <c r="AJ113" i="188"/>
  <c r="AI113" i="188"/>
  <c r="AH113" i="188"/>
  <c r="AG113" i="188"/>
  <c r="AF113" i="188"/>
  <c r="Y113" i="188"/>
  <c r="G113" i="188"/>
  <c r="H113" i="188" s="1"/>
  <c r="BI113" i="188"/>
  <c r="E113" i="188"/>
  <c r="AD113" i="188" s="1"/>
  <c r="DY112" i="188"/>
  <c r="CX112" i="188"/>
  <c r="CX147" i="188" s="1"/>
  <c r="CW112" i="188"/>
  <c r="CW147" i="188"/>
  <c r="CV112" i="188"/>
  <c r="CV147" i="188" s="1"/>
  <c r="CU112" i="188"/>
  <c r="CU147" i="188" s="1"/>
  <c r="CT112" i="188"/>
  <c r="CT147" i="188" s="1"/>
  <c r="CS112" i="188"/>
  <c r="CS147" i="188"/>
  <c r="CR112" i="188"/>
  <c r="CQ112" i="188"/>
  <c r="CQ147" i="188" s="1"/>
  <c r="CP112" i="188"/>
  <c r="CP147" i="188" s="1"/>
  <c r="CO112" i="188"/>
  <c r="CO147" i="188" s="1"/>
  <c r="CN112" i="188"/>
  <c r="CM112" i="188"/>
  <c r="BX112" i="188"/>
  <c r="BX147" i="188" s="1"/>
  <c r="BW112" i="188"/>
  <c r="BW147" i="188" s="1"/>
  <c r="BV112" i="188"/>
  <c r="BV147" i="188" s="1"/>
  <c r="BU112" i="188"/>
  <c r="BU147" i="188"/>
  <c r="BT112" i="188"/>
  <c r="BT147" i="188" s="1"/>
  <c r="BS112" i="188"/>
  <c r="BS147" i="188" s="1"/>
  <c r="BR112" i="188"/>
  <c r="BR147" i="188" s="1"/>
  <c r="BQ112" i="188"/>
  <c r="BQ147" i="188"/>
  <c r="BP112" i="188"/>
  <c r="BP147" i="188" s="1"/>
  <c r="BO112" i="188"/>
  <c r="BO147" i="188" s="1"/>
  <c r="BN112" i="188"/>
  <c r="BM112" i="188"/>
  <c r="AY112" i="188"/>
  <c r="AK112" i="188"/>
  <c r="AJ112" i="188"/>
  <c r="AI112" i="188"/>
  <c r="AH112" i="188"/>
  <c r="AG112" i="188"/>
  <c r="AF112" i="188"/>
  <c r="AE112" i="188"/>
  <c r="AD112" i="188"/>
  <c r="AC112" i="188"/>
  <c r="Y112" i="188"/>
  <c r="G112" i="188"/>
  <c r="H112" i="188" s="1"/>
  <c r="BC112" i="188" s="1"/>
  <c r="DY111" i="188"/>
  <c r="CX111" i="188"/>
  <c r="CX146" i="188"/>
  <c r="CW111" i="188"/>
  <c r="CW146" i="188" s="1"/>
  <c r="CV111" i="188"/>
  <c r="CV146" i="188" s="1"/>
  <c r="CU111" i="188"/>
  <c r="CU146" i="188" s="1"/>
  <c r="CT111" i="188"/>
  <c r="CT146" i="188"/>
  <c r="CS111" i="188"/>
  <c r="CS146" i="188" s="1"/>
  <c r="CR111" i="188"/>
  <c r="CR146" i="188" s="1"/>
  <c r="CQ111" i="188"/>
  <c r="CQ146" i="188" s="1"/>
  <c r="CP111" i="188"/>
  <c r="CP146" i="188"/>
  <c r="CO111" i="188"/>
  <c r="CO146" i="188" s="1"/>
  <c r="CN111" i="188"/>
  <c r="CM111" i="188"/>
  <c r="BX111" i="188"/>
  <c r="BX146" i="188" s="1"/>
  <c r="BW111" i="188"/>
  <c r="BW146" i="188"/>
  <c r="BV111" i="188"/>
  <c r="BV146" i="188" s="1"/>
  <c r="BU111" i="188"/>
  <c r="BU146" i="188" s="1"/>
  <c r="BT111" i="188"/>
  <c r="BT146" i="188" s="1"/>
  <c r="BS111" i="188"/>
  <c r="BS146" i="188"/>
  <c r="BR111" i="188"/>
  <c r="BR146" i="188" s="1"/>
  <c r="BQ111" i="188"/>
  <c r="BP111" i="188"/>
  <c r="BP146" i="188" s="1"/>
  <c r="BO111" i="188"/>
  <c r="BO146" i="188"/>
  <c r="BN111" i="188"/>
  <c r="BM111" i="188"/>
  <c r="AY111" i="188"/>
  <c r="AK111" i="188"/>
  <c r="AJ111" i="188"/>
  <c r="AI111" i="188"/>
  <c r="AH111" i="188"/>
  <c r="AG111" i="188"/>
  <c r="AF111" i="188"/>
  <c r="AE111" i="188"/>
  <c r="AD111" i="188"/>
  <c r="AC111" i="188"/>
  <c r="Y111" i="188"/>
  <c r="G111" i="188"/>
  <c r="H111" i="188" s="1"/>
  <c r="BJ111" i="188" s="1"/>
  <c r="DY110" i="188"/>
  <c r="CX110" i="188"/>
  <c r="CX145" i="188" s="1"/>
  <c r="CW110" i="188"/>
  <c r="CV110" i="188"/>
  <c r="CV145" i="188"/>
  <c r="CU110" i="188"/>
  <c r="CU145" i="188" s="1"/>
  <c r="CT110" i="188"/>
  <c r="CT145" i="188" s="1"/>
  <c r="CS110" i="188"/>
  <c r="CS145" i="188"/>
  <c r="CR110" i="188"/>
  <c r="CR145" i="188"/>
  <c r="CQ110" i="188"/>
  <c r="CQ145" i="188" s="1"/>
  <c r="CP110" i="188"/>
  <c r="CO110" i="188"/>
  <c r="CO145" i="188" s="1"/>
  <c r="CN110" i="188"/>
  <c r="CM110" i="188"/>
  <c r="BM110" i="188"/>
  <c r="BY110" i="188"/>
  <c r="AY110" i="188"/>
  <c r="AK110" i="188"/>
  <c r="AJ110" i="188"/>
  <c r="AI110" i="188"/>
  <c r="AH110" i="188"/>
  <c r="AG110" i="188"/>
  <c r="AF110" i="188"/>
  <c r="AE110" i="188"/>
  <c r="AD110" i="188"/>
  <c r="AC110" i="188"/>
  <c r="Y110" i="188"/>
  <c r="G110" i="188"/>
  <c r="H110" i="188" s="1"/>
  <c r="I110" i="188" s="1"/>
  <c r="DY109" i="188"/>
  <c r="CX109" i="188"/>
  <c r="CW109" i="188"/>
  <c r="CW144" i="188"/>
  <c r="CV109" i="188"/>
  <c r="CV144" i="188" s="1"/>
  <c r="CU109" i="188"/>
  <c r="CU144" i="188" s="1"/>
  <c r="CT109" i="188"/>
  <c r="CT144" i="188" s="1"/>
  <c r="CS109" i="188"/>
  <c r="CS144" i="188"/>
  <c r="CR109" i="188"/>
  <c r="CR144" i="188" s="1"/>
  <c r="CQ109" i="188"/>
  <c r="CQ144" i="188" s="1"/>
  <c r="CP109" i="188"/>
  <c r="CP144" i="188" s="1"/>
  <c r="CO109" i="188"/>
  <c r="CO144" i="188"/>
  <c r="CN109" i="188"/>
  <c r="CM109" i="188"/>
  <c r="BM109" i="188"/>
  <c r="BY109" i="188" s="1"/>
  <c r="AY109" i="188"/>
  <c r="AK109" i="188"/>
  <c r="AJ109" i="188"/>
  <c r="AI109" i="188"/>
  <c r="AH109" i="188"/>
  <c r="AG109" i="188"/>
  <c r="AF109" i="188"/>
  <c r="Y109" i="188"/>
  <c r="G109" i="188"/>
  <c r="H109" i="188" s="1"/>
  <c r="BC109" i="188" s="1"/>
  <c r="E109" i="188"/>
  <c r="DX108" i="188"/>
  <c r="DX143" i="188" s="1"/>
  <c r="DW108" i="188"/>
  <c r="DW143" i="188"/>
  <c r="DV108" i="188"/>
  <c r="DV143" i="188" s="1"/>
  <c r="DU108" i="188"/>
  <c r="DU143" i="188" s="1"/>
  <c r="DT108" i="188"/>
  <c r="DS108" i="188"/>
  <c r="DS143" i="188" s="1"/>
  <c r="DR108" i="188"/>
  <c r="DR143" i="188" s="1"/>
  <c r="DQ108" i="188"/>
  <c r="DQ143" i="188" s="1"/>
  <c r="DP108" i="188"/>
  <c r="DP143" i="188" s="1"/>
  <c r="DO108" i="188"/>
  <c r="DO143" i="188" s="1"/>
  <c r="DN108" i="188"/>
  <c r="EA108" i="188" s="1"/>
  <c r="DM108" i="188"/>
  <c r="CX108" i="188"/>
  <c r="CX143" i="188" s="1"/>
  <c r="CW108" i="188"/>
  <c r="CW143" i="188"/>
  <c r="CV108" i="188"/>
  <c r="CV143" i="188" s="1"/>
  <c r="CU108" i="188"/>
  <c r="CU143" i="188" s="1"/>
  <c r="CT108" i="188"/>
  <c r="CT143" i="188" s="1"/>
  <c r="CS108" i="188"/>
  <c r="CS143" i="188" s="1"/>
  <c r="CR108" i="188"/>
  <c r="CR143" i="188" s="1"/>
  <c r="CQ108" i="188"/>
  <c r="CQ143" i="188" s="1"/>
  <c r="CP108" i="188"/>
  <c r="CP143" i="188" s="1"/>
  <c r="CO108" i="188"/>
  <c r="CO143" i="188"/>
  <c r="CN108" i="188"/>
  <c r="CM108" i="188"/>
  <c r="BX108" i="188"/>
  <c r="BX143" i="188" s="1"/>
  <c r="BW108" i="188"/>
  <c r="BW143" i="188" s="1"/>
  <c r="BV108" i="188"/>
  <c r="BV143" i="188" s="1"/>
  <c r="BU108" i="188"/>
  <c r="BU143" i="188" s="1"/>
  <c r="BT108" i="188"/>
  <c r="BT143" i="188" s="1"/>
  <c r="BS108" i="188"/>
  <c r="BS143" i="188" s="1"/>
  <c r="BR108" i="188"/>
  <c r="BR143" i="188"/>
  <c r="BQ108" i="188"/>
  <c r="BQ143" i="188" s="1"/>
  <c r="BP108" i="188"/>
  <c r="BO108" i="188"/>
  <c r="BO143" i="188" s="1"/>
  <c r="BN108" i="188"/>
  <c r="BM108" i="188"/>
  <c r="AY108" i="188"/>
  <c r="AK108" i="188"/>
  <c r="AJ108" i="188"/>
  <c r="AI108" i="188"/>
  <c r="AH108" i="188"/>
  <c r="AG108" i="188"/>
  <c r="AF108" i="188"/>
  <c r="Y108" i="188"/>
  <c r="G108" i="188"/>
  <c r="H108" i="188" s="1"/>
  <c r="BC108" i="188" s="1"/>
  <c r="E108" i="188"/>
  <c r="AE108" i="188" s="1"/>
  <c r="DX107" i="188"/>
  <c r="DX142" i="188" s="1"/>
  <c r="DW107" i="188"/>
  <c r="EJ107" i="188" s="1"/>
  <c r="DV107" i="188"/>
  <c r="DV142" i="188"/>
  <c r="DU107" i="188"/>
  <c r="DU142" i="188" s="1"/>
  <c r="DT107" i="188"/>
  <c r="DT142" i="188" s="1"/>
  <c r="DS107" i="188"/>
  <c r="DS142" i="188"/>
  <c r="DR107" i="188"/>
  <c r="DR142" i="188"/>
  <c r="DQ107" i="188"/>
  <c r="DQ142" i="188" s="1"/>
  <c r="DP107" i="188"/>
  <c r="DP142" i="188" s="1"/>
  <c r="DO107" i="188"/>
  <c r="DO142" i="188" s="1"/>
  <c r="DN107" i="188"/>
  <c r="DM107" i="188"/>
  <c r="CX107" i="188"/>
  <c r="CX142" i="188" s="1"/>
  <c r="CW107" i="188"/>
  <c r="CW142" i="188" s="1"/>
  <c r="CV107" i="188"/>
  <c r="CV142" i="188" s="1"/>
  <c r="CU107" i="188"/>
  <c r="CU142" i="188"/>
  <c r="CT107" i="188"/>
  <c r="CT142" i="188" s="1"/>
  <c r="CS107" i="188"/>
  <c r="CS142" i="188"/>
  <c r="CR107" i="188"/>
  <c r="CR142" i="188"/>
  <c r="CQ107" i="188"/>
  <c r="CP107" i="188"/>
  <c r="CP142" i="188" s="1"/>
  <c r="CO107" i="188"/>
  <c r="CO142" i="188" s="1"/>
  <c r="CN107" i="188"/>
  <c r="CM107" i="188"/>
  <c r="BX107" i="188"/>
  <c r="BX142" i="188" s="1"/>
  <c r="BW107" i="188"/>
  <c r="BW142" i="188" s="1"/>
  <c r="BV107" i="188"/>
  <c r="BV142" i="188" s="1"/>
  <c r="BU107" i="188"/>
  <c r="BT107" i="188"/>
  <c r="BT142" i="188"/>
  <c r="BS107" i="188"/>
  <c r="BS142" i="188"/>
  <c r="BR107" i="188"/>
  <c r="BR142" i="188" s="1"/>
  <c r="BQ107" i="188"/>
  <c r="BQ142" i="188"/>
  <c r="BP107" i="188"/>
  <c r="BO107" i="188"/>
  <c r="BO142" i="188" s="1"/>
  <c r="BN107" i="188"/>
  <c r="BN122" i="188" s="1"/>
  <c r="BM107" i="188"/>
  <c r="AY107" i="188"/>
  <c r="AK107" i="188"/>
  <c r="AJ107" i="188"/>
  <c r="AI107" i="188"/>
  <c r="AH107" i="188"/>
  <c r="AG107" i="188"/>
  <c r="AF107" i="188"/>
  <c r="Y107" i="188"/>
  <c r="G107" i="188"/>
  <c r="H107" i="188" s="1"/>
  <c r="BB107" i="188" s="1"/>
  <c r="E107" i="188"/>
  <c r="DY106" i="188"/>
  <c r="CY106" i="188"/>
  <c r="BX106" i="188"/>
  <c r="BX141" i="188"/>
  <c r="BW106" i="188"/>
  <c r="BV106" i="188"/>
  <c r="BV141" i="188"/>
  <c r="BU106" i="188"/>
  <c r="BU141" i="188" s="1"/>
  <c r="BT106" i="188"/>
  <c r="BT141" i="188" s="1"/>
  <c r="BS106" i="188"/>
  <c r="BS141" i="188" s="1"/>
  <c r="BR106" i="188"/>
  <c r="BR141" i="188"/>
  <c r="BQ106" i="188"/>
  <c r="BP106" i="188"/>
  <c r="BP141" i="188"/>
  <c r="BO106" i="188"/>
  <c r="BN106" i="188"/>
  <c r="BM106" i="188"/>
  <c r="AY106" i="188"/>
  <c r="AK106" i="188"/>
  <c r="AJ106" i="188"/>
  <c r="AI106" i="188"/>
  <c r="AH106" i="188"/>
  <c r="AG106" i="188"/>
  <c r="AF106" i="188"/>
  <c r="AE106" i="188"/>
  <c r="AD106" i="188"/>
  <c r="P106" i="188"/>
  <c r="G106" i="188"/>
  <c r="H106" i="188" s="1"/>
  <c r="DY105" i="188"/>
  <c r="CY105" i="188"/>
  <c r="BX105" i="188"/>
  <c r="BX140" i="188" s="1"/>
  <c r="BW105" i="188"/>
  <c r="BW140" i="188" s="1"/>
  <c r="BV105" i="188"/>
  <c r="BV140" i="188" s="1"/>
  <c r="BU105" i="188"/>
  <c r="BT105" i="188"/>
  <c r="BT140" i="188" s="1"/>
  <c r="BS105" i="188"/>
  <c r="BS140" i="188" s="1"/>
  <c r="BR105" i="188"/>
  <c r="BR140" i="188" s="1"/>
  <c r="BQ105" i="188"/>
  <c r="BQ140" i="188" s="1"/>
  <c r="BP105" i="188"/>
  <c r="BP140" i="188" s="1"/>
  <c r="BO105" i="188"/>
  <c r="BO140" i="188"/>
  <c r="BN105" i="188"/>
  <c r="BM105" i="188"/>
  <c r="AY105" i="188"/>
  <c r="AK105" i="188"/>
  <c r="AJ105" i="188"/>
  <c r="AI105" i="188"/>
  <c r="AH105" i="188"/>
  <c r="AG105" i="188"/>
  <c r="AF105" i="188"/>
  <c r="AE105" i="188"/>
  <c r="AD105" i="188"/>
  <c r="P105" i="188"/>
  <c r="AC105" i="188" s="1"/>
  <c r="G105" i="188"/>
  <c r="H105" i="188" s="1"/>
  <c r="BF105" i="188" s="1"/>
  <c r="DY104" i="188"/>
  <c r="CY104" i="188"/>
  <c r="BX104" i="188"/>
  <c r="BW104" i="188"/>
  <c r="BW139" i="188" s="1"/>
  <c r="BV104" i="188"/>
  <c r="BV139" i="188" s="1"/>
  <c r="BU104" i="188"/>
  <c r="BU139" i="188"/>
  <c r="BT104" i="188"/>
  <c r="BT139" i="188"/>
  <c r="BS104" i="188"/>
  <c r="BR104" i="188"/>
  <c r="BR139" i="188" s="1"/>
  <c r="BQ104" i="188"/>
  <c r="BP104" i="188"/>
  <c r="BP139" i="188" s="1"/>
  <c r="BO104" i="188"/>
  <c r="BO139" i="188" s="1"/>
  <c r="BN104" i="188"/>
  <c r="BM104" i="188"/>
  <c r="AY104" i="188"/>
  <c r="AK104" i="188"/>
  <c r="AJ104" i="188"/>
  <c r="AI104" i="188"/>
  <c r="AH104" i="188"/>
  <c r="AG104" i="188"/>
  <c r="AF104" i="188"/>
  <c r="AE104" i="188"/>
  <c r="AD104" i="188"/>
  <c r="AC104" i="188"/>
  <c r="Y104" i="188"/>
  <c r="G104" i="188"/>
  <c r="H104" i="188" s="1"/>
  <c r="AZ104" i="188" s="1"/>
  <c r="DY103" i="188"/>
  <c r="CY103" i="188"/>
  <c r="BX103" i="188"/>
  <c r="BX138" i="188" s="1"/>
  <c r="BW103" i="188"/>
  <c r="BW138" i="188" s="1"/>
  <c r="BV103" i="188"/>
  <c r="BV138" i="188" s="1"/>
  <c r="BU103" i="188"/>
  <c r="BU138" i="188" s="1"/>
  <c r="BT103" i="188"/>
  <c r="BT138" i="188" s="1"/>
  <c r="BS103" i="188"/>
  <c r="BS138" i="188" s="1"/>
  <c r="BR103" i="188"/>
  <c r="BR138" i="188" s="1"/>
  <c r="BQ103" i="188"/>
  <c r="BQ138" i="188" s="1"/>
  <c r="BP103" i="188"/>
  <c r="BP138" i="188" s="1"/>
  <c r="BO103" i="188"/>
  <c r="BO138" i="188" s="1"/>
  <c r="BN103" i="188"/>
  <c r="BM103" i="188"/>
  <c r="AY103" i="188"/>
  <c r="AK103" i="188"/>
  <c r="AJ103" i="188"/>
  <c r="AI103" i="188"/>
  <c r="AH103" i="188"/>
  <c r="AG103" i="188"/>
  <c r="AF103" i="188"/>
  <c r="AE103" i="188"/>
  <c r="AD103" i="188"/>
  <c r="AC103" i="188"/>
  <c r="AL103" i="188" s="1"/>
  <c r="Y103" i="188"/>
  <c r="G103" i="188"/>
  <c r="H103" i="188" s="1"/>
  <c r="BG103" i="188" s="1"/>
  <c r="DY102" i="188"/>
  <c r="CY102" i="188"/>
  <c r="BY102" i="188"/>
  <c r="AY102" i="188"/>
  <c r="Y102" i="188"/>
  <c r="E102" i="188"/>
  <c r="AC102" i="188" s="1"/>
  <c r="DX101" i="188"/>
  <c r="DX136" i="188" s="1"/>
  <c r="DW101" i="188"/>
  <c r="DW136" i="188" s="1"/>
  <c r="DV101" i="188"/>
  <c r="DV136" i="188" s="1"/>
  <c r="DU101" i="188"/>
  <c r="DU136" i="188"/>
  <c r="DT101" i="188"/>
  <c r="DT136" i="188" s="1"/>
  <c r="DS101" i="188"/>
  <c r="DS136" i="188" s="1"/>
  <c r="DR101" i="188"/>
  <c r="DR136" i="188" s="1"/>
  <c r="DQ101" i="188"/>
  <c r="DP101" i="188"/>
  <c r="DP136" i="188"/>
  <c r="DO101" i="188"/>
  <c r="DO136" i="188" s="1"/>
  <c r="DN101" i="188"/>
  <c r="DM101" i="188"/>
  <c r="CX101" i="188"/>
  <c r="CX136" i="188" s="1"/>
  <c r="CW101" i="188"/>
  <c r="CV101" i="188"/>
  <c r="CV136" i="188" s="1"/>
  <c r="CU101" i="188"/>
  <c r="CU136" i="188" s="1"/>
  <c r="CT101" i="188"/>
  <c r="CT136" i="188" s="1"/>
  <c r="CS101" i="188"/>
  <c r="CR101" i="188"/>
  <c r="CR136" i="188" s="1"/>
  <c r="CQ101" i="188"/>
  <c r="CQ136" i="188" s="1"/>
  <c r="CP101" i="188"/>
  <c r="CP136" i="188" s="1"/>
  <c r="CO101" i="188"/>
  <c r="CN101" i="188"/>
  <c r="CM101" i="188"/>
  <c r="BX101" i="188"/>
  <c r="BX136" i="188" s="1"/>
  <c r="BW101" i="188"/>
  <c r="BW136" i="188" s="1"/>
  <c r="BV101" i="188"/>
  <c r="BV136" i="188" s="1"/>
  <c r="BU101" i="188"/>
  <c r="BT101" i="188"/>
  <c r="BT136" i="188" s="1"/>
  <c r="BS101" i="188"/>
  <c r="BS136" i="188" s="1"/>
  <c r="BR101" i="188"/>
  <c r="BR136" i="188" s="1"/>
  <c r="BQ101" i="188"/>
  <c r="BQ136" i="188" s="1"/>
  <c r="BP101" i="188"/>
  <c r="BP136" i="188"/>
  <c r="BO101" i="188"/>
  <c r="BO136" i="188" s="1"/>
  <c r="BN101" i="188"/>
  <c r="BM101" i="188"/>
  <c r="AY101" i="188"/>
  <c r="AK101" i="188"/>
  <c r="AJ101" i="188"/>
  <c r="AI101" i="188"/>
  <c r="AH101" i="188"/>
  <c r="AG101" i="188"/>
  <c r="AF101" i="188"/>
  <c r="AC101" i="188"/>
  <c r="R101" i="188"/>
  <c r="Q101" i="188"/>
  <c r="G101" i="188"/>
  <c r="H101" i="188"/>
  <c r="DX100" i="188"/>
  <c r="DX135" i="188" s="1"/>
  <c r="DW100" i="188"/>
  <c r="DW135" i="188"/>
  <c r="DV100" i="188"/>
  <c r="DV135" i="188"/>
  <c r="DU100" i="188"/>
  <c r="DU135" i="188"/>
  <c r="DT100" i="188"/>
  <c r="DT135" i="188" s="1"/>
  <c r="DS100" i="188"/>
  <c r="DS135" i="188" s="1"/>
  <c r="DR100" i="188"/>
  <c r="DQ100" i="188"/>
  <c r="DQ135" i="188" s="1"/>
  <c r="DP100" i="188"/>
  <c r="DP135" i="188" s="1"/>
  <c r="DO100" i="188"/>
  <c r="DO135" i="188" s="1"/>
  <c r="DN100" i="188"/>
  <c r="DM100" i="188"/>
  <c r="CX100" i="188"/>
  <c r="CX135" i="188" s="1"/>
  <c r="CW100" i="188"/>
  <c r="CW135" i="188" s="1"/>
  <c r="CV100" i="188"/>
  <c r="CV135" i="188" s="1"/>
  <c r="CU100" i="188"/>
  <c r="CU135" i="188"/>
  <c r="CT100" i="188"/>
  <c r="CT135" i="188" s="1"/>
  <c r="CS100" i="188"/>
  <c r="CS135" i="188" s="1"/>
  <c r="CR100" i="188"/>
  <c r="CR135" i="188" s="1"/>
  <c r="CQ100" i="188"/>
  <c r="CQ135" i="188"/>
  <c r="CP100" i="188"/>
  <c r="CP135" i="188" s="1"/>
  <c r="CO100" i="188"/>
  <c r="CO135" i="188" s="1"/>
  <c r="CN100" i="188"/>
  <c r="CM100" i="188"/>
  <c r="BX100" i="188"/>
  <c r="BX135" i="188"/>
  <c r="BW100" i="188"/>
  <c r="BW135" i="188" s="1"/>
  <c r="BV100" i="188"/>
  <c r="BV135" i="188" s="1"/>
  <c r="BU100" i="188"/>
  <c r="BU135" i="188" s="1"/>
  <c r="BT100" i="188"/>
  <c r="BT135" i="188" s="1"/>
  <c r="BS100" i="188"/>
  <c r="BR100" i="188"/>
  <c r="BR135" i="188" s="1"/>
  <c r="BQ100" i="188"/>
  <c r="BQ135" i="188" s="1"/>
  <c r="BP100" i="188"/>
  <c r="BP135" i="188" s="1"/>
  <c r="BO100" i="188"/>
  <c r="BO135" i="188"/>
  <c r="BN100" i="188"/>
  <c r="BM100" i="188"/>
  <c r="AY100" i="188"/>
  <c r="AK100" i="188"/>
  <c r="AJ100" i="188"/>
  <c r="AI100" i="188"/>
  <c r="AH100" i="188"/>
  <c r="AG100" i="188"/>
  <c r="AF100" i="188"/>
  <c r="AE100" i="188"/>
  <c r="AD100" i="188"/>
  <c r="AC100" i="188"/>
  <c r="Y100" i="188"/>
  <c r="G100" i="188"/>
  <c r="H100" i="188" s="1"/>
  <c r="I100" i="188" s="1"/>
  <c r="CK100" i="188" s="1"/>
  <c r="DX99" i="188"/>
  <c r="DX134" i="188" s="1"/>
  <c r="DW99" i="188"/>
  <c r="DW134" i="188"/>
  <c r="DV99" i="188"/>
  <c r="DU99" i="188"/>
  <c r="DT99" i="188"/>
  <c r="DT134" i="188" s="1"/>
  <c r="DS99" i="188"/>
  <c r="DS134" i="188" s="1"/>
  <c r="DR99" i="188"/>
  <c r="DR134" i="188" s="1"/>
  <c r="DQ99" i="188"/>
  <c r="DQ134" i="188" s="1"/>
  <c r="DP99" i="188"/>
  <c r="DP134" i="188" s="1"/>
  <c r="DO99" i="188"/>
  <c r="DN99" i="188"/>
  <c r="DM99" i="188"/>
  <c r="CX99" i="188"/>
  <c r="CX134" i="188" s="1"/>
  <c r="CW99" i="188"/>
  <c r="CW134" i="188" s="1"/>
  <c r="CV99" i="188"/>
  <c r="CV134" i="188" s="1"/>
  <c r="CU99" i="188"/>
  <c r="CU134" i="188" s="1"/>
  <c r="CT99" i="188"/>
  <c r="CT134" i="188" s="1"/>
  <c r="CS99" i="188"/>
  <c r="CR99" i="188"/>
  <c r="CR134" i="188"/>
  <c r="CQ99" i="188"/>
  <c r="CQ134" i="188"/>
  <c r="CP99" i="188"/>
  <c r="CP134" i="188" s="1"/>
  <c r="CO99" i="188"/>
  <c r="CO134" i="188" s="1"/>
  <c r="CN99" i="188"/>
  <c r="CM99" i="188"/>
  <c r="BX99" i="188"/>
  <c r="BX134" i="188"/>
  <c r="BW99" i="188"/>
  <c r="BW134" i="188" s="1"/>
  <c r="BV99" i="188"/>
  <c r="BU99" i="188"/>
  <c r="BU134" i="188" s="1"/>
  <c r="BT99" i="188"/>
  <c r="BT134" i="188" s="1"/>
  <c r="BS99" i="188"/>
  <c r="BS134" i="188" s="1"/>
  <c r="BR99" i="188"/>
  <c r="BR134" i="188" s="1"/>
  <c r="BQ99" i="188"/>
  <c r="BQ134" i="188"/>
  <c r="BP99" i="188"/>
  <c r="BP134" i="188" s="1"/>
  <c r="BO99" i="188"/>
  <c r="BN99" i="188"/>
  <c r="BM99" i="188"/>
  <c r="AY99" i="188"/>
  <c r="AK99" i="188"/>
  <c r="AJ99" i="188"/>
  <c r="AI99" i="188"/>
  <c r="AH99" i="188"/>
  <c r="AG99" i="188"/>
  <c r="AF99" i="188"/>
  <c r="AE99" i="188"/>
  <c r="AD99" i="188"/>
  <c r="AC99" i="188"/>
  <c r="Y99" i="188"/>
  <c r="G99" i="188"/>
  <c r="H99" i="188" s="1"/>
  <c r="BC99" i="188" s="1"/>
  <c r="DX98" i="188"/>
  <c r="DX133" i="188" s="1"/>
  <c r="DW98" i="188"/>
  <c r="DW133" i="188" s="1"/>
  <c r="DV98" i="188"/>
  <c r="DV133" i="188"/>
  <c r="DU98" i="188"/>
  <c r="DU133" i="188" s="1"/>
  <c r="DT98" i="188"/>
  <c r="DT133" i="188" s="1"/>
  <c r="DS98" i="188"/>
  <c r="DR98" i="188"/>
  <c r="DR133" i="188"/>
  <c r="DQ98" i="188"/>
  <c r="DQ133" i="188"/>
  <c r="DP98" i="188"/>
  <c r="DP133" i="188" s="1"/>
  <c r="DO98" i="188"/>
  <c r="DO133" i="188" s="1"/>
  <c r="DN98" i="188"/>
  <c r="DM98" i="188"/>
  <c r="CX98" i="188"/>
  <c r="CX133" i="188"/>
  <c r="CW98" i="188"/>
  <c r="CW133" i="188" s="1"/>
  <c r="CV98" i="188"/>
  <c r="CV133" i="188" s="1"/>
  <c r="CU98" i="188"/>
  <c r="CU133" i="188" s="1"/>
  <c r="CT98" i="188"/>
  <c r="CT133" i="188"/>
  <c r="CS98" i="188"/>
  <c r="CS133" i="188" s="1"/>
  <c r="CR98" i="188"/>
  <c r="CR133" i="188" s="1"/>
  <c r="CQ98" i="188"/>
  <c r="CQ133" i="188" s="1"/>
  <c r="CP98" i="188"/>
  <c r="CP133" i="188"/>
  <c r="CO98" i="188"/>
  <c r="CO133" i="188" s="1"/>
  <c r="CN98" i="188"/>
  <c r="CM98" i="188"/>
  <c r="BY98" i="188"/>
  <c r="AX98" i="188"/>
  <c r="AX122" i="188"/>
  <c r="AV98" i="188"/>
  <c r="AV122" i="188" s="1"/>
  <c r="AT98" i="188"/>
  <c r="AT122" i="188" s="1"/>
  <c r="AS98" i="188"/>
  <c r="AP98" i="188"/>
  <c r="AP122" i="188"/>
  <c r="AN98" i="188"/>
  <c r="AM98" i="188"/>
  <c r="AK98" i="188"/>
  <c r="AJ98" i="188"/>
  <c r="AI98" i="188"/>
  <c r="AH98" i="188"/>
  <c r="AG98" i="188"/>
  <c r="AF98" i="188"/>
  <c r="AE98" i="188"/>
  <c r="AD98" i="188"/>
  <c r="AC98" i="188"/>
  <c r="Y98" i="188"/>
  <c r="G98" i="188"/>
  <c r="H98" i="188" s="1"/>
  <c r="BB98" i="188" s="1"/>
  <c r="X97" i="188"/>
  <c r="W97" i="188"/>
  <c r="V97" i="188"/>
  <c r="U97" i="188"/>
  <c r="T97" i="188"/>
  <c r="S97" i="188"/>
  <c r="P97" i="188"/>
  <c r="O97" i="188"/>
  <c r="N97" i="188"/>
  <c r="M97" i="188"/>
  <c r="EK96" i="188"/>
  <c r="EJ96" i="188"/>
  <c r="EI96" i="188"/>
  <c r="EH96" i="188"/>
  <c r="EG96" i="188"/>
  <c r="EF96" i="188"/>
  <c r="EE96" i="188"/>
  <c r="ED96" i="188"/>
  <c r="EC96" i="188"/>
  <c r="EB96" i="188"/>
  <c r="EL96" i="188" s="1"/>
  <c r="EA96" i="188"/>
  <c r="DZ96" i="188"/>
  <c r="DY96" i="188"/>
  <c r="DK96" i="188"/>
  <c r="DJ96" i="188"/>
  <c r="DI96" i="188"/>
  <c r="DH96" i="188"/>
  <c r="DG96" i="188"/>
  <c r="DF96" i="188"/>
  <c r="DE96" i="188"/>
  <c r="DD96" i="188"/>
  <c r="DC96" i="188"/>
  <c r="DB96" i="188"/>
  <c r="DA96" i="188"/>
  <c r="CZ96" i="188"/>
  <c r="CY96" i="188"/>
  <c r="CK96" i="188"/>
  <c r="CJ96" i="188"/>
  <c r="CI96" i="188"/>
  <c r="CH96" i="188"/>
  <c r="CG96" i="188"/>
  <c r="CF96" i="188"/>
  <c r="CE96" i="188"/>
  <c r="CD96" i="188"/>
  <c r="CC96" i="188"/>
  <c r="CB96" i="188"/>
  <c r="CA96" i="188"/>
  <c r="BZ96" i="188"/>
  <c r="BY96" i="188"/>
  <c r="BK96" i="188"/>
  <c r="BJ96" i="188"/>
  <c r="BI96" i="188"/>
  <c r="BH96" i="188"/>
  <c r="BG96" i="188"/>
  <c r="BF96" i="188"/>
  <c r="BE96" i="188"/>
  <c r="BD96" i="188"/>
  <c r="BC96" i="188"/>
  <c r="BB96" i="188"/>
  <c r="BA96" i="188"/>
  <c r="AZ96" i="188"/>
  <c r="AY96" i="188"/>
  <c r="AK96" i="188"/>
  <c r="AJ96" i="188"/>
  <c r="AI96" i="188"/>
  <c r="AH96" i="188"/>
  <c r="AG96" i="188"/>
  <c r="AF96" i="188"/>
  <c r="AE96" i="188"/>
  <c r="AC96" i="188"/>
  <c r="AB96" i="188"/>
  <c r="Y96" i="188"/>
  <c r="DX95" i="188"/>
  <c r="EK95" i="188" s="1"/>
  <c r="DW95" i="188"/>
  <c r="EJ95" i="188" s="1"/>
  <c r="DV95" i="188"/>
  <c r="EI95" i="188" s="1"/>
  <c r="DU95" i="188"/>
  <c r="EH95" i="188" s="1"/>
  <c r="DT95" i="188"/>
  <c r="EG95" i="188"/>
  <c r="DS95" i="188"/>
  <c r="EF95" i="188"/>
  <c r="DR95" i="188"/>
  <c r="DQ95" i="188"/>
  <c r="ED95" i="188" s="1"/>
  <c r="DP95" i="188"/>
  <c r="EC95" i="188" s="1"/>
  <c r="DO95" i="188"/>
  <c r="EB95" i="188" s="1"/>
  <c r="DN95" i="188"/>
  <c r="EA95" i="188" s="1"/>
  <c r="DM95" i="188"/>
  <c r="CX95" i="188"/>
  <c r="DK95" i="188" s="1"/>
  <c r="CW95" i="188"/>
  <c r="DJ95" i="188" s="1"/>
  <c r="CV95" i="188"/>
  <c r="DI95" i="188"/>
  <c r="CU95" i="188"/>
  <c r="DH95" i="188"/>
  <c r="CT95" i="188"/>
  <c r="DG95" i="188" s="1"/>
  <c r="CS95" i="188"/>
  <c r="DF95" i="188" s="1"/>
  <c r="CR95" i="188"/>
  <c r="DE95" i="188" s="1"/>
  <c r="CQ95" i="188"/>
  <c r="DD95" i="188" s="1"/>
  <c r="CP95" i="188"/>
  <c r="DC95" i="188"/>
  <c r="CO95" i="188"/>
  <c r="DB95" i="188" s="1"/>
  <c r="CN95" i="188"/>
  <c r="DA95" i="188" s="1"/>
  <c r="CM95" i="188"/>
  <c r="CZ95" i="188"/>
  <c r="BX95" i="188"/>
  <c r="CK95" i="188"/>
  <c r="BW95" i="188"/>
  <c r="CJ95" i="188" s="1"/>
  <c r="BV95" i="188"/>
  <c r="CI95" i="188" s="1"/>
  <c r="BU95" i="188"/>
  <c r="CH95" i="188" s="1"/>
  <c r="BT95" i="188"/>
  <c r="BS95" i="188"/>
  <c r="CF95" i="188"/>
  <c r="BR95" i="188"/>
  <c r="CE95" i="188" s="1"/>
  <c r="BQ95" i="188"/>
  <c r="CD95" i="188" s="1"/>
  <c r="BP95" i="188"/>
  <c r="CC95" i="188" s="1"/>
  <c r="BO95" i="188"/>
  <c r="CB95" i="188" s="1"/>
  <c r="BN95" i="188"/>
  <c r="CA95" i="188" s="1"/>
  <c r="BM95" i="188"/>
  <c r="BZ95" i="188" s="1"/>
  <c r="BK95" i="188"/>
  <c r="BJ95" i="188"/>
  <c r="BI95" i="188"/>
  <c r="BH95" i="188"/>
  <c r="BG95" i="188"/>
  <c r="BF95" i="188"/>
  <c r="BE95" i="188"/>
  <c r="BD95" i="188"/>
  <c r="BC95" i="188"/>
  <c r="BB95" i="188"/>
  <c r="BA95" i="188"/>
  <c r="AZ95" i="188"/>
  <c r="AY95" i="188"/>
  <c r="AG95" i="188"/>
  <c r="AE95" i="188"/>
  <c r="AD95" i="188"/>
  <c r="DX94" i="188"/>
  <c r="EK94" i="188" s="1"/>
  <c r="DW94" i="188"/>
  <c r="EJ94" i="188"/>
  <c r="DV94" i="188"/>
  <c r="EI94" i="188" s="1"/>
  <c r="DU94" i="188"/>
  <c r="EH94" i="188" s="1"/>
  <c r="DT94" i="188"/>
  <c r="EG94" i="188" s="1"/>
  <c r="DS94" i="188"/>
  <c r="EF94" i="188"/>
  <c r="DR94" i="188"/>
  <c r="EE94" i="188" s="1"/>
  <c r="DQ94" i="188"/>
  <c r="ED94" i="188" s="1"/>
  <c r="DP94" i="188"/>
  <c r="DO94" i="188"/>
  <c r="EB94" i="188"/>
  <c r="EL94" i="188" s="1"/>
  <c r="DN94" i="188"/>
  <c r="EA94" i="188"/>
  <c r="DM94" i="188"/>
  <c r="DZ94" i="188" s="1"/>
  <c r="CX94" i="188"/>
  <c r="DK94" i="188" s="1"/>
  <c r="CW94" i="188"/>
  <c r="DJ94" i="188"/>
  <c r="CV94" i="188"/>
  <c r="DI94" i="188"/>
  <c r="CU94" i="188"/>
  <c r="DH94" i="188" s="1"/>
  <c r="CT94" i="188"/>
  <c r="DG94" i="188"/>
  <c r="CS94" i="188"/>
  <c r="CR94" i="188"/>
  <c r="DE94" i="188" s="1"/>
  <c r="CQ94" i="188"/>
  <c r="DD94" i="188" s="1"/>
  <c r="CP94" i="188"/>
  <c r="DC94" i="188" s="1"/>
  <c r="CO94" i="188"/>
  <c r="CN94" i="188"/>
  <c r="DA94" i="188" s="1"/>
  <c r="CM94" i="188"/>
  <c r="CZ94" i="188" s="1"/>
  <c r="BX94" i="188"/>
  <c r="CK94" i="188"/>
  <c r="BW94" i="188"/>
  <c r="CJ94" i="188" s="1"/>
  <c r="BV94" i="188"/>
  <c r="CI94" i="188"/>
  <c r="BU94" i="188"/>
  <c r="BT94" i="188"/>
  <c r="CG94" i="188"/>
  <c r="BS94" i="188"/>
  <c r="CF94" i="188" s="1"/>
  <c r="BR94" i="188"/>
  <c r="CE94" i="188"/>
  <c r="BQ94" i="188"/>
  <c r="CD94" i="188" s="1"/>
  <c r="BP94" i="188"/>
  <c r="CC94" i="188"/>
  <c r="BO94" i="188"/>
  <c r="CB94" i="188" s="1"/>
  <c r="BN94" i="188"/>
  <c r="CA94" i="188"/>
  <c r="BM94" i="188"/>
  <c r="BZ94" i="188" s="1"/>
  <c r="BK94" i="188"/>
  <c r="BJ94" i="188"/>
  <c r="BI94" i="188"/>
  <c r="BH94" i="188"/>
  <c r="BG94" i="188"/>
  <c r="BF94" i="188"/>
  <c r="BE94" i="188"/>
  <c r="BD94" i="188"/>
  <c r="BC94" i="188"/>
  <c r="BB94" i="188"/>
  <c r="BA94" i="188"/>
  <c r="AZ94" i="188"/>
  <c r="BL94" i="188" s="1"/>
  <c r="AY94" i="188"/>
  <c r="AG94" i="188"/>
  <c r="AE94" i="188"/>
  <c r="AD94" i="188"/>
  <c r="DX93" i="188"/>
  <c r="DW93" i="188"/>
  <c r="DV93" i="188"/>
  <c r="DU93" i="188"/>
  <c r="DT93" i="188"/>
  <c r="DS93" i="188"/>
  <c r="DR93" i="188"/>
  <c r="DQ93" i="188"/>
  <c r="DP93" i="188"/>
  <c r="DO93" i="188"/>
  <c r="DN93" i="188"/>
  <c r="DM93" i="188"/>
  <c r="CX93" i="188"/>
  <c r="CW93" i="188"/>
  <c r="CV93" i="188"/>
  <c r="CU93" i="188"/>
  <c r="CT93" i="188"/>
  <c r="CS93" i="188"/>
  <c r="CR93" i="188"/>
  <c r="CQ93" i="188"/>
  <c r="CY93" i="188" s="1"/>
  <c r="CP93" i="188"/>
  <c r="CO93" i="188"/>
  <c r="CN93" i="188"/>
  <c r="CM93" i="188"/>
  <c r="BX93" i="188"/>
  <c r="BW93" i="188"/>
  <c r="BV93" i="188"/>
  <c r="BU93" i="188"/>
  <c r="BT93" i="188"/>
  <c r="BS93" i="188"/>
  <c r="BR93" i="188"/>
  <c r="BQ93" i="188"/>
  <c r="BP93" i="188"/>
  <c r="BO93" i="188"/>
  <c r="BN93" i="188"/>
  <c r="BM93" i="188"/>
  <c r="AX93" i="188"/>
  <c r="AW93" i="188"/>
  <c r="AV93" i="188"/>
  <c r="AU93" i="188"/>
  <c r="AT93" i="188"/>
  <c r="AS93" i="188"/>
  <c r="AR93" i="188"/>
  <c r="AQ93" i="188"/>
  <c r="AP93" i="188"/>
  <c r="AO93" i="188"/>
  <c r="AN93" i="188"/>
  <c r="AM93" i="188"/>
  <c r="AK93" i="188"/>
  <c r="AJ93" i="188"/>
  <c r="AI93" i="188"/>
  <c r="AH93" i="188"/>
  <c r="AG93" i="188"/>
  <c r="AF93" i="188"/>
  <c r="AE93" i="188"/>
  <c r="AD93" i="188"/>
  <c r="AC93" i="188"/>
  <c r="AB93" i="188"/>
  <c r="Y93" i="188"/>
  <c r="H93" i="188"/>
  <c r="DX92" i="188"/>
  <c r="DW92" i="188"/>
  <c r="DV92" i="188"/>
  <c r="DU92" i="188"/>
  <c r="DT92" i="188"/>
  <c r="DS92" i="188"/>
  <c r="DR92" i="188"/>
  <c r="DQ92" i="188"/>
  <c r="DP92" i="188"/>
  <c r="DO92" i="188"/>
  <c r="DN92" i="188"/>
  <c r="DM92" i="188"/>
  <c r="CX92" i="188"/>
  <c r="CW92" i="188"/>
  <c r="CV92" i="188"/>
  <c r="CU92" i="188"/>
  <c r="CT92" i="188"/>
  <c r="CS92" i="188"/>
  <c r="CR92" i="188"/>
  <c r="CQ92" i="188"/>
  <c r="CP92" i="188"/>
  <c r="CO92" i="188"/>
  <c r="CN92" i="188"/>
  <c r="CM92" i="188"/>
  <c r="BX92" i="188"/>
  <c r="BW92" i="188"/>
  <c r="BV92" i="188"/>
  <c r="BU92" i="188"/>
  <c r="BT92" i="188"/>
  <c r="BS92" i="188"/>
  <c r="BR92" i="188"/>
  <c r="BQ92" i="188"/>
  <c r="BP92" i="188"/>
  <c r="BO92" i="188"/>
  <c r="BN92" i="188"/>
  <c r="BM92" i="188"/>
  <c r="AX92" i="188"/>
  <c r="AW92" i="188"/>
  <c r="AV92" i="188"/>
  <c r="AU92" i="188"/>
  <c r="AT92" i="188"/>
  <c r="AS92" i="188"/>
  <c r="AR92" i="188"/>
  <c r="AQ92" i="188"/>
  <c r="AP92" i="188"/>
  <c r="AO92" i="188"/>
  <c r="AN92" i="188"/>
  <c r="AM92" i="188"/>
  <c r="AK92" i="188"/>
  <c r="AJ92" i="188"/>
  <c r="AI92" i="188"/>
  <c r="AH92" i="188"/>
  <c r="AG92" i="188"/>
  <c r="AF92" i="188"/>
  <c r="AB92" i="188"/>
  <c r="AA92" i="188"/>
  <c r="Z92" i="188"/>
  <c r="Z97" i="188" s="1"/>
  <c r="R92" i="188"/>
  <c r="AE92" i="188" s="1"/>
  <c r="H92" i="188"/>
  <c r="DX91" i="188"/>
  <c r="EK91" i="188" s="1"/>
  <c r="DW91" i="188"/>
  <c r="EJ91" i="188"/>
  <c r="DV91" i="188"/>
  <c r="EI91" i="188" s="1"/>
  <c r="DU91" i="188"/>
  <c r="EH91" i="188" s="1"/>
  <c r="DT91" i="188"/>
  <c r="EG91" i="188" s="1"/>
  <c r="DS91" i="188"/>
  <c r="EF91" i="188" s="1"/>
  <c r="DR91" i="188"/>
  <c r="EE91" i="188" s="1"/>
  <c r="DQ91" i="188"/>
  <c r="ED91" i="188" s="1"/>
  <c r="DP91" i="188"/>
  <c r="EC91" i="188" s="1"/>
  <c r="DO91" i="188"/>
  <c r="EB91" i="188"/>
  <c r="DN91" i="188"/>
  <c r="DM91" i="188"/>
  <c r="CX91" i="188"/>
  <c r="DK91" i="188"/>
  <c r="CW91" i="188"/>
  <c r="DJ91" i="188" s="1"/>
  <c r="CV91" i="188"/>
  <c r="DI91" i="188" s="1"/>
  <c r="CU91" i="188"/>
  <c r="DH91" i="188" s="1"/>
  <c r="CT91" i="188"/>
  <c r="DG91" i="188" s="1"/>
  <c r="CS91" i="188"/>
  <c r="CR91" i="188"/>
  <c r="DE91" i="188"/>
  <c r="CQ91" i="188"/>
  <c r="DD91" i="188" s="1"/>
  <c r="CP91" i="188"/>
  <c r="DC91" i="188"/>
  <c r="CO91" i="188"/>
  <c r="DB91" i="188"/>
  <c r="CN91" i="188"/>
  <c r="DA91" i="188" s="1"/>
  <c r="CM91" i="188"/>
  <c r="BX91" i="188"/>
  <c r="CK91" i="188" s="1"/>
  <c r="BW91" i="188"/>
  <c r="CJ91" i="188"/>
  <c r="BV91" i="188"/>
  <c r="CI91" i="188"/>
  <c r="BU91" i="188"/>
  <c r="CH91" i="188" s="1"/>
  <c r="BT91" i="188"/>
  <c r="CG91" i="188"/>
  <c r="BS91" i="188"/>
  <c r="CF91" i="188"/>
  <c r="BR91" i="188"/>
  <c r="CE91" i="188"/>
  <c r="BQ91" i="188"/>
  <c r="CD91" i="188" s="1"/>
  <c r="BP91" i="188"/>
  <c r="CC91" i="188"/>
  <c r="BO91" i="188"/>
  <c r="CB91" i="188"/>
  <c r="BN91" i="188"/>
  <c r="CA91" i="188"/>
  <c r="BM91" i="188"/>
  <c r="BE91" i="188"/>
  <c r="BD91" i="188"/>
  <c r="BC91" i="188"/>
  <c r="BB91" i="188"/>
  <c r="BA91" i="188"/>
  <c r="AZ91" i="188"/>
  <c r="AX91" i="188"/>
  <c r="BK91" i="188" s="1"/>
  <c r="AW91" i="188"/>
  <c r="AV91" i="188"/>
  <c r="AU91" i="188"/>
  <c r="BH91" i="188"/>
  <c r="AT91" i="188"/>
  <c r="BG91" i="188"/>
  <c r="AS91" i="188"/>
  <c r="BF91" i="188" s="1"/>
  <c r="AG91" i="188"/>
  <c r="AF91" i="188"/>
  <c r="AE91" i="188"/>
  <c r="AD91" i="188"/>
  <c r="Y91" i="188"/>
  <c r="DX90" i="188"/>
  <c r="EK90" i="188" s="1"/>
  <c r="DW90" i="188"/>
  <c r="EJ90" i="188" s="1"/>
  <c r="DV90" i="188"/>
  <c r="EI90" i="188"/>
  <c r="DU90" i="188"/>
  <c r="DT90" i="188"/>
  <c r="EG90" i="188"/>
  <c r="DS90" i="188"/>
  <c r="DR90" i="188"/>
  <c r="EE90" i="188" s="1"/>
  <c r="DQ90" i="188"/>
  <c r="ED90" i="188" s="1"/>
  <c r="DP90" i="188"/>
  <c r="EC90" i="188" s="1"/>
  <c r="DO90" i="188"/>
  <c r="EB90" i="188"/>
  <c r="DN90" i="188"/>
  <c r="EA90" i="188"/>
  <c r="DM90" i="188"/>
  <c r="DZ90" i="188" s="1"/>
  <c r="CX90" i="188"/>
  <c r="DK90" i="188"/>
  <c r="CW90" i="188"/>
  <c r="DJ90" i="188" s="1"/>
  <c r="CV90" i="188"/>
  <c r="DI90" i="188" s="1"/>
  <c r="CU90" i="188"/>
  <c r="CT90" i="188"/>
  <c r="DG90" i="188"/>
  <c r="CS90" i="188"/>
  <c r="DF90" i="188" s="1"/>
  <c r="CR90" i="188"/>
  <c r="DE90" i="188"/>
  <c r="CQ90" i="188"/>
  <c r="DD90" i="188"/>
  <c r="CP90" i="188"/>
  <c r="DC90" i="188"/>
  <c r="CO90" i="188"/>
  <c r="DB90" i="188" s="1"/>
  <c r="CN90" i="188"/>
  <c r="DA90" i="188"/>
  <c r="CM90" i="188"/>
  <c r="CZ90" i="188" s="1"/>
  <c r="BX90" i="188"/>
  <c r="CK90" i="188" s="1"/>
  <c r="BW90" i="188"/>
  <c r="CJ90" i="188" s="1"/>
  <c r="BV90" i="188"/>
  <c r="BU90" i="188"/>
  <c r="CH90" i="188" s="1"/>
  <c r="BT90" i="188"/>
  <c r="CG90" i="188"/>
  <c r="BS90" i="188"/>
  <c r="CF90" i="188" s="1"/>
  <c r="BR90" i="188"/>
  <c r="CE90" i="188" s="1"/>
  <c r="BQ90" i="188"/>
  <c r="CD90" i="188" s="1"/>
  <c r="BP90" i="188"/>
  <c r="CC90" i="188"/>
  <c r="BO90" i="188"/>
  <c r="CB90" i="188"/>
  <c r="BN90" i="188"/>
  <c r="CA90" i="188"/>
  <c r="BM90" i="188"/>
  <c r="BZ90" i="188" s="1"/>
  <c r="BE90" i="188"/>
  <c r="BD90" i="188"/>
  <c r="BC90" i="188"/>
  <c r="BB90" i="188"/>
  <c r="BA90" i="188"/>
  <c r="AZ90" i="188"/>
  <c r="AX90" i="188"/>
  <c r="AW90" i="188"/>
  <c r="BJ90" i="188" s="1"/>
  <c r="AV90" i="188"/>
  <c r="BI90" i="188" s="1"/>
  <c r="AU90" i="188"/>
  <c r="BH90" i="188" s="1"/>
  <c r="AT90" i="188"/>
  <c r="BG90" i="188" s="1"/>
  <c r="AS90" i="188"/>
  <c r="BF90" i="188" s="1"/>
  <c r="AG90" i="188"/>
  <c r="AF90" i="188"/>
  <c r="AE90" i="188"/>
  <c r="AD90" i="188"/>
  <c r="Y90" i="188"/>
  <c r="DX89" i="188"/>
  <c r="EK89" i="188"/>
  <c r="DW89" i="188"/>
  <c r="EJ89" i="188"/>
  <c r="DV89" i="188"/>
  <c r="EI89" i="188" s="1"/>
  <c r="DU89" i="188"/>
  <c r="EH89" i="188" s="1"/>
  <c r="DT89" i="188"/>
  <c r="EG89" i="188" s="1"/>
  <c r="DS89" i="188"/>
  <c r="EF89" i="188"/>
  <c r="DR89" i="188"/>
  <c r="EE89" i="188" s="1"/>
  <c r="DQ89" i="188"/>
  <c r="ED89" i="188" s="1"/>
  <c r="DP89" i="188"/>
  <c r="EC89" i="188" s="1"/>
  <c r="DO89" i="188"/>
  <c r="EB89" i="188" s="1"/>
  <c r="DN89" i="188"/>
  <c r="EA89" i="188" s="1"/>
  <c r="DM89" i="188"/>
  <c r="CX89" i="188"/>
  <c r="DK89" i="188" s="1"/>
  <c r="CW89" i="188"/>
  <c r="DJ89" i="188" s="1"/>
  <c r="CV89" i="188"/>
  <c r="DI89" i="188" s="1"/>
  <c r="CU89" i="188"/>
  <c r="DH89" i="188" s="1"/>
  <c r="CT89" i="188"/>
  <c r="DG89" i="188"/>
  <c r="CS89" i="188"/>
  <c r="DF89" i="188"/>
  <c r="CR89" i="188"/>
  <c r="DE89" i="188" s="1"/>
  <c r="CQ89" i="188"/>
  <c r="DD89" i="188" s="1"/>
  <c r="CP89" i="188"/>
  <c r="DC89" i="188"/>
  <c r="CO89" i="188"/>
  <c r="CN89" i="188"/>
  <c r="DA89" i="188" s="1"/>
  <c r="CM89" i="188"/>
  <c r="CZ89" i="188" s="1"/>
  <c r="BX89" i="188"/>
  <c r="CK89" i="188" s="1"/>
  <c r="BW89" i="188"/>
  <c r="CJ89" i="188" s="1"/>
  <c r="BV89" i="188"/>
  <c r="CI89" i="188" s="1"/>
  <c r="BU89" i="188"/>
  <c r="CH89" i="188" s="1"/>
  <c r="BT89" i="188"/>
  <c r="CG89" i="188" s="1"/>
  <c r="BS89" i="188"/>
  <c r="CF89" i="188"/>
  <c r="BR89" i="188"/>
  <c r="CE89" i="188" s="1"/>
  <c r="BQ89" i="188"/>
  <c r="CD89" i="188" s="1"/>
  <c r="BP89" i="188"/>
  <c r="CC89" i="188" s="1"/>
  <c r="BO89" i="188"/>
  <c r="CB89" i="188" s="1"/>
  <c r="BN89" i="188"/>
  <c r="BM89" i="188"/>
  <c r="BZ89" i="188"/>
  <c r="BE89" i="188"/>
  <c r="BD89" i="188"/>
  <c r="BC89" i="188"/>
  <c r="BB89" i="188"/>
  <c r="BA89" i="188"/>
  <c r="AZ89" i="188"/>
  <c r="AX89" i="188"/>
  <c r="BK89" i="188"/>
  <c r="AW89" i="188"/>
  <c r="AV89" i="188"/>
  <c r="BI89" i="188" s="1"/>
  <c r="AU89" i="188"/>
  <c r="BH89" i="188" s="1"/>
  <c r="AT89" i="188"/>
  <c r="BG89" i="188" s="1"/>
  <c r="AS89" i="188"/>
  <c r="BF89" i="188"/>
  <c r="AG89" i="188"/>
  <c r="AF89" i="188"/>
  <c r="AE89" i="188"/>
  <c r="AD89" i="188"/>
  <c r="Y89" i="188"/>
  <c r="DX88" i="188"/>
  <c r="EK88" i="188" s="1"/>
  <c r="DW88" i="188"/>
  <c r="DV88" i="188"/>
  <c r="DU88" i="188"/>
  <c r="EH88" i="188" s="1"/>
  <c r="DT88" i="188"/>
  <c r="EG88" i="188" s="1"/>
  <c r="DS88" i="188"/>
  <c r="EF88" i="188"/>
  <c r="DR88" i="188"/>
  <c r="EE88" i="188" s="1"/>
  <c r="DQ88" i="188"/>
  <c r="ED88" i="188" s="1"/>
  <c r="DP88" i="188"/>
  <c r="EC88" i="188"/>
  <c r="DO88" i="188"/>
  <c r="EB88" i="188" s="1"/>
  <c r="DN88" i="188"/>
  <c r="EA88" i="188" s="1"/>
  <c r="DM88" i="188"/>
  <c r="DZ88" i="188"/>
  <c r="CX88" i="188"/>
  <c r="DK88" i="188"/>
  <c r="CW88" i="188"/>
  <c r="DJ88" i="188" s="1"/>
  <c r="CV88" i="188"/>
  <c r="DI88" i="188" s="1"/>
  <c r="CU88" i="188"/>
  <c r="DH88" i="188"/>
  <c r="CT88" i="188"/>
  <c r="DG88" i="188"/>
  <c r="CS88" i="188"/>
  <c r="DF88" i="188" s="1"/>
  <c r="CR88" i="188"/>
  <c r="DE88" i="188" s="1"/>
  <c r="CQ88" i="188"/>
  <c r="DD88" i="188" s="1"/>
  <c r="CP88" i="188"/>
  <c r="DC88" i="188"/>
  <c r="CO88" i="188"/>
  <c r="DB88" i="188" s="1"/>
  <c r="CN88" i="188"/>
  <c r="DA88" i="188" s="1"/>
  <c r="CM88" i="188"/>
  <c r="CZ88" i="188" s="1"/>
  <c r="CK88" i="188"/>
  <c r="CJ88" i="188"/>
  <c r="CI88" i="188"/>
  <c r="CH88" i="188"/>
  <c r="CG88" i="188"/>
  <c r="CF88" i="188"/>
  <c r="CE88" i="188"/>
  <c r="CL88" i="188" s="1"/>
  <c r="CD88" i="188"/>
  <c r="CC88" i="188"/>
  <c r="CB88" i="188"/>
  <c r="CA88" i="188"/>
  <c r="BZ88" i="188"/>
  <c r="BY88" i="188"/>
  <c r="BK88" i="188"/>
  <c r="BJ88" i="188"/>
  <c r="BI88" i="188"/>
  <c r="BH88" i="188"/>
  <c r="BG88" i="188"/>
  <c r="BF88" i="188"/>
  <c r="BE88" i="188"/>
  <c r="BD88" i="188"/>
  <c r="BC88" i="188"/>
  <c r="BB88" i="188"/>
  <c r="BA88" i="188"/>
  <c r="AZ88" i="188"/>
  <c r="AY88" i="188"/>
  <c r="AG88" i="188"/>
  <c r="AF88" i="188"/>
  <c r="AE88" i="188"/>
  <c r="AD88" i="188"/>
  <c r="Y88" i="188"/>
  <c r="DX87" i="188"/>
  <c r="EK87" i="188" s="1"/>
  <c r="DW87" i="188"/>
  <c r="EJ87" i="188" s="1"/>
  <c r="DV87" i="188"/>
  <c r="EI87" i="188" s="1"/>
  <c r="DU87" i="188"/>
  <c r="EH87" i="188" s="1"/>
  <c r="DT87" i="188"/>
  <c r="DS87" i="188"/>
  <c r="EF87" i="188" s="1"/>
  <c r="DR87" i="188"/>
  <c r="EE87" i="188" s="1"/>
  <c r="DQ87" i="188"/>
  <c r="DP87" i="188"/>
  <c r="EC87" i="188" s="1"/>
  <c r="DO87" i="188"/>
  <c r="EB87" i="188" s="1"/>
  <c r="DN87" i="188"/>
  <c r="EA87" i="188" s="1"/>
  <c r="DM87" i="188"/>
  <c r="DZ87" i="188"/>
  <c r="CX87" i="188"/>
  <c r="DK87" i="188" s="1"/>
  <c r="CW87" i="188"/>
  <c r="DJ87" i="188" s="1"/>
  <c r="CV87" i="188"/>
  <c r="DI87" i="188" s="1"/>
  <c r="CU87" i="188"/>
  <c r="DH87" i="188" s="1"/>
  <c r="CT87" i="188"/>
  <c r="CS87" i="188"/>
  <c r="DF87" i="188" s="1"/>
  <c r="CR87" i="188"/>
  <c r="DE87" i="188" s="1"/>
  <c r="CQ87" i="188"/>
  <c r="CP87" i="188"/>
  <c r="CO87" i="188"/>
  <c r="DB87" i="188" s="1"/>
  <c r="CN87" i="188"/>
  <c r="CM87" i="188"/>
  <c r="CZ87" i="188"/>
  <c r="CK87" i="188"/>
  <c r="CJ87" i="188"/>
  <c r="CI87" i="188"/>
  <c r="CH87" i="188"/>
  <c r="CG87" i="188"/>
  <c r="CF87" i="188"/>
  <c r="CE87" i="188"/>
  <c r="CD87" i="188"/>
  <c r="CC87" i="188"/>
  <c r="CB87" i="188"/>
  <c r="CA87" i="188"/>
  <c r="BZ87" i="188"/>
  <c r="BY87" i="188"/>
  <c r="BK87" i="188"/>
  <c r="BJ87" i="188"/>
  <c r="BI87" i="188"/>
  <c r="BH87" i="188"/>
  <c r="BG87" i="188"/>
  <c r="BF87" i="188"/>
  <c r="BE87" i="188"/>
  <c r="BD87" i="188"/>
  <c r="BC87" i="188"/>
  <c r="BB87" i="188"/>
  <c r="BA87" i="188"/>
  <c r="AZ87" i="188"/>
  <c r="AY87" i="188"/>
  <c r="AG87" i="188"/>
  <c r="AF87" i="188"/>
  <c r="AE87" i="188"/>
  <c r="AD87" i="188"/>
  <c r="Y87" i="188"/>
  <c r="DX86" i="188"/>
  <c r="DW86" i="188"/>
  <c r="EJ86" i="188" s="1"/>
  <c r="DV86" i="188"/>
  <c r="EI86" i="188" s="1"/>
  <c r="DU86" i="188"/>
  <c r="EH86" i="188" s="1"/>
  <c r="DT86" i="188"/>
  <c r="EG86" i="188" s="1"/>
  <c r="DS86" i="188"/>
  <c r="EF86" i="188"/>
  <c r="DR86" i="188"/>
  <c r="EE86" i="188" s="1"/>
  <c r="DQ86" i="188"/>
  <c r="ED86" i="188" s="1"/>
  <c r="DP86" i="188"/>
  <c r="EC86" i="188" s="1"/>
  <c r="DO86" i="188"/>
  <c r="EB86" i="188" s="1"/>
  <c r="DN86" i="188"/>
  <c r="EA86" i="188" s="1"/>
  <c r="DM86" i="188"/>
  <c r="CX86" i="188"/>
  <c r="DK86" i="188" s="1"/>
  <c r="CW86" i="188"/>
  <c r="DJ86" i="188" s="1"/>
  <c r="CV86" i="188"/>
  <c r="DI86" i="188"/>
  <c r="CU86" i="188"/>
  <c r="DH86" i="188" s="1"/>
  <c r="CT86" i="188"/>
  <c r="DG86" i="188" s="1"/>
  <c r="CS86" i="188"/>
  <c r="CR86" i="188"/>
  <c r="DE86" i="188" s="1"/>
  <c r="CQ86" i="188"/>
  <c r="DD86" i="188"/>
  <c r="CP86" i="188"/>
  <c r="DC86" i="188" s="1"/>
  <c r="CO86" i="188"/>
  <c r="DB86" i="188"/>
  <c r="CN86" i="188"/>
  <c r="DA86" i="188" s="1"/>
  <c r="CM86" i="188"/>
  <c r="CK86" i="188"/>
  <c r="CJ86" i="188"/>
  <c r="CI86" i="188"/>
  <c r="CH86" i="188"/>
  <c r="CG86" i="188"/>
  <c r="CF86" i="188"/>
  <c r="CE86" i="188"/>
  <c r="CD86" i="188"/>
  <c r="CC86" i="188"/>
  <c r="CB86" i="188"/>
  <c r="CA86" i="188"/>
  <c r="CL86" i="188" s="1"/>
  <c r="BZ86" i="188"/>
  <c r="BY86" i="188"/>
  <c r="BK86" i="188"/>
  <c r="BJ86" i="188"/>
  <c r="BI86" i="188"/>
  <c r="BH86" i="188"/>
  <c r="BG86" i="188"/>
  <c r="BF86" i="188"/>
  <c r="BL86" i="188" s="1"/>
  <c r="BE86" i="188"/>
  <c r="BD86" i="188"/>
  <c r="BC86" i="188"/>
  <c r="BB86" i="188"/>
  <c r="BA86" i="188"/>
  <c r="AZ86" i="188"/>
  <c r="AY86" i="188"/>
  <c r="AG86" i="188"/>
  <c r="AF86" i="188"/>
  <c r="AE86" i="188"/>
  <c r="AD86" i="188"/>
  <c r="Y86" i="188"/>
  <c r="DX85" i="188"/>
  <c r="EK85" i="188" s="1"/>
  <c r="DW85" i="188"/>
  <c r="EJ85" i="188" s="1"/>
  <c r="DV85" i="188"/>
  <c r="EI85" i="188" s="1"/>
  <c r="DU85" i="188"/>
  <c r="DT85" i="188"/>
  <c r="EG85" i="188" s="1"/>
  <c r="DS85" i="188"/>
  <c r="EF85" i="188" s="1"/>
  <c r="DR85" i="188"/>
  <c r="EE85" i="188"/>
  <c r="DQ85" i="188"/>
  <c r="ED85" i="188" s="1"/>
  <c r="DP85" i="188"/>
  <c r="DO85" i="188"/>
  <c r="EB85" i="188" s="1"/>
  <c r="DN85" i="188"/>
  <c r="EA85" i="188" s="1"/>
  <c r="DM85" i="188"/>
  <c r="DZ85" i="188"/>
  <c r="CX85" i="188"/>
  <c r="DK85" i="188" s="1"/>
  <c r="CW85" i="188"/>
  <c r="DJ85" i="188" s="1"/>
  <c r="CV85" i="188"/>
  <c r="CU85" i="188"/>
  <c r="CT85" i="188"/>
  <c r="DG85" i="188" s="1"/>
  <c r="CS85" i="188"/>
  <c r="DF85" i="188"/>
  <c r="CR85" i="188"/>
  <c r="DE85" i="188" s="1"/>
  <c r="CQ85" i="188"/>
  <c r="DD85" i="188"/>
  <c r="CP85" i="188"/>
  <c r="DC85" i="188" s="1"/>
  <c r="CO85" i="188"/>
  <c r="DB85" i="188" s="1"/>
  <c r="CN85" i="188"/>
  <c r="CM85" i="188"/>
  <c r="CZ85" i="188" s="1"/>
  <c r="CK85" i="188"/>
  <c r="CJ85" i="188"/>
  <c r="CI85" i="188"/>
  <c r="CH85" i="188"/>
  <c r="CG85" i="188"/>
  <c r="CF85" i="188"/>
  <c r="CE85" i="188"/>
  <c r="CD85" i="188"/>
  <c r="CC85" i="188"/>
  <c r="CB85" i="188"/>
  <c r="CA85" i="188"/>
  <c r="BZ85" i="188"/>
  <c r="BY85" i="188"/>
  <c r="BK85" i="188"/>
  <c r="BJ85" i="188"/>
  <c r="BI85" i="188"/>
  <c r="BH85" i="188"/>
  <c r="BG85" i="188"/>
  <c r="BF85" i="188"/>
  <c r="BE85" i="188"/>
  <c r="BD85" i="188"/>
  <c r="BC85" i="188"/>
  <c r="BB85" i="188"/>
  <c r="BA85" i="188"/>
  <c r="AZ85" i="188"/>
  <c r="AY85" i="188"/>
  <c r="AG85" i="188"/>
  <c r="AF85" i="188"/>
  <c r="AE85" i="188"/>
  <c r="AD85" i="188"/>
  <c r="Y85" i="188"/>
  <c r="DX84" i="188"/>
  <c r="EK84" i="188"/>
  <c r="DW84" i="188"/>
  <c r="EJ84" i="188" s="1"/>
  <c r="DV84" i="188"/>
  <c r="EI84" i="188"/>
  <c r="DU84" i="188"/>
  <c r="EH84" i="188"/>
  <c r="DT84" i="188"/>
  <c r="EG84" i="188" s="1"/>
  <c r="DS84" i="188"/>
  <c r="EF84" i="188" s="1"/>
  <c r="DR84" i="188"/>
  <c r="EE84" i="188" s="1"/>
  <c r="DQ84" i="188"/>
  <c r="ED84" i="188" s="1"/>
  <c r="DP84" i="188"/>
  <c r="EC84" i="188"/>
  <c r="DO84" i="188"/>
  <c r="EB84" i="188" s="1"/>
  <c r="DN84" i="188"/>
  <c r="EA84" i="188"/>
  <c r="DM84" i="188"/>
  <c r="DZ84" i="188"/>
  <c r="CX84" i="188"/>
  <c r="DK84" i="188"/>
  <c r="CW84" i="188"/>
  <c r="DJ84" i="188" s="1"/>
  <c r="CV84" i="188"/>
  <c r="DI84" i="188"/>
  <c r="CU84" i="188"/>
  <c r="DH84" i="188" s="1"/>
  <c r="CT84" i="188"/>
  <c r="CS84" i="188"/>
  <c r="DF84" i="188" s="1"/>
  <c r="CR84" i="188"/>
  <c r="DE84" i="188" s="1"/>
  <c r="CQ84" i="188"/>
  <c r="DD84" i="188" s="1"/>
  <c r="CP84" i="188"/>
  <c r="DC84" i="188"/>
  <c r="CO84" i="188"/>
  <c r="DB84" i="188" s="1"/>
  <c r="CN84" i="188"/>
  <c r="DA84" i="188" s="1"/>
  <c r="CM84" i="188"/>
  <c r="CZ84" i="188" s="1"/>
  <c r="CK84" i="188"/>
  <c r="CJ84" i="188"/>
  <c r="CI84" i="188"/>
  <c r="CH84" i="188"/>
  <c r="CG84" i="188"/>
  <c r="CF84" i="188"/>
  <c r="CE84" i="188"/>
  <c r="CD84" i="188"/>
  <c r="CC84" i="188"/>
  <c r="CB84" i="188"/>
  <c r="CA84" i="188"/>
  <c r="BZ84" i="188"/>
  <c r="BY84" i="188"/>
  <c r="BK84" i="188"/>
  <c r="BJ84" i="188"/>
  <c r="BI84" i="188"/>
  <c r="BH84" i="188"/>
  <c r="BG84" i="188"/>
  <c r="BF84" i="188"/>
  <c r="BE84" i="188"/>
  <c r="BD84" i="188"/>
  <c r="BC84" i="188"/>
  <c r="BB84" i="188"/>
  <c r="BA84" i="188"/>
  <c r="AZ84" i="188"/>
  <c r="AY84" i="188"/>
  <c r="AG84" i="188"/>
  <c r="AF84" i="188"/>
  <c r="AE84" i="188"/>
  <c r="AD84" i="188"/>
  <c r="Y84" i="188"/>
  <c r="DX83" i="188"/>
  <c r="EK83" i="188"/>
  <c r="DW83" i="188"/>
  <c r="EJ83" i="188"/>
  <c r="DV83" i="188"/>
  <c r="EI83" i="188"/>
  <c r="DU83" i="188"/>
  <c r="EH83" i="188" s="1"/>
  <c r="DT83" i="188"/>
  <c r="EG83" i="188" s="1"/>
  <c r="DS83" i="188"/>
  <c r="EF83" i="188"/>
  <c r="DR83" i="188"/>
  <c r="EE83" i="188"/>
  <c r="DQ83" i="188"/>
  <c r="ED83" i="188" s="1"/>
  <c r="DP83" i="188"/>
  <c r="EC83" i="188"/>
  <c r="DO83" i="188"/>
  <c r="DN83" i="188"/>
  <c r="EA83" i="188" s="1"/>
  <c r="DM83" i="188"/>
  <c r="DZ83" i="188" s="1"/>
  <c r="CX83" i="188"/>
  <c r="DK83" i="188" s="1"/>
  <c r="CW83" i="188"/>
  <c r="DJ83" i="188" s="1"/>
  <c r="CV83" i="188"/>
  <c r="DI83" i="188"/>
  <c r="CU83" i="188"/>
  <c r="DH83" i="188" s="1"/>
  <c r="CT83" i="188"/>
  <c r="DG83" i="188" s="1"/>
  <c r="CS83" i="188"/>
  <c r="CR83" i="188"/>
  <c r="DE83" i="188" s="1"/>
  <c r="CQ83" i="188"/>
  <c r="DD83" i="188" s="1"/>
  <c r="CP83" i="188"/>
  <c r="DC83" i="188"/>
  <c r="CO83" i="188"/>
  <c r="DB83" i="188" s="1"/>
  <c r="CN83" i="188"/>
  <c r="DA83" i="188" s="1"/>
  <c r="CM83" i="188"/>
  <c r="CZ83" i="188" s="1"/>
  <c r="CK83" i="188"/>
  <c r="CJ83" i="188"/>
  <c r="CI83" i="188"/>
  <c r="CH83" i="188"/>
  <c r="CG83" i="188"/>
  <c r="CF83" i="188"/>
  <c r="CE83" i="188"/>
  <c r="CD83" i="188"/>
  <c r="CC83" i="188"/>
  <c r="CB83" i="188"/>
  <c r="CA83" i="188"/>
  <c r="BZ83" i="188"/>
  <c r="BY83" i="188"/>
  <c r="BK83" i="188"/>
  <c r="BJ83" i="188"/>
  <c r="BI83" i="188"/>
  <c r="BH83" i="188"/>
  <c r="BG83" i="188"/>
  <c r="BF83" i="188"/>
  <c r="BE83" i="188"/>
  <c r="BD83" i="188"/>
  <c r="BC83" i="188"/>
  <c r="BB83" i="188"/>
  <c r="BA83" i="188"/>
  <c r="AZ83" i="188"/>
  <c r="BL83" i="188" s="1"/>
  <c r="AY83" i="188"/>
  <c r="AG83" i="188"/>
  <c r="AF83" i="188"/>
  <c r="AE83" i="188"/>
  <c r="AD83" i="188"/>
  <c r="Y83" i="188"/>
  <c r="DX82" i="188"/>
  <c r="DW82" i="188"/>
  <c r="DV82" i="188"/>
  <c r="DU82" i="188"/>
  <c r="DT82" i="188"/>
  <c r="DS82" i="188"/>
  <c r="DR82" i="188"/>
  <c r="DQ82" i="188"/>
  <c r="DP82" i="188"/>
  <c r="DO82" i="188"/>
  <c r="DN82" i="188"/>
  <c r="DM82" i="188"/>
  <c r="CX82" i="188"/>
  <c r="CW82" i="188"/>
  <c r="CV82" i="188"/>
  <c r="CU82" i="188"/>
  <c r="CT82" i="188"/>
  <c r="CS82" i="188"/>
  <c r="CR82" i="188"/>
  <c r="CQ82" i="188"/>
  <c r="CP82" i="188"/>
  <c r="CO82" i="188"/>
  <c r="CN82" i="188"/>
  <c r="CM82" i="188"/>
  <c r="BX82" i="188"/>
  <c r="BW82" i="188"/>
  <c r="BV82" i="188"/>
  <c r="BU82" i="188"/>
  <c r="BT82" i="188"/>
  <c r="BS82" i="188"/>
  <c r="BR82" i="188"/>
  <c r="BQ82" i="188"/>
  <c r="BP82" i="188"/>
  <c r="BO82" i="188"/>
  <c r="BN82" i="188"/>
  <c r="BM82" i="188"/>
  <c r="AY82" i="188"/>
  <c r="AK82" i="188"/>
  <c r="AJ82" i="188"/>
  <c r="AI82" i="188"/>
  <c r="AH82" i="188"/>
  <c r="AG82" i="188"/>
  <c r="AL82" i="188" s="1"/>
  <c r="AF82" i="188"/>
  <c r="AD82" i="188"/>
  <c r="AB82" i="188"/>
  <c r="Y82" i="188"/>
  <c r="H82" i="188"/>
  <c r="BF82" i="188" s="1"/>
  <c r="DX81" i="188"/>
  <c r="DW81" i="188"/>
  <c r="DV81" i="188"/>
  <c r="DU81" i="188"/>
  <c r="DT81" i="188"/>
  <c r="DS81" i="188"/>
  <c r="DR81" i="188"/>
  <c r="DQ81" i="188"/>
  <c r="DP81" i="188"/>
  <c r="DY81" i="188" s="1"/>
  <c r="DO81" i="188"/>
  <c r="DN81" i="188"/>
  <c r="DM81" i="188"/>
  <c r="CX81" i="188"/>
  <c r="CW81" i="188"/>
  <c r="CV81" i="188"/>
  <c r="CU81" i="188"/>
  <c r="CT81" i="188"/>
  <c r="CS81" i="188"/>
  <c r="CR81" i="188"/>
  <c r="CQ81" i="188"/>
  <c r="CP81" i="188"/>
  <c r="CO81" i="188"/>
  <c r="CN81" i="188"/>
  <c r="CM81" i="188"/>
  <c r="BY81" i="188"/>
  <c r="AY81" i="188"/>
  <c r="AK81" i="188"/>
  <c r="AJ81" i="188"/>
  <c r="AI81" i="188"/>
  <c r="AH81" i="188"/>
  <c r="AG81" i="188"/>
  <c r="AF81" i="188"/>
  <c r="AD81" i="188"/>
  <c r="AB81" i="188"/>
  <c r="H81" i="188"/>
  <c r="BC81" i="188" s="1"/>
  <c r="DX80" i="188"/>
  <c r="DW80" i="188"/>
  <c r="DV80" i="188"/>
  <c r="DU80" i="188"/>
  <c r="DT80" i="188"/>
  <c r="DS80" i="188"/>
  <c r="DR80" i="188"/>
  <c r="DQ80" i="188"/>
  <c r="DP80" i="188"/>
  <c r="DO80" i="188"/>
  <c r="DN80" i="188"/>
  <c r="DM80" i="188"/>
  <c r="CX80" i="188"/>
  <c r="CW80" i="188"/>
  <c r="CV80" i="188"/>
  <c r="CU80" i="188"/>
  <c r="CT80" i="188"/>
  <c r="CS80" i="188"/>
  <c r="CR80" i="188"/>
  <c r="CQ80" i="188"/>
  <c r="CP80" i="188"/>
  <c r="CO80" i="188"/>
  <c r="CN80" i="188"/>
  <c r="CM80" i="188"/>
  <c r="BX80" i="188"/>
  <c r="BW80" i="188"/>
  <c r="BV80" i="188"/>
  <c r="BU80" i="188"/>
  <c r="BT80" i="188"/>
  <c r="BS80" i="188"/>
  <c r="BR80" i="188"/>
  <c r="BQ80" i="188"/>
  <c r="BP80" i="188"/>
  <c r="BO80" i="188"/>
  <c r="BN80" i="188"/>
  <c r="BM80" i="188"/>
  <c r="AX80" i="188"/>
  <c r="AW80" i="188"/>
  <c r="AV80" i="188"/>
  <c r="AU80" i="188"/>
  <c r="AT80" i="188"/>
  <c r="AS80" i="188"/>
  <c r="AR80" i="188"/>
  <c r="AQ80" i="188"/>
  <c r="AP80" i="188"/>
  <c r="AO80" i="188"/>
  <c r="AN80" i="188"/>
  <c r="AM80" i="188"/>
  <c r="AK80" i="188"/>
  <c r="AJ80" i="188"/>
  <c r="AI80" i="188"/>
  <c r="AH80" i="188"/>
  <c r="AG80" i="188"/>
  <c r="AF80" i="188"/>
  <c r="AB80" i="188"/>
  <c r="Q80" i="188"/>
  <c r="AD80" i="188" s="1"/>
  <c r="H80" i="188"/>
  <c r="DY79" i="188"/>
  <c r="CY79" i="188"/>
  <c r="BY79" i="188"/>
  <c r="AY79" i="188"/>
  <c r="AK79" i="188"/>
  <c r="AK97" i="188" s="1"/>
  <c r="AJ79" i="188"/>
  <c r="AI79" i="188"/>
  <c r="AH79" i="188"/>
  <c r="AG79" i="188"/>
  <c r="AF79" i="188"/>
  <c r="AE79" i="188"/>
  <c r="AD79" i="188"/>
  <c r="AB79" i="188"/>
  <c r="Y79" i="188"/>
  <c r="H79" i="188"/>
  <c r="BG79" i="188" s="1"/>
  <c r="DY78" i="188"/>
  <c r="CY78" i="188"/>
  <c r="BY78" i="188"/>
  <c r="AY78" i="188"/>
  <c r="AK78" i="188"/>
  <c r="AJ78" i="188"/>
  <c r="AI78" i="188"/>
  <c r="AH78" i="188"/>
  <c r="AG78" i="188"/>
  <c r="AF78" i="188"/>
  <c r="AD78" i="188"/>
  <c r="AB78" i="188"/>
  <c r="Y78" i="188"/>
  <c r="AE78" i="188"/>
  <c r="H78" i="188"/>
  <c r="BB78" i="188" s="1"/>
  <c r="DX77" i="188"/>
  <c r="DW77" i="188"/>
  <c r="DV77" i="188"/>
  <c r="DU77" i="188"/>
  <c r="DT77" i="188"/>
  <c r="DS77" i="188"/>
  <c r="DR77" i="188"/>
  <c r="DQ77" i="188"/>
  <c r="DP77" i="188"/>
  <c r="DO77" i="188"/>
  <c r="DN77" i="188"/>
  <c r="DM77" i="188"/>
  <c r="CX77" i="188"/>
  <c r="CW77" i="188"/>
  <c r="CV77" i="188"/>
  <c r="CU77" i="188"/>
  <c r="CT77" i="188"/>
  <c r="CS77" i="188"/>
  <c r="CR77" i="188"/>
  <c r="CQ77" i="188"/>
  <c r="CP77" i="188"/>
  <c r="CO77" i="188"/>
  <c r="CN77" i="188"/>
  <c r="CM77" i="188"/>
  <c r="BX77" i="188"/>
  <c r="BW77" i="188"/>
  <c r="BV77" i="188"/>
  <c r="BU77" i="188"/>
  <c r="BT77" i="188"/>
  <c r="BS77" i="188"/>
  <c r="BR77" i="188"/>
  <c r="BQ77" i="188"/>
  <c r="BP77" i="188"/>
  <c r="BO77" i="188"/>
  <c r="BN77" i="188"/>
  <c r="BM77" i="188"/>
  <c r="AX77" i="188"/>
  <c r="AW77" i="188"/>
  <c r="AV77" i="188"/>
  <c r="AU77" i="188"/>
  <c r="AT77" i="188"/>
  <c r="AS77" i="188"/>
  <c r="AR77" i="188"/>
  <c r="AQ77" i="188"/>
  <c r="AP77" i="188"/>
  <c r="AO77" i="188"/>
  <c r="AN77" i="188"/>
  <c r="AM77" i="188"/>
  <c r="AK77" i="188"/>
  <c r="AJ77" i="188"/>
  <c r="AI77" i="188"/>
  <c r="AH77" i="188"/>
  <c r="AG77" i="188"/>
  <c r="AF77" i="188"/>
  <c r="AE77" i="188"/>
  <c r="AD77" i="188"/>
  <c r="AB77" i="188"/>
  <c r="Y77" i="188"/>
  <c r="H77" i="188"/>
  <c r="DY76" i="188"/>
  <c r="CY76" i="188"/>
  <c r="BX76" i="188"/>
  <c r="BW76" i="188"/>
  <c r="BV76" i="188"/>
  <c r="BU76" i="188"/>
  <c r="BT76" i="188"/>
  <c r="BS76" i="188"/>
  <c r="BR76" i="188"/>
  <c r="BQ76" i="188"/>
  <c r="BP76" i="188"/>
  <c r="BO76" i="188"/>
  <c r="BN76" i="188"/>
  <c r="BM76" i="188"/>
  <c r="AN76" i="188"/>
  <c r="AY76" i="188" s="1"/>
  <c r="AK76" i="188"/>
  <c r="AJ76" i="188"/>
  <c r="AI76" i="188"/>
  <c r="AH76" i="188"/>
  <c r="AG76" i="188"/>
  <c r="AF76" i="188"/>
  <c r="AD76" i="188"/>
  <c r="AB76" i="188"/>
  <c r="AE76" i="188"/>
  <c r="H76" i="188"/>
  <c r="BK76" i="188" s="1"/>
  <c r="DY75" i="188"/>
  <c r="CY75" i="188"/>
  <c r="BX75" i="188"/>
  <c r="BW75" i="188"/>
  <c r="BV75" i="188"/>
  <c r="BU75" i="188"/>
  <c r="BT75" i="188"/>
  <c r="BS75" i="188"/>
  <c r="BR75" i="188"/>
  <c r="BQ75" i="188"/>
  <c r="BP75" i="188"/>
  <c r="BO75" i="188"/>
  <c r="BN75" i="188"/>
  <c r="BM75" i="188"/>
  <c r="AN75" i="188"/>
  <c r="AY75" i="188"/>
  <c r="AK75" i="188"/>
  <c r="AJ75" i="188"/>
  <c r="AI75" i="188"/>
  <c r="AH75" i="188"/>
  <c r="AG75" i="188"/>
  <c r="AF75" i="188"/>
  <c r="AD75" i="188"/>
  <c r="AB75" i="188"/>
  <c r="H75" i="188"/>
  <c r="BE75" i="188"/>
  <c r="X74" i="188"/>
  <c r="W74" i="188"/>
  <c r="V74" i="188"/>
  <c r="V130" i="188" s="1"/>
  <c r="U74" i="188"/>
  <c r="T74" i="188"/>
  <c r="R74" i="188"/>
  <c r="O74" i="188"/>
  <c r="N74" i="188"/>
  <c r="M74" i="188"/>
  <c r="EK73" i="188"/>
  <c r="EJ73" i="188"/>
  <c r="EI73" i="188"/>
  <c r="EH73" i="188"/>
  <c r="EG73" i="188"/>
  <c r="EF73" i="188"/>
  <c r="EE73" i="188"/>
  <c r="ED73" i="188"/>
  <c r="EC73" i="188"/>
  <c r="EB73" i="188"/>
  <c r="EL73" i="188" s="1"/>
  <c r="EA73" i="188"/>
  <c r="DZ73" i="188"/>
  <c r="DY73" i="188"/>
  <c r="DK73" i="188"/>
  <c r="DJ73" i="188"/>
  <c r="DI73" i="188"/>
  <c r="DH73" i="188"/>
  <c r="DG73" i="188"/>
  <c r="DL73" i="188" s="1"/>
  <c r="DF73" i="188"/>
  <c r="DE73" i="188"/>
  <c r="DD73" i="188"/>
  <c r="DC73" i="188"/>
  <c r="DB73" i="188"/>
  <c r="DA73" i="188"/>
  <c r="CZ73" i="188"/>
  <c r="CY73" i="188"/>
  <c r="CK73" i="188"/>
  <c r="CJ73" i="188"/>
  <c r="CI73" i="188"/>
  <c r="CH73" i="188"/>
  <c r="CG73" i="188"/>
  <c r="CF73" i="188"/>
  <c r="CE73" i="188"/>
  <c r="CD73" i="188"/>
  <c r="CL73" i="188" s="1"/>
  <c r="CC73" i="188"/>
  <c r="CB73" i="188"/>
  <c r="CA73" i="188"/>
  <c r="BZ73" i="188"/>
  <c r="BY73" i="188"/>
  <c r="BK73" i="188"/>
  <c r="BJ73" i="188"/>
  <c r="BI73" i="188"/>
  <c r="BH73" i="188"/>
  <c r="BG73" i="188"/>
  <c r="BF73" i="188"/>
  <c r="BE73" i="188"/>
  <c r="BD73" i="188"/>
  <c r="BC73" i="188"/>
  <c r="BB73" i="188"/>
  <c r="BA73" i="188"/>
  <c r="AZ73" i="188"/>
  <c r="AY73" i="188"/>
  <c r="AF73" i="188"/>
  <c r="AD73" i="188"/>
  <c r="Y73" i="188"/>
  <c r="DX72" i="188"/>
  <c r="DW72" i="188"/>
  <c r="DV72" i="188"/>
  <c r="EI72" i="188" s="1"/>
  <c r="DU72" i="188"/>
  <c r="DT72" i="188"/>
  <c r="DS72" i="188"/>
  <c r="DR72" i="188"/>
  <c r="DQ72" i="188"/>
  <c r="DP72" i="188"/>
  <c r="DO72" i="188"/>
  <c r="DN72" i="188"/>
  <c r="DM72" i="188"/>
  <c r="CX72" i="188"/>
  <c r="CW72" i="188"/>
  <c r="CV72" i="188"/>
  <c r="CU72" i="188"/>
  <c r="CT72" i="188"/>
  <c r="CS72" i="188"/>
  <c r="CR72" i="188"/>
  <c r="CQ72" i="188"/>
  <c r="CP72" i="188"/>
  <c r="CO72" i="188"/>
  <c r="CN72" i="188"/>
  <c r="CM72" i="188"/>
  <c r="BY72" i="188"/>
  <c r="AY72" i="188"/>
  <c r="AK72" i="188"/>
  <c r="AL72" i="188" s="1"/>
  <c r="AJ72" i="188"/>
  <c r="AI72" i="188"/>
  <c r="AH72" i="188"/>
  <c r="AG72" i="188"/>
  <c r="AF72" i="188"/>
  <c r="AE72" i="188"/>
  <c r="AD72" i="188"/>
  <c r="Y72" i="188"/>
  <c r="H72" i="188"/>
  <c r="AZ72" i="188" s="1"/>
  <c r="DY71" i="188"/>
  <c r="CY71" i="188"/>
  <c r="BY71" i="188"/>
  <c r="AY71" i="188"/>
  <c r="AK71" i="188"/>
  <c r="AJ71" i="188"/>
  <c r="AI71" i="188"/>
  <c r="AL71" i="188" s="1"/>
  <c r="AH71" i="188"/>
  <c r="AG71" i="188"/>
  <c r="AF71" i="188"/>
  <c r="AE71" i="188"/>
  <c r="AD71" i="188"/>
  <c r="AC71" i="188"/>
  <c r="Y71" i="188"/>
  <c r="H71" i="188"/>
  <c r="DY70" i="188"/>
  <c r="CY70" i="188"/>
  <c r="BY70" i="188"/>
  <c r="AY70" i="188"/>
  <c r="AK70" i="188"/>
  <c r="AJ70" i="188"/>
  <c r="AI70" i="188"/>
  <c r="AH70" i="188"/>
  <c r="AL70" i="188" s="1"/>
  <c r="AG70" i="188"/>
  <c r="AF70" i="188"/>
  <c r="AE70" i="188"/>
  <c r="AD70" i="188"/>
  <c r="AC70" i="188"/>
  <c r="Y70" i="188"/>
  <c r="H70" i="188"/>
  <c r="BA70" i="188" s="1"/>
  <c r="DY69" i="188"/>
  <c r="CY69" i="188"/>
  <c r="BY69" i="188"/>
  <c r="AY69" i="188"/>
  <c r="AK69" i="188"/>
  <c r="AJ69" i="188"/>
  <c r="AI69" i="188"/>
  <c r="AH69" i="188"/>
  <c r="AG69" i="188"/>
  <c r="AL69" i="188" s="1"/>
  <c r="AF69" i="188"/>
  <c r="AE69" i="188"/>
  <c r="AD69" i="188"/>
  <c r="AC69" i="188"/>
  <c r="Y69" i="188"/>
  <c r="H69" i="188"/>
  <c r="EK68" i="188"/>
  <c r="EJ68" i="188"/>
  <c r="EI68" i="188"/>
  <c r="EH68" i="188"/>
  <c r="EG68" i="188"/>
  <c r="EF68" i="188"/>
  <c r="EE68" i="188"/>
  <c r="ED68" i="188"/>
  <c r="EC68" i="188"/>
  <c r="EB68" i="188"/>
  <c r="EL68" i="188" s="1"/>
  <c r="EA68" i="188"/>
  <c r="DZ68" i="188"/>
  <c r="DY68" i="188"/>
  <c r="DK68" i="188"/>
  <c r="DJ68" i="188"/>
  <c r="DI68" i="188"/>
  <c r="DH68" i="188"/>
  <c r="DG68" i="188"/>
  <c r="DL68" i="188" s="1"/>
  <c r="DF68" i="188"/>
  <c r="DE68" i="188"/>
  <c r="DD68" i="188"/>
  <c r="DC68" i="188"/>
  <c r="DB68" i="188"/>
  <c r="DA68" i="188"/>
  <c r="CZ68" i="188"/>
  <c r="CY68" i="188"/>
  <c r="CK68" i="188"/>
  <c r="CJ68" i="188"/>
  <c r="CI68" i="188"/>
  <c r="CH68" i="188"/>
  <c r="CG68" i="188"/>
  <c r="CF68" i="188"/>
  <c r="CE68" i="188"/>
  <c r="CD68" i="188"/>
  <c r="CL68" i="188" s="1"/>
  <c r="CC68" i="188"/>
  <c r="CB68" i="188"/>
  <c r="CA68" i="188"/>
  <c r="BZ68" i="188"/>
  <c r="BY68" i="188"/>
  <c r="BK68" i="188"/>
  <c r="BJ68" i="188"/>
  <c r="BI68" i="188"/>
  <c r="BH68" i="188"/>
  <c r="BG68" i="188"/>
  <c r="BF68" i="188"/>
  <c r="BE68" i="188"/>
  <c r="BD68" i="188"/>
  <c r="BC68" i="188"/>
  <c r="BB68" i="188"/>
  <c r="BA68" i="188"/>
  <c r="BL68" i="188" s="1"/>
  <c r="AZ68" i="188"/>
  <c r="AY68" i="188"/>
  <c r="AK68" i="188"/>
  <c r="AJ68" i="188"/>
  <c r="AI68" i="188"/>
  <c r="AH68" i="188"/>
  <c r="AG68" i="188"/>
  <c r="AF68" i="188"/>
  <c r="AL68" i="188" s="1"/>
  <c r="AE68" i="188"/>
  <c r="Y68" i="188"/>
  <c r="EK67" i="188"/>
  <c r="EJ67" i="188"/>
  <c r="EI67" i="188"/>
  <c r="EH67" i="188"/>
  <c r="EG67" i="188"/>
  <c r="EF67" i="188"/>
  <c r="EL67" i="188" s="1"/>
  <c r="EE67" i="188"/>
  <c r="ED67" i="188"/>
  <c r="EC67" i="188"/>
  <c r="EB67" i="188"/>
  <c r="EA67" i="188"/>
  <c r="DZ67" i="188"/>
  <c r="DY67" i="188"/>
  <c r="DK67" i="188"/>
  <c r="DJ67" i="188"/>
  <c r="DI67" i="188"/>
  <c r="DH67" i="188"/>
  <c r="DG67" i="188"/>
  <c r="DF67" i="188"/>
  <c r="DE67" i="188"/>
  <c r="DD67" i="188"/>
  <c r="DC67" i="188"/>
  <c r="DL67" i="188" s="1"/>
  <c r="DB67" i="188"/>
  <c r="DA67" i="188"/>
  <c r="CZ67" i="188"/>
  <c r="CY67" i="188"/>
  <c r="CK67" i="188"/>
  <c r="CJ67" i="188"/>
  <c r="CI67" i="188"/>
  <c r="CH67" i="188"/>
  <c r="CG67" i="188"/>
  <c r="CF67" i="188"/>
  <c r="CE67" i="188"/>
  <c r="CD67" i="188"/>
  <c r="CC67" i="188"/>
  <c r="CB67" i="188"/>
  <c r="CA67" i="188"/>
  <c r="BZ67" i="188"/>
  <c r="CL67" i="188" s="1"/>
  <c r="BY67" i="188"/>
  <c r="BK67" i="188"/>
  <c r="BJ67" i="188"/>
  <c r="BI67" i="188"/>
  <c r="BH67" i="188"/>
  <c r="BG67" i="188"/>
  <c r="BF67" i="188"/>
  <c r="BE67" i="188"/>
  <c r="BD67" i="188"/>
  <c r="BC67" i="188"/>
  <c r="BB67" i="188"/>
  <c r="BA67" i="188"/>
  <c r="AZ67" i="188"/>
  <c r="AY67" i="188"/>
  <c r="AK67" i="188"/>
  <c r="AJ67" i="188"/>
  <c r="AL67" i="188" s="1"/>
  <c r="AI67" i="188"/>
  <c r="AH67" i="188"/>
  <c r="AG67" i="188"/>
  <c r="AF67" i="188"/>
  <c r="AE67" i="188"/>
  <c r="Y67" i="188"/>
  <c r="DX66" i="188"/>
  <c r="DW66" i="188"/>
  <c r="EJ66" i="188" s="1"/>
  <c r="DV66" i="188"/>
  <c r="DU66" i="188"/>
  <c r="DT66" i="188"/>
  <c r="DS66" i="188"/>
  <c r="DR66" i="188"/>
  <c r="DQ66" i="188"/>
  <c r="DP66" i="188"/>
  <c r="DO66" i="188"/>
  <c r="DN66" i="188"/>
  <c r="DM66" i="188"/>
  <c r="CX66" i="188"/>
  <c r="CW66" i="188"/>
  <c r="CV66" i="188"/>
  <c r="CU66" i="188"/>
  <c r="CT66" i="188"/>
  <c r="CS66" i="188"/>
  <c r="CY66" i="188" s="1"/>
  <c r="CR66" i="188"/>
  <c r="CQ66" i="188"/>
  <c r="CP66" i="188"/>
  <c r="CO66" i="188"/>
  <c r="CN66" i="188"/>
  <c r="CM66" i="188"/>
  <c r="BX66" i="188"/>
  <c r="BW66" i="188"/>
  <c r="CJ66" i="188" s="1"/>
  <c r="BV66" i="188"/>
  <c r="BU66" i="188"/>
  <c r="BT66" i="188"/>
  <c r="BS66" i="188"/>
  <c r="BR66" i="188"/>
  <c r="BQ66" i="188"/>
  <c r="CD66" i="188" s="1"/>
  <c r="BP66" i="188"/>
  <c r="BO66" i="188"/>
  <c r="BN66" i="188"/>
  <c r="BM66" i="188"/>
  <c r="AX66" i="188"/>
  <c r="AW66" i="188"/>
  <c r="AV66" i="188"/>
  <c r="AU66" i="188"/>
  <c r="AT66" i="188"/>
  <c r="AS66" i="188"/>
  <c r="AR66" i="188"/>
  <c r="AQ66" i="188"/>
  <c r="AP66" i="188"/>
  <c r="AO66" i="188"/>
  <c r="AN66" i="188"/>
  <c r="AM66" i="188"/>
  <c r="AK66" i="188"/>
  <c r="AJ66" i="188"/>
  <c r="AI66" i="188"/>
  <c r="AH66" i="188"/>
  <c r="AG66" i="188"/>
  <c r="AF66" i="188"/>
  <c r="AE66" i="188"/>
  <c r="AD66" i="188"/>
  <c r="AC66" i="188"/>
  <c r="Y66" i="188"/>
  <c r="H66" i="188"/>
  <c r="I66" i="188"/>
  <c r="DX65" i="188"/>
  <c r="DW65" i="188"/>
  <c r="DV65" i="188"/>
  <c r="DU65" i="188"/>
  <c r="DT65" i="188"/>
  <c r="DS65" i="188"/>
  <c r="DR65" i="188"/>
  <c r="DQ65" i="188"/>
  <c r="DP65" i="188"/>
  <c r="DO65" i="188"/>
  <c r="DN65" i="188"/>
  <c r="DM65" i="188"/>
  <c r="CX65" i="188"/>
  <c r="CW65" i="188"/>
  <c r="CV65" i="188"/>
  <c r="CU65" i="188"/>
  <c r="CT65" i="188"/>
  <c r="CS65" i="188"/>
  <c r="CR65" i="188"/>
  <c r="CQ65" i="188"/>
  <c r="CP65" i="188"/>
  <c r="CO65" i="188"/>
  <c r="CN65" i="188"/>
  <c r="CM65" i="188"/>
  <c r="BX65" i="188"/>
  <c r="BW65" i="188"/>
  <c r="BV65" i="188"/>
  <c r="BU65" i="188"/>
  <c r="BT65" i="188"/>
  <c r="BS65" i="188"/>
  <c r="BR65" i="188"/>
  <c r="BQ65" i="188"/>
  <c r="BP65" i="188"/>
  <c r="BO65" i="188"/>
  <c r="BN65" i="188"/>
  <c r="BM65" i="188"/>
  <c r="AX65" i="188"/>
  <c r="AW65" i="188"/>
  <c r="BJ65" i="188" s="1"/>
  <c r="AV65" i="188"/>
  <c r="AU65" i="188"/>
  <c r="AT65" i="188"/>
  <c r="AS65" i="188"/>
  <c r="AR65" i="188"/>
  <c r="AQ65" i="188"/>
  <c r="AP65" i="188"/>
  <c r="AO65" i="188"/>
  <c r="AN65" i="188"/>
  <c r="AM65" i="188"/>
  <c r="AK65" i="188"/>
  <c r="AJ65" i="188"/>
  <c r="AI65" i="188"/>
  <c r="AH65" i="188"/>
  <c r="AG65" i="188"/>
  <c r="AF65" i="188"/>
  <c r="AL65" i="188" s="1"/>
  <c r="AE65" i="188"/>
  <c r="AD65" i="188"/>
  <c r="AC65" i="188"/>
  <c r="Y65" i="188"/>
  <c r="H65" i="188"/>
  <c r="DX64" i="188"/>
  <c r="DW64" i="188"/>
  <c r="DV64" i="188"/>
  <c r="DU64" i="188"/>
  <c r="DT64" i="188"/>
  <c r="DS64" i="188"/>
  <c r="DR64" i="188"/>
  <c r="DQ64" i="188"/>
  <c r="DP64" i="188"/>
  <c r="DO64" i="188"/>
  <c r="DN64" i="188"/>
  <c r="DY64" i="188" s="1"/>
  <c r="DM64" i="188"/>
  <c r="CX64" i="188"/>
  <c r="CW64" i="188"/>
  <c r="CV64" i="188"/>
  <c r="CU64" i="188"/>
  <c r="CT64" i="188"/>
  <c r="CS64" i="188"/>
  <c r="CR64" i="188"/>
  <c r="CQ64" i="188"/>
  <c r="CP64" i="188"/>
  <c r="CO64" i="188"/>
  <c r="CN64" i="188"/>
  <c r="CM64" i="188"/>
  <c r="BX64" i="188"/>
  <c r="BW64" i="188"/>
  <c r="BV64" i="188"/>
  <c r="BU64" i="188"/>
  <c r="BT64" i="188"/>
  <c r="BS64" i="188"/>
  <c r="BR64" i="188"/>
  <c r="BQ64" i="188"/>
  <c r="BP64" i="188"/>
  <c r="BO64" i="188"/>
  <c r="BN64" i="188"/>
  <c r="BY64" i="188" s="1"/>
  <c r="BM64" i="188"/>
  <c r="AX64" i="188"/>
  <c r="AW64" i="188"/>
  <c r="AV64" i="188"/>
  <c r="AU64" i="188"/>
  <c r="AT64" i="188"/>
  <c r="AS64" i="188"/>
  <c r="AR64" i="188"/>
  <c r="AQ64" i="188"/>
  <c r="AP64" i="188"/>
  <c r="AO64" i="188"/>
  <c r="AN64" i="188"/>
  <c r="AM64" i="188"/>
  <c r="AK64" i="188"/>
  <c r="AJ64" i="188"/>
  <c r="AI64" i="188"/>
  <c r="AL64" i="188" s="1"/>
  <c r="AH64" i="188"/>
  <c r="AG64" i="188"/>
  <c r="AF64" i="188"/>
  <c r="AE64" i="188"/>
  <c r="AD64" i="188"/>
  <c r="AC64" i="188"/>
  <c r="Y64" i="188"/>
  <c r="H64" i="188"/>
  <c r="DX63" i="188"/>
  <c r="DW63" i="188"/>
  <c r="DV63" i="188"/>
  <c r="DU63" i="188"/>
  <c r="DT63" i="188"/>
  <c r="DS63" i="188"/>
  <c r="DR63" i="188"/>
  <c r="DQ63" i="188"/>
  <c r="DP63" i="188"/>
  <c r="DO63" i="188"/>
  <c r="DN63" i="188"/>
  <c r="DM63" i="188"/>
  <c r="CX63" i="188"/>
  <c r="CW63" i="188"/>
  <c r="CV63" i="188"/>
  <c r="CU63" i="188"/>
  <c r="CT63" i="188"/>
  <c r="CS63" i="188"/>
  <c r="CR63" i="188"/>
  <c r="CQ63" i="188"/>
  <c r="CP63" i="188"/>
  <c r="CO63" i="188"/>
  <c r="CN63" i="188"/>
  <c r="CM63" i="188"/>
  <c r="BX63" i="188"/>
  <c r="BW63" i="188"/>
  <c r="BV63" i="188"/>
  <c r="BU63" i="188"/>
  <c r="BT63" i="188"/>
  <c r="BS63" i="188"/>
  <c r="BR63" i="188"/>
  <c r="BQ63" i="188"/>
  <c r="BP63" i="188"/>
  <c r="BO63" i="188"/>
  <c r="BN63" i="188"/>
  <c r="BM63" i="188"/>
  <c r="AX63" i="188"/>
  <c r="AW63" i="188"/>
  <c r="BJ63" i="188" s="1"/>
  <c r="AV63" i="188"/>
  <c r="AU63" i="188"/>
  <c r="BH63" i="188" s="1"/>
  <c r="AT63" i="188"/>
  <c r="AS63" i="188"/>
  <c r="AR63" i="188"/>
  <c r="AQ63" i="188"/>
  <c r="AP63" i="188"/>
  <c r="AO63" i="188"/>
  <c r="AN63" i="188"/>
  <c r="AM63" i="188"/>
  <c r="AK63" i="188"/>
  <c r="AJ63" i="188"/>
  <c r="AI63" i="188"/>
  <c r="AH63" i="188"/>
  <c r="AG63" i="188"/>
  <c r="AF63" i="188"/>
  <c r="AE63" i="188"/>
  <c r="AD63" i="188"/>
  <c r="AL63" i="188" s="1"/>
  <c r="AC63" i="188"/>
  <c r="Y63" i="188"/>
  <c r="H63" i="188"/>
  <c r="DX62" i="188"/>
  <c r="DW62" i="188"/>
  <c r="DV62" i="188"/>
  <c r="DU62" i="188"/>
  <c r="DT62" i="188"/>
  <c r="DS62" i="188"/>
  <c r="DR62" i="188"/>
  <c r="DQ62" i="188"/>
  <c r="DP62" i="188"/>
  <c r="DO62" i="188"/>
  <c r="DN62" i="188"/>
  <c r="DM62" i="188"/>
  <c r="CX62" i="188"/>
  <c r="CW62" i="188"/>
  <c r="CV62" i="188"/>
  <c r="CU62" i="188"/>
  <c r="CT62" i="188"/>
  <c r="CS62" i="188"/>
  <c r="CR62" i="188"/>
  <c r="CQ62" i="188"/>
  <c r="CP62" i="188"/>
  <c r="CO62" i="188"/>
  <c r="CN62" i="188"/>
  <c r="CM62" i="188"/>
  <c r="BX62" i="188"/>
  <c r="BW62" i="188"/>
  <c r="BV62" i="188"/>
  <c r="BU62" i="188"/>
  <c r="BT62" i="188"/>
  <c r="BS62" i="188"/>
  <c r="BR62" i="188"/>
  <c r="BQ62" i="188"/>
  <c r="BP62" i="188"/>
  <c r="BO62" i="188"/>
  <c r="BN62" i="188"/>
  <c r="BM62" i="188"/>
  <c r="AX62" i="188"/>
  <c r="AW62" i="188"/>
  <c r="AV62" i="188"/>
  <c r="AU62" i="188"/>
  <c r="AT62" i="188"/>
  <c r="AS62" i="188"/>
  <c r="AR62" i="188"/>
  <c r="AQ62" i="188"/>
  <c r="AP62" i="188"/>
  <c r="AO62" i="188"/>
  <c r="AN62" i="188"/>
  <c r="AM62" i="188"/>
  <c r="AK62" i="188"/>
  <c r="AJ62" i="188"/>
  <c r="AI62" i="188"/>
  <c r="AH62" i="188"/>
  <c r="AG62" i="188"/>
  <c r="AL62" i="188" s="1"/>
  <c r="AF62" i="188"/>
  <c r="AE62" i="188"/>
  <c r="AD62" i="188"/>
  <c r="Y62" i="188"/>
  <c r="H62" i="188"/>
  <c r="DX61" i="188"/>
  <c r="DW61" i="188"/>
  <c r="DV61" i="188"/>
  <c r="DV74" i="188" s="1"/>
  <c r="DU61" i="188"/>
  <c r="DT61" i="188"/>
  <c r="DS61" i="188"/>
  <c r="DR61" i="188"/>
  <c r="DQ61" i="188"/>
  <c r="DP61" i="188"/>
  <c r="DO61" i="188"/>
  <c r="DN61" i="188"/>
  <c r="DM61" i="188"/>
  <c r="CX61" i="188"/>
  <c r="CW61" i="188"/>
  <c r="CV61" i="188"/>
  <c r="CU61" i="188"/>
  <c r="CT61" i="188"/>
  <c r="CS61" i="188"/>
  <c r="CR61" i="188"/>
  <c r="CQ61" i="188"/>
  <c r="CP61" i="188"/>
  <c r="CO61" i="188"/>
  <c r="CN61" i="188"/>
  <c r="CM61" i="188"/>
  <c r="BX61" i="188"/>
  <c r="BW61" i="188"/>
  <c r="BV61" i="188"/>
  <c r="BU61" i="188"/>
  <c r="BT61" i="188"/>
  <c r="BS61" i="188"/>
  <c r="BR61" i="188"/>
  <c r="BQ61" i="188"/>
  <c r="BP61" i="188"/>
  <c r="BO61" i="188"/>
  <c r="BN61" i="188"/>
  <c r="BM61" i="188"/>
  <c r="AX61" i="188"/>
  <c r="AW61" i="188"/>
  <c r="AV61" i="188"/>
  <c r="AU61" i="188"/>
  <c r="AT61" i="188"/>
  <c r="AS61" i="188"/>
  <c r="AR61" i="188"/>
  <c r="AQ61" i="188"/>
  <c r="AP61" i="188"/>
  <c r="AO61" i="188"/>
  <c r="AN61" i="188"/>
  <c r="AM61" i="188"/>
  <c r="AK61" i="188"/>
  <c r="AJ61" i="188"/>
  <c r="AI61" i="188"/>
  <c r="AL61" i="188" s="1"/>
  <c r="AH61" i="188"/>
  <c r="AG61" i="188"/>
  <c r="AF61" i="188"/>
  <c r="AE61" i="188"/>
  <c r="AD61" i="188"/>
  <c r="Y61" i="188"/>
  <c r="H61" i="188"/>
  <c r="DX60" i="188"/>
  <c r="DW60" i="188"/>
  <c r="DV60" i="188"/>
  <c r="DU60" i="188"/>
  <c r="DT60" i="188"/>
  <c r="DS60" i="188"/>
  <c r="DR60" i="188"/>
  <c r="DQ60" i="188"/>
  <c r="DP60" i="188"/>
  <c r="DO60" i="188"/>
  <c r="DN60" i="188"/>
  <c r="DM60" i="188"/>
  <c r="CX60" i="188"/>
  <c r="CW60" i="188"/>
  <c r="CV60" i="188"/>
  <c r="CU60" i="188"/>
  <c r="CT60" i="188"/>
  <c r="CS60" i="188"/>
  <c r="CR60" i="188"/>
  <c r="CQ60" i="188"/>
  <c r="CP60" i="188"/>
  <c r="CO60" i="188"/>
  <c r="CN60" i="188"/>
  <c r="CM60" i="188"/>
  <c r="BY60" i="188"/>
  <c r="AY60" i="188"/>
  <c r="AK60" i="188"/>
  <c r="AJ60" i="188"/>
  <c r="AI60" i="188"/>
  <c r="AH60" i="188"/>
  <c r="AG60" i="188"/>
  <c r="AF60" i="188"/>
  <c r="AE60" i="188"/>
  <c r="AD60" i="188"/>
  <c r="AC60" i="188"/>
  <c r="AA60" i="188"/>
  <c r="Z60" i="188"/>
  <c r="Y60" i="188"/>
  <c r="I60" i="188"/>
  <c r="DX59" i="188"/>
  <c r="DW59" i="188"/>
  <c r="DV59" i="188"/>
  <c r="DU59" i="188"/>
  <c r="DT59" i="188"/>
  <c r="DS59" i="188"/>
  <c r="DR59" i="188"/>
  <c r="EE59" i="188" s="1"/>
  <c r="DQ59" i="188"/>
  <c r="DP59" i="188"/>
  <c r="DO59" i="188"/>
  <c r="DN59" i="188"/>
  <c r="DM59" i="188"/>
  <c r="CX59" i="188"/>
  <c r="CW59" i="188"/>
  <c r="CV59" i="188"/>
  <c r="DI59" i="188" s="1"/>
  <c r="CU59" i="188"/>
  <c r="CT59" i="188"/>
  <c r="CS59" i="188"/>
  <c r="CR59" i="188"/>
  <c r="CQ59" i="188"/>
  <c r="CP59" i="188"/>
  <c r="CO59" i="188"/>
  <c r="CN59" i="188"/>
  <c r="CM59" i="188"/>
  <c r="BY59" i="188"/>
  <c r="BK59" i="188"/>
  <c r="BJ59" i="188"/>
  <c r="BI59" i="188"/>
  <c r="BH59" i="188"/>
  <c r="BG59" i="188"/>
  <c r="BF59" i="188"/>
  <c r="BL59" i="188" s="1"/>
  <c r="BE59" i="188"/>
  <c r="BD59" i="188"/>
  <c r="BC59" i="188"/>
  <c r="BB59" i="188"/>
  <c r="BA59" i="188"/>
  <c r="AZ59" i="188"/>
  <c r="AY59" i="188"/>
  <c r="AK59" i="188"/>
  <c r="AJ59" i="188"/>
  <c r="AI59" i="188"/>
  <c r="AH59" i="188"/>
  <c r="AG59" i="188"/>
  <c r="AF59" i="188"/>
  <c r="AE59" i="188"/>
  <c r="AD59" i="188"/>
  <c r="AC59" i="188"/>
  <c r="AL59" i="188" s="1"/>
  <c r="Y59" i="188"/>
  <c r="I59" i="188"/>
  <c r="DX58" i="188"/>
  <c r="DW58" i="188"/>
  <c r="DV58" i="188"/>
  <c r="DU58" i="188"/>
  <c r="DT58" i="188"/>
  <c r="DS58" i="188"/>
  <c r="DR58" i="188"/>
  <c r="DQ58" i="188"/>
  <c r="DP58" i="188"/>
  <c r="DO58" i="188"/>
  <c r="DN58" i="188"/>
  <c r="DM58" i="188"/>
  <c r="CX58" i="188"/>
  <c r="CW58" i="188"/>
  <c r="DJ58" i="188" s="1"/>
  <c r="CV58" i="188"/>
  <c r="CU58" i="188"/>
  <c r="CT58" i="188"/>
  <c r="CS58" i="188"/>
  <c r="CR58" i="188"/>
  <c r="CQ58" i="188"/>
  <c r="CP58" i="188"/>
  <c r="CO58" i="188"/>
  <c r="CN58" i="188"/>
  <c r="CM58" i="188"/>
  <c r="BX58" i="188"/>
  <c r="BW58" i="188"/>
  <c r="BV58" i="188"/>
  <c r="BU58" i="188"/>
  <c r="BT58" i="188"/>
  <c r="BS58" i="188"/>
  <c r="BR58" i="188"/>
  <c r="BQ58" i="188"/>
  <c r="BP58" i="188"/>
  <c r="BO58" i="188"/>
  <c r="BN58" i="188"/>
  <c r="BM58" i="188"/>
  <c r="BK58" i="188"/>
  <c r="BJ58" i="188"/>
  <c r="BI58" i="188"/>
  <c r="BH58" i="188"/>
  <c r="BG58" i="188"/>
  <c r="BF58" i="188"/>
  <c r="BE58" i="188"/>
  <c r="BD58" i="188"/>
  <c r="BC58" i="188"/>
  <c r="BB58" i="188"/>
  <c r="BL58" i="188" s="1"/>
  <c r="BA58" i="188"/>
  <c r="AZ58" i="188"/>
  <c r="AY58" i="188"/>
  <c r="AK58" i="188"/>
  <c r="AJ58" i="188"/>
  <c r="AI58" i="188"/>
  <c r="AH58" i="188"/>
  <c r="AG58" i="188"/>
  <c r="AL58" i="188" s="1"/>
  <c r="AF58" i="188"/>
  <c r="AE58" i="188"/>
  <c r="AD58" i="188"/>
  <c r="AC58" i="188"/>
  <c r="Y58" i="188"/>
  <c r="I58" i="188"/>
  <c r="DX57" i="188"/>
  <c r="DW57" i="188"/>
  <c r="EJ57" i="188" s="1"/>
  <c r="DV57" i="188"/>
  <c r="DU57" i="188"/>
  <c r="DT57" i="188"/>
  <c r="DS57" i="188"/>
  <c r="DR57" i="188"/>
  <c r="DQ57" i="188"/>
  <c r="DP57" i="188"/>
  <c r="DO57" i="188"/>
  <c r="DN57" i="188"/>
  <c r="DM57" i="188"/>
  <c r="CX57" i="188"/>
  <c r="CW57" i="188"/>
  <c r="CV57" i="188"/>
  <c r="CU57" i="188"/>
  <c r="CT57" i="188"/>
  <c r="CS57" i="188"/>
  <c r="DF57" i="188" s="1"/>
  <c r="CR57" i="188"/>
  <c r="CQ57" i="188"/>
  <c r="CP57" i="188"/>
  <c r="CO57" i="188"/>
  <c r="CN57" i="188"/>
  <c r="CM57" i="188"/>
  <c r="BX57" i="188"/>
  <c r="BW57" i="188"/>
  <c r="CJ57" i="188" s="1"/>
  <c r="BV57" i="188"/>
  <c r="BU57" i="188"/>
  <c r="BT57" i="188"/>
  <c r="BS57" i="188"/>
  <c r="BR57" i="188"/>
  <c r="BQ57" i="188"/>
  <c r="BP57" i="188"/>
  <c r="BO57" i="188"/>
  <c r="BY57" i="188" s="1"/>
  <c r="BN57" i="188"/>
  <c r="BM57" i="188"/>
  <c r="BK57" i="188"/>
  <c r="BJ57" i="188"/>
  <c r="BI57" i="188"/>
  <c r="BH57" i="188"/>
  <c r="BG57" i="188"/>
  <c r="BF57" i="188"/>
  <c r="BE57" i="188"/>
  <c r="BD57" i="188"/>
  <c r="BC57" i="188"/>
  <c r="BB57" i="188"/>
  <c r="BA57" i="188"/>
  <c r="AZ57" i="188"/>
  <c r="AY57" i="188"/>
  <c r="AK57" i="188"/>
  <c r="AJ57" i="188"/>
  <c r="AI57" i="188"/>
  <c r="AH57" i="188"/>
  <c r="AG57" i="188"/>
  <c r="AF57" i="188"/>
  <c r="AE57" i="188"/>
  <c r="AD57" i="188"/>
  <c r="AC57" i="188"/>
  <c r="AL57" i="188" s="1"/>
  <c r="Y57" i="188"/>
  <c r="I57" i="188"/>
  <c r="CF57" i="188" s="1"/>
  <c r="DX56" i="188"/>
  <c r="DW56" i="188"/>
  <c r="DV56" i="188"/>
  <c r="DU56" i="188"/>
  <c r="DT56" i="188"/>
  <c r="DS56" i="188"/>
  <c r="DR56" i="188"/>
  <c r="DQ56" i="188"/>
  <c r="DP56" i="188"/>
  <c r="DO56" i="188"/>
  <c r="DN56" i="188"/>
  <c r="DM56" i="188"/>
  <c r="CX56" i="188"/>
  <c r="CW56" i="188"/>
  <c r="DJ56" i="188" s="1"/>
  <c r="CV56" i="188"/>
  <c r="CU56" i="188"/>
  <c r="CT56" i="188"/>
  <c r="CS56" i="188"/>
  <c r="CR56" i="188"/>
  <c r="CQ56" i="188"/>
  <c r="CP56" i="188"/>
  <c r="CO56" i="188"/>
  <c r="CN56" i="188"/>
  <c r="CM56" i="188"/>
  <c r="BX56" i="188"/>
  <c r="BW56" i="188"/>
  <c r="BV56" i="188"/>
  <c r="BU56" i="188"/>
  <c r="BT56" i="188"/>
  <c r="BS56" i="188"/>
  <c r="BR56" i="188"/>
  <c r="BQ56" i="188"/>
  <c r="BP56" i="188"/>
  <c r="BO56" i="188"/>
  <c r="BN56" i="188"/>
  <c r="BM56" i="188"/>
  <c r="BK56" i="188"/>
  <c r="BJ56" i="188"/>
  <c r="BI56" i="188"/>
  <c r="BH56" i="188"/>
  <c r="BG56" i="188"/>
  <c r="BF56" i="188"/>
  <c r="BE56" i="188"/>
  <c r="BD56" i="188"/>
  <c r="BC56" i="188"/>
  <c r="BB56" i="188"/>
  <c r="BL56" i="188" s="1"/>
  <c r="BA56" i="188"/>
  <c r="AZ56" i="188"/>
  <c r="AY56" i="188"/>
  <c r="AK56" i="188"/>
  <c r="AJ56" i="188"/>
  <c r="AI56" i="188"/>
  <c r="AH56" i="188"/>
  <c r="AG56" i="188"/>
  <c r="AL56" i="188" s="1"/>
  <c r="AF56" i="188"/>
  <c r="AE56" i="188"/>
  <c r="AD56" i="188"/>
  <c r="AC56" i="188"/>
  <c r="Y56" i="188"/>
  <c r="I56" i="188"/>
  <c r="DX55" i="188"/>
  <c r="DW55" i="188"/>
  <c r="EJ55" i="188" s="1"/>
  <c r="DV55" i="188"/>
  <c r="DU55" i="188"/>
  <c r="DT55" i="188"/>
  <c r="DS55" i="188"/>
  <c r="DR55" i="188"/>
  <c r="DQ55" i="188"/>
  <c r="DP55" i="188"/>
  <c r="DO55" i="188"/>
  <c r="DN55" i="188"/>
  <c r="DM55" i="188"/>
  <c r="CX55" i="188"/>
  <c r="CW55" i="188"/>
  <c r="CV55" i="188"/>
  <c r="CU55" i="188"/>
  <c r="CT55" i="188"/>
  <c r="CS55" i="188"/>
  <c r="CY55" i="188" s="1"/>
  <c r="CR55" i="188"/>
  <c r="CQ55" i="188"/>
  <c r="CP55" i="188"/>
  <c r="CO55" i="188"/>
  <c r="CN55" i="188"/>
  <c r="CM55" i="188"/>
  <c r="BX55" i="188"/>
  <c r="BW55" i="188"/>
  <c r="CJ55" i="188" s="1"/>
  <c r="BV55" i="188"/>
  <c r="BU55" i="188"/>
  <c r="BT55" i="188"/>
  <c r="BS55" i="188"/>
  <c r="BR55" i="188"/>
  <c r="BQ55" i="188"/>
  <c r="BP55" i="188"/>
  <c r="BO55" i="188"/>
  <c r="BN55" i="188"/>
  <c r="BM55" i="188"/>
  <c r="AY55" i="188"/>
  <c r="AK55" i="188"/>
  <c r="AJ55" i="188"/>
  <c r="AI55" i="188"/>
  <c r="AH55" i="188"/>
  <c r="AG55" i="188"/>
  <c r="AL55" i="188" s="1"/>
  <c r="AF55" i="188"/>
  <c r="AE55" i="188"/>
  <c r="AD55" i="188"/>
  <c r="AC55" i="188"/>
  <c r="Y55" i="188"/>
  <c r="H55" i="188"/>
  <c r="AZ55" i="188" s="1"/>
  <c r="DY54" i="188"/>
  <c r="CY54" i="188"/>
  <c r="BY54" i="188"/>
  <c r="AY54" i="188"/>
  <c r="AK54" i="188"/>
  <c r="AJ54" i="188"/>
  <c r="AI54" i="188"/>
  <c r="AH54" i="188"/>
  <c r="AG54" i="188"/>
  <c r="AF54" i="188"/>
  <c r="AL54" i="188" s="1"/>
  <c r="AC54" i="188"/>
  <c r="Y54" i="188"/>
  <c r="H54" i="188"/>
  <c r="BA54" i="188" s="1"/>
  <c r="EK53" i="188"/>
  <c r="EJ53" i="188"/>
  <c r="EI53" i="188"/>
  <c r="EH53" i="188"/>
  <c r="EG53" i="188"/>
  <c r="EL53" i="188" s="1"/>
  <c r="EF53" i="188"/>
  <c r="EE53" i="188"/>
  <c r="ED53" i="188"/>
  <c r="EC53" i="188"/>
  <c r="EB53" i="188"/>
  <c r="EA53" i="188"/>
  <c r="DZ53" i="188"/>
  <c r="DY53" i="188"/>
  <c r="DK53" i="188"/>
  <c r="DJ53" i="188"/>
  <c r="DI53" i="188"/>
  <c r="DH53" i="188"/>
  <c r="DG53" i="188"/>
  <c r="DF53" i="188"/>
  <c r="DE53" i="188"/>
  <c r="DD53" i="188"/>
  <c r="DL53" i="188" s="1"/>
  <c r="DC53" i="188"/>
  <c r="DB53" i="188"/>
  <c r="DA53" i="188"/>
  <c r="CZ53" i="188"/>
  <c r="CY53" i="188"/>
  <c r="CK53" i="188"/>
  <c r="CJ53" i="188"/>
  <c r="CI53" i="188"/>
  <c r="CH53" i="188"/>
  <c r="CG53" i="188"/>
  <c r="CF53" i="188"/>
  <c r="CE53" i="188"/>
  <c r="CD53" i="188"/>
  <c r="CC53" i="188"/>
  <c r="CB53" i="188"/>
  <c r="CA53" i="188"/>
  <c r="CL53" i="188" s="1"/>
  <c r="BZ53" i="188"/>
  <c r="BY53" i="188"/>
  <c r="BK53" i="188"/>
  <c r="BJ53" i="188"/>
  <c r="BI53" i="188"/>
  <c r="BH53" i="188"/>
  <c r="BG53" i="188"/>
  <c r="BF53" i="188"/>
  <c r="BL53" i="188" s="1"/>
  <c r="BE53" i="188"/>
  <c r="BD53" i="188"/>
  <c r="BC53" i="188"/>
  <c r="BB53" i="188"/>
  <c r="BA53" i="188"/>
  <c r="AZ53" i="188"/>
  <c r="AY53" i="188"/>
  <c r="AK53" i="188"/>
  <c r="AK74" i="188" s="1"/>
  <c r="AJ53" i="188"/>
  <c r="AI53" i="188"/>
  <c r="AH53" i="188"/>
  <c r="AG53" i="188"/>
  <c r="AF53" i="188"/>
  <c r="AC53" i="188"/>
  <c r="Y53" i="188"/>
  <c r="EK52" i="188"/>
  <c r="EJ52" i="188"/>
  <c r="EI52" i="188"/>
  <c r="EH52" i="188"/>
  <c r="EG52" i="188"/>
  <c r="EF52" i="188"/>
  <c r="EE52" i="188"/>
  <c r="ED52" i="188"/>
  <c r="EC52" i="188"/>
  <c r="EL52" i="188" s="1"/>
  <c r="EB52" i="188"/>
  <c r="EA52" i="188"/>
  <c r="DZ52" i="188"/>
  <c r="DY52" i="188"/>
  <c r="DK52" i="188"/>
  <c r="DJ52" i="188"/>
  <c r="DI52" i="188"/>
  <c r="DH52" i="188"/>
  <c r="DG52" i="188"/>
  <c r="DF52" i="188"/>
  <c r="DE52" i="188"/>
  <c r="DD52" i="188"/>
  <c r="DC52" i="188"/>
  <c r="DB52" i="188"/>
  <c r="DA52" i="188"/>
  <c r="CZ52" i="188"/>
  <c r="DL52" i="188" s="1"/>
  <c r="CY52" i="188"/>
  <c r="CK52" i="188"/>
  <c r="CJ52" i="188"/>
  <c r="CI52" i="188"/>
  <c r="CH52" i="188"/>
  <c r="CG52" i="188"/>
  <c r="CF52" i="188"/>
  <c r="CE52" i="188"/>
  <c r="CL52" i="188" s="1"/>
  <c r="CD52" i="188"/>
  <c r="CC52" i="188"/>
  <c r="CB52" i="188"/>
  <c r="CA52" i="188"/>
  <c r="BZ52" i="188"/>
  <c r="BY52" i="188"/>
  <c r="BK52" i="188"/>
  <c r="BJ52" i="188"/>
  <c r="BI52" i="188"/>
  <c r="BH52" i="188"/>
  <c r="BG52" i="188"/>
  <c r="BF52" i="188"/>
  <c r="BE52" i="188"/>
  <c r="BD52" i="188"/>
  <c r="BC52" i="188"/>
  <c r="BB52" i="188"/>
  <c r="BL52" i="188" s="1"/>
  <c r="BA52" i="188"/>
  <c r="AZ52" i="188"/>
  <c r="AY52" i="188"/>
  <c r="AK52" i="188"/>
  <c r="AJ52" i="188"/>
  <c r="AI52" i="188"/>
  <c r="AH52" i="188"/>
  <c r="AG52" i="188"/>
  <c r="AL52" i="188" s="1"/>
  <c r="AF52" i="188"/>
  <c r="Y52" i="188"/>
  <c r="DX51" i="188"/>
  <c r="DW51" i="188"/>
  <c r="DV51" i="188"/>
  <c r="DU51" i="188"/>
  <c r="DT51" i="188"/>
  <c r="DS51" i="188"/>
  <c r="DR51" i="188"/>
  <c r="DQ51" i="188"/>
  <c r="DP51" i="188"/>
  <c r="DO51" i="188"/>
  <c r="DN51" i="188"/>
  <c r="DM51" i="188"/>
  <c r="CX51" i="188"/>
  <c r="CW51" i="188"/>
  <c r="DJ51" i="188" s="1"/>
  <c r="CV51" i="188"/>
  <c r="CU51" i="188"/>
  <c r="CT51" i="188"/>
  <c r="CS51" i="188"/>
  <c r="CR51" i="188"/>
  <c r="CQ51" i="188"/>
  <c r="CP51" i="188"/>
  <c r="CO51" i="188"/>
  <c r="CN51" i="188"/>
  <c r="CM51" i="188"/>
  <c r="BX51" i="188"/>
  <c r="BW51" i="188"/>
  <c r="BV51" i="188"/>
  <c r="BU51" i="188"/>
  <c r="BT51" i="188"/>
  <c r="BS51" i="188"/>
  <c r="CF51" i="188" s="1"/>
  <c r="CL51" i="188" s="1"/>
  <c r="BR51" i="188"/>
  <c r="BQ51" i="188"/>
  <c r="BP51" i="188"/>
  <c r="BO51" i="188"/>
  <c r="BN51" i="188"/>
  <c r="BM51" i="188"/>
  <c r="AX51" i="188"/>
  <c r="AW51" i="188"/>
  <c r="BJ51" i="188" s="1"/>
  <c r="AV51" i="188"/>
  <c r="AU51" i="188"/>
  <c r="AT51" i="188"/>
  <c r="AS51" i="188"/>
  <c r="AR51" i="188"/>
  <c r="AQ51" i="188"/>
  <c r="AP51" i="188"/>
  <c r="AO51" i="188"/>
  <c r="AN51" i="188"/>
  <c r="AM51" i="188"/>
  <c r="AK51" i="188"/>
  <c r="AJ51" i="188"/>
  <c r="AI51" i="188"/>
  <c r="AH51" i="188"/>
  <c r="AG51" i="188"/>
  <c r="AF51" i="188"/>
  <c r="AL51" i="188" s="1"/>
  <c r="Y51" i="188"/>
  <c r="H51" i="188"/>
  <c r="DX50" i="188"/>
  <c r="DW50" i="188"/>
  <c r="DV50" i="188"/>
  <c r="DU50" i="188"/>
  <c r="DT50" i="188"/>
  <c r="DS50" i="188"/>
  <c r="DR50" i="188"/>
  <c r="DQ50" i="188"/>
  <c r="DP50" i="188"/>
  <c r="DO50" i="188"/>
  <c r="DN50" i="188"/>
  <c r="DM50" i="188"/>
  <c r="CX50" i="188"/>
  <c r="CW50" i="188"/>
  <c r="DJ50" i="188" s="1"/>
  <c r="CV50" i="188"/>
  <c r="CU50" i="188"/>
  <c r="CT50" i="188"/>
  <c r="CS50" i="188"/>
  <c r="CR50" i="188"/>
  <c r="CQ50" i="188"/>
  <c r="CP50" i="188"/>
  <c r="CO50" i="188"/>
  <c r="CN50" i="188"/>
  <c r="CM50" i="188"/>
  <c r="BX50" i="188"/>
  <c r="BW50" i="188"/>
  <c r="BV50" i="188"/>
  <c r="BU50" i="188"/>
  <c r="BT50" i="188"/>
  <c r="BS50" i="188"/>
  <c r="BR50" i="188"/>
  <c r="BQ50" i="188"/>
  <c r="BP50" i="188"/>
  <c r="BO50" i="188"/>
  <c r="BN50" i="188"/>
  <c r="BM50" i="188"/>
  <c r="AX50" i="188"/>
  <c r="AW50" i="188"/>
  <c r="BJ50" i="188" s="1"/>
  <c r="AV50" i="188"/>
  <c r="AU50" i="188"/>
  <c r="AT50" i="188"/>
  <c r="AS50" i="188"/>
  <c r="AR50" i="188"/>
  <c r="AQ50" i="188"/>
  <c r="AP50" i="188"/>
  <c r="AO50" i="188"/>
  <c r="AN50" i="188"/>
  <c r="AM50" i="188"/>
  <c r="AK50" i="188"/>
  <c r="AJ50" i="188"/>
  <c r="AI50" i="188"/>
  <c r="AH50" i="188"/>
  <c r="AG50" i="188"/>
  <c r="S50" i="188"/>
  <c r="H50" i="188"/>
  <c r="DX49" i="188"/>
  <c r="DW49" i="188"/>
  <c r="DV49" i="188"/>
  <c r="DU49" i="188"/>
  <c r="DT49" i="188"/>
  <c r="DS49" i="188"/>
  <c r="DR49" i="188"/>
  <c r="DY49" i="188" s="1"/>
  <c r="DQ49" i="188"/>
  <c r="DP49" i="188"/>
  <c r="DO49" i="188"/>
  <c r="DN49" i="188"/>
  <c r="DM49" i="188"/>
  <c r="CX49" i="188"/>
  <c r="CW49" i="188"/>
  <c r="CV49" i="188"/>
  <c r="CU49" i="188"/>
  <c r="CT49" i="188"/>
  <c r="CS49" i="188"/>
  <c r="CR49" i="188"/>
  <c r="CQ49" i="188"/>
  <c r="CP49" i="188"/>
  <c r="CO49" i="188"/>
  <c r="CN49" i="188"/>
  <c r="CM49" i="188"/>
  <c r="BX49" i="188"/>
  <c r="BW49" i="188"/>
  <c r="BV49" i="188"/>
  <c r="BU49" i="188"/>
  <c r="BT49" i="188"/>
  <c r="BS49" i="188"/>
  <c r="BR49" i="188"/>
  <c r="CE49" i="188" s="1"/>
  <c r="BQ49" i="188"/>
  <c r="BP49" i="188"/>
  <c r="BO49" i="188"/>
  <c r="BN49" i="188"/>
  <c r="BM49" i="188"/>
  <c r="AX49" i="188"/>
  <c r="AW49" i="188"/>
  <c r="AV49" i="188"/>
  <c r="BI49" i="188" s="1"/>
  <c r="AU49" i="188"/>
  <c r="AT49" i="188"/>
  <c r="AS49" i="188"/>
  <c r="AR49" i="188"/>
  <c r="AQ49" i="188"/>
  <c r="AP49" i="188"/>
  <c r="AO49" i="188"/>
  <c r="AN49" i="188"/>
  <c r="AM49" i="188"/>
  <c r="AK49" i="188"/>
  <c r="AJ49" i="188"/>
  <c r="AI49" i="188"/>
  <c r="AH49" i="188"/>
  <c r="AG49" i="188"/>
  <c r="AF49" i="188"/>
  <c r="AC49" i="188"/>
  <c r="AL49" i="188" s="1"/>
  <c r="AB49" i="188"/>
  <c r="AB74" i="188"/>
  <c r="Y49" i="188"/>
  <c r="H49" i="188"/>
  <c r="DX48" i="188"/>
  <c r="DW48" i="188"/>
  <c r="DV48" i="188"/>
  <c r="DU48" i="188"/>
  <c r="EH48" i="188" s="1"/>
  <c r="DT48" i="188"/>
  <c r="DS48" i="188"/>
  <c r="DR48" i="188"/>
  <c r="DQ48" i="188"/>
  <c r="DP48" i="188"/>
  <c r="DO48" i="188"/>
  <c r="DN48" i="188"/>
  <c r="DM48" i="188"/>
  <c r="CX48" i="188"/>
  <c r="CW48" i="188"/>
  <c r="CV48" i="188"/>
  <c r="CU48" i="188"/>
  <c r="CT48" i="188"/>
  <c r="CS48" i="188"/>
  <c r="CR48" i="188"/>
  <c r="CQ48" i="188"/>
  <c r="CY48" i="188" s="1"/>
  <c r="CP48" i="188"/>
  <c r="CO48" i="188"/>
  <c r="CN48" i="188"/>
  <c r="CM48" i="188"/>
  <c r="BX48" i="188"/>
  <c r="BW48" i="188"/>
  <c r="BV48" i="188"/>
  <c r="BU48" i="188"/>
  <c r="CH48" i="188" s="1"/>
  <c r="BT48" i="188"/>
  <c r="BS48" i="188"/>
  <c r="BR48" i="188"/>
  <c r="BQ48" i="188"/>
  <c r="BP48" i="188"/>
  <c r="BO48" i="188"/>
  <c r="BN48" i="188"/>
  <c r="BM48" i="188"/>
  <c r="AX48" i="188"/>
  <c r="AW48" i="188"/>
  <c r="AV48" i="188"/>
  <c r="AU48" i="188"/>
  <c r="AT48" i="188"/>
  <c r="BG48" i="188" s="1"/>
  <c r="AS48" i="188"/>
  <c r="AR48" i="188"/>
  <c r="AQ48" i="188"/>
  <c r="AP48" i="188"/>
  <c r="AO48" i="188"/>
  <c r="BB48" i="188" s="1"/>
  <c r="AN48" i="188"/>
  <c r="AM48" i="188"/>
  <c r="AK48" i="188"/>
  <c r="AJ48" i="188"/>
  <c r="AI48" i="188"/>
  <c r="AH48" i="188"/>
  <c r="AH74" i="188" s="1"/>
  <c r="AG48" i="188"/>
  <c r="AD48" i="188"/>
  <c r="S48" i="188"/>
  <c r="H48" i="188"/>
  <c r="DX47" i="188"/>
  <c r="EK47" i="188" s="1"/>
  <c r="DW47" i="188"/>
  <c r="EJ47" i="188"/>
  <c r="DV47" i="188"/>
  <c r="EI47" i="188"/>
  <c r="DU47" i="188"/>
  <c r="EH47" i="188"/>
  <c r="DT47" i="188"/>
  <c r="EG47" i="188" s="1"/>
  <c r="DS47" i="188"/>
  <c r="EF47" i="188" s="1"/>
  <c r="DR47" i="188"/>
  <c r="EE47" i="188" s="1"/>
  <c r="DQ47" i="188"/>
  <c r="ED47" i="188" s="1"/>
  <c r="DP47" i="188"/>
  <c r="DO47" i="188"/>
  <c r="DN47" i="188"/>
  <c r="EA47" i="188"/>
  <c r="DM47" i="188"/>
  <c r="DZ47" i="188"/>
  <c r="CX47" i="188"/>
  <c r="DK47" i="188" s="1"/>
  <c r="CW47" i="188"/>
  <c r="DJ47" i="188" s="1"/>
  <c r="CV47" i="188"/>
  <c r="DI47" i="188"/>
  <c r="CU47" i="188"/>
  <c r="DH47" i="188" s="1"/>
  <c r="CT47" i="188"/>
  <c r="DG47" i="188" s="1"/>
  <c r="CS47" i="188"/>
  <c r="DF47" i="188" s="1"/>
  <c r="CR47" i="188"/>
  <c r="DE47" i="188" s="1"/>
  <c r="CQ47" i="188"/>
  <c r="DD47" i="188" s="1"/>
  <c r="CP47" i="188"/>
  <c r="DC47" i="188"/>
  <c r="CO47" i="188"/>
  <c r="CN47" i="188"/>
  <c r="CM47" i="188"/>
  <c r="CZ47" i="188"/>
  <c r="BX47" i="188"/>
  <c r="CK47" i="188" s="1"/>
  <c r="BW47" i="188"/>
  <c r="CJ47" i="188" s="1"/>
  <c r="BV47" i="188"/>
  <c r="CI47" i="188" s="1"/>
  <c r="BU47" i="188"/>
  <c r="CH47" i="188" s="1"/>
  <c r="BT47" i="188"/>
  <c r="CG47" i="188" s="1"/>
  <c r="BS47" i="188"/>
  <c r="CF47" i="188" s="1"/>
  <c r="BR47" i="188"/>
  <c r="CE47" i="188" s="1"/>
  <c r="BQ47" i="188"/>
  <c r="CD47" i="188"/>
  <c r="BP47" i="188"/>
  <c r="CC47" i="188"/>
  <c r="BO47" i="188"/>
  <c r="BN47" i="188"/>
  <c r="CA47" i="188" s="1"/>
  <c r="BM47" i="188"/>
  <c r="BE47" i="188"/>
  <c r="BD47" i="188"/>
  <c r="BC47" i="188"/>
  <c r="BB47" i="188"/>
  <c r="BA47" i="188"/>
  <c r="AZ47" i="188"/>
  <c r="AX47" i="188"/>
  <c r="BK47" i="188"/>
  <c r="AW47" i="188"/>
  <c r="AV47" i="188"/>
  <c r="BI47" i="188" s="1"/>
  <c r="AU47" i="188"/>
  <c r="BH47" i="188" s="1"/>
  <c r="AT47" i="188"/>
  <c r="BG47" i="188" s="1"/>
  <c r="AS47" i="188"/>
  <c r="BF47" i="188"/>
  <c r="AK47" i="188"/>
  <c r="AJ47" i="188"/>
  <c r="AI47" i="188"/>
  <c r="Y47" i="188"/>
  <c r="DX46" i="188"/>
  <c r="EK46" i="188" s="1"/>
  <c r="DW46" i="188"/>
  <c r="EJ46" i="188" s="1"/>
  <c r="DV46" i="188"/>
  <c r="EI46" i="188" s="1"/>
  <c r="DU46" i="188"/>
  <c r="DT46" i="188"/>
  <c r="EG46" i="188" s="1"/>
  <c r="DS46" i="188"/>
  <c r="EF46" i="188" s="1"/>
  <c r="DR46" i="188"/>
  <c r="DQ46" i="188"/>
  <c r="ED46" i="188" s="1"/>
  <c r="DP46" i="188"/>
  <c r="EC46" i="188" s="1"/>
  <c r="DO46" i="188"/>
  <c r="EB46" i="188" s="1"/>
  <c r="DN46" i="188"/>
  <c r="EA46" i="188" s="1"/>
  <c r="DM46" i="188"/>
  <c r="DZ46" i="188" s="1"/>
  <c r="CX46" i="188"/>
  <c r="DK46" i="188" s="1"/>
  <c r="CW46" i="188"/>
  <c r="DJ46" i="188"/>
  <c r="CV46" i="188"/>
  <c r="DI46" i="188" s="1"/>
  <c r="CU46" i="188"/>
  <c r="DH46" i="188"/>
  <c r="CT46" i="188"/>
  <c r="DG46" i="188" s="1"/>
  <c r="CS46" i="188"/>
  <c r="DF46" i="188" s="1"/>
  <c r="CR46" i="188"/>
  <c r="DE46" i="188" s="1"/>
  <c r="CQ46" i="188"/>
  <c r="DD46" i="188" s="1"/>
  <c r="CP46" i="188"/>
  <c r="CO46" i="188"/>
  <c r="DB46" i="188"/>
  <c r="CN46" i="188"/>
  <c r="DA46" i="188" s="1"/>
  <c r="CM46" i="188"/>
  <c r="CZ46" i="188" s="1"/>
  <c r="BX46" i="188"/>
  <c r="BW46" i="188"/>
  <c r="CJ46" i="188" s="1"/>
  <c r="BV46" i="188"/>
  <c r="BU46" i="188"/>
  <c r="CH46" i="188"/>
  <c r="BT46" i="188"/>
  <c r="CG46" i="188" s="1"/>
  <c r="BS46" i="188"/>
  <c r="CF46" i="188"/>
  <c r="BR46" i="188"/>
  <c r="BQ46" i="188"/>
  <c r="CD46" i="188" s="1"/>
  <c r="BP46" i="188"/>
  <c r="CC46" i="188" s="1"/>
  <c r="BO46" i="188"/>
  <c r="CB46" i="188"/>
  <c r="BN46" i="188"/>
  <c r="BM46" i="188"/>
  <c r="BZ46" i="188"/>
  <c r="BE46" i="188"/>
  <c r="BD46" i="188"/>
  <c r="BC46" i="188"/>
  <c r="BB46" i="188"/>
  <c r="BA46" i="188"/>
  <c r="AZ46" i="188"/>
  <c r="AX46" i="188"/>
  <c r="BK46" i="188"/>
  <c r="AW46" i="188"/>
  <c r="BJ46" i="188" s="1"/>
  <c r="AV46" i="188"/>
  <c r="BI46" i="188" s="1"/>
  <c r="AU46" i="188"/>
  <c r="BH46" i="188" s="1"/>
  <c r="AT46" i="188"/>
  <c r="AS46" i="188"/>
  <c r="AK46" i="188"/>
  <c r="AJ46" i="188"/>
  <c r="AI46" i="188"/>
  <c r="Y46" i="188"/>
  <c r="DX45" i="188"/>
  <c r="EK45" i="188"/>
  <c r="DW45" i="188"/>
  <c r="DV45" i="188"/>
  <c r="EI45" i="188" s="1"/>
  <c r="DU45" i="188"/>
  <c r="EH45" i="188" s="1"/>
  <c r="DT45" i="188"/>
  <c r="EG45" i="188" s="1"/>
  <c r="DS45" i="188"/>
  <c r="EF45" i="188" s="1"/>
  <c r="DR45" i="188"/>
  <c r="EE45" i="188" s="1"/>
  <c r="DQ45" i="188"/>
  <c r="ED45" i="188"/>
  <c r="DP45" i="188"/>
  <c r="DO45" i="188"/>
  <c r="EB45" i="188" s="1"/>
  <c r="DN45" i="188"/>
  <c r="DM45" i="188"/>
  <c r="DZ45" i="188"/>
  <c r="CX45" i="188"/>
  <c r="DK45" i="188"/>
  <c r="CW45" i="188"/>
  <c r="DJ45" i="188" s="1"/>
  <c r="CV45" i="188"/>
  <c r="DI45" i="188" s="1"/>
  <c r="CU45" i="188"/>
  <c r="DH45" i="188"/>
  <c r="CT45" i="188"/>
  <c r="DG45" i="188" s="1"/>
  <c r="CS45" i="188"/>
  <c r="DF45" i="188" s="1"/>
  <c r="CR45" i="188"/>
  <c r="DE45" i="188" s="1"/>
  <c r="CQ45" i="188"/>
  <c r="DD45" i="188"/>
  <c r="CP45" i="188"/>
  <c r="DC45" i="188"/>
  <c r="CO45" i="188"/>
  <c r="DB45" i="188" s="1"/>
  <c r="CN45" i="188"/>
  <c r="DA45" i="188" s="1"/>
  <c r="CM45" i="188"/>
  <c r="BX45" i="188"/>
  <c r="CK45" i="188"/>
  <c r="BW45" i="188"/>
  <c r="CJ45" i="188"/>
  <c r="BV45" i="188"/>
  <c r="CI45" i="188" s="1"/>
  <c r="BU45" i="188"/>
  <c r="CH45" i="188" s="1"/>
  <c r="BT45" i="188"/>
  <c r="CG45" i="188" s="1"/>
  <c r="BS45" i="188"/>
  <c r="CF45" i="188" s="1"/>
  <c r="BR45" i="188"/>
  <c r="BQ45" i="188"/>
  <c r="BP45" i="188"/>
  <c r="CC45" i="188"/>
  <c r="BO45" i="188"/>
  <c r="CB45" i="188"/>
  <c r="BN45" i="188"/>
  <c r="CA45" i="188"/>
  <c r="BM45" i="188"/>
  <c r="BE45" i="188"/>
  <c r="BD45" i="188"/>
  <c r="BC45" i="188"/>
  <c r="BB45" i="188"/>
  <c r="BA45" i="188"/>
  <c r="AZ45" i="188"/>
  <c r="AX45" i="188"/>
  <c r="BK45" i="188" s="1"/>
  <c r="AW45" i="188"/>
  <c r="BJ45" i="188" s="1"/>
  <c r="AV45" i="188"/>
  <c r="BI45" i="188" s="1"/>
  <c r="AU45" i="188"/>
  <c r="BH45" i="188" s="1"/>
  <c r="AT45" i="188"/>
  <c r="AS45" i="188"/>
  <c r="AK45" i="188"/>
  <c r="AJ45" i="188"/>
  <c r="AI45" i="188"/>
  <c r="Y45" i="188"/>
  <c r="DX44" i="188"/>
  <c r="EK44" i="188" s="1"/>
  <c r="DW44" i="188"/>
  <c r="EJ44" i="188" s="1"/>
  <c r="DV44" i="188"/>
  <c r="EI44" i="188" s="1"/>
  <c r="DU44" i="188"/>
  <c r="EH44" i="188" s="1"/>
  <c r="DT44" i="188"/>
  <c r="EG44" i="188" s="1"/>
  <c r="DS44" i="188"/>
  <c r="EF44" i="188" s="1"/>
  <c r="DR44" i="188"/>
  <c r="EE44" i="188"/>
  <c r="DQ44" i="188"/>
  <c r="ED44" i="188"/>
  <c r="DP44" i="188"/>
  <c r="EC44" i="188" s="1"/>
  <c r="DO44" i="188"/>
  <c r="EB44" i="188" s="1"/>
  <c r="DN44" i="188"/>
  <c r="EA44" i="188" s="1"/>
  <c r="DM44" i="188"/>
  <c r="DZ44" i="188" s="1"/>
  <c r="CX44" i="188"/>
  <c r="DK44" i="188" s="1"/>
  <c r="CW44" i="188"/>
  <c r="CV44" i="188"/>
  <c r="DI44" i="188"/>
  <c r="CU44" i="188"/>
  <c r="DH44" i="188"/>
  <c r="CT44" i="188"/>
  <c r="DG44" i="188" s="1"/>
  <c r="CS44" i="188"/>
  <c r="CR44" i="188"/>
  <c r="DE44" i="188" s="1"/>
  <c r="CQ44" i="188"/>
  <c r="CP44" i="188"/>
  <c r="DC44" i="188" s="1"/>
  <c r="CO44" i="188"/>
  <c r="DB44" i="188" s="1"/>
  <c r="CN44" i="188"/>
  <c r="CM44" i="188"/>
  <c r="CZ44" i="188" s="1"/>
  <c r="BX44" i="188"/>
  <c r="CK44" i="188" s="1"/>
  <c r="BW44" i="188"/>
  <c r="BV44" i="188"/>
  <c r="CI44" i="188" s="1"/>
  <c r="BU44" i="188"/>
  <c r="CH44" i="188" s="1"/>
  <c r="BT44" i="188"/>
  <c r="CG44" i="188" s="1"/>
  <c r="BS44" i="188"/>
  <c r="CF44" i="188" s="1"/>
  <c r="BR44" i="188"/>
  <c r="CE44" i="188" s="1"/>
  <c r="BQ44" i="188"/>
  <c r="CD44" i="188" s="1"/>
  <c r="BP44" i="188"/>
  <c r="CC44" i="188" s="1"/>
  <c r="BO44" i="188"/>
  <c r="CB44" i="188" s="1"/>
  <c r="BN44" i="188"/>
  <c r="CA44" i="188" s="1"/>
  <c r="BM44" i="188"/>
  <c r="BE44" i="188"/>
  <c r="BD44" i="188"/>
  <c r="BC44" i="188"/>
  <c r="BB44" i="188"/>
  <c r="BA44" i="188"/>
  <c r="AZ44" i="188"/>
  <c r="AX44" i="188"/>
  <c r="BK44" i="188" s="1"/>
  <c r="AW44" i="188"/>
  <c r="AW74" i="188" s="1"/>
  <c r="AV44" i="188"/>
  <c r="BI44" i="188"/>
  <c r="AU44" i="188"/>
  <c r="AT44" i="188"/>
  <c r="BG44" i="188" s="1"/>
  <c r="AS44" i="188"/>
  <c r="BF44" i="188" s="1"/>
  <c r="AK44" i="188"/>
  <c r="AJ44" i="188"/>
  <c r="AI44" i="188"/>
  <c r="Y44" i="188"/>
  <c r="DX43" i="188"/>
  <c r="EK43" i="188"/>
  <c r="DW43" i="188"/>
  <c r="EJ43" i="188" s="1"/>
  <c r="DV43" i="188"/>
  <c r="EI43" i="188"/>
  <c r="DU43" i="188"/>
  <c r="EH43" i="188"/>
  <c r="DT43" i="188"/>
  <c r="EG43" i="188" s="1"/>
  <c r="DS43" i="188"/>
  <c r="DR43" i="188"/>
  <c r="EE43" i="188" s="1"/>
  <c r="DQ43" i="188"/>
  <c r="ED43" i="188" s="1"/>
  <c r="DP43" i="188"/>
  <c r="EC43" i="188" s="1"/>
  <c r="DO43" i="188"/>
  <c r="EB43" i="188"/>
  <c r="DN43" i="188"/>
  <c r="DM43" i="188"/>
  <c r="DZ43" i="188" s="1"/>
  <c r="CX43" i="188"/>
  <c r="DK43" i="188" s="1"/>
  <c r="CW43" i="188"/>
  <c r="DJ43" i="188"/>
  <c r="CV43" i="188"/>
  <c r="DI43" i="188" s="1"/>
  <c r="CU43" i="188"/>
  <c r="DH43" i="188" s="1"/>
  <c r="CT43" i="188"/>
  <c r="DG43" i="188" s="1"/>
  <c r="CS43" i="188"/>
  <c r="CR43" i="188"/>
  <c r="DE43" i="188" s="1"/>
  <c r="CQ43" i="188"/>
  <c r="DD43" i="188" s="1"/>
  <c r="CP43" i="188"/>
  <c r="DC43" i="188" s="1"/>
  <c r="CO43" i="188"/>
  <c r="DB43" i="188" s="1"/>
  <c r="CN43" i="188"/>
  <c r="CM43" i="188"/>
  <c r="CZ43" i="188" s="1"/>
  <c r="BX43" i="188"/>
  <c r="CK43" i="188"/>
  <c r="BW43" i="188"/>
  <c r="CJ43" i="188" s="1"/>
  <c r="BV43" i="188"/>
  <c r="CI43" i="188" s="1"/>
  <c r="BU43" i="188"/>
  <c r="BT43" i="188"/>
  <c r="BS43" i="188"/>
  <c r="CF43" i="188" s="1"/>
  <c r="BR43" i="188"/>
  <c r="CE43" i="188" s="1"/>
  <c r="BQ43" i="188"/>
  <c r="CD43" i="188"/>
  <c r="BP43" i="188"/>
  <c r="CC43" i="188"/>
  <c r="BO43" i="188"/>
  <c r="BN43" i="188"/>
  <c r="BM43" i="188"/>
  <c r="BZ43" i="188"/>
  <c r="BE43" i="188"/>
  <c r="BD43" i="188"/>
  <c r="BC43" i="188"/>
  <c r="BB43" i="188"/>
  <c r="BA43" i="188"/>
  <c r="AZ43" i="188"/>
  <c r="AX43" i="188"/>
  <c r="BK43" i="188"/>
  <c r="AW43" i="188"/>
  <c r="BJ43" i="188" s="1"/>
  <c r="AV43" i="188"/>
  <c r="BI43" i="188" s="1"/>
  <c r="AU43" i="188"/>
  <c r="BH43" i="188" s="1"/>
  <c r="AT43" i="188"/>
  <c r="AS43" i="188"/>
  <c r="AK43" i="188"/>
  <c r="AJ43" i="188"/>
  <c r="AL43" i="188" s="1"/>
  <c r="AI43" i="188"/>
  <c r="Y43" i="188"/>
  <c r="DX42" i="188"/>
  <c r="DW42" i="188"/>
  <c r="DV42" i="188"/>
  <c r="DU42" i="188"/>
  <c r="DT42" i="188"/>
  <c r="DS42" i="188"/>
  <c r="DR42" i="188"/>
  <c r="DQ42" i="188"/>
  <c r="DP42" i="188"/>
  <c r="DO42" i="188"/>
  <c r="DN42" i="188"/>
  <c r="DM42" i="188"/>
  <c r="CX42" i="188"/>
  <c r="CW42" i="188"/>
  <c r="CV42" i="188"/>
  <c r="CU42" i="188"/>
  <c r="CT42" i="188"/>
  <c r="CS42" i="188"/>
  <c r="CR42" i="188"/>
  <c r="CQ42" i="188"/>
  <c r="CP42" i="188"/>
  <c r="CO42" i="188"/>
  <c r="CN42" i="188"/>
  <c r="CM42" i="188"/>
  <c r="BX42" i="188"/>
  <c r="BW42" i="188"/>
  <c r="BV42" i="188"/>
  <c r="BU42" i="188"/>
  <c r="BT42" i="188"/>
  <c r="BS42" i="188"/>
  <c r="BY42" i="188" s="1"/>
  <c r="BR42" i="188"/>
  <c r="BQ42" i="188"/>
  <c r="BP42" i="188"/>
  <c r="BO42" i="188"/>
  <c r="BN42" i="188"/>
  <c r="BM42" i="188"/>
  <c r="AX42" i="188"/>
  <c r="AW42" i="188"/>
  <c r="AV42" i="188"/>
  <c r="AU42" i="188"/>
  <c r="AT42" i="188"/>
  <c r="AS42" i="188"/>
  <c r="AR42" i="188"/>
  <c r="AQ42" i="188"/>
  <c r="AP42" i="188"/>
  <c r="AO42" i="188"/>
  <c r="BB42" i="188" s="1"/>
  <c r="AN42" i="188"/>
  <c r="AM42" i="188"/>
  <c r="AK42" i="188"/>
  <c r="AJ42" i="188"/>
  <c r="AI42" i="188"/>
  <c r="AH42" i="188"/>
  <c r="AG42" i="188"/>
  <c r="AF42" i="188"/>
  <c r="AD42" i="188"/>
  <c r="P42" i="188"/>
  <c r="Y42" i="188" s="1"/>
  <c r="H42" i="188"/>
  <c r="DX41" i="188"/>
  <c r="DW41" i="188"/>
  <c r="DV41" i="188"/>
  <c r="DU41" i="188"/>
  <c r="DT41" i="188"/>
  <c r="DS41" i="188"/>
  <c r="DR41" i="188"/>
  <c r="DQ41" i="188"/>
  <c r="DP41" i="188"/>
  <c r="DO41" i="188"/>
  <c r="DN41" i="188"/>
  <c r="DM41" i="188"/>
  <c r="CX41" i="188"/>
  <c r="CW41" i="188"/>
  <c r="CV41" i="188"/>
  <c r="CU41" i="188"/>
  <c r="CT41" i="188"/>
  <c r="CS41" i="188"/>
  <c r="CR41" i="188"/>
  <c r="CQ41" i="188"/>
  <c r="CP41" i="188"/>
  <c r="CY41" i="188" s="1"/>
  <c r="CO41" i="188"/>
  <c r="CN41" i="188"/>
  <c r="CM41" i="188"/>
  <c r="BX41" i="188"/>
  <c r="BW41" i="188"/>
  <c r="BV41" i="188"/>
  <c r="BU41" i="188"/>
  <c r="BT41" i="188"/>
  <c r="BS41" i="188"/>
  <c r="BR41" i="188"/>
  <c r="BQ41" i="188"/>
  <c r="BP41" i="188"/>
  <c r="BO41" i="188"/>
  <c r="BN41" i="188"/>
  <c r="BM41" i="188"/>
  <c r="AX41" i="188"/>
  <c r="BK41" i="188" s="1"/>
  <c r="AW41" i="188"/>
  <c r="AV41" i="188"/>
  <c r="AU41" i="188"/>
  <c r="AT41" i="188"/>
  <c r="AS41" i="188"/>
  <c r="AR41" i="188"/>
  <c r="AQ41" i="188"/>
  <c r="AP41" i="188"/>
  <c r="BC41" i="188" s="1"/>
  <c r="AO41" i="188"/>
  <c r="AN41" i="188"/>
  <c r="AM41" i="188"/>
  <c r="AK41" i="188"/>
  <c r="AJ41" i="188"/>
  <c r="AI41" i="188"/>
  <c r="AH41" i="188"/>
  <c r="AG41" i="188"/>
  <c r="AF41" i="188"/>
  <c r="Y41" i="188"/>
  <c r="H41" i="188"/>
  <c r="DX40" i="188"/>
  <c r="DW40" i="188"/>
  <c r="DV40" i="188"/>
  <c r="DU40" i="188"/>
  <c r="DT40" i="188"/>
  <c r="DS40" i="188"/>
  <c r="DR40" i="188"/>
  <c r="DQ40" i="188"/>
  <c r="DP40" i="188"/>
  <c r="DO40" i="188"/>
  <c r="DN40" i="188"/>
  <c r="DM40" i="188"/>
  <c r="CX40" i="188"/>
  <c r="CW40" i="188"/>
  <c r="CV40" i="188"/>
  <c r="CU40" i="188"/>
  <c r="CT40" i="188"/>
  <c r="CS40" i="188"/>
  <c r="CR40" i="188"/>
  <c r="CQ40" i="188"/>
  <c r="CP40" i="188"/>
  <c r="CO40" i="188"/>
  <c r="CN40" i="188"/>
  <c r="CM40" i="188"/>
  <c r="BX40" i="188"/>
  <c r="BW40" i="188"/>
  <c r="BV40" i="188"/>
  <c r="BU40" i="188"/>
  <c r="BT40" i="188"/>
  <c r="BS40" i="188"/>
  <c r="BR40" i="188"/>
  <c r="BQ40" i="188"/>
  <c r="BP40" i="188"/>
  <c r="BO40" i="188"/>
  <c r="BN40" i="188"/>
  <c r="BM40" i="188"/>
  <c r="AX40" i="188"/>
  <c r="BK40" i="188" s="1"/>
  <c r="AW40" i="188"/>
  <c r="AV40" i="188"/>
  <c r="AU40" i="188"/>
  <c r="AT40" i="188"/>
  <c r="AS40" i="188"/>
  <c r="AR40" i="188"/>
  <c r="AQ40" i="188"/>
  <c r="AP40" i="188"/>
  <c r="AO40" i="188"/>
  <c r="AN40" i="188"/>
  <c r="AM40" i="188"/>
  <c r="AK40" i="188"/>
  <c r="AJ40" i="188"/>
  <c r="AI40" i="188"/>
  <c r="AH40" i="188"/>
  <c r="AG40" i="188"/>
  <c r="AF40" i="188"/>
  <c r="AC40" i="188"/>
  <c r="P40" i="188"/>
  <c r="Y40" i="188"/>
  <c r="H40" i="188"/>
  <c r="DY39" i="188"/>
  <c r="CY39" i="188"/>
  <c r="BY39" i="188"/>
  <c r="AY39" i="188"/>
  <c r="AK39" i="188"/>
  <c r="AJ39" i="188"/>
  <c r="AI39" i="188"/>
  <c r="AH39" i="188"/>
  <c r="AG39" i="188"/>
  <c r="AF39" i="188"/>
  <c r="P39" i="188"/>
  <c r="Y39" i="188" s="1"/>
  <c r="H39" i="188"/>
  <c r="BA39" i="188"/>
  <c r="DY38" i="188"/>
  <c r="CY38" i="188"/>
  <c r="BY38" i="188"/>
  <c r="AY38" i="188"/>
  <c r="AK38" i="188"/>
  <c r="AJ38" i="188"/>
  <c r="AI38" i="188"/>
  <c r="AH38" i="188"/>
  <c r="AG38" i="188"/>
  <c r="AF38" i="188"/>
  <c r="Y38" i="188"/>
  <c r="H38" i="188"/>
  <c r="BK38" i="188" s="1"/>
  <c r="DY37" i="188"/>
  <c r="CY37" i="188"/>
  <c r="BY37" i="188"/>
  <c r="AY37" i="188"/>
  <c r="AK37" i="188"/>
  <c r="AJ37" i="188"/>
  <c r="AI37" i="188"/>
  <c r="AH37" i="188"/>
  <c r="AG37" i="188"/>
  <c r="AF37" i="188"/>
  <c r="AD37" i="188"/>
  <c r="AC37" i="188"/>
  <c r="AA37" i="188"/>
  <c r="Z37" i="188"/>
  <c r="Y37" i="188"/>
  <c r="H37" i="188"/>
  <c r="BJ37" i="188" s="1"/>
  <c r="DY36" i="188"/>
  <c r="CY36" i="188"/>
  <c r="BY36" i="188"/>
  <c r="AY36" i="188"/>
  <c r="AK36" i="188"/>
  <c r="AJ36" i="188"/>
  <c r="AI36" i="188"/>
  <c r="AH36" i="188"/>
  <c r="AG36" i="188"/>
  <c r="AF36" i="188"/>
  <c r="AD36" i="188"/>
  <c r="AC36" i="188"/>
  <c r="AA36" i="188"/>
  <c r="Z36" i="188"/>
  <c r="Y36" i="188"/>
  <c r="H36" i="188"/>
  <c r="BJ36" i="188" s="1"/>
  <c r="DX35" i="188"/>
  <c r="DW35" i="188"/>
  <c r="DV35" i="188"/>
  <c r="DU35" i="188"/>
  <c r="DT35" i="188"/>
  <c r="DS35" i="188"/>
  <c r="DR35" i="188"/>
  <c r="DQ35" i="188"/>
  <c r="DP35" i="188"/>
  <c r="DO35" i="188"/>
  <c r="DN35" i="188"/>
  <c r="DM35" i="188"/>
  <c r="CX35" i="188"/>
  <c r="CW35" i="188"/>
  <c r="CV35" i="188"/>
  <c r="CU35" i="188"/>
  <c r="CT35" i="188"/>
  <c r="CS35" i="188"/>
  <c r="CY35" i="188" s="1"/>
  <c r="CR35" i="188"/>
  <c r="CQ35" i="188"/>
  <c r="CP35" i="188"/>
  <c r="CO35" i="188"/>
  <c r="CN35" i="188"/>
  <c r="CM35" i="188"/>
  <c r="BX35" i="188"/>
  <c r="BW35" i="188"/>
  <c r="CJ35" i="188" s="1"/>
  <c r="BV35" i="188"/>
  <c r="BU35" i="188"/>
  <c r="BT35" i="188"/>
  <c r="BS35" i="188"/>
  <c r="BR35" i="188"/>
  <c r="BQ35" i="188"/>
  <c r="BP35" i="188"/>
  <c r="BO35" i="188"/>
  <c r="BN35" i="188"/>
  <c r="BM35" i="188"/>
  <c r="BK35" i="188"/>
  <c r="BJ35" i="188"/>
  <c r="BI35" i="188"/>
  <c r="BH35" i="188"/>
  <c r="BG35" i="188"/>
  <c r="BF35" i="188"/>
  <c r="BL35" i="188" s="1"/>
  <c r="BE35" i="188"/>
  <c r="BD35" i="188"/>
  <c r="BC35" i="188"/>
  <c r="BB35" i="188"/>
  <c r="BA35" i="188"/>
  <c r="AZ35" i="188"/>
  <c r="AY35" i="188"/>
  <c r="AK35" i="188"/>
  <c r="AJ35" i="188"/>
  <c r="AI35" i="188"/>
  <c r="AH35" i="188"/>
  <c r="AG35" i="188"/>
  <c r="AF35" i="188"/>
  <c r="AD35" i="188"/>
  <c r="AC35" i="188"/>
  <c r="AA35" i="188"/>
  <c r="AA74" i="188" s="1"/>
  <c r="Z35" i="188"/>
  <c r="Y35" i="188"/>
  <c r="I35" i="188"/>
  <c r="DX34" i="188"/>
  <c r="DW34" i="188"/>
  <c r="DV34" i="188"/>
  <c r="DU34" i="188"/>
  <c r="DT34" i="188"/>
  <c r="DS34" i="188"/>
  <c r="DR34" i="188"/>
  <c r="DQ34" i="188"/>
  <c r="DP34" i="188"/>
  <c r="DO34" i="188"/>
  <c r="DN34" i="188"/>
  <c r="DM34" i="188"/>
  <c r="CX34" i="188"/>
  <c r="CW34" i="188"/>
  <c r="CV34" i="188"/>
  <c r="CU34" i="188"/>
  <c r="CT34" i="188"/>
  <c r="CS34" i="188"/>
  <c r="CR34" i="188"/>
  <c r="CQ34" i="188"/>
  <c r="CP34" i="188"/>
  <c r="CO34" i="188"/>
  <c r="CN34" i="188"/>
  <c r="CM34" i="188"/>
  <c r="BX34" i="188"/>
  <c r="BW34" i="188"/>
  <c r="BV34" i="188"/>
  <c r="BU34" i="188"/>
  <c r="BT34" i="188"/>
  <c r="BS34" i="188"/>
  <c r="BR34" i="188"/>
  <c r="BQ34" i="188"/>
  <c r="BP34" i="188"/>
  <c r="BO34" i="188"/>
  <c r="BN34" i="188"/>
  <c r="BM34" i="188"/>
  <c r="BK34" i="188"/>
  <c r="BJ34" i="188"/>
  <c r="BI34" i="188"/>
  <c r="BH34" i="188"/>
  <c r="BG34" i="188"/>
  <c r="BF34" i="188"/>
  <c r="BE34" i="188"/>
  <c r="BD34" i="188"/>
  <c r="BC34" i="188"/>
  <c r="BB34" i="188"/>
  <c r="BA34" i="188"/>
  <c r="AZ34" i="188"/>
  <c r="AY34" i="188"/>
  <c r="AK34" i="188"/>
  <c r="AJ34" i="188"/>
  <c r="AI34" i="188"/>
  <c r="AH34" i="188"/>
  <c r="AG34" i="188"/>
  <c r="AF34" i="188"/>
  <c r="AD34" i="188"/>
  <c r="AC34" i="188"/>
  <c r="AA34" i="188"/>
  <c r="Z34" i="188"/>
  <c r="Y34" i="188"/>
  <c r="I34" i="188"/>
  <c r="DY33" i="188"/>
  <c r="CY33" i="188"/>
  <c r="BY33" i="188"/>
  <c r="AX33" i="188"/>
  <c r="AW33" i="188"/>
  <c r="AV33" i="188"/>
  <c r="AU33" i="188"/>
  <c r="AT33" i="188"/>
  <c r="AY33" i="188" s="1"/>
  <c r="AS33" i="188"/>
  <c r="AR33" i="188"/>
  <c r="AQ33" i="188"/>
  <c r="AP33" i="188"/>
  <c r="AO33" i="188"/>
  <c r="AN33" i="188"/>
  <c r="AM33" i="188"/>
  <c r="AK33" i="188"/>
  <c r="AL33" i="188" s="1"/>
  <c r="AJ33" i="188"/>
  <c r="AI33" i="188"/>
  <c r="AH33" i="188"/>
  <c r="AG33" i="188"/>
  <c r="AF33" i="188"/>
  <c r="AD33" i="188"/>
  <c r="AC33" i="188"/>
  <c r="Y33" i="188"/>
  <c r="H33" i="188"/>
  <c r="DY32" i="188"/>
  <c r="CY32" i="188"/>
  <c r="BY32" i="188"/>
  <c r="AX32" i="188"/>
  <c r="BK32" i="188" s="1"/>
  <c r="AW32" i="188"/>
  <c r="AV32" i="188"/>
  <c r="AU32" i="188"/>
  <c r="BH32" i="188" s="1"/>
  <c r="AT32" i="188"/>
  <c r="AS32" i="188"/>
  <c r="AR32" i="188"/>
  <c r="AQ32" i="188"/>
  <c r="AP32" i="188"/>
  <c r="AO32" i="188"/>
  <c r="AN32" i="188"/>
  <c r="AM32" i="188"/>
  <c r="AK32" i="188"/>
  <c r="AJ32" i="188"/>
  <c r="AI32" i="188"/>
  <c r="AH32" i="188"/>
  <c r="AG32" i="188"/>
  <c r="AF32" i="188"/>
  <c r="AD32" i="188"/>
  <c r="S32" i="188"/>
  <c r="Q32" i="188"/>
  <c r="Q74" i="188" s="1"/>
  <c r="H32" i="188"/>
  <c r="I32" i="188" s="1"/>
  <c r="DY31" i="188"/>
  <c r="CY31" i="188"/>
  <c r="BY31" i="188"/>
  <c r="AX31" i="188"/>
  <c r="AW31" i="188"/>
  <c r="AV31" i="188"/>
  <c r="AU31" i="188"/>
  <c r="AT31" i="188"/>
  <c r="BG31" i="188" s="1"/>
  <c r="AS31" i="188"/>
  <c r="AR31" i="188"/>
  <c r="AQ31" i="188"/>
  <c r="AP31" i="188"/>
  <c r="AO31" i="188"/>
  <c r="AN31" i="188"/>
  <c r="AM31" i="188"/>
  <c r="AK31" i="188"/>
  <c r="AJ31" i="188"/>
  <c r="AI31" i="188"/>
  <c r="AH31" i="188"/>
  <c r="AG31" i="188"/>
  <c r="AF31" i="188"/>
  <c r="Y31" i="188"/>
  <c r="H31" i="188"/>
  <c r="DY30" i="188"/>
  <c r="CY30" i="188"/>
  <c r="BY30" i="188"/>
  <c r="AX30" i="188"/>
  <c r="AW30" i="188"/>
  <c r="AV30" i="188"/>
  <c r="AU30" i="188"/>
  <c r="AT30" i="188"/>
  <c r="AS30" i="188"/>
  <c r="AR30" i="188"/>
  <c r="AQ30" i="188"/>
  <c r="AP30" i="188"/>
  <c r="BC30" i="188" s="1"/>
  <c r="AO30" i="188"/>
  <c r="AN30" i="188"/>
  <c r="AM30" i="188"/>
  <c r="AK30" i="188"/>
  <c r="AJ30" i="188"/>
  <c r="AI30" i="188"/>
  <c r="AH30" i="188"/>
  <c r="AG30" i="188"/>
  <c r="AF30" i="188"/>
  <c r="AD30" i="188"/>
  <c r="AC30" i="188"/>
  <c r="Y30" i="188"/>
  <c r="H30" i="188"/>
  <c r="EA29" i="188"/>
  <c r="DZ29" i="188"/>
  <c r="DV29" i="188"/>
  <c r="CV29" i="188"/>
  <c r="BX29" i="188"/>
  <c r="BV29" i="188"/>
  <c r="BS29" i="188"/>
  <c r="BQ29" i="188"/>
  <c r="AV29" i="188"/>
  <c r="AF29" i="188"/>
  <c r="AE29" i="188"/>
  <c r="AC29" i="188"/>
  <c r="X29" i="188"/>
  <c r="W29" i="188"/>
  <c r="V29" i="188"/>
  <c r="U29" i="188"/>
  <c r="T29" i="188"/>
  <c r="R29" i="188"/>
  <c r="Q29" i="188"/>
  <c r="P29" i="188"/>
  <c r="O29" i="188"/>
  <c r="N29" i="188"/>
  <c r="M29" i="188"/>
  <c r="EK28" i="188"/>
  <c r="EI28" i="188"/>
  <c r="EF28" i="188"/>
  <c r="ED28" i="188"/>
  <c r="DK28" i="188"/>
  <c r="DI28" i="188"/>
  <c r="DF28" i="188"/>
  <c r="DD28" i="188"/>
  <c r="CK28" i="188"/>
  <c r="CI28" i="188"/>
  <c r="CF28" i="188"/>
  <c r="CD28" i="188"/>
  <c r="BK28" i="188"/>
  <c r="BI28" i="188"/>
  <c r="BF28" i="188"/>
  <c r="BD28" i="188"/>
  <c r="AW28" i="188"/>
  <c r="AU28" i="188"/>
  <c r="AT28" i="188"/>
  <c r="BT28" i="188" s="1"/>
  <c r="AR28" i="188"/>
  <c r="AP28" i="188"/>
  <c r="BC28" i="188" s="1"/>
  <c r="AO28" i="188"/>
  <c r="AN28" i="188"/>
  <c r="AM28" i="188"/>
  <c r="BM28" i="188" s="1"/>
  <c r="AK28" i="188"/>
  <c r="AJ28" i="188"/>
  <c r="AI28" i="188"/>
  <c r="AH28" i="188"/>
  <c r="AD28" i="188"/>
  <c r="AB28" i="188"/>
  <c r="AB29" i="188" s="1"/>
  <c r="Y28" i="188"/>
  <c r="EK27" i="188"/>
  <c r="EI27" i="188"/>
  <c r="EG27" i="188"/>
  <c r="EF27" i="188"/>
  <c r="EE27" i="188"/>
  <c r="ED27" i="188"/>
  <c r="EC27" i="188"/>
  <c r="EB27" i="188"/>
  <c r="DK27" i="188"/>
  <c r="DI27" i="188"/>
  <c r="DG27" i="188"/>
  <c r="DF27" i="188"/>
  <c r="DE27" i="188"/>
  <c r="DD27" i="188"/>
  <c r="DC27" i="188"/>
  <c r="DB27" i="188"/>
  <c r="DA27" i="188"/>
  <c r="CZ27" i="188"/>
  <c r="CK27" i="188"/>
  <c r="CK29" i="188" s="1"/>
  <c r="CI27" i="188"/>
  <c r="CG27" i="188"/>
  <c r="CF27" i="188"/>
  <c r="CF29" i="188" s="1"/>
  <c r="CE27" i="188"/>
  <c r="CD27" i="188"/>
  <c r="CC27" i="188"/>
  <c r="CB27" i="188"/>
  <c r="CA27" i="188"/>
  <c r="CA29" i="188" s="1"/>
  <c r="BZ27" i="188"/>
  <c r="BK27" i="188"/>
  <c r="BI27" i="188"/>
  <c r="BI29" i="188" s="1"/>
  <c r="BG27" i="188"/>
  <c r="BF27" i="188"/>
  <c r="BE27" i="188"/>
  <c r="BD27" i="188"/>
  <c r="BC27" i="188"/>
  <c r="BB27" i="188"/>
  <c r="BA27" i="188"/>
  <c r="AZ27" i="188"/>
  <c r="AW27" i="188"/>
  <c r="AU27" i="188"/>
  <c r="AK27" i="188"/>
  <c r="AJ27" i="188"/>
  <c r="AI27" i="188"/>
  <c r="AH27" i="188"/>
  <c r="AG27" i="188"/>
  <c r="S27" i="188"/>
  <c r="Y27" i="188" s="1"/>
  <c r="EJ26" i="188"/>
  <c r="EI26" i="188"/>
  <c r="EH26" i="188"/>
  <c r="EG26" i="188"/>
  <c r="DP26" i="188"/>
  <c r="EC26" i="188" s="1"/>
  <c r="DO26" i="188"/>
  <c r="EB26" i="188" s="1"/>
  <c r="DJ26" i="188"/>
  <c r="DI26" i="188"/>
  <c r="DH26" i="188"/>
  <c r="DG26" i="188"/>
  <c r="DC26" i="188"/>
  <c r="DB26" i="188"/>
  <c r="CZ26" i="188"/>
  <c r="CX26" i="188"/>
  <c r="CS26" i="188"/>
  <c r="CR26" i="188"/>
  <c r="DE26" i="188" s="1"/>
  <c r="CQ26" i="188"/>
  <c r="CN26" i="188"/>
  <c r="DN26" i="188" s="1"/>
  <c r="CK26" i="188"/>
  <c r="CJ26" i="188"/>
  <c r="CI26" i="188"/>
  <c r="CH26" i="188"/>
  <c r="CG26" i="188"/>
  <c r="CF26" i="188"/>
  <c r="CE26" i="188"/>
  <c r="CD26" i="188"/>
  <c r="CB26" i="188"/>
  <c r="CA26" i="188"/>
  <c r="BZ26" i="188"/>
  <c r="BP26" i="188"/>
  <c r="BJ26" i="188"/>
  <c r="BI26" i="188"/>
  <c r="BH26" i="188"/>
  <c r="BG26" i="188"/>
  <c r="BC26" i="188"/>
  <c r="BB26" i="188"/>
  <c r="AZ26" i="188"/>
  <c r="AX26" i="188"/>
  <c r="AR26" i="188"/>
  <c r="BE26" i="188" s="1"/>
  <c r="AQ26" i="188"/>
  <c r="BD26" i="188" s="1"/>
  <c r="AN26" i="188"/>
  <c r="AK26" i="188"/>
  <c r="AJ26" i="188"/>
  <c r="AI26" i="188"/>
  <c r="AH26" i="188"/>
  <c r="AG26" i="188"/>
  <c r="AD26" i="188"/>
  <c r="AA26" i="188"/>
  <c r="AA29" i="188"/>
  <c r="Z26" i="188"/>
  <c r="Z29" i="188" s="1"/>
  <c r="S26" i="188"/>
  <c r="EJ25" i="188"/>
  <c r="EI25" i="188"/>
  <c r="EH25" i="188"/>
  <c r="EC25" i="188"/>
  <c r="DT25" i="188"/>
  <c r="EG25" i="188"/>
  <c r="DS25" i="188"/>
  <c r="EF25" i="188" s="1"/>
  <c r="DR25" i="188"/>
  <c r="EE25" i="188" s="1"/>
  <c r="DJ25" i="188"/>
  <c r="DI25" i="188"/>
  <c r="DH25" i="188"/>
  <c r="DG25" i="188"/>
  <c r="DF25" i="188"/>
  <c r="DE25" i="188"/>
  <c r="DC25" i="188"/>
  <c r="CZ25" i="188"/>
  <c r="CX25" i="188"/>
  <c r="CQ25" i="188"/>
  <c r="CN25" i="188"/>
  <c r="DA25" i="188" s="1"/>
  <c r="DN25" i="188"/>
  <c r="CK25" i="188"/>
  <c r="CJ25" i="188"/>
  <c r="CI25" i="188"/>
  <c r="CH25" i="188"/>
  <c r="CG25" i="188"/>
  <c r="CF25" i="188"/>
  <c r="CE25" i="188"/>
  <c r="CD25" i="188"/>
  <c r="CC25" i="188"/>
  <c r="CA25" i="188"/>
  <c r="CL25" i="188" s="1"/>
  <c r="BZ25" i="188"/>
  <c r="BO25" i="188"/>
  <c r="CO25" i="188" s="1"/>
  <c r="DO25" i="188" s="1"/>
  <c r="BJ25" i="188"/>
  <c r="BI25" i="188"/>
  <c r="BH25" i="188"/>
  <c r="BC25" i="188"/>
  <c r="BB25" i="188"/>
  <c r="AZ25" i="188"/>
  <c r="AX25" i="188"/>
  <c r="AT25" i="188"/>
  <c r="AS25" i="188"/>
  <c r="BF25" i="188" s="1"/>
  <c r="AR25" i="188"/>
  <c r="AQ25" i="188"/>
  <c r="BD25" i="188" s="1"/>
  <c r="AN25" i="188"/>
  <c r="BA25" i="188"/>
  <c r="AK25" i="188"/>
  <c r="AJ25" i="188"/>
  <c r="AI25" i="188"/>
  <c r="AH25" i="188"/>
  <c r="AG25" i="188"/>
  <c r="Y25" i="188"/>
  <c r="DX24" i="188"/>
  <c r="DW24" i="188"/>
  <c r="DV24" i="188"/>
  <c r="DU24" i="188"/>
  <c r="DT24" i="188"/>
  <c r="DS24" i="188"/>
  <c r="DR24" i="188"/>
  <c r="DQ24" i="188"/>
  <c r="DP24" i="188"/>
  <c r="DO24" i="188"/>
  <c r="DN24" i="188"/>
  <c r="DM24" i="188"/>
  <c r="CX24" i="188"/>
  <c r="CW24" i="188"/>
  <c r="CV24" i="188"/>
  <c r="CU24" i="188"/>
  <c r="CT24" i="188"/>
  <c r="CS24" i="188"/>
  <c r="CR24" i="188"/>
  <c r="CQ24" i="188"/>
  <c r="CP24" i="188"/>
  <c r="CO24" i="188"/>
  <c r="CN24" i="188"/>
  <c r="CM24" i="188"/>
  <c r="BX24" i="188"/>
  <c r="BW24" i="188"/>
  <c r="BV24" i="188"/>
  <c r="BU24" i="188"/>
  <c r="BT24" i="188"/>
  <c r="BS24" i="188"/>
  <c r="BR24" i="188"/>
  <c r="BQ24" i="188"/>
  <c r="BP24" i="188"/>
  <c r="BO24" i="188"/>
  <c r="BN24" i="188"/>
  <c r="BM24" i="188"/>
  <c r="AX24" i="188"/>
  <c r="AW24" i="188"/>
  <c r="AV24" i="188"/>
  <c r="AU24" i="188"/>
  <c r="AT24" i="188"/>
  <c r="AS24" i="188"/>
  <c r="AR24" i="188"/>
  <c r="AQ24" i="188"/>
  <c r="AP24" i="188"/>
  <c r="AO24" i="188"/>
  <c r="AN24" i="188"/>
  <c r="AM24" i="188"/>
  <c r="X24" i="188"/>
  <c r="W24" i="188"/>
  <c r="V24" i="188"/>
  <c r="U24" i="188"/>
  <c r="T24" i="188"/>
  <c r="S24" i="188"/>
  <c r="Q24" i="188"/>
  <c r="P24" i="188"/>
  <c r="O24" i="188"/>
  <c r="N24" i="188"/>
  <c r="N130" i="188" s="1"/>
  <c r="M24" i="188"/>
  <c r="EL23" i="188"/>
  <c r="DY23" i="188"/>
  <c r="DL23" i="188"/>
  <c r="CY23" i="188"/>
  <c r="CL23" i="188"/>
  <c r="BY23" i="188"/>
  <c r="BL23" i="188"/>
  <c r="AY23" i="188"/>
  <c r="AK23" i="188"/>
  <c r="AJ23" i="188"/>
  <c r="AI23" i="188"/>
  <c r="AH23" i="188"/>
  <c r="AG23" i="188"/>
  <c r="AF23" i="188"/>
  <c r="AE23" i="188"/>
  <c r="AE24" i="188" s="1"/>
  <c r="AD23" i="188"/>
  <c r="AD24" i="188"/>
  <c r="AC23" i="188"/>
  <c r="AC24" i="188" s="1"/>
  <c r="AB23" i="188"/>
  <c r="AB24" i="188" s="1"/>
  <c r="AA23" i="188"/>
  <c r="Z23" i="188"/>
  <c r="Z24" i="188" s="1"/>
  <c r="Y23" i="188"/>
  <c r="EL22" i="188"/>
  <c r="DY22" i="188"/>
  <c r="DL22" i="188"/>
  <c r="CY22" i="188"/>
  <c r="CL22" i="188"/>
  <c r="BY22" i="188"/>
  <c r="BL22" i="188"/>
  <c r="AY22" i="188"/>
  <c r="AK22" i="188"/>
  <c r="AJ22" i="188"/>
  <c r="AI22" i="188"/>
  <c r="AH22" i="188"/>
  <c r="AG22" i="188"/>
  <c r="AF22" i="188"/>
  <c r="R22" i="188"/>
  <c r="EL21" i="188"/>
  <c r="DY21" i="188"/>
  <c r="DL21" i="188"/>
  <c r="CY21" i="188"/>
  <c r="CL21" i="188"/>
  <c r="BY21" i="188"/>
  <c r="BL21" i="188"/>
  <c r="AY21" i="188"/>
  <c r="AK21" i="188"/>
  <c r="AJ21" i="188"/>
  <c r="AI21" i="188"/>
  <c r="AH21" i="188"/>
  <c r="AG21" i="188"/>
  <c r="AF21" i="188"/>
  <c r="Y21" i="188"/>
  <c r="K21" i="188"/>
  <c r="DY20" i="188"/>
  <c r="DK20" i="188"/>
  <c r="DJ20" i="188"/>
  <c r="DI20" i="188"/>
  <c r="DH20" i="188"/>
  <c r="DG20" i="188"/>
  <c r="DF20" i="188"/>
  <c r="DE20" i="188"/>
  <c r="DE24" i="188" s="1"/>
  <c r="DD20" i="188"/>
  <c r="DC20" i="188"/>
  <c r="DB20" i="188"/>
  <c r="DA20" i="188"/>
  <c r="CZ20" i="188"/>
  <c r="CY20" i="188"/>
  <c r="CK20" i="188"/>
  <c r="CJ20" i="188"/>
  <c r="CI20" i="188"/>
  <c r="CH20" i="188"/>
  <c r="CG20" i="188"/>
  <c r="CF20" i="188"/>
  <c r="CE20" i="188"/>
  <c r="CD20" i="188"/>
  <c r="CC20" i="188"/>
  <c r="CB20" i="188"/>
  <c r="CA20" i="188"/>
  <c r="BZ20" i="188"/>
  <c r="BY20" i="188"/>
  <c r="BK20" i="188"/>
  <c r="BJ20" i="188"/>
  <c r="BI20" i="188"/>
  <c r="BH20" i="188"/>
  <c r="BG20" i="188"/>
  <c r="BF20" i="188"/>
  <c r="BE20" i="188"/>
  <c r="BD20" i="188"/>
  <c r="BC20" i="188"/>
  <c r="BB20" i="188"/>
  <c r="BA20" i="188"/>
  <c r="AZ20" i="188"/>
  <c r="AY20" i="188"/>
  <c r="AK20" i="188"/>
  <c r="AJ20" i="188"/>
  <c r="AI20" i="188"/>
  <c r="AH20" i="188"/>
  <c r="AG20" i="188"/>
  <c r="AF20" i="188"/>
  <c r="Y20" i="188"/>
  <c r="K20" i="188"/>
  <c r="DY19" i="188"/>
  <c r="DK19" i="188"/>
  <c r="DJ19" i="188"/>
  <c r="DI19" i="188"/>
  <c r="DH19" i="188"/>
  <c r="DG19" i="188"/>
  <c r="DF19" i="188"/>
  <c r="DE19" i="188"/>
  <c r="DD19" i="188"/>
  <c r="DC19" i="188"/>
  <c r="DB19" i="188"/>
  <c r="DA19" i="188"/>
  <c r="CZ19" i="188"/>
  <c r="CY19" i="188"/>
  <c r="CK19" i="188"/>
  <c r="CJ19" i="188"/>
  <c r="CI19" i="188"/>
  <c r="CH19" i="188"/>
  <c r="CG19" i="188"/>
  <c r="CF19" i="188"/>
  <c r="CE19" i="188"/>
  <c r="CD19" i="188"/>
  <c r="CC19" i="188"/>
  <c r="CB19" i="188"/>
  <c r="CA19" i="188"/>
  <c r="BZ19" i="188"/>
  <c r="BY19" i="188"/>
  <c r="BK19" i="188"/>
  <c r="BJ19" i="188"/>
  <c r="BI19" i="188"/>
  <c r="BH19" i="188"/>
  <c r="BG19" i="188"/>
  <c r="BF19" i="188"/>
  <c r="BE19" i="188"/>
  <c r="BD19" i="188"/>
  <c r="BC19" i="188"/>
  <c r="BB19" i="188"/>
  <c r="BA19" i="188"/>
  <c r="AZ19" i="188"/>
  <c r="BL19" i="188" s="1"/>
  <c r="AY19" i="188"/>
  <c r="AK19" i="188"/>
  <c r="AJ19" i="188"/>
  <c r="AL19" i="188" s="1"/>
  <c r="AI19" i="188"/>
  <c r="AH19" i="188"/>
  <c r="AG19" i="188"/>
  <c r="AF19" i="188"/>
  <c r="Y19" i="188"/>
  <c r="K19" i="188"/>
  <c r="EJ19" i="188" s="1"/>
  <c r="DY18" i="188"/>
  <c r="DK18" i="188"/>
  <c r="DJ18" i="188"/>
  <c r="DI18" i="188"/>
  <c r="DH18" i="188"/>
  <c r="DG18" i="188"/>
  <c r="DF18" i="188"/>
  <c r="DE18" i="188"/>
  <c r="DD18" i="188"/>
  <c r="DC18" i="188"/>
  <c r="DB18" i="188"/>
  <c r="DA18" i="188"/>
  <c r="CZ18" i="188"/>
  <c r="CY18" i="188"/>
  <c r="CK18" i="188"/>
  <c r="CJ18" i="188"/>
  <c r="CI18" i="188"/>
  <c r="CH18" i="188"/>
  <c r="CG18" i="188"/>
  <c r="CF18" i="188"/>
  <c r="CE18" i="188"/>
  <c r="CD18" i="188"/>
  <c r="CC18" i="188"/>
  <c r="CB18" i="188"/>
  <c r="CA18" i="188"/>
  <c r="BZ18" i="188"/>
  <c r="BY18" i="188"/>
  <c r="BK18" i="188"/>
  <c r="BJ18" i="188"/>
  <c r="BI18" i="188"/>
  <c r="BH18" i="188"/>
  <c r="BG18" i="188"/>
  <c r="BF18" i="188"/>
  <c r="BE18" i="188"/>
  <c r="BD18" i="188"/>
  <c r="BC18" i="188"/>
  <c r="BB18" i="188"/>
  <c r="BA18" i="188"/>
  <c r="AZ18" i="188"/>
  <c r="BL18" i="188" s="1"/>
  <c r="AY18" i="188"/>
  <c r="AK18" i="188"/>
  <c r="AJ18" i="188"/>
  <c r="AL18" i="188" s="1"/>
  <c r="AI18" i="188"/>
  <c r="AH18" i="188"/>
  <c r="AG18" i="188"/>
  <c r="AF18" i="188"/>
  <c r="Y18" i="188"/>
  <c r="K18" i="188"/>
  <c r="ED18" i="188" s="1"/>
  <c r="DY17" i="188"/>
  <c r="DK17" i="188"/>
  <c r="DJ17" i="188"/>
  <c r="DI17" i="188"/>
  <c r="DH17" i="188"/>
  <c r="DG17" i="188"/>
  <c r="DF17" i="188"/>
  <c r="DE17" i="188"/>
  <c r="DD17" i="188"/>
  <c r="DC17" i="188"/>
  <c r="DB17" i="188"/>
  <c r="DA17" i="188"/>
  <c r="CZ17" i="188"/>
  <c r="CY17" i="188"/>
  <c r="CK17" i="188"/>
  <c r="CJ17" i="188"/>
  <c r="CI17" i="188"/>
  <c r="CH17" i="188"/>
  <c r="CG17" i="188"/>
  <c r="CF17" i="188"/>
  <c r="CE17" i="188"/>
  <c r="CD17" i="188"/>
  <c r="CC17" i="188"/>
  <c r="CB17" i="188"/>
  <c r="CA17" i="188"/>
  <c r="BZ17" i="188"/>
  <c r="BY17" i="188"/>
  <c r="BK17" i="188"/>
  <c r="BJ17" i="188"/>
  <c r="BI17" i="188"/>
  <c r="BH17" i="188"/>
  <c r="BG17" i="188"/>
  <c r="BF17" i="188"/>
  <c r="BE17" i="188"/>
  <c r="BD17" i="188"/>
  <c r="BC17" i="188"/>
  <c r="BB17" i="188"/>
  <c r="BA17" i="188"/>
  <c r="AZ17" i="188"/>
  <c r="BL17" i="188" s="1"/>
  <c r="AY17" i="188"/>
  <c r="AK17" i="188"/>
  <c r="AJ17" i="188"/>
  <c r="AL17" i="188" s="1"/>
  <c r="AI17" i="188"/>
  <c r="AH17" i="188"/>
  <c r="AG17" i="188"/>
  <c r="AF17" i="188"/>
  <c r="Y17" i="188"/>
  <c r="K17" i="188"/>
  <c r="EI17" i="188" s="1"/>
  <c r="DY16" i="188"/>
  <c r="DK16" i="188"/>
  <c r="DK24" i="188" s="1"/>
  <c r="DJ16" i="188"/>
  <c r="DI16" i="188"/>
  <c r="DH16" i="188"/>
  <c r="DG16" i="188"/>
  <c r="DF16" i="188"/>
  <c r="DF24" i="188" s="1"/>
  <c r="DE16" i="188"/>
  <c r="DD16" i="188"/>
  <c r="DC16" i="188"/>
  <c r="DB16" i="188"/>
  <c r="DA16" i="188"/>
  <c r="CZ16" i="188"/>
  <c r="CY16" i="188"/>
  <c r="CK16" i="188"/>
  <c r="CK24" i="188" s="1"/>
  <c r="CJ16" i="188"/>
  <c r="CI16" i="188"/>
  <c r="CH16" i="188"/>
  <c r="CH24" i="188" s="1"/>
  <c r="CG16" i="188"/>
  <c r="CF16" i="188"/>
  <c r="CE16" i="188"/>
  <c r="CD16" i="188"/>
  <c r="CC16" i="188"/>
  <c r="CC24" i="188" s="1"/>
  <c r="CB16" i="188"/>
  <c r="CA16" i="188"/>
  <c r="BZ16" i="188"/>
  <c r="BY16" i="188"/>
  <c r="BK16" i="188"/>
  <c r="BJ16" i="188"/>
  <c r="BI16" i="188"/>
  <c r="BH16" i="188"/>
  <c r="BH24" i="188" s="1"/>
  <c r="BG16" i="188"/>
  <c r="BF16" i="188"/>
  <c r="BE16" i="188"/>
  <c r="BE24" i="188" s="1"/>
  <c r="BD16" i="188"/>
  <c r="BC16" i="188"/>
  <c r="BB16" i="188"/>
  <c r="BA16" i="188"/>
  <c r="AZ16" i="188"/>
  <c r="AY16" i="188"/>
  <c r="AK16" i="188"/>
  <c r="AJ16" i="188"/>
  <c r="AI16" i="188"/>
  <c r="AH16" i="188"/>
  <c r="AG16" i="188"/>
  <c r="AF16" i="188"/>
  <c r="Y16" i="188"/>
  <c r="Y24" i="188" s="1"/>
  <c r="K16" i="188"/>
  <c r="EK15" i="188"/>
  <c r="EJ15" i="188"/>
  <c r="EI15" i="188"/>
  <c r="EH15" i="188"/>
  <c r="EG15" i="188"/>
  <c r="EF15" i="188"/>
  <c r="EE15" i="188"/>
  <c r="EE24" i="188" s="1"/>
  <c r="ED15" i="188"/>
  <c r="EC15" i="188"/>
  <c r="EB15" i="188"/>
  <c r="EA15" i="188"/>
  <c r="DZ15" i="188"/>
  <c r="DY15" i="188"/>
  <c r="DK15" i="188"/>
  <c r="DJ15" i="188"/>
  <c r="DJ24" i="188" s="1"/>
  <c r="DI15" i="188"/>
  <c r="DH15" i="188"/>
  <c r="DG15" i="188"/>
  <c r="DG24" i="188" s="1"/>
  <c r="DF15" i="188"/>
  <c r="DE15" i="188"/>
  <c r="DD15" i="188"/>
  <c r="DC15" i="188"/>
  <c r="DB15" i="188"/>
  <c r="DA15" i="188"/>
  <c r="CZ15" i="188"/>
  <c r="CY15" i="188"/>
  <c r="CY24" i="188" s="1"/>
  <c r="CK15" i="188"/>
  <c r="CJ15" i="188"/>
  <c r="CJ24" i="188" s="1"/>
  <c r="CI15" i="188"/>
  <c r="CH15" i="188"/>
  <c r="CG15" i="188"/>
  <c r="CG24" i="188" s="1"/>
  <c r="CF15" i="188"/>
  <c r="CE15" i="188"/>
  <c r="CD15" i="188"/>
  <c r="CC15" i="188"/>
  <c r="CB15" i="188"/>
  <c r="CA15" i="188"/>
  <c r="BZ15" i="188"/>
  <c r="BY15" i="188"/>
  <c r="BY24" i="188" s="1"/>
  <c r="BK15" i="188"/>
  <c r="BJ15" i="188"/>
  <c r="BI15" i="188"/>
  <c r="BI24" i="188" s="1"/>
  <c r="BH15" i="188"/>
  <c r="BG15" i="188"/>
  <c r="BF15" i="188"/>
  <c r="BE15" i="188"/>
  <c r="BD15" i="188"/>
  <c r="BD24" i="188" s="1"/>
  <c r="BC15" i="188"/>
  <c r="BB15" i="188"/>
  <c r="BA15" i="188"/>
  <c r="AZ15" i="188"/>
  <c r="AY15" i="188"/>
  <c r="AK15" i="188"/>
  <c r="AJ15" i="188"/>
  <c r="AI15" i="188"/>
  <c r="AI24" i="188" s="1"/>
  <c r="AH15" i="188"/>
  <c r="AG15" i="188"/>
  <c r="AF15" i="188"/>
  <c r="Y15" i="188"/>
  <c r="DP14" i="188"/>
  <c r="DO14" i="188"/>
  <c r="DN14" i="188"/>
  <c r="DM14" i="188"/>
  <c r="CP14" i="188"/>
  <c r="CO14" i="188"/>
  <c r="CN14" i="188"/>
  <c r="CM14" i="188"/>
  <c r="BP14" i="188"/>
  <c r="BO14" i="188"/>
  <c r="BN14" i="188"/>
  <c r="BM14" i="188"/>
  <c r="AX14" i="188"/>
  <c r="AW14" i="188"/>
  <c r="AV14" i="188"/>
  <c r="AU14" i="188"/>
  <c r="AT14" i="188"/>
  <c r="AS14" i="188"/>
  <c r="AR14" i="188"/>
  <c r="AQ14" i="188"/>
  <c r="AP14" i="188"/>
  <c r="AO14" i="188"/>
  <c r="AN14" i="188"/>
  <c r="AM14" i="188"/>
  <c r="X14" i="188"/>
  <c r="W14" i="188"/>
  <c r="V14" i="188"/>
  <c r="U14" i="188"/>
  <c r="U130" i="188" s="1"/>
  <c r="T14" i="188"/>
  <c r="S14" i="188"/>
  <c r="R14" i="188"/>
  <c r="Q14" i="188"/>
  <c r="P14" i="188"/>
  <c r="O14" i="188"/>
  <c r="N14" i="188"/>
  <c r="M14" i="188"/>
  <c r="M130" i="188" s="1"/>
  <c r="DY13" i="188"/>
  <c r="CY13" i="188"/>
  <c r="BY13" i="188"/>
  <c r="AY13" i="188"/>
  <c r="AJ13" i="188"/>
  <c r="AI13" i="188"/>
  <c r="AH13" i="188"/>
  <c r="AG13" i="188"/>
  <c r="AF13" i="188"/>
  <c r="AE13" i="188"/>
  <c r="AD13" i="188"/>
  <c r="AC13" i="188"/>
  <c r="AB13" i="188"/>
  <c r="AA13" i="188"/>
  <c r="Z13" i="188"/>
  <c r="Y13" i="188"/>
  <c r="Y14" i="188" s="1"/>
  <c r="H13" i="188"/>
  <c r="BI13" i="188"/>
  <c r="DX12" i="188"/>
  <c r="DW12" i="188"/>
  <c r="DW14" i="188" s="1"/>
  <c r="DV12" i="188"/>
  <c r="DV14" i="188" s="1"/>
  <c r="DU12" i="188"/>
  <c r="DU14" i="188"/>
  <c r="DT12" i="188"/>
  <c r="DT14" i="188"/>
  <c r="DS12" i="188"/>
  <c r="DS14" i="188" s="1"/>
  <c r="DR12" i="188"/>
  <c r="DR14" i="188" s="1"/>
  <c r="DQ12" i="188"/>
  <c r="DQ14" i="188"/>
  <c r="CX12" i="188"/>
  <c r="CX14" i="188"/>
  <c r="CW12" i="188"/>
  <c r="CW14" i="188" s="1"/>
  <c r="CV12" i="188"/>
  <c r="CV14" i="188" s="1"/>
  <c r="CU12" i="188"/>
  <c r="CU14" i="188" s="1"/>
  <c r="CT12" i="188"/>
  <c r="CT14" i="188"/>
  <c r="CS12" i="188"/>
  <c r="CS14" i="188" s="1"/>
  <c r="CR12" i="188"/>
  <c r="CR14" i="188" s="1"/>
  <c r="CQ12" i="188"/>
  <c r="CQ14" i="188"/>
  <c r="BX12" i="188"/>
  <c r="BX14" i="188" s="1"/>
  <c r="BW12" i="188"/>
  <c r="BW14" i="188" s="1"/>
  <c r="BV12" i="188"/>
  <c r="BU12" i="188"/>
  <c r="BU14" i="188"/>
  <c r="BT12" i="188"/>
  <c r="BT14" i="188"/>
  <c r="BS12" i="188"/>
  <c r="BR12" i="188"/>
  <c r="BQ12" i="188"/>
  <c r="BQ14" i="188" s="1"/>
  <c r="AY12" i="188"/>
  <c r="AY14" i="188" s="1"/>
  <c r="AJ12" i="188"/>
  <c r="AI12" i="188"/>
  <c r="AH12" i="188"/>
  <c r="AG12" i="188"/>
  <c r="AF12" i="188"/>
  <c r="AF14" i="188" s="1"/>
  <c r="AE12" i="188"/>
  <c r="AD12" i="188"/>
  <c r="AC12" i="188"/>
  <c r="AB12" i="188"/>
  <c r="AA12" i="188"/>
  <c r="Z12" i="188"/>
  <c r="Y12" i="188"/>
  <c r="H12" i="188"/>
  <c r="EK11" i="188"/>
  <c r="EJ11" i="188"/>
  <c r="EI11" i="188"/>
  <c r="EH11" i="188"/>
  <c r="EG11" i="188"/>
  <c r="EF11" i="188"/>
  <c r="EE11" i="188"/>
  <c r="ED11" i="188"/>
  <c r="EC11" i="188"/>
  <c r="EB11" i="188"/>
  <c r="EA11" i="188"/>
  <c r="DZ11" i="188"/>
  <c r="DY11" i="188"/>
  <c r="DK11" i="188"/>
  <c r="DJ11" i="188"/>
  <c r="DI11" i="188"/>
  <c r="DH11" i="188"/>
  <c r="DG11" i="188"/>
  <c r="DF11" i="188"/>
  <c r="DE11" i="188"/>
  <c r="DD11" i="188"/>
  <c r="DC11" i="188"/>
  <c r="DB11" i="188"/>
  <c r="DA11" i="188"/>
  <c r="CZ11" i="188"/>
  <c r="CY11" i="188"/>
  <c r="CK11" i="188"/>
  <c r="CJ11" i="188"/>
  <c r="CI11" i="188"/>
  <c r="CH11" i="188"/>
  <c r="CG11" i="188"/>
  <c r="CF11" i="188"/>
  <c r="CE11" i="188"/>
  <c r="CD11" i="188"/>
  <c r="CC11" i="188"/>
  <c r="CB11" i="188"/>
  <c r="CA11" i="188"/>
  <c r="BZ11" i="188"/>
  <c r="BY11" i="188"/>
  <c r="AY11" i="188"/>
  <c r="AD11" i="188"/>
  <c r="AC11" i="188"/>
  <c r="AB11" i="188"/>
  <c r="AA11" i="188"/>
  <c r="Z11" i="188"/>
  <c r="Y11" i="188"/>
  <c r="F11" i="188"/>
  <c r="EK10" i="188"/>
  <c r="EJ10" i="188"/>
  <c r="EI10" i="188"/>
  <c r="EH10" i="188"/>
  <c r="EG10" i="188"/>
  <c r="EF10" i="188"/>
  <c r="EE10" i="188"/>
  <c r="ED10" i="188"/>
  <c r="EC10" i="188"/>
  <c r="EB10" i="188"/>
  <c r="EA10" i="188"/>
  <c r="DZ10" i="188"/>
  <c r="EL10" i="188" s="1"/>
  <c r="DY10" i="188"/>
  <c r="DK10" i="188"/>
  <c r="DJ10" i="188"/>
  <c r="DI10" i="188"/>
  <c r="DH10" i="188"/>
  <c r="DG10" i="188"/>
  <c r="DF10" i="188"/>
  <c r="DE10" i="188"/>
  <c r="DD10" i="188"/>
  <c r="DC10" i="188"/>
  <c r="DB10" i="188"/>
  <c r="DA10" i="188"/>
  <c r="CZ10" i="188"/>
  <c r="CY10" i="188"/>
  <c r="CK10" i="188"/>
  <c r="CJ10" i="188"/>
  <c r="CI10" i="188"/>
  <c r="CH10" i="188"/>
  <c r="CG10" i="188"/>
  <c r="CF10" i="188"/>
  <c r="CE10" i="188"/>
  <c r="CD10" i="188"/>
  <c r="CC10" i="188"/>
  <c r="CB10" i="188"/>
  <c r="CA10" i="188"/>
  <c r="BZ10" i="188"/>
  <c r="BY10" i="188"/>
  <c r="AY10" i="188"/>
  <c r="AG10" i="188"/>
  <c r="AF10" i="188"/>
  <c r="AE10" i="188"/>
  <c r="AD10" i="188"/>
  <c r="AD14" i="188" s="1"/>
  <c r="Y10" i="188"/>
  <c r="G10" i="188"/>
  <c r="H10" i="188" s="1"/>
  <c r="EK9" i="188"/>
  <c r="EJ9" i="188"/>
  <c r="EI9" i="188"/>
  <c r="EH9" i="188"/>
  <c r="EG9" i="188"/>
  <c r="EF9" i="188"/>
  <c r="EL9" i="188" s="1"/>
  <c r="EE9" i="188"/>
  <c r="ED9" i="188"/>
  <c r="EC9" i="188"/>
  <c r="EB9" i="188"/>
  <c r="EA9" i="188"/>
  <c r="DZ9" i="188"/>
  <c r="DY9" i="188"/>
  <c r="DK9" i="188"/>
  <c r="DJ9" i="188"/>
  <c r="DI9" i="188"/>
  <c r="DH9" i="188"/>
  <c r="DG9" i="188"/>
  <c r="DF9" i="188"/>
  <c r="DE9" i="188"/>
  <c r="DD9" i="188"/>
  <c r="DC9" i="188"/>
  <c r="DL9" i="188" s="1"/>
  <c r="DB9" i="188"/>
  <c r="DA9" i="188"/>
  <c r="CZ9" i="188"/>
  <c r="CY9" i="188"/>
  <c r="CK9" i="188"/>
  <c r="CJ9" i="188"/>
  <c r="CI9" i="188"/>
  <c r="CH9" i="188"/>
  <c r="CG9" i="188"/>
  <c r="CF9" i="188"/>
  <c r="CE9" i="188"/>
  <c r="CD9" i="188"/>
  <c r="CC9" i="188"/>
  <c r="CB9" i="188"/>
  <c r="CA9" i="188"/>
  <c r="BZ9" i="188"/>
  <c r="CL9" i="188" s="1"/>
  <c r="BY9" i="188"/>
  <c r="AY9" i="188"/>
  <c r="AA9" i="188"/>
  <c r="Z9" i="188"/>
  <c r="Y9" i="188"/>
  <c r="E9" i="188"/>
  <c r="AB9" i="188" s="1"/>
  <c r="EK8" i="188"/>
  <c r="EJ8" i="188"/>
  <c r="EI8" i="188"/>
  <c r="EH8" i="188"/>
  <c r="EG8" i="188"/>
  <c r="EF8" i="188"/>
  <c r="EE8" i="188"/>
  <c r="ED8" i="188"/>
  <c r="EC8" i="188"/>
  <c r="EB8" i="188"/>
  <c r="EL8" i="188" s="1"/>
  <c r="EA8" i="188"/>
  <c r="DZ8" i="188"/>
  <c r="DY8" i="188"/>
  <c r="DK8" i="188"/>
  <c r="DJ8" i="188"/>
  <c r="DI8" i="188"/>
  <c r="DH8" i="188"/>
  <c r="DG8" i="188"/>
  <c r="DF8" i="188"/>
  <c r="DE8" i="188"/>
  <c r="DD8" i="188"/>
  <c r="DC8" i="188"/>
  <c r="DB8" i="188"/>
  <c r="DA8" i="188"/>
  <c r="CZ8" i="188"/>
  <c r="CY8" i="188"/>
  <c r="CY14" i="188" s="1"/>
  <c r="CK8" i="188"/>
  <c r="CJ8" i="188"/>
  <c r="CI8" i="188"/>
  <c r="CH8" i="188"/>
  <c r="CG8" i="188"/>
  <c r="CF8" i="188"/>
  <c r="CE8" i="188"/>
  <c r="CD8" i="188"/>
  <c r="CC8" i="188"/>
  <c r="CB8" i="188"/>
  <c r="CA8" i="188"/>
  <c r="BZ8" i="188"/>
  <c r="BY8" i="188"/>
  <c r="AY8" i="188"/>
  <c r="AA8" i="188"/>
  <c r="Z8" i="188"/>
  <c r="Z14" i="188" s="1"/>
  <c r="Y8" i="188"/>
  <c r="E8" i="188"/>
  <c r="AD8" i="188" s="1"/>
  <c r="EK7" i="188"/>
  <c r="EJ7" i="188"/>
  <c r="EI7" i="188"/>
  <c r="EH7" i="188"/>
  <c r="EG7" i="188"/>
  <c r="EF7" i="188"/>
  <c r="EL7" i="188" s="1"/>
  <c r="EE7" i="188"/>
  <c r="ED7" i="188"/>
  <c r="EC7" i="188"/>
  <c r="EB7" i="188"/>
  <c r="EA7" i="188"/>
  <c r="DZ7" i="188"/>
  <c r="DY7" i="188"/>
  <c r="DK7" i="188"/>
  <c r="DJ7" i="188"/>
  <c r="DI7" i="188"/>
  <c r="DH7" i="188"/>
  <c r="DG7" i="188"/>
  <c r="DF7" i="188"/>
  <c r="DE7" i="188"/>
  <c r="DD7" i="188"/>
  <c r="DC7" i="188"/>
  <c r="DB7" i="188"/>
  <c r="CZ7" i="188"/>
  <c r="CY7" i="188"/>
  <c r="CK7" i="188"/>
  <c r="CJ7" i="188"/>
  <c r="CI7" i="188"/>
  <c r="CH7" i="188"/>
  <c r="CG7" i="188"/>
  <c r="CL7" i="188" s="1"/>
  <c r="CF7" i="188"/>
  <c r="CE7" i="188"/>
  <c r="CD7" i="188"/>
  <c r="CC7" i="188"/>
  <c r="CB7" i="188"/>
  <c r="CA7" i="188"/>
  <c r="BZ7" i="188"/>
  <c r="BY7" i="188"/>
  <c r="AY7" i="188"/>
  <c r="AK7" i="188"/>
  <c r="AJ7" i="188"/>
  <c r="AI7" i="188"/>
  <c r="AH7" i="188"/>
  <c r="AG7" i="188"/>
  <c r="AF7" i="188"/>
  <c r="AE7" i="188"/>
  <c r="AL7" i="188" s="1"/>
  <c r="AD7" i="188"/>
  <c r="AC7" i="188"/>
  <c r="AB7" i="188"/>
  <c r="AA7" i="188"/>
  <c r="Z7" i="188"/>
  <c r="Y7" i="188"/>
  <c r="H7" i="188"/>
  <c r="EK6" i="188"/>
  <c r="EJ6" i="188"/>
  <c r="EI6" i="188"/>
  <c r="EH6" i="188"/>
  <c r="EG6" i="188"/>
  <c r="EF6" i="188"/>
  <c r="EE6" i="188"/>
  <c r="ED6" i="188"/>
  <c r="EC6" i="188"/>
  <c r="EL6" i="188" s="1"/>
  <c r="EB6" i="188"/>
  <c r="EA6" i="188"/>
  <c r="DZ6" i="188"/>
  <c r="DY6" i="188"/>
  <c r="DK6" i="188"/>
  <c r="DJ6" i="188"/>
  <c r="DI6" i="188"/>
  <c r="DH6" i="188"/>
  <c r="DG6" i="188"/>
  <c r="DF6" i="188"/>
  <c r="DE6" i="188"/>
  <c r="DD6" i="188"/>
  <c r="DC6" i="188"/>
  <c r="DB6" i="188"/>
  <c r="DA6" i="188"/>
  <c r="CZ6" i="188"/>
  <c r="CY6" i="188"/>
  <c r="CK6" i="188"/>
  <c r="CJ6" i="188"/>
  <c r="CI6" i="188"/>
  <c r="CH6" i="188"/>
  <c r="CG6" i="188"/>
  <c r="CF6" i="188"/>
  <c r="CE6" i="188"/>
  <c r="CL6" i="188" s="1"/>
  <c r="CD6" i="188"/>
  <c r="CC6" i="188"/>
  <c r="CB6" i="188"/>
  <c r="CA6" i="188"/>
  <c r="BZ6" i="188"/>
  <c r="BY6" i="188"/>
  <c r="AY6" i="188"/>
  <c r="AK6" i="188"/>
  <c r="AJ6" i="188"/>
  <c r="AI6" i="188"/>
  <c r="AH6" i="188"/>
  <c r="AG6" i="188"/>
  <c r="AF6" i="188"/>
  <c r="AE6" i="188"/>
  <c r="AD6" i="188"/>
  <c r="AC6" i="188"/>
  <c r="AB6" i="188"/>
  <c r="AA6" i="188"/>
  <c r="Z6" i="188"/>
  <c r="Y6" i="188"/>
  <c r="H6" i="188"/>
  <c r="BH6" i="188" s="1"/>
  <c r="BF6" i="188"/>
  <c r="DX5" i="188"/>
  <c r="DW5" i="188"/>
  <c r="DV5" i="188"/>
  <c r="DU5" i="188"/>
  <c r="DT5" i="188"/>
  <c r="DS5" i="188"/>
  <c r="DR5" i="188"/>
  <c r="DQ5" i="188"/>
  <c r="DP5" i="188"/>
  <c r="DO5" i="188"/>
  <c r="DN5" i="188"/>
  <c r="DM5" i="188"/>
  <c r="CX5" i="188"/>
  <c r="CW5" i="188"/>
  <c r="CV5" i="188"/>
  <c r="CU5" i="188"/>
  <c r="CT5" i="188"/>
  <c r="CS5" i="188"/>
  <c r="CR5" i="188"/>
  <c r="CQ5" i="188"/>
  <c r="CP5" i="188"/>
  <c r="CO5" i="188"/>
  <c r="CN5" i="188"/>
  <c r="CM5" i="188"/>
  <c r="BX5" i="188"/>
  <c r="BW5" i="188"/>
  <c r="BV5" i="188"/>
  <c r="BU5" i="188"/>
  <c r="BT5" i="188"/>
  <c r="BS5" i="188"/>
  <c r="BR5" i="188"/>
  <c r="BQ5" i="188"/>
  <c r="BP5" i="188"/>
  <c r="BO5" i="188"/>
  <c r="BN5" i="188"/>
  <c r="BM5" i="188"/>
  <c r="AX5" i="188"/>
  <c r="AW5" i="188"/>
  <c r="AV5" i="188"/>
  <c r="AU5" i="188"/>
  <c r="AT5" i="188"/>
  <c r="AS5" i="188"/>
  <c r="AR5" i="188"/>
  <c r="AQ5" i="188"/>
  <c r="AP5" i="188"/>
  <c r="AO5" i="188"/>
  <c r="AN5" i="188"/>
  <c r="AM5" i="188"/>
  <c r="X5" i="188"/>
  <c r="W5" i="188"/>
  <c r="V5" i="188"/>
  <c r="U5" i="188"/>
  <c r="T5" i="188"/>
  <c r="S5" i="188"/>
  <c r="R5" i="188"/>
  <c r="Q5" i="188"/>
  <c r="P5" i="188"/>
  <c r="O5" i="188"/>
  <c r="O130" i="188" s="1"/>
  <c r="N5" i="188"/>
  <c r="M5" i="188"/>
  <c r="EK4" i="188"/>
  <c r="EJ4" i="188"/>
  <c r="EI4" i="188"/>
  <c r="EH4" i="188"/>
  <c r="EG4" i="188"/>
  <c r="EF4" i="188"/>
  <c r="EE4" i="188"/>
  <c r="ED4" i="188"/>
  <c r="EC4" i="188"/>
  <c r="EB4" i="188"/>
  <c r="EA4" i="188"/>
  <c r="DZ4" i="188"/>
  <c r="DY4" i="188"/>
  <c r="DK4" i="188"/>
  <c r="DK5" i="188" s="1"/>
  <c r="DJ4" i="188"/>
  <c r="DI4" i="188"/>
  <c r="DH4" i="188"/>
  <c r="DG4" i="188"/>
  <c r="DF4" i="188"/>
  <c r="DE4" i="188"/>
  <c r="DD4" i="188"/>
  <c r="DC4" i="188"/>
  <c r="DB4" i="188"/>
  <c r="DA4" i="188"/>
  <c r="CZ4" i="188"/>
  <c r="CY4" i="188"/>
  <c r="CK4" i="188"/>
  <c r="CJ4" i="188"/>
  <c r="CI4" i="188"/>
  <c r="CH4" i="188"/>
  <c r="CH5" i="188" s="1"/>
  <c r="CG4" i="188"/>
  <c r="CF4" i="188"/>
  <c r="CE4" i="188"/>
  <c r="CD4" i="188"/>
  <c r="CC4" i="188"/>
  <c r="CB4" i="188"/>
  <c r="CA4" i="188"/>
  <c r="BZ4" i="188"/>
  <c r="BY4" i="188"/>
  <c r="BK4" i="188"/>
  <c r="BJ4" i="188"/>
  <c r="BI4" i="188"/>
  <c r="BH4" i="188"/>
  <c r="BG4" i="188"/>
  <c r="BF4" i="188"/>
  <c r="BE4" i="188"/>
  <c r="BL4" i="188" s="1"/>
  <c r="BL5" i="188" s="1"/>
  <c r="BD4" i="188"/>
  <c r="BC4" i="188"/>
  <c r="BB4" i="188"/>
  <c r="BA4" i="188"/>
  <c r="AZ4" i="188"/>
  <c r="AY4" i="188"/>
  <c r="AK4" i="188"/>
  <c r="AJ4" i="188"/>
  <c r="AI4" i="188"/>
  <c r="AH4" i="188"/>
  <c r="AF4" i="188"/>
  <c r="AE4" i="188"/>
  <c r="AD4" i="188"/>
  <c r="AC4" i="188"/>
  <c r="AC5" i="188" s="1"/>
  <c r="AA4" i="188"/>
  <c r="Z4" i="188"/>
  <c r="Y4" i="188"/>
  <c r="EK3" i="188"/>
  <c r="EJ3" i="188"/>
  <c r="EI3" i="188"/>
  <c r="EH3" i="188"/>
  <c r="EG3" i="188"/>
  <c r="EF3" i="188"/>
  <c r="EE3" i="188"/>
  <c r="ED3" i="188"/>
  <c r="EC3" i="188"/>
  <c r="EB3" i="188"/>
  <c r="EA3" i="188"/>
  <c r="DZ3" i="188"/>
  <c r="DZ5" i="188" s="1"/>
  <c r="DY3" i="188"/>
  <c r="DK3" i="188"/>
  <c r="DJ3" i="188"/>
  <c r="DJ5" i="188" s="1"/>
  <c r="DI3" i="188"/>
  <c r="DH3" i="188"/>
  <c r="DG3" i="188"/>
  <c r="DF3" i="188"/>
  <c r="DE3" i="188"/>
  <c r="DD3" i="188"/>
  <c r="DC3" i="188"/>
  <c r="DB3" i="188"/>
  <c r="DA3" i="188"/>
  <c r="CZ3" i="188"/>
  <c r="CY3" i="188"/>
  <c r="CK3" i="188"/>
  <c r="CJ3" i="188"/>
  <c r="CI3" i="188"/>
  <c r="CI5" i="188" s="1"/>
  <c r="CH3" i="188"/>
  <c r="CG3" i="188"/>
  <c r="CF3" i="188"/>
  <c r="CE3" i="188"/>
  <c r="CD3" i="188"/>
  <c r="CC3" i="188"/>
  <c r="CB3" i="188"/>
  <c r="CA3" i="188"/>
  <c r="BZ3" i="188"/>
  <c r="BY3" i="188"/>
  <c r="BY5" i="188" s="1"/>
  <c r="AY3" i="188"/>
  <c r="AK3" i="188"/>
  <c r="AJ3" i="188"/>
  <c r="AI3" i="188"/>
  <c r="AH3" i="188"/>
  <c r="AG3" i="188"/>
  <c r="AG5" i="188" s="1"/>
  <c r="AF3" i="188"/>
  <c r="AE3" i="188"/>
  <c r="AD3" i="188"/>
  <c r="AC3" i="188"/>
  <c r="AB3" i="188"/>
  <c r="AB5" i="188" s="1"/>
  <c r="AA3" i="188"/>
  <c r="Z3" i="188"/>
  <c r="Y3" i="188"/>
  <c r="H3" i="188"/>
  <c r="Y76" i="188"/>
  <c r="Y97" i="188" s="1"/>
  <c r="AE80" i="188"/>
  <c r="Y81" i="188"/>
  <c r="AE81" i="188"/>
  <c r="AE82" i="188"/>
  <c r="Y75" i="188"/>
  <c r="AE75" i="188"/>
  <c r="C38" i="181"/>
  <c r="I31" i="180"/>
  <c r="J33" i="180"/>
  <c r="J36" i="180"/>
  <c r="J35" i="180"/>
  <c r="J34" i="180"/>
  <c r="K36" i="180"/>
  <c r="K35" i="180"/>
  <c r="K34" i="180"/>
  <c r="K33" i="180"/>
  <c r="K32" i="180"/>
  <c r="K31" i="180"/>
  <c r="B61" i="133"/>
  <c r="B57" i="133"/>
  <c r="H55" i="181"/>
  <c r="H53" i="181"/>
  <c r="H52" i="181"/>
  <c r="G57" i="181"/>
  <c r="E57" i="181"/>
  <c r="B50" i="181"/>
  <c r="L20" i="180"/>
  <c r="L19" i="180"/>
  <c r="L18" i="180"/>
  <c r="L17" i="180"/>
  <c r="L16" i="180"/>
  <c r="L15" i="180"/>
  <c r="L22" i="180" s="1"/>
  <c r="K22" i="180"/>
  <c r="M15" i="180"/>
  <c r="M16" i="180"/>
  <c r="M17" i="180"/>
  <c r="M18" i="180"/>
  <c r="M19" i="180"/>
  <c r="M20" i="180"/>
  <c r="M21" i="180"/>
  <c r="M22" i="180" s="1"/>
  <c r="T22" i="180"/>
  <c r="O22" i="180"/>
  <c r="P16" i="180"/>
  <c r="Q16" i="180" s="1"/>
  <c r="P17" i="180"/>
  <c r="Q17" i="180" s="1"/>
  <c r="P18" i="180"/>
  <c r="Q18" i="180"/>
  <c r="S18" i="180" s="1"/>
  <c r="P19" i="180"/>
  <c r="Q19" i="180"/>
  <c r="P20" i="180"/>
  <c r="Q20" i="180" s="1"/>
  <c r="S20" i="180"/>
  <c r="P21" i="180"/>
  <c r="Q21" i="180" s="1"/>
  <c r="R21" i="180" s="1"/>
  <c r="P15" i="180"/>
  <c r="Q15" i="180" s="1"/>
  <c r="E50" i="133"/>
  <c r="E49" i="133"/>
  <c r="E48" i="133"/>
  <c r="E45" i="133"/>
  <c r="I22" i="180"/>
  <c r="H22" i="180"/>
  <c r="N21" i="180"/>
  <c r="J21" i="180"/>
  <c r="N20" i="180"/>
  <c r="J20" i="180"/>
  <c r="N19" i="180"/>
  <c r="J19" i="180"/>
  <c r="N18" i="180"/>
  <c r="J18" i="180"/>
  <c r="N17" i="180"/>
  <c r="J17" i="180"/>
  <c r="N16" i="180"/>
  <c r="J16" i="180"/>
  <c r="J15" i="180"/>
  <c r="O11" i="180"/>
  <c r="N11" i="180"/>
  <c r="M11" i="180"/>
  <c r="L11" i="180"/>
  <c r="K11" i="180"/>
  <c r="J11" i="180"/>
  <c r="I11" i="180"/>
  <c r="H11" i="180"/>
  <c r="P10" i="180"/>
  <c r="Q10" i="180" s="1"/>
  <c r="P9" i="180"/>
  <c r="Q9" i="180" s="1"/>
  <c r="P8" i="180"/>
  <c r="Q8" i="180" s="1"/>
  <c r="P7" i="180"/>
  <c r="Q7" i="180"/>
  <c r="P6" i="180"/>
  <c r="P5" i="180"/>
  <c r="Q5" i="180" s="1"/>
  <c r="P4" i="180"/>
  <c r="Q4" i="180" s="1"/>
  <c r="C40" i="124"/>
  <c r="G89" i="110"/>
  <c r="E20" i="133"/>
  <c r="E62" i="133"/>
  <c r="E61" i="133"/>
  <c r="E59" i="133"/>
  <c r="E58" i="133"/>
  <c r="E57" i="133"/>
  <c r="F103" i="58"/>
  <c r="F98" i="58"/>
  <c r="R6" i="35"/>
  <c r="E24" i="133"/>
  <c r="E12" i="133"/>
  <c r="E8" i="133"/>
  <c r="H45" i="175"/>
  <c r="G45" i="175"/>
  <c r="F45" i="175"/>
  <c r="E45" i="175"/>
  <c r="N44" i="175"/>
  <c r="O44" i="175" s="1"/>
  <c r="O43" i="175"/>
  <c r="O42" i="175"/>
  <c r="O40" i="175"/>
  <c r="O39" i="175"/>
  <c r="O37" i="175"/>
  <c r="O36" i="175"/>
  <c r="O34" i="175"/>
  <c r="C33" i="175"/>
  <c r="C45" i="175" s="1"/>
  <c r="O33" i="175"/>
  <c r="O31" i="175"/>
  <c r="O30" i="175"/>
  <c r="O29" i="175"/>
  <c r="O28" i="175"/>
  <c r="O27" i="175"/>
  <c r="L26" i="175"/>
  <c r="L9" i="175" s="1"/>
  <c r="K26" i="175"/>
  <c r="K9" i="175" s="1"/>
  <c r="J26" i="175"/>
  <c r="J9" i="175" s="1"/>
  <c r="I26" i="175"/>
  <c r="I45" i="175"/>
  <c r="C26" i="175"/>
  <c r="H25" i="175"/>
  <c r="F25" i="175"/>
  <c r="F46" i="175" s="1"/>
  <c r="E25" i="175"/>
  <c r="G25" i="175"/>
  <c r="O24" i="175"/>
  <c r="I7" i="175"/>
  <c r="N7" i="175"/>
  <c r="N8" i="175" s="1"/>
  <c r="M7" i="175"/>
  <c r="D32" i="175"/>
  <c r="D45" i="175" s="1"/>
  <c r="L41" i="175"/>
  <c r="O21" i="175"/>
  <c r="O19" i="175"/>
  <c r="O18" i="175"/>
  <c r="K6" i="175"/>
  <c r="J6" i="175"/>
  <c r="I6" i="175"/>
  <c r="D25" i="175"/>
  <c r="C25" i="175"/>
  <c r="C46" i="175" s="1"/>
  <c r="C47" i="175" s="1"/>
  <c r="D16" i="175" s="1"/>
  <c r="O16" i="175"/>
  <c r="K10" i="175"/>
  <c r="I10" i="175"/>
  <c r="H10" i="175"/>
  <c r="G10" i="175"/>
  <c r="G11" i="175" s="1"/>
  <c r="F10" i="175"/>
  <c r="E10" i="175"/>
  <c r="D10" i="175"/>
  <c r="D11" i="175" s="1"/>
  <c r="C10" i="175"/>
  <c r="H9" i="175"/>
  <c r="H11" i="175" s="1"/>
  <c r="G9" i="175"/>
  <c r="F9" i="175"/>
  <c r="E9" i="175"/>
  <c r="E11" i="175" s="1"/>
  <c r="L7" i="175"/>
  <c r="K7" i="175"/>
  <c r="K8" i="175" s="1"/>
  <c r="J7" i="175"/>
  <c r="H7" i="175"/>
  <c r="G7" i="175"/>
  <c r="F7" i="175"/>
  <c r="E7" i="175"/>
  <c r="D7" i="175"/>
  <c r="C7" i="175"/>
  <c r="H6" i="175"/>
  <c r="G6" i="175"/>
  <c r="F6" i="175"/>
  <c r="E6" i="175"/>
  <c r="D6" i="175"/>
  <c r="C6" i="175"/>
  <c r="C5" i="175"/>
  <c r="O5" i="175" s="1"/>
  <c r="O20" i="175"/>
  <c r="O4" i="175"/>
  <c r="O35" i="175"/>
  <c r="N6" i="175"/>
  <c r="N25" i="175"/>
  <c r="M6" i="175"/>
  <c r="M25" i="175"/>
  <c r="O23" i="175"/>
  <c r="K25" i="175"/>
  <c r="M38" i="175"/>
  <c r="O22" i="175"/>
  <c r="J25" i="175"/>
  <c r="I25" i="175"/>
  <c r="J41" i="175"/>
  <c r="L6" i="175"/>
  <c r="L25" i="175"/>
  <c r="O17" i="175"/>
  <c r="C37" i="124"/>
  <c r="D42" i="124"/>
  <c r="E43" i="124"/>
  <c r="E40" i="124"/>
  <c r="E37" i="124"/>
  <c r="C43" i="124"/>
  <c r="D35" i="124"/>
  <c r="D37" i="124"/>
  <c r="D43" i="124"/>
  <c r="D31" i="124"/>
  <c r="D44" i="124" s="1"/>
  <c r="D40" i="124"/>
  <c r="D28" i="124"/>
  <c r="D41" i="124" s="1"/>
  <c r="D25" i="124"/>
  <c r="D38" i="124" s="1"/>
  <c r="P47" i="193"/>
  <c r="E17" i="119"/>
  <c r="G15" i="119"/>
  <c r="E15" i="119"/>
  <c r="H17" i="119"/>
  <c r="B17" i="119"/>
  <c r="D17" i="119"/>
  <c r="L15" i="119"/>
  <c r="F15" i="119"/>
  <c r="D15" i="119"/>
  <c r="J15" i="119"/>
  <c r="C17" i="119"/>
  <c r="K15" i="119"/>
  <c r="I15" i="119"/>
  <c r="M15" i="119"/>
  <c r="C15" i="119"/>
  <c r="B15" i="119"/>
  <c r="G17" i="119"/>
  <c r="F17" i="119"/>
  <c r="H15" i="119"/>
  <c r="C71" i="133"/>
  <c r="C74" i="133"/>
  <c r="C72" i="133"/>
  <c r="D23" i="119"/>
  <c r="M23" i="119"/>
  <c r="N9" i="119"/>
  <c r="D55" i="193"/>
  <c r="D64" i="193"/>
  <c r="D73" i="193"/>
  <c r="P43" i="193"/>
  <c r="D56" i="193"/>
  <c r="D65" i="193" s="1"/>
  <c r="D74" i="193" s="1"/>
  <c r="S24" i="193"/>
  <c r="P45" i="193"/>
  <c r="P48" i="193" s="1"/>
  <c r="S25" i="193"/>
  <c r="P46" i="193"/>
  <c r="I48" i="193"/>
  <c r="E48" i="193"/>
  <c r="F48" i="193"/>
  <c r="O48" i="193"/>
  <c r="L48" i="193"/>
  <c r="K48" i="193"/>
  <c r="G48" i="193"/>
  <c r="M48" i="193"/>
  <c r="S23" i="193"/>
  <c r="T23" i="193" s="1"/>
  <c r="H48" i="193"/>
  <c r="D54" i="193"/>
  <c r="D63" i="193" s="1"/>
  <c r="D48" i="193"/>
  <c r="P44" i="193"/>
  <c r="J48" i="193"/>
  <c r="N48" i="193"/>
  <c r="H46" i="133"/>
  <c r="G46" i="133"/>
  <c r="F46" i="133"/>
  <c r="F48" i="133"/>
  <c r="G48" i="133"/>
  <c r="P49" i="133"/>
  <c r="H49" i="133"/>
  <c r="O49" i="133"/>
  <c r="G49" i="133"/>
  <c r="N49" i="133"/>
  <c r="F49" i="133"/>
  <c r="M49" i="133"/>
  <c r="L49" i="133"/>
  <c r="J49" i="133"/>
  <c r="Q49" i="133"/>
  <c r="I49" i="133"/>
  <c r="K49" i="133"/>
  <c r="L50" i="133"/>
  <c r="K50" i="133"/>
  <c r="G50" i="133"/>
  <c r="J50" i="133"/>
  <c r="Q50" i="133"/>
  <c r="I50" i="133"/>
  <c r="P50" i="133"/>
  <c r="H50" i="133"/>
  <c r="O50" i="133"/>
  <c r="N50" i="133"/>
  <c r="F50" i="133"/>
  <c r="M50" i="133"/>
  <c r="F22" i="193"/>
  <c r="F53" i="193" s="1"/>
  <c r="F45" i="133"/>
  <c r="I61" i="133"/>
  <c r="K61" i="133"/>
  <c r="P61" i="133"/>
  <c r="N61" i="133"/>
  <c r="I62" i="133"/>
  <c r="M62" i="133"/>
  <c r="P62" i="133"/>
  <c r="H62" i="133"/>
  <c r="O62" i="133"/>
  <c r="G62" i="133"/>
  <c r="N62" i="133"/>
  <c r="F62" i="133"/>
  <c r="L62" i="133"/>
  <c r="K62" i="133"/>
  <c r="J62" i="133"/>
  <c r="Q62" i="133"/>
  <c r="U44" i="133"/>
  <c r="S44" i="133"/>
  <c r="AU44" i="133"/>
  <c r="AS44" i="133"/>
  <c r="AH44" i="133"/>
  <c r="AF44" i="133"/>
  <c r="AT44" i="133"/>
  <c r="AI44" i="133"/>
  <c r="S45" i="133"/>
  <c r="AS45" i="133"/>
  <c r="AF45" i="133"/>
  <c r="AT45" i="133"/>
  <c r="T45" i="133"/>
  <c r="AS61" i="133"/>
  <c r="AF61" i="133"/>
  <c r="AT46" i="133"/>
  <c r="AS46" i="133"/>
  <c r="AH46" i="133"/>
  <c r="AG46" i="133"/>
  <c r="AF46" i="133"/>
  <c r="U46" i="133"/>
  <c r="T46" i="133"/>
  <c r="AU46" i="133"/>
  <c r="S46" i="133"/>
  <c r="V46" i="133"/>
  <c r="AV46" i="133"/>
  <c r="U48" i="133"/>
  <c r="T48" i="133"/>
  <c r="AU48" i="133"/>
  <c r="S48" i="133"/>
  <c r="AT48" i="133"/>
  <c r="AH48" i="133"/>
  <c r="AS48" i="133"/>
  <c r="AG48" i="133"/>
  <c r="AF48" i="133"/>
  <c r="AI48" i="133"/>
  <c r="V48" i="133"/>
  <c r="T49" i="133"/>
  <c r="AU49" i="133"/>
  <c r="S49" i="133"/>
  <c r="AT49" i="133"/>
  <c r="AH49" i="133"/>
  <c r="AS49" i="133"/>
  <c r="AG49" i="133"/>
  <c r="AF49" i="133"/>
  <c r="U49" i="133"/>
  <c r="AI49" i="133"/>
  <c r="BC114" i="133"/>
  <c r="BC116" i="133" s="1"/>
  <c r="AU114" i="133"/>
  <c r="AU116" i="133" s="1"/>
  <c r="AP114" i="133"/>
  <c r="AH114" i="133"/>
  <c r="Z114" i="133"/>
  <c r="I118" i="133"/>
  <c r="BB114" i="133"/>
  <c r="AT114" i="133"/>
  <c r="AO114" i="133"/>
  <c r="AO116" i="133" s="1"/>
  <c r="AG114" i="133"/>
  <c r="AG116" i="133" s="1"/>
  <c r="Y114" i="133"/>
  <c r="BA114" i="133"/>
  <c r="BA116" i="133" s="1"/>
  <c r="AS114" i="133"/>
  <c r="AS116" i="133" s="1"/>
  <c r="AN114" i="133"/>
  <c r="AN116" i="133" s="1"/>
  <c r="AF114" i="133"/>
  <c r="X114" i="133"/>
  <c r="AZ114" i="133"/>
  <c r="AZ116" i="133" s="1"/>
  <c r="AM114" i="133"/>
  <c r="W114" i="133"/>
  <c r="AY114" i="133"/>
  <c r="AL114" i="133"/>
  <c r="AD114" i="133"/>
  <c r="V114" i="133"/>
  <c r="V116" i="133" s="1"/>
  <c r="M118" i="133"/>
  <c r="AX114" i="133"/>
  <c r="AK114" i="133"/>
  <c r="AK116" i="133" s="1"/>
  <c r="AK118" i="133" s="1"/>
  <c r="AC114" i="133"/>
  <c r="AC116" i="133" s="1"/>
  <c r="U114" i="133"/>
  <c r="U116" i="133" s="1"/>
  <c r="AW114" i="133"/>
  <c r="AJ114" i="133"/>
  <c r="AB114" i="133"/>
  <c r="T114" i="133"/>
  <c r="BD114" i="133"/>
  <c r="BD116" i="133" s="1"/>
  <c r="AV114" i="133"/>
  <c r="AV116" i="133" s="1"/>
  <c r="AQ114" i="133"/>
  <c r="AI114" i="133"/>
  <c r="AA114" i="133"/>
  <c r="AA116" i="133" s="1"/>
  <c r="S114" i="133"/>
  <c r="S50" i="133"/>
  <c r="I37" i="124"/>
  <c r="Q37" i="124"/>
  <c r="J37" i="124"/>
  <c r="K37" i="124"/>
  <c r="L37" i="124"/>
  <c r="M37" i="124"/>
  <c r="N37" i="124"/>
  <c r="F37" i="124"/>
  <c r="G37" i="124"/>
  <c r="O37" i="124"/>
  <c r="H37" i="124"/>
  <c r="P37" i="124"/>
  <c r="AA301" i="110"/>
  <c r="AD301" i="110" s="1"/>
  <c r="AA300" i="110"/>
  <c r="AD300" i="110" s="1"/>
  <c r="E8" i="175"/>
  <c r="H64" i="192"/>
  <c r="CF59" i="188"/>
  <c r="I79" i="188"/>
  <c r="CD79" i="188" s="1"/>
  <c r="S127" i="188"/>
  <c r="BA72" i="188"/>
  <c r="BK82" i="188"/>
  <c r="I81" i="188"/>
  <c r="CK81" i="188" s="1"/>
  <c r="BD39" i="188"/>
  <c r="E36" i="124"/>
  <c r="BJ72" i="188"/>
  <c r="BJ39" i="188"/>
  <c r="BG13" i="188"/>
  <c r="BD38" i="188"/>
  <c r="BG39" i="188"/>
  <c r="BG109" i="188"/>
  <c r="BH82" i="188"/>
  <c r="BA109" i="188"/>
  <c r="BL109" i="188" s="1"/>
  <c r="H65" i="192"/>
  <c r="CA119" i="188"/>
  <c r="BD36" i="188"/>
  <c r="CD59" i="188"/>
  <c r="AD116" i="188"/>
  <c r="AW127" i="188"/>
  <c r="BE114" i="188"/>
  <c r="BA113" i="188"/>
  <c r="BC114" i="188"/>
  <c r="BB99" i="188"/>
  <c r="BG32" i="188"/>
  <c r="BB32" i="188"/>
  <c r="CC119" i="188"/>
  <c r="BE72" i="188"/>
  <c r="CB25" i="188"/>
  <c r="BI38" i="188"/>
  <c r="BJ110" i="188"/>
  <c r="BF33" i="188"/>
  <c r="BE82" i="188"/>
  <c r="BB109" i="188"/>
  <c r="BB72" i="188"/>
  <c r="Y80" i="188"/>
  <c r="BK39" i="188"/>
  <c r="BG82" i="188"/>
  <c r="BJ82" i="188"/>
  <c r="BD13" i="188"/>
  <c r="BJ109" i="188"/>
  <c r="BC72" i="188"/>
  <c r="BD115" i="188"/>
  <c r="BD110" i="188"/>
  <c r="CE119" i="188"/>
  <c r="I82" i="188"/>
  <c r="BF72" i="188"/>
  <c r="BF38" i="188"/>
  <c r="BI39" i="188"/>
  <c r="BG72" i="188"/>
  <c r="Q97" i="188"/>
  <c r="BJ54" i="188"/>
  <c r="BF32" i="188"/>
  <c r="F25" i="192"/>
  <c r="F99" i="192" s="1"/>
  <c r="E46" i="175"/>
  <c r="BJ31" i="188"/>
  <c r="AE116" i="188"/>
  <c r="I113" i="188"/>
  <c r="CA113" i="188"/>
  <c r="G64" i="192"/>
  <c r="BI81" i="188"/>
  <c r="BG55" i="188"/>
  <c r="BG114" i="188"/>
  <c r="BB114" i="188"/>
  <c r="BA81" i="188"/>
  <c r="CB120" i="188"/>
  <c r="BI79" i="188"/>
  <c r="AZ81" i="188"/>
  <c r="BF114" i="188"/>
  <c r="I5" i="192"/>
  <c r="BC78" i="188"/>
  <c r="BE81" i="188"/>
  <c r="BH114" i="188"/>
  <c r="BF81" i="188"/>
  <c r="AR127" i="188"/>
  <c r="I114" i="188"/>
  <c r="AM29" i="188"/>
  <c r="AZ66" i="188"/>
  <c r="BJ114" i="188"/>
  <c r="BA114" i="188"/>
  <c r="CD120" i="188"/>
  <c r="BF75" i="188"/>
  <c r="BJ32" i="188"/>
  <c r="BC33" i="188"/>
  <c r="BE40" i="188"/>
  <c r="CG119" i="188"/>
  <c r="I64" i="192"/>
  <c r="AC116" i="188"/>
  <c r="AZ28" i="188"/>
  <c r="BK114" i="188"/>
  <c r="BI114" i="188"/>
  <c r="BD107" i="188"/>
  <c r="BD79" i="188"/>
  <c r="BH79" i="188"/>
  <c r="E39" i="124"/>
  <c r="BC103" i="188"/>
  <c r="AZ37" i="188"/>
  <c r="BE37" i="188"/>
  <c r="BA62" i="188"/>
  <c r="CB116" i="188"/>
  <c r="L98" i="193"/>
  <c r="BZ66" i="188"/>
  <c r="CK120" i="188"/>
  <c r="M8" i="175"/>
  <c r="BF30" i="188"/>
  <c r="BD63" i="188"/>
  <c r="CA66" i="188"/>
  <c r="J66" i="188"/>
  <c r="DH66" i="188" s="1"/>
  <c r="CI66" i="188"/>
  <c r="CE66" i="188"/>
  <c r="CG66" i="188"/>
  <c r="Y105" i="188"/>
  <c r="G8" i="192"/>
  <c r="G13" i="192" s="1"/>
  <c r="BP28" i="188"/>
  <c r="BA36" i="188"/>
  <c r="I99" i="188"/>
  <c r="CG99" i="188" s="1"/>
  <c r="EK19" i="188"/>
  <c r="BA112" i="188"/>
  <c r="BA78" i="188"/>
  <c r="AZ65" i="188"/>
  <c r="CG117" i="188"/>
  <c r="DI127" i="188"/>
  <c r="BI76" i="188"/>
  <c r="BK99" i="188"/>
  <c r="BE98" i="188"/>
  <c r="BA33" i="188"/>
  <c r="BI40" i="188"/>
  <c r="BG41" i="188"/>
  <c r="BZ116" i="188"/>
  <c r="CJ119" i="188"/>
  <c r="CH120" i="188"/>
  <c r="I76" i="188"/>
  <c r="BZ76" i="188" s="1"/>
  <c r="EK17" i="188"/>
  <c r="I75" i="188"/>
  <c r="BZ75" i="188" s="1"/>
  <c r="BD31" i="188"/>
  <c r="BB33" i="188"/>
  <c r="CA116" i="188"/>
  <c r="CK119" i="188"/>
  <c r="F13" i="192"/>
  <c r="F98" i="192" s="1"/>
  <c r="BG36" i="188"/>
  <c r="G46" i="175"/>
  <c r="BK31" i="188"/>
  <c r="BI33" i="188"/>
  <c r="BJ49" i="188"/>
  <c r="BG80" i="188"/>
  <c r="BG92" i="188"/>
  <c r="CE117" i="188"/>
  <c r="CK110" i="188"/>
  <c r="J110" i="188"/>
  <c r="DJ110" i="188"/>
  <c r="CH110" i="188"/>
  <c r="CA110" i="188"/>
  <c r="CB110" i="188"/>
  <c r="CE110" i="188"/>
  <c r="CD110" i="188"/>
  <c r="CI110" i="188"/>
  <c r="CF110" i="188"/>
  <c r="BZ110" i="188"/>
  <c r="CC110" i="188"/>
  <c r="CG110" i="188"/>
  <c r="CJ110" i="188"/>
  <c r="G22" i="193"/>
  <c r="CY116" i="188"/>
  <c r="BC36" i="188"/>
  <c r="BC38" i="188"/>
  <c r="BG37" i="188"/>
  <c r="BY25" i="188"/>
  <c r="BB37" i="188"/>
  <c r="R17" i="180"/>
  <c r="D75" i="192" s="1"/>
  <c r="S17" i="180"/>
  <c r="I39" i="188"/>
  <c r="CE39" i="188" s="1"/>
  <c r="BH39" i="188"/>
  <c r="BB39" i="188"/>
  <c r="BF39" i="188"/>
  <c r="AZ39" i="188"/>
  <c r="BE39" i="188"/>
  <c r="BC39" i="188"/>
  <c r="BE66" i="188"/>
  <c r="BH72" i="188"/>
  <c r="BI72" i="188"/>
  <c r="BK72" i="188"/>
  <c r="BD72" i="188"/>
  <c r="I72" i="188"/>
  <c r="BH78" i="188"/>
  <c r="BJ78" i="188"/>
  <c r="BK78" i="188"/>
  <c r="DY101" i="188"/>
  <c r="P122" i="188"/>
  <c r="AD108" i="188"/>
  <c r="AC108" i="188"/>
  <c r="BG111" i="188"/>
  <c r="BH111" i="188"/>
  <c r="BK111" i="188"/>
  <c r="BG28" i="188"/>
  <c r="BB36" i="188"/>
  <c r="I38" i="188"/>
  <c r="CK38" i="188"/>
  <c r="AP29" i="188"/>
  <c r="BG76" i="188"/>
  <c r="BK36" i="188"/>
  <c r="E53" i="193"/>
  <c r="BG30" i="188"/>
  <c r="I33" i="188"/>
  <c r="CC33" i="188"/>
  <c r="BI65" i="188"/>
  <c r="BF115" i="188"/>
  <c r="BQ127" i="188"/>
  <c r="E71" i="193"/>
  <c r="CB119" i="188"/>
  <c r="BZ119" i="188"/>
  <c r="J119" i="188"/>
  <c r="DG119" i="188"/>
  <c r="CI119" i="188"/>
  <c r="H8" i="192"/>
  <c r="BK108" i="188"/>
  <c r="DJ125" i="188"/>
  <c r="F65" i="192"/>
  <c r="BI111" i="188"/>
  <c r="BG25" i="188"/>
  <c r="AT29" i="188"/>
  <c r="AZ36" i="188"/>
  <c r="BE36" i="188"/>
  <c r="BH37" i="188"/>
  <c r="BI37" i="188"/>
  <c r="BA37" i="188"/>
  <c r="BK37" i="188"/>
  <c r="BD37" i="188"/>
  <c r="BF37" i="188"/>
  <c r="BJ38" i="188"/>
  <c r="BH38" i="188"/>
  <c r="BE38" i="188"/>
  <c r="BG38" i="188"/>
  <c r="BB38" i="188"/>
  <c r="BA38" i="188"/>
  <c r="AZ38" i="188"/>
  <c r="BG40" i="188"/>
  <c r="BB75" i="188"/>
  <c r="BJ75" i="188"/>
  <c r="BF99" i="188"/>
  <c r="BG99" i="188"/>
  <c r="BC110" i="188"/>
  <c r="BA110" i="188"/>
  <c r="BG110" i="188"/>
  <c r="R46" i="192"/>
  <c r="G46" i="192"/>
  <c r="G29" i="192"/>
  <c r="T25" i="193"/>
  <c r="BC37" i="188"/>
  <c r="BD111" i="188"/>
  <c r="P140" i="188"/>
  <c r="I37" i="188"/>
  <c r="CL20" i="188"/>
  <c r="CD29" i="188"/>
  <c r="BK30" i="188"/>
  <c r="AL35" i="188"/>
  <c r="AZ40" i="188"/>
  <c r="AL44" i="188"/>
  <c r="AL73" i="188"/>
  <c r="AL100" i="188"/>
  <c r="BD62" i="188"/>
  <c r="BC65" i="188"/>
  <c r="BH66" i="188"/>
  <c r="BD80" i="188"/>
  <c r="BK92" i="188"/>
  <c r="DR122" i="188"/>
  <c r="E63" i="192"/>
  <c r="AK29" i="188"/>
  <c r="EI29" i="188"/>
  <c r="BE30" i="188"/>
  <c r="BD6" i="188"/>
  <c r="BG6" i="188"/>
  <c r="BC6" i="188"/>
  <c r="AZ6" i="188"/>
  <c r="BJ6" i="188"/>
  <c r="BA6" i="188"/>
  <c r="BB6" i="188"/>
  <c r="BR28" i="188"/>
  <c r="BE28" i="188"/>
  <c r="I41" i="188"/>
  <c r="AZ41" i="188"/>
  <c r="AZ42" i="188"/>
  <c r="BC42" i="188"/>
  <c r="BG100" i="188"/>
  <c r="BH100" i="188"/>
  <c r="DA47" i="188"/>
  <c r="BA51" i="188"/>
  <c r="I51" i="188"/>
  <c r="BF51" i="188"/>
  <c r="AZ51" i="188"/>
  <c r="CK57" i="188"/>
  <c r="BZ57" i="188"/>
  <c r="J59" i="188"/>
  <c r="DF59" i="188" s="1"/>
  <c r="CI59" i="188"/>
  <c r="CC59" i="188"/>
  <c r="CE59" i="188"/>
  <c r="I61" i="188"/>
  <c r="BK61" i="188"/>
  <c r="BA61" i="188"/>
  <c r="BF61" i="188"/>
  <c r="BI62" i="188"/>
  <c r="AC106" i="188"/>
  <c r="AL106" i="188" s="1"/>
  <c r="BM127" i="188"/>
  <c r="BJ69" i="188"/>
  <c r="BJ92" i="188"/>
  <c r="BD99" i="188"/>
  <c r="BK113" i="188"/>
  <c r="BJ99" i="188"/>
  <c r="BH99" i="188"/>
  <c r="AL45" i="188"/>
  <c r="CH119" i="188"/>
  <c r="AL120" i="188"/>
  <c r="DL121" i="188"/>
  <c r="AJ127" i="188"/>
  <c r="P141" i="188"/>
  <c r="BE69" i="188"/>
  <c r="O50" i="192"/>
  <c r="P50" i="192" s="1"/>
  <c r="BC24" i="188"/>
  <c r="BK24" i="188"/>
  <c r="CF24" i="188"/>
  <c r="DA24" i="188"/>
  <c r="DI24" i="188"/>
  <c r="AY24" i="188"/>
  <c r="CB24" i="188"/>
  <c r="BB31" i="188"/>
  <c r="BI32" i="188"/>
  <c r="BH33" i="188"/>
  <c r="CH34" i="188"/>
  <c r="CC35" i="188"/>
  <c r="BF40" i="188"/>
  <c r="AL85" i="188"/>
  <c r="BN127" i="188"/>
  <c r="BA69" i="188"/>
  <c r="BV127" i="188"/>
  <c r="AE128" i="188"/>
  <c r="AL128" i="188"/>
  <c r="AZ48" i="188"/>
  <c r="BF49" i="188"/>
  <c r="BG51" i="188"/>
  <c r="CC58" i="188"/>
  <c r="BG66" i="188"/>
  <c r="CC66" i="188"/>
  <c r="CK66" i="188"/>
  <c r="BX97" i="188"/>
  <c r="I20" i="192"/>
  <c r="I25" i="192" s="1"/>
  <c r="I99" i="192" s="1"/>
  <c r="E25" i="192"/>
  <c r="BK69" i="188"/>
  <c r="BF69" i="188"/>
  <c r="AZ114" i="188"/>
  <c r="BE99" i="188"/>
  <c r="Y106" i="188"/>
  <c r="CB5" i="188"/>
  <c r="DE5" i="188"/>
  <c r="BJ24" i="188"/>
  <c r="CZ24" i="188"/>
  <c r="AH29" i="188"/>
  <c r="BZ29" i="188"/>
  <c r="BE31" i="188"/>
  <c r="CF35" i="188"/>
  <c r="BA41" i="188"/>
  <c r="BF92" i="188"/>
  <c r="AZ61" i="188"/>
  <c r="BA99" i="188"/>
  <c r="T122" i="188"/>
  <c r="AD107" i="188"/>
  <c r="J20" i="192"/>
  <c r="J25" i="192"/>
  <c r="J99" i="192" s="1"/>
  <c r="I62" i="192"/>
  <c r="BC69" i="188"/>
  <c r="BI99" i="188"/>
  <c r="AZ99" i="188"/>
  <c r="AN97" i="188"/>
  <c r="BI92" i="188"/>
  <c r="CP127" i="188"/>
  <c r="AL129" i="188"/>
  <c r="R119" i="192"/>
  <c r="I48" i="188"/>
  <c r="CF48" i="188" s="1"/>
  <c r="I49" i="188"/>
  <c r="CG49" i="188" s="1"/>
  <c r="BB49" i="188"/>
  <c r="BG49" i="188"/>
  <c r="BB70" i="188"/>
  <c r="BC70" i="188"/>
  <c r="I70" i="188"/>
  <c r="CG70" i="188"/>
  <c r="CL70" i="188" s="1"/>
  <c r="BD70" i="188"/>
  <c r="BE70" i="188"/>
  <c r="BI70" i="188"/>
  <c r="AZ70" i="188"/>
  <c r="BJ70" i="188"/>
  <c r="BK70" i="188"/>
  <c r="BG70" i="188"/>
  <c r="BL73" i="188"/>
  <c r="BK54" i="188"/>
  <c r="C8" i="175"/>
  <c r="L8" i="175"/>
  <c r="F11" i="175"/>
  <c r="BO134" i="188"/>
  <c r="BO122" i="188"/>
  <c r="CY120" i="188"/>
  <c r="R18" i="180"/>
  <c r="D77" i="192" s="1"/>
  <c r="M77" i="192" s="1"/>
  <c r="BF70" i="188"/>
  <c r="AF11" i="188"/>
  <c r="BK26" i="188"/>
  <c r="AX29" i="188"/>
  <c r="BY26" i="188"/>
  <c r="CC26" i="188"/>
  <c r="DK26" i="188"/>
  <c r="DX26" i="188"/>
  <c r="BF54" i="188"/>
  <c r="BC54" i="188"/>
  <c r="I54" i="188"/>
  <c r="CJ54" i="188"/>
  <c r="BG54" i="188"/>
  <c r="BB54" i="188"/>
  <c r="AZ54" i="188"/>
  <c r="BD54" i="188"/>
  <c r="BH54" i="188"/>
  <c r="BE54" i="188"/>
  <c r="BE48" i="188"/>
  <c r="BI54" i="188"/>
  <c r="BH13" i="188"/>
  <c r="P22" i="180"/>
  <c r="BC80" i="188"/>
  <c r="BK80" i="188"/>
  <c r="I80" i="188"/>
  <c r="CH80" i="188" s="1"/>
  <c r="BI80" i="188"/>
  <c r="BA80" i="188"/>
  <c r="BH48" i="188"/>
  <c r="DB25" i="188"/>
  <c r="BK55" i="188"/>
  <c r="BC55" i="188"/>
  <c r="BI55" i="188"/>
  <c r="BD55" i="188"/>
  <c r="BH55" i="188"/>
  <c r="CG56" i="188"/>
  <c r="CA56" i="188"/>
  <c r="J56" i="188"/>
  <c r="CH58" i="188"/>
  <c r="BG63" i="188"/>
  <c r="BI63" i="188"/>
  <c r="BE63" i="188"/>
  <c r="BB79" i="188"/>
  <c r="AZ79" i="188"/>
  <c r="BK79" i="188"/>
  <c r="BF79" i="188"/>
  <c r="BE79" i="188"/>
  <c r="BC79" i="188"/>
  <c r="CG126" i="188"/>
  <c r="CG127" i="188" s="1"/>
  <c r="BT127" i="188"/>
  <c r="DK126" i="188"/>
  <c r="EG126" i="188"/>
  <c r="EG127" i="188" s="1"/>
  <c r="DT127" i="188"/>
  <c r="J9" i="192"/>
  <c r="I12" i="192"/>
  <c r="F90" i="192"/>
  <c r="N9" i="175"/>
  <c r="BH49" i="188"/>
  <c r="CH66" i="188"/>
  <c r="BA79" i="188"/>
  <c r="CK117" i="188"/>
  <c r="CC117" i="188"/>
  <c r="CD117" i="188"/>
  <c r="BZ118" i="188"/>
  <c r="J118" i="188"/>
  <c r="DH118" i="188" s="1"/>
  <c r="BG7" i="188"/>
  <c r="BF7" i="188"/>
  <c r="AH24" i="188"/>
  <c r="EA16" i="188"/>
  <c r="EC16" i="188"/>
  <c r="EI16" i="188"/>
  <c r="EB17" i="188"/>
  <c r="DZ17" i="188"/>
  <c r="ED19" i="188"/>
  <c r="EC19" i="188"/>
  <c r="EB19" i="188"/>
  <c r="EF19" i="188"/>
  <c r="EI19" i="188"/>
  <c r="EB20" i="188"/>
  <c r="BW27" i="188"/>
  <c r="BJ27" i="188"/>
  <c r="AZ33" i="188"/>
  <c r="BF45" i="188"/>
  <c r="DZ86" i="188"/>
  <c r="DY86" i="188"/>
  <c r="BQ141" i="188"/>
  <c r="BQ122" i="188"/>
  <c r="I109" i="188"/>
  <c r="BH109" i="188"/>
  <c r="BF109" i="188"/>
  <c r="AZ109" i="188"/>
  <c r="BE109" i="188"/>
  <c r="BI109" i="188"/>
  <c r="BD109" i="188"/>
  <c r="BK109" i="188"/>
  <c r="H20" i="192"/>
  <c r="H25" i="192" s="1"/>
  <c r="H99" i="192" s="1"/>
  <c r="DZ91" i="188"/>
  <c r="DU127" i="188"/>
  <c r="CV127" i="188"/>
  <c r="T149" i="188"/>
  <c r="AM122" i="188"/>
  <c r="BD30" i="188"/>
  <c r="BJ48" i="188"/>
  <c r="F62" i="192"/>
  <c r="AN127" i="188"/>
  <c r="DM127" i="188"/>
  <c r="BJ100" i="188"/>
  <c r="BC48" i="188"/>
  <c r="BK63" i="188"/>
  <c r="BB66" i="188"/>
  <c r="CF66" i="188"/>
  <c r="AB97" i="188"/>
  <c r="BY76" i="188"/>
  <c r="CY80" i="188"/>
  <c r="AL105" i="188"/>
  <c r="DY116" i="188"/>
  <c r="G62" i="192"/>
  <c r="F86" i="192"/>
  <c r="G20" i="192"/>
  <c r="DZ127" i="188"/>
  <c r="BI107" i="188"/>
  <c r="BA100" i="188"/>
  <c r="H46" i="175"/>
  <c r="BB24" i="188"/>
  <c r="DM122" i="188"/>
  <c r="DE127" i="188"/>
  <c r="AA5" i="188"/>
  <c r="AK5" i="188"/>
  <c r="DD5" i="188"/>
  <c r="EG5" i="188"/>
  <c r="BD49" i="188"/>
  <c r="AZ80" i="188"/>
  <c r="BH80" i="188"/>
  <c r="BI100" i="188"/>
  <c r="CI29" i="188"/>
  <c r="J45" i="175"/>
  <c r="J46" i="175" s="1"/>
  <c r="BB40" i="188"/>
  <c r="BB92" i="188"/>
  <c r="BR14" i="188"/>
  <c r="BD3" i="188"/>
  <c r="BD5" i="188" s="1"/>
  <c r="BH3" i="188"/>
  <c r="BH5" i="188"/>
  <c r="BG3" i="188"/>
  <c r="BG5" i="188"/>
  <c r="BF3" i="188"/>
  <c r="BF5" i="188"/>
  <c r="BA3" i="188"/>
  <c r="BA5" i="188" s="1"/>
  <c r="F9" i="188"/>
  <c r="K20" i="192"/>
  <c r="K25" i="192" s="1"/>
  <c r="K99" i="192" s="1"/>
  <c r="CY25" i="188"/>
  <c r="BD92" i="188"/>
  <c r="DD25" i="188"/>
  <c r="CQ29" i="188"/>
  <c r="DQ25" i="188"/>
  <c r="BZ47" i="188"/>
  <c r="BG62" i="188"/>
  <c r="BJ62" i="188"/>
  <c r="BH62" i="188"/>
  <c r="I62" i="188"/>
  <c r="BF62" i="188"/>
  <c r="I65" i="188"/>
  <c r="BA65" i="188"/>
  <c r="BH65" i="188"/>
  <c r="BG65" i="188"/>
  <c r="BE65" i="188"/>
  <c r="BE77" i="188"/>
  <c r="BK77" i="188"/>
  <c r="DB89" i="188"/>
  <c r="CY89" i="188"/>
  <c r="DQ136" i="188"/>
  <c r="DQ122" i="188"/>
  <c r="I104" i="188"/>
  <c r="CF104" i="188" s="1"/>
  <c r="BC104" i="188"/>
  <c r="BE104" i="188"/>
  <c r="BQ139" i="188"/>
  <c r="BW141" i="188"/>
  <c r="BW122" i="188"/>
  <c r="BP143" i="188"/>
  <c r="BY108" i="188"/>
  <c r="CW145" i="188"/>
  <c r="BB112" i="188"/>
  <c r="BK112" i="188"/>
  <c r="BI112" i="188"/>
  <c r="BD112" i="188"/>
  <c r="AZ112" i="188"/>
  <c r="CK116" i="188"/>
  <c r="CJ116" i="188"/>
  <c r="CD116" i="188"/>
  <c r="H89" i="192"/>
  <c r="EL11" i="188"/>
  <c r="CA24" i="188"/>
  <c r="EC85" i="188"/>
  <c r="CZ86" i="188"/>
  <c r="CZ91" i="188"/>
  <c r="BH98" i="188"/>
  <c r="BD98" i="188"/>
  <c r="BA98" i="188"/>
  <c r="BJ98" i="188"/>
  <c r="BK98" i="188"/>
  <c r="BG98" i="188"/>
  <c r="I98" i="188"/>
  <c r="AZ98" i="188"/>
  <c r="BV134" i="188"/>
  <c r="DU134" i="188"/>
  <c r="DU122" i="188"/>
  <c r="BS135" i="188"/>
  <c r="DR135" i="188"/>
  <c r="DY100" i="188"/>
  <c r="AD101" i="188"/>
  <c r="Q136" i="188"/>
  <c r="Q122" i="188"/>
  <c r="AM127" i="188"/>
  <c r="CZ124" i="188"/>
  <c r="EC124" i="188"/>
  <c r="EC127" i="188" s="1"/>
  <c r="DP127" i="188"/>
  <c r="CZ125" i="188"/>
  <c r="O38" i="175"/>
  <c r="M9" i="175"/>
  <c r="BK7" i="188"/>
  <c r="AZ7" i="188"/>
  <c r="BE7" i="188"/>
  <c r="BJ7" i="188"/>
  <c r="BD7" i="188"/>
  <c r="BH7" i="188"/>
  <c r="BB7" i="188"/>
  <c r="BA7" i="188"/>
  <c r="BC7" i="188"/>
  <c r="BA13" i="188"/>
  <c r="BJ13" i="188"/>
  <c r="AK13" i="188"/>
  <c r="BC13" i="188"/>
  <c r="BK13" i="188"/>
  <c r="BE13" i="188"/>
  <c r="BF13" i="188"/>
  <c r="EB16" i="188"/>
  <c r="EG16" i="188"/>
  <c r="EJ16" i="188"/>
  <c r="EH16" i="188"/>
  <c r="ED16" i="188"/>
  <c r="EF16" i="188"/>
  <c r="EE16" i="188"/>
  <c r="EK16" i="188"/>
  <c r="DZ16" i="188"/>
  <c r="BA26" i="188"/>
  <c r="BB28" i="188"/>
  <c r="BB29" i="188" s="1"/>
  <c r="AO29" i="188"/>
  <c r="BO28" i="188"/>
  <c r="X130" i="188"/>
  <c r="BA30" i="188"/>
  <c r="BI30" i="188"/>
  <c r="AY41" i="188"/>
  <c r="BF41" i="188"/>
  <c r="DG84" i="188"/>
  <c r="CY84" i="188"/>
  <c r="R97" i="188"/>
  <c r="Y92" i="188"/>
  <c r="CC118" i="188"/>
  <c r="CH118" i="188"/>
  <c r="CD118" i="188"/>
  <c r="CE118" i="188"/>
  <c r="CB118" i="188"/>
  <c r="CF118" i="188"/>
  <c r="BF123" i="188"/>
  <c r="AS127" i="188"/>
  <c r="AH5" i="188"/>
  <c r="CC5" i="188"/>
  <c r="AI5" i="188"/>
  <c r="AK24" i="188"/>
  <c r="BF24" i="188"/>
  <c r="CI24" i="188"/>
  <c r="DD24" i="188"/>
  <c r="DY24" i="188"/>
  <c r="CE24" i="188"/>
  <c r="DH24" i="188"/>
  <c r="CI118" i="188"/>
  <c r="DG5" i="188"/>
  <c r="AF5" i="188"/>
  <c r="CE5" i="188"/>
  <c r="BC61" i="188"/>
  <c r="DI5" i="188"/>
  <c r="BA32" i="188"/>
  <c r="BG24" i="188"/>
  <c r="AZ31" i="188"/>
  <c r="BI77" i="188"/>
  <c r="CG118" i="188"/>
  <c r="AA127" i="188"/>
  <c r="DO127" i="188"/>
  <c r="DW127" i="188"/>
  <c r="P111" i="193"/>
  <c r="AZ32" i="188"/>
  <c r="BE41" i="188"/>
  <c r="BD42" i="188"/>
  <c r="AL79" i="188"/>
  <c r="BB80" i="188"/>
  <c r="AL88" i="188"/>
  <c r="AL90" i="188"/>
  <c r="BC92" i="188"/>
  <c r="DL20" i="188"/>
  <c r="AL25" i="188"/>
  <c r="AY25" i="188"/>
  <c r="DI29" i="188"/>
  <c r="AZ49" i="188"/>
  <c r="BH50" i="188"/>
  <c r="BI51" i="188"/>
  <c r="CE56" i="188"/>
  <c r="CA57" i="188"/>
  <c r="CI57" i="188"/>
  <c r="BG61" i="188"/>
  <c r="BE62" i="188"/>
  <c r="BA66" i="188"/>
  <c r="BI66" i="188"/>
  <c r="BS97" i="188"/>
  <c r="AL87" i="188"/>
  <c r="CN122" i="188"/>
  <c r="CC116" i="188"/>
  <c r="CA117" i="188"/>
  <c r="CI117" i="188"/>
  <c r="DY117" i="188"/>
  <c r="AL118" i="188"/>
  <c r="CJ118" i="188"/>
  <c r="CL118" i="188" s="1"/>
  <c r="DY118" i="188"/>
  <c r="BY120" i="188"/>
  <c r="AL121" i="188"/>
  <c r="AD127" i="188"/>
  <c r="BA40" i="188"/>
  <c r="BF80" i="188"/>
  <c r="AY32" i="188"/>
  <c r="DY34" i="188"/>
  <c r="AL36" i="188"/>
  <c r="BJ41" i="188"/>
  <c r="BA42" i="188"/>
  <c r="BI42" i="188"/>
  <c r="BK49" i="188"/>
  <c r="AZ62" i="188"/>
  <c r="BD66" i="188"/>
  <c r="BG77" i="188"/>
  <c r="BL85" i="188"/>
  <c r="BL95" i="188"/>
  <c r="CL96" i="188"/>
  <c r="AL98" i="188"/>
  <c r="BY103" i="188"/>
  <c r="BY35" i="188"/>
  <c r="BY40" i="188"/>
  <c r="BT97" i="188"/>
  <c r="BL96" i="188"/>
  <c r="AL99" i="188"/>
  <c r="AL31" i="188"/>
  <c r="BF31" i="188"/>
  <c r="AL32" i="188"/>
  <c r="BD33" i="188"/>
  <c r="CD34" i="188"/>
  <c r="BY34" i="188"/>
  <c r="CH35" i="188"/>
  <c r="CD35" i="188"/>
  <c r="CK35" i="188"/>
  <c r="BZ35" i="188"/>
  <c r="J35" i="188"/>
  <c r="CA35" i="188"/>
  <c r="CI35" i="188"/>
  <c r="CL35" i="188" s="1"/>
  <c r="CG35" i="188"/>
  <c r="CJ44" i="188"/>
  <c r="DF44" i="188"/>
  <c r="CD45" i="188"/>
  <c r="CZ45" i="188"/>
  <c r="CY45" i="188"/>
  <c r="EC45" i="188"/>
  <c r="DF83" i="188"/>
  <c r="CY83" i="188"/>
  <c r="EB83" i="188"/>
  <c r="DY83" i="188"/>
  <c r="EC94" i="188"/>
  <c r="DY94" i="188"/>
  <c r="CG95" i="188"/>
  <c r="BY95" i="188"/>
  <c r="CS134" i="188"/>
  <c r="CS122" i="188"/>
  <c r="BD105" i="188"/>
  <c r="AZ105" i="188"/>
  <c r="BE105" i="188"/>
  <c r="BK105" i="188"/>
  <c r="BG105" i="188"/>
  <c r="I105" i="188"/>
  <c r="CE105" i="188" s="1"/>
  <c r="BH105" i="188"/>
  <c r="BA105" i="188"/>
  <c r="BI105" i="188"/>
  <c r="BB105" i="188"/>
  <c r="BC105" i="188"/>
  <c r="BJ105" i="188"/>
  <c r="R24" i="193"/>
  <c r="T24" i="193" s="1"/>
  <c r="P90" i="193"/>
  <c r="P91" i="193" s="1"/>
  <c r="DR26" i="188"/>
  <c r="CY12" i="188"/>
  <c r="G11" i="188"/>
  <c r="BD113" i="188"/>
  <c r="AQ29" i="188"/>
  <c r="CA34" i="188"/>
  <c r="BA76" i="188"/>
  <c r="BP97" i="188"/>
  <c r="BD75" i="188"/>
  <c r="BD60" i="188"/>
  <c r="BD76" i="188"/>
  <c r="BH60" i="188"/>
  <c r="BI78" i="188"/>
  <c r="I78" i="188"/>
  <c r="CH78" i="188" s="1"/>
  <c r="BG78" i="188"/>
  <c r="BF78" i="188"/>
  <c r="BE78" i="188"/>
  <c r="BD78" i="188"/>
  <c r="AZ78" i="188"/>
  <c r="BH81" i="188"/>
  <c r="BG81" i="188"/>
  <c r="BD81" i="188"/>
  <c r="BB81" i="188"/>
  <c r="BJ81" i="188"/>
  <c r="BK81" i="188"/>
  <c r="J10" i="175"/>
  <c r="J11" i="175"/>
  <c r="BD65" i="188"/>
  <c r="BC98" i="188"/>
  <c r="CA120" i="188"/>
  <c r="AY28" i="188"/>
  <c r="I31" i="188"/>
  <c r="CD31" i="188" s="1"/>
  <c r="BC31" i="188"/>
  <c r="BF50" i="188"/>
  <c r="BD61" i="188"/>
  <c r="AN122" i="188"/>
  <c r="AY98" i="188"/>
  <c r="AY122" i="188" s="1"/>
  <c r="AZ100" i="188"/>
  <c r="BE100" i="188"/>
  <c r="BC100" i="188"/>
  <c r="BD100" i="188"/>
  <c r="BF100" i="188"/>
  <c r="BK100" i="188"/>
  <c r="BB100" i="188"/>
  <c r="R149" i="188"/>
  <c r="Y114" i="188"/>
  <c r="AE114" i="188"/>
  <c r="BJ115" i="188"/>
  <c r="BK115" i="188"/>
  <c r="BG115" i="188"/>
  <c r="BH115" i="188"/>
  <c r="BL117" i="188"/>
  <c r="BY119" i="188"/>
  <c r="AT127" i="188"/>
  <c r="BG123" i="188"/>
  <c r="BG127" i="188" s="1"/>
  <c r="BA127" i="188"/>
  <c r="DC126" i="188"/>
  <c r="BZ34" i="188"/>
  <c r="J34" i="188"/>
  <c r="DC87" i="188"/>
  <c r="AC97" i="188"/>
  <c r="DS133" i="188"/>
  <c r="DS122" i="188"/>
  <c r="BC76" i="188"/>
  <c r="BJ60" i="188"/>
  <c r="AL77" i="188"/>
  <c r="AI29" i="188"/>
  <c r="BJ76" i="188"/>
  <c r="AL20" i="188"/>
  <c r="AF48" i="188"/>
  <c r="Y48" i="188"/>
  <c r="BA48" i="188"/>
  <c r="BE51" i="188"/>
  <c r="J57" i="188"/>
  <c r="DB57" i="188" s="1"/>
  <c r="CG57" i="188"/>
  <c r="CH59" i="188"/>
  <c r="CG59" i="188"/>
  <c r="CJ59" i="188"/>
  <c r="CK59" i="188"/>
  <c r="BZ59" i="188"/>
  <c r="BA82" i="188"/>
  <c r="BB82" i="188"/>
  <c r="BI82" i="188"/>
  <c r="BL82" i="188" s="1"/>
  <c r="BC82" i="188"/>
  <c r="AC113" i="188"/>
  <c r="AE113" i="188"/>
  <c r="AL113" i="188" s="1"/>
  <c r="AI114" i="188"/>
  <c r="V149" i="188"/>
  <c r="CE123" i="188"/>
  <c r="BR127" i="188"/>
  <c r="BK124" i="188"/>
  <c r="BK127" i="188" s="1"/>
  <c r="AX127" i="188"/>
  <c r="R24" i="192"/>
  <c r="I50" i="188"/>
  <c r="BE50" i="188"/>
  <c r="BA50" i="188"/>
  <c r="AZ60" i="188"/>
  <c r="BG60" i="188"/>
  <c r="BF60" i="188"/>
  <c r="BC60" i="188"/>
  <c r="BH75" i="188"/>
  <c r="AZ75" i="188"/>
  <c r="BC75" i="188"/>
  <c r="BG75" i="188"/>
  <c r="BA75" i="188"/>
  <c r="BI75" i="188"/>
  <c r="BK75" i="188"/>
  <c r="BL75" i="188" s="1"/>
  <c r="BF76" i="188"/>
  <c r="BB76" i="188"/>
  <c r="AZ76" i="188"/>
  <c r="BG113" i="188"/>
  <c r="BF113" i="188"/>
  <c r="AZ113" i="188"/>
  <c r="BC113" i="188"/>
  <c r="BB113" i="188"/>
  <c r="BL113" i="188" s="1"/>
  <c r="BJ113" i="188"/>
  <c r="CI120" i="188"/>
  <c r="CJ120" i="188"/>
  <c r="CF120" i="188"/>
  <c r="EL121" i="188"/>
  <c r="DD124" i="188"/>
  <c r="DD127" i="188"/>
  <c r="CQ127" i="188"/>
  <c r="CJ126" i="188"/>
  <c r="BW127" i="188"/>
  <c r="BL128" i="188"/>
  <c r="BY116" i="188"/>
  <c r="AZ13" i="188"/>
  <c r="BH30" i="188"/>
  <c r="BH76" i="188"/>
  <c r="BI60" i="188"/>
  <c r="CP122" i="188"/>
  <c r="BK25" i="188"/>
  <c r="BG50" i="188"/>
  <c r="BH113" i="188"/>
  <c r="AO97" i="188"/>
  <c r="AD102" i="188"/>
  <c r="F102" i="188"/>
  <c r="AE102" i="188"/>
  <c r="BG112" i="188"/>
  <c r="BF112" i="188"/>
  <c r="BJ112" i="188"/>
  <c r="I112" i="188"/>
  <c r="BH112" i="188"/>
  <c r="BE112" i="188"/>
  <c r="Y32" i="188"/>
  <c r="BE113" i="188"/>
  <c r="BV122" i="188"/>
  <c r="AP97" i="188"/>
  <c r="AL26" i="188"/>
  <c r="BT122" i="188"/>
  <c r="AZ50" i="188"/>
  <c r="CY111" i="188"/>
  <c r="BE76" i="188"/>
  <c r="BK60" i="188"/>
  <c r="F8" i="175"/>
  <c r="R136" i="188"/>
  <c r="R122" i="188"/>
  <c r="AE101" i="188"/>
  <c r="Y101" i="188"/>
  <c r="BB62" i="188"/>
  <c r="AL89" i="188"/>
  <c r="BL116" i="188"/>
  <c r="CB117" i="188"/>
  <c r="CJ117" i="188"/>
  <c r="CY118" i="188"/>
  <c r="CY119" i="188"/>
  <c r="CV122" i="188"/>
  <c r="BL121" i="188"/>
  <c r="BL126" i="188"/>
  <c r="BC50" i="188"/>
  <c r="BK50" i="188"/>
  <c r="BK51" i="188"/>
  <c r="CC57" i="188"/>
  <c r="BF65" i="188"/>
  <c r="BC66" i="188"/>
  <c r="BK66" i="188"/>
  <c r="AL112" i="188"/>
  <c r="AL115" i="188"/>
  <c r="AH127" i="188"/>
  <c r="BJ33" i="188"/>
  <c r="CE35" i="188"/>
  <c r="BD50" i="188"/>
  <c r="BD51" i="188"/>
  <c r="CD57" i="188"/>
  <c r="BB61" i="188"/>
  <c r="BJ61" i="188"/>
  <c r="BA63" i="188"/>
  <c r="DP97" i="188"/>
  <c r="CP97" i="188"/>
  <c r="CA5" i="188"/>
  <c r="DY5" i="188"/>
  <c r="BK33" i="188"/>
  <c r="CC34" i="188"/>
  <c r="CK34" i="188"/>
  <c r="BI41" i="188"/>
  <c r="BH42" i="188"/>
  <c r="BF48" i="188"/>
  <c r="Z127" i="188"/>
  <c r="CK5" i="188"/>
  <c r="DF5" i="188"/>
  <c r="EA5" i="188"/>
  <c r="DL11" i="188"/>
  <c r="CZ29" i="188"/>
  <c r="CL87" i="188"/>
  <c r="AL124" i="188"/>
  <c r="CO127" i="188"/>
  <c r="BB13" i="188"/>
  <c r="I13" i="188"/>
  <c r="CG13" i="188" s="1"/>
  <c r="EA17" i="188"/>
  <c r="EH17" i="188"/>
  <c r="EC17" i="188"/>
  <c r="ED17" i="188"/>
  <c r="EJ17" i="188"/>
  <c r="EF17" i="188"/>
  <c r="EG17" i="188"/>
  <c r="EG18" i="188"/>
  <c r="EC18" i="188"/>
  <c r="EE18" i="188"/>
  <c r="EB18" i="188"/>
  <c r="EH18" i="188"/>
  <c r="EJ18" i="188"/>
  <c r="EI18" i="188"/>
  <c r="DZ18" i="188"/>
  <c r="DZ19" i="188"/>
  <c r="EH19" i="188"/>
  <c r="ED20" i="188"/>
  <c r="EE20" i="188"/>
  <c r="EH20" i="188"/>
  <c r="Y22" i="188"/>
  <c r="R24" i="188"/>
  <c r="BE25" i="188"/>
  <c r="AR29" i="188"/>
  <c r="BJ28" i="188"/>
  <c r="BJ29" i="188" s="1"/>
  <c r="AW29" i="188"/>
  <c r="BW28" i="188"/>
  <c r="BF46" i="188"/>
  <c r="BC49" i="188"/>
  <c r="CJ56" i="188"/>
  <c r="CB56" i="188"/>
  <c r="J58" i="188"/>
  <c r="DE58" i="188" s="1"/>
  <c r="CJ58" i="188"/>
  <c r="BZ58" i="188"/>
  <c r="BF103" i="188"/>
  <c r="I103" i="188"/>
  <c r="J103" i="188" s="1"/>
  <c r="BI108" i="188"/>
  <c r="AZ108" i="188"/>
  <c r="BE108" i="188"/>
  <c r="BJ108" i="188"/>
  <c r="BD108" i="188"/>
  <c r="BF108" i="188"/>
  <c r="BH108" i="188"/>
  <c r="I108" i="188"/>
  <c r="BB108" i="188"/>
  <c r="BC111" i="188"/>
  <c r="I111" i="188"/>
  <c r="BF111" i="188"/>
  <c r="AZ111" i="188"/>
  <c r="BB111" i="188"/>
  <c r="BE111" i="188"/>
  <c r="BA111" i="188"/>
  <c r="BQ146" i="188"/>
  <c r="BY111" i="188"/>
  <c r="EG19" i="188"/>
  <c r="EA18" i="188"/>
  <c r="Y26" i="188"/>
  <c r="Y29" i="188" s="1"/>
  <c r="AS26" i="188"/>
  <c r="S29" i="188"/>
  <c r="AU29" i="188"/>
  <c r="AY27" i="188"/>
  <c r="DF94" i="188"/>
  <c r="CY100" i="188"/>
  <c r="CQ142" i="188"/>
  <c r="CQ122" i="188"/>
  <c r="EA19" i="188"/>
  <c r="F8" i="188"/>
  <c r="AG8" i="188" s="1"/>
  <c r="AB8" i="188"/>
  <c r="AH10" i="188"/>
  <c r="AJ10" i="188"/>
  <c r="AI10" i="188"/>
  <c r="DV134" i="188"/>
  <c r="DV122" i="188"/>
  <c r="ED124" i="188"/>
  <c r="DY124" i="188"/>
  <c r="DZ20" i="188"/>
  <c r="BO141" i="188"/>
  <c r="BY106" i="188"/>
  <c r="EK123" i="188"/>
  <c r="DX127" i="188"/>
  <c r="BB124" i="188"/>
  <c r="CF124" i="188"/>
  <c r="BY124" i="188"/>
  <c r="EE17" i="188"/>
  <c r="DA123" i="188"/>
  <c r="DH123" i="188"/>
  <c r="CU127" i="188"/>
  <c r="DX25" i="188"/>
  <c r="O26" i="175"/>
  <c r="C9" i="175"/>
  <c r="C11" i="175" s="1"/>
  <c r="DY126" i="188"/>
  <c r="EA126" i="188"/>
  <c r="J10" i="192"/>
  <c r="I65" i="192"/>
  <c r="BB41" i="188"/>
  <c r="BD41" i="188"/>
  <c r="BH41" i="188"/>
  <c r="I42" i="188"/>
  <c r="CK42" i="188" s="1"/>
  <c r="BJ42" i="188"/>
  <c r="BG42" i="188"/>
  <c r="AS122" i="188"/>
  <c r="BF98" i="188"/>
  <c r="BL98" i="188" s="1"/>
  <c r="CS136" i="188"/>
  <c r="CF116" i="188"/>
  <c r="J116" i="188"/>
  <c r="CE116" i="188"/>
  <c r="CI116" i="188"/>
  <c r="CG116" i="188"/>
  <c r="AF117" i="188"/>
  <c r="AD117" i="188"/>
  <c r="AC117" i="188"/>
  <c r="CK118" i="188"/>
  <c r="BY118" i="188"/>
  <c r="BC123" i="188"/>
  <c r="BC127" i="188" s="1"/>
  <c r="AP127" i="188"/>
  <c r="EA125" i="188"/>
  <c r="EI125" i="188"/>
  <c r="DV127" i="188"/>
  <c r="CC126" i="188"/>
  <c r="CC127" i="188" s="1"/>
  <c r="BP127" i="188"/>
  <c r="BY126" i="188"/>
  <c r="BU28" i="188"/>
  <c r="BH28" i="188"/>
  <c r="BC51" i="188"/>
  <c r="CG58" i="188"/>
  <c r="AS97" i="188"/>
  <c r="BF77" i="188"/>
  <c r="AI97" i="188"/>
  <c r="BY80" i="188"/>
  <c r="AL83" i="188"/>
  <c r="DF125" i="188"/>
  <c r="CT122" i="188"/>
  <c r="CR122" i="188"/>
  <c r="CF5" i="188"/>
  <c r="ED5" i="188"/>
  <c r="CR97" i="188"/>
  <c r="CE120" i="188"/>
  <c r="AA14" i="188"/>
  <c r="CL11" i="188"/>
  <c r="CY40" i="188"/>
  <c r="DY120" i="188"/>
  <c r="BI61" i="188"/>
  <c r="BJ80" i="188"/>
  <c r="CW97" i="188"/>
  <c r="CH116" i="188"/>
  <c r="AL81" i="188"/>
  <c r="AY5" i="188"/>
  <c r="EH5" i="188"/>
  <c r="BY41" i="188"/>
  <c r="CY88" i="188"/>
  <c r="DY84" i="188"/>
  <c r="CR127" i="188"/>
  <c r="H8" i="175"/>
  <c r="BJ66" i="188"/>
  <c r="CD127" i="188"/>
  <c r="DY98" i="188"/>
  <c r="DH5" i="188"/>
  <c r="EC5" i="188"/>
  <c r="EK5" i="188"/>
  <c r="AL39" i="188"/>
  <c r="AL42" i="188"/>
  <c r="AL110" i="188"/>
  <c r="L20" i="192"/>
  <c r="L25" i="192" s="1"/>
  <c r="L99" i="192" s="1"/>
  <c r="EE127" i="188"/>
  <c r="CZ5" i="188"/>
  <c r="CD5" i="188"/>
  <c r="EB5" i="188"/>
  <c r="DF26" i="188"/>
  <c r="DF29" i="188" s="1"/>
  <c r="DS26" i="188"/>
  <c r="CS29" i="188"/>
  <c r="AL38" i="188"/>
  <c r="BJ40" i="188"/>
  <c r="DY40" i="188"/>
  <c r="AL41" i="188"/>
  <c r="DY41" i="188"/>
  <c r="AY42" i="188"/>
  <c r="BK42" i="188"/>
  <c r="CY42" i="188"/>
  <c r="DY42" i="188"/>
  <c r="BG43" i="188"/>
  <c r="CA43" i="188"/>
  <c r="CG43" i="188"/>
  <c r="DA43" i="188"/>
  <c r="EF43" i="188"/>
  <c r="CI46" i="188"/>
  <c r="DH85" i="188"/>
  <c r="EJ88" i="188"/>
  <c r="EF90" i="188"/>
  <c r="BI91" i="188"/>
  <c r="DO134" i="188"/>
  <c r="DO122" i="188"/>
  <c r="BU136" i="188"/>
  <c r="BY101" i="188"/>
  <c r="BY104" i="188"/>
  <c r="BS139" i="188"/>
  <c r="BS122" i="188"/>
  <c r="BX139" i="188"/>
  <c r="BX122" i="188"/>
  <c r="BH107" i="188"/>
  <c r="AZ107" i="188"/>
  <c r="BG107" i="188"/>
  <c r="BC107" i="188"/>
  <c r="BA107" i="188"/>
  <c r="I107" i="188"/>
  <c r="CC107" i="188"/>
  <c r="BK107" i="188"/>
  <c r="BF107" i="188"/>
  <c r="BE107" i="188"/>
  <c r="BJ107" i="188"/>
  <c r="BP142" i="188"/>
  <c r="BY107" i="188"/>
  <c r="BU142" i="188"/>
  <c r="DT143" i="188"/>
  <c r="DT122" i="188"/>
  <c r="AD109" i="188"/>
  <c r="AE109" i="188"/>
  <c r="AC109" i="188"/>
  <c r="CY109" i="188"/>
  <c r="CM122" i="188"/>
  <c r="CX144" i="188"/>
  <c r="CX122" i="188"/>
  <c r="CP145" i="188"/>
  <c r="CY110" i="188"/>
  <c r="CR147" i="188"/>
  <c r="CY112" i="188"/>
  <c r="BH123" i="188"/>
  <c r="AU127" i="188"/>
  <c r="AD5" i="188"/>
  <c r="BE42" i="188"/>
  <c r="BY114" i="188"/>
  <c r="BZ56" i="188"/>
  <c r="AV97" i="188"/>
  <c r="BI48" i="188"/>
  <c r="O25" i="175"/>
  <c r="I8" i="175"/>
  <c r="CJ5" i="188"/>
  <c r="DY89" i="188"/>
  <c r="CI127" i="188"/>
  <c r="CL128" i="188"/>
  <c r="DL128" i="188"/>
  <c r="E13" i="192"/>
  <c r="CB35" i="188"/>
  <c r="Z74" i="188"/>
  <c r="AL46" i="188"/>
  <c r="AJ97" i="188"/>
  <c r="BL87" i="188"/>
  <c r="AI127" i="188"/>
  <c r="BJ127" i="188"/>
  <c r="CE57" i="188"/>
  <c r="AT97" i="188"/>
  <c r="AL104" i="188"/>
  <c r="AL111" i="188"/>
  <c r="BY117" i="188"/>
  <c r="AL119" i="188"/>
  <c r="DY119" i="188"/>
  <c r="CL121" i="188"/>
  <c r="EF127" i="188"/>
  <c r="BD127" i="188"/>
  <c r="AL126" i="188"/>
  <c r="EL128" i="188"/>
  <c r="Y5" i="188"/>
  <c r="EI5" i="188"/>
  <c r="BE49" i="188"/>
  <c r="BR97" i="188"/>
  <c r="BY99" i="188"/>
  <c r="CA127" i="188"/>
  <c r="AB127" i="188"/>
  <c r="EJ127" i="188"/>
  <c r="CY5" i="188"/>
  <c r="EJ5" i="188"/>
  <c r="AL27" i="188"/>
  <c r="BH31" i="188"/>
  <c r="BE33" i="188"/>
  <c r="BL34" i="188"/>
  <c r="CY34" i="188"/>
  <c r="AL37" i="188"/>
  <c r="BK48" i="188"/>
  <c r="BK65" i="188"/>
  <c r="DY80" i="188"/>
  <c r="CL84" i="188"/>
  <c r="CL85" i="188"/>
  <c r="BA92" i="188"/>
  <c r="CY117" i="188"/>
  <c r="CF119" i="188"/>
  <c r="BE127" i="188"/>
  <c r="R20" i="180"/>
  <c r="D79" i="192" s="1"/>
  <c r="S21" i="180"/>
  <c r="I6" i="192"/>
  <c r="J62" i="192"/>
  <c r="K7" i="192"/>
  <c r="AL80" i="188"/>
  <c r="BH101" i="188"/>
  <c r="BB101" i="188"/>
  <c r="BA101" i="188"/>
  <c r="BK101" i="188"/>
  <c r="BG101" i="188"/>
  <c r="BC101" i="188"/>
  <c r="BL101" i="188" s="1"/>
  <c r="BI101" i="188"/>
  <c r="BE101" i="188"/>
  <c r="AZ101" i="188"/>
  <c r="BD101" i="188"/>
  <c r="I101" i="188"/>
  <c r="BJ101" i="188"/>
  <c r="BF101" i="188"/>
  <c r="R19" i="192"/>
  <c r="BH106" i="188"/>
  <c r="BA106" i="188"/>
  <c r="BC106" i="188"/>
  <c r="AZ106" i="188"/>
  <c r="I106" i="188"/>
  <c r="BI106" i="188"/>
  <c r="BK106" i="188"/>
  <c r="BB106" i="188"/>
  <c r="BG106" i="188"/>
  <c r="BE106" i="188"/>
  <c r="BJ106" i="188"/>
  <c r="BF106" i="188"/>
  <c r="BD106" i="188"/>
  <c r="BL20" i="188"/>
  <c r="BH77" i="188"/>
  <c r="AL78" i="188"/>
  <c r="AE97" i="188"/>
  <c r="DA85" i="188"/>
  <c r="DZ89" i="188"/>
  <c r="EL89" i="188" s="1"/>
  <c r="DK124" i="188"/>
  <c r="CK56" i="188"/>
  <c r="DX122" i="188"/>
  <c r="CX97" i="188"/>
  <c r="BE32" i="188"/>
  <c r="DP122" i="188"/>
  <c r="BY112" i="188"/>
  <c r="BF36" i="188"/>
  <c r="AQ127" i="188"/>
  <c r="CI56" i="188"/>
  <c r="BD104" i="188"/>
  <c r="BJ55" i="188"/>
  <c r="AZ82" i="188"/>
  <c r="AD9" i="188"/>
  <c r="BA108" i="188"/>
  <c r="BB63" i="188"/>
  <c r="CH56" i="188"/>
  <c r="BI110" i="188"/>
  <c r="BD32" i="188"/>
  <c r="CY99" i="188"/>
  <c r="BF104" i="188"/>
  <c r="EJ20" i="188"/>
  <c r="BC32" i="188"/>
  <c r="BC77" i="188"/>
  <c r="CY107" i="188"/>
  <c r="DS127" i="188"/>
  <c r="DB127" i="188"/>
  <c r="BI115" i="188"/>
  <c r="BA104" i="188"/>
  <c r="AL84" i="188"/>
  <c r="BB60" i="188"/>
  <c r="EE19" i="188"/>
  <c r="BA55" i="188"/>
  <c r="BF55" i="188"/>
  <c r="K45" i="175"/>
  <c r="K46" i="175" s="1"/>
  <c r="BE115" i="188"/>
  <c r="I115" i="188"/>
  <c r="CE58" i="188"/>
  <c r="CB58" i="188"/>
  <c r="CD58" i="188"/>
  <c r="DA26" i="188"/>
  <c r="EB47" i="188"/>
  <c r="CD56" i="188"/>
  <c r="DY77" i="188"/>
  <c r="BJ79" i="188"/>
  <c r="BL84" i="188"/>
  <c r="AL96" i="188"/>
  <c r="BF42" i="188"/>
  <c r="BK104" i="188"/>
  <c r="DA5" i="188"/>
  <c r="CA58" i="188"/>
  <c r="BP122" i="188"/>
  <c r="BJ77" i="188"/>
  <c r="CY81" i="188"/>
  <c r="EK18" i="188"/>
  <c r="EF18" i="188"/>
  <c r="BH36" i="188"/>
  <c r="L15" i="199"/>
  <c r="L21" i="199" s="1"/>
  <c r="BB104" i="188"/>
  <c r="I77" i="188"/>
  <c r="EA20" i="188"/>
  <c r="I36" i="188"/>
  <c r="P74" i="188"/>
  <c r="BI7" i="188"/>
  <c r="BH70" i="188"/>
  <c r="BE55" i="188"/>
  <c r="BM122" i="188"/>
  <c r="BA77" i="188"/>
  <c r="AY80" i="188"/>
  <c r="AY90" i="188"/>
  <c r="BB55" i="188"/>
  <c r="DY44" i="188"/>
  <c r="BR122" i="188"/>
  <c r="BD77" i="188"/>
  <c r="BB115" i="188"/>
  <c r="BH104" i="188"/>
  <c r="BJ104" i="188"/>
  <c r="BL104" i="188" s="1"/>
  <c r="I55" i="188"/>
  <c r="BD82" i="188"/>
  <c r="BG108" i="188"/>
  <c r="BY115" i="188"/>
  <c r="I9" i="175"/>
  <c r="I11" i="175"/>
  <c r="BB77" i="188"/>
  <c r="BI36" i="188"/>
  <c r="EI20" i="188"/>
  <c r="CK58" i="188"/>
  <c r="BI104" i="188"/>
  <c r="BH110" i="188"/>
  <c r="BF110" i="188"/>
  <c r="AL21" i="188"/>
  <c r="AG29" i="188"/>
  <c r="AY77" i="188"/>
  <c r="CY77" i="188"/>
  <c r="DL96" i="188"/>
  <c r="EH127" i="188"/>
  <c r="AC8" i="188"/>
  <c r="AZ115" i="188"/>
  <c r="DR127" i="188"/>
  <c r="BK110" i="188"/>
  <c r="BB110" i="188"/>
  <c r="BD69" i="188"/>
  <c r="BI50" i="188"/>
  <c r="J21" i="199"/>
  <c r="BC115" i="188"/>
  <c r="CY26" i="188"/>
  <c r="CI58" i="188"/>
  <c r="BH61" i="188"/>
  <c r="CY108" i="188"/>
  <c r="AZ110" i="188"/>
  <c r="BI98" i="188"/>
  <c r="EG20" i="188"/>
  <c r="DL88" i="188"/>
  <c r="BG104" i="188"/>
  <c r="BE110" i="188"/>
  <c r="O24" i="138"/>
  <c r="M20" i="192"/>
  <c r="M25" i="192" s="1"/>
  <c r="M99" i="192" s="1"/>
  <c r="BP74" i="188"/>
  <c r="DY99" i="188"/>
  <c r="AZ3" i="188"/>
  <c r="BC3" i="188"/>
  <c r="BC5" i="188" s="1"/>
  <c r="BJ3" i="188"/>
  <c r="BJ5" i="188" s="1"/>
  <c r="BE3" i="188"/>
  <c r="CY95" i="188"/>
  <c r="AZ77" i="188"/>
  <c r="BJ103" i="188"/>
  <c r="BZ120" i="188"/>
  <c r="CG120" i="188"/>
  <c r="J120" i="188"/>
  <c r="BB3" i="188"/>
  <c r="BB5" i="188" s="1"/>
  <c r="BK3" i="188"/>
  <c r="BK5" i="188" s="1"/>
  <c r="CC56" i="188"/>
  <c r="BB103" i="188"/>
  <c r="BI103" i="188"/>
  <c r="AZ103" i="188"/>
  <c r="BY77" i="188"/>
  <c r="BA103" i="188"/>
  <c r="BI3" i="188"/>
  <c r="BI5" i="188" s="1"/>
  <c r="BY100" i="188"/>
  <c r="CY98" i="188"/>
  <c r="BD103" i="188"/>
  <c r="BK103" i="188"/>
  <c r="BE103" i="188"/>
  <c r="BH103" i="188"/>
  <c r="DS97" i="188"/>
  <c r="D9" i="175"/>
  <c r="O32" i="175"/>
  <c r="S62" i="199"/>
  <c r="I21" i="199"/>
  <c r="R62" i="199"/>
  <c r="S42" i="199"/>
  <c r="N17" i="119"/>
  <c r="N15" i="119"/>
  <c r="F23" i="119"/>
  <c r="N10" i="119"/>
  <c r="X258" i="58"/>
  <c r="F71" i="193"/>
  <c r="G53" i="193"/>
  <c r="L255" i="58"/>
  <c r="K118" i="133"/>
  <c r="J118" i="133"/>
  <c r="Q118" i="133"/>
  <c r="F118" i="133"/>
  <c r="L190" i="58"/>
  <c r="I12" i="137"/>
  <c r="O337" i="58"/>
  <c r="U142" i="133"/>
  <c r="AH142" i="133"/>
  <c r="AU142" i="133"/>
  <c r="J79" i="188"/>
  <c r="DD79" i="188" s="1"/>
  <c r="CI79" i="188"/>
  <c r="CF79" i="188"/>
  <c r="CB79" i="188"/>
  <c r="CH79" i="188"/>
  <c r="CK79" i="188"/>
  <c r="CE79" i="188"/>
  <c r="CE81" i="188"/>
  <c r="CB81" i="188"/>
  <c r="CG81" i="188"/>
  <c r="CJ79" i="188"/>
  <c r="BZ79" i="188"/>
  <c r="CC79" i="188"/>
  <c r="CG79" i="188"/>
  <c r="CA79" i="188"/>
  <c r="CZ66" i="188"/>
  <c r="DF66" i="188"/>
  <c r="DL66" i="188" s="1"/>
  <c r="CJ81" i="188"/>
  <c r="CD81" i="188"/>
  <c r="CC81" i="188"/>
  <c r="CH81" i="188"/>
  <c r="CA81" i="188"/>
  <c r="J81" i="188"/>
  <c r="DF81" i="188"/>
  <c r="CF81" i="188"/>
  <c r="BZ81" i="188"/>
  <c r="CI99" i="188"/>
  <c r="CH33" i="188"/>
  <c r="DA66" i="188"/>
  <c r="DG66" i="188"/>
  <c r="DJ66" i="188"/>
  <c r="K66" i="188"/>
  <c r="EC66" i="188" s="1"/>
  <c r="CI81" i="188"/>
  <c r="CD103" i="188"/>
  <c r="G71" i="193"/>
  <c r="CI75" i="188"/>
  <c r="DE66" i="188"/>
  <c r="DI66" i="188"/>
  <c r="DK66" i="188"/>
  <c r="DC66" i="188"/>
  <c r="CG75" i="188"/>
  <c r="BZ78" i="188"/>
  <c r="CG50" i="188"/>
  <c r="CC82" i="188"/>
  <c r="CA51" i="188"/>
  <c r="CF82" i="188"/>
  <c r="BZ49" i="188"/>
  <c r="CJ113" i="188"/>
  <c r="CK82" i="188"/>
  <c r="J82" i="188"/>
  <c r="DK82" i="188" s="1"/>
  <c r="CD113" i="188"/>
  <c r="CG82" i="188"/>
  <c r="CG113" i="188"/>
  <c r="CH82" i="188"/>
  <c r="CK113" i="188"/>
  <c r="BZ113" i="188"/>
  <c r="CE82" i="188"/>
  <c r="CI82" i="188"/>
  <c r="BZ82" i="188"/>
  <c r="CA82" i="188"/>
  <c r="CF113" i="188"/>
  <c r="CB113" i="188"/>
  <c r="CD82" i="188"/>
  <c r="CE70" i="188"/>
  <c r="BZ39" i="188"/>
  <c r="CG48" i="188"/>
  <c r="CJ48" i="188"/>
  <c r="CF99" i="188"/>
  <c r="CE99" i="188"/>
  <c r="CA99" i="188"/>
  <c r="CD48" i="188"/>
  <c r="CC48" i="188"/>
  <c r="CG100" i="188"/>
  <c r="CE31" i="188"/>
  <c r="CK99" i="188"/>
  <c r="CA48" i="188"/>
  <c r="CE48" i="188"/>
  <c r="DB118" i="188"/>
  <c r="CE114" i="188"/>
  <c r="CD114" i="188"/>
  <c r="J50" i="188"/>
  <c r="CK48" i="188"/>
  <c r="CI48" i="188"/>
  <c r="BZ100" i="188"/>
  <c r="CI114" i="188"/>
  <c r="CB48" i="188"/>
  <c r="J48" i="188"/>
  <c r="CG114" i="188"/>
  <c r="CB99" i="188"/>
  <c r="Y122" i="188"/>
  <c r="BL114" i="188"/>
  <c r="AL116" i="188"/>
  <c r="CC78" i="188"/>
  <c r="BZ80" i="188"/>
  <c r="CJ78" i="188"/>
  <c r="CI78" i="188"/>
  <c r="CF78" i="188"/>
  <c r="J5" i="192"/>
  <c r="DD119" i="188"/>
  <c r="DL119" i="188" s="1"/>
  <c r="CH75" i="188"/>
  <c r="CI113" i="188"/>
  <c r="CC113" i="188"/>
  <c r="CE113" i="188"/>
  <c r="J113" i="188"/>
  <c r="CH113" i="188"/>
  <c r="CA78" i="188"/>
  <c r="CG78" i="188"/>
  <c r="J78" i="188"/>
  <c r="CZ78" i="188" s="1"/>
  <c r="AF8" i="188"/>
  <c r="CE78" i="188"/>
  <c r="G8" i="188"/>
  <c r="AJ8" i="188" s="1"/>
  <c r="CD80" i="188"/>
  <c r="CB80" i="188"/>
  <c r="CE80" i="188"/>
  <c r="CE127" i="188"/>
  <c r="CJ38" i="188"/>
  <c r="CB76" i="188"/>
  <c r="CD70" i="188"/>
  <c r="I77" i="192"/>
  <c r="CC76" i="188"/>
  <c r="CD76" i="188"/>
  <c r="CI39" i="188"/>
  <c r="BZ70" i="188"/>
  <c r="CJ70" i="188"/>
  <c r="CC70" i="188"/>
  <c r="CK76" i="188"/>
  <c r="CF76" i="188"/>
  <c r="CA76" i="188"/>
  <c r="CE76" i="188"/>
  <c r="DC57" i="188"/>
  <c r="J105" i="188"/>
  <c r="DH105" i="188" s="1"/>
  <c r="CL110" i="188"/>
  <c r="CH38" i="188"/>
  <c r="CB38" i="188"/>
  <c r="CF38" i="188"/>
  <c r="AL108" i="188"/>
  <c r="CE38" i="188"/>
  <c r="CA38" i="188"/>
  <c r="BZ38" i="188"/>
  <c r="CI38" i="188"/>
  <c r="CC75" i="188"/>
  <c r="CD100" i="188"/>
  <c r="CF75" i="188"/>
  <c r="CH100" i="188"/>
  <c r="CC100" i="188"/>
  <c r="CJ61" i="188"/>
  <c r="CC28" i="188"/>
  <c r="CC29" i="188" s="1"/>
  <c r="CP28" i="188"/>
  <c r="CA39" i="188"/>
  <c r="CG39" i="188"/>
  <c r="CB13" i="188"/>
  <c r="CJ75" i="188"/>
  <c r="CK104" i="188"/>
  <c r="AL101" i="188"/>
  <c r="DA110" i="188"/>
  <c r="CI100" i="188"/>
  <c r="CB75" i="188"/>
  <c r="CJ100" i="188"/>
  <c r="CB61" i="188"/>
  <c r="K110" i="188"/>
  <c r="EB110" i="188" s="1"/>
  <c r="BL39" i="188"/>
  <c r="CJ76" i="188"/>
  <c r="J76" i="188"/>
  <c r="CI76" i="188"/>
  <c r="CH76" i="188"/>
  <c r="CG76" i="188"/>
  <c r="P130" i="188"/>
  <c r="BZ107" i="188"/>
  <c r="CK75" i="188"/>
  <c r="CK61" i="188"/>
  <c r="CF100" i="188"/>
  <c r="DA118" i="188"/>
  <c r="CB49" i="188"/>
  <c r="CZ110" i="188"/>
  <c r="CJ39" i="188"/>
  <c r="CH51" i="188"/>
  <c r="J75" i="188"/>
  <c r="DB75" i="188" s="1"/>
  <c r="CB100" i="188"/>
  <c r="CL100" i="188" s="1"/>
  <c r="CD75" i="188"/>
  <c r="CI49" i="188"/>
  <c r="CA100" i="188"/>
  <c r="J99" i="188"/>
  <c r="CH99" i="188"/>
  <c r="CJ99" i="188"/>
  <c r="CD99" i="188"/>
  <c r="BZ99" i="188"/>
  <c r="CC99" i="188"/>
  <c r="DB66" i="188"/>
  <c r="DD66" i="188"/>
  <c r="CH39" i="188"/>
  <c r="CF39" i="188"/>
  <c r="CE75" i="188"/>
  <c r="BK29" i="188"/>
  <c r="DB110" i="188"/>
  <c r="CA49" i="188"/>
  <c r="BP29" i="188"/>
  <c r="O77" i="192"/>
  <c r="DI119" i="188"/>
  <c r="H75" i="192"/>
  <c r="Q75" i="192"/>
  <c r="N77" i="192"/>
  <c r="DC110" i="188"/>
  <c r="DH110" i="188"/>
  <c r="L77" i="192"/>
  <c r="CK51" i="188"/>
  <c r="CA80" i="188"/>
  <c r="AB14" i="188"/>
  <c r="DH119" i="188"/>
  <c r="CD51" i="188"/>
  <c r="DG110" i="188"/>
  <c r="CC51" i="188"/>
  <c r="CG38" i="188"/>
  <c r="CC38" i="188"/>
  <c r="CD38" i="188"/>
  <c r="J38" i="188"/>
  <c r="G75" i="192"/>
  <c r="EA24" i="188"/>
  <c r="O56" i="192"/>
  <c r="CK80" i="188"/>
  <c r="CI51" i="188"/>
  <c r="P75" i="192"/>
  <c r="F77" i="192"/>
  <c r="O75" i="192"/>
  <c r="K75" i="192"/>
  <c r="CI37" i="188"/>
  <c r="CA37" i="188"/>
  <c r="CJ37" i="188"/>
  <c r="CC37" i="188"/>
  <c r="CE37" i="188"/>
  <c r="CD37" i="188"/>
  <c r="CK37" i="188"/>
  <c r="CF37" i="188"/>
  <c r="CH37" i="188"/>
  <c r="BZ37" i="188"/>
  <c r="CB37" i="188"/>
  <c r="CG37" i="188"/>
  <c r="J37" i="188"/>
  <c r="F75" i="192"/>
  <c r="N75" i="192"/>
  <c r="CI33" i="188"/>
  <c r="CK33" i="188"/>
  <c r="J33" i="188"/>
  <c r="BZ33" i="188"/>
  <c r="CJ33" i="188"/>
  <c r="CA33" i="188"/>
  <c r="CG33" i="188"/>
  <c r="CB33" i="188"/>
  <c r="CL33" i="188" s="1"/>
  <c r="CE33" i="188"/>
  <c r="CF33" i="188"/>
  <c r="CD33" i="188"/>
  <c r="CK39" i="188"/>
  <c r="CC39" i="188"/>
  <c r="CB39" i="188"/>
  <c r="J39" i="188"/>
  <c r="CD39" i="188"/>
  <c r="CL39" i="188" s="1"/>
  <c r="DA119" i="188"/>
  <c r="DE119" i="188"/>
  <c r="DJ119" i="188"/>
  <c r="K119" i="188"/>
  <c r="CZ119" i="188"/>
  <c r="CC72" i="188"/>
  <c r="CH72" i="188"/>
  <c r="CI72" i="188"/>
  <c r="CD72" i="188"/>
  <c r="BZ72" i="188"/>
  <c r="CG72" i="188"/>
  <c r="CE72" i="188"/>
  <c r="CJ72" i="188"/>
  <c r="J72" i="188"/>
  <c r="CA72" i="188"/>
  <c r="CB72" i="188"/>
  <c r="CF72" i="188"/>
  <c r="CK72" i="188"/>
  <c r="K77" i="192"/>
  <c r="CC80" i="188"/>
  <c r="DK119" i="188"/>
  <c r="DI110" i="188"/>
  <c r="CG51" i="188"/>
  <c r="J75" i="192"/>
  <c r="Q77" i="192"/>
  <c r="DD110" i="188"/>
  <c r="M75" i="192"/>
  <c r="BG29" i="188"/>
  <c r="H22" i="193"/>
  <c r="CI80" i="188"/>
  <c r="H77" i="192"/>
  <c r="J80" i="188"/>
  <c r="DE80" i="188" s="1"/>
  <c r="G77" i="192"/>
  <c r="P77" i="192"/>
  <c r="DC119" i="188"/>
  <c r="DK110" i="188"/>
  <c r="BZ51" i="188"/>
  <c r="I75" i="192"/>
  <c r="DE110" i="188"/>
  <c r="G34" i="192"/>
  <c r="G100" i="192"/>
  <c r="H41" i="192"/>
  <c r="G86" i="192"/>
  <c r="G92" i="192" s="1"/>
  <c r="CF80" i="188"/>
  <c r="CJ80" i="188"/>
  <c r="CL80" i="188" s="1"/>
  <c r="CG80" i="188"/>
  <c r="CL119" i="188"/>
  <c r="J77" i="192"/>
  <c r="DB119" i="188"/>
  <c r="J51" i="188"/>
  <c r="CZ51" i="188"/>
  <c r="DF110" i="188"/>
  <c r="L75" i="192"/>
  <c r="DF119" i="188"/>
  <c r="CE100" i="188"/>
  <c r="J100" i="188"/>
  <c r="CB51" i="188"/>
  <c r="CE51" i="188"/>
  <c r="CJ51" i="188"/>
  <c r="BL100" i="188"/>
  <c r="DG59" i="188"/>
  <c r="DE59" i="188"/>
  <c r="DD59" i="188"/>
  <c r="DJ59" i="188"/>
  <c r="DK59" i="188"/>
  <c r="K59" i="188"/>
  <c r="CZ59" i="188"/>
  <c r="DB59" i="188"/>
  <c r="DH59" i="188"/>
  <c r="DC59" i="188"/>
  <c r="CC41" i="188"/>
  <c r="CJ41" i="188"/>
  <c r="CG41" i="188"/>
  <c r="CE41" i="188"/>
  <c r="CK41" i="188"/>
  <c r="CA41" i="188"/>
  <c r="CF41" i="188"/>
  <c r="CH41" i="188"/>
  <c r="CI41" i="188"/>
  <c r="BZ41" i="188"/>
  <c r="CB41" i="188"/>
  <c r="CL41" i="188" s="1"/>
  <c r="J41" i="188"/>
  <c r="BL13" i="188"/>
  <c r="AL114" i="188"/>
  <c r="CC61" i="188"/>
  <c r="CE61" i="188"/>
  <c r="CF61" i="188"/>
  <c r="J61" i="188"/>
  <c r="BZ61" i="188"/>
  <c r="CH61" i="188"/>
  <c r="CD61" i="188"/>
  <c r="CG61" i="188"/>
  <c r="CE28" i="188"/>
  <c r="CE29" i="188" s="1"/>
  <c r="CR28" i="188"/>
  <c r="BR29" i="188"/>
  <c r="CL26" i="188"/>
  <c r="CD41" i="188"/>
  <c r="DF56" i="188"/>
  <c r="DI56" i="188"/>
  <c r="K56" i="188"/>
  <c r="DD56" i="188"/>
  <c r="DH56" i="188"/>
  <c r="CZ56" i="188"/>
  <c r="DE56" i="188"/>
  <c r="DC56" i="188"/>
  <c r="DK56" i="188"/>
  <c r="DA56" i="188"/>
  <c r="CH104" i="188"/>
  <c r="EK127" i="188"/>
  <c r="EI127" i="188"/>
  <c r="CC104" i="188"/>
  <c r="DD118" i="188"/>
  <c r="DF118" i="188"/>
  <c r="DE118" i="188"/>
  <c r="CZ118" i="188"/>
  <c r="DG118" i="188"/>
  <c r="DC118" i="188"/>
  <c r="DI118" i="188"/>
  <c r="DK118" i="188"/>
  <c r="DJ118" i="188"/>
  <c r="K118" i="188"/>
  <c r="CA54" i="188"/>
  <c r="CD54" i="188"/>
  <c r="CI54" i="188"/>
  <c r="CE54" i="188"/>
  <c r="J54" i="188"/>
  <c r="CK54" i="188"/>
  <c r="CC54" i="188"/>
  <c r="BZ54" i="188"/>
  <c r="CB54" i="188"/>
  <c r="CF54" i="188"/>
  <c r="CG54" i="188"/>
  <c r="CH54" i="188"/>
  <c r="EL16" i="188"/>
  <c r="CW27" i="188"/>
  <c r="CJ27" i="188"/>
  <c r="CD104" i="188"/>
  <c r="J64" i="192"/>
  <c r="K9" i="192"/>
  <c r="CE104" i="188"/>
  <c r="CI104" i="188"/>
  <c r="EI24" i="188"/>
  <c r="CB109" i="188"/>
  <c r="CA109" i="188"/>
  <c r="CC109" i="188"/>
  <c r="CJ109" i="188"/>
  <c r="CE109" i="188"/>
  <c r="BZ109" i="188"/>
  <c r="CH109" i="188"/>
  <c r="CD109" i="188"/>
  <c r="CF109" i="188"/>
  <c r="CG109" i="188"/>
  <c r="CI109" i="188"/>
  <c r="CK109" i="188"/>
  <c r="J109" i="188"/>
  <c r="CF70" i="188"/>
  <c r="J70" i="188"/>
  <c r="CI70" i="188"/>
  <c r="CH70" i="188"/>
  <c r="CB70" i="188"/>
  <c r="CA70" i="188"/>
  <c r="CK70" i="188"/>
  <c r="CC49" i="188"/>
  <c r="J49" i="188"/>
  <c r="CH49" i="188"/>
  <c r="CJ49" i="188"/>
  <c r="CF49" i="188"/>
  <c r="CD49" i="188"/>
  <c r="CK49" i="188"/>
  <c r="DG56" i="188"/>
  <c r="CL116" i="188"/>
  <c r="CZ57" i="188"/>
  <c r="CJ98" i="188"/>
  <c r="CD98" i="188"/>
  <c r="CE98" i="188"/>
  <c r="J98" i="188"/>
  <c r="CF98" i="188"/>
  <c r="CB98" i="188"/>
  <c r="CI98" i="188"/>
  <c r="CH98" i="188"/>
  <c r="CK98" i="188"/>
  <c r="CC98" i="188"/>
  <c r="BZ98" i="188"/>
  <c r="CG98" i="188"/>
  <c r="CA98" i="188"/>
  <c r="BL41" i="188"/>
  <c r="BL7" i="188"/>
  <c r="BL105" i="188"/>
  <c r="CO28" i="188"/>
  <c r="CB28" i="188"/>
  <c r="CB29" i="188" s="1"/>
  <c r="BO29" i="188"/>
  <c r="CA65" i="188"/>
  <c r="CE65" i="188"/>
  <c r="CJ65" i="188"/>
  <c r="CD65" i="188"/>
  <c r="CB65" i="188"/>
  <c r="CC65" i="188"/>
  <c r="CH65" i="188"/>
  <c r="CK65" i="188"/>
  <c r="CI65" i="188"/>
  <c r="CG65" i="188"/>
  <c r="BZ65" i="188"/>
  <c r="J65" i="188"/>
  <c r="ED25" i="188"/>
  <c r="BL112" i="188"/>
  <c r="DD57" i="188"/>
  <c r="CF62" i="188"/>
  <c r="CC62" i="188"/>
  <c r="CA62" i="188"/>
  <c r="CJ62" i="188"/>
  <c r="CB62" i="188"/>
  <c r="CD62" i="188"/>
  <c r="J62" i="188"/>
  <c r="CE62" i="188"/>
  <c r="CK62" i="188"/>
  <c r="CI62" i="188"/>
  <c r="CH62" i="188"/>
  <c r="BZ62" i="188"/>
  <c r="J104" i="188"/>
  <c r="CA104" i="188"/>
  <c r="CG104" i="188"/>
  <c r="CJ104" i="188"/>
  <c r="CL104" i="188" s="1"/>
  <c r="CB104" i="188"/>
  <c r="BZ104" i="188"/>
  <c r="AF9" i="188"/>
  <c r="AG9" i="188"/>
  <c r="G9" i="188"/>
  <c r="AE9" i="188"/>
  <c r="DH34" i="188"/>
  <c r="DE34" i="188"/>
  <c r="K34" i="188"/>
  <c r="DB34" i="188"/>
  <c r="DI34" i="188"/>
  <c r="DA34" i="188"/>
  <c r="DG34" i="188"/>
  <c r="DF34" i="188"/>
  <c r="DC34" i="188"/>
  <c r="DD34" i="188"/>
  <c r="DK34" i="188"/>
  <c r="DJ34" i="188"/>
  <c r="CZ34" i="188"/>
  <c r="DL34" i="188" s="1"/>
  <c r="DF35" i="188"/>
  <c r="DA35" i="188"/>
  <c r="CZ35" i="188"/>
  <c r="K35" i="188"/>
  <c r="DE35" i="188"/>
  <c r="DC35" i="188"/>
  <c r="DB35" i="188"/>
  <c r="DD35" i="188"/>
  <c r="DL35" i="188" s="1"/>
  <c r="DG35" i="188"/>
  <c r="DI35" i="188"/>
  <c r="DH35" i="188"/>
  <c r="DJ35" i="188"/>
  <c r="CE42" i="188"/>
  <c r="CD112" i="188"/>
  <c r="CG112" i="188"/>
  <c r="CB112" i="188"/>
  <c r="DE57" i="188"/>
  <c r="G50" i="181"/>
  <c r="CH107" i="188"/>
  <c r="DG57" i="188"/>
  <c r="DI57" i="188"/>
  <c r="DA57" i="188"/>
  <c r="DK57" i="188"/>
  <c r="DJ57" i="188"/>
  <c r="K57" i="188"/>
  <c r="DH57" i="188"/>
  <c r="CK50" i="188"/>
  <c r="CJ50" i="188"/>
  <c r="CI50" i="188"/>
  <c r="CC31" i="188"/>
  <c r="CG31" i="188"/>
  <c r="CJ31" i="188"/>
  <c r="CA31" i="188"/>
  <c r="BZ31" i="188"/>
  <c r="CK31" i="188"/>
  <c r="CB31" i="188"/>
  <c r="CF31" i="188"/>
  <c r="CH31" i="188"/>
  <c r="CI31" i="188"/>
  <c r="J31" i="188"/>
  <c r="CB78" i="188"/>
  <c r="CD78" i="188"/>
  <c r="CL78" i="188" s="1"/>
  <c r="CK78" i="188"/>
  <c r="AI11" i="188"/>
  <c r="AJ11" i="188"/>
  <c r="AH11" i="188"/>
  <c r="H11" i="188"/>
  <c r="AK11" i="188"/>
  <c r="CD105" i="188"/>
  <c r="CB105" i="188"/>
  <c r="BZ105" i="188"/>
  <c r="CJ105" i="188"/>
  <c r="CI105" i="188"/>
  <c r="CG105" i="188"/>
  <c r="CF105" i="188"/>
  <c r="CC105" i="188"/>
  <c r="CK105" i="188"/>
  <c r="CA105" i="188"/>
  <c r="DK35" i="188"/>
  <c r="AK102" i="188"/>
  <c r="EE26" i="188"/>
  <c r="CH50" i="188"/>
  <c r="BL42" i="188"/>
  <c r="K10" i="192"/>
  <c r="J65" i="192"/>
  <c r="J12" i="192"/>
  <c r="CJ108" i="188"/>
  <c r="CG108" i="188"/>
  <c r="CC108" i="188"/>
  <c r="CI108" i="188"/>
  <c r="CH108" i="188"/>
  <c r="CK108" i="188"/>
  <c r="BZ108" i="188"/>
  <c r="CD108" i="188"/>
  <c r="CB108" i="188"/>
  <c r="CF108" i="188"/>
  <c r="CA108" i="188"/>
  <c r="CE108" i="188"/>
  <c r="J108" i="188"/>
  <c r="CH103" i="188"/>
  <c r="CK103" i="188"/>
  <c r="CF103" i="188"/>
  <c r="CE103" i="188"/>
  <c r="CB103" i="188"/>
  <c r="BZ103" i="188"/>
  <c r="CI103" i="188"/>
  <c r="CG103" i="188"/>
  <c r="CC103" i="188"/>
  <c r="CJ103" i="188"/>
  <c r="CA103" i="188"/>
  <c r="CW28" i="188"/>
  <c r="CJ28" i="188"/>
  <c r="BW29" i="188"/>
  <c r="CH28" i="188"/>
  <c r="CU28" i="188"/>
  <c r="BF26" i="188"/>
  <c r="AY26" i="188"/>
  <c r="AY29" i="188" s="1"/>
  <c r="AS29" i="188"/>
  <c r="DH58" i="188"/>
  <c r="CZ58" i="188"/>
  <c r="DA58" i="188"/>
  <c r="DF58" i="188"/>
  <c r="DK58" i="188"/>
  <c r="K58" i="188"/>
  <c r="DC58" i="188"/>
  <c r="DG58" i="188"/>
  <c r="DI58" i="188"/>
  <c r="EH24" i="188"/>
  <c r="AD122" i="188"/>
  <c r="DI116" i="188"/>
  <c r="DD116" i="188"/>
  <c r="DK116" i="188"/>
  <c r="DH116" i="188"/>
  <c r="DE116" i="188"/>
  <c r="DA116" i="188"/>
  <c r="K116" i="188"/>
  <c r="CZ116" i="188"/>
  <c r="DC116" i="188"/>
  <c r="DF116" i="188"/>
  <c r="DB116" i="188"/>
  <c r="DG116" i="188"/>
  <c r="DJ116" i="188"/>
  <c r="BL111" i="188"/>
  <c r="EL17" i="188"/>
  <c r="J42" i="188"/>
  <c r="CG42" i="188"/>
  <c r="CB42" i="188"/>
  <c r="CH42" i="188"/>
  <c r="CC42" i="188"/>
  <c r="CF42" i="188"/>
  <c r="CI42" i="188"/>
  <c r="CD42" i="188"/>
  <c r="CJ42" i="188"/>
  <c r="CA42" i="188"/>
  <c r="BZ42" i="188"/>
  <c r="CA13" i="188"/>
  <c r="CJ13" i="188"/>
  <c r="CK13" i="188"/>
  <c r="CH13" i="188"/>
  <c r="CD13" i="188"/>
  <c r="BZ13" i="188"/>
  <c r="CC13" i="188"/>
  <c r="J13" i="188"/>
  <c r="CF13" i="188"/>
  <c r="CE13" i="188"/>
  <c r="CI13" i="188"/>
  <c r="AL117" i="188"/>
  <c r="EK25" i="188"/>
  <c r="CG111" i="188"/>
  <c r="BZ111" i="188"/>
  <c r="CC111" i="188"/>
  <c r="J111" i="188"/>
  <c r="CB111" i="188"/>
  <c r="CE111" i="188"/>
  <c r="CH111" i="188"/>
  <c r="CJ111" i="188"/>
  <c r="CF111" i="188"/>
  <c r="CD111" i="188"/>
  <c r="CK111" i="188"/>
  <c r="CA111" i="188"/>
  <c r="CI111" i="188"/>
  <c r="DD58" i="188"/>
  <c r="DZ24" i="188"/>
  <c r="DH79" i="188"/>
  <c r="DA79" i="188"/>
  <c r="AL109" i="188"/>
  <c r="BL107" i="188"/>
  <c r="CD107" i="188"/>
  <c r="CJ107" i="188"/>
  <c r="CF107" i="188"/>
  <c r="CB107" i="188"/>
  <c r="CE107" i="188"/>
  <c r="CI107" i="188"/>
  <c r="CA107" i="188"/>
  <c r="CG107" i="188"/>
  <c r="CK107" i="188"/>
  <c r="J107" i="188"/>
  <c r="BH127" i="188"/>
  <c r="DA29" i="188"/>
  <c r="J6" i="192"/>
  <c r="I8" i="192"/>
  <c r="I13" i="192"/>
  <c r="I98" i="192" s="1"/>
  <c r="BZ101" i="188"/>
  <c r="CC101" i="188"/>
  <c r="CG101" i="188"/>
  <c r="CK101" i="188"/>
  <c r="CJ101" i="188"/>
  <c r="J101" i="188"/>
  <c r="CE101" i="188"/>
  <c r="CH101" i="188"/>
  <c r="CB101" i="188"/>
  <c r="CD101" i="188"/>
  <c r="CF101" i="188"/>
  <c r="CI101" i="188"/>
  <c r="CA101" i="188"/>
  <c r="BL108" i="188"/>
  <c r="CD55" i="188"/>
  <c r="CF55" i="188"/>
  <c r="CG55" i="188"/>
  <c r="CI55" i="188"/>
  <c r="BZ55" i="188"/>
  <c r="J55" i="188"/>
  <c r="CC55" i="188"/>
  <c r="CE55" i="188"/>
  <c r="CK55" i="188"/>
  <c r="CH55" i="188"/>
  <c r="CA55" i="188"/>
  <c r="CI115" i="188"/>
  <c r="CC115" i="188"/>
  <c r="CF115" i="188"/>
  <c r="CB115" i="188"/>
  <c r="BZ115" i="188"/>
  <c r="CH115" i="188"/>
  <c r="CK115" i="188"/>
  <c r="CG115" i="188"/>
  <c r="CE115" i="188"/>
  <c r="CL115" i="188" s="1"/>
  <c r="J115" i="188"/>
  <c r="CJ115" i="188"/>
  <c r="CD115" i="188"/>
  <c r="CA115" i="188"/>
  <c r="L7" i="192"/>
  <c r="K62" i="192"/>
  <c r="BL110" i="188"/>
  <c r="BL115" i="188"/>
  <c r="BZ106" i="188"/>
  <c r="CA106" i="188"/>
  <c r="J106" i="188"/>
  <c r="CB106" i="188"/>
  <c r="CH106" i="188"/>
  <c r="CJ106" i="188"/>
  <c r="CI106" i="188"/>
  <c r="CD106" i="188"/>
  <c r="CG106" i="188"/>
  <c r="CK106" i="188"/>
  <c r="CF106" i="188"/>
  <c r="CC106" i="188"/>
  <c r="CE106" i="188"/>
  <c r="BL32" i="188"/>
  <c r="BL106" i="188"/>
  <c r="CL120" i="188"/>
  <c r="CI36" i="188"/>
  <c r="CG36" i="188"/>
  <c r="CB36" i="188"/>
  <c r="CH36" i="188"/>
  <c r="J36" i="188"/>
  <c r="CF36" i="188"/>
  <c r="BZ36" i="188"/>
  <c r="CD36" i="188"/>
  <c r="CJ36" i="188"/>
  <c r="CA36" i="188"/>
  <c r="CC36" i="188"/>
  <c r="CE36" i="188"/>
  <c r="CK36" i="188"/>
  <c r="CD77" i="188"/>
  <c r="CJ77" i="188"/>
  <c r="CB77" i="188"/>
  <c r="CE77" i="188"/>
  <c r="BZ77" i="188"/>
  <c r="CI77" i="188"/>
  <c r="CK77" i="188"/>
  <c r="CA77" i="188"/>
  <c r="CG77" i="188"/>
  <c r="CC77" i="188"/>
  <c r="J77" i="188"/>
  <c r="DE77" i="188" s="1"/>
  <c r="CH77" i="188"/>
  <c r="CF77" i="188"/>
  <c r="BL36" i="188"/>
  <c r="BL77" i="188"/>
  <c r="CZ120" i="188"/>
  <c r="DK120" i="188"/>
  <c r="DB120" i="188"/>
  <c r="DF120" i="188"/>
  <c r="DE120" i="188"/>
  <c r="DI120" i="188"/>
  <c r="DJ120" i="188"/>
  <c r="DH120" i="188"/>
  <c r="K120" i="188"/>
  <c r="DA120" i="188"/>
  <c r="DC120" i="188"/>
  <c r="DD120" i="188"/>
  <c r="DG120" i="188"/>
  <c r="Q13" i="26"/>
  <c r="AZ5" i="188"/>
  <c r="BL3" i="188"/>
  <c r="BL103" i="188"/>
  <c r="F16" i="193"/>
  <c r="D116" i="193"/>
  <c r="H116" i="193"/>
  <c r="L116" i="193"/>
  <c r="L16" i="193"/>
  <c r="K116" i="193"/>
  <c r="M337" i="58"/>
  <c r="S337" i="58"/>
  <c r="DI79" i="188"/>
  <c r="I6" i="137"/>
  <c r="I87" i="137" s="1"/>
  <c r="I8" i="137"/>
  <c r="I89" i="137" s="1"/>
  <c r="I7" i="137"/>
  <c r="I88" i="137" s="1"/>
  <c r="D6" i="26"/>
  <c r="AA142" i="133"/>
  <c r="AM142" i="133"/>
  <c r="AT142" i="133"/>
  <c r="Y142" i="133"/>
  <c r="AW142" i="133"/>
  <c r="BA142" i="133"/>
  <c r="AK142" i="133"/>
  <c r="V142" i="133"/>
  <c r="AZ142" i="133"/>
  <c r="AL142" i="133"/>
  <c r="W142" i="133"/>
  <c r="AY142" i="133"/>
  <c r="AI142" i="133"/>
  <c r="T142" i="133"/>
  <c r="AV142" i="133"/>
  <c r="AN142" i="133"/>
  <c r="AJ142" i="133"/>
  <c r="X142" i="133"/>
  <c r="AG142" i="133"/>
  <c r="Z142" i="133"/>
  <c r="AX142" i="133"/>
  <c r="K79" i="188"/>
  <c r="DZ79" i="188" s="1"/>
  <c r="CZ79" i="188"/>
  <c r="DK79" i="188"/>
  <c r="DB79" i="188"/>
  <c r="DJ79" i="188"/>
  <c r="DC79" i="188"/>
  <c r="DE79" i="188"/>
  <c r="DG79" i="188"/>
  <c r="DF79" i="188"/>
  <c r="ED66" i="188"/>
  <c r="EA66" i="188"/>
  <c r="DZ66" i="188"/>
  <c r="EH66" i="188"/>
  <c r="EF66" i="188"/>
  <c r="EG66" i="188"/>
  <c r="EE66" i="188"/>
  <c r="EI66" i="188"/>
  <c r="DE81" i="188"/>
  <c r="DG81" i="188"/>
  <c r="DB81" i="188"/>
  <c r="K81" i="188"/>
  <c r="ED81" i="188" s="1"/>
  <c r="DI81" i="188"/>
  <c r="DH81" i="188"/>
  <c r="DK81" i="188"/>
  <c r="CZ81" i="188"/>
  <c r="DC81" i="188"/>
  <c r="DJ81" i="188"/>
  <c r="DD81" i="188"/>
  <c r="DA81" i="188"/>
  <c r="DA105" i="188"/>
  <c r="DA82" i="188"/>
  <c r="EK66" i="188"/>
  <c r="DE75" i="188"/>
  <c r="K78" i="188"/>
  <c r="EB78" i="188" s="1"/>
  <c r="AI8" i="188"/>
  <c r="DH82" i="188"/>
  <c r="DK50" i="188"/>
  <c r="DH75" i="188"/>
  <c r="CZ75" i="188"/>
  <c r="DG82" i="188"/>
  <c r="DJ82" i="188"/>
  <c r="DI50" i="188"/>
  <c r="DC75" i="188"/>
  <c r="DA75" i="188"/>
  <c r="DB82" i="188"/>
  <c r="DD82" i="188"/>
  <c r="DK75" i="188"/>
  <c r="DA51" i="188"/>
  <c r="K82" i="188"/>
  <c r="EA82" i="188" s="1"/>
  <c r="CZ82" i="188"/>
  <c r="K75" i="188"/>
  <c r="EB75" i="188" s="1"/>
  <c r="DI82" i="188"/>
  <c r="DI78" i="188"/>
  <c r="DD75" i="188"/>
  <c r="DC82" i="188"/>
  <c r="DE82" i="188"/>
  <c r="DC105" i="188"/>
  <c r="DH51" i="188"/>
  <c r="DK78" i="188"/>
  <c r="DC78" i="188"/>
  <c r="DE78" i="188"/>
  <c r="DC48" i="188"/>
  <c r="DG78" i="188"/>
  <c r="DL78" i="188" s="1"/>
  <c r="DB78" i="188"/>
  <c r="DA48" i="188"/>
  <c r="DD78" i="188"/>
  <c r="DF78" i="188"/>
  <c r="DH78" i="188"/>
  <c r="DA78" i="188"/>
  <c r="DG80" i="188"/>
  <c r="DJ78" i="188"/>
  <c r="DI105" i="188"/>
  <c r="DE105" i="188"/>
  <c r="DJ105" i="188"/>
  <c r="DF105" i="188"/>
  <c r="DK105" i="188"/>
  <c r="K105" i="188"/>
  <c r="DG105" i="188"/>
  <c r="CZ105" i="188"/>
  <c r="DD105" i="188"/>
  <c r="DB105" i="188"/>
  <c r="K51" i="188"/>
  <c r="DZ51" i="188"/>
  <c r="DG48" i="188"/>
  <c r="DH48" i="188"/>
  <c r="DK48" i="188"/>
  <c r="DI48" i="188"/>
  <c r="DE48" i="188"/>
  <c r="DB48" i="188"/>
  <c r="CZ48" i="188"/>
  <c r="DF48" i="188"/>
  <c r="DJ48" i="188"/>
  <c r="K48" i="188"/>
  <c r="EA48" i="188" s="1"/>
  <c r="AH8" i="188"/>
  <c r="EJ110" i="188"/>
  <c r="AK8" i="188"/>
  <c r="EH110" i="188"/>
  <c r="H8" i="188"/>
  <c r="BG8" i="188" s="1"/>
  <c r="EC110" i="188"/>
  <c r="EL110" i="188" s="1"/>
  <c r="EF110" i="188"/>
  <c r="DD80" i="188"/>
  <c r="ED110" i="188"/>
  <c r="EE110" i="188"/>
  <c r="CL113" i="188"/>
  <c r="DK80" i="188"/>
  <c r="DA80" i="188"/>
  <c r="DC80" i="188"/>
  <c r="DI80" i="188"/>
  <c r="DC51" i="188"/>
  <c r="DI51" i="188"/>
  <c r="DK51" i="188"/>
  <c r="DF51" i="188"/>
  <c r="DE51" i="188"/>
  <c r="DD51" i="188"/>
  <c r="DB113" i="188"/>
  <c r="K113" i="188"/>
  <c r="DE113" i="188"/>
  <c r="DI113" i="188"/>
  <c r="DG113" i="188"/>
  <c r="DC113" i="188"/>
  <c r="DA113" i="188"/>
  <c r="DK113" i="188"/>
  <c r="DJ113" i="188"/>
  <c r="DH113" i="188"/>
  <c r="DD113" i="188"/>
  <c r="DF113" i="188"/>
  <c r="CZ113" i="188"/>
  <c r="DG51" i="188"/>
  <c r="K5" i="192"/>
  <c r="K80" i="188"/>
  <c r="DH80" i="188"/>
  <c r="CL99" i="188"/>
  <c r="DF80" i="188"/>
  <c r="DH99" i="188"/>
  <c r="DJ99" i="188"/>
  <c r="DG99" i="188"/>
  <c r="DD99" i="188"/>
  <c r="DA99" i="188"/>
  <c r="DB99" i="188"/>
  <c r="K99" i="188"/>
  <c r="DK99" i="188"/>
  <c r="DI99" i="188"/>
  <c r="DC99" i="188"/>
  <c r="DE99" i="188"/>
  <c r="CZ99" i="188"/>
  <c r="DF99" i="188"/>
  <c r="CZ76" i="188"/>
  <c r="DH76" i="188"/>
  <c r="K76" i="188"/>
  <c r="DA76" i="188"/>
  <c r="DB76" i="188"/>
  <c r="DJ76" i="188"/>
  <c r="DF76" i="188"/>
  <c r="DE76" i="188"/>
  <c r="DK76" i="188"/>
  <c r="DG76" i="188"/>
  <c r="DI76" i="188"/>
  <c r="DD76" i="188"/>
  <c r="DC76" i="188"/>
  <c r="DZ110" i="188"/>
  <c r="EG110" i="188"/>
  <c r="EA110" i="188"/>
  <c r="EI110" i="188"/>
  <c r="EK110" i="188"/>
  <c r="DC28" i="188"/>
  <c r="DC29" i="188" s="1"/>
  <c r="DP28" i="188"/>
  <c r="CP29" i="188"/>
  <c r="DL118" i="188"/>
  <c r="DJ75" i="188"/>
  <c r="DG75" i="188"/>
  <c r="DF75" i="188"/>
  <c r="DI75" i="188"/>
  <c r="H46" i="192"/>
  <c r="H47" i="192" s="1"/>
  <c r="H29" i="192"/>
  <c r="DJ39" i="188"/>
  <c r="DF39" i="188"/>
  <c r="DL39" i="188" s="1"/>
  <c r="DE39" i="188"/>
  <c r="DD39" i="188"/>
  <c r="CZ39" i="188"/>
  <c r="DB39" i="188"/>
  <c r="DK39" i="188"/>
  <c r="DA39" i="188"/>
  <c r="DI39" i="188"/>
  <c r="DG39" i="188"/>
  <c r="DH39" i="188"/>
  <c r="K39" i="188"/>
  <c r="DC39" i="188"/>
  <c r="DF38" i="188"/>
  <c r="CZ38" i="188"/>
  <c r="DJ38" i="188"/>
  <c r="DD38" i="188"/>
  <c r="DH38" i="188"/>
  <c r="K38" i="188"/>
  <c r="DG38" i="188"/>
  <c r="DE38" i="188"/>
  <c r="DC38" i="188"/>
  <c r="DK38" i="188"/>
  <c r="DI38" i="188"/>
  <c r="DB38" i="188"/>
  <c r="DA38" i="188"/>
  <c r="I22" i="193"/>
  <c r="H53" i="193"/>
  <c r="H71" i="193"/>
  <c r="EC119" i="188"/>
  <c r="EH119" i="188"/>
  <c r="EI119" i="188"/>
  <c r="EB119" i="188"/>
  <c r="ED119" i="188"/>
  <c r="EE119" i="188"/>
  <c r="EK119" i="188"/>
  <c r="DZ119" i="188"/>
  <c r="EG119" i="188"/>
  <c r="EF119" i="188"/>
  <c r="EA119" i="188"/>
  <c r="EJ119" i="188"/>
  <c r="DI37" i="188"/>
  <c r="DC37" i="188"/>
  <c r="CZ37" i="188"/>
  <c r="DA37" i="188"/>
  <c r="DK37" i="188"/>
  <c r="DJ37" i="188"/>
  <c r="K37" i="188"/>
  <c r="DB37" i="188"/>
  <c r="DE37" i="188"/>
  <c r="DD37" i="188"/>
  <c r="DH37" i="188"/>
  <c r="DF37" i="188"/>
  <c r="DG37" i="188"/>
  <c r="CL38" i="188"/>
  <c r="CZ80" i="188"/>
  <c r="DB80" i="188"/>
  <c r="DJ80" i="188"/>
  <c r="CL37" i="188"/>
  <c r="CZ72" i="188"/>
  <c r="DG72" i="188"/>
  <c r="DB72" i="188"/>
  <c r="DH72" i="188"/>
  <c r="DI72" i="188"/>
  <c r="DK72" i="188"/>
  <c r="DF72" i="188"/>
  <c r="DC72" i="188"/>
  <c r="DA72" i="188"/>
  <c r="DD72" i="188"/>
  <c r="DJ72" i="188"/>
  <c r="K72" i="188"/>
  <c r="DL110" i="188"/>
  <c r="EK59" i="188"/>
  <c r="EA59" i="188"/>
  <c r="EF59" i="188"/>
  <c r="DZ59" i="188"/>
  <c r="EJ59" i="188"/>
  <c r="DE100" i="188"/>
  <c r="DF100" i="188"/>
  <c r="DH100" i="188"/>
  <c r="DD100" i="188"/>
  <c r="DC100" i="188"/>
  <c r="DI100" i="188"/>
  <c r="CZ100" i="188"/>
  <c r="DK100" i="188"/>
  <c r="DG100" i="188"/>
  <c r="DJ100" i="188"/>
  <c r="DB100" i="188"/>
  <c r="K100" i="188"/>
  <c r="DA100" i="188"/>
  <c r="DH41" i="188"/>
  <c r="K41" i="188"/>
  <c r="DA41" i="188"/>
  <c r="DB41" i="188"/>
  <c r="DG41" i="188"/>
  <c r="DI41" i="188"/>
  <c r="DD41" i="188"/>
  <c r="DJ41" i="188"/>
  <c r="DK41" i="188"/>
  <c r="DF41" i="188"/>
  <c r="DE41" i="188"/>
  <c r="CZ41" i="188"/>
  <c r="DC41" i="188"/>
  <c r="DA61" i="188"/>
  <c r="DF61" i="188"/>
  <c r="DE28" i="188"/>
  <c r="DE29" i="188"/>
  <c r="DR28" i="188"/>
  <c r="CR29" i="188"/>
  <c r="DE70" i="188"/>
  <c r="CJ29" i="188"/>
  <c r="CZ49" i="188"/>
  <c r="DB49" i="188"/>
  <c r="DH49" i="188"/>
  <c r="DE49" i="188"/>
  <c r="DC49" i="188"/>
  <c r="DJ49" i="188"/>
  <c r="DD49" i="188"/>
  <c r="DF49" i="188"/>
  <c r="DK49" i="188"/>
  <c r="K49" i="188"/>
  <c r="DG49" i="188"/>
  <c r="K64" i="192"/>
  <c r="L9" i="192"/>
  <c r="EE118" i="188"/>
  <c r="EC118" i="188"/>
  <c r="EH118" i="188"/>
  <c r="DZ118" i="188"/>
  <c r="EA118" i="188"/>
  <c r="EK118" i="188"/>
  <c r="EI118" i="188"/>
  <c r="EG118" i="188"/>
  <c r="EF118" i="188"/>
  <c r="EB118" i="188"/>
  <c r="EJ118" i="188"/>
  <c r="ED118" i="188"/>
  <c r="K109" i="188"/>
  <c r="DC109" i="188"/>
  <c r="DB109" i="188"/>
  <c r="DI109" i="188"/>
  <c r="DF109" i="188"/>
  <c r="DK109" i="188"/>
  <c r="CZ109" i="188"/>
  <c r="DE109" i="188"/>
  <c r="DH109" i="188"/>
  <c r="DG109" i="188"/>
  <c r="DA109" i="188"/>
  <c r="DD109" i="188"/>
  <c r="DL109" i="188" s="1"/>
  <c r="DJ109" i="188"/>
  <c r="DF54" i="188"/>
  <c r="DE54" i="188"/>
  <c r="DA54" i="188"/>
  <c r="DI54" i="188"/>
  <c r="DJ54" i="188"/>
  <c r="EH56" i="188"/>
  <c r="EG56" i="188"/>
  <c r="EJ56" i="188"/>
  <c r="EE56" i="188"/>
  <c r="DZ56" i="188"/>
  <c r="ED56" i="188"/>
  <c r="EB56" i="188"/>
  <c r="EK56" i="188"/>
  <c r="EC56" i="188"/>
  <c r="EI56" i="188"/>
  <c r="EA56" i="188"/>
  <c r="DB28" i="188"/>
  <c r="DB29" i="188" s="1"/>
  <c r="CO29" i="188"/>
  <c r="DO28" i="188"/>
  <c r="DJ65" i="188"/>
  <c r="DD62" i="188"/>
  <c r="DF62" i="188"/>
  <c r="DH62" i="188"/>
  <c r="DI62" i="188"/>
  <c r="CZ62" i="188"/>
  <c r="DJ62" i="188"/>
  <c r="DG62" i="188"/>
  <c r="DE62" i="188"/>
  <c r="DA62" i="188"/>
  <c r="DB62" i="188"/>
  <c r="K62" i="188"/>
  <c r="AI9" i="188"/>
  <c r="H9" i="188"/>
  <c r="BC9" i="188" s="1"/>
  <c r="AJ9" i="188"/>
  <c r="AJ14" i="188" s="1"/>
  <c r="AH9" i="188"/>
  <c r="AK9" i="188"/>
  <c r="DG98" i="188"/>
  <c r="DA98" i="188"/>
  <c r="DH98" i="188"/>
  <c r="DB98" i="188"/>
  <c r="DC98" i="188"/>
  <c r="DD98" i="188"/>
  <c r="DK98" i="188"/>
  <c r="CZ98" i="188"/>
  <c r="K98" i="188"/>
  <c r="DI98" i="188"/>
  <c r="DF98" i="188"/>
  <c r="DJ98" i="188"/>
  <c r="DE98" i="188"/>
  <c r="DI104" i="188"/>
  <c r="CZ104" i="188"/>
  <c r="DC104" i="188"/>
  <c r="DB104" i="188"/>
  <c r="DG104" i="188"/>
  <c r="DK104" i="188"/>
  <c r="DA104" i="188"/>
  <c r="DF104" i="188"/>
  <c r="DE104" i="188"/>
  <c r="EE57" i="188"/>
  <c r="EC57" i="188"/>
  <c r="EK57" i="188"/>
  <c r="EA57" i="188"/>
  <c r="ED57" i="188"/>
  <c r="DZ57" i="188"/>
  <c r="EI57" i="188"/>
  <c r="EH57" i="188"/>
  <c r="EF57" i="188"/>
  <c r="EG57" i="188"/>
  <c r="EK34" i="188"/>
  <c r="EA34" i="188"/>
  <c r="EL34" i="188" s="1"/>
  <c r="EB34" i="188"/>
  <c r="EE34" i="188"/>
  <c r="EC34" i="188"/>
  <c r="DZ34" i="188"/>
  <c r="EJ34" i="188"/>
  <c r="EF34" i="188"/>
  <c r="EH34" i="188"/>
  <c r="EG34" i="188"/>
  <c r="ED34" i="188"/>
  <c r="EI34" i="188"/>
  <c r="EJ35" i="188"/>
  <c r="ED35" i="188"/>
  <c r="EF35" i="188"/>
  <c r="EA35" i="188"/>
  <c r="EB35" i="188"/>
  <c r="EK35" i="188"/>
  <c r="EG35" i="188"/>
  <c r="EI35" i="188"/>
  <c r="EH35" i="188"/>
  <c r="DZ35" i="188"/>
  <c r="EC35" i="188"/>
  <c r="EL35" i="188" s="1"/>
  <c r="EE35" i="188"/>
  <c r="DF31" i="188"/>
  <c r="DA31" i="188"/>
  <c r="DJ31" i="188"/>
  <c r="K31" i="188"/>
  <c r="DG31" i="188"/>
  <c r="DC31" i="188"/>
  <c r="DH31" i="188"/>
  <c r="DE31" i="188"/>
  <c r="DK31" i="188"/>
  <c r="CZ31" i="188"/>
  <c r="DI31" i="188"/>
  <c r="DD31" i="188"/>
  <c r="DB31" i="188"/>
  <c r="BC11" i="188"/>
  <c r="BJ11" i="188"/>
  <c r="BA11" i="188"/>
  <c r="BB11" i="188"/>
  <c r="AZ11" i="188"/>
  <c r="BI11" i="188"/>
  <c r="BH11" i="188"/>
  <c r="BD11" i="188"/>
  <c r="BK11" i="188"/>
  <c r="BF11" i="188"/>
  <c r="BL11" i="188" s="1"/>
  <c r="BG11" i="188"/>
  <c r="BE11" i="188"/>
  <c r="E116" i="193"/>
  <c r="CL13" i="188"/>
  <c r="DE111" i="188"/>
  <c r="DK111" i="188"/>
  <c r="DF111" i="188"/>
  <c r="DD111" i="188"/>
  <c r="DB111" i="188"/>
  <c r="DA111" i="188"/>
  <c r="DH111" i="188"/>
  <c r="DJ111" i="188"/>
  <c r="DC111" i="188"/>
  <c r="CZ111" i="188"/>
  <c r="K111" i="188"/>
  <c r="DI111" i="188"/>
  <c r="DG111" i="188"/>
  <c r="DL116" i="188"/>
  <c r="DU28" i="188"/>
  <c r="DH28" i="188"/>
  <c r="CL42" i="188"/>
  <c r="DF13" i="188"/>
  <c r="K13" i="188"/>
  <c r="DA13" i="188"/>
  <c r="CZ13" i="188"/>
  <c r="DE13" i="188"/>
  <c r="DB13" i="188"/>
  <c r="DK13" i="188"/>
  <c r="DH13" i="188"/>
  <c r="DI13" i="188"/>
  <c r="DC13" i="188"/>
  <c r="DD13" i="188"/>
  <c r="DJ13" i="188"/>
  <c r="DG13" i="188"/>
  <c r="DF42" i="188"/>
  <c r="DD42" i="188"/>
  <c r="DJ42" i="188"/>
  <c r="DB42" i="188"/>
  <c r="DG42" i="188"/>
  <c r="K42" i="188"/>
  <c r="DE42" i="188"/>
  <c r="CZ42" i="188"/>
  <c r="DH42" i="188"/>
  <c r="DA42" i="188"/>
  <c r="DL42" i="188" s="1"/>
  <c r="DI42" i="188"/>
  <c r="DC42" i="188"/>
  <c r="DK42" i="188"/>
  <c r="EI116" i="188"/>
  <c r="EB116" i="188"/>
  <c r="EH116" i="188"/>
  <c r="DZ116" i="188"/>
  <c r="ED116" i="188"/>
  <c r="EC116" i="188"/>
  <c r="EF116" i="188"/>
  <c r="EA116" i="188"/>
  <c r="EL116" i="188" s="1"/>
  <c r="EJ116" i="188"/>
  <c r="EG116" i="188"/>
  <c r="EK116" i="188"/>
  <c r="EE116" i="188"/>
  <c r="DW28" i="188"/>
  <c r="EJ28" i="188" s="1"/>
  <c r="DJ28" i="188"/>
  <c r="CW29" i="188"/>
  <c r="CL111" i="188"/>
  <c r="CL107" i="188"/>
  <c r="DZ58" i="188"/>
  <c r="EI58" i="188"/>
  <c r="EH58" i="188"/>
  <c r="EJ58" i="188"/>
  <c r="ED58" i="188"/>
  <c r="EA58" i="188"/>
  <c r="EK58" i="188"/>
  <c r="EC58" i="188"/>
  <c r="EE58" i="188"/>
  <c r="EB58" i="188"/>
  <c r="EG58" i="188"/>
  <c r="CL108" i="188"/>
  <c r="BF29" i="188"/>
  <c r="K65" i="192"/>
  <c r="L10" i="192"/>
  <c r="K12" i="192"/>
  <c r="DG108" i="188"/>
  <c r="DI108" i="188"/>
  <c r="DK108" i="188"/>
  <c r="CZ108" i="188"/>
  <c r="DH108" i="188"/>
  <c r="DC108" i="188"/>
  <c r="DD108" i="188"/>
  <c r="DF108" i="188"/>
  <c r="DE108" i="188"/>
  <c r="K108" i="188"/>
  <c r="DJ108" i="188"/>
  <c r="DB108" i="188"/>
  <c r="DA108" i="188"/>
  <c r="EI79" i="188"/>
  <c r="EE79" i="188"/>
  <c r="DE107" i="188"/>
  <c r="DK107" i="188"/>
  <c r="DG107" i="188"/>
  <c r="DD107" i="188"/>
  <c r="DH107" i="188"/>
  <c r="DC107" i="188"/>
  <c r="DI107" i="188"/>
  <c r="CZ107" i="188"/>
  <c r="DB107" i="188"/>
  <c r="DA107" i="188"/>
  <c r="DJ107" i="188"/>
  <c r="K107" i="188"/>
  <c r="DF107" i="188"/>
  <c r="G16" i="193"/>
  <c r="I16" i="193"/>
  <c r="G116" i="193"/>
  <c r="I79" i="192"/>
  <c r="DF101" i="188"/>
  <c r="DD101" i="188"/>
  <c r="DA101" i="188"/>
  <c r="DI101" i="188"/>
  <c r="DC101" i="188"/>
  <c r="K101" i="188"/>
  <c r="DE101" i="188"/>
  <c r="DK101" i="188"/>
  <c r="DG101" i="188"/>
  <c r="CZ101" i="188"/>
  <c r="DH101" i="188"/>
  <c r="CZ106" i="188"/>
  <c r="DB106" i="188"/>
  <c r="DH106" i="188"/>
  <c r="DG106" i="188"/>
  <c r="DC106" i="188"/>
  <c r="DF106" i="188"/>
  <c r="DJ106" i="188"/>
  <c r="DK106" i="188"/>
  <c r="K106" i="188"/>
  <c r="DI106" i="188"/>
  <c r="DE106" i="188"/>
  <c r="DD106" i="188"/>
  <c r="DA106" i="188"/>
  <c r="DF77" i="188"/>
  <c r="DI77" i="188"/>
  <c r="CZ77" i="188"/>
  <c r="DJ77" i="188"/>
  <c r="DB77" i="188"/>
  <c r="DD77" i="188"/>
  <c r="DH77" i="188"/>
  <c r="DG77" i="188"/>
  <c r="DA77" i="188"/>
  <c r="DK77" i="188"/>
  <c r="DC77" i="188"/>
  <c r="K77" i="188"/>
  <c r="CL101" i="188"/>
  <c r="K6" i="192"/>
  <c r="J8" i="192"/>
  <c r="J13" i="192" s="1"/>
  <c r="J98" i="192" s="1"/>
  <c r="CL77" i="188"/>
  <c r="CL36" i="188"/>
  <c r="M7" i="192"/>
  <c r="L62" i="192"/>
  <c r="K36" i="188"/>
  <c r="DD36" i="188"/>
  <c r="DA36" i="188"/>
  <c r="DJ36" i="188"/>
  <c r="DC36" i="188"/>
  <c r="CZ36" i="188"/>
  <c r="DG36" i="188"/>
  <c r="DH36" i="188"/>
  <c r="DB36" i="188"/>
  <c r="DE36" i="188"/>
  <c r="DF36" i="188"/>
  <c r="DK36" i="188"/>
  <c r="DI36" i="188"/>
  <c r="DE55" i="188"/>
  <c r="DJ55" i="188"/>
  <c r="DH55" i="188"/>
  <c r="DG55" i="188"/>
  <c r="DK55" i="188"/>
  <c r="CZ55" i="188"/>
  <c r="K55" i="188"/>
  <c r="DC55" i="188"/>
  <c r="DD55" i="188"/>
  <c r="DA55" i="188"/>
  <c r="DI55" i="188"/>
  <c r="DB55" i="188"/>
  <c r="DB115" i="188"/>
  <c r="DD115" i="188"/>
  <c r="DF115" i="188"/>
  <c r="DG115" i="188"/>
  <c r="DK115" i="188"/>
  <c r="CZ115" i="188"/>
  <c r="DI115" i="188"/>
  <c r="DC115" i="188"/>
  <c r="DH115" i="188"/>
  <c r="DJ115" i="188"/>
  <c r="DA115" i="188"/>
  <c r="DE115" i="188"/>
  <c r="K115" i="188"/>
  <c r="F116" i="193"/>
  <c r="H16" i="193"/>
  <c r="N16" i="193"/>
  <c r="G47" i="192"/>
  <c r="C116" i="193"/>
  <c r="E16" i="193"/>
  <c r="EG120" i="188"/>
  <c r="EA120" i="188"/>
  <c r="DZ120" i="188"/>
  <c r="EF120" i="188"/>
  <c r="EK120" i="188"/>
  <c r="EB120" i="188"/>
  <c r="EI120" i="188"/>
  <c r="EE120" i="188"/>
  <c r="EC120" i="188"/>
  <c r="EJ120" i="188"/>
  <c r="EH120" i="188"/>
  <c r="ED120" i="188"/>
  <c r="D16" i="193"/>
  <c r="D18" i="193" s="1"/>
  <c r="F47" i="192"/>
  <c r="B116" i="193"/>
  <c r="B117" i="193" s="1"/>
  <c r="EH79" i="188"/>
  <c r="EF79" i="188"/>
  <c r="EJ79" i="188"/>
  <c r="EG79" i="188"/>
  <c r="EB79" i="188"/>
  <c r="EK79" i="188"/>
  <c r="EC79" i="188"/>
  <c r="ED79" i="188"/>
  <c r="EA79" i="188"/>
  <c r="J16" i="193"/>
  <c r="J116" i="193"/>
  <c r="I116" i="193"/>
  <c r="K16" i="193"/>
  <c r="M116" i="193"/>
  <c r="O16" i="193"/>
  <c r="M16" i="193"/>
  <c r="E6" i="26"/>
  <c r="H6" i="26"/>
  <c r="J6" i="26"/>
  <c r="G6" i="26"/>
  <c r="I6" i="26"/>
  <c r="F6" i="26"/>
  <c r="ED78" i="188"/>
  <c r="EK78" i="188"/>
  <c r="EA78" i="188"/>
  <c r="EI78" i="188"/>
  <c r="EJ78" i="188"/>
  <c r="DZ78" i="188"/>
  <c r="EE78" i="188"/>
  <c r="EH78" i="188"/>
  <c r="EG78" i="188"/>
  <c r="EF78" i="188"/>
  <c r="EC82" i="188"/>
  <c r="EC78" i="188"/>
  <c r="EI81" i="188"/>
  <c r="EF81" i="188"/>
  <c r="EC81" i="188"/>
  <c r="EK81" i="188"/>
  <c r="EJ81" i="188"/>
  <c r="DL81" i="188"/>
  <c r="EK82" i="188"/>
  <c r="EB81" i="188"/>
  <c r="EE81" i="188"/>
  <c r="EH82" i="188"/>
  <c r="EG81" i="188"/>
  <c r="EH81" i="188"/>
  <c r="DZ81" i="188"/>
  <c r="EF82" i="188"/>
  <c r="EA81" i="188"/>
  <c r="EI75" i="188"/>
  <c r="EF75" i="188"/>
  <c r="ED75" i="188"/>
  <c r="EJ75" i="188"/>
  <c r="AI14" i="188"/>
  <c r="EC75" i="188"/>
  <c r="DZ75" i="188"/>
  <c r="EG75" i="188"/>
  <c r="EA75" i="188"/>
  <c r="EE75" i="188"/>
  <c r="EL75" i="188" s="1"/>
  <c r="EH75" i="188"/>
  <c r="EK75" i="188"/>
  <c r="EC105" i="188"/>
  <c r="EB105" i="188"/>
  <c r="EF105" i="188"/>
  <c r="EA51" i="188"/>
  <c r="EJ51" i="188"/>
  <c r="EG82" i="188"/>
  <c r="EE82" i="188"/>
  <c r="ED82" i="188"/>
  <c r="DZ82" i="188"/>
  <c r="EI82" i="188"/>
  <c r="EB82" i="188"/>
  <c r="EJ48" i="188"/>
  <c r="ED48" i="188"/>
  <c r="EI51" i="188"/>
  <c r="BJ8" i="188"/>
  <c r="EH51" i="188"/>
  <c r="AZ8" i="188"/>
  <c r="BE8" i="188"/>
  <c r="BC8" i="188"/>
  <c r="EK48" i="188"/>
  <c r="BB8" i="188"/>
  <c r="BH8" i="188"/>
  <c r="EB48" i="188"/>
  <c r="EG48" i="188"/>
  <c r="BI8" i="188"/>
  <c r="BF8" i="188"/>
  <c r="EC48" i="188"/>
  <c r="BD8" i="188"/>
  <c r="BK8" i="188"/>
  <c r="EI48" i="188"/>
  <c r="EF48" i="188"/>
  <c r="BA8" i="188"/>
  <c r="EE48" i="188"/>
  <c r="DL105" i="188"/>
  <c r="EB51" i="188"/>
  <c r="EE51" i="188"/>
  <c r="EC51" i="188"/>
  <c r="EG51" i="188"/>
  <c r="EK51" i="188"/>
  <c r="ED51" i="188"/>
  <c r="AH14" i="188"/>
  <c r="DL113" i="188"/>
  <c r="DL75" i="188"/>
  <c r="L5" i="192"/>
  <c r="M5" i="192" s="1"/>
  <c r="N5" i="192" s="1"/>
  <c r="EF113" i="188"/>
  <c r="EL113" i="188" s="1"/>
  <c r="EC113" i="188"/>
  <c r="EJ113" i="188"/>
  <c r="ED113" i="188"/>
  <c r="EK113" i="188"/>
  <c r="EI113" i="188"/>
  <c r="EE113" i="188"/>
  <c r="DZ113" i="188"/>
  <c r="EH113" i="188"/>
  <c r="EB113" i="188"/>
  <c r="EG113" i="188"/>
  <c r="EA113" i="188"/>
  <c r="EA80" i="188"/>
  <c r="EK80" i="188"/>
  <c r="EH80" i="188"/>
  <c r="ED80" i="188"/>
  <c r="EJ80" i="188"/>
  <c r="EL80" i="188" s="1"/>
  <c r="EI80" i="188"/>
  <c r="EF80" i="188"/>
  <c r="EG80" i="188"/>
  <c r="EB80" i="188"/>
  <c r="EE80" i="188"/>
  <c r="DZ80" i="188"/>
  <c r="EC80" i="188"/>
  <c r="EC28" i="188"/>
  <c r="EC29" i="188"/>
  <c r="DP29" i="188"/>
  <c r="EH76" i="188"/>
  <c r="EC76" i="188"/>
  <c r="EK76" i="188"/>
  <c r="EF76" i="188"/>
  <c r="EE76" i="188"/>
  <c r="DZ76" i="188"/>
  <c r="EG76" i="188"/>
  <c r="EA76" i="188"/>
  <c r="ED76" i="188"/>
  <c r="EJ76" i="188"/>
  <c r="EI76" i="188"/>
  <c r="EB76" i="188"/>
  <c r="DL76" i="188"/>
  <c r="EF99" i="188"/>
  <c r="DZ99" i="188"/>
  <c r="EG99" i="188"/>
  <c r="EE99" i="188"/>
  <c r="EJ99" i="188"/>
  <c r="EH99" i="188"/>
  <c r="EI99" i="188"/>
  <c r="ED99" i="188"/>
  <c r="EC99" i="188"/>
  <c r="EB99" i="188"/>
  <c r="EA99" i="188"/>
  <c r="EK99" i="188"/>
  <c r="DL99" i="188"/>
  <c r="EF72" i="188"/>
  <c r="EG72" i="188"/>
  <c r="EJ72" i="188"/>
  <c r="EB72" i="188"/>
  <c r="EK72" i="188"/>
  <c r="ED72" i="188"/>
  <c r="DZ72" i="188"/>
  <c r="EH72" i="188"/>
  <c r="EE72" i="188"/>
  <c r="EC72" i="188"/>
  <c r="EC38" i="188"/>
  <c r="EG38" i="188"/>
  <c r="EJ38" i="188"/>
  <c r="ED38" i="188"/>
  <c r="DZ38" i="188"/>
  <c r="EA38" i="188"/>
  <c r="EF38" i="188"/>
  <c r="EE38" i="188"/>
  <c r="EK38" i="188"/>
  <c r="EI38" i="188"/>
  <c r="EH38" i="188"/>
  <c r="EB38" i="188"/>
  <c r="EJ39" i="188"/>
  <c r="EH39" i="188"/>
  <c r="EF39" i="188"/>
  <c r="EA39" i="188"/>
  <c r="ED39" i="188"/>
  <c r="EG39" i="188"/>
  <c r="EI39" i="188"/>
  <c r="EC39" i="188"/>
  <c r="EE39" i="188"/>
  <c r="DZ39" i="188"/>
  <c r="EB39" i="188"/>
  <c r="EK39" i="188"/>
  <c r="EL119" i="188"/>
  <c r="DL38" i="188"/>
  <c r="I53" i="193"/>
  <c r="I71" i="193"/>
  <c r="J22" i="193"/>
  <c r="H34" i="192"/>
  <c r="H86" i="192"/>
  <c r="H92" i="192" s="1"/>
  <c r="I41" i="192"/>
  <c r="EB37" i="188"/>
  <c r="EC37" i="188"/>
  <c r="ED37" i="188"/>
  <c r="EI37" i="188"/>
  <c r="EH37" i="188"/>
  <c r="DZ37" i="188"/>
  <c r="EG37" i="188"/>
  <c r="EE37" i="188"/>
  <c r="EA37" i="188"/>
  <c r="EL37" i="188" s="1"/>
  <c r="EJ37" i="188"/>
  <c r="EF37" i="188"/>
  <c r="EK37" i="188"/>
  <c r="EE28" i="188"/>
  <c r="EE29" i="188" s="1"/>
  <c r="DR29" i="188"/>
  <c r="DL100" i="188"/>
  <c r="DL41" i="188"/>
  <c r="EB100" i="188"/>
  <c r="EA100" i="188"/>
  <c r="EF100" i="188"/>
  <c r="EK100" i="188"/>
  <c r="ED100" i="188"/>
  <c r="DZ100" i="188"/>
  <c r="EG100" i="188"/>
  <c r="EE100" i="188"/>
  <c r="EJ100" i="188"/>
  <c r="EI100" i="188"/>
  <c r="EH100" i="188"/>
  <c r="EC100" i="188"/>
  <c r="EK41" i="188"/>
  <c r="EA41" i="188"/>
  <c r="EG41" i="188"/>
  <c r="ED41" i="188"/>
  <c r="EI41" i="188"/>
  <c r="DZ41" i="188"/>
  <c r="EH41" i="188"/>
  <c r="EF41" i="188"/>
  <c r="EB41" i="188"/>
  <c r="EC41" i="188"/>
  <c r="EE41" i="188"/>
  <c r="EJ41" i="188"/>
  <c r="ED109" i="188"/>
  <c r="EE109" i="188"/>
  <c r="EJ109" i="188"/>
  <c r="DZ109" i="188"/>
  <c r="EA109" i="188"/>
  <c r="EI109" i="188"/>
  <c r="EF109" i="188"/>
  <c r="EH109" i="188"/>
  <c r="EK109" i="188"/>
  <c r="EL109" i="188" s="1"/>
  <c r="EC109" i="188"/>
  <c r="EG109" i="188"/>
  <c r="EB109" i="188"/>
  <c r="ED49" i="188"/>
  <c r="EJ49" i="188"/>
  <c r="EB49" i="188"/>
  <c r="M9" i="192"/>
  <c r="L64" i="192"/>
  <c r="EL118" i="188"/>
  <c r="BF9" i="188"/>
  <c r="EK98" i="188"/>
  <c r="EF98" i="188"/>
  <c r="EE98" i="188"/>
  <c r="EI98" i="188"/>
  <c r="EA98" i="188"/>
  <c r="ED98" i="188"/>
  <c r="EC98" i="188"/>
  <c r="EB98" i="188"/>
  <c r="EJ98" i="188"/>
  <c r="EG98" i="188"/>
  <c r="EH98" i="188"/>
  <c r="DZ98" i="188"/>
  <c r="EF62" i="188"/>
  <c r="EJ62" i="188"/>
  <c r="EE62" i="188"/>
  <c r="EB62" i="188"/>
  <c r="ED62" i="188"/>
  <c r="EK62" i="188"/>
  <c r="EA62" i="188"/>
  <c r="EI62" i="188"/>
  <c r="EC62" i="188"/>
  <c r="EH62" i="188"/>
  <c r="DZ62" i="188"/>
  <c r="DL98" i="188"/>
  <c r="DO29" i="188"/>
  <c r="EB28" i="188"/>
  <c r="DZ31" i="188"/>
  <c r="EG31" i="188"/>
  <c r="EJ31" i="188"/>
  <c r="EB31" i="188"/>
  <c r="EE31" i="188"/>
  <c r="ED31" i="188"/>
  <c r="EF31" i="188"/>
  <c r="EA31" i="188"/>
  <c r="EI31" i="188"/>
  <c r="EK31" i="188"/>
  <c r="EH31" i="188"/>
  <c r="EC31" i="188"/>
  <c r="DL13" i="188"/>
  <c r="EK111" i="188"/>
  <c r="ED111" i="188"/>
  <c r="EB111" i="188"/>
  <c r="EI111" i="188"/>
  <c r="EH111" i="188"/>
  <c r="EA111" i="188"/>
  <c r="EJ111" i="188"/>
  <c r="EF111" i="188"/>
  <c r="EL111" i="188" s="1"/>
  <c r="EE111" i="188"/>
  <c r="EG111" i="188"/>
  <c r="EC111" i="188"/>
  <c r="DZ111" i="188"/>
  <c r="DL108" i="188"/>
  <c r="ED42" i="188"/>
  <c r="EH42" i="188"/>
  <c r="DZ42" i="188"/>
  <c r="EA42" i="188"/>
  <c r="EB42" i="188"/>
  <c r="EJ42" i="188"/>
  <c r="EG42" i="188"/>
  <c r="EI42" i="188"/>
  <c r="EE42" i="188"/>
  <c r="EC42" i="188"/>
  <c r="EK42" i="188"/>
  <c r="EF42" i="188"/>
  <c r="EI13" i="188"/>
  <c r="DZ13" i="188"/>
  <c r="EJ108" i="188"/>
  <c r="DZ108" i="188"/>
  <c r="EB108" i="188"/>
  <c r="EG108" i="188"/>
  <c r="L65" i="192"/>
  <c r="M10" i="192"/>
  <c r="N10" i="192" s="1"/>
  <c r="L12" i="192"/>
  <c r="EH28" i="188"/>
  <c r="EC107" i="188"/>
  <c r="EF107" i="188"/>
  <c r="EH107" i="188"/>
  <c r="EE107" i="188"/>
  <c r="ED107" i="188"/>
  <c r="DZ107" i="188"/>
  <c r="EB107" i="188"/>
  <c r="EK107" i="188"/>
  <c r="EA107" i="188"/>
  <c r="EG107" i="188"/>
  <c r="EI107" i="188"/>
  <c r="DL107" i="188"/>
  <c r="EJ36" i="188"/>
  <c r="EB36" i="188"/>
  <c r="EI36" i="188"/>
  <c r="EE36" i="188"/>
  <c r="DZ36" i="188"/>
  <c r="EG36" i="188"/>
  <c r="EC36" i="188"/>
  <c r="ED36" i="188"/>
  <c r="EG55" i="188"/>
  <c r="EH55" i="188"/>
  <c r="EF55" i="188"/>
  <c r="EK55" i="188"/>
  <c r="EC55" i="188"/>
  <c r="DZ55" i="188"/>
  <c r="EA55" i="188"/>
  <c r="EE55" i="188"/>
  <c r="ED55" i="188"/>
  <c r="EI55" i="188"/>
  <c r="N7" i="192"/>
  <c r="M62" i="192"/>
  <c r="DL106" i="188"/>
  <c r="ED101" i="188"/>
  <c r="EA101" i="188"/>
  <c r="DZ101" i="188"/>
  <c r="EC101" i="188"/>
  <c r="EH101" i="188"/>
  <c r="EF101" i="188"/>
  <c r="EB101" i="188"/>
  <c r="EK101" i="188"/>
  <c r="EG101" i="188"/>
  <c r="EJ101" i="188"/>
  <c r="EE101" i="188"/>
  <c r="EI101" i="188"/>
  <c r="EE115" i="188"/>
  <c r="EJ115" i="188"/>
  <c r="EH115" i="188"/>
  <c r="ED115" i="188"/>
  <c r="EK115" i="188"/>
  <c r="EB115" i="188"/>
  <c r="DZ115" i="188"/>
  <c r="EA115" i="188"/>
  <c r="EG115" i="188"/>
  <c r="EI115" i="188"/>
  <c r="EL115" i="188" s="1"/>
  <c r="EC115" i="188"/>
  <c r="EF115" i="188"/>
  <c r="EI77" i="188"/>
  <c r="EG77" i="188"/>
  <c r="EC77" i="188"/>
  <c r="EK77" i="188"/>
  <c r="EH77" i="188"/>
  <c r="ED77" i="188"/>
  <c r="EB77" i="188"/>
  <c r="EJ77" i="188"/>
  <c r="EE77" i="188"/>
  <c r="EA77" i="188"/>
  <c r="EF77" i="188"/>
  <c r="DZ77" i="188"/>
  <c r="K8" i="192"/>
  <c r="K13" i="192"/>
  <c r="K98" i="192" s="1"/>
  <c r="L6" i="192"/>
  <c r="M6" i="192" s="1"/>
  <c r="EG106" i="188"/>
  <c r="EI106" i="188"/>
  <c r="EH106" i="188"/>
  <c r="ED106" i="188"/>
  <c r="EC106" i="188"/>
  <c r="EF106" i="188"/>
  <c r="EJ106" i="188"/>
  <c r="EA106" i="188"/>
  <c r="DZ106" i="188"/>
  <c r="EL106" i="188" s="1"/>
  <c r="EB106" i="188"/>
  <c r="EE106" i="188"/>
  <c r="EK106" i="188"/>
  <c r="DL115" i="188"/>
  <c r="EL79" i="188"/>
  <c r="Q4" i="26"/>
  <c r="C6" i="26"/>
  <c r="N6" i="26" s="1"/>
  <c r="Q31" i="35"/>
  <c r="EL78" i="188"/>
  <c r="EL81" i="188"/>
  <c r="BL8" i="188"/>
  <c r="EL76" i="188"/>
  <c r="EL99" i="188"/>
  <c r="I29" i="192"/>
  <c r="J41" i="192" s="1"/>
  <c r="I46" i="192"/>
  <c r="I47" i="192" s="1"/>
  <c r="EL100" i="188"/>
  <c r="H100" i="192"/>
  <c r="J71" i="193"/>
  <c r="J53" i="193"/>
  <c r="K22" i="193"/>
  <c r="L22" i="193" s="1"/>
  <c r="EL39" i="188"/>
  <c r="EL38" i="188"/>
  <c r="EL41" i="188"/>
  <c r="N9" i="192"/>
  <c r="O9" i="192" s="1"/>
  <c r="M64" i="192"/>
  <c r="EL98" i="188"/>
  <c r="EL31" i="188"/>
  <c r="EL42" i="188"/>
  <c r="O7" i="192"/>
  <c r="P7" i="192" s="1"/>
  <c r="N62" i="192"/>
  <c r="L8" i="192"/>
  <c r="L13" i="192" s="1"/>
  <c r="EL101" i="188"/>
  <c r="I5" i="137"/>
  <c r="I86" i="137"/>
  <c r="I16" i="137"/>
  <c r="I96" i="137" s="1"/>
  <c r="K71" i="193"/>
  <c r="K53" i="193"/>
  <c r="F44" i="133"/>
  <c r="G5" i="133"/>
  <c r="F8" i="133"/>
  <c r="I14" i="137"/>
  <c r="I94" i="137" s="1"/>
  <c r="I18" i="137"/>
  <c r="I98" i="137" s="1"/>
  <c r="I13" i="137"/>
  <c r="I93" i="137"/>
  <c r="I15" i="137"/>
  <c r="I95" i="137" s="1"/>
  <c r="I17" i="137"/>
  <c r="I97" i="137" s="1"/>
  <c r="R29" i="133"/>
  <c r="Q12" i="26"/>
  <c r="R52" i="133"/>
  <c r="R30" i="133"/>
  <c r="O37" i="138"/>
  <c r="F28" i="35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F19" i="35"/>
  <c r="G19" i="35" s="1"/>
  <c r="H19" i="35" s="1"/>
  <c r="I19" i="35" s="1"/>
  <c r="J19" i="35" s="1"/>
  <c r="K19" i="35" s="1"/>
  <c r="L19" i="35" s="1"/>
  <c r="M19" i="35" s="1"/>
  <c r="N19" i="35" s="1"/>
  <c r="O19" i="35" s="1"/>
  <c r="P19" i="35" s="1"/>
  <c r="F60" i="35"/>
  <c r="G60" i="35"/>
  <c r="F49" i="35"/>
  <c r="G49" i="35" s="1"/>
  <c r="H49" i="35" s="1"/>
  <c r="F59" i="35"/>
  <c r="G59" i="35" s="1"/>
  <c r="F61" i="35"/>
  <c r="F50" i="35"/>
  <c r="G50" i="35"/>
  <c r="C35" i="138"/>
  <c r="F51" i="35"/>
  <c r="G51" i="35" s="1"/>
  <c r="D35" i="138"/>
  <c r="F52" i="35"/>
  <c r="G52" i="35" s="1"/>
  <c r="H52" i="35" s="1"/>
  <c r="I52" i="35" s="1"/>
  <c r="J52" i="35" s="1"/>
  <c r="K52" i="35" s="1"/>
  <c r="L52" i="35" s="1"/>
  <c r="M52" i="35" s="1"/>
  <c r="N52" i="35" s="1"/>
  <c r="O52" i="35" s="1"/>
  <c r="P52" i="35" s="1"/>
  <c r="F48" i="35"/>
  <c r="G48" i="35"/>
  <c r="H48" i="35" s="1"/>
  <c r="I48" i="35" s="1"/>
  <c r="J48" i="35" s="1"/>
  <c r="K48" i="35" s="1"/>
  <c r="L48" i="35" s="1"/>
  <c r="M48" i="35" s="1"/>
  <c r="N48" i="35" s="1"/>
  <c r="O48" i="35" s="1"/>
  <c r="P48" i="35" s="1"/>
  <c r="Q9" i="26"/>
  <c r="Q10" i="26"/>
  <c r="K101" i="197"/>
  <c r="K103" i="197"/>
  <c r="K100" i="197"/>
  <c r="K53" i="197"/>
  <c r="Y51" i="110"/>
  <c r="Y20" i="110"/>
  <c r="K102" i="197"/>
  <c r="K104" i="197"/>
  <c r="Y32" i="110"/>
  <c r="Y35" i="110"/>
  <c r="Y31" i="110"/>
  <c r="Y37" i="110"/>
  <c r="Y27" i="110"/>
  <c r="Y47" i="110"/>
  <c r="Y63" i="110"/>
  <c r="Y33" i="110"/>
  <c r="K97" i="197"/>
  <c r="K96" i="197"/>
  <c r="K98" i="197"/>
  <c r="I11" i="199"/>
  <c r="I24" i="199" s="1"/>
  <c r="AX144" i="133"/>
  <c r="AX145" i="133" s="1"/>
  <c r="AB144" i="133"/>
  <c r="AQ144" i="133"/>
  <c r="AU144" i="133"/>
  <c r="AV144" i="133"/>
  <c r="AG144" i="133"/>
  <c r="AN144" i="133"/>
  <c r="Y144" i="133"/>
  <c r="W144" i="133"/>
  <c r="AH144" i="133"/>
  <c r="X144" i="133"/>
  <c r="AM144" i="133"/>
  <c r="AZ144" i="133"/>
  <c r="AO144" i="133"/>
  <c r="AD144" i="133"/>
  <c r="AW144" i="133"/>
  <c r="AW145" i="133" s="1"/>
  <c r="AI144" i="133"/>
  <c r="AI145" i="133" s="1"/>
  <c r="AC144" i="133"/>
  <c r="BB144" i="133"/>
  <c r="T144" i="133"/>
  <c r="AA144" i="133"/>
  <c r="BA144" i="133"/>
  <c r="V144" i="133"/>
  <c r="AY144" i="133"/>
  <c r="Z144" i="133"/>
  <c r="BD144" i="133"/>
  <c r="AP144" i="133"/>
  <c r="AJ144" i="133"/>
  <c r="AK144" i="133"/>
  <c r="U144" i="133"/>
  <c r="AT144" i="133"/>
  <c r="AL144" i="133"/>
  <c r="BC144" i="133"/>
  <c r="I118" i="193"/>
  <c r="E118" i="193"/>
  <c r="I15" i="193"/>
  <c r="D118" i="193"/>
  <c r="L15" i="193"/>
  <c r="F118" i="193"/>
  <c r="H11" i="199"/>
  <c r="H24" i="199" s="1"/>
  <c r="P11" i="199"/>
  <c r="P24" i="199" s="1"/>
  <c r="M11" i="199"/>
  <c r="M24" i="199" s="1"/>
  <c r="N11" i="199"/>
  <c r="J118" i="193"/>
  <c r="J15" i="193"/>
  <c r="H15" i="193"/>
  <c r="K15" i="193"/>
  <c r="E15" i="193"/>
  <c r="G15" i="193"/>
  <c r="AF144" i="133"/>
  <c r="AR144" i="133" s="1"/>
  <c r="S144" i="133"/>
  <c r="AE144" i="133" s="1"/>
  <c r="AS144" i="133"/>
  <c r="BE144" i="133" s="1"/>
  <c r="C118" i="193"/>
  <c r="F15" i="193"/>
  <c r="H118" i="193"/>
  <c r="O15" i="193"/>
  <c r="G118" i="193"/>
  <c r="M118" i="193"/>
  <c r="M15" i="193"/>
  <c r="L118" i="193"/>
  <c r="N15" i="193"/>
  <c r="K118" i="193"/>
  <c r="B16" i="119"/>
  <c r="B18" i="119" s="1"/>
  <c r="F11" i="199"/>
  <c r="S11" i="199" s="1"/>
  <c r="S17" i="199" s="1"/>
  <c r="G11" i="199"/>
  <c r="G24" i="199" s="1"/>
  <c r="D15" i="193"/>
  <c r="D17" i="193" s="1"/>
  <c r="B118" i="193"/>
  <c r="P118" i="193" s="1"/>
  <c r="Q11" i="199"/>
  <c r="O11" i="199"/>
  <c r="L11" i="199"/>
  <c r="L24" i="199" s="1"/>
  <c r="K11" i="199"/>
  <c r="K24" i="199" s="1"/>
  <c r="J11" i="199"/>
  <c r="J24" i="199" s="1"/>
  <c r="B12" i="119"/>
  <c r="B13" i="119" s="1"/>
  <c r="N11" i="119"/>
  <c r="E16" i="119"/>
  <c r="E18" i="119" s="1"/>
  <c r="E20" i="119" s="1"/>
  <c r="E24" i="119" s="1"/>
  <c r="E25" i="119" s="1"/>
  <c r="E12" i="119"/>
  <c r="E13" i="119" s="1"/>
  <c r="F12" i="119"/>
  <c r="F16" i="119"/>
  <c r="F18" i="119" s="1"/>
  <c r="F21" i="119" s="1"/>
  <c r="K18" i="119"/>
  <c r="K21" i="119" s="1"/>
  <c r="K20" i="119"/>
  <c r="K24" i="119" s="1"/>
  <c r="K25" i="119" s="1"/>
  <c r="K12" i="119"/>
  <c r="D16" i="119"/>
  <c r="D18" i="119" s="1"/>
  <c r="D20" i="119" s="1"/>
  <c r="D24" i="119" s="1"/>
  <c r="D25" i="119" s="1"/>
  <c r="D12" i="119"/>
  <c r="C12" i="119"/>
  <c r="C13" i="119" s="1"/>
  <c r="C16" i="119"/>
  <c r="L18" i="119"/>
  <c r="L20" i="119" s="1"/>
  <c r="L24" i="119" s="1"/>
  <c r="L25" i="119" s="1"/>
  <c r="L12" i="119"/>
  <c r="I18" i="119"/>
  <c r="G16" i="119"/>
  <c r="G18" i="119" s="1"/>
  <c r="H12" i="119"/>
  <c r="H13" i="119" s="1"/>
  <c r="H16" i="119"/>
  <c r="H18" i="119" s="1"/>
  <c r="M12" i="119"/>
  <c r="M13" i="119" s="1"/>
  <c r="M18" i="119"/>
  <c r="M20" i="119" s="1"/>
  <c r="M24" i="119" s="1"/>
  <c r="M25" i="119" s="1"/>
  <c r="Q24" i="199"/>
  <c r="C18" i="119"/>
  <c r="C20" i="119" s="1"/>
  <c r="C24" i="119" s="1"/>
  <c r="C25" i="119" s="1"/>
  <c r="D13" i="119"/>
  <c r="K13" i="119"/>
  <c r="F13" i="119"/>
  <c r="Q7" i="26"/>
  <c r="Q5" i="26"/>
  <c r="Q8" i="26"/>
  <c r="C5" i="138"/>
  <c r="O5" i="138" s="1"/>
  <c r="O16" i="138"/>
  <c r="Q11" i="26"/>
  <c r="Q22" i="26"/>
  <c r="Q14" i="26"/>
  <c r="Q23" i="26"/>
  <c r="C4" i="197"/>
  <c r="Q15" i="26"/>
  <c r="Q16" i="26"/>
  <c r="Q17" i="26"/>
  <c r="Q24" i="26"/>
  <c r="R269" i="58"/>
  <c r="T96" i="58"/>
  <c r="U182" i="58" s="1"/>
  <c r="V96" i="58"/>
  <c r="W182" i="58" s="1"/>
  <c r="U96" i="58"/>
  <c r="V182" i="58" s="1"/>
  <c r="S183" i="58"/>
  <c r="R96" i="58"/>
  <c r="S182" i="58" s="1"/>
  <c r="W185" i="58"/>
  <c r="S100" i="58"/>
  <c r="V186" i="58" s="1"/>
  <c r="T100" i="58"/>
  <c r="W186" i="58" s="1"/>
  <c r="R100" i="58"/>
  <c r="U186" i="58" s="1"/>
  <c r="X11" i="58"/>
  <c r="T268" i="58"/>
  <c r="U308" i="58"/>
  <c r="U309" i="58" s="1"/>
  <c r="S308" i="58"/>
  <c r="S309" i="58" s="1"/>
  <c r="R308" i="58"/>
  <c r="R309" i="58" s="1"/>
  <c r="V308" i="58"/>
  <c r="V309" i="58" s="1"/>
  <c r="T308" i="58"/>
  <c r="T309" i="58" s="1"/>
  <c r="S268" i="58"/>
  <c r="U268" i="58"/>
  <c r="R268" i="58"/>
  <c r="V268" i="58"/>
  <c r="W183" i="58"/>
  <c r="X15" i="58"/>
  <c r="V183" i="58"/>
  <c r="S96" i="58"/>
  <c r="X13" i="58"/>
  <c r="U269" i="58"/>
  <c r="U100" i="58"/>
  <c r="S269" i="58"/>
  <c r="X12" i="58"/>
  <c r="V269" i="58"/>
  <c r="X14" i="58"/>
  <c r="V100" i="58"/>
  <c r="X16" i="58"/>
  <c r="T183" i="58"/>
  <c r="T269" i="58"/>
  <c r="V290" i="58"/>
  <c r="V328" i="58"/>
  <c r="T328" i="58"/>
  <c r="T290" i="58"/>
  <c r="S328" i="58"/>
  <c r="S290" i="58"/>
  <c r="R328" i="58"/>
  <c r="R290" i="58"/>
  <c r="U290" i="58"/>
  <c r="U328" i="58"/>
  <c r="U288" i="58"/>
  <c r="V288" i="58"/>
  <c r="T288" i="58"/>
  <c r="R288" i="58"/>
  <c r="X97" i="58"/>
  <c r="E9" i="196" s="1"/>
  <c r="U183" i="58"/>
  <c r="S288" i="58"/>
  <c r="Q66" i="35"/>
  <c r="AA16" i="119"/>
  <c r="AA18" i="119"/>
  <c r="L169" i="58" l="1"/>
  <c r="Q169" i="58"/>
  <c r="W169" i="58"/>
  <c r="U169" i="58"/>
  <c r="S169" i="58"/>
  <c r="J251" i="110"/>
  <c r="T169" i="58"/>
  <c r="G45" i="133"/>
  <c r="P169" i="58"/>
  <c r="V169" i="58"/>
  <c r="R169" i="58"/>
  <c r="O169" i="58"/>
  <c r="T40" i="178"/>
  <c r="K49" i="178"/>
  <c r="H49" i="178"/>
  <c r="T38" i="178"/>
  <c r="T37" i="178"/>
  <c r="L251" i="110"/>
  <c r="P365" i="110"/>
  <c r="EL107" i="188"/>
  <c r="I49" i="35"/>
  <c r="J49" i="35" s="1"/>
  <c r="K49" i="35" s="1"/>
  <c r="L49" i="35" s="1"/>
  <c r="M49" i="35" s="1"/>
  <c r="N49" i="35" s="1"/>
  <c r="O49" i="35" s="1"/>
  <c r="P49" i="35" s="1"/>
  <c r="H51" i="35"/>
  <c r="I51" i="35" s="1"/>
  <c r="J46" i="192"/>
  <c r="J47" i="192" s="1"/>
  <c r="J29" i="192"/>
  <c r="J34" i="192" s="1"/>
  <c r="N65" i="192"/>
  <c r="N12" i="192"/>
  <c r="O10" i="192"/>
  <c r="EG13" i="188"/>
  <c r="EK13" i="188"/>
  <c r="EA13" i="188"/>
  <c r="EL13" i="188" s="1"/>
  <c r="EF13" i="188"/>
  <c r="EE13" i="188"/>
  <c r="EC13" i="188"/>
  <c r="EK26" i="188"/>
  <c r="EK29" i="188" s="1"/>
  <c r="DX29" i="188"/>
  <c r="L10" i="175"/>
  <c r="L45" i="175"/>
  <c r="L46" i="175" s="1"/>
  <c r="M41" i="175"/>
  <c r="J31" i="180"/>
  <c r="J37" i="180" s="1"/>
  <c r="I37" i="180"/>
  <c r="DL3" i="188"/>
  <c r="DB5" i="188"/>
  <c r="EE5" i="188"/>
  <c r="EL3" i="188"/>
  <c r="BZ5" i="188"/>
  <c r="CL4" i="188"/>
  <c r="DA7" i="188" s="1"/>
  <c r="AL6" i="188"/>
  <c r="DL6" i="188"/>
  <c r="DL8" i="188"/>
  <c r="DL10" i="188"/>
  <c r="BA24" i="188"/>
  <c r="BL15" i="188"/>
  <c r="EL15" i="188"/>
  <c r="EB24" i="188"/>
  <c r="BZ24" i="188"/>
  <c r="CL16" i="188"/>
  <c r="DC24" i="188"/>
  <c r="DL16" i="188"/>
  <c r="CL17" i="188"/>
  <c r="DL18" i="188"/>
  <c r="DL19" i="188"/>
  <c r="W130" i="188"/>
  <c r="AD29" i="188"/>
  <c r="AD130" i="188" s="1"/>
  <c r="AD132" i="188" s="1"/>
  <c r="AL28" i="188"/>
  <c r="AL29" i="188" s="1"/>
  <c r="CB43" i="188"/>
  <c r="BY43" i="188"/>
  <c r="BH44" i="188"/>
  <c r="AY44" i="188"/>
  <c r="AU74" i="188"/>
  <c r="EJ45" i="188"/>
  <c r="DW74" i="188"/>
  <c r="DC46" i="188"/>
  <c r="CY46" i="188"/>
  <c r="CP74" i="188"/>
  <c r="CP130" i="188" s="1"/>
  <c r="BE61" i="188"/>
  <c r="AY61" i="188"/>
  <c r="AR74" i="188"/>
  <c r="CI61" i="188"/>
  <c r="BV74" i="188"/>
  <c r="CY61" i="188"/>
  <c r="DE61" i="188"/>
  <c r="CR74" i="188"/>
  <c r="DY61" i="188"/>
  <c r="BK62" i="188"/>
  <c r="AX74" i="188"/>
  <c r="AX130" i="188" s="1"/>
  <c r="CY62" i="188"/>
  <c r="DC62" i="188"/>
  <c r="CX74" i="188"/>
  <c r="DK62" i="188"/>
  <c r="DT74" i="188"/>
  <c r="DY62" i="188"/>
  <c r="EG62" i="188"/>
  <c r="CY63" i="188"/>
  <c r="CM74" i="188"/>
  <c r="CY65" i="188"/>
  <c r="DB65" i="188"/>
  <c r="AY66" i="188"/>
  <c r="BF66" i="188"/>
  <c r="BL66" i="188" s="1"/>
  <c r="BC71" i="188"/>
  <c r="BK71" i="188"/>
  <c r="BK74" i="188" s="1"/>
  <c r="BJ71" i="188"/>
  <c r="AZ71" i="188"/>
  <c r="BG71" i="188"/>
  <c r="BF71" i="188"/>
  <c r="BI71" i="188"/>
  <c r="BA71" i="188"/>
  <c r="BB71" i="188"/>
  <c r="BH71" i="188"/>
  <c r="I71" i="188"/>
  <c r="BD71" i="188"/>
  <c r="BE71" i="188"/>
  <c r="CY72" i="188"/>
  <c r="DE72" i="188"/>
  <c r="DL72" i="188" s="1"/>
  <c r="DY72" i="188"/>
  <c r="EA72" i="188"/>
  <c r="AG97" i="188"/>
  <c r="AL75" i="188"/>
  <c r="AL76" i="188"/>
  <c r="AD97" i="188"/>
  <c r="BL79" i="188"/>
  <c r="CJ82" i="188"/>
  <c r="BW97" i="188"/>
  <c r="CL83" i="188"/>
  <c r="ED87" i="188"/>
  <c r="DY87" i="188"/>
  <c r="DQ97" i="188"/>
  <c r="DF91" i="188"/>
  <c r="CY91" i="188"/>
  <c r="EA91" i="188"/>
  <c r="DN97" i="188"/>
  <c r="DY91" i="188"/>
  <c r="AA97" i="188"/>
  <c r="AL92" i="188"/>
  <c r="BH92" i="188"/>
  <c r="AU97" i="188"/>
  <c r="BY92" i="188"/>
  <c r="BQ97" i="188"/>
  <c r="CY92" i="188"/>
  <c r="CM97" i="188"/>
  <c r="DY92" i="188"/>
  <c r="AZ93" i="188"/>
  <c r="BH93" i="188"/>
  <c r="BJ93" i="188"/>
  <c r="I93" i="188"/>
  <c r="BF93" i="188"/>
  <c r="BG93" i="188"/>
  <c r="BG97" i="188" s="1"/>
  <c r="BB93" i="188"/>
  <c r="BK93" i="188"/>
  <c r="BC93" i="188"/>
  <c r="BE93" i="188"/>
  <c r="BA93" i="188"/>
  <c r="BA97" i="188" s="1"/>
  <c r="BD93" i="188"/>
  <c r="AQ97" i="188"/>
  <c r="AY93" i="188"/>
  <c r="BY93" i="188"/>
  <c r="BU97" i="188"/>
  <c r="CH93" i="188"/>
  <c r="DY93" i="188"/>
  <c r="DM97" i="188"/>
  <c r="CH94" i="188"/>
  <c r="CL94" i="188" s="1"/>
  <c r="BY94" i="188"/>
  <c r="DB94" i="188"/>
  <c r="CY94" i="188"/>
  <c r="CO97" i="188"/>
  <c r="EE95" i="188"/>
  <c r="EL95" i="188" s="1"/>
  <c r="DR97" i="188"/>
  <c r="CB123" i="188"/>
  <c r="BY123" i="188"/>
  <c r="BY127" i="188" s="1"/>
  <c r="BO127" i="188"/>
  <c r="DK123" i="188"/>
  <c r="DK127" i="188" s="1"/>
  <c r="CX127" i="188"/>
  <c r="CF125" i="188"/>
  <c r="CF127" i="188" s="1"/>
  <c r="BS127" i="188"/>
  <c r="F60" i="192"/>
  <c r="H60" i="192"/>
  <c r="G60" i="192"/>
  <c r="G63" i="192" s="1"/>
  <c r="J60" i="192"/>
  <c r="K60" i="192"/>
  <c r="N20" i="192"/>
  <c r="N25" i="192" s="1"/>
  <c r="N99" i="192" s="1"/>
  <c r="O18" i="192"/>
  <c r="S49" i="199"/>
  <c r="R49" i="199"/>
  <c r="P8" i="157"/>
  <c r="D19" i="157"/>
  <c r="C27" i="138"/>
  <c r="D10" i="157"/>
  <c r="E55" i="35" s="1"/>
  <c r="R176" i="137"/>
  <c r="R180" i="137"/>
  <c r="R182" i="137" s="1"/>
  <c r="L16" i="199"/>
  <c r="K22" i="119"/>
  <c r="F24" i="199"/>
  <c r="S24" i="199" s="1"/>
  <c r="I86" i="192"/>
  <c r="K61" i="192"/>
  <c r="BJ9" i="188"/>
  <c r="J79" i="192"/>
  <c r="DL111" i="188"/>
  <c r="DL31" i="188"/>
  <c r="BJ44" i="188"/>
  <c r="G8" i="175"/>
  <c r="O6" i="175"/>
  <c r="R19" i="180"/>
  <c r="D78" i="192" s="1"/>
  <c r="S19" i="180"/>
  <c r="AL3" i="188"/>
  <c r="AL5" i="188" s="1"/>
  <c r="AE5" i="188"/>
  <c r="CL3" i="188"/>
  <c r="CL5" i="188" s="1"/>
  <c r="CG5" i="188"/>
  <c r="Z5" i="188"/>
  <c r="Z130" i="188" s="1"/>
  <c r="Z132" i="188" s="1"/>
  <c r="AL4" i="188"/>
  <c r="DC5" i="188"/>
  <c r="DL4" i="188"/>
  <c r="EF5" i="188"/>
  <c r="EL4" i="188"/>
  <c r="CL8" i="188"/>
  <c r="CL10" i="188"/>
  <c r="BV14" i="188"/>
  <c r="DX14" i="188"/>
  <c r="DY12" i="188"/>
  <c r="DY14" i="188" s="1"/>
  <c r="AL15" i="188"/>
  <c r="AF24" i="188"/>
  <c r="CL15" i="188"/>
  <c r="CL24" i="188" s="1"/>
  <c r="CD24" i="188"/>
  <c r="AJ24" i="188"/>
  <c r="AL16" i="188"/>
  <c r="DL17" i="188"/>
  <c r="CL18" i="188"/>
  <c r="CL19" i="188"/>
  <c r="DO130" i="188"/>
  <c r="BF43" i="188"/>
  <c r="BF74" i="188" s="1"/>
  <c r="AS74" i="188"/>
  <c r="AY43" i="188"/>
  <c r="BU74" i="188"/>
  <c r="CH43" i="188"/>
  <c r="DA44" i="188"/>
  <c r="DL44" i="188" s="1"/>
  <c r="CY44" i="188"/>
  <c r="CN74" i="188"/>
  <c r="BG45" i="188"/>
  <c r="BL45" i="188" s="1"/>
  <c r="AY45" i="188"/>
  <c r="AT74" i="188"/>
  <c r="AT130" i="188" s="1"/>
  <c r="BG46" i="188"/>
  <c r="AY46" i="188"/>
  <c r="EE46" i="188"/>
  <c r="DR74" i="188"/>
  <c r="DY46" i="188"/>
  <c r="AL47" i="188"/>
  <c r="AI74" i="188"/>
  <c r="BJ47" i="188"/>
  <c r="AY47" i="188"/>
  <c r="AE74" i="188"/>
  <c r="AL60" i="188"/>
  <c r="CY60" i="188"/>
  <c r="CT74" i="188"/>
  <c r="DG60" i="188"/>
  <c r="DY60" i="188"/>
  <c r="DX74" i="188"/>
  <c r="BY61" i="188"/>
  <c r="CA61" i="188"/>
  <c r="BC62" i="188"/>
  <c r="BL62" i="188" s="1"/>
  <c r="AY62" i="188"/>
  <c r="BY62" i="188"/>
  <c r="BT74" i="188"/>
  <c r="CG62" i="188"/>
  <c r="AZ63" i="188"/>
  <c r="AY63" i="188"/>
  <c r="BY63" i="188"/>
  <c r="CU74" i="188"/>
  <c r="DY63" i="188"/>
  <c r="DQ74" i="188"/>
  <c r="BF64" i="188"/>
  <c r="BC64" i="188"/>
  <c r="BD64" i="188"/>
  <c r="BH64" i="188"/>
  <c r="BH74" i="188" s="1"/>
  <c r="BB64" i="188"/>
  <c r="AZ64" i="188"/>
  <c r="BK64" i="188"/>
  <c r="BI64" i="188"/>
  <c r="BG64" i="188"/>
  <c r="BJ64" i="188"/>
  <c r="BA64" i="188"/>
  <c r="I64" i="188"/>
  <c r="BE64" i="188"/>
  <c r="AY64" i="188"/>
  <c r="CY64" i="188"/>
  <c r="AY65" i="188"/>
  <c r="BB65" i="188"/>
  <c r="BL65" i="188" s="1"/>
  <c r="BY65" i="188"/>
  <c r="CF65" i="188"/>
  <c r="CL65" i="188" s="1"/>
  <c r="DY65" i="188"/>
  <c r="AL66" i="188"/>
  <c r="AJ74" i="188"/>
  <c r="CB66" i="188"/>
  <c r="CL66" i="188" s="1"/>
  <c r="BY66" i="188"/>
  <c r="DY66" i="188"/>
  <c r="EB66" i="188"/>
  <c r="EL66" i="188" s="1"/>
  <c r="BY75" i="188"/>
  <c r="BN97" i="188"/>
  <c r="CA75" i="188"/>
  <c r="BC97" i="188"/>
  <c r="BO97" i="188"/>
  <c r="BY82" i="188"/>
  <c r="CB82" i="188"/>
  <c r="CY82" i="188"/>
  <c r="CS97" i="188"/>
  <c r="DF82" i="188"/>
  <c r="DL82" i="188" s="1"/>
  <c r="DO97" i="188"/>
  <c r="DY82" i="188"/>
  <c r="DW97" i="188"/>
  <c r="EJ82" i="188"/>
  <c r="EL82" i="188" s="1"/>
  <c r="EH85" i="188"/>
  <c r="DY85" i="188"/>
  <c r="DU97" i="188"/>
  <c r="DA87" i="188"/>
  <c r="CY87" i="188"/>
  <c r="CN97" i="188"/>
  <c r="BL88" i="188"/>
  <c r="BB97" i="188"/>
  <c r="BJ89" i="188"/>
  <c r="BL89" i="188" s="1"/>
  <c r="AY89" i="188"/>
  <c r="AW97" i="188"/>
  <c r="AY92" i="188"/>
  <c r="AZ92" i="188"/>
  <c r="AM97" i="188"/>
  <c r="AH97" i="188"/>
  <c r="AL93" i="188"/>
  <c r="BI124" i="188"/>
  <c r="AY124" i="188"/>
  <c r="DF124" i="188"/>
  <c r="DF127" i="188" s="1"/>
  <c r="CS127" i="188"/>
  <c r="DG126" i="188"/>
  <c r="CT127" i="188"/>
  <c r="CY126" i="188"/>
  <c r="K66" i="192"/>
  <c r="K67" i="192" s="1"/>
  <c r="K106" i="192" s="1"/>
  <c r="F66" i="192"/>
  <c r="J66" i="192"/>
  <c r="J67" i="192" s="1"/>
  <c r="J106" i="192" s="1"/>
  <c r="O66" i="192"/>
  <c r="H66" i="192"/>
  <c r="H67" i="192" s="1"/>
  <c r="H106" i="192" s="1"/>
  <c r="M66" i="192"/>
  <c r="I66" i="192"/>
  <c r="I67" i="192" s="1"/>
  <c r="I106" i="192" s="1"/>
  <c r="L66" i="192"/>
  <c r="L67" i="192" s="1"/>
  <c r="L106" i="192" s="1"/>
  <c r="N66" i="192"/>
  <c r="P66" i="192"/>
  <c r="Q66" i="192"/>
  <c r="G66" i="192"/>
  <c r="G67" i="192" s="1"/>
  <c r="G106" i="192" s="1"/>
  <c r="V176" i="137"/>
  <c r="V181" i="137"/>
  <c r="V182" i="137" s="1"/>
  <c r="F97" i="110"/>
  <c r="G97" i="110" s="1"/>
  <c r="Q97" i="110" s="1"/>
  <c r="Y12" i="110"/>
  <c r="Q28" i="35"/>
  <c r="BD9" i="188"/>
  <c r="EL120" i="188"/>
  <c r="DF55" i="188"/>
  <c r="DL36" i="188"/>
  <c r="EH36" i="188"/>
  <c r="EF36" i="188"/>
  <c r="EA36" i="188"/>
  <c r="EL36" i="188" s="1"/>
  <c r="EK36" i="188"/>
  <c r="CO130" i="188"/>
  <c r="AK122" i="188"/>
  <c r="CL62" i="188"/>
  <c r="BY74" i="188"/>
  <c r="D8" i="175"/>
  <c r="O7" i="175"/>
  <c r="BG12" i="188"/>
  <c r="I12" i="188"/>
  <c r="CI12" i="188" s="1"/>
  <c r="CI14" i="188" s="1"/>
  <c r="BB12" i="188"/>
  <c r="BI12" i="188"/>
  <c r="BH12" i="188"/>
  <c r="AK12" i="188"/>
  <c r="AL12" i="188" s="1"/>
  <c r="BC12" i="188"/>
  <c r="AZ12" i="188"/>
  <c r="BA12" i="188"/>
  <c r="BD12" i="188"/>
  <c r="BE12" i="188"/>
  <c r="BF12" i="188"/>
  <c r="BJ12" i="188"/>
  <c r="BK12" i="188"/>
  <c r="BL16" i="188"/>
  <c r="AZ24" i="188"/>
  <c r="DF43" i="188"/>
  <c r="CS74" i="188"/>
  <c r="CY43" i="188"/>
  <c r="BZ44" i="188"/>
  <c r="BY44" i="188"/>
  <c r="BM74" i="188"/>
  <c r="CE45" i="188"/>
  <c r="BR74" i="188"/>
  <c r="CE46" i="188"/>
  <c r="BY46" i="188"/>
  <c r="BD48" i="188"/>
  <c r="BL48" i="188" s="1"/>
  <c r="AQ74" i="188"/>
  <c r="AY48" i="188"/>
  <c r="CF50" i="188"/>
  <c r="BY50" i="188"/>
  <c r="BS74" i="188"/>
  <c r="CF56" i="188"/>
  <c r="CL56" i="188" s="1"/>
  <c r="BY56" i="188"/>
  <c r="DY56" i="188"/>
  <c r="EF56" i="188"/>
  <c r="EL56" i="188" s="1"/>
  <c r="CY59" i="188"/>
  <c r="DA59" i="188"/>
  <c r="DL59" i="188" s="1"/>
  <c r="CI90" i="188"/>
  <c r="BV97" i="188"/>
  <c r="BY90" i="188"/>
  <c r="EH90" i="188"/>
  <c r="EL90" i="188" s="1"/>
  <c r="DY90" i="188"/>
  <c r="BU140" i="188"/>
  <c r="BY105" i="188"/>
  <c r="BY122" i="188" s="1"/>
  <c r="BU122" i="188"/>
  <c r="CH105" i="188"/>
  <c r="EA123" i="188"/>
  <c r="DY123" i="188"/>
  <c r="DN127" i="188"/>
  <c r="CB125" i="188"/>
  <c r="BY125" i="188"/>
  <c r="F87" i="192"/>
  <c r="R30" i="192"/>
  <c r="F34" i="192"/>
  <c r="H59" i="133"/>
  <c r="I59" i="133"/>
  <c r="AH59" i="133"/>
  <c r="AU59" i="133"/>
  <c r="G59" i="133"/>
  <c r="W59" i="133"/>
  <c r="AX59" i="133"/>
  <c r="N59" i="133"/>
  <c r="V59" i="133"/>
  <c r="AG59" i="133"/>
  <c r="K59" i="133"/>
  <c r="U59" i="133"/>
  <c r="O59" i="133"/>
  <c r="AF59" i="133"/>
  <c r="J59" i="133"/>
  <c r="AV59" i="133"/>
  <c r="Q59" i="133"/>
  <c r="S59" i="133"/>
  <c r="X59" i="133"/>
  <c r="M59" i="133"/>
  <c r="L59" i="133"/>
  <c r="AS59" i="133"/>
  <c r="AW59" i="133"/>
  <c r="AI59" i="133"/>
  <c r="P59" i="133"/>
  <c r="F59" i="133"/>
  <c r="Q15" i="35"/>
  <c r="Q176" i="137"/>
  <c r="Q181" i="137"/>
  <c r="Q182" i="137" s="1"/>
  <c r="L21" i="119"/>
  <c r="L22" i="119" s="1"/>
  <c r="D21" i="119"/>
  <c r="E35" i="138"/>
  <c r="M12" i="192"/>
  <c r="EB13" i="188"/>
  <c r="EE49" i="188"/>
  <c r="DL77" i="188"/>
  <c r="EH49" i="188"/>
  <c r="EG49" i="188"/>
  <c r="EA49" i="188"/>
  <c r="EC49" i="188"/>
  <c r="EI49" i="188"/>
  <c r="DZ49" i="188"/>
  <c r="EF49" i="188"/>
  <c r="EK49" i="188"/>
  <c r="EG105" i="188"/>
  <c r="EH105" i="188"/>
  <c r="ED105" i="188"/>
  <c r="EI105" i="188"/>
  <c r="EE105" i="188"/>
  <c r="DZ105" i="188"/>
  <c r="EJ105" i="188"/>
  <c r="EK105" i="188"/>
  <c r="EA105" i="188"/>
  <c r="DL120" i="188"/>
  <c r="CL105" i="188"/>
  <c r="BL81" i="188"/>
  <c r="DD61" i="188"/>
  <c r="DB61" i="188"/>
  <c r="DH61" i="188"/>
  <c r="DK61" i="188"/>
  <c r="DI61" i="188"/>
  <c r="DG61" i="188"/>
  <c r="DC61" i="188"/>
  <c r="DJ61" i="188"/>
  <c r="CZ61" i="188"/>
  <c r="K61" i="188"/>
  <c r="DI33" i="188"/>
  <c r="DC33" i="188"/>
  <c r="DJ33" i="188"/>
  <c r="DG33" i="188"/>
  <c r="DE33" i="188"/>
  <c r="DA33" i="188"/>
  <c r="DK33" i="188"/>
  <c r="DD33" i="188"/>
  <c r="CZ33" i="188"/>
  <c r="K33" i="188"/>
  <c r="DB33" i="188"/>
  <c r="DH33" i="188"/>
  <c r="DF33" i="188"/>
  <c r="BE9" i="188"/>
  <c r="AZ9" i="188"/>
  <c r="BL9" i="188" s="1"/>
  <c r="BA9" i="188"/>
  <c r="BH9" i="188"/>
  <c r="BB9" i="188"/>
  <c r="BI9" i="188"/>
  <c r="BK9" i="188"/>
  <c r="DL80" i="188"/>
  <c r="BS14" i="188"/>
  <c r="BS130" i="188" s="1"/>
  <c r="BY12" i="188"/>
  <c r="BY14" i="188" s="1"/>
  <c r="CF12" i="188"/>
  <c r="CF14" i="188" s="1"/>
  <c r="AA24" i="188"/>
  <c r="AL23" i="188"/>
  <c r="EH46" i="188"/>
  <c r="DU74" i="188"/>
  <c r="AY49" i="188"/>
  <c r="AN74" i="188"/>
  <c r="BA49" i="188"/>
  <c r="BL49" i="188" s="1"/>
  <c r="CY49" i="188"/>
  <c r="DA49" i="188"/>
  <c r="DL49" i="188" s="1"/>
  <c r="AF50" i="188"/>
  <c r="Y50" i="188"/>
  <c r="S74" i="188"/>
  <c r="S130" i="188" s="1"/>
  <c r="DY51" i="188"/>
  <c r="EF51" i="188"/>
  <c r="EL51" i="188" s="1"/>
  <c r="DO74" i="188"/>
  <c r="DY55" i="188"/>
  <c r="EB55" i="188"/>
  <c r="EL55" i="188" s="1"/>
  <c r="DB56" i="188"/>
  <c r="DL56" i="188" s="1"/>
  <c r="CY56" i="188"/>
  <c r="DI85" i="188"/>
  <c r="CY85" i="188"/>
  <c r="CV97" i="188"/>
  <c r="EG87" i="188"/>
  <c r="DT97" i="188"/>
  <c r="AL91" i="188"/>
  <c r="AF97" i="188"/>
  <c r="DZ95" i="188"/>
  <c r="DY95" i="188"/>
  <c r="CO136" i="188"/>
  <c r="CO122" i="188"/>
  <c r="CY101" i="188"/>
  <c r="CY122" i="188" s="1"/>
  <c r="DB101" i="188"/>
  <c r="Y123" i="188"/>
  <c r="Y127" i="188" s="1"/>
  <c r="AE123" i="188"/>
  <c r="R127" i="188"/>
  <c r="R130" i="188" s="1"/>
  <c r="CZ123" i="188"/>
  <c r="CM127" i="188"/>
  <c r="CY123" i="188"/>
  <c r="CY127" i="188" s="1"/>
  <c r="DA124" i="188"/>
  <c r="CN127" i="188"/>
  <c r="CY124" i="188"/>
  <c r="ED125" i="188"/>
  <c r="DQ127" i="188"/>
  <c r="DY125" i="188"/>
  <c r="L88" i="192"/>
  <c r="R88" i="192" s="1"/>
  <c r="R31" i="192"/>
  <c r="H50" i="192"/>
  <c r="G56" i="192"/>
  <c r="Y21" i="110"/>
  <c r="M60" i="192"/>
  <c r="M65" i="192"/>
  <c r="EL77" i="188"/>
  <c r="EJ13" i="188"/>
  <c r="BG9" i="188"/>
  <c r="EL72" i="188"/>
  <c r="EF108" i="188"/>
  <c r="EK108" i="188"/>
  <c r="EI108" i="188"/>
  <c r="EH108" i="188"/>
  <c r="EE108" i="188"/>
  <c r="EC108" i="188"/>
  <c r="EL108" i="188" s="1"/>
  <c r="ED108" i="188"/>
  <c r="DS29" i="188"/>
  <c r="EF26" i="188"/>
  <c r="EF29" i="188" s="1"/>
  <c r="CB57" i="188"/>
  <c r="BI93" i="188"/>
  <c r="Q6" i="180"/>
  <c r="P11" i="180"/>
  <c r="BI74" i="188"/>
  <c r="EA43" i="188"/>
  <c r="DY43" i="188"/>
  <c r="DN74" i="188"/>
  <c r="DJ44" i="188"/>
  <c r="CW74" i="188"/>
  <c r="CK46" i="188"/>
  <c r="BX74" i="188"/>
  <c r="BY48" i="188"/>
  <c r="BZ48" i="188"/>
  <c r="CL48" i="188" s="1"/>
  <c r="DY48" i="188"/>
  <c r="DM74" i="188"/>
  <c r="DZ48" i="188"/>
  <c r="EL48" i="188" s="1"/>
  <c r="CV74" i="188"/>
  <c r="DI49" i="188"/>
  <c r="AY50" i="188"/>
  <c r="BB50" i="188"/>
  <c r="BL50" i="188" s="1"/>
  <c r="AO74" i="188"/>
  <c r="CY50" i="188"/>
  <c r="DB50" i="188"/>
  <c r="CO74" i="188"/>
  <c r="DY50" i="188"/>
  <c r="DS74" i="188"/>
  <c r="BB51" i="188"/>
  <c r="BL51" i="188" s="1"/>
  <c r="AY51" i="188"/>
  <c r="DY57" i="188"/>
  <c r="EB57" i="188"/>
  <c r="EL57" i="188" s="1"/>
  <c r="CY58" i="188"/>
  <c r="DB58" i="188"/>
  <c r="DL58" i="188" s="1"/>
  <c r="DY58" i="188"/>
  <c r="EF58" i="188"/>
  <c r="EL58" i="188" s="1"/>
  <c r="DF86" i="188"/>
  <c r="DL86" i="188" s="1"/>
  <c r="CY86" i="188"/>
  <c r="BY89" i="188"/>
  <c r="CA89" i="188"/>
  <c r="CL89" i="188" s="1"/>
  <c r="BZ91" i="188"/>
  <c r="CL91" i="188" s="1"/>
  <c r="BM97" i="188"/>
  <c r="BY91" i="188"/>
  <c r="DW142" i="188"/>
  <c r="DW122" i="188"/>
  <c r="DY107" i="188"/>
  <c r="DN122" i="188"/>
  <c r="DY108" i="188"/>
  <c r="BB123" i="188"/>
  <c r="AO127" i="188"/>
  <c r="AY123" i="188"/>
  <c r="AY127" i="188" s="1"/>
  <c r="X174" i="137"/>
  <c r="X176" i="137" s="1"/>
  <c r="I34" i="192"/>
  <c r="M67" i="192"/>
  <c r="M106" i="192" s="1"/>
  <c r="L60" i="192"/>
  <c r="L63" i="192" s="1"/>
  <c r="EH13" i="188"/>
  <c r="DL37" i="188"/>
  <c r="DL79" i="188"/>
  <c r="DI65" i="188"/>
  <c r="DD65" i="188"/>
  <c r="DH65" i="188"/>
  <c r="DK65" i="188"/>
  <c r="DA65" i="188"/>
  <c r="DF65" i="188"/>
  <c r="DC65" i="188"/>
  <c r="K65" i="188"/>
  <c r="DE65" i="188"/>
  <c r="DG65" i="188"/>
  <c r="CZ65" i="188"/>
  <c r="DB70" i="188"/>
  <c r="DJ70" i="188"/>
  <c r="DA70" i="188"/>
  <c r="DD70" i="188"/>
  <c r="DI70" i="188"/>
  <c r="K70" i="188"/>
  <c r="DH70" i="188"/>
  <c r="DC70" i="188"/>
  <c r="DK70" i="188"/>
  <c r="CZ70" i="188"/>
  <c r="DG70" i="188"/>
  <c r="DF70" i="188"/>
  <c r="AF102" i="188"/>
  <c r="AF122" i="188" s="1"/>
  <c r="AG102" i="188"/>
  <c r="AG122" i="188" s="1"/>
  <c r="G102" i="188"/>
  <c r="H102" i="188" s="1"/>
  <c r="AJ102" i="188"/>
  <c r="AJ122" i="188" s="1"/>
  <c r="AH102" i="188"/>
  <c r="AH122" i="188" s="1"/>
  <c r="AH130" i="188" s="1"/>
  <c r="AI102" i="188"/>
  <c r="AI122" i="188" s="1"/>
  <c r="AI130" i="188" s="1"/>
  <c r="BH97" i="188"/>
  <c r="BL76" i="188"/>
  <c r="J8" i="175"/>
  <c r="AQ130" i="188"/>
  <c r="DB24" i="188"/>
  <c r="DL15" i="188"/>
  <c r="AW130" i="188"/>
  <c r="DD44" i="188"/>
  <c r="CQ74" i="188"/>
  <c r="BZ45" i="188"/>
  <c r="BY45" i="188"/>
  <c r="CB47" i="188"/>
  <c r="BY47" i="188"/>
  <c r="EC47" i="188"/>
  <c r="EL47" i="188" s="1"/>
  <c r="DP74" i="188"/>
  <c r="DP130" i="188" s="1"/>
  <c r="DY47" i="188"/>
  <c r="CY51" i="188"/>
  <c r="DB51" i="188"/>
  <c r="DL51" i="188" s="1"/>
  <c r="BY55" i="188"/>
  <c r="CB55" i="188"/>
  <c r="CL55" i="188" s="1"/>
  <c r="CF58" i="188"/>
  <c r="BY58" i="188"/>
  <c r="DD87" i="188"/>
  <c r="CQ97" i="188"/>
  <c r="EI88" i="188"/>
  <c r="DY88" i="188"/>
  <c r="DV97" i="188"/>
  <c r="DH90" i="188"/>
  <c r="CY90" i="188"/>
  <c r="CU97" i="188"/>
  <c r="BJ91" i="188"/>
  <c r="BL91" i="188" s="1"/>
  <c r="AY91" i="188"/>
  <c r="AY97" i="188" s="1"/>
  <c r="CW136" i="188"/>
  <c r="CW122" i="188"/>
  <c r="CW130" i="188" s="1"/>
  <c r="DJ101" i="188"/>
  <c r="DL101" i="188" s="1"/>
  <c r="BI123" i="188"/>
  <c r="BI127" i="188" s="1"/>
  <c r="AV127" i="188"/>
  <c r="AC127" i="188"/>
  <c r="AL125" i="188"/>
  <c r="DL125" i="188"/>
  <c r="DC127" i="188"/>
  <c r="F61" i="192"/>
  <c r="G61" i="192"/>
  <c r="H61" i="192"/>
  <c r="I61" i="192"/>
  <c r="J61" i="192"/>
  <c r="H79" i="192"/>
  <c r="M79" i="192"/>
  <c r="N79" i="192"/>
  <c r="F79" i="192"/>
  <c r="R79" i="192" s="1"/>
  <c r="L79" i="192"/>
  <c r="Q79" i="192"/>
  <c r="G79" i="192"/>
  <c r="K79" i="192"/>
  <c r="O79" i="192"/>
  <c r="ED13" i="188"/>
  <c r="DR130" i="188"/>
  <c r="DL55" i="188"/>
  <c r="CL81" i="188"/>
  <c r="CZ54" i="188"/>
  <c r="DG54" i="188"/>
  <c r="DC54" i="188"/>
  <c r="DB54" i="188"/>
  <c r="DH54" i="188"/>
  <c r="K54" i="188"/>
  <c r="DK54" i="188"/>
  <c r="DD54" i="188"/>
  <c r="BR130" i="188"/>
  <c r="EI59" i="188"/>
  <c r="EG59" i="188"/>
  <c r="EL59" i="188" s="1"/>
  <c r="ED59" i="188"/>
  <c r="EB59" i="188"/>
  <c r="EC59" i="188"/>
  <c r="EH59" i="188"/>
  <c r="CL72" i="188"/>
  <c r="DL94" i="188"/>
  <c r="EL62" i="188"/>
  <c r="R75" i="192"/>
  <c r="G37" i="193"/>
  <c r="C30" i="193"/>
  <c r="E30" i="193" s="1"/>
  <c r="E36" i="193" s="1"/>
  <c r="CL54" i="188"/>
  <c r="CL76" i="188"/>
  <c r="BL78" i="188"/>
  <c r="AZ97" i="188"/>
  <c r="CL98" i="188"/>
  <c r="CL58" i="188"/>
  <c r="BD97" i="188"/>
  <c r="BL124" i="188"/>
  <c r="CI112" i="188"/>
  <c r="CC112" i="188"/>
  <c r="J112" i="188"/>
  <c r="CK112" i="188"/>
  <c r="CF112" i="188"/>
  <c r="BZ112" i="188"/>
  <c r="CJ112" i="188"/>
  <c r="CH112" i="188"/>
  <c r="CE112" i="188"/>
  <c r="CA112" i="188"/>
  <c r="DH104" i="188"/>
  <c r="DD104" i="188"/>
  <c r="DL104" i="188" s="1"/>
  <c r="K104" i="188"/>
  <c r="DJ104" i="188"/>
  <c r="CL109" i="188"/>
  <c r="DW27" i="188"/>
  <c r="DJ27" i="188"/>
  <c r="DJ29" i="188" s="1"/>
  <c r="DF50" i="188"/>
  <c r="CZ50" i="188"/>
  <c r="DD50" i="188"/>
  <c r="DE50" i="188"/>
  <c r="DH50" i="188"/>
  <c r="DA50" i="188"/>
  <c r="DG50" i="188"/>
  <c r="K50" i="188"/>
  <c r="EF50" i="188" s="1"/>
  <c r="DC50" i="188"/>
  <c r="BL61" i="188"/>
  <c r="J114" i="188"/>
  <c r="CB114" i="188"/>
  <c r="CC114" i="188"/>
  <c r="CJ114" i="188"/>
  <c r="CK114" i="188"/>
  <c r="BZ114" i="188"/>
  <c r="CH114" i="188"/>
  <c r="CF114" i="188"/>
  <c r="CA114" i="188"/>
  <c r="CL103" i="188"/>
  <c r="CL106" i="188"/>
  <c r="AS130" i="188"/>
  <c r="CB50" i="188"/>
  <c r="CD50" i="188"/>
  <c r="CE50" i="188"/>
  <c r="CC50" i="188"/>
  <c r="CA50" i="188"/>
  <c r="BZ50" i="188"/>
  <c r="EG24" i="188"/>
  <c r="CJ127" i="188"/>
  <c r="BP130" i="188"/>
  <c r="DH127" i="188"/>
  <c r="EL91" i="188"/>
  <c r="DD48" i="188"/>
  <c r="DL48" i="188" s="1"/>
  <c r="R77" i="192"/>
  <c r="C12" i="175"/>
  <c r="D5" i="175" s="1"/>
  <c r="D12" i="175" s="1"/>
  <c r="E5" i="175" s="1"/>
  <c r="E12" i="175" s="1"/>
  <c r="F5" i="175" s="1"/>
  <c r="F12" i="175" s="1"/>
  <c r="G5" i="175" s="1"/>
  <c r="G12" i="175" s="1"/>
  <c r="H5" i="175" s="1"/>
  <c r="H12" i="175" s="1"/>
  <c r="I5" i="175" s="1"/>
  <c r="I12" i="175" s="1"/>
  <c r="J5" i="175" s="1"/>
  <c r="J12" i="175" s="1"/>
  <c r="K5" i="175" s="1"/>
  <c r="BF127" i="188"/>
  <c r="BE5" i="188"/>
  <c r="AL48" i="188"/>
  <c r="BG33" i="188"/>
  <c r="BL33" i="188" s="1"/>
  <c r="CL124" i="188"/>
  <c r="CL45" i="188"/>
  <c r="DJ127" i="188"/>
  <c r="I40" i="124"/>
  <c r="L40" i="124"/>
  <c r="O40" i="124"/>
  <c r="I46" i="175"/>
  <c r="DV130" i="188"/>
  <c r="BU27" i="188"/>
  <c r="BH27" i="188"/>
  <c r="BH29" i="188" s="1"/>
  <c r="BA28" i="188"/>
  <c r="BL28" i="188" s="1"/>
  <c r="BN28" i="188"/>
  <c r="AN29" i="188"/>
  <c r="AN130" i="188" s="1"/>
  <c r="AC74" i="188"/>
  <c r="AL30" i="188"/>
  <c r="AM74" i="188"/>
  <c r="AY30" i="188"/>
  <c r="AZ30" i="188"/>
  <c r="BA31" i="188"/>
  <c r="AY31" i="188"/>
  <c r="AV74" i="188"/>
  <c r="BI31" i="188"/>
  <c r="CI34" i="188"/>
  <c r="CE34" i="188"/>
  <c r="CB34" i="188"/>
  <c r="CF34" i="188"/>
  <c r="CG34" i="188"/>
  <c r="BO74" i="188"/>
  <c r="BO130" i="188" s="1"/>
  <c r="AG74" i="188"/>
  <c r="AL40" i="188"/>
  <c r="BC40" i="188"/>
  <c r="AP74" i="188"/>
  <c r="AP130" i="188" s="1"/>
  <c r="AY40" i="188"/>
  <c r="EA45" i="188"/>
  <c r="EL45" i="188" s="1"/>
  <c r="DY45" i="188"/>
  <c r="CA46" i="188"/>
  <c r="BN74" i="188"/>
  <c r="BL47" i="188"/>
  <c r="BY49" i="188"/>
  <c r="BY51" i="188"/>
  <c r="AL53" i="188"/>
  <c r="BL57" i="188"/>
  <c r="CY57" i="188"/>
  <c r="DY59" i="188"/>
  <c r="AL86" i="188"/>
  <c r="EK86" i="188"/>
  <c r="DX97" i="188"/>
  <c r="DG87" i="188"/>
  <c r="CT97" i="188"/>
  <c r="AE107" i="188"/>
  <c r="AE122" i="188" s="1"/>
  <c r="AC107" i="188"/>
  <c r="AC122" i="188" s="1"/>
  <c r="CH123" i="188"/>
  <c r="CH127" i="188" s="1"/>
  <c r="BU127" i="188"/>
  <c r="EL124" i="188"/>
  <c r="D58" i="193"/>
  <c r="CL47" i="188"/>
  <c r="I60" i="192"/>
  <c r="I63" i="192" s="1"/>
  <c r="BC29" i="188"/>
  <c r="AL34" i="188"/>
  <c r="CJ34" i="188"/>
  <c r="BW74" i="188"/>
  <c r="I40" i="188"/>
  <c r="BD40" i="188"/>
  <c r="BD74" i="188" s="1"/>
  <c r="BH40" i="188"/>
  <c r="BH51" i="188"/>
  <c r="CH57" i="188"/>
  <c r="CB59" i="188"/>
  <c r="CA59" i="188"/>
  <c r="CL59" i="188" s="1"/>
  <c r="EC20" i="188"/>
  <c r="EF20" i="188"/>
  <c r="EF24" i="188" s="1"/>
  <c r="DB47" i="188"/>
  <c r="CY47" i="188"/>
  <c r="BE60" i="188"/>
  <c r="BE74" i="188" s="1"/>
  <c r="BA60" i="188"/>
  <c r="BB69" i="188"/>
  <c r="BG69" i="188"/>
  <c r="AZ69" i="188"/>
  <c r="BH69" i="188"/>
  <c r="BL69" i="188" s="1"/>
  <c r="I69" i="188"/>
  <c r="BI69" i="188"/>
  <c r="DL87" i="188"/>
  <c r="AL13" i="188"/>
  <c r="R32" i="192"/>
  <c r="AC9" i="188"/>
  <c r="AL9" i="188" s="1"/>
  <c r="EK20" i="188"/>
  <c r="EK24" i="188" s="1"/>
  <c r="J60" i="188"/>
  <c r="AG11" i="188"/>
  <c r="AG14" i="188" s="1"/>
  <c r="AG130" i="188" s="1"/>
  <c r="AE11" i="188"/>
  <c r="AL22" i="188"/>
  <c r="DK25" i="188"/>
  <c r="DL25" i="188" s="1"/>
  <c r="CX29" i="188"/>
  <c r="AJ29" i="188"/>
  <c r="AJ130" i="188" s="1"/>
  <c r="I30" i="188"/>
  <c r="BB30" i="188"/>
  <c r="BJ30" i="188"/>
  <c r="BJ74" i="188" s="1"/>
  <c r="DY35" i="188"/>
  <c r="BQ74" i="188"/>
  <c r="DL45" i="188"/>
  <c r="J117" i="188"/>
  <c r="CH117" i="188"/>
  <c r="CF117" i="188"/>
  <c r="BZ117" i="188"/>
  <c r="CZ117" i="188"/>
  <c r="CU122" i="188"/>
  <c r="DH117" i="188"/>
  <c r="DL57" i="188"/>
  <c r="R89" i="192"/>
  <c r="AZ29" i="188"/>
  <c r="AJ5" i="188"/>
  <c r="AG24" i="188"/>
  <c r="CM28" i="188"/>
  <c r="BM29" i="188"/>
  <c r="BM130" i="188" s="1"/>
  <c r="DL47" i="188"/>
  <c r="BF63" i="188"/>
  <c r="I63" i="188"/>
  <c r="CD63" i="188" s="1"/>
  <c r="BC63" i="188"/>
  <c r="BL67" i="188"/>
  <c r="BE80" i="188"/>
  <c r="AR97" i="188"/>
  <c r="BE92" i="188"/>
  <c r="I92" i="188"/>
  <c r="CD92" i="188" s="1"/>
  <c r="DJ124" i="188"/>
  <c r="CW127" i="188"/>
  <c r="CK125" i="188"/>
  <c r="CK127" i="188" s="1"/>
  <c r="BX127" i="188"/>
  <c r="I90" i="192"/>
  <c r="R90" i="192" s="1"/>
  <c r="R33" i="192"/>
  <c r="G8" i="119"/>
  <c r="W8" i="119"/>
  <c r="W23" i="119" s="1"/>
  <c r="V8" i="119"/>
  <c r="V23" i="119" s="1"/>
  <c r="L54" i="35" s="1"/>
  <c r="J8" i="119"/>
  <c r="I8" i="119"/>
  <c r="K63" i="133"/>
  <c r="I63" i="133"/>
  <c r="AT63" i="133"/>
  <c r="N63" i="133"/>
  <c r="N64" i="133" s="1"/>
  <c r="N84" i="133" s="1"/>
  <c r="AJ63" i="133"/>
  <c r="DK29" i="188"/>
  <c r="DQ26" i="188"/>
  <c r="DD26" i="188"/>
  <c r="DD29" i="188" s="1"/>
  <c r="BK90" i="188"/>
  <c r="AX97" i="188"/>
  <c r="DC117" i="188"/>
  <c r="H72" i="35"/>
  <c r="I72" i="35" s="1"/>
  <c r="J72" i="35" s="1"/>
  <c r="K72" i="35" s="1"/>
  <c r="L72" i="35" s="1"/>
  <c r="M72" i="35" s="1"/>
  <c r="N72" i="35" s="1"/>
  <c r="O72" i="35" s="1"/>
  <c r="P72" i="35" s="1"/>
  <c r="BW130" i="188"/>
  <c r="DL46" i="188"/>
  <c r="EL46" i="188"/>
  <c r="CL90" i="188"/>
  <c r="BK97" i="188"/>
  <c r="G22" i="124"/>
  <c r="G49" i="124"/>
  <c r="Q63" i="35"/>
  <c r="BE6" i="188"/>
  <c r="BL6" i="188" s="1"/>
  <c r="L11" i="175"/>
  <c r="G25" i="133"/>
  <c r="G95" i="133" s="1"/>
  <c r="L19" i="157"/>
  <c r="D46" i="175"/>
  <c r="Q11" i="180"/>
  <c r="CV130" i="188"/>
  <c r="F27" i="138"/>
  <c r="G10" i="157"/>
  <c r="H55" i="35" s="1"/>
  <c r="G19" i="157"/>
  <c r="N10" i="157"/>
  <c r="O55" i="35" s="1"/>
  <c r="M27" i="138"/>
  <c r="N19" i="157"/>
  <c r="CL49" i="188"/>
  <c r="BK6" i="188"/>
  <c r="BI6" i="188"/>
  <c r="H13" i="192"/>
  <c r="BL72" i="188"/>
  <c r="BL99" i="188"/>
  <c r="X180" i="137"/>
  <c r="M182" i="137"/>
  <c r="M168" i="137"/>
  <c r="N162" i="137"/>
  <c r="N163" i="137" s="1"/>
  <c r="N167" i="137" s="1"/>
  <c r="J15" i="35"/>
  <c r="I19" i="157"/>
  <c r="H9" i="133"/>
  <c r="G12" i="133"/>
  <c r="O10" i="178"/>
  <c r="T7" i="178"/>
  <c r="EL86" i="188"/>
  <c r="T130" i="188"/>
  <c r="CS130" i="188"/>
  <c r="Q130" i="188"/>
  <c r="CL46" i="188"/>
  <c r="BL70" i="188"/>
  <c r="EL83" i="188"/>
  <c r="CL95" i="188"/>
  <c r="F19" i="157"/>
  <c r="X182" i="137"/>
  <c r="X183" i="137" s="1"/>
  <c r="U176" i="137"/>
  <c r="W169" i="137"/>
  <c r="BE136" i="133"/>
  <c r="Q77" i="35"/>
  <c r="H11" i="110"/>
  <c r="AB11" i="110" s="1"/>
  <c r="AE11" i="110" s="1"/>
  <c r="EL84" i="188"/>
  <c r="DL89" i="188"/>
  <c r="J25" i="133"/>
  <c r="J95" i="133" s="1"/>
  <c r="X210" i="58"/>
  <c r="I11" i="110"/>
  <c r="AC11" i="110" s="1"/>
  <c r="AF11" i="110" s="1"/>
  <c r="T41" i="178"/>
  <c r="P25" i="133"/>
  <c r="P95" i="133" s="1"/>
  <c r="X159" i="137"/>
  <c r="X161" i="137" s="1"/>
  <c r="H20" i="110"/>
  <c r="AB20" i="110" s="1"/>
  <c r="AE20" i="110" s="1"/>
  <c r="T29" i="178"/>
  <c r="EL88" i="188"/>
  <c r="DL91" i="188"/>
  <c r="AV130" i="188"/>
  <c r="V6" i="133"/>
  <c r="W6" i="133" s="1"/>
  <c r="S163" i="137"/>
  <c r="S167" i="137" s="1"/>
  <c r="S169" i="137" s="1"/>
  <c r="I20" i="110"/>
  <c r="AC20" i="110" s="1"/>
  <c r="AF20" i="110" s="1"/>
  <c r="T163" i="137"/>
  <c r="T167" i="137" s="1"/>
  <c r="M163" i="137"/>
  <c r="M167" i="137" s="1"/>
  <c r="T30" i="178"/>
  <c r="T42" i="178"/>
  <c r="J15" i="178"/>
  <c r="H15" i="178"/>
  <c r="M15" i="178"/>
  <c r="K15" i="178"/>
  <c r="K16" i="178"/>
  <c r="H16" i="178"/>
  <c r="M16" i="178"/>
  <c r="J16" i="178"/>
  <c r="N8" i="192"/>
  <c r="N13" i="192" s="1"/>
  <c r="N60" i="192"/>
  <c r="O5" i="192"/>
  <c r="N18" i="119"/>
  <c r="B20" i="119"/>
  <c r="D22" i="119"/>
  <c r="Q7" i="192"/>
  <c r="Q62" i="192" s="1"/>
  <c r="P62" i="192"/>
  <c r="M61" i="192"/>
  <c r="N6" i="192"/>
  <c r="M8" i="192"/>
  <c r="H20" i="119"/>
  <c r="H24" i="119" s="1"/>
  <c r="H25" i="119" s="1"/>
  <c r="H21" i="119"/>
  <c r="H59" i="35"/>
  <c r="I59" i="35" s="1"/>
  <c r="J59" i="35" s="1"/>
  <c r="K59" i="35" s="1"/>
  <c r="L59" i="35" s="1"/>
  <c r="M59" i="35" s="1"/>
  <c r="N59" i="35" s="1"/>
  <c r="O59" i="35" s="1"/>
  <c r="P59" i="35" s="1"/>
  <c r="L98" i="192"/>
  <c r="Q19" i="35"/>
  <c r="J36" i="192"/>
  <c r="J100" i="192"/>
  <c r="O12" i="192"/>
  <c r="O64" i="192"/>
  <c r="P9" i="192"/>
  <c r="M22" i="193"/>
  <c r="L53" i="193"/>
  <c r="L71" i="193"/>
  <c r="C21" i="119"/>
  <c r="C22" i="119" s="1"/>
  <c r="E21" i="119"/>
  <c r="E22" i="119" s="1"/>
  <c r="L13" i="119"/>
  <c r="M21" i="119"/>
  <c r="M22" i="119" s="1"/>
  <c r="B21" i="119"/>
  <c r="G36" i="192"/>
  <c r="G98" i="192"/>
  <c r="CR130" i="188"/>
  <c r="ED26" i="188"/>
  <c r="DQ29" i="188"/>
  <c r="DQ130" i="188" s="1"/>
  <c r="DY26" i="188"/>
  <c r="CE32" i="188"/>
  <c r="CB32" i="188"/>
  <c r="CF32" i="188"/>
  <c r="CK32" i="188"/>
  <c r="CA32" i="188"/>
  <c r="CC32" i="188"/>
  <c r="BZ32" i="188"/>
  <c r="CI32" i="188"/>
  <c r="CJ32" i="188"/>
  <c r="CD32" i="188"/>
  <c r="J32" i="188"/>
  <c r="CG32" i="188"/>
  <c r="CH32" i="188"/>
  <c r="BL71" i="188"/>
  <c r="BF97" i="188"/>
  <c r="Q48" i="35"/>
  <c r="F20" i="119"/>
  <c r="F24" i="119" s="1"/>
  <c r="F25" i="119" s="1"/>
  <c r="H50" i="35"/>
  <c r="G61" i="35"/>
  <c r="H61" i="35" s="1"/>
  <c r="I61" i="35" s="1"/>
  <c r="J61" i="35" s="1"/>
  <c r="K61" i="35" s="1"/>
  <c r="L61" i="35" s="1"/>
  <c r="M61" i="35" s="1"/>
  <c r="N61" i="35" s="1"/>
  <c r="O61" i="35" s="1"/>
  <c r="P61" i="35" s="1"/>
  <c r="H60" i="35"/>
  <c r="I60" i="35" s="1"/>
  <c r="J60" i="35" s="1"/>
  <c r="K60" i="35" s="1"/>
  <c r="L60" i="35" s="1"/>
  <c r="M60" i="35" s="1"/>
  <c r="N60" i="35" s="1"/>
  <c r="O60" i="35" s="1"/>
  <c r="P60" i="35" s="1"/>
  <c r="J86" i="192"/>
  <c r="CL79" i="188"/>
  <c r="AB130" i="188"/>
  <c r="AB132" i="188" s="1"/>
  <c r="EL43" i="188"/>
  <c r="EL87" i="188"/>
  <c r="Q50" i="192"/>
  <c r="Q56" i="192" s="1"/>
  <c r="P56" i="192"/>
  <c r="K11" i="175"/>
  <c r="O9" i="175"/>
  <c r="R15" i="180"/>
  <c r="Q22" i="180"/>
  <c r="S15" i="180"/>
  <c r="BD29" i="188"/>
  <c r="BL25" i="188"/>
  <c r="BE29" i="188"/>
  <c r="BL26" i="188"/>
  <c r="Y74" i="188"/>
  <c r="Y130" i="188" s="1"/>
  <c r="DL43" i="188"/>
  <c r="BB74" i="188"/>
  <c r="Q52" i="35"/>
  <c r="O62" i="192"/>
  <c r="N16" i="119"/>
  <c r="R7" i="192"/>
  <c r="DK103" i="188"/>
  <c r="DE103" i="188"/>
  <c r="K103" i="188"/>
  <c r="DC103" i="188"/>
  <c r="DA103" i="188"/>
  <c r="DJ103" i="188"/>
  <c r="DB103" i="188"/>
  <c r="DG103" i="188"/>
  <c r="DH103" i="188"/>
  <c r="DD103" i="188"/>
  <c r="DI103" i="188"/>
  <c r="CZ103" i="188"/>
  <c r="DF103" i="188"/>
  <c r="DI114" i="188"/>
  <c r="DJ114" i="188"/>
  <c r="DG114" i="188"/>
  <c r="DD114" i="188"/>
  <c r="DF114" i="188"/>
  <c r="DK114" i="188"/>
  <c r="DA114" i="188"/>
  <c r="K114" i="188"/>
  <c r="DB114" i="188"/>
  <c r="DC114" i="188"/>
  <c r="DH114" i="188"/>
  <c r="DE114" i="188"/>
  <c r="CZ114" i="188"/>
  <c r="S16" i="180"/>
  <c r="R16" i="180"/>
  <c r="D74" i="192" s="1"/>
  <c r="BL37" i="188"/>
  <c r="BL38" i="188"/>
  <c r="EL44" i="188"/>
  <c r="BL55" i="188"/>
  <c r="BL90" i="188"/>
  <c r="BI97" i="188"/>
  <c r="D47" i="175"/>
  <c r="E16" i="175" s="1"/>
  <c r="E47" i="175" s="1"/>
  <c r="F16" i="175" s="1"/>
  <c r="F47" i="175" s="1"/>
  <c r="G16" i="175" s="1"/>
  <c r="G47" i="175" s="1"/>
  <c r="H16" i="175" s="1"/>
  <c r="H47" i="175" s="1"/>
  <c r="I16" i="175" s="1"/>
  <c r="I47" i="175" s="1"/>
  <c r="J16" i="175" s="1"/>
  <c r="J47" i="175" s="1"/>
  <c r="K16" i="175" s="1"/>
  <c r="K47" i="175" s="1"/>
  <c r="L16" i="175" s="1"/>
  <c r="L47" i="175" s="1"/>
  <c r="M16" i="175" s="1"/>
  <c r="DS130" i="188"/>
  <c r="BZ40" i="188"/>
  <c r="CK40" i="188"/>
  <c r="CC40" i="188"/>
  <c r="CA40" i="188"/>
  <c r="CD40" i="188"/>
  <c r="CH40" i="188"/>
  <c r="CG40" i="188"/>
  <c r="CB40" i="188"/>
  <c r="CJ40" i="188"/>
  <c r="CF40" i="188"/>
  <c r="J40" i="188"/>
  <c r="CE40" i="188"/>
  <c r="CI40" i="188"/>
  <c r="CL43" i="188"/>
  <c r="CL44" i="188"/>
  <c r="BL46" i="188"/>
  <c r="DL85" i="188"/>
  <c r="DL95" i="188"/>
  <c r="K41" i="192"/>
  <c r="N64" i="192"/>
  <c r="BD10" i="188"/>
  <c r="BE10" i="188"/>
  <c r="BG10" i="188"/>
  <c r="BG14" i="188" s="1"/>
  <c r="BC10" i="188"/>
  <c r="BC14" i="188" s="1"/>
  <c r="BK10" i="188"/>
  <c r="BJ10" i="188"/>
  <c r="BI10" i="188"/>
  <c r="BI14" i="188" s="1"/>
  <c r="BF10" i="188"/>
  <c r="BF14" i="188" s="1"/>
  <c r="BA10" i="188"/>
  <c r="BA14" i="188" s="1"/>
  <c r="BB10" i="188"/>
  <c r="AZ10" i="188"/>
  <c r="AK10" i="188"/>
  <c r="BH10" i="188"/>
  <c r="BH14" i="188" s="1"/>
  <c r="EB25" i="188"/>
  <c r="DY25" i="188"/>
  <c r="CT28" i="188"/>
  <c r="CG28" i="188"/>
  <c r="BT29" i="188"/>
  <c r="BT130" i="188" s="1"/>
  <c r="BY28" i="188"/>
  <c r="BL44" i="188"/>
  <c r="DL84" i="188"/>
  <c r="BC102" i="188"/>
  <c r="BC122" i="188" s="1"/>
  <c r="BH102" i="188"/>
  <c r="BH122" i="188" s="1"/>
  <c r="AZ102" i="188"/>
  <c r="BF102" i="188"/>
  <c r="BF122" i="188" s="1"/>
  <c r="BI102" i="188"/>
  <c r="BI122" i="188" s="1"/>
  <c r="BE102" i="188"/>
  <c r="BE122" i="188" s="1"/>
  <c r="CL31" i="188"/>
  <c r="D72" i="193"/>
  <c r="D67" i="193"/>
  <c r="D76" i="193" s="1"/>
  <c r="D13" i="193" s="1"/>
  <c r="P78" i="192"/>
  <c r="P80" i="192" s="1"/>
  <c r="I78" i="192"/>
  <c r="I80" i="192" s="1"/>
  <c r="O78" i="192"/>
  <c r="Q78" i="192"/>
  <c r="Q80" i="192" s="1"/>
  <c r="H78" i="192"/>
  <c r="F78" i="192"/>
  <c r="L78" i="192"/>
  <c r="L80" i="192" s="1"/>
  <c r="K78" i="192"/>
  <c r="K80" i="192" s="1"/>
  <c r="J78" i="192"/>
  <c r="J80" i="192" s="1"/>
  <c r="N78" i="192"/>
  <c r="N80" i="192" s="1"/>
  <c r="M78" i="192"/>
  <c r="M80" i="192" s="1"/>
  <c r="G78" i="192"/>
  <c r="G80" i="192" s="1"/>
  <c r="G107" i="192" s="1"/>
  <c r="ED24" i="188"/>
  <c r="EL18" i="188"/>
  <c r="EJ24" i="188"/>
  <c r="EL19" i="188"/>
  <c r="BL43" i="188"/>
  <c r="BL54" i="188"/>
  <c r="BA74" i="188"/>
  <c r="DL83" i="188"/>
  <c r="L167" i="137"/>
  <c r="U163" i="137"/>
  <c r="U167" i="137" s="1"/>
  <c r="V162" i="137"/>
  <c r="V168" i="137" s="1"/>
  <c r="U168" i="137"/>
  <c r="I29" i="35"/>
  <c r="J29" i="35" s="1"/>
  <c r="K29" i="35" s="1"/>
  <c r="L29" i="35" s="1"/>
  <c r="M29" i="35" s="1"/>
  <c r="N29" i="35" s="1"/>
  <c r="O29" i="35" s="1"/>
  <c r="P29" i="35" s="1"/>
  <c r="M15" i="199"/>
  <c r="M16" i="199" s="1"/>
  <c r="M17" i="199" s="1"/>
  <c r="AE8" i="188"/>
  <c r="T168" i="137"/>
  <c r="M55" i="35"/>
  <c r="G36" i="133"/>
  <c r="F96" i="133"/>
  <c r="E11" i="35" s="1"/>
  <c r="M54" i="181"/>
  <c r="Q8" i="119"/>
  <c r="Q23" i="119" s="1"/>
  <c r="G54" i="35" s="1"/>
  <c r="Y8" i="119"/>
  <c r="Y23" i="119" s="1"/>
  <c r="O54" i="35" s="1"/>
  <c r="E90" i="137"/>
  <c r="S61" i="199"/>
  <c r="O56" i="124"/>
  <c r="O64" i="124" s="1"/>
  <c r="K57" i="181"/>
  <c r="K58" i="181" s="1"/>
  <c r="AT59" i="133"/>
  <c r="U8" i="119"/>
  <c r="E98" i="137"/>
  <c r="E86" i="137"/>
  <c r="X201" i="58"/>
  <c r="R161" i="137"/>
  <c r="R163" i="137" s="1"/>
  <c r="R167" i="137" s="1"/>
  <c r="R169" i="137" s="1"/>
  <c r="E92" i="137"/>
  <c r="C41" i="138"/>
  <c r="AZ118" i="133"/>
  <c r="AT116" i="133"/>
  <c r="AT118" i="133" s="1"/>
  <c r="E13" i="133"/>
  <c r="AW69" i="133"/>
  <c r="Q107" i="133"/>
  <c r="I28" i="133"/>
  <c r="I43" i="133" s="1"/>
  <c r="BB116" i="133"/>
  <c r="BB118" i="133" s="1"/>
  <c r="F51" i="133"/>
  <c r="F83" i="133" s="1"/>
  <c r="E64" i="133"/>
  <c r="AG93" i="133"/>
  <c r="I69" i="133"/>
  <c r="AT20" i="133"/>
  <c r="AE136" i="133"/>
  <c r="AW5" i="133"/>
  <c r="F47" i="133"/>
  <c r="AA118" i="133"/>
  <c r="Q82" i="133"/>
  <c r="I107" i="133"/>
  <c r="Q28" i="133"/>
  <c r="Q43" i="133" s="1"/>
  <c r="N379" i="110"/>
  <c r="Q69" i="133"/>
  <c r="Y82" i="133"/>
  <c r="Q56" i="133"/>
  <c r="N369" i="110"/>
  <c r="N254" i="110"/>
  <c r="I82" i="133"/>
  <c r="AM116" i="133"/>
  <c r="AM118" i="133" s="1"/>
  <c r="AG107" i="133"/>
  <c r="AH116" i="133"/>
  <c r="AH118" i="133" s="1"/>
  <c r="R20" i="133"/>
  <c r="T59" i="133"/>
  <c r="S47" i="133"/>
  <c r="S87" i="133" s="1"/>
  <c r="S116" i="133"/>
  <c r="S118" i="133" s="1"/>
  <c r="AJ46" i="133"/>
  <c r="AX116" i="133"/>
  <c r="AX118" i="133" s="1"/>
  <c r="AX10" i="133"/>
  <c r="AX49" i="133" s="1"/>
  <c r="AW49" i="133"/>
  <c r="AJ21" i="133"/>
  <c r="AK21" i="133" s="1"/>
  <c r="AL21" i="133" s="1"/>
  <c r="AM21" i="133" s="1"/>
  <c r="AI61" i="133"/>
  <c r="BE142" i="133"/>
  <c r="BE143" i="133" s="1"/>
  <c r="AW63" i="133"/>
  <c r="AS63" i="133"/>
  <c r="M63" i="133"/>
  <c r="H63" i="133"/>
  <c r="T20" i="133"/>
  <c r="F13" i="133"/>
  <c r="F94" i="133" s="1"/>
  <c r="W63" i="133"/>
  <c r="AI63" i="133"/>
  <c r="F63" i="133"/>
  <c r="L63" i="133"/>
  <c r="T116" i="133"/>
  <c r="U63" i="133"/>
  <c r="S63" i="133"/>
  <c r="G63" i="133"/>
  <c r="Q63" i="133"/>
  <c r="AB116" i="133"/>
  <c r="AB118" i="133" s="1"/>
  <c r="V63" i="133"/>
  <c r="AU63" i="133"/>
  <c r="V44" i="133"/>
  <c r="O63" i="133"/>
  <c r="E60" i="133"/>
  <c r="AE142" i="133"/>
  <c r="AE143" i="133" s="1"/>
  <c r="AJ116" i="133"/>
  <c r="AJ118" i="133" s="1"/>
  <c r="AV49" i="133"/>
  <c r="AF63" i="133"/>
  <c r="T63" i="133"/>
  <c r="P63" i="133"/>
  <c r="P64" i="133" s="1"/>
  <c r="P84" i="133" s="1"/>
  <c r="AG63" i="133"/>
  <c r="AV63" i="133"/>
  <c r="J63" i="133"/>
  <c r="AK63" i="133"/>
  <c r="AH63" i="133"/>
  <c r="E47" i="133"/>
  <c r="AR142" i="133"/>
  <c r="AR143" i="133" s="1"/>
  <c r="G29" i="133"/>
  <c r="F129" i="133"/>
  <c r="E73" i="133"/>
  <c r="AH145" i="133"/>
  <c r="E72" i="133"/>
  <c r="AJ59" i="133"/>
  <c r="E74" i="133"/>
  <c r="E71" i="133"/>
  <c r="W46" i="133"/>
  <c r="X7" i="133"/>
  <c r="AH8" i="133"/>
  <c r="AH45" i="133"/>
  <c r="AH47" i="133" s="1"/>
  <c r="AH87" i="133" s="1"/>
  <c r="AI6" i="133"/>
  <c r="AI8" i="133" s="1"/>
  <c r="AP116" i="133"/>
  <c r="AP118" i="133" s="1"/>
  <c r="BA61" i="133"/>
  <c r="AR136" i="133"/>
  <c r="R249" i="110"/>
  <c r="T8" i="133"/>
  <c r="AD145" i="133"/>
  <c r="K25" i="133"/>
  <c r="K95" i="133" s="1"/>
  <c r="AE109" i="133"/>
  <c r="U45" i="133"/>
  <c r="U47" i="133" s="1"/>
  <c r="U87" i="133" s="1"/>
  <c r="U17" i="133"/>
  <c r="AG8" i="133"/>
  <c r="V118" i="133"/>
  <c r="AS47" i="133"/>
  <c r="AS87" i="133" s="1"/>
  <c r="AG45" i="133"/>
  <c r="AF47" i="133"/>
  <c r="AF87" i="133" s="1"/>
  <c r="S51" i="133"/>
  <c r="S83" i="133" s="1"/>
  <c r="AT47" i="133"/>
  <c r="AT87" i="133" s="1"/>
  <c r="E51" i="133"/>
  <c r="E53" i="133" s="1"/>
  <c r="F87" i="133"/>
  <c r="S24" i="133"/>
  <c r="S25" i="133" s="1"/>
  <c r="S62" i="133"/>
  <c r="AK10" i="133"/>
  <c r="AJ49" i="133"/>
  <c r="AG44" i="133"/>
  <c r="AX7" i="133"/>
  <c r="AX46" i="133" s="1"/>
  <c r="R136" i="133"/>
  <c r="AF116" i="133"/>
  <c r="AF118" i="133" s="1"/>
  <c r="V45" i="133"/>
  <c r="R49" i="133"/>
  <c r="Q25" i="133"/>
  <c r="Q95" i="133" s="1"/>
  <c r="AY116" i="133"/>
  <c r="AY118" i="133" s="1"/>
  <c r="BA118" i="133"/>
  <c r="X145" i="133"/>
  <c r="AQ116" i="133"/>
  <c r="AQ118" i="133" s="1"/>
  <c r="Y116" i="133"/>
  <c r="Y118" i="133" s="1"/>
  <c r="V49" i="133"/>
  <c r="AL63" i="133"/>
  <c r="F25" i="133"/>
  <c r="F95" i="133" s="1"/>
  <c r="S23" i="119"/>
  <c r="I54" i="35" s="1"/>
  <c r="J378" i="110"/>
  <c r="AU8" i="133"/>
  <c r="AV6" i="133"/>
  <c r="AU45" i="133"/>
  <c r="AU47" i="133" s="1"/>
  <c r="AU87" i="133" s="1"/>
  <c r="R50" i="133"/>
  <c r="G51" i="133"/>
  <c r="G83" i="133" s="1"/>
  <c r="R24" i="133"/>
  <c r="M25" i="133"/>
  <c r="M95" i="133" s="1"/>
  <c r="J363" i="110"/>
  <c r="T22" i="133"/>
  <c r="T62" i="133" s="1"/>
  <c r="J249" i="110"/>
  <c r="T47" i="133"/>
  <c r="T87" i="133" s="1"/>
  <c r="AN118" i="133"/>
  <c r="AU20" i="133"/>
  <c r="AT8" i="133"/>
  <c r="E25" i="133"/>
  <c r="R109" i="133"/>
  <c r="U61" i="133"/>
  <c r="BD61" i="133"/>
  <c r="AY63" i="133"/>
  <c r="AZ23" i="133"/>
  <c r="H45" i="133"/>
  <c r="X6" i="133"/>
  <c r="W45" i="133"/>
  <c r="W47" i="133" s="1"/>
  <c r="W87" i="133" s="1"/>
  <c r="Y23" i="133"/>
  <c r="X63" i="133"/>
  <c r="AY61" i="133"/>
  <c r="AJ44" i="133"/>
  <c r="X9" i="133"/>
  <c r="AW116" i="133"/>
  <c r="AW118" i="133" s="1"/>
  <c r="AX61" i="133"/>
  <c r="AM23" i="133"/>
  <c r="AH17" i="133"/>
  <c r="AH57" i="133" s="1"/>
  <c r="BE35" i="133"/>
  <c r="AL116" i="133"/>
  <c r="AL118" i="133" s="1"/>
  <c r="AX63" i="133"/>
  <c r="N25" i="133"/>
  <c r="N95" i="133" s="1"/>
  <c r="AK5" i="133"/>
  <c r="BE114" i="133"/>
  <c r="AR109" i="133"/>
  <c r="BE109" i="133"/>
  <c r="L25" i="133"/>
  <c r="L95" i="133" s="1"/>
  <c r="R114" i="133"/>
  <c r="BC61" i="133"/>
  <c r="I25" i="133"/>
  <c r="I95" i="133" s="1"/>
  <c r="AE35" i="133"/>
  <c r="AU122" i="133"/>
  <c r="H25" i="133"/>
  <c r="H95" i="133" s="1"/>
  <c r="J58" i="133"/>
  <c r="G8" i="133"/>
  <c r="O25" i="133"/>
  <c r="O95" i="133" s="1"/>
  <c r="R115" i="133"/>
  <c r="AR35" i="133"/>
  <c r="H5" i="133"/>
  <c r="BE110" i="133"/>
  <c r="G47" i="133"/>
  <c r="G87" i="133" s="1"/>
  <c r="AE110" i="133"/>
  <c r="AV20" i="133"/>
  <c r="AW17" i="133"/>
  <c r="AW57" i="133" s="1"/>
  <c r="K64" i="133"/>
  <c r="K84" i="133" s="1"/>
  <c r="H118" i="133"/>
  <c r="X5" i="133"/>
  <c r="W8" i="133"/>
  <c r="P118" i="133"/>
  <c r="AL7" i="133"/>
  <c r="Y19" i="133"/>
  <c r="AY19" i="133"/>
  <c r="T11" i="133"/>
  <c r="S12" i="133"/>
  <c r="I9" i="133"/>
  <c r="H12" i="133"/>
  <c r="H48" i="133"/>
  <c r="E70" i="133"/>
  <c r="F16" i="133"/>
  <c r="N16" i="133"/>
  <c r="V69" i="133"/>
  <c r="AD93" i="133"/>
  <c r="AL69" i="133"/>
  <c r="AT107" i="133"/>
  <c r="AC18" i="133"/>
  <c r="AC58" i="133" s="1"/>
  <c r="BB107" i="133"/>
  <c r="AO118" i="133"/>
  <c r="G16" i="133"/>
  <c r="O56" i="133"/>
  <c r="W69" i="133"/>
  <c r="AM69" i="133"/>
  <c r="AU107" i="133"/>
  <c r="BC69" i="133"/>
  <c r="L389" i="110"/>
  <c r="R389" i="110"/>
  <c r="BE18" i="133"/>
  <c r="X10" i="133"/>
  <c r="AL82" i="133"/>
  <c r="AR110" i="133"/>
  <c r="H16" i="133"/>
  <c r="P16" i="133"/>
  <c r="X107" i="133"/>
  <c r="AF82" i="133"/>
  <c r="AN107" i="133"/>
  <c r="AV82" i="133"/>
  <c r="BD107" i="133"/>
  <c r="H61" i="133"/>
  <c r="M389" i="110"/>
  <c r="BE21" i="133"/>
  <c r="AK18" i="133"/>
  <c r="AK58" i="133" s="1"/>
  <c r="I16" i="133"/>
  <c r="Q16" i="133"/>
  <c r="AG82" i="133"/>
  <c r="AO107" i="133"/>
  <c r="AW82" i="133"/>
  <c r="AB128" i="133"/>
  <c r="J369" i="110"/>
  <c r="R252" i="110"/>
  <c r="AN21" i="133"/>
  <c r="AJ9" i="133"/>
  <c r="AW9" i="133"/>
  <c r="AL93" i="133"/>
  <c r="J69" i="133"/>
  <c r="Z82" i="133"/>
  <c r="AH107" i="133"/>
  <c r="AP107" i="133"/>
  <c r="AX93" i="133"/>
  <c r="V21" i="133"/>
  <c r="AK19" i="133"/>
  <c r="K16" i="133"/>
  <c r="S82" i="133"/>
  <c r="AA82" i="133"/>
  <c r="AI93" i="133"/>
  <c r="AQ93" i="133"/>
  <c r="AY82" i="133"/>
  <c r="V8" i="133"/>
  <c r="AL107" i="133"/>
  <c r="L28" i="133"/>
  <c r="L43" i="133" s="1"/>
  <c r="T82" i="133"/>
  <c r="AB82" i="133"/>
  <c r="AJ82" i="133"/>
  <c r="AZ93" i="133"/>
  <c r="J370" i="110"/>
  <c r="AH122" i="133"/>
  <c r="AV118" i="133"/>
  <c r="BD118" i="133"/>
  <c r="M16" i="133"/>
  <c r="U69" i="133"/>
  <c r="AC69" i="133"/>
  <c r="AK82" i="133"/>
  <c r="AS69" i="133"/>
  <c r="BA107" i="133"/>
  <c r="AS57" i="133"/>
  <c r="G16" i="199"/>
  <c r="J16" i="199"/>
  <c r="J22" i="199" s="1"/>
  <c r="J23" i="199" s="1"/>
  <c r="J25" i="199" s="1"/>
  <c r="H16" i="199"/>
  <c r="N24" i="199"/>
  <c r="P40" i="124"/>
  <c r="R37" i="124"/>
  <c r="J49" i="124"/>
  <c r="O24" i="199"/>
  <c r="M40" i="124"/>
  <c r="H40" i="124"/>
  <c r="J35" i="124"/>
  <c r="K40" i="124"/>
  <c r="G40" i="124"/>
  <c r="J15" i="124"/>
  <c r="K16" i="199"/>
  <c r="F40" i="124"/>
  <c r="N40" i="124"/>
  <c r="J8" i="124"/>
  <c r="J22" i="124"/>
  <c r="J40" i="124"/>
  <c r="Q40" i="124"/>
  <c r="K54" i="181"/>
  <c r="T54" i="181"/>
  <c r="R54" i="181"/>
  <c r="J54" i="181"/>
  <c r="O57" i="181"/>
  <c r="O58" i="181" s="1"/>
  <c r="S53" i="181"/>
  <c r="K55" i="181"/>
  <c r="R53" i="181"/>
  <c r="S30" i="181"/>
  <c r="J57" i="181"/>
  <c r="J58" i="181" s="1"/>
  <c r="Q53" i="181"/>
  <c r="N54" i="181"/>
  <c r="G55" i="110"/>
  <c r="AA55" i="110" s="1"/>
  <c r="AD55" i="110" s="1"/>
  <c r="X211" i="58"/>
  <c r="AM93" i="133"/>
  <c r="G82" i="133"/>
  <c r="X204" i="58"/>
  <c r="X220" i="58"/>
  <c r="X202" i="58"/>
  <c r="X216" i="58"/>
  <c r="X198" i="58"/>
  <c r="X213" i="58"/>
  <c r="X193" i="58"/>
  <c r="X219" i="58"/>
  <c r="X212" i="58"/>
  <c r="X208" i="58"/>
  <c r="R61" i="199"/>
  <c r="AE115" i="133"/>
  <c r="U118" i="133"/>
  <c r="X116" i="133"/>
  <c r="X118" i="133" s="1"/>
  <c r="V20" i="119"/>
  <c r="L22" i="35" s="1"/>
  <c r="AE96" i="133"/>
  <c r="R110" i="133"/>
  <c r="K363" i="110"/>
  <c r="L118" i="133"/>
  <c r="AI116" i="133"/>
  <c r="N118" i="133"/>
  <c r="W20" i="119"/>
  <c r="M22" i="35" s="1"/>
  <c r="M54" i="35"/>
  <c r="Z20" i="119"/>
  <c r="P54" i="35"/>
  <c r="AD122" i="133"/>
  <c r="AD128" i="133" s="1"/>
  <c r="AC128" i="133"/>
  <c r="T8" i="119"/>
  <c r="AA10" i="119"/>
  <c r="H54" i="35"/>
  <c r="AE114" i="133"/>
  <c r="W116" i="133"/>
  <c r="Z116" i="133"/>
  <c r="Z118" i="133" s="1"/>
  <c r="N54" i="35"/>
  <c r="X20" i="119"/>
  <c r="N22" i="35" s="1"/>
  <c r="S255" i="110"/>
  <c r="K370" i="110"/>
  <c r="U128" i="133"/>
  <c r="V122" i="133"/>
  <c r="BE96" i="133"/>
  <c r="U23" i="119"/>
  <c r="U20" i="119" s="1"/>
  <c r="K22" i="35" s="1"/>
  <c r="AC118" i="133"/>
  <c r="G118" i="133"/>
  <c r="O23" i="119"/>
  <c r="BE115" i="133"/>
  <c r="AU118" i="133"/>
  <c r="BC118" i="133"/>
  <c r="AS118" i="133"/>
  <c r="AU128" i="133"/>
  <c r="AV122" i="133"/>
  <c r="R20" i="119"/>
  <c r="H22" i="35" s="1"/>
  <c r="AD116" i="133"/>
  <c r="AD118" i="133" s="1"/>
  <c r="F54" i="35"/>
  <c r="P20" i="119"/>
  <c r="F22" i="35" s="1"/>
  <c r="AR115" i="133"/>
  <c r="AG118" i="133"/>
  <c r="Q20" i="119"/>
  <c r="G22" i="35" s="1"/>
  <c r="Q255" i="110"/>
  <c r="AO122" i="133"/>
  <c r="S389" i="110"/>
  <c r="P389" i="110"/>
  <c r="P370" i="110"/>
  <c r="K380" i="110"/>
  <c r="K364" i="110"/>
  <c r="K389" i="110"/>
  <c r="R380" i="110"/>
  <c r="T389" i="110"/>
  <c r="U389" i="110"/>
  <c r="T118" i="133"/>
  <c r="O118" i="133"/>
  <c r="T128" i="133"/>
  <c r="M367" i="110"/>
  <c r="U377" i="110"/>
  <c r="Q389" i="110"/>
  <c r="J389" i="110"/>
  <c r="O389" i="110"/>
  <c r="AR114" i="133"/>
  <c r="AR96" i="133"/>
  <c r="U370" i="110"/>
  <c r="AA128" i="133"/>
  <c r="BB122" i="133"/>
  <c r="R376" i="110"/>
  <c r="P249" i="110"/>
  <c r="O380" i="110"/>
  <c r="N58" i="133"/>
  <c r="AL61" i="133"/>
  <c r="AV61" i="133"/>
  <c r="AG61" i="133"/>
  <c r="J61" i="133"/>
  <c r="J64" i="133" s="1"/>
  <c r="J84" i="133" s="1"/>
  <c r="AK61" i="133"/>
  <c r="AU61" i="133"/>
  <c r="S61" i="133"/>
  <c r="M61" i="133"/>
  <c r="M64" i="133" s="1"/>
  <c r="M84" i="133" s="1"/>
  <c r="L61" i="133"/>
  <c r="F58" i="133"/>
  <c r="AM61" i="133"/>
  <c r="AW61" i="133"/>
  <c r="AH61" i="133"/>
  <c r="G61" i="133"/>
  <c r="G64" i="133" s="1"/>
  <c r="G84" i="133" s="1"/>
  <c r="Q61" i="133"/>
  <c r="AZ61" i="133"/>
  <c r="AJ61" i="133"/>
  <c r="T61" i="133"/>
  <c r="O61" i="133"/>
  <c r="F61" i="133"/>
  <c r="AB58" i="133"/>
  <c r="BB61" i="133"/>
  <c r="AT61" i="133"/>
  <c r="AF58" i="133"/>
  <c r="F57" i="133"/>
  <c r="AZ58" i="133"/>
  <c r="K58" i="133"/>
  <c r="Y58" i="133"/>
  <c r="L58" i="133"/>
  <c r="AX58" i="133"/>
  <c r="V58" i="133"/>
  <c r="T58" i="133"/>
  <c r="I64" i="133"/>
  <c r="I84" i="133" s="1"/>
  <c r="R62" i="133"/>
  <c r="H57" i="133"/>
  <c r="J57" i="133"/>
  <c r="J60" i="133" s="1"/>
  <c r="AG57" i="133"/>
  <c r="L57" i="133"/>
  <c r="Q57" i="133"/>
  <c r="T57" i="133"/>
  <c r="N57" i="133"/>
  <c r="S57" i="133"/>
  <c r="AU57" i="133"/>
  <c r="O57" i="133"/>
  <c r="I57" i="133"/>
  <c r="AT57" i="133"/>
  <c r="G57" i="133"/>
  <c r="AV57" i="133"/>
  <c r="M57" i="133"/>
  <c r="P57" i="133"/>
  <c r="K57" i="133"/>
  <c r="AF57" i="133"/>
  <c r="BC58" i="133"/>
  <c r="BA58" i="133"/>
  <c r="W58" i="133"/>
  <c r="AH58" i="133"/>
  <c r="H58" i="133"/>
  <c r="BB58" i="133"/>
  <c r="AI58" i="133"/>
  <c r="AG58" i="133"/>
  <c r="G58" i="133"/>
  <c r="I58" i="133"/>
  <c r="AA58" i="133"/>
  <c r="X58" i="133"/>
  <c r="AW58" i="133"/>
  <c r="AS58" i="133"/>
  <c r="O58" i="133"/>
  <c r="M58" i="133"/>
  <c r="BD58" i="133"/>
  <c r="U58" i="133"/>
  <c r="AT58" i="133"/>
  <c r="P58" i="133"/>
  <c r="AY58" i="133"/>
  <c r="AU58" i="133"/>
  <c r="S58" i="133"/>
  <c r="Q58" i="133"/>
  <c r="Z58" i="133"/>
  <c r="AJ58" i="133"/>
  <c r="AV58" i="133"/>
  <c r="R24" i="199"/>
  <c r="R11" i="199"/>
  <c r="R17" i="199" s="1"/>
  <c r="F16" i="199"/>
  <c r="E31" i="124"/>
  <c r="E44" i="124" s="1"/>
  <c r="I16" i="199"/>
  <c r="I55" i="110"/>
  <c r="AC55" i="110" s="1"/>
  <c r="AF55" i="110" s="1"/>
  <c r="AF107" i="133"/>
  <c r="X93" i="133"/>
  <c r="G58" i="110"/>
  <c r="AA58" i="110" s="1"/>
  <c r="AD58" i="110" s="1"/>
  <c r="Y58" i="110"/>
  <c r="AM107" i="133"/>
  <c r="AM82" i="133"/>
  <c r="P93" i="133"/>
  <c r="AM145" i="133"/>
  <c r="AY107" i="133"/>
  <c r="AQ82" i="133"/>
  <c r="L119" i="193"/>
  <c r="AL145" i="133"/>
  <c r="AI107" i="133"/>
  <c r="M8" i="124"/>
  <c r="AA93" i="133"/>
  <c r="AI69" i="133"/>
  <c r="K69" i="133"/>
  <c r="AA107" i="133"/>
  <c r="K56" i="133"/>
  <c r="AU145" i="133"/>
  <c r="S69" i="133"/>
  <c r="K82" i="133"/>
  <c r="I18" i="157"/>
  <c r="S93" i="133"/>
  <c r="S107" i="133"/>
  <c r="K107" i="133"/>
  <c r="AI82" i="133"/>
  <c r="AA69" i="133"/>
  <c r="K28" i="133"/>
  <c r="K43" i="133" s="1"/>
  <c r="N15" i="124"/>
  <c r="O15" i="124"/>
  <c r="O8" i="124"/>
  <c r="O22" i="124"/>
  <c r="O35" i="124"/>
  <c r="U49" i="181"/>
  <c r="G35" i="124"/>
  <c r="G8" i="110"/>
  <c r="AA8" i="110" s="1"/>
  <c r="AD8" i="110" s="1"/>
  <c r="T30" i="181"/>
  <c r="O191" i="58"/>
  <c r="G8" i="124"/>
  <c r="AC145" i="133"/>
  <c r="J18" i="157"/>
  <c r="G56" i="124"/>
  <c r="G64" i="124" s="1"/>
  <c r="AD107" i="133"/>
  <c r="Y14" i="110"/>
  <c r="M49" i="181"/>
  <c r="AK107" i="133"/>
  <c r="N56" i="133"/>
  <c r="G15" i="124"/>
  <c r="N93" i="133"/>
  <c r="T253" i="110"/>
  <c r="T380" i="110"/>
  <c r="L253" i="110"/>
  <c r="L378" i="110"/>
  <c r="L249" i="110"/>
  <c r="Y57" i="110"/>
  <c r="L368" i="110"/>
  <c r="L366" i="110"/>
  <c r="P379" i="110"/>
  <c r="G64" i="110"/>
  <c r="AA64" i="110" s="1"/>
  <c r="AD64" i="110" s="1"/>
  <c r="T366" i="110"/>
  <c r="L380" i="110"/>
  <c r="P367" i="110"/>
  <c r="H64" i="110"/>
  <c r="AB64" i="110" s="1"/>
  <c r="AE64" i="110" s="1"/>
  <c r="P252" i="110"/>
  <c r="T368" i="110"/>
  <c r="L364" i="110"/>
  <c r="P377" i="110"/>
  <c r="H48" i="110"/>
  <c r="AB48" i="110" s="1"/>
  <c r="AE48" i="110" s="1"/>
  <c r="Y17" i="110"/>
  <c r="I64" i="110"/>
  <c r="AC64" i="110" s="1"/>
  <c r="AF64" i="110" s="1"/>
  <c r="H201" i="110"/>
  <c r="I201" i="110"/>
  <c r="F316" i="110"/>
  <c r="G201" i="110"/>
  <c r="AA201" i="110" s="1"/>
  <c r="AD201" i="110" s="1"/>
  <c r="F321" i="110"/>
  <c r="I206" i="110"/>
  <c r="H206" i="110"/>
  <c r="G206" i="110"/>
  <c r="Y64" i="110"/>
  <c r="Y48" i="110"/>
  <c r="J113" i="110"/>
  <c r="L113" i="110"/>
  <c r="T113" i="110"/>
  <c r="R113" i="110"/>
  <c r="P113" i="110"/>
  <c r="M113" i="110"/>
  <c r="N113" i="110"/>
  <c r="S113" i="110"/>
  <c r="U113" i="110"/>
  <c r="K113" i="110"/>
  <c r="Q113" i="110"/>
  <c r="O113" i="110"/>
  <c r="G202" i="110"/>
  <c r="H202" i="110"/>
  <c r="F317" i="110"/>
  <c r="I202" i="110"/>
  <c r="G56" i="110"/>
  <c r="AA56" i="110" s="1"/>
  <c r="AD56" i="110" s="1"/>
  <c r="O121" i="110"/>
  <c r="O392" i="110" s="1"/>
  <c r="P121" i="110"/>
  <c r="P392" i="110" s="1"/>
  <c r="K121" i="110"/>
  <c r="K392" i="110" s="1"/>
  <c r="N121" i="110"/>
  <c r="N392" i="110" s="1"/>
  <c r="Q121" i="110"/>
  <c r="Q392" i="110" s="1"/>
  <c r="U121" i="110"/>
  <c r="U392" i="110" s="1"/>
  <c r="J121" i="110"/>
  <c r="J392" i="110" s="1"/>
  <c r="L121" i="110"/>
  <c r="L392" i="110" s="1"/>
  <c r="R121" i="110"/>
  <c r="R392" i="110" s="1"/>
  <c r="T121" i="110"/>
  <c r="T392" i="110" s="1"/>
  <c r="M121" i="110"/>
  <c r="M392" i="110" s="1"/>
  <c r="S121" i="110"/>
  <c r="S392" i="110" s="1"/>
  <c r="I200" i="110"/>
  <c r="F315" i="110"/>
  <c r="G200" i="110"/>
  <c r="H200" i="110"/>
  <c r="Y5" i="110"/>
  <c r="I42" i="110"/>
  <c r="AC42" i="110" s="1"/>
  <c r="AF42" i="110" s="1"/>
  <c r="I58" i="110"/>
  <c r="AC58" i="110" s="1"/>
  <c r="AF58" i="110" s="1"/>
  <c r="F124" i="110"/>
  <c r="G124" i="110" s="1"/>
  <c r="L124" i="110" s="1"/>
  <c r="H39" i="110"/>
  <c r="AB39" i="110" s="1"/>
  <c r="AE39" i="110" s="1"/>
  <c r="I39" i="110"/>
  <c r="AC39" i="110" s="1"/>
  <c r="AF39" i="110" s="1"/>
  <c r="G39" i="110"/>
  <c r="AA39" i="110" s="1"/>
  <c r="AD39" i="110" s="1"/>
  <c r="F323" i="110"/>
  <c r="G208" i="110"/>
  <c r="I208" i="110"/>
  <c r="H208" i="110"/>
  <c r="H203" i="110"/>
  <c r="I203" i="110"/>
  <c r="F318" i="110"/>
  <c r="G203" i="110"/>
  <c r="F125" i="110"/>
  <c r="H125" i="110" s="1"/>
  <c r="AB125" i="110" s="1"/>
  <c r="AE125" i="110" s="1"/>
  <c r="G40" i="110"/>
  <c r="AA40" i="110" s="1"/>
  <c r="AD40" i="110" s="1"/>
  <c r="H40" i="110"/>
  <c r="AB40" i="110" s="1"/>
  <c r="AE40" i="110" s="1"/>
  <c r="I40" i="110"/>
  <c r="AC40" i="110" s="1"/>
  <c r="AF40" i="110" s="1"/>
  <c r="Y72" i="110"/>
  <c r="G48" i="110"/>
  <c r="AA48" i="110" s="1"/>
  <c r="AD48" i="110" s="1"/>
  <c r="F314" i="110"/>
  <c r="G199" i="110"/>
  <c r="H199" i="110"/>
  <c r="I199" i="110"/>
  <c r="H209" i="110"/>
  <c r="I209" i="110"/>
  <c r="G209" i="110"/>
  <c r="F324" i="110"/>
  <c r="H66" i="110"/>
  <c r="AB66" i="110" s="1"/>
  <c r="AE66" i="110" s="1"/>
  <c r="Y71" i="110"/>
  <c r="Y69" i="110"/>
  <c r="S93" i="58"/>
  <c r="T179" i="58" s="1"/>
  <c r="AH93" i="133"/>
  <c r="J28" i="133"/>
  <c r="J43" i="133" s="1"/>
  <c r="I70" i="110"/>
  <c r="AC70" i="110" s="1"/>
  <c r="AF70" i="110" s="1"/>
  <c r="Y70" i="110"/>
  <c r="M13" i="157"/>
  <c r="Z107" i="133"/>
  <c r="J93" i="133"/>
  <c r="M250" i="110"/>
  <c r="Q366" i="110"/>
  <c r="Q22" i="124"/>
  <c r="J82" i="133"/>
  <c r="E13" i="157"/>
  <c r="Q49" i="124"/>
  <c r="O49" i="181"/>
  <c r="Q56" i="124"/>
  <c r="Q64" i="124" s="1"/>
  <c r="AH82" i="133"/>
  <c r="Q35" i="124"/>
  <c r="BC82" i="133"/>
  <c r="J107" i="133"/>
  <c r="Q364" i="110"/>
  <c r="M365" i="110"/>
  <c r="I22" i="124"/>
  <c r="Z69" i="133"/>
  <c r="Q15" i="124"/>
  <c r="AH69" i="133"/>
  <c r="I15" i="124"/>
  <c r="M377" i="110"/>
  <c r="V145" i="133"/>
  <c r="Z93" i="133"/>
  <c r="BC93" i="133"/>
  <c r="BC107" i="133"/>
  <c r="G70" i="110"/>
  <c r="AA70" i="110" s="1"/>
  <c r="AD70" i="110" s="1"/>
  <c r="L35" i="124"/>
  <c r="H55" i="110"/>
  <c r="AB55" i="110" s="1"/>
  <c r="AE55" i="110" s="1"/>
  <c r="U82" i="133"/>
  <c r="M28" i="133"/>
  <c r="M43" i="133" s="1"/>
  <c r="M56" i="133"/>
  <c r="U93" i="133"/>
  <c r="M93" i="133"/>
  <c r="AJ93" i="133"/>
  <c r="M82" i="133"/>
  <c r="M107" i="133"/>
  <c r="L22" i="124"/>
  <c r="P116" i="193"/>
  <c r="AP69" i="133"/>
  <c r="AJ69" i="133"/>
  <c r="U107" i="133"/>
  <c r="M69" i="133"/>
  <c r="L49" i="124"/>
  <c r="N8" i="124"/>
  <c r="F56" i="124"/>
  <c r="F64" i="124" s="1"/>
  <c r="G119" i="193"/>
  <c r="L49" i="181"/>
  <c r="N35" i="124"/>
  <c r="AZ69" i="133"/>
  <c r="AZ107" i="133"/>
  <c r="F8" i="124"/>
  <c r="F15" i="124"/>
  <c r="M102" i="58"/>
  <c r="P188" i="58" s="1"/>
  <c r="F35" i="124"/>
  <c r="AP145" i="133"/>
  <c r="BB145" i="133"/>
  <c r="F49" i="124"/>
  <c r="I65" i="110"/>
  <c r="AC65" i="110" s="1"/>
  <c r="AF65" i="110" s="1"/>
  <c r="Y65" i="110"/>
  <c r="F247" i="58"/>
  <c r="E19" i="181" s="1"/>
  <c r="Q94" i="58"/>
  <c r="R180" i="58" s="1"/>
  <c r="L15" i="124"/>
  <c r="I49" i="181"/>
  <c r="AK93" i="133"/>
  <c r="W93" i="133"/>
  <c r="G28" i="133"/>
  <c r="G43" i="133" s="1"/>
  <c r="F28" i="133"/>
  <c r="F43" i="133" s="1"/>
  <c r="L56" i="124"/>
  <c r="L64" i="124" s="1"/>
  <c r="P94" i="58"/>
  <c r="Q180" i="58" s="1"/>
  <c r="K8" i="124"/>
  <c r="N82" i="133"/>
  <c r="AD82" i="133"/>
  <c r="G56" i="133"/>
  <c r="F56" i="133"/>
  <c r="AK145" i="133"/>
  <c r="AV145" i="133"/>
  <c r="C119" i="193"/>
  <c r="AK69" i="133"/>
  <c r="K15" i="124"/>
  <c r="W107" i="133"/>
  <c r="W82" i="133"/>
  <c r="F93" i="133"/>
  <c r="AY93" i="133"/>
  <c r="G107" i="133"/>
  <c r="G69" i="133"/>
  <c r="F69" i="133"/>
  <c r="U145" i="133"/>
  <c r="BA145" i="133"/>
  <c r="P18" i="157"/>
  <c r="K35" i="124"/>
  <c r="AQ69" i="133"/>
  <c r="AQ107" i="133"/>
  <c r="G93" i="133"/>
  <c r="F107" i="133"/>
  <c r="H18" i="157"/>
  <c r="R30" i="181"/>
  <c r="K49" i="124"/>
  <c r="N107" i="133"/>
  <c r="N69" i="133"/>
  <c r="BC145" i="133"/>
  <c r="AJ107" i="133"/>
  <c r="K56" i="124"/>
  <c r="K64" i="124" s="1"/>
  <c r="O107" i="133"/>
  <c r="F82" i="133"/>
  <c r="AD69" i="133"/>
  <c r="N28" i="133"/>
  <c r="N43" i="133" s="1"/>
  <c r="Y43" i="110"/>
  <c r="U364" i="110"/>
  <c r="M380" i="110"/>
  <c r="I51" i="110"/>
  <c r="AC51" i="110" s="1"/>
  <c r="AF51" i="110" s="1"/>
  <c r="G16" i="110"/>
  <c r="AA16" i="110" s="1"/>
  <c r="AD16" i="110" s="1"/>
  <c r="M254" i="110"/>
  <c r="J368" i="110"/>
  <c r="J380" i="110"/>
  <c r="R364" i="110"/>
  <c r="Q378" i="110"/>
  <c r="R378" i="110"/>
  <c r="M370" i="110"/>
  <c r="J364" i="110"/>
  <c r="R251" i="110"/>
  <c r="N377" i="110"/>
  <c r="M369" i="110"/>
  <c r="J253" i="110"/>
  <c r="U369" i="110"/>
  <c r="N250" i="110"/>
  <c r="N367" i="110"/>
  <c r="R366" i="110"/>
  <c r="N252" i="110"/>
  <c r="J366" i="110"/>
  <c r="N365" i="110"/>
  <c r="Q368" i="110"/>
  <c r="Q380" i="110"/>
  <c r="K168" i="110"/>
  <c r="M79" i="137" s="1"/>
  <c r="Y18" i="110"/>
  <c r="O365" i="110"/>
  <c r="Y66" i="110"/>
  <c r="Y7" i="110"/>
  <c r="U368" i="110"/>
  <c r="K366" i="110"/>
  <c r="I66" i="110"/>
  <c r="AC66" i="110" s="1"/>
  <c r="AF66" i="110" s="1"/>
  <c r="G72" i="110"/>
  <c r="AA72" i="110" s="1"/>
  <c r="AD72" i="110" s="1"/>
  <c r="AB122" i="110"/>
  <c r="AE122" i="110" s="1"/>
  <c r="AC122" i="110"/>
  <c r="AF122" i="110" s="1"/>
  <c r="E18" i="181"/>
  <c r="U253" i="110"/>
  <c r="U168" i="110"/>
  <c r="U255" i="110" s="1"/>
  <c r="Q369" i="110"/>
  <c r="M378" i="110"/>
  <c r="U251" i="110"/>
  <c r="U378" i="110"/>
  <c r="Q367" i="110"/>
  <c r="S33" i="181"/>
  <c r="S52" i="181" s="1"/>
  <c r="Y22" i="110"/>
  <c r="U380" i="110"/>
  <c r="S36" i="181"/>
  <c r="S55" i="181" s="1"/>
  <c r="U366" i="110"/>
  <c r="S364" i="110"/>
  <c r="Q377" i="110"/>
  <c r="Q379" i="110"/>
  <c r="AC114" i="110"/>
  <c r="AF114" i="110" s="1"/>
  <c r="Y16" i="110"/>
  <c r="Q252" i="110"/>
  <c r="U249" i="110"/>
  <c r="S370" i="110"/>
  <c r="M368" i="110"/>
  <c r="I43" i="110"/>
  <c r="AC43" i="110" s="1"/>
  <c r="AF43" i="110" s="1"/>
  <c r="H97" i="110"/>
  <c r="AB97" i="110" s="1"/>
  <c r="AE97" i="110" s="1"/>
  <c r="J377" i="110"/>
  <c r="J250" i="110"/>
  <c r="R250" i="110"/>
  <c r="O376" i="110"/>
  <c r="H58" i="110"/>
  <c r="AB58" i="110" s="1"/>
  <c r="AE58" i="110" s="1"/>
  <c r="F184" i="110"/>
  <c r="I184" i="110" s="1"/>
  <c r="AC184" i="110" s="1"/>
  <c r="AF184" i="110" s="1"/>
  <c r="R365" i="110"/>
  <c r="R377" i="110"/>
  <c r="G75" i="110"/>
  <c r="AA75" i="110" s="1"/>
  <c r="AD75" i="110" s="1"/>
  <c r="Y53" i="110"/>
  <c r="I61" i="110"/>
  <c r="AC61" i="110" s="1"/>
  <c r="AF61" i="110" s="1"/>
  <c r="Y68" i="110"/>
  <c r="S380" i="110"/>
  <c r="H72" i="110"/>
  <c r="AB72" i="110" s="1"/>
  <c r="AE72" i="110" s="1"/>
  <c r="J365" i="110"/>
  <c r="G41" i="110"/>
  <c r="AA41" i="110" s="1"/>
  <c r="AD41" i="110" s="1"/>
  <c r="I72" i="110"/>
  <c r="AC72" i="110" s="1"/>
  <c r="AF72" i="110" s="1"/>
  <c r="N251" i="110"/>
  <c r="N364" i="110"/>
  <c r="H41" i="110"/>
  <c r="AB41" i="110" s="1"/>
  <c r="AE41" i="110" s="1"/>
  <c r="G53" i="110"/>
  <c r="AA53" i="110" s="1"/>
  <c r="AD53" i="110" s="1"/>
  <c r="K252" i="110"/>
  <c r="F404" i="110"/>
  <c r="E404" i="110" s="1"/>
  <c r="H53" i="110"/>
  <c r="AB53" i="110" s="1"/>
  <c r="AE53" i="110" s="1"/>
  <c r="K378" i="110"/>
  <c r="N366" i="110"/>
  <c r="O366" i="110"/>
  <c r="I53" i="110"/>
  <c r="AC53" i="110" s="1"/>
  <c r="AF53" i="110" s="1"/>
  <c r="G61" i="110"/>
  <c r="AA61" i="110" s="1"/>
  <c r="AD61" i="110" s="1"/>
  <c r="H75" i="110"/>
  <c r="AB75" i="110" s="1"/>
  <c r="AE75" i="110" s="1"/>
  <c r="N249" i="110"/>
  <c r="O377" i="110"/>
  <c r="H45" i="110"/>
  <c r="AB45" i="110" s="1"/>
  <c r="AE45" i="110" s="1"/>
  <c r="H61" i="110"/>
  <c r="AB61" i="110" s="1"/>
  <c r="AE61" i="110" s="1"/>
  <c r="I75" i="110"/>
  <c r="AC75" i="110" s="1"/>
  <c r="AF75" i="110" s="1"/>
  <c r="Y6" i="110"/>
  <c r="L250" i="110"/>
  <c r="L254" i="110"/>
  <c r="L367" i="110"/>
  <c r="T254" i="110"/>
  <c r="L369" i="110"/>
  <c r="T379" i="110"/>
  <c r="T252" i="110"/>
  <c r="T369" i="110"/>
  <c r="L379" i="110"/>
  <c r="H54" i="110"/>
  <c r="AB54" i="110" s="1"/>
  <c r="AE54" i="110" s="1"/>
  <c r="L252" i="110"/>
  <c r="T367" i="110"/>
  <c r="H16" i="110"/>
  <c r="AB16" i="110" s="1"/>
  <c r="AE16" i="110" s="1"/>
  <c r="G43" i="110"/>
  <c r="AA43" i="110" s="1"/>
  <c r="AD43" i="110" s="1"/>
  <c r="G51" i="110"/>
  <c r="AA51" i="110" s="1"/>
  <c r="AD51" i="110" s="1"/>
  <c r="I54" i="110"/>
  <c r="AC54" i="110" s="1"/>
  <c r="AF54" i="110" s="1"/>
  <c r="I16" i="110"/>
  <c r="AC16" i="110" s="1"/>
  <c r="AF16" i="110" s="1"/>
  <c r="H43" i="110"/>
  <c r="AB43" i="110" s="1"/>
  <c r="AE43" i="110" s="1"/>
  <c r="H51" i="110"/>
  <c r="AB51" i="110" s="1"/>
  <c r="AE51" i="110" s="1"/>
  <c r="K367" i="110"/>
  <c r="G62" i="110"/>
  <c r="AA62" i="110" s="1"/>
  <c r="AD62" i="110" s="1"/>
  <c r="I46" i="110"/>
  <c r="AC46" i="110" s="1"/>
  <c r="AF46" i="110" s="1"/>
  <c r="H62" i="110"/>
  <c r="AB62" i="110" s="1"/>
  <c r="AE62" i="110" s="1"/>
  <c r="G22" i="110"/>
  <c r="AA22" i="110" s="1"/>
  <c r="AD22" i="110" s="1"/>
  <c r="I62" i="110"/>
  <c r="AC62" i="110" s="1"/>
  <c r="AF62" i="110" s="1"/>
  <c r="G66" i="110"/>
  <c r="AA66" i="110" s="1"/>
  <c r="AD66" i="110" s="1"/>
  <c r="S379" i="110"/>
  <c r="G54" i="110"/>
  <c r="AA54" i="110" s="1"/>
  <c r="AD54" i="110" s="1"/>
  <c r="J252" i="110"/>
  <c r="N368" i="110"/>
  <c r="O378" i="110"/>
  <c r="I24" i="110"/>
  <c r="AC24" i="110" s="1"/>
  <c r="AF24" i="110" s="1"/>
  <c r="F94" i="110"/>
  <c r="I94" i="110" s="1"/>
  <c r="AC94" i="110" s="1"/>
  <c r="AF94" i="110" s="1"/>
  <c r="Y24" i="110"/>
  <c r="S252" i="110"/>
  <c r="N253" i="110"/>
  <c r="J379" i="110"/>
  <c r="S250" i="110"/>
  <c r="S367" i="110"/>
  <c r="K369" i="110"/>
  <c r="N380" i="110"/>
  <c r="I41" i="110"/>
  <c r="AC41" i="110" s="1"/>
  <c r="AF41" i="110" s="1"/>
  <c r="G57" i="110"/>
  <c r="AA57" i="110" s="1"/>
  <c r="AD57" i="110" s="1"/>
  <c r="L365" i="110"/>
  <c r="S369" i="110"/>
  <c r="K365" i="110"/>
  <c r="H6" i="110"/>
  <c r="AB6" i="110" s="1"/>
  <c r="AE6" i="110" s="1"/>
  <c r="G13" i="110"/>
  <c r="AA13" i="110" s="1"/>
  <c r="AD13" i="110" s="1"/>
  <c r="H57" i="110"/>
  <c r="AB57" i="110" s="1"/>
  <c r="AE57" i="110" s="1"/>
  <c r="P251" i="110"/>
  <c r="S365" i="110"/>
  <c r="R379" i="110"/>
  <c r="P366" i="110"/>
  <c r="H13" i="110"/>
  <c r="AB13" i="110" s="1"/>
  <c r="AE13" i="110" s="1"/>
  <c r="I57" i="110"/>
  <c r="AC57" i="110" s="1"/>
  <c r="AF57" i="110" s="1"/>
  <c r="O251" i="110"/>
  <c r="S377" i="110"/>
  <c r="R369" i="110"/>
  <c r="G9" i="110"/>
  <c r="AA9" i="110" s="1"/>
  <c r="AD9" i="110" s="1"/>
  <c r="I13" i="110"/>
  <c r="AC13" i="110" s="1"/>
  <c r="AF13" i="110" s="1"/>
  <c r="J367" i="110"/>
  <c r="L377" i="110"/>
  <c r="P378" i="110"/>
  <c r="H9" i="110"/>
  <c r="AB9" i="110" s="1"/>
  <c r="AE9" i="110" s="1"/>
  <c r="G24" i="110"/>
  <c r="AA24" i="110" s="1"/>
  <c r="AD24" i="110" s="1"/>
  <c r="Y13" i="110"/>
  <c r="K379" i="110"/>
  <c r="O364" i="110"/>
  <c r="H24" i="110"/>
  <c r="AB24" i="110" s="1"/>
  <c r="AE24" i="110" s="1"/>
  <c r="G44" i="110"/>
  <c r="AA44" i="110" s="1"/>
  <c r="AD44" i="110" s="1"/>
  <c r="S78" i="137"/>
  <c r="Q254" i="110"/>
  <c r="Q370" i="110"/>
  <c r="N118" i="193"/>
  <c r="O370" i="110"/>
  <c r="O118" i="193"/>
  <c r="N370" i="110"/>
  <c r="B119" i="193"/>
  <c r="O119" i="193" s="1"/>
  <c r="M376" i="110"/>
  <c r="N79" i="137"/>
  <c r="L255" i="110"/>
  <c r="Q376" i="110"/>
  <c r="AQ145" i="133"/>
  <c r="T370" i="110"/>
  <c r="J376" i="110"/>
  <c r="O379" i="110"/>
  <c r="AA376" i="110"/>
  <c r="AD376" i="110" s="1"/>
  <c r="H44" i="110"/>
  <c r="AB44" i="110" s="1"/>
  <c r="AE44" i="110" s="1"/>
  <c r="P376" i="110"/>
  <c r="L370" i="110"/>
  <c r="S368" i="110"/>
  <c r="K376" i="110"/>
  <c r="N378" i="110"/>
  <c r="I44" i="110"/>
  <c r="AC44" i="110" s="1"/>
  <c r="AF44" i="110" s="1"/>
  <c r="O252" i="110"/>
  <c r="K377" i="110"/>
  <c r="O367" i="110"/>
  <c r="P160" i="110"/>
  <c r="R71" i="137" s="1"/>
  <c r="AN145" i="133"/>
  <c r="T376" i="110"/>
  <c r="S266" i="110"/>
  <c r="T266" i="110" s="1"/>
  <c r="U266" i="110" s="1"/>
  <c r="V277" i="110"/>
  <c r="M280" i="110"/>
  <c r="N280" i="110" s="1"/>
  <c r="O280" i="110" s="1"/>
  <c r="P280" i="110" s="1"/>
  <c r="Q280" i="110" s="1"/>
  <c r="R280" i="110" s="1"/>
  <c r="S280" i="110" s="1"/>
  <c r="T280" i="110" s="1"/>
  <c r="U280" i="110" s="1"/>
  <c r="M119" i="193"/>
  <c r="AG145" i="133"/>
  <c r="W145" i="133"/>
  <c r="AT145" i="133"/>
  <c r="K119" i="193"/>
  <c r="AO145" i="133"/>
  <c r="BD145" i="133"/>
  <c r="M251" i="110"/>
  <c r="I18" i="110"/>
  <c r="AC18" i="110" s="1"/>
  <c r="AF18" i="110" s="1"/>
  <c r="E17" i="181"/>
  <c r="F91" i="110"/>
  <c r="I6" i="110"/>
  <c r="AC6" i="110" s="1"/>
  <c r="AF6" i="110" s="1"/>
  <c r="G6" i="110"/>
  <c r="AA6" i="110" s="1"/>
  <c r="AD6" i="110" s="1"/>
  <c r="AB145" i="133"/>
  <c r="V263" i="110"/>
  <c r="F132" i="110"/>
  <c r="G132" i="110" s="1"/>
  <c r="T132" i="110" s="1"/>
  <c r="H47" i="110"/>
  <c r="AB47" i="110" s="1"/>
  <c r="AE47" i="110" s="1"/>
  <c r="G47" i="110"/>
  <c r="AA47" i="110" s="1"/>
  <c r="AD47" i="110" s="1"/>
  <c r="AJ145" i="133"/>
  <c r="AZ145" i="133"/>
  <c r="AA145" i="133"/>
  <c r="D119" i="193"/>
  <c r="F135" i="110"/>
  <c r="H135" i="110" s="1"/>
  <c r="AB135" i="110" s="1"/>
  <c r="AE135" i="110" s="1"/>
  <c r="I50" i="110"/>
  <c r="AC50" i="110" s="1"/>
  <c r="AF50" i="110" s="1"/>
  <c r="H50" i="110"/>
  <c r="AB50" i="110" s="1"/>
  <c r="AE50" i="110" s="1"/>
  <c r="G50" i="110"/>
  <c r="AA50" i="110" s="1"/>
  <c r="AD50" i="110" s="1"/>
  <c r="E119" i="193"/>
  <c r="H119" i="193"/>
  <c r="V273" i="110"/>
  <c r="I47" i="110"/>
  <c r="AC47" i="110" s="1"/>
  <c r="AF47" i="110" s="1"/>
  <c r="G146" i="110"/>
  <c r="J146" i="110" s="1"/>
  <c r="I146" i="110"/>
  <c r="AC146" i="110" s="1"/>
  <c r="AF146" i="110" s="1"/>
  <c r="K34" i="181"/>
  <c r="K53" i="181" s="1"/>
  <c r="K33" i="181"/>
  <c r="K52" i="181" s="1"/>
  <c r="T145" i="133"/>
  <c r="M366" i="110"/>
  <c r="F158" i="110"/>
  <c r="G158" i="110" s="1"/>
  <c r="M158" i="110" s="1"/>
  <c r="G73" i="110"/>
  <c r="AA73" i="110" s="1"/>
  <c r="AD73" i="110" s="1"/>
  <c r="I73" i="110"/>
  <c r="AC73" i="110" s="1"/>
  <c r="AF73" i="110" s="1"/>
  <c r="F150" i="110"/>
  <c r="H65" i="110"/>
  <c r="AB65" i="110" s="1"/>
  <c r="AE65" i="110" s="1"/>
  <c r="G65" i="110"/>
  <c r="AA65" i="110" s="1"/>
  <c r="AD65" i="110" s="1"/>
  <c r="Z145" i="133"/>
  <c r="AY145" i="133"/>
  <c r="Y145" i="133"/>
  <c r="V395" i="110"/>
  <c r="Q365" i="110"/>
  <c r="S376" i="110"/>
  <c r="N376" i="110"/>
  <c r="L376" i="110"/>
  <c r="U376" i="110"/>
  <c r="G24" i="137"/>
  <c r="I24" i="137" s="1"/>
  <c r="I103" i="137" s="1"/>
  <c r="G78" i="137"/>
  <c r="G157" i="137" s="1"/>
  <c r="G50" i="137"/>
  <c r="I50" i="137" s="1"/>
  <c r="I129" i="137" s="1"/>
  <c r="AA35" i="110"/>
  <c r="AD35" i="110" s="1"/>
  <c r="AB35" i="110"/>
  <c r="AE35" i="110" s="1"/>
  <c r="U78" i="137"/>
  <c r="S254" i="110"/>
  <c r="S77" i="137"/>
  <c r="Q253" i="110"/>
  <c r="G107" i="110"/>
  <c r="I107" i="110"/>
  <c r="AC107" i="110" s="1"/>
  <c r="AF107" i="110" s="1"/>
  <c r="H107" i="110"/>
  <c r="AB107" i="110" s="1"/>
  <c r="AE107" i="110" s="1"/>
  <c r="F194" i="110"/>
  <c r="H194" i="110" s="1"/>
  <c r="AB194" i="110" s="1"/>
  <c r="AE194" i="110" s="1"/>
  <c r="M78" i="137"/>
  <c r="K254" i="110"/>
  <c r="M74" i="137"/>
  <c r="K250" i="110"/>
  <c r="Q73" i="137"/>
  <c r="O249" i="110"/>
  <c r="M255" i="110"/>
  <c r="O13" i="157"/>
  <c r="BD82" i="133"/>
  <c r="P168" i="110"/>
  <c r="R79" i="137" s="1"/>
  <c r="I56" i="124"/>
  <c r="I64" i="124" s="1"/>
  <c r="G12" i="110"/>
  <c r="AA12" i="110" s="1"/>
  <c r="AD12" i="110" s="1"/>
  <c r="H22" i="110"/>
  <c r="AB22" i="110" s="1"/>
  <c r="AE22" i="110" s="1"/>
  <c r="I45" i="110"/>
  <c r="AC45" i="110" s="1"/>
  <c r="AF45" i="110" s="1"/>
  <c r="I97" i="110"/>
  <c r="AC97" i="110" s="1"/>
  <c r="AF97" i="110" s="1"/>
  <c r="F233" i="110"/>
  <c r="G233" i="110" s="1"/>
  <c r="AA233" i="110" s="1"/>
  <c r="AD233" i="110" s="1"/>
  <c r="G69" i="137"/>
  <c r="G148" i="137" s="1"/>
  <c r="G37" i="137"/>
  <c r="G116" i="137" s="1"/>
  <c r="M103" i="58"/>
  <c r="P189" i="58" s="1"/>
  <c r="Y42" i="110"/>
  <c r="U254" i="110"/>
  <c r="I8" i="124"/>
  <c r="BD69" i="133"/>
  <c r="S79" i="137"/>
  <c r="F402" i="110"/>
  <c r="E402" i="110" s="1"/>
  <c r="P22" i="124"/>
  <c r="H12" i="110"/>
  <c r="AB12" i="110" s="1"/>
  <c r="AE12" i="110" s="1"/>
  <c r="I22" i="110"/>
  <c r="AC22" i="110" s="1"/>
  <c r="AF22" i="110" s="1"/>
  <c r="G51" i="137"/>
  <c r="I51" i="137" s="1"/>
  <c r="I130" i="137" s="1"/>
  <c r="L93" i="133"/>
  <c r="N30" i="181"/>
  <c r="AB107" i="133"/>
  <c r="T93" i="133"/>
  <c r="F405" i="110"/>
  <c r="T378" i="110"/>
  <c r="O368" i="110"/>
  <c r="P49" i="124"/>
  <c r="G10" i="110"/>
  <c r="AA10" i="110" s="1"/>
  <c r="AD10" i="110" s="1"/>
  <c r="I12" i="110"/>
  <c r="AC12" i="110" s="1"/>
  <c r="AF12" i="110" s="1"/>
  <c r="AA31" i="110"/>
  <c r="AD31" i="110" s="1"/>
  <c r="I160" i="110"/>
  <c r="AC160" i="110" s="1"/>
  <c r="AF160" i="110" s="1"/>
  <c r="G41" i="137"/>
  <c r="I41" i="137" s="1"/>
  <c r="I120" i="137" s="1"/>
  <c r="D5" i="181"/>
  <c r="U367" i="110"/>
  <c r="L107" i="133"/>
  <c r="AB69" i="133"/>
  <c r="I49" i="124"/>
  <c r="T107" i="133"/>
  <c r="P56" i="124"/>
  <c r="P64" i="124" s="1"/>
  <c r="G7" i="110"/>
  <c r="AA7" i="110" s="1"/>
  <c r="AD7" i="110" s="1"/>
  <c r="H10" i="110"/>
  <c r="AB10" i="110" s="1"/>
  <c r="AE10" i="110" s="1"/>
  <c r="AB31" i="110"/>
  <c r="AE31" i="110" s="1"/>
  <c r="AA34" i="110"/>
  <c r="AD34" i="110" s="1"/>
  <c r="G52" i="137"/>
  <c r="I52" i="137" s="1"/>
  <c r="I131" i="137" s="1"/>
  <c r="G32" i="137"/>
  <c r="I32" i="137" s="1"/>
  <c r="I111" i="137" s="1"/>
  <c r="Q103" i="58"/>
  <c r="T189" i="58" s="1"/>
  <c r="U326" i="58"/>
  <c r="U327" i="58" s="1"/>
  <c r="Y52" i="110"/>
  <c r="U379" i="110"/>
  <c r="L82" i="133"/>
  <c r="T69" i="133"/>
  <c r="L56" i="133"/>
  <c r="H7" i="110"/>
  <c r="AB7" i="110" s="1"/>
  <c r="AE7" i="110" s="1"/>
  <c r="I10" i="110"/>
  <c r="AC10" i="110" s="1"/>
  <c r="AF10" i="110" s="1"/>
  <c r="AB34" i="110"/>
  <c r="AE34" i="110" s="1"/>
  <c r="H95" i="110"/>
  <c r="AB95" i="110" s="1"/>
  <c r="AE95" i="110" s="1"/>
  <c r="AB114" i="110"/>
  <c r="AE114" i="110" s="1"/>
  <c r="G42" i="137"/>
  <c r="I42" i="137" s="1"/>
  <c r="I121" i="137" s="1"/>
  <c r="F119" i="193"/>
  <c r="AB93" i="133"/>
  <c r="P8" i="124"/>
  <c r="G13" i="157"/>
  <c r="AV93" i="133"/>
  <c r="T251" i="110"/>
  <c r="M364" i="110"/>
  <c r="I7" i="110"/>
  <c r="AC7" i="110" s="1"/>
  <c r="AF7" i="110" s="1"/>
  <c r="G42" i="110"/>
  <c r="AA42" i="110" s="1"/>
  <c r="AD42" i="110" s="1"/>
  <c r="I95" i="110"/>
  <c r="AC95" i="110" s="1"/>
  <c r="AF95" i="110" s="1"/>
  <c r="F182" i="110"/>
  <c r="G182" i="110" s="1"/>
  <c r="AA182" i="110" s="1"/>
  <c r="AD182" i="110" s="1"/>
  <c r="G75" i="137"/>
  <c r="G154" i="137" s="1"/>
  <c r="G46" i="137"/>
  <c r="I46" i="137" s="1"/>
  <c r="I125" i="137" s="1"/>
  <c r="Y45" i="110"/>
  <c r="U93" i="58"/>
  <c r="V179" i="58" s="1"/>
  <c r="BD93" i="133"/>
  <c r="AC27" i="110"/>
  <c r="AF27" i="110" s="1"/>
  <c r="H42" i="110"/>
  <c r="AB42" i="110" s="1"/>
  <c r="AE42" i="110" s="1"/>
  <c r="G45" i="110"/>
  <c r="AA45" i="110" s="1"/>
  <c r="AD45" i="110" s="1"/>
  <c r="G52" i="110"/>
  <c r="AA52" i="110" s="1"/>
  <c r="AD52" i="110" s="1"/>
  <c r="H146" i="110"/>
  <c r="AB146" i="110" s="1"/>
  <c r="AE146" i="110" s="1"/>
  <c r="G79" i="137"/>
  <c r="G158" i="137" s="1"/>
  <c r="U103" i="58"/>
  <c r="U262" i="58" s="1"/>
  <c r="N47" i="35" s="1"/>
  <c r="G92" i="110"/>
  <c r="U92" i="110" s="1"/>
  <c r="H92" i="110"/>
  <c r="AB92" i="110" s="1"/>
  <c r="AE92" i="110" s="1"/>
  <c r="I92" i="110"/>
  <c r="AC92" i="110" s="1"/>
  <c r="AF92" i="110" s="1"/>
  <c r="F179" i="110"/>
  <c r="U73" i="137"/>
  <c r="S249" i="110"/>
  <c r="W76" i="137"/>
  <c r="U252" i="110"/>
  <c r="G127" i="110"/>
  <c r="J127" i="110" s="1"/>
  <c r="H127" i="110"/>
  <c r="AB127" i="110" s="1"/>
  <c r="AE127" i="110" s="1"/>
  <c r="F214" i="110"/>
  <c r="I127" i="110"/>
  <c r="AC127" i="110" s="1"/>
  <c r="AF127" i="110" s="1"/>
  <c r="U77" i="137"/>
  <c r="S253" i="110"/>
  <c r="O77" i="137"/>
  <c r="M253" i="110"/>
  <c r="S74" i="137"/>
  <c r="Q250" i="110"/>
  <c r="G138" i="110"/>
  <c r="Q138" i="110" s="1"/>
  <c r="S49" i="137" s="1"/>
  <c r="I138" i="110"/>
  <c r="AC138" i="110" s="1"/>
  <c r="AF138" i="110" s="1"/>
  <c r="H138" i="110"/>
  <c r="AB138" i="110" s="1"/>
  <c r="AE138" i="110" s="1"/>
  <c r="F225" i="110"/>
  <c r="H225" i="110" s="1"/>
  <c r="AB225" i="110" s="1"/>
  <c r="AE225" i="110" s="1"/>
  <c r="S75" i="137"/>
  <c r="Q251" i="110"/>
  <c r="F152" i="110"/>
  <c r="G67" i="110"/>
  <c r="AA67" i="110" s="1"/>
  <c r="AD67" i="110" s="1"/>
  <c r="Y67" i="110"/>
  <c r="I67" i="110"/>
  <c r="AC67" i="110" s="1"/>
  <c r="AF67" i="110" s="1"/>
  <c r="H67" i="110"/>
  <c r="AB67" i="110" s="1"/>
  <c r="AE67" i="110" s="1"/>
  <c r="AC117" i="110"/>
  <c r="AF117" i="110" s="1"/>
  <c r="AB117" i="110"/>
  <c r="AE117" i="110" s="1"/>
  <c r="AB204" i="110"/>
  <c r="AE204" i="110" s="1"/>
  <c r="Q74" i="137"/>
  <c r="O250" i="110"/>
  <c r="F161" i="110"/>
  <c r="AC76" i="110"/>
  <c r="AF76" i="110" s="1"/>
  <c r="AB76" i="110"/>
  <c r="AE76" i="110" s="1"/>
  <c r="AA76" i="110"/>
  <c r="AD76" i="110" s="1"/>
  <c r="G136" i="110"/>
  <c r="M136" i="110" s="1"/>
  <c r="O47" i="137" s="1"/>
  <c r="F223" i="110"/>
  <c r="G223" i="110" s="1"/>
  <c r="AA223" i="110" s="1"/>
  <c r="AD223" i="110" s="1"/>
  <c r="H136" i="110"/>
  <c r="AB136" i="110" s="1"/>
  <c r="AE136" i="110" s="1"/>
  <c r="I136" i="110"/>
  <c r="AC136" i="110" s="1"/>
  <c r="AF136" i="110" s="1"/>
  <c r="F379" i="110"/>
  <c r="F367" i="110"/>
  <c r="G126" i="110"/>
  <c r="U126" i="110" s="1"/>
  <c r="F213" i="110"/>
  <c r="G213" i="110" s="1"/>
  <c r="AA213" i="110" s="1"/>
  <c r="AD213" i="110" s="1"/>
  <c r="I126" i="110"/>
  <c r="AC126" i="110" s="1"/>
  <c r="AF126" i="110" s="1"/>
  <c r="F185" i="110"/>
  <c r="I98" i="110"/>
  <c r="AC98" i="110" s="1"/>
  <c r="AF98" i="110" s="1"/>
  <c r="G98" i="110"/>
  <c r="S98" i="110" s="1"/>
  <c r="H98" i="110"/>
  <c r="AB98" i="110" s="1"/>
  <c r="AE98" i="110" s="1"/>
  <c r="O73" i="137"/>
  <c r="M249" i="110"/>
  <c r="G147" i="110"/>
  <c r="AA147" i="110" s="1"/>
  <c r="AD147" i="110" s="1"/>
  <c r="F234" i="110"/>
  <c r="G234" i="110" s="1"/>
  <c r="AA234" i="110" s="1"/>
  <c r="AD234" i="110" s="1"/>
  <c r="G140" i="110"/>
  <c r="N140" i="110" s="1"/>
  <c r="P51" i="137" s="1"/>
  <c r="F227" i="110"/>
  <c r="H227" i="110" s="1"/>
  <c r="AB227" i="110" s="1"/>
  <c r="AE227" i="110" s="1"/>
  <c r="I140" i="110"/>
  <c r="AC140" i="110" s="1"/>
  <c r="AF140" i="110" s="1"/>
  <c r="H140" i="110"/>
  <c r="AB140" i="110" s="1"/>
  <c r="AE140" i="110" s="1"/>
  <c r="G101" i="110"/>
  <c r="AA101" i="110" s="1"/>
  <c r="AD101" i="110" s="1"/>
  <c r="I101" i="110"/>
  <c r="AC101" i="110" s="1"/>
  <c r="AF101" i="110" s="1"/>
  <c r="H101" i="110"/>
  <c r="AB101" i="110" s="1"/>
  <c r="AE101" i="110" s="1"/>
  <c r="F188" i="110"/>
  <c r="H188" i="110" s="1"/>
  <c r="AB188" i="110" s="1"/>
  <c r="AE188" i="110" s="1"/>
  <c r="P254" i="110"/>
  <c r="P253" i="110"/>
  <c r="U102" i="58"/>
  <c r="S102" i="58"/>
  <c r="V188" i="58" s="1"/>
  <c r="M94" i="58"/>
  <c r="N180" i="58" s="1"/>
  <c r="M15" i="124"/>
  <c r="V107" i="133"/>
  <c r="AC82" i="133"/>
  <c r="H28" i="133"/>
  <c r="H43" i="133" s="1"/>
  <c r="T250" i="110"/>
  <c r="K368" i="110"/>
  <c r="P380" i="110"/>
  <c r="M56" i="124"/>
  <c r="M64" i="124" s="1"/>
  <c r="L18" i="157"/>
  <c r="X163" i="58"/>
  <c r="V80" i="110"/>
  <c r="I74" i="110"/>
  <c r="AC74" i="110" s="1"/>
  <c r="AF74" i="110" s="1"/>
  <c r="K166" i="110"/>
  <c r="T76" i="137"/>
  <c r="M165" i="110"/>
  <c r="R73" i="137"/>
  <c r="F145" i="110"/>
  <c r="F141" i="110"/>
  <c r="G141" i="110" s="1"/>
  <c r="Q141" i="110" s="1"/>
  <c r="S52" i="137" s="1"/>
  <c r="F103" i="110"/>
  <c r="F190" i="110" s="1"/>
  <c r="G190" i="110" s="1"/>
  <c r="AA190" i="110" s="1"/>
  <c r="AD190" i="110" s="1"/>
  <c r="I119" i="193"/>
  <c r="X297" i="58"/>
  <c r="W102" i="58"/>
  <c r="W180" i="58"/>
  <c r="V180" i="58"/>
  <c r="AN69" i="133"/>
  <c r="V82" i="133"/>
  <c r="BA82" i="133"/>
  <c r="AU69" i="133"/>
  <c r="H69" i="133"/>
  <c r="S378" i="110"/>
  <c r="P364" i="110"/>
  <c r="G15" i="110"/>
  <c r="AA15" i="110" s="1"/>
  <c r="AD15" i="110" s="1"/>
  <c r="H18" i="110"/>
  <c r="AB18" i="110" s="1"/>
  <c r="AE18" i="110" s="1"/>
  <c r="H56" i="110"/>
  <c r="AB56" i="110" s="1"/>
  <c r="AE56" i="110" s="1"/>
  <c r="G60" i="110"/>
  <c r="AA60" i="110" s="1"/>
  <c r="AD60" i="110" s="1"/>
  <c r="H100" i="110"/>
  <c r="AB100" i="110" s="1"/>
  <c r="AE100" i="110" s="1"/>
  <c r="H129" i="110"/>
  <c r="AB129" i="110" s="1"/>
  <c r="AE129" i="110" s="1"/>
  <c r="F187" i="110"/>
  <c r="F229" i="110"/>
  <c r="G229" i="110" s="1"/>
  <c r="AA229" i="110" s="1"/>
  <c r="AD229" i="110" s="1"/>
  <c r="V81" i="110"/>
  <c r="AS145" i="133"/>
  <c r="O255" i="110"/>
  <c r="N102" i="58"/>
  <c r="Q188" i="58" s="1"/>
  <c r="N94" i="58"/>
  <c r="O180" i="58" s="1"/>
  <c r="AC93" i="133"/>
  <c r="AU82" i="133"/>
  <c r="S251" i="110"/>
  <c r="M379" i="110"/>
  <c r="U20" i="181"/>
  <c r="H15" i="110"/>
  <c r="AB15" i="110" s="1"/>
  <c r="AE15" i="110" s="1"/>
  <c r="H60" i="110"/>
  <c r="AB60" i="110" s="1"/>
  <c r="AE60" i="110" s="1"/>
  <c r="I100" i="110"/>
  <c r="AC100" i="110" s="1"/>
  <c r="AF100" i="110" s="1"/>
  <c r="I129" i="110"/>
  <c r="AC129" i="110" s="1"/>
  <c r="AF129" i="110" s="1"/>
  <c r="L102" i="58"/>
  <c r="O188" i="58" s="1"/>
  <c r="O94" i="58"/>
  <c r="P180" i="58" s="1"/>
  <c r="AN93" i="133"/>
  <c r="O69" i="133"/>
  <c r="BA93" i="133"/>
  <c r="AC107" i="133"/>
  <c r="V93" i="133"/>
  <c r="J168" i="110"/>
  <c r="J255" i="110" s="1"/>
  <c r="O28" i="133"/>
  <c r="O43" i="133" s="1"/>
  <c r="P368" i="110"/>
  <c r="P369" i="110"/>
  <c r="I15" i="110"/>
  <c r="AC15" i="110" s="1"/>
  <c r="AF15" i="110" s="1"/>
  <c r="F216" i="110"/>
  <c r="R255" i="110"/>
  <c r="O102" i="58"/>
  <c r="R188" i="58" s="1"/>
  <c r="L94" i="58"/>
  <c r="M180" i="58" s="1"/>
  <c r="J49" i="181"/>
  <c r="H82" i="133"/>
  <c r="X183" i="58"/>
  <c r="Y15" i="110"/>
  <c r="Q102" i="58"/>
  <c r="T188" i="58" s="1"/>
  <c r="T102" i="58"/>
  <c r="W188" i="58" s="1"/>
  <c r="R94" i="58"/>
  <c r="S180" i="58" s="1"/>
  <c r="F13" i="157"/>
  <c r="M49" i="124"/>
  <c r="AN82" i="133"/>
  <c r="H93" i="133"/>
  <c r="AU93" i="133"/>
  <c r="BA69" i="133"/>
  <c r="R367" i="110"/>
  <c r="M22" i="124"/>
  <c r="G25" i="110"/>
  <c r="AA25" i="110" s="1"/>
  <c r="AD25" i="110" s="1"/>
  <c r="H142" i="110"/>
  <c r="AB142" i="110" s="1"/>
  <c r="AE142" i="110" s="1"/>
  <c r="V102" i="58"/>
  <c r="R102" i="58"/>
  <c r="U188" i="58" s="1"/>
  <c r="S366" i="110"/>
  <c r="R370" i="110"/>
  <c r="I142" i="110"/>
  <c r="AC142" i="110" s="1"/>
  <c r="AF142" i="110" s="1"/>
  <c r="P95" i="110"/>
  <c r="R10" i="137" s="1"/>
  <c r="G74" i="137"/>
  <c r="I74" i="137" s="1"/>
  <c r="I153" i="137" s="1"/>
  <c r="G70" i="137"/>
  <c r="I70" i="137" s="1"/>
  <c r="I149" i="137" s="1"/>
  <c r="G43" i="137"/>
  <c r="I43" i="137" s="1"/>
  <c r="I122" i="137" s="1"/>
  <c r="G29" i="137"/>
  <c r="I29" i="137" s="1"/>
  <c r="I108" i="137" s="1"/>
  <c r="G77" i="137"/>
  <c r="G71" i="137"/>
  <c r="I71" i="137" s="1"/>
  <c r="I150" i="137" s="1"/>
  <c r="G44" i="137"/>
  <c r="G30" i="137"/>
  <c r="I30" i="137" s="1"/>
  <c r="I109" i="137" s="1"/>
  <c r="G35" i="137"/>
  <c r="I35" i="137" s="1"/>
  <c r="I114" i="137" s="1"/>
  <c r="G22" i="137"/>
  <c r="I22" i="137" s="1"/>
  <c r="I101" i="137" s="1"/>
  <c r="G73" i="137"/>
  <c r="G40" i="137"/>
  <c r="G76" i="137"/>
  <c r="I76" i="137" s="1"/>
  <c r="I155" i="137" s="1"/>
  <c r="G72" i="137"/>
  <c r="I72" i="137" s="1"/>
  <c r="I151" i="137" s="1"/>
  <c r="G27" i="137"/>
  <c r="I27" i="137" s="1"/>
  <c r="I106" i="137" s="1"/>
  <c r="G23" i="137"/>
  <c r="I23" i="137" s="1"/>
  <c r="I102" i="137" s="1"/>
  <c r="N255" i="110"/>
  <c r="J16" i="133"/>
  <c r="J56" i="133"/>
  <c r="BB69" i="133"/>
  <c r="BB93" i="133"/>
  <c r="N49" i="124"/>
  <c r="N22" i="124"/>
  <c r="K30" i="181"/>
  <c r="K49" i="181"/>
  <c r="F366" i="110"/>
  <c r="F378" i="110"/>
  <c r="R74" i="137"/>
  <c r="P250" i="110"/>
  <c r="G159" i="110"/>
  <c r="O159" i="110" s="1"/>
  <c r="Q70" i="137" s="1"/>
  <c r="I159" i="110"/>
  <c r="AC159" i="110" s="1"/>
  <c r="AF159" i="110" s="1"/>
  <c r="H159" i="110"/>
  <c r="AB159" i="110" s="1"/>
  <c r="AE159" i="110" s="1"/>
  <c r="F246" i="110"/>
  <c r="G106" i="110"/>
  <c r="I106" i="110"/>
  <c r="AC106" i="110" s="1"/>
  <c r="AF106" i="110" s="1"/>
  <c r="H106" i="110"/>
  <c r="AB106" i="110" s="1"/>
  <c r="AE106" i="110" s="1"/>
  <c r="F193" i="110"/>
  <c r="G193" i="110" s="1"/>
  <c r="AA193" i="110" s="1"/>
  <c r="AD193" i="110" s="1"/>
  <c r="Y107" i="133"/>
  <c r="Y93" i="133"/>
  <c r="H22" i="124"/>
  <c r="H15" i="124"/>
  <c r="N18" i="157"/>
  <c r="N13" i="157"/>
  <c r="F377" i="110"/>
  <c r="F365" i="110"/>
  <c r="F153" i="110"/>
  <c r="G153" i="110" s="1"/>
  <c r="H68" i="110"/>
  <c r="AB68" i="110" s="1"/>
  <c r="AE68" i="110" s="1"/>
  <c r="G68" i="110"/>
  <c r="AA68" i="110" s="1"/>
  <c r="AD68" i="110" s="1"/>
  <c r="G137" i="110"/>
  <c r="O137" i="110" s="1"/>
  <c r="O393" i="110" s="1"/>
  <c r="F224" i="110"/>
  <c r="I137" i="110"/>
  <c r="AC137" i="110" s="1"/>
  <c r="AF137" i="110" s="1"/>
  <c r="G128" i="110"/>
  <c r="O128" i="110" s="1"/>
  <c r="Q39" i="137" s="1"/>
  <c r="F215" i="110"/>
  <c r="G215" i="110" s="1"/>
  <c r="AA215" i="110" s="1"/>
  <c r="AD215" i="110" s="1"/>
  <c r="I128" i="110"/>
  <c r="AC128" i="110" s="1"/>
  <c r="AF128" i="110" s="1"/>
  <c r="X165" i="58"/>
  <c r="N251" i="58"/>
  <c r="X251" i="58" s="1"/>
  <c r="U180" i="58"/>
  <c r="AF145" i="133"/>
  <c r="M326" i="58"/>
  <c r="M327" i="58" s="1"/>
  <c r="O369" i="110"/>
  <c r="O167" i="110"/>
  <c r="U365" i="110"/>
  <c r="U163" i="110"/>
  <c r="V163" i="110" s="1"/>
  <c r="S73" i="137"/>
  <c r="Q249" i="110"/>
  <c r="F156" i="110"/>
  <c r="I71" i="110"/>
  <c r="AC71" i="110" s="1"/>
  <c r="AF71" i="110" s="1"/>
  <c r="H71" i="110"/>
  <c r="AB71" i="110" s="1"/>
  <c r="AE71" i="110" s="1"/>
  <c r="G71" i="110"/>
  <c r="AA71" i="110" s="1"/>
  <c r="AD71" i="110" s="1"/>
  <c r="G96" i="110"/>
  <c r="R96" i="110" s="1"/>
  <c r="F183" i="110"/>
  <c r="I96" i="110"/>
  <c r="AC96" i="110" s="1"/>
  <c r="AF96" i="110" s="1"/>
  <c r="H8" i="110"/>
  <c r="AB8" i="110" s="1"/>
  <c r="AE8" i="110" s="1"/>
  <c r="F93" i="110"/>
  <c r="I8" i="110"/>
  <c r="AC8" i="110" s="1"/>
  <c r="AF8" i="110" s="1"/>
  <c r="F403" i="110"/>
  <c r="F90" i="110"/>
  <c r="I5" i="110"/>
  <c r="G5" i="110"/>
  <c r="AA5" i="110" s="1"/>
  <c r="AD5" i="110" s="1"/>
  <c r="F400" i="110"/>
  <c r="E400" i="110" s="1"/>
  <c r="X249" i="58"/>
  <c r="X167" i="58"/>
  <c r="O253" i="58"/>
  <c r="X253" i="58" s="1"/>
  <c r="L16" i="133"/>
  <c r="L69" i="133"/>
  <c r="I49" i="110"/>
  <c r="AC49" i="110" s="1"/>
  <c r="AF49" i="110" s="1"/>
  <c r="F134" i="110"/>
  <c r="G49" i="110"/>
  <c r="AA49" i="110" s="1"/>
  <c r="AD49" i="110" s="1"/>
  <c r="AC118" i="110"/>
  <c r="AF118" i="110" s="1"/>
  <c r="AB118" i="110"/>
  <c r="AE118" i="110" s="1"/>
  <c r="AA205" i="110"/>
  <c r="AD205" i="110" s="1"/>
  <c r="N116" i="193"/>
  <c r="T255" i="110"/>
  <c r="V77" i="110"/>
  <c r="K162" i="110"/>
  <c r="F154" i="110"/>
  <c r="I69" i="110"/>
  <c r="AC69" i="110" s="1"/>
  <c r="AF69" i="110" s="1"/>
  <c r="H69" i="110"/>
  <c r="AB69" i="110" s="1"/>
  <c r="AE69" i="110" s="1"/>
  <c r="G69" i="110"/>
  <c r="AA69" i="110" s="1"/>
  <c r="AD69" i="110" s="1"/>
  <c r="I23" i="110"/>
  <c r="AC23" i="110" s="1"/>
  <c r="AF23" i="110" s="1"/>
  <c r="F108" i="110"/>
  <c r="G23" i="110"/>
  <c r="AA23" i="110" s="1"/>
  <c r="AD23" i="110" s="1"/>
  <c r="O116" i="193"/>
  <c r="L260" i="58"/>
  <c r="C17" i="138" s="1"/>
  <c r="C55" i="138" s="1"/>
  <c r="AS107" i="133"/>
  <c r="AS93" i="133"/>
  <c r="Q43" i="181"/>
  <c r="Q62" i="181" s="1"/>
  <c r="H49" i="110"/>
  <c r="AB49" i="110" s="1"/>
  <c r="AE49" i="110" s="1"/>
  <c r="H59" i="110"/>
  <c r="AB59" i="110" s="1"/>
  <c r="AE59" i="110" s="1"/>
  <c r="G59" i="110"/>
  <c r="AA59" i="110" s="1"/>
  <c r="AD59" i="110" s="1"/>
  <c r="F144" i="110"/>
  <c r="I59" i="110"/>
  <c r="AC59" i="110" s="1"/>
  <c r="AF59" i="110" s="1"/>
  <c r="G139" i="110"/>
  <c r="U139" i="110" s="1"/>
  <c r="I139" i="110"/>
  <c r="AC139" i="110" s="1"/>
  <c r="AF139" i="110" s="1"/>
  <c r="H139" i="110"/>
  <c r="AB139" i="110" s="1"/>
  <c r="AE139" i="110" s="1"/>
  <c r="F226" i="110"/>
  <c r="G130" i="110"/>
  <c r="J130" i="110" s="1"/>
  <c r="L41" i="137" s="1"/>
  <c r="I130" i="110"/>
  <c r="AC130" i="110" s="1"/>
  <c r="AF130" i="110" s="1"/>
  <c r="H130" i="110"/>
  <c r="AB130" i="110" s="1"/>
  <c r="AE130" i="110" s="1"/>
  <c r="F217" i="110"/>
  <c r="G217" i="110" s="1"/>
  <c r="AA217" i="110" s="1"/>
  <c r="AD217" i="110" s="1"/>
  <c r="G109" i="110"/>
  <c r="F196" i="110"/>
  <c r="I109" i="110"/>
  <c r="AC109" i="110" s="1"/>
  <c r="AF109" i="110" s="1"/>
  <c r="J119" i="193"/>
  <c r="O16" i="133"/>
  <c r="O82" i="133"/>
  <c r="O93" i="133"/>
  <c r="U21" i="181"/>
  <c r="U25" i="181"/>
  <c r="R166" i="110"/>
  <c r="R368" i="110"/>
  <c r="T162" i="110"/>
  <c r="T364" i="110"/>
  <c r="F148" i="110"/>
  <c r="I63" i="110"/>
  <c r="AC63" i="110" s="1"/>
  <c r="AF63" i="110" s="1"/>
  <c r="H63" i="110"/>
  <c r="AB63" i="110" s="1"/>
  <c r="AE63" i="110" s="1"/>
  <c r="G63" i="110"/>
  <c r="AA63" i="110" s="1"/>
  <c r="AD63" i="110" s="1"/>
  <c r="AC30" i="110"/>
  <c r="AF30" i="110" s="1"/>
  <c r="AB30" i="110"/>
  <c r="AE30" i="110" s="1"/>
  <c r="AA30" i="110"/>
  <c r="AD30" i="110" s="1"/>
  <c r="G105" i="110"/>
  <c r="F192" i="110"/>
  <c r="I105" i="110"/>
  <c r="AC105" i="110" s="1"/>
  <c r="AF105" i="110" s="1"/>
  <c r="I17" i="110"/>
  <c r="AC17" i="110" s="1"/>
  <c r="AF17" i="110" s="1"/>
  <c r="H17" i="110"/>
  <c r="AB17" i="110" s="1"/>
  <c r="AE17" i="110" s="1"/>
  <c r="F102" i="110"/>
  <c r="F99" i="110"/>
  <c r="I14" i="110"/>
  <c r="AC14" i="110" s="1"/>
  <c r="AF14" i="110" s="1"/>
  <c r="G14" i="110"/>
  <c r="AA14" i="110" s="1"/>
  <c r="AD14" i="110" s="1"/>
  <c r="Q30" i="181"/>
  <c r="Q49" i="181"/>
  <c r="M75" i="137"/>
  <c r="K251" i="110"/>
  <c r="V164" i="110"/>
  <c r="V79" i="110"/>
  <c r="AB27" i="110"/>
  <c r="AE27" i="110" s="1"/>
  <c r="H46" i="110"/>
  <c r="AB46" i="110" s="1"/>
  <c r="AE46" i="110" s="1"/>
  <c r="M255" i="58"/>
  <c r="X99" i="58"/>
  <c r="G21" i="110"/>
  <c r="AA21" i="110" s="1"/>
  <c r="AD21" i="110" s="1"/>
  <c r="H52" i="110"/>
  <c r="AB52" i="110" s="1"/>
  <c r="AE52" i="110" s="1"/>
  <c r="I132" i="110"/>
  <c r="AC132" i="110" s="1"/>
  <c r="AF132" i="110" s="1"/>
  <c r="F230" i="110"/>
  <c r="U23" i="181"/>
  <c r="H21" i="110"/>
  <c r="AB21" i="110" s="1"/>
  <c r="AE21" i="110" s="1"/>
  <c r="I52" i="110"/>
  <c r="AC52" i="110" s="1"/>
  <c r="AF52" i="110" s="1"/>
  <c r="H143" i="110"/>
  <c r="AB143" i="110" s="1"/>
  <c r="AE143" i="110" s="1"/>
  <c r="H147" i="110"/>
  <c r="AB147" i="110" s="1"/>
  <c r="AE147" i="110" s="1"/>
  <c r="K129" i="110"/>
  <c r="M40" i="137" s="1"/>
  <c r="V103" i="58"/>
  <c r="V262" i="58" s="1"/>
  <c r="O47" i="35" s="1"/>
  <c r="R103" i="58"/>
  <c r="U189" i="58" s="1"/>
  <c r="N103" i="58"/>
  <c r="Q189" i="58" s="1"/>
  <c r="I21" i="110"/>
  <c r="AC21" i="110" s="1"/>
  <c r="AF21" i="110" s="1"/>
  <c r="G74" i="110"/>
  <c r="AA74" i="110" s="1"/>
  <c r="AD74" i="110" s="1"/>
  <c r="I143" i="110"/>
  <c r="AC143" i="110" s="1"/>
  <c r="AF143" i="110" s="1"/>
  <c r="I147" i="110"/>
  <c r="AC147" i="110" s="1"/>
  <c r="AF147" i="110" s="1"/>
  <c r="F247" i="110"/>
  <c r="G247" i="110" s="1"/>
  <c r="AA247" i="110" s="1"/>
  <c r="AD247" i="110" s="1"/>
  <c r="H74" i="110"/>
  <c r="AB74" i="110" s="1"/>
  <c r="AE74" i="110" s="1"/>
  <c r="H126" i="110"/>
  <c r="AB126" i="110" s="1"/>
  <c r="AE126" i="110" s="1"/>
  <c r="H160" i="110"/>
  <c r="AB160" i="110" s="1"/>
  <c r="AE160" i="110" s="1"/>
  <c r="O166" i="110"/>
  <c r="F151" i="110"/>
  <c r="F131" i="110"/>
  <c r="W103" i="58"/>
  <c r="W262" i="58" s="1"/>
  <c r="P47" i="35" s="1"/>
  <c r="S103" i="58"/>
  <c r="V189" i="58" s="1"/>
  <c r="O103" i="58"/>
  <c r="R189" i="58" s="1"/>
  <c r="H70" i="110"/>
  <c r="AB70" i="110" s="1"/>
  <c r="AE70" i="110" s="1"/>
  <c r="L103" i="58"/>
  <c r="O189" i="58" s="1"/>
  <c r="T103" i="58"/>
  <c r="W189" i="58" s="1"/>
  <c r="G110" i="110"/>
  <c r="F197" i="110"/>
  <c r="G197" i="110" s="1"/>
  <c r="AA197" i="110" s="1"/>
  <c r="AD197" i="110" s="1"/>
  <c r="AC110" i="110"/>
  <c r="AF110" i="110" s="1"/>
  <c r="H110" i="110"/>
  <c r="AB110" i="110" s="1"/>
  <c r="AE110" i="110" s="1"/>
  <c r="E393" i="110"/>
  <c r="D18" i="181"/>
  <c r="H25" i="110"/>
  <c r="AB25" i="110" s="1"/>
  <c r="AE25" i="110" s="1"/>
  <c r="I25" i="110"/>
  <c r="AC25" i="110" s="1"/>
  <c r="AF25" i="110" s="1"/>
  <c r="Y25" i="110"/>
  <c r="E95" i="137"/>
  <c r="E88" i="137"/>
  <c r="D7" i="181"/>
  <c r="G21" i="137"/>
  <c r="I21" i="137" s="1"/>
  <c r="I100" i="137" s="1"/>
  <c r="E87" i="137"/>
  <c r="D6" i="181"/>
  <c r="G25" i="137"/>
  <c r="I25" i="137" s="1"/>
  <c r="I104" i="137" s="1"/>
  <c r="C13" i="197"/>
  <c r="E89" i="137" s="1"/>
  <c r="E401" i="110"/>
  <c r="G20" i="137"/>
  <c r="P33" i="181"/>
  <c r="P52" i="181" s="1"/>
  <c r="P34" i="181"/>
  <c r="P53" i="181" s="1"/>
  <c r="P36" i="181"/>
  <c r="P55" i="181" s="1"/>
  <c r="F368" i="110"/>
  <c r="F380" i="110"/>
  <c r="X162" i="58"/>
  <c r="O254" i="58"/>
  <c r="X254" i="58" s="1"/>
  <c r="X168" i="58"/>
  <c r="O185" i="58"/>
  <c r="R254" i="110"/>
  <c r="M101" i="58"/>
  <c r="P187" i="58" s="1"/>
  <c r="N179" i="58"/>
  <c r="O179" i="58"/>
  <c r="R15" i="124"/>
  <c r="AP93" i="133"/>
  <c r="G157" i="110"/>
  <c r="J157" i="110" s="1"/>
  <c r="I157" i="110"/>
  <c r="AC157" i="110" s="1"/>
  <c r="AF157" i="110" s="1"/>
  <c r="H157" i="110"/>
  <c r="AB157" i="110" s="1"/>
  <c r="AE157" i="110" s="1"/>
  <c r="F244" i="110"/>
  <c r="G149" i="110"/>
  <c r="AA149" i="110" s="1"/>
  <c r="AD149" i="110" s="1"/>
  <c r="I149" i="110"/>
  <c r="AC149" i="110" s="1"/>
  <c r="AF149" i="110" s="1"/>
  <c r="H149" i="110"/>
  <c r="AB149" i="110" s="1"/>
  <c r="AE149" i="110" s="1"/>
  <c r="F236" i="110"/>
  <c r="C38" i="197"/>
  <c r="G48" i="137"/>
  <c r="G56" i="137"/>
  <c r="G64" i="137"/>
  <c r="G31" i="137"/>
  <c r="G39" i="137"/>
  <c r="G47" i="137"/>
  <c r="G55" i="137"/>
  <c r="G38" i="137"/>
  <c r="G54" i="137"/>
  <c r="G62" i="137"/>
  <c r="G45" i="137"/>
  <c r="G53" i="137"/>
  <c r="G28" i="137"/>
  <c r="G36" i="137"/>
  <c r="G60" i="137"/>
  <c r="G68" i="137"/>
  <c r="G26" i="137"/>
  <c r="G34" i="137"/>
  <c r="G58" i="137"/>
  <c r="G66" i="137"/>
  <c r="S101" i="58"/>
  <c r="V187" i="58" s="1"/>
  <c r="W101" i="58"/>
  <c r="P179" i="58"/>
  <c r="M179" i="58"/>
  <c r="AX69" i="133"/>
  <c r="K18" i="157"/>
  <c r="AT69" i="133"/>
  <c r="U79" i="137"/>
  <c r="G49" i="137"/>
  <c r="N101" i="58"/>
  <c r="Q187" i="58" s="1"/>
  <c r="Q179" i="58"/>
  <c r="V93" i="58"/>
  <c r="W179" i="58" s="1"/>
  <c r="AP82" i="133"/>
  <c r="R8" i="124"/>
  <c r="AT82" i="133"/>
  <c r="T377" i="110"/>
  <c r="G33" i="137"/>
  <c r="L101" i="58"/>
  <c r="O187" i="58" s="1"/>
  <c r="W93" i="58"/>
  <c r="AX107" i="133"/>
  <c r="R49" i="124"/>
  <c r="AT93" i="133"/>
  <c r="V83" i="110"/>
  <c r="G155" i="110"/>
  <c r="AA155" i="110" s="1"/>
  <c r="AD155" i="110" s="1"/>
  <c r="F242" i="110"/>
  <c r="I155" i="110"/>
  <c r="AC155" i="110" s="1"/>
  <c r="AF155" i="110" s="1"/>
  <c r="H155" i="110"/>
  <c r="AB155" i="110" s="1"/>
  <c r="AE155" i="110" s="1"/>
  <c r="I125" i="110"/>
  <c r="AC125" i="110" s="1"/>
  <c r="AF125" i="110" s="1"/>
  <c r="U101" i="58"/>
  <c r="T101" i="58"/>
  <c r="W187" i="58" s="1"/>
  <c r="O101" i="58"/>
  <c r="R187" i="58" s="1"/>
  <c r="T93" i="58"/>
  <c r="U179" i="58" s="1"/>
  <c r="V78" i="110"/>
  <c r="U22" i="181"/>
  <c r="U24" i="181"/>
  <c r="U26" i="181"/>
  <c r="S145" i="133"/>
  <c r="P101" i="58"/>
  <c r="S187" i="58" s="1"/>
  <c r="R179" i="58"/>
  <c r="AX82" i="133"/>
  <c r="R35" i="124"/>
  <c r="T365" i="110"/>
  <c r="X164" i="58"/>
  <c r="J167" i="110"/>
  <c r="V82" i="110"/>
  <c r="G57" i="137"/>
  <c r="V101" i="58"/>
  <c r="R101" i="58"/>
  <c r="U187" i="58" s="1"/>
  <c r="G133" i="110"/>
  <c r="O133" i="110" s="1"/>
  <c r="Q44" i="137" s="1"/>
  <c r="I133" i="110"/>
  <c r="AC133" i="110" s="1"/>
  <c r="AF133" i="110" s="1"/>
  <c r="H133" i="110"/>
  <c r="AB133" i="110" s="1"/>
  <c r="AE133" i="110" s="1"/>
  <c r="F220" i="110"/>
  <c r="X250" i="58"/>
  <c r="C15" i="197"/>
  <c r="G63" i="137"/>
  <c r="G65" i="137"/>
  <c r="G59" i="137"/>
  <c r="G67" i="137"/>
  <c r="G61" i="137"/>
  <c r="V75" i="110"/>
  <c r="V54" i="110"/>
  <c r="V51" i="110"/>
  <c r="V33" i="110"/>
  <c r="V24" i="110"/>
  <c r="V23" i="110"/>
  <c r="X98" i="58"/>
  <c r="P100" i="110"/>
  <c r="R15" i="137" s="1"/>
  <c r="V11" i="110"/>
  <c r="L50" i="124"/>
  <c r="Q326" i="58"/>
  <c r="Q327" i="58" s="1"/>
  <c r="R326" i="58"/>
  <c r="R327" i="58" s="1"/>
  <c r="R287" i="58"/>
  <c r="R289" i="58" s="1"/>
  <c r="T326" i="58"/>
  <c r="T327" i="58" s="1"/>
  <c r="N287" i="58"/>
  <c r="N289" i="58" s="1"/>
  <c r="T287" i="58"/>
  <c r="T289" i="58" s="1"/>
  <c r="X252" i="58"/>
  <c r="X248" i="58"/>
  <c r="X166" i="58"/>
  <c r="R223" i="58"/>
  <c r="X223" i="58" s="1"/>
  <c r="X337" i="58"/>
  <c r="X256" i="58"/>
  <c r="L23" i="138"/>
  <c r="O23" i="138" s="1"/>
  <c r="X257" i="58"/>
  <c r="E15" i="196"/>
  <c r="O20" i="138"/>
  <c r="O43" i="181"/>
  <c r="O62" i="181" s="1"/>
  <c r="M317" i="58"/>
  <c r="U317" i="58"/>
  <c r="U319" i="58" s="1"/>
  <c r="O36" i="181"/>
  <c r="O55" i="181" s="1"/>
  <c r="O33" i="181"/>
  <c r="O52" i="181" s="1"/>
  <c r="O34" i="181"/>
  <c r="O53" i="181" s="1"/>
  <c r="Q287" i="58"/>
  <c r="Q289" i="58" s="1"/>
  <c r="K50" i="124"/>
  <c r="J11" i="181"/>
  <c r="S326" i="58"/>
  <c r="S327" i="58" s="1"/>
  <c r="O8" i="181"/>
  <c r="N326" i="58"/>
  <c r="N327" i="58" s="1"/>
  <c r="S287" i="58"/>
  <c r="S289" i="58" s="1"/>
  <c r="V295" i="58"/>
  <c r="M287" i="58"/>
  <c r="M289" i="58" s="1"/>
  <c r="I33" i="181"/>
  <c r="I52" i="181" s="1"/>
  <c r="I36" i="181"/>
  <c r="I55" i="181" s="1"/>
  <c r="P19" i="110"/>
  <c r="W326" i="58"/>
  <c r="W327" i="58" s="1"/>
  <c r="S270" i="58"/>
  <c r="K39" i="181"/>
  <c r="J39" i="181"/>
  <c r="R270" i="58"/>
  <c r="Q276" i="58"/>
  <c r="P84" i="110"/>
  <c r="X232" i="58"/>
  <c r="T295" i="58"/>
  <c r="R276" i="58"/>
  <c r="X315" i="58"/>
  <c r="R295" i="58"/>
  <c r="O196" i="58"/>
  <c r="X196" i="58" s="1"/>
  <c r="X237" i="58"/>
  <c r="N363" i="110"/>
  <c r="O224" i="58"/>
  <c r="X224" i="58" s="1"/>
  <c r="V74" i="110"/>
  <c r="V73" i="110"/>
  <c r="V72" i="110"/>
  <c r="V70" i="110"/>
  <c r="V69" i="110"/>
  <c r="V68" i="110"/>
  <c r="R84" i="110"/>
  <c r="V67" i="110"/>
  <c r="V66" i="110"/>
  <c r="U84" i="110"/>
  <c r="N84" i="110"/>
  <c r="V61" i="110"/>
  <c r="V58" i="110"/>
  <c r="V57" i="110"/>
  <c r="V53" i="110"/>
  <c r="V45" i="110"/>
  <c r="V39" i="110"/>
  <c r="V32" i="110"/>
  <c r="O84" i="110"/>
  <c r="Q84" i="110"/>
  <c r="X238" i="58"/>
  <c r="X240" i="58"/>
  <c r="O206" i="58"/>
  <c r="X206" i="58" s="1"/>
  <c r="S43" i="181"/>
  <c r="S62" i="181" s="1"/>
  <c r="X84" i="58"/>
  <c r="V76" i="110"/>
  <c r="V71" i="110"/>
  <c r="J84" i="110"/>
  <c r="S84" i="110"/>
  <c r="K84" i="110"/>
  <c r="T84" i="110"/>
  <c r="V63" i="110"/>
  <c r="V62" i="110"/>
  <c r="V60" i="110"/>
  <c r="V59" i="110"/>
  <c r="V56" i="110"/>
  <c r="V55" i="110"/>
  <c r="V52" i="110"/>
  <c r="V50" i="110"/>
  <c r="V49" i="110"/>
  <c r="V48" i="110"/>
  <c r="V47" i="110"/>
  <c r="V46" i="110"/>
  <c r="V44" i="110"/>
  <c r="V43" i="110"/>
  <c r="V42" i="110"/>
  <c r="V41" i="110"/>
  <c r="V40" i="110"/>
  <c r="V37" i="110"/>
  <c r="V35" i="110"/>
  <c r="V34" i="110"/>
  <c r="V31" i="110"/>
  <c r="V30" i="110"/>
  <c r="V29" i="110"/>
  <c r="V27" i="110"/>
  <c r="V25" i="110"/>
  <c r="V22" i="110"/>
  <c r="M84" i="110"/>
  <c r="V20" i="110"/>
  <c r="X236" i="58"/>
  <c r="X228" i="58"/>
  <c r="X192" i="58"/>
  <c r="L317" i="58"/>
  <c r="L319" i="58" s="1"/>
  <c r="T317" i="58"/>
  <c r="T319" i="58" s="1"/>
  <c r="R65" i="124"/>
  <c r="U335" i="58"/>
  <c r="Q295" i="58"/>
  <c r="M276" i="58"/>
  <c r="P42" i="181"/>
  <c r="P61" i="181" s="1"/>
  <c r="X243" i="58"/>
  <c r="I57" i="181"/>
  <c r="I58" i="181" s="1"/>
  <c r="I39" i="181"/>
  <c r="Q57" i="181"/>
  <c r="Q58" i="181" s="1"/>
  <c r="Q39" i="181"/>
  <c r="X245" i="58"/>
  <c r="X241" i="58"/>
  <c r="X229" i="58"/>
  <c r="S39" i="181"/>
  <c r="S57" i="181"/>
  <c r="S58" i="181" s="1"/>
  <c r="M57" i="181"/>
  <c r="M58" i="181" s="1"/>
  <c r="M39" i="181"/>
  <c r="P262" i="58"/>
  <c r="I47" i="35" s="1"/>
  <c r="T335" i="58"/>
  <c r="N43" i="181"/>
  <c r="J43" i="181"/>
  <c r="O222" i="58"/>
  <c r="X222" i="58" s="1"/>
  <c r="U191" i="58"/>
  <c r="U255" i="58" s="1"/>
  <c r="S215" i="58"/>
  <c r="X215" i="58" s="1"/>
  <c r="P218" i="58"/>
  <c r="X218" i="58" s="1"/>
  <c r="R221" i="58"/>
  <c r="X221" i="58" s="1"/>
  <c r="S239" i="58"/>
  <c r="X239" i="58" s="1"/>
  <c r="P242" i="58"/>
  <c r="X242" i="58" s="1"/>
  <c r="R335" i="58"/>
  <c r="V64" i="110"/>
  <c r="U18" i="181"/>
  <c r="O39" i="181"/>
  <c r="L363" i="110"/>
  <c r="S317" i="58"/>
  <c r="S319" i="58" s="1"/>
  <c r="O194" i="58"/>
  <c r="X194" i="58" s="1"/>
  <c r="O246" i="58"/>
  <c r="X246" i="58" s="1"/>
  <c r="W255" i="58"/>
  <c r="S195" i="58"/>
  <c r="X195" i="58" s="1"/>
  <c r="T225" i="58"/>
  <c r="X225" i="58" s="1"/>
  <c r="P234" i="58"/>
  <c r="X234" i="58" s="1"/>
  <c r="Q235" i="58"/>
  <c r="X235" i="58" s="1"/>
  <c r="P200" i="58"/>
  <c r="X200" i="58" s="1"/>
  <c r="V21" i="110"/>
  <c r="T270" i="58"/>
  <c r="X105" i="58"/>
  <c r="L84" i="110"/>
  <c r="V65" i="110"/>
  <c r="O214" i="58"/>
  <c r="X214" i="58" s="1"/>
  <c r="X227" i="58"/>
  <c r="V335" i="58"/>
  <c r="R57" i="181"/>
  <c r="R58" i="181" s="1"/>
  <c r="K68" i="124"/>
  <c r="R68" i="124" s="1"/>
  <c r="T43" i="181"/>
  <c r="T62" i="181" s="1"/>
  <c r="R43" i="181"/>
  <c r="R203" i="58"/>
  <c r="X203" i="58" s="1"/>
  <c r="X247" i="58"/>
  <c r="V270" i="58"/>
  <c r="L42" i="181"/>
  <c r="L45" i="181" s="1"/>
  <c r="L63" i="181" s="1"/>
  <c r="T217" i="58"/>
  <c r="X217" i="58" s="1"/>
  <c r="P226" i="58"/>
  <c r="X226" i="58" s="1"/>
  <c r="X230" i="58"/>
  <c r="U270" i="58"/>
  <c r="X233" i="58"/>
  <c r="X231" i="58"/>
  <c r="V255" i="58"/>
  <c r="X244" i="58"/>
  <c r="T61" i="181"/>
  <c r="T39" i="181"/>
  <c r="T57" i="181"/>
  <c r="T58" i="181" s="1"/>
  <c r="P39" i="181"/>
  <c r="P57" i="181"/>
  <c r="P58" i="181" s="1"/>
  <c r="L39" i="181"/>
  <c r="U38" i="181"/>
  <c r="U39" i="181" s="1"/>
  <c r="L57" i="181"/>
  <c r="I62" i="181"/>
  <c r="Q61" i="181"/>
  <c r="N39" i="181"/>
  <c r="N57" i="181"/>
  <c r="N58" i="181" s="1"/>
  <c r="K61" i="181"/>
  <c r="S61" i="181"/>
  <c r="U19" i="181"/>
  <c r="K43" i="181"/>
  <c r="K62" i="181" s="1"/>
  <c r="M42" i="181"/>
  <c r="M270" i="58"/>
  <c r="X334" i="58"/>
  <c r="P295" i="58"/>
  <c r="I42" i="181"/>
  <c r="O54" i="181"/>
  <c r="X288" i="58"/>
  <c r="O270" i="58"/>
  <c r="P270" i="58"/>
  <c r="U276" i="58"/>
  <c r="L326" i="58"/>
  <c r="L327" i="58" s="1"/>
  <c r="L287" i="58"/>
  <c r="L289" i="58" s="1"/>
  <c r="L295" i="58"/>
  <c r="Q270" i="58"/>
  <c r="X269" i="58"/>
  <c r="X272" i="58"/>
  <c r="W276" i="58"/>
  <c r="X274" i="58"/>
  <c r="X275" i="58"/>
  <c r="V17" i="110"/>
  <c r="V15" i="110"/>
  <c r="V14" i="110"/>
  <c r="O50" i="124"/>
  <c r="O335" i="58"/>
  <c r="O338" i="58" s="1"/>
  <c r="R317" i="58"/>
  <c r="R319" i="58" s="1"/>
  <c r="O317" i="58"/>
  <c r="O319" i="58" s="1"/>
  <c r="W317" i="58"/>
  <c r="W319" i="58" s="1"/>
  <c r="P317" i="58"/>
  <c r="P319" i="58" s="1"/>
  <c r="S335" i="58"/>
  <c r="O295" i="58"/>
  <c r="W335" i="58"/>
  <c r="X19" i="58"/>
  <c r="T34" i="181"/>
  <c r="T53" i="181" s="1"/>
  <c r="T36" i="181"/>
  <c r="T55" i="181" s="1"/>
  <c r="T33" i="181"/>
  <c r="O11" i="181"/>
  <c r="M176" i="58"/>
  <c r="U295" i="58"/>
  <c r="T276" i="58"/>
  <c r="P276" i="58"/>
  <c r="U287" i="58"/>
  <c r="U289" i="58" s="1"/>
  <c r="X311" i="58"/>
  <c r="Q33" i="181"/>
  <c r="Q52" i="181" s="1"/>
  <c r="X292" i="58"/>
  <c r="W295" i="58"/>
  <c r="R6" i="181"/>
  <c r="X336" i="58"/>
  <c r="S19" i="110"/>
  <c r="Q36" i="181"/>
  <c r="Q55" i="181" s="1"/>
  <c r="L270" i="58"/>
  <c r="N276" i="58"/>
  <c r="V276" i="58"/>
  <c r="L17" i="181"/>
  <c r="U17" i="181" s="1"/>
  <c r="P50" i="124"/>
  <c r="R19" i="110"/>
  <c r="P326" i="58"/>
  <c r="P327" i="58" s="1"/>
  <c r="M295" i="58"/>
  <c r="N270" i="58"/>
  <c r="X309" i="58"/>
  <c r="P287" i="58"/>
  <c r="P289" i="58" s="1"/>
  <c r="W289" i="58"/>
  <c r="N317" i="58"/>
  <c r="N319" i="58" s="1"/>
  <c r="V317" i="58"/>
  <c r="V319" i="58" s="1"/>
  <c r="X313" i="58"/>
  <c r="Q317" i="58"/>
  <c r="Q319" i="58" s="1"/>
  <c r="Q54" i="181"/>
  <c r="P54" i="181"/>
  <c r="V326" i="58"/>
  <c r="V327" i="58" s="1"/>
  <c r="P185" i="58"/>
  <c r="X296" i="58"/>
  <c r="V12" i="110"/>
  <c r="V18" i="110"/>
  <c r="R33" i="181"/>
  <c r="R36" i="181"/>
  <c r="R55" i="181" s="1"/>
  <c r="J34" i="181"/>
  <c r="J53" i="181" s="1"/>
  <c r="J36" i="181"/>
  <c r="J55" i="181" s="1"/>
  <c r="J33" i="181"/>
  <c r="V16" i="110"/>
  <c r="I16" i="181"/>
  <c r="O19" i="110"/>
  <c r="V13" i="110"/>
  <c r="J50" i="124"/>
  <c r="M11" i="181"/>
  <c r="N19" i="110"/>
  <c r="T10" i="181"/>
  <c r="Q50" i="124"/>
  <c r="U19" i="110"/>
  <c r="L10" i="181"/>
  <c r="M19" i="110"/>
  <c r="V10" i="110"/>
  <c r="I50" i="124"/>
  <c r="S9" i="181"/>
  <c r="T19" i="110"/>
  <c r="H50" i="124"/>
  <c r="V9" i="110"/>
  <c r="K9" i="181"/>
  <c r="L19" i="110"/>
  <c r="J8" i="181"/>
  <c r="G50" i="124"/>
  <c r="V8" i="110"/>
  <c r="K19" i="110"/>
  <c r="Q7" i="181"/>
  <c r="N50" i="124"/>
  <c r="J19" i="110"/>
  <c r="V7" i="110"/>
  <c r="I7" i="181"/>
  <c r="I31" i="181" s="1"/>
  <c r="F50" i="124"/>
  <c r="P6" i="181"/>
  <c r="Q19" i="110"/>
  <c r="M50" i="124"/>
  <c r="V6" i="110"/>
  <c r="O5" i="181"/>
  <c r="V5" i="110"/>
  <c r="V287" i="58"/>
  <c r="V289" i="58" s="1"/>
  <c r="N177" i="58"/>
  <c r="X177" i="58" s="1"/>
  <c r="S276" i="58"/>
  <c r="S54" i="181"/>
  <c r="X91" i="58"/>
  <c r="Q186" i="58"/>
  <c r="X186" i="58" s="1"/>
  <c r="X100" i="58"/>
  <c r="X184" i="58"/>
  <c r="X268" i="58"/>
  <c r="X308" i="58"/>
  <c r="X290" i="58"/>
  <c r="X96" i="58"/>
  <c r="T182" i="58"/>
  <c r="N295" i="58"/>
  <c r="X291" i="58"/>
  <c r="X294" i="58"/>
  <c r="X328" i="58"/>
  <c r="N335" i="58"/>
  <c r="X332" i="58"/>
  <c r="X293" i="58"/>
  <c r="I53" i="181"/>
  <c r="W270" i="58"/>
  <c r="L276" i="58"/>
  <c r="X271" i="58"/>
  <c r="X273" i="58"/>
  <c r="L54" i="181"/>
  <c r="N178" i="58"/>
  <c r="X178" i="58" s="1"/>
  <c r="X92" i="58"/>
  <c r="M33" i="181"/>
  <c r="M34" i="181"/>
  <c r="M53" i="181" s="1"/>
  <c r="M36" i="181"/>
  <c r="M55" i="181" s="1"/>
  <c r="X95" i="58"/>
  <c r="N181" i="58"/>
  <c r="X181" i="58" s="1"/>
  <c r="N33" i="181"/>
  <c r="N34" i="181"/>
  <c r="N53" i="181" s="1"/>
  <c r="N36" i="181"/>
  <c r="N55" i="181" s="1"/>
  <c r="S295" i="58"/>
  <c r="O276" i="58"/>
  <c r="O287" i="58"/>
  <c r="Q176" i="58"/>
  <c r="X90" i="58"/>
  <c r="Q335" i="58"/>
  <c r="M335" i="58"/>
  <c r="P335" i="58"/>
  <c r="X331" i="58"/>
  <c r="X329" i="58"/>
  <c r="X333" i="58"/>
  <c r="X330" i="58"/>
  <c r="L335" i="58"/>
  <c r="X277" i="58"/>
  <c r="M318" i="58"/>
  <c r="X318" i="58" s="1"/>
  <c r="X310" i="58"/>
  <c r="X312" i="58"/>
  <c r="X314" i="58"/>
  <c r="X316" i="58"/>
  <c r="H29" i="133"/>
  <c r="H36" i="133"/>
  <c r="R35" i="133"/>
  <c r="R36" i="133" s="1"/>
  <c r="S29" i="133" s="1"/>
  <c r="AE29" i="133" s="1"/>
  <c r="AA129" i="110"/>
  <c r="AD129" i="110" s="1"/>
  <c r="K12" i="178"/>
  <c r="H51" i="178"/>
  <c r="F57" i="35"/>
  <c r="N12" i="178"/>
  <c r="T51" i="178"/>
  <c r="AA114" i="110"/>
  <c r="AD114" i="110" s="1"/>
  <c r="S60" i="178"/>
  <c r="T19" i="178"/>
  <c r="Q43" i="178"/>
  <c r="T43" i="178" s="1"/>
  <c r="B19" i="26"/>
  <c r="S10" i="178"/>
  <c r="I53" i="178"/>
  <c r="T47" i="178"/>
  <c r="I19" i="26"/>
  <c r="E19" i="26"/>
  <c r="J19" i="26"/>
  <c r="F19" i="26"/>
  <c r="C19" i="26"/>
  <c r="K19" i="26"/>
  <c r="G19" i="26"/>
  <c r="J50" i="178"/>
  <c r="T5" i="178"/>
  <c r="N34" i="178"/>
  <c r="T34" i="178" s="1"/>
  <c r="T52" i="178"/>
  <c r="H19" i="26"/>
  <c r="Q27" i="35"/>
  <c r="M19" i="26"/>
  <c r="M11" i="178"/>
  <c r="J10" i="178"/>
  <c r="O22" i="138"/>
  <c r="H14" i="178"/>
  <c r="T14" i="178" s="1"/>
  <c r="P10" i="178"/>
  <c r="T55" i="178"/>
  <c r="G57" i="35"/>
  <c r="O11" i="178"/>
  <c r="L25" i="178"/>
  <c r="K52" i="178"/>
  <c r="K60" i="178" s="1"/>
  <c r="K18" i="178"/>
  <c r="Q45" i="178"/>
  <c r="T45" i="178" s="1"/>
  <c r="I10" i="178"/>
  <c r="Q26" i="35"/>
  <c r="L19" i="26"/>
  <c r="Q58" i="35"/>
  <c r="K26" i="178"/>
  <c r="T26" i="178" s="1"/>
  <c r="R56" i="178"/>
  <c r="R60" i="178" s="1"/>
  <c r="H57" i="35"/>
  <c r="M78" i="178"/>
  <c r="O23" i="178"/>
  <c r="P23" i="178" s="1"/>
  <c r="Q23" i="178" s="1"/>
  <c r="L33" i="178"/>
  <c r="O33" i="178" s="1"/>
  <c r="N78" i="178"/>
  <c r="I57" i="35"/>
  <c r="L60" i="178"/>
  <c r="T53" i="178"/>
  <c r="J21" i="178"/>
  <c r="J52" i="178"/>
  <c r="H54" i="178"/>
  <c r="H50" i="178"/>
  <c r="D19" i="26"/>
  <c r="Q44" i="178"/>
  <c r="T44" i="178" s="1"/>
  <c r="N57" i="178"/>
  <c r="I54" i="178"/>
  <c r="P18" i="178"/>
  <c r="AA100" i="110"/>
  <c r="AD100" i="110" s="1"/>
  <c r="O18" i="178"/>
  <c r="N25" i="178"/>
  <c r="I52" i="178"/>
  <c r="N18" i="178"/>
  <c r="M60" i="178"/>
  <c r="T22" i="178"/>
  <c r="G60" i="178"/>
  <c r="AA160" i="110"/>
  <c r="AD160" i="110" s="1"/>
  <c r="AA95" i="110"/>
  <c r="AD95" i="110" s="1"/>
  <c r="U100" i="110"/>
  <c r="W15" i="137" s="1"/>
  <c r="O129" i="110"/>
  <c r="O100" i="110"/>
  <c r="U160" i="110"/>
  <c r="N100" i="110"/>
  <c r="U95" i="110"/>
  <c r="S129" i="110"/>
  <c r="M100" i="110"/>
  <c r="T95" i="110"/>
  <c r="M95" i="110"/>
  <c r="R129" i="110"/>
  <c r="R160" i="110"/>
  <c r="R362" i="110" s="1"/>
  <c r="J160" i="110"/>
  <c r="L71" i="137" s="1"/>
  <c r="U129" i="110"/>
  <c r="Q129" i="110"/>
  <c r="M129" i="110"/>
  <c r="T129" i="110"/>
  <c r="P129" i="110"/>
  <c r="L129" i="110"/>
  <c r="M160" i="110"/>
  <c r="M362" i="110" s="1"/>
  <c r="J129" i="110"/>
  <c r="Q160" i="110"/>
  <c r="T160" i="110"/>
  <c r="L100" i="110"/>
  <c r="T100" i="110"/>
  <c r="K100" i="110"/>
  <c r="L95" i="110"/>
  <c r="L160" i="110"/>
  <c r="S100" i="110"/>
  <c r="O95" i="110"/>
  <c r="P142" i="110"/>
  <c r="K142" i="110"/>
  <c r="S142" i="110"/>
  <c r="N142" i="110"/>
  <c r="J142" i="110"/>
  <c r="U142" i="110"/>
  <c r="R142" i="110"/>
  <c r="O142" i="110"/>
  <c r="L142" i="110"/>
  <c r="T142" i="110"/>
  <c r="M142" i="110"/>
  <c r="O143" i="110"/>
  <c r="J143" i="110"/>
  <c r="R143" i="110"/>
  <c r="M143" i="110"/>
  <c r="Q143" i="110"/>
  <c r="T143" i="110"/>
  <c r="N143" i="110"/>
  <c r="K143" i="110"/>
  <c r="U143" i="110"/>
  <c r="L143" i="110"/>
  <c r="P143" i="110"/>
  <c r="S143" i="110"/>
  <c r="Q142" i="110"/>
  <c r="O160" i="110"/>
  <c r="N160" i="110"/>
  <c r="S160" i="110"/>
  <c r="K160" i="110"/>
  <c r="N129" i="110"/>
  <c r="R100" i="110"/>
  <c r="J100" i="110"/>
  <c r="R95" i="110"/>
  <c r="J95" i="110"/>
  <c r="Q100" i="110"/>
  <c r="Q95" i="110"/>
  <c r="N95" i="110"/>
  <c r="S95" i="110"/>
  <c r="K95" i="110"/>
  <c r="X169" i="58" l="1"/>
  <c r="J31" i="181"/>
  <c r="F64" i="133"/>
  <c r="F84" i="133" s="1"/>
  <c r="R59" i="133"/>
  <c r="V47" i="133"/>
  <c r="V87" i="133" s="1"/>
  <c r="P97" i="110"/>
  <c r="R12" i="137" s="1"/>
  <c r="N97" i="110"/>
  <c r="P12" i="137" s="1"/>
  <c r="S97" i="110"/>
  <c r="U12" i="137" s="1"/>
  <c r="M97" i="110"/>
  <c r="O12" i="137" s="1"/>
  <c r="R97" i="110"/>
  <c r="T12" i="137" s="1"/>
  <c r="O97" i="110"/>
  <c r="Q12" i="137" s="1"/>
  <c r="AA97" i="110"/>
  <c r="AD97" i="110" s="1"/>
  <c r="J97" i="110"/>
  <c r="L12" i="137" s="1"/>
  <c r="L97" i="110"/>
  <c r="N12" i="137" s="1"/>
  <c r="K97" i="110"/>
  <c r="M12" i="137" s="1"/>
  <c r="U97" i="110"/>
  <c r="T97" i="110"/>
  <c r="V12" i="137" s="1"/>
  <c r="S56" i="181"/>
  <c r="F30" i="193"/>
  <c r="F36" i="193" s="1"/>
  <c r="N169" i="137"/>
  <c r="M47" i="175"/>
  <c r="N16" i="175" s="1"/>
  <c r="EK61" i="188"/>
  <c r="EH61" i="188"/>
  <c r="EB61" i="188"/>
  <c r="DZ61" i="188"/>
  <c r="EG61" i="188"/>
  <c r="EF61" i="188"/>
  <c r="EE61" i="188"/>
  <c r="EI61" i="188"/>
  <c r="EC61" i="188"/>
  <c r="ED61" i="188"/>
  <c r="EJ61" i="188"/>
  <c r="G125" i="110"/>
  <c r="R125" i="110" s="1"/>
  <c r="R327" i="110" s="1"/>
  <c r="V163" i="137"/>
  <c r="V167" i="137" s="1"/>
  <c r="V169" i="137" s="1"/>
  <c r="CM29" i="188"/>
  <c r="CM130" i="188" s="1"/>
  <c r="O80" i="192"/>
  <c r="BJ14" i="188"/>
  <c r="B22" i="119"/>
  <c r="BL80" i="188"/>
  <c r="BE97" i="188"/>
  <c r="CL117" i="188"/>
  <c r="CD60" i="188"/>
  <c r="DK60" i="188"/>
  <c r="CK60" i="188"/>
  <c r="DC60" i="188"/>
  <c r="DH60" i="188"/>
  <c r="CC60" i="188"/>
  <c r="DI60" i="188"/>
  <c r="DJ60" i="188"/>
  <c r="CH60" i="188"/>
  <c r="CH74" i="188" s="1"/>
  <c r="CE60" i="188"/>
  <c r="DA60" i="188"/>
  <c r="CZ60" i="188"/>
  <c r="DL60" i="188" s="1"/>
  <c r="DD60" i="188"/>
  <c r="DB60" i="188"/>
  <c r="DF60" i="188"/>
  <c r="CF60" i="188"/>
  <c r="CA60" i="188"/>
  <c r="CA74" i="188" s="1"/>
  <c r="K60" i="188"/>
  <c r="CB60" i="188"/>
  <c r="BZ60" i="188"/>
  <c r="CI60" i="188"/>
  <c r="CJ60" i="188"/>
  <c r="CG60" i="188"/>
  <c r="DE60" i="188"/>
  <c r="I69" i="192"/>
  <c r="I109" i="192"/>
  <c r="CL34" i="188"/>
  <c r="AY74" i="188"/>
  <c r="AY130" i="188" s="1"/>
  <c r="CH27" i="188"/>
  <c r="CU27" i="188"/>
  <c r="BU29" i="188"/>
  <c r="BU130" i="188" s="1"/>
  <c r="BY27" i="188"/>
  <c r="CL50" i="188"/>
  <c r="DL50" i="188"/>
  <c r="DA112" i="188"/>
  <c r="DF112" i="188"/>
  <c r="DJ112" i="188"/>
  <c r="DD112" i="188"/>
  <c r="DI112" i="188"/>
  <c r="DB112" i="188"/>
  <c r="DG112" i="188"/>
  <c r="DH112" i="188"/>
  <c r="K112" i="188"/>
  <c r="DC112" i="188"/>
  <c r="DK112" i="188"/>
  <c r="DE112" i="188"/>
  <c r="CZ112" i="188"/>
  <c r="CQ130" i="188"/>
  <c r="I36" i="192"/>
  <c r="I100" i="192"/>
  <c r="I101" i="192" s="1"/>
  <c r="CZ127" i="188"/>
  <c r="DL123" i="188"/>
  <c r="DL61" i="188"/>
  <c r="DL126" i="188"/>
  <c r="DG127" i="188"/>
  <c r="BL27" i="188"/>
  <c r="H63" i="192"/>
  <c r="CL123" i="188"/>
  <c r="CL127" i="188" s="1"/>
  <c r="CB127" i="188"/>
  <c r="DL62" i="188"/>
  <c r="DL7" i="188"/>
  <c r="Q49" i="35"/>
  <c r="G108" i="192"/>
  <c r="BL30" i="188"/>
  <c r="EB65" i="188"/>
  <c r="EE65" i="188"/>
  <c r="ED65" i="188"/>
  <c r="EC65" i="188"/>
  <c r="EA65" i="188"/>
  <c r="EK65" i="188"/>
  <c r="EH65" i="188"/>
  <c r="EI65" i="188"/>
  <c r="DZ65" i="188"/>
  <c r="EJ65" i="188"/>
  <c r="EG65" i="188"/>
  <c r="R87" i="192"/>
  <c r="F92" i="192"/>
  <c r="CB97" i="188"/>
  <c r="CL82" i="188"/>
  <c r="CA64" i="188"/>
  <c r="J64" i="188"/>
  <c r="CC64" i="188"/>
  <c r="BZ64" i="188"/>
  <c r="CH64" i="188"/>
  <c r="CK64" i="188"/>
  <c r="CJ64" i="188"/>
  <c r="CJ74" i="188" s="1"/>
  <c r="CE64" i="188"/>
  <c r="CF64" i="188"/>
  <c r="CB64" i="188"/>
  <c r="CD64" i="188"/>
  <c r="CG64" i="188"/>
  <c r="L22" i="199"/>
  <c r="L23" i="199" s="1"/>
  <c r="L25" i="199" s="1"/>
  <c r="L17" i="199"/>
  <c r="G109" i="192"/>
  <c r="G69" i="192"/>
  <c r="AC14" i="188"/>
  <c r="AC130" i="188" s="1"/>
  <c r="AC132" i="188" s="1"/>
  <c r="DM28" i="188"/>
  <c r="BK14" i="188"/>
  <c r="BK130" i="188" s="1"/>
  <c r="M169" i="137"/>
  <c r="CG30" i="188"/>
  <c r="CG74" i="188" s="1"/>
  <c r="J30" i="188"/>
  <c r="CF30" i="188"/>
  <c r="CJ30" i="188"/>
  <c r="BZ30" i="188"/>
  <c r="CD30" i="188"/>
  <c r="CD74" i="188" s="1"/>
  <c r="CA30" i="188"/>
  <c r="CI30" i="188"/>
  <c r="CB30" i="188"/>
  <c r="CB74" i="188" s="1"/>
  <c r="CH30" i="188"/>
  <c r="CK30" i="188"/>
  <c r="CC30" i="188"/>
  <c r="CE30" i="188"/>
  <c r="CG69" i="188"/>
  <c r="CB69" i="188"/>
  <c r="CK69" i="188"/>
  <c r="CI69" i="188"/>
  <c r="CH69" i="188"/>
  <c r="CA69" i="188"/>
  <c r="CC69" i="188"/>
  <c r="CD69" i="188"/>
  <c r="CE69" i="188"/>
  <c r="CE74" i="188" s="1"/>
  <c r="CF69" i="188"/>
  <c r="BZ69" i="188"/>
  <c r="J69" i="188"/>
  <c r="CJ69" i="188"/>
  <c r="AM130" i="188"/>
  <c r="CL114" i="188"/>
  <c r="DL54" i="188"/>
  <c r="AO130" i="188"/>
  <c r="CL125" i="188"/>
  <c r="CL61" i="188"/>
  <c r="BA29" i="188"/>
  <c r="BV130" i="188"/>
  <c r="F63" i="192"/>
  <c r="CK93" i="188"/>
  <c r="CG93" i="188"/>
  <c r="CD93" i="188"/>
  <c r="CD97" i="188" s="1"/>
  <c r="CF93" i="188"/>
  <c r="J93" i="188"/>
  <c r="CI93" i="188"/>
  <c r="CJ93" i="188"/>
  <c r="CA93" i="188"/>
  <c r="CE93" i="188"/>
  <c r="CB93" i="188"/>
  <c r="CC93" i="188"/>
  <c r="AL97" i="188"/>
  <c r="BZ71" i="188"/>
  <c r="CL71" i="188" s="1"/>
  <c r="CK71" i="188"/>
  <c r="CG71" i="188"/>
  <c r="CH71" i="188"/>
  <c r="CD71" i="188"/>
  <c r="CC71" i="188"/>
  <c r="CE71" i="188"/>
  <c r="CF71" i="188"/>
  <c r="J71" i="188"/>
  <c r="CB71" i="188"/>
  <c r="CI71" i="188"/>
  <c r="CA71" i="188"/>
  <c r="CJ71" i="188"/>
  <c r="N41" i="175"/>
  <c r="M45" i="175"/>
  <c r="M46" i="175" s="1"/>
  <c r="M10" i="175"/>
  <c r="AA8" i="119"/>
  <c r="BL40" i="188"/>
  <c r="AL123" i="188"/>
  <c r="AL127" i="188" s="1"/>
  <c r="AE127" i="188"/>
  <c r="AL50" i="188"/>
  <c r="AL74" i="188" s="1"/>
  <c r="AF74" i="188"/>
  <c r="AF130" i="188" s="1"/>
  <c r="EL49" i="188"/>
  <c r="J17" i="199"/>
  <c r="L64" i="133"/>
  <c r="L84" i="133" s="1"/>
  <c r="F53" i="133"/>
  <c r="BY29" i="188"/>
  <c r="BC74" i="188"/>
  <c r="BC130" i="188" s="1"/>
  <c r="EL26" i="188"/>
  <c r="Q59" i="35"/>
  <c r="J23" i="119"/>
  <c r="J20" i="119" s="1"/>
  <c r="J12" i="119"/>
  <c r="CI63" i="188"/>
  <c r="CG63" i="188"/>
  <c r="CJ63" i="188"/>
  <c r="CB63" i="188"/>
  <c r="J63" i="188"/>
  <c r="CH63" i="188"/>
  <c r="BZ63" i="188"/>
  <c r="CA63" i="188"/>
  <c r="CK63" i="188"/>
  <c r="CK74" i="188" s="1"/>
  <c r="CF63" i="188"/>
  <c r="CE63" i="188"/>
  <c r="CC63" i="188"/>
  <c r="CC74" i="188" s="1"/>
  <c r="DJ117" i="188"/>
  <c r="DB117" i="188"/>
  <c r="K117" i="188"/>
  <c r="DG117" i="188"/>
  <c r="DA117" i="188"/>
  <c r="DL117" i="188" s="1"/>
  <c r="DD117" i="188"/>
  <c r="DF117" i="188"/>
  <c r="DI117" i="188"/>
  <c r="DK117" i="188"/>
  <c r="DE117" i="188"/>
  <c r="CX130" i="188"/>
  <c r="DW29" i="188"/>
  <c r="DW130" i="188" s="1"/>
  <c r="EJ27" i="188"/>
  <c r="DL24" i="188"/>
  <c r="BX130" i="188"/>
  <c r="AA130" i="188"/>
  <c r="AA132" i="188" s="1"/>
  <c r="DY127" i="188"/>
  <c r="CE12" i="188"/>
  <c r="CE14" i="188" s="1"/>
  <c r="CD12" i="188"/>
  <c r="CD14" i="188" s="1"/>
  <c r="CH12" i="188"/>
  <c r="CH14" i="188" s="1"/>
  <c r="CA12" i="188"/>
  <c r="CA14" i="188" s="1"/>
  <c r="CG12" i="188"/>
  <c r="CG14" i="188" s="1"/>
  <c r="CB12" i="188"/>
  <c r="CB14" i="188" s="1"/>
  <c r="CC12" i="188"/>
  <c r="CC14" i="188" s="1"/>
  <c r="CK12" i="188"/>
  <c r="CK14" i="188" s="1"/>
  <c r="J12" i="188"/>
  <c r="CJ12" i="188"/>
  <c r="CJ14" i="188" s="1"/>
  <c r="BZ12" i="188"/>
  <c r="BL92" i="188"/>
  <c r="CL75" i="188"/>
  <c r="CA97" i="188"/>
  <c r="BL63" i="188"/>
  <c r="O27" i="138"/>
  <c r="O20" i="192"/>
  <c r="O25" i="192" s="1"/>
  <c r="P18" i="192"/>
  <c r="AR130" i="188"/>
  <c r="EH50" i="188"/>
  <c r="EK50" i="188"/>
  <c r="EC50" i="188"/>
  <c r="EG50" i="188"/>
  <c r="EA50" i="188"/>
  <c r="EJ50" i="188"/>
  <c r="EI50" i="188"/>
  <c r="EB50" i="188"/>
  <c r="ED50" i="188"/>
  <c r="EE50" i="188"/>
  <c r="DZ50" i="188"/>
  <c r="EL50" i="188" s="1"/>
  <c r="AL102" i="188"/>
  <c r="DY97" i="188"/>
  <c r="Q55" i="35"/>
  <c r="BB14" i="188"/>
  <c r="BE14" i="188"/>
  <c r="BE130" i="188" s="1"/>
  <c r="AZ74" i="188"/>
  <c r="R62" i="192"/>
  <c r="EL85" i="188"/>
  <c r="DL26" i="188"/>
  <c r="P19" i="157"/>
  <c r="EC24" i="188"/>
  <c r="EL20" i="188"/>
  <c r="E25" i="193"/>
  <c r="E30" i="133"/>
  <c r="C37" i="133" s="1"/>
  <c r="E24" i="193"/>
  <c r="E23" i="193"/>
  <c r="D30" i="193"/>
  <c r="E26" i="193"/>
  <c r="DZ54" i="188"/>
  <c r="EJ54" i="188"/>
  <c r="ED54" i="188"/>
  <c r="EE54" i="188"/>
  <c r="EC54" i="188"/>
  <c r="EI54" i="188"/>
  <c r="EB54" i="188"/>
  <c r="EH54" i="188"/>
  <c r="EK54" i="188"/>
  <c r="EF54" i="188"/>
  <c r="EA54" i="188"/>
  <c r="EG54" i="188"/>
  <c r="DL65" i="188"/>
  <c r="BB127" i="188"/>
  <c r="BL123" i="188"/>
  <c r="BL127" i="188" s="1"/>
  <c r="EL123" i="188"/>
  <c r="EL127" i="188" s="1"/>
  <c r="EA127" i="188"/>
  <c r="F67" i="192"/>
  <c r="F106" i="192" s="1"/>
  <c r="R66" i="192"/>
  <c r="EF65" i="188"/>
  <c r="CI64" i="188"/>
  <c r="AL24" i="188"/>
  <c r="I92" i="192"/>
  <c r="I107" i="192" s="1"/>
  <c r="I108" i="192" s="1"/>
  <c r="BL93" i="188"/>
  <c r="EA61" i="188"/>
  <c r="AU130" i="188"/>
  <c r="DX130" i="188"/>
  <c r="P10" i="192"/>
  <c r="O65" i="192"/>
  <c r="O67" i="192" s="1"/>
  <c r="O106" i="192" s="1"/>
  <c r="Q51" i="35"/>
  <c r="BL97" i="188"/>
  <c r="DL103" i="188"/>
  <c r="DL70" i="188"/>
  <c r="EL125" i="188"/>
  <c r="ED127" i="188"/>
  <c r="EL5" i="188"/>
  <c r="F212" i="110"/>
  <c r="Y20" i="119"/>
  <c r="Y24" i="119" s="1"/>
  <c r="Y25" i="119" s="1"/>
  <c r="H64" i="133"/>
  <c r="H84" i="133" s="1"/>
  <c r="T169" i="137"/>
  <c r="Q29" i="35"/>
  <c r="BD14" i="188"/>
  <c r="BG74" i="188"/>
  <c r="P10" i="157"/>
  <c r="CH92" i="188"/>
  <c r="BZ92" i="188"/>
  <c r="BZ97" i="188" s="1"/>
  <c r="CA92" i="188"/>
  <c r="J92" i="188"/>
  <c r="CG92" i="188"/>
  <c r="CF92" i="188"/>
  <c r="CK92" i="188"/>
  <c r="CK97" i="188" s="1"/>
  <c r="CC92" i="188"/>
  <c r="CC97" i="188" s="1"/>
  <c r="CE92" i="188"/>
  <c r="CE97" i="188" s="1"/>
  <c r="CI92" i="188"/>
  <c r="CI97" i="188" s="1"/>
  <c r="CJ92" i="188"/>
  <c r="CJ97" i="188" s="1"/>
  <c r="CB92" i="188"/>
  <c r="BQ130" i="188"/>
  <c r="BN29" i="188"/>
  <c r="BN130" i="188" s="1"/>
  <c r="CN28" i="188"/>
  <c r="CL112" i="188"/>
  <c r="DL90" i="188"/>
  <c r="BD102" i="188"/>
  <c r="BD122" i="188" s="1"/>
  <c r="BJ102" i="188"/>
  <c r="BJ122" i="188" s="1"/>
  <c r="BB102" i="188"/>
  <c r="BB122" i="188" s="1"/>
  <c r="BG102" i="188"/>
  <c r="BG122" i="188" s="1"/>
  <c r="BA102" i="188"/>
  <c r="BA122" i="188" s="1"/>
  <c r="BA130" i="188" s="1"/>
  <c r="I102" i="188"/>
  <c r="BK102" i="188"/>
  <c r="BK122" i="188" s="1"/>
  <c r="L109" i="192"/>
  <c r="L69" i="192"/>
  <c r="DY122" i="188"/>
  <c r="I50" i="192"/>
  <c r="H56" i="192"/>
  <c r="DL124" i="188"/>
  <c r="DA127" i="188"/>
  <c r="EK33" i="188"/>
  <c r="EG33" i="188"/>
  <c r="ED33" i="188"/>
  <c r="EB33" i="188"/>
  <c r="EJ33" i="188"/>
  <c r="EH33" i="188"/>
  <c r="EF33" i="188"/>
  <c r="EC33" i="188"/>
  <c r="EA33" i="188"/>
  <c r="EE33" i="188"/>
  <c r="DZ33" i="188"/>
  <c r="EI33" i="188"/>
  <c r="F36" i="192"/>
  <c r="F100" i="192"/>
  <c r="F101" i="192" s="1"/>
  <c r="BL12" i="188"/>
  <c r="BY97" i="188"/>
  <c r="BL64" i="188"/>
  <c r="BL74" i="188" s="1"/>
  <c r="K63" i="192"/>
  <c r="BZ93" i="188"/>
  <c r="BJ97" i="188"/>
  <c r="BL24" i="188"/>
  <c r="DL5" i="188"/>
  <c r="I23" i="119"/>
  <c r="I12" i="119"/>
  <c r="EL105" i="188"/>
  <c r="CY74" i="188"/>
  <c r="G13" i="133"/>
  <c r="H80" i="192"/>
  <c r="H107" i="192" s="1"/>
  <c r="H108" i="192" s="1"/>
  <c r="N168" i="137"/>
  <c r="O162" i="137"/>
  <c r="H98" i="192"/>
  <c r="H101" i="192" s="1"/>
  <c r="H36" i="192"/>
  <c r="Q72" i="35"/>
  <c r="G23" i="119"/>
  <c r="N8" i="119"/>
  <c r="G12" i="119"/>
  <c r="DY74" i="188"/>
  <c r="AL11" i="188"/>
  <c r="BL60" i="188"/>
  <c r="AL107" i="188"/>
  <c r="BL31" i="188"/>
  <c r="EF104" i="188"/>
  <c r="EK104" i="188"/>
  <c r="EE104" i="188"/>
  <c r="ED104" i="188"/>
  <c r="EJ104" i="188"/>
  <c r="EI104" i="188"/>
  <c r="EB104" i="188"/>
  <c r="DZ104" i="188"/>
  <c r="EH104" i="188"/>
  <c r="EC104" i="188"/>
  <c r="EG104" i="188"/>
  <c r="EA104" i="188"/>
  <c r="ED70" i="188"/>
  <c r="DZ70" i="188"/>
  <c r="EB70" i="188"/>
  <c r="EJ70" i="188"/>
  <c r="EC70" i="188"/>
  <c r="EA70" i="188"/>
  <c r="EH70" i="188"/>
  <c r="EG70" i="188"/>
  <c r="EK70" i="188"/>
  <c r="EF70" i="188"/>
  <c r="EE70" i="188"/>
  <c r="EI70" i="188"/>
  <c r="CL57" i="188"/>
  <c r="DL33" i="188"/>
  <c r="O8" i="175"/>
  <c r="CY97" i="188"/>
  <c r="J63" i="192"/>
  <c r="DM29" i="188"/>
  <c r="DM130" i="188" s="1"/>
  <c r="EL25" i="188"/>
  <c r="EB29" i="188"/>
  <c r="N67" i="192"/>
  <c r="CL40" i="188"/>
  <c r="EG103" i="188"/>
  <c r="EI103" i="188"/>
  <c r="EK103" i="188"/>
  <c r="EH103" i="188"/>
  <c r="EF103" i="188"/>
  <c r="EC103" i="188"/>
  <c r="EB103" i="188"/>
  <c r="EJ103" i="188"/>
  <c r="ED103" i="188"/>
  <c r="DZ103" i="188"/>
  <c r="EE103" i="188"/>
  <c r="EA103" i="188"/>
  <c r="M13" i="192"/>
  <c r="P5" i="192"/>
  <c r="O60" i="192"/>
  <c r="M22" i="199"/>
  <c r="AZ122" i="188"/>
  <c r="BH130" i="188"/>
  <c r="K46" i="192"/>
  <c r="K47" i="192" s="1"/>
  <c r="K29" i="192"/>
  <c r="DL114" i="188"/>
  <c r="F35" i="138"/>
  <c r="I50" i="35"/>
  <c r="H22" i="119"/>
  <c r="N61" i="192"/>
  <c r="O6" i="192"/>
  <c r="Q60" i="35"/>
  <c r="N63" i="192"/>
  <c r="D14" i="193"/>
  <c r="AL10" i="188"/>
  <c r="AK14" i="188"/>
  <c r="AK130" i="188" s="1"/>
  <c r="G101" i="192"/>
  <c r="M63" i="192"/>
  <c r="N98" i="192"/>
  <c r="R40" i="124"/>
  <c r="U169" i="137"/>
  <c r="BL10" i="188"/>
  <c r="BL14" i="188" s="1"/>
  <c r="AZ14" i="188"/>
  <c r="AZ130" i="188" s="1"/>
  <c r="BG130" i="188"/>
  <c r="BL29" i="188"/>
  <c r="DJ32" i="188"/>
  <c r="DI32" i="188"/>
  <c r="DD32" i="188"/>
  <c r="DE32" i="188"/>
  <c r="K32" i="188"/>
  <c r="DK32" i="188"/>
  <c r="DG32" i="188"/>
  <c r="DA32" i="188"/>
  <c r="DC32" i="188"/>
  <c r="DB32" i="188"/>
  <c r="DF32" i="188"/>
  <c r="DH32" i="188"/>
  <c r="CZ32" i="188"/>
  <c r="CF74" i="188"/>
  <c r="N22" i="193"/>
  <c r="M53" i="193"/>
  <c r="M71" i="193"/>
  <c r="K12" i="175"/>
  <c r="L5" i="175" s="1"/>
  <c r="L12" i="175" s="1"/>
  <c r="M5" i="175" s="1"/>
  <c r="B24" i="119"/>
  <c r="S64" i="133"/>
  <c r="S84" i="133" s="1"/>
  <c r="AE14" i="188"/>
  <c r="AE130" i="188" s="1"/>
  <c r="AE132" i="188" s="1"/>
  <c r="AL8" i="188"/>
  <c r="AL14" i="188" s="1"/>
  <c r="EL24" i="188"/>
  <c r="R78" i="192"/>
  <c r="R80" i="192" s="1"/>
  <c r="F80" i="192"/>
  <c r="F107" i="192" s="1"/>
  <c r="J92" i="192"/>
  <c r="J107" i="192" s="1"/>
  <c r="J108" i="192" s="1"/>
  <c r="P64" i="192"/>
  <c r="Q9" i="192"/>
  <c r="P12" i="192"/>
  <c r="H129" i="133"/>
  <c r="H96" i="133"/>
  <c r="G11" i="35" s="1"/>
  <c r="G129" i="133"/>
  <c r="G96" i="133"/>
  <c r="CG29" i="188"/>
  <c r="CL28" i="188"/>
  <c r="S22" i="180"/>
  <c r="F22" i="119"/>
  <c r="AY7" i="133"/>
  <c r="N15" i="199"/>
  <c r="M21" i="199"/>
  <c r="DT28" i="188"/>
  <c r="CT29" i="188"/>
  <c r="CT130" i="188" s="1"/>
  <c r="DG28" i="188"/>
  <c r="BF130" i="188"/>
  <c r="DE40" i="188"/>
  <c r="DF40" i="188"/>
  <c r="DJ40" i="188"/>
  <c r="DI40" i="188"/>
  <c r="DD40" i="188"/>
  <c r="DH40" i="188"/>
  <c r="DC40" i="188"/>
  <c r="DK40" i="188"/>
  <c r="DB40" i="188"/>
  <c r="CZ40" i="188"/>
  <c r="K40" i="188"/>
  <c r="DA40" i="188"/>
  <c r="DG40" i="188"/>
  <c r="EF114" i="188"/>
  <c r="ED114" i="188"/>
  <c r="EC114" i="188"/>
  <c r="EE114" i="188"/>
  <c r="EG114" i="188"/>
  <c r="EH114" i="188"/>
  <c r="EK114" i="188"/>
  <c r="EA114" i="188"/>
  <c r="EJ114" i="188"/>
  <c r="DZ114" i="188"/>
  <c r="EI114" i="188"/>
  <c r="EB114" i="188"/>
  <c r="ED29" i="188"/>
  <c r="CI74" i="188"/>
  <c r="G130" i="133"/>
  <c r="G124" i="133" s="1"/>
  <c r="L169" i="137"/>
  <c r="BI130" i="188"/>
  <c r="G74" i="192"/>
  <c r="F74" i="192"/>
  <c r="J74" i="192"/>
  <c r="L74" i="192"/>
  <c r="O74" i="192"/>
  <c r="M74" i="192"/>
  <c r="H74" i="192"/>
  <c r="I74" i="192"/>
  <c r="N74" i="192"/>
  <c r="K74" i="192"/>
  <c r="P74" i="192"/>
  <c r="D73" i="192"/>
  <c r="R22" i="180"/>
  <c r="CL32" i="188"/>
  <c r="BZ74" i="188"/>
  <c r="Q61" i="35"/>
  <c r="J101" i="192"/>
  <c r="G74" i="35"/>
  <c r="G75" i="35" s="1"/>
  <c r="D12" i="26" s="1"/>
  <c r="F74" i="35"/>
  <c r="AX5" i="133"/>
  <c r="AW44" i="133"/>
  <c r="AY10" i="133"/>
  <c r="AY49" i="133" s="1"/>
  <c r="R63" i="133"/>
  <c r="Q64" i="133"/>
  <c r="Q84" i="133" s="1"/>
  <c r="S86" i="133"/>
  <c r="AI45" i="133"/>
  <c r="AI47" i="133" s="1"/>
  <c r="AI87" i="133" s="1"/>
  <c r="AG47" i="133"/>
  <c r="AG87" i="133" s="1"/>
  <c r="AJ6" i="133"/>
  <c r="AK6" i="133" s="1"/>
  <c r="F97" i="133"/>
  <c r="E45" i="35"/>
  <c r="C36" i="138" s="1"/>
  <c r="C56" i="138" s="1"/>
  <c r="F40" i="133"/>
  <c r="E62" i="35" s="1"/>
  <c r="O64" i="133"/>
  <c r="O84" i="133" s="1"/>
  <c r="S53" i="133"/>
  <c r="H130" i="133"/>
  <c r="G126" i="133"/>
  <c r="D75" i="133"/>
  <c r="D74" i="133" s="1"/>
  <c r="U20" i="133"/>
  <c r="V17" i="133"/>
  <c r="U57" i="133"/>
  <c r="U60" i="133" s="1"/>
  <c r="U88" i="133" s="1"/>
  <c r="U89" i="133" s="1"/>
  <c r="T24" i="133"/>
  <c r="T25" i="133" s="1"/>
  <c r="T95" i="133" s="1"/>
  <c r="T64" i="133"/>
  <c r="T84" i="133" s="1"/>
  <c r="Y7" i="133"/>
  <c r="X46" i="133"/>
  <c r="U22" i="133"/>
  <c r="V22" i="133" s="1"/>
  <c r="V24" i="133" s="1"/>
  <c r="K46" i="133"/>
  <c r="AK49" i="133"/>
  <c r="AL10" i="133"/>
  <c r="J46" i="133"/>
  <c r="V24" i="119"/>
  <c r="V25" i="119" s="1"/>
  <c r="BE116" i="133"/>
  <c r="S20" i="119"/>
  <c r="L46" i="133"/>
  <c r="AZ10" i="133"/>
  <c r="R95" i="133"/>
  <c r="AV8" i="133"/>
  <c r="AW6" i="133"/>
  <c r="AV45" i="133"/>
  <c r="AV47" i="133" s="1"/>
  <c r="AV87" i="133" s="1"/>
  <c r="AK44" i="133"/>
  <c r="AL5" i="133"/>
  <c r="AN23" i="133"/>
  <c r="AM63" i="133"/>
  <c r="I45" i="133"/>
  <c r="Y63" i="133"/>
  <c r="Z23" i="133"/>
  <c r="AZ63" i="133"/>
  <c r="BA23" i="133"/>
  <c r="W24" i="119"/>
  <c r="W25" i="119" s="1"/>
  <c r="Y9" i="133"/>
  <c r="X48" i="133"/>
  <c r="Y6" i="133"/>
  <c r="X45" i="133"/>
  <c r="AR116" i="133"/>
  <c r="AH20" i="133"/>
  <c r="AI17" i="133"/>
  <c r="R25" i="133"/>
  <c r="AI118" i="133"/>
  <c r="AR118" i="133" s="1"/>
  <c r="T60" i="133"/>
  <c r="T88" i="133" s="1"/>
  <c r="T89" i="133" s="1"/>
  <c r="R116" i="133"/>
  <c r="I5" i="133"/>
  <c r="H44" i="133"/>
  <c r="H8" i="133"/>
  <c r="H13" i="133" s="1"/>
  <c r="H40" i="133" s="1"/>
  <c r="AL18" i="133"/>
  <c r="Y5" i="133"/>
  <c r="X8" i="133"/>
  <c r="X44" i="133"/>
  <c r="AW20" i="133"/>
  <c r="AX17" i="133"/>
  <c r="AL19" i="133"/>
  <c r="AK59" i="133"/>
  <c r="H51" i="133"/>
  <c r="AZ19" i="133"/>
  <c r="AY59" i="133"/>
  <c r="X24" i="119"/>
  <c r="X25" i="119" s="1"/>
  <c r="W21" i="133"/>
  <c r="V61" i="133"/>
  <c r="Y10" i="133"/>
  <c r="X49" i="133"/>
  <c r="AD18" i="133"/>
  <c r="G53" i="133"/>
  <c r="AH128" i="133"/>
  <c r="AI122" i="133"/>
  <c r="AZ7" i="133"/>
  <c r="AY46" i="133"/>
  <c r="I12" i="133"/>
  <c r="J9" i="133"/>
  <c r="I48" i="133"/>
  <c r="I51" i="133" s="1"/>
  <c r="S95" i="133"/>
  <c r="AX9" i="133"/>
  <c r="AW48" i="133"/>
  <c r="Z19" i="133"/>
  <c r="Y59" i="133"/>
  <c r="AE116" i="133"/>
  <c r="AK9" i="133"/>
  <c r="AJ48" i="133"/>
  <c r="S13" i="133"/>
  <c r="T12" i="133"/>
  <c r="T13" i="133" s="1"/>
  <c r="T94" i="133" s="1"/>
  <c r="U11" i="133"/>
  <c r="T50" i="133"/>
  <c r="AM7" i="133"/>
  <c r="AL46" i="133"/>
  <c r="R24" i="119"/>
  <c r="R25" i="119" s="1"/>
  <c r="AO21" i="133"/>
  <c r="AN61" i="133"/>
  <c r="J63" i="199"/>
  <c r="J48" i="199"/>
  <c r="J50" i="199" s="1"/>
  <c r="J60" i="199" s="1"/>
  <c r="H17" i="199"/>
  <c r="H22" i="199"/>
  <c r="H23" i="199" s="1"/>
  <c r="H25" i="199" s="1"/>
  <c r="G17" i="199"/>
  <c r="G22" i="199"/>
  <c r="G23" i="199" s="1"/>
  <c r="G25" i="199" s="1"/>
  <c r="K22" i="199"/>
  <c r="K23" i="199" s="1"/>
  <c r="K25" i="199" s="1"/>
  <c r="K17" i="199"/>
  <c r="S37" i="181"/>
  <c r="V389" i="110"/>
  <c r="R118" i="133"/>
  <c r="AV128" i="133"/>
  <c r="AW122" i="133"/>
  <c r="AP122" i="133"/>
  <c r="AO128" i="133"/>
  <c r="P24" i="119"/>
  <c r="P25" i="119" s="1"/>
  <c r="W122" i="133"/>
  <c r="V128" i="133"/>
  <c r="W118" i="133"/>
  <c r="AE118" i="133" s="1"/>
  <c r="O22" i="35"/>
  <c r="E54" i="35"/>
  <c r="O20" i="119"/>
  <c r="BC122" i="133"/>
  <c r="BB128" i="133"/>
  <c r="BE118" i="133"/>
  <c r="U24" i="119"/>
  <c r="U25" i="119" s="1"/>
  <c r="K54" i="35"/>
  <c r="P22" i="35"/>
  <c r="Z24" i="119"/>
  <c r="Z25" i="119" s="1"/>
  <c r="T23" i="119"/>
  <c r="AA23" i="119" s="1"/>
  <c r="Q24" i="119"/>
  <c r="Q25" i="119" s="1"/>
  <c r="BE61" i="133"/>
  <c r="F60" i="133"/>
  <c r="F66" i="133" s="1"/>
  <c r="N60" i="133"/>
  <c r="N88" i="133" s="1"/>
  <c r="R61" i="133"/>
  <c r="L60" i="133"/>
  <c r="L66" i="133" s="1"/>
  <c r="AU60" i="133"/>
  <c r="AU88" i="133" s="1"/>
  <c r="AU89" i="133" s="1"/>
  <c r="K60" i="133"/>
  <c r="K88" i="133" s="1"/>
  <c r="R58" i="133"/>
  <c r="BE58" i="133"/>
  <c r="G60" i="133"/>
  <c r="G66" i="133" s="1"/>
  <c r="H60" i="133"/>
  <c r="H88" i="133" s="1"/>
  <c r="AH60" i="133"/>
  <c r="AH88" i="133" s="1"/>
  <c r="AH89" i="133" s="1"/>
  <c r="M60" i="133"/>
  <c r="M88" i="133" s="1"/>
  <c r="AV60" i="133"/>
  <c r="AW60" i="133"/>
  <c r="S60" i="133"/>
  <c r="R57" i="133"/>
  <c r="AF60" i="133"/>
  <c r="AT60" i="133"/>
  <c r="Q60" i="133"/>
  <c r="I60" i="133"/>
  <c r="P60" i="133"/>
  <c r="O60" i="133"/>
  <c r="AS60" i="133"/>
  <c r="J88" i="133"/>
  <c r="J66" i="133"/>
  <c r="AG60" i="133"/>
  <c r="I22" i="199"/>
  <c r="I23" i="199" s="1"/>
  <c r="I25" i="199" s="1"/>
  <c r="I17" i="199"/>
  <c r="F22" i="199"/>
  <c r="F17" i="199"/>
  <c r="S16" i="199"/>
  <c r="R16" i="199"/>
  <c r="T12" i="178"/>
  <c r="T25" i="178"/>
  <c r="G61" i="181"/>
  <c r="G42" i="181" s="1"/>
  <c r="H124" i="110"/>
  <c r="AB124" i="110" s="1"/>
  <c r="AE124" i="110" s="1"/>
  <c r="I124" i="110"/>
  <c r="AC124" i="110" s="1"/>
  <c r="AF124" i="110" s="1"/>
  <c r="F211" i="110"/>
  <c r="H211" i="110" s="1"/>
  <c r="AB211" i="110" s="1"/>
  <c r="AE211" i="110" s="1"/>
  <c r="V392" i="110"/>
  <c r="Q262" i="58"/>
  <c r="J47" i="35" s="1"/>
  <c r="K255" i="110"/>
  <c r="F299" i="110"/>
  <c r="E299" i="110" s="1"/>
  <c r="R381" i="110"/>
  <c r="R382" i="110" s="1"/>
  <c r="R274" i="110" s="1"/>
  <c r="R275" i="110" s="1"/>
  <c r="H132" i="110"/>
  <c r="AB132" i="110" s="1"/>
  <c r="AE132" i="110" s="1"/>
  <c r="J381" i="110"/>
  <c r="J382" i="110" s="1"/>
  <c r="J274" i="110" s="1"/>
  <c r="J275" i="110" s="1"/>
  <c r="F219" i="110"/>
  <c r="G219" i="110" s="1"/>
  <c r="AA219" i="110" s="1"/>
  <c r="AD219" i="110" s="1"/>
  <c r="W79" i="137"/>
  <c r="M381" i="110"/>
  <c r="M382" i="110" s="1"/>
  <c r="M274" i="110" s="1"/>
  <c r="M275" i="110" s="1"/>
  <c r="G103" i="137"/>
  <c r="G149" i="137"/>
  <c r="G129" i="137"/>
  <c r="M262" i="58"/>
  <c r="F47" i="35" s="1"/>
  <c r="N255" i="58"/>
  <c r="Q45" i="181"/>
  <c r="X189" i="58"/>
  <c r="I78" i="137"/>
  <c r="I157" i="137" s="1"/>
  <c r="O262" i="58"/>
  <c r="H47" i="35" s="1"/>
  <c r="X94" i="58"/>
  <c r="S262" i="58"/>
  <c r="L47" i="35" s="1"/>
  <c r="T262" i="58"/>
  <c r="M47" i="35" s="1"/>
  <c r="U338" i="58"/>
  <c r="V190" i="58"/>
  <c r="S190" i="58"/>
  <c r="Q338" i="58"/>
  <c r="U104" i="58"/>
  <c r="U172" i="58" s="1"/>
  <c r="K4" i="26" s="1"/>
  <c r="G114" i="137"/>
  <c r="R262" i="58"/>
  <c r="K47" i="35" s="1"/>
  <c r="P119" i="193"/>
  <c r="P255" i="110"/>
  <c r="L381" i="110"/>
  <c r="L382" i="110" s="1"/>
  <c r="L274" i="110" s="1"/>
  <c r="L275" i="110" s="1"/>
  <c r="F222" i="110"/>
  <c r="G222" i="110" s="1"/>
  <c r="AA222" i="110" s="1"/>
  <c r="AD222" i="110" s="1"/>
  <c r="O381" i="110"/>
  <c r="O382" i="110" s="1"/>
  <c r="O274" i="110" s="1"/>
  <c r="O275" i="110" s="1"/>
  <c r="G135" i="110"/>
  <c r="K135" i="110" s="1"/>
  <c r="M46" i="137" s="1"/>
  <c r="P362" i="110"/>
  <c r="G184" i="110"/>
  <c r="V366" i="110"/>
  <c r="F245" i="110"/>
  <c r="G245" i="110" s="1"/>
  <c r="AA245" i="110" s="1"/>
  <c r="AD245" i="110" s="1"/>
  <c r="G211" i="110"/>
  <c r="AA211" i="110" s="1"/>
  <c r="AD211" i="110" s="1"/>
  <c r="H158" i="110"/>
  <c r="AB158" i="110" s="1"/>
  <c r="AE158" i="110" s="1"/>
  <c r="AA107" i="110"/>
  <c r="AD107" i="110" s="1"/>
  <c r="M107" i="110"/>
  <c r="U107" i="110"/>
  <c r="U309" i="110" s="1"/>
  <c r="T107" i="110"/>
  <c r="T309" i="110" s="1"/>
  <c r="L107" i="110"/>
  <c r="L309" i="110" s="1"/>
  <c r="O107" i="110"/>
  <c r="Q22" i="137" s="1"/>
  <c r="R107" i="110"/>
  <c r="R309" i="110" s="1"/>
  <c r="N107" i="110"/>
  <c r="P22" i="137" s="1"/>
  <c r="S107" i="110"/>
  <c r="S309" i="110" s="1"/>
  <c r="J107" i="110"/>
  <c r="L22" i="137" s="1"/>
  <c r="P107" i="110"/>
  <c r="K107" i="110"/>
  <c r="M22" i="137" s="1"/>
  <c r="Q107" i="110"/>
  <c r="S22" i="137" s="1"/>
  <c r="U109" i="110"/>
  <c r="W24" i="137" s="1"/>
  <c r="L109" i="110"/>
  <c r="N24" i="137" s="1"/>
  <c r="M109" i="110"/>
  <c r="M311" i="110" s="1"/>
  <c r="T109" i="110"/>
  <c r="V24" i="137" s="1"/>
  <c r="J109" i="110"/>
  <c r="L24" i="137" s="1"/>
  <c r="Q109" i="110"/>
  <c r="Q311" i="110" s="1"/>
  <c r="R109" i="110"/>
  <c r="R311" i="110" s="1"/>
  <c r="S109" i="110"/>
  <c r="S311" i="110" s="1"/>
  <c r="P109" i="110"/>
  <c r="R24" i="137" s="1"/>
  <c r="O109" i="110"/>
  <c r="O311" i="110" s="1"/>
  <c r="K109" i="110"/>
  <c r="M24" i="137" s="1"/>
  <c r="N109" i="110"/>
  <c r="P24" i="137" s="1"/>
  <c r="AA115" i="110"/>
  <c r="AD115" i="110" s="1"/>
  <c r="AC115" i="110"/>
  <c r="AF115" i="110" s="1"/>
  <c r="AA122" i="110"/>
  <c r="AD122" i="110" s="1"/>
  <c r="Q122" i="110"/>
  <c r="S34" i="137" s="1"/>
  <c r="P122" i="110"/>
  <c r="P388" i="110" s="1"/>
  <c r="T122" i="110"/>
  <c r="T324" i="110" s="1"/>
  <c r="U122" i="110"/>
  <c r="U324" i="110" s="1"/>
  <c r="K122" i="110"/>
  <c r="M34" i="137" s="1"/>
  <c r="J122" i="110"/>
  <c r="L34" i="137" s="1"/>
  <c r="N122" i="110"/>
  <c r="P34" i="137" s="1"/>
  <c r="L122" i="110"/>
  <c r="N34" i="137" s="1"/>
  <c r="M122" i="110"/>
  <c r="O34" i="137" s="1"/>
  <c r="O122" i="110"/>
  <c r="O324" i="110" s="1"/>
  <c r="S122" i="110"/>
  <c r="U34" i="137" s="1"/>
  <c r="R122" i="110"/>
  <c r="T34" i="137" s="1"/>
  <c r="Q381" i="110"/>
  <c r="Q382" i="110" s="1"/>
  <c r="Q274" i="110" s="1"/>
  <c r="Q275" i="110" s="1"/>
  <c r="L79" i="137"/>
  <c r="Q106" i="110"/>
  <c r="S21" i="137" s="1"/>
  <c r="P106" i="110"/>
  <c r="R21" i="137" s="1"/>
  <c r="N106" i="110"/>
  <c r="N308" i="110" s="1"/>
  <c r="J106" i="110"/>
  <c r="J308" i="110" s="1"/>
  <c r="O106" i="110"/>
  <c r="O308" i="110" s="1"/>
  <c r="K106" i="110"/>
  <c r="R106" i="110"/>
  <c r="T21" i="137" s="1"/>
  <c r="S106" i="110"/>
  <c r="U21" i="137" s="1"/>
  <c r="L106" i="110"/>
  <c r="N21" i="137" s="1"/>
  <c r="M106" i="110"/>
  <c r="M308" i="110" s="1"/>
  <c r="T106" i="110"/>
  <c r="V21" i="137" s="1"/>
  <c r="U106" i="110"/>
  <c r="U308" i="110" s="1"/>
  <c r="M117" i="110"/>
  <c r="M319" i="110" s="1"/>
  <c r="U117" i="110"/>
  <c r="W30" i="137" s="1"/>
  <c r="T117" i="110"/>
  <c r="L117" i="110"/>
  <c r="L387" i="110" s="1"/>
  <c r="Q117" i="110"/>
  <c r="O117" i="110"/>
  <c r="O319" i="110" s="1"/>
  <c r="S117" i="110"/>
  <c r="S319" i="110" s="1"/>
  <c r="P117" i="110"/>
  <c r="P387" i="110" s="1"/>
  <c r="R117" i="110"/>
  <c r="R319" i="110" s="1"/>
  <c r="N117" i="110"/>
  <c r="P30" i="137" s="1"/>
  <c r="K117" i="110"/>
  <c r="K319" i="110" s="1"/>
  <c r="J117" i="110"/>
  <c r="L30" i="137" s="1"/>
  <c r="T105" i="110"/>
  <c r="V20" i="137" s="1"/>
  <c r="M105" i="110"/>
  <c r="O20" i="137" s="1"/>
  <c r="L105" i="110"/>
  <c r="N20" i="137" s="1"/>
  <c r="U105" i="110"/>
  <c r="W20" i="137" s="1"/>
  <c r="R105" i="110"/>
  <c r="T20" i="137" s="1"/>
  <c r="Q105" i="110"/>
  <c r="Q307" i="110" s="1"/>
  <c r="P105" i="110"/>
  <c r="P307" i="110" s="1"/>
  <c r="N105" i="110"/>
  <c r="P20" i="137" s="1"/>
  <c r="S105" i="110"/>
  <c r="U20" i="137" s="1"/>
  <c r="K105" i="110"/>
  <c r="O105" i="110"/>
  <c r="Q20" i="137" s="1"/>
  <c r="P118" i="110"/>
  <c r="P205" i="110" s="1"/>
  <c r="Q118" i="110"/>
  <c r="S31" i="137" s="1"/>
  <c r="R118" i="110"/>
  <c r="T31" i="137" s="1"/>
  <c r="K118" i="110"/>
  <c r="M31" i="137" s="1"/>
  <c r="S118" i="110"/>
  <c r="U31" i="137" s="1"/>
  <c r="O118" i="110"/>
  <c r="O320" i="110" s="1"/>
  <c r="L118" i="110"/>
  <c r="N31" i="137" s="1"/>
  <c r="M118" i="110"/>
  <c r="O31" i="137" s="1"/>
  <c r="T118" i="110"/>
  <c r="V31" i="137" s="1"/>
  <c r="U118" i="110"/>
  <c r="W31" i="137" s="1"/>
  <c r="J118" i="110"/>
  <c r="J205" i="110" s="1"/>
  <c r="N118" i="110"/>
  <c r="P31" i="137" s="1"/>
  <c r="AA120" i="110"/>
  <c r="AD120" i="110" s="1"/>
  <c r="AC120" i="110"/>
  <c r="AF120" i="110" s="1"/>
  <c r="Q110" i="110"/>
  <c r="Q197" i="110" s="1"/>
  <c r="P110" i="110"/>
  <c r="R25" i="137" s="1"/>
  <c r="O110" i="110"/>
  <c r="O197" i="110" s="1"/>
  <c r="R110" i="110"/>
  <c r="R197" i="110" s="1"/>
  <c r="L110" i="110"/>
  <c r="N25" i="137" s="1"/>
  <c r="M110" i="110"/>
  <c r="O25" i="137" s="1"/>
  <c r="T110" i="110"/>
  <c r="V25" i="137" s="1"/>
  <c r="U110" i="110"/>
  <c r="W25" i="137" s="1"/>
  <c r="N110" i="110"/>
  <c r="N312" i="110" s="1"/>
  <c r="K110" i="110"/>
  <c r="S110" i="110"/>
  <c r="U25" i="137" s="1"/>
  <c r="J110" i="110"/>
  <c r="J312" i="110" s="1"/>
  <c r="AB119" i="110"/>
  <c r="AE119" i="110" s="1"/>
  <c r="AC119" i="110"/>
  <c r="AF119" i="110" s="1"/>
  <c r="Q114" i="110"/>
  <c r="S27" i="137" s="1"/>
  <c r="P114" i="110"/>
  <c r="R27" i="137" s="1"/>
  <c r="T114" i="110"/>
  <c r="T201" i="110" s="1"/>
  <c r="O114" i="110"/>
  <c r="Q27" i="137" s="1"/>
  <c r="R114" i="110"/>
  <c r="T27" i="137" s="1"/>
  <c r="L114" i="110"/>
  <c r="N27" i="137" s="1"/>
  <c r="J114" i="110"/>
  <c r="L27" i="137" s="1"/>
  <c r="M114" i="110"/>
  <c r="M201" i="110" s="1"/>
  <c r="K114" i="110"/>
  <c r="M27" i="137" s="1"/>
  <c r="S114" i="110"/>
  <c r="S201" i="110" s="1"/>
  <c r="U114" i="110"/>
  <c r="W27" i="137" s="1"/>
  <c r="N114" i="110"/>
  <c r="N316" i="110" s="1"/>
  <c r="H184" i="110"/>
  <c r="AB184" i="110" s="1"/>
  <c r="AE184" i="110" s="1"/>
  <c r="V367" i="110"/>
  <c r="I135" i="110"/>
  <c r="AC135" i="110" s="1"/>
  <c r="AF135" i="110" s="1"/>
  <c r="AA204" i="110"/>
  <c r="AD204" i="110" s="1"/>
  <c r="F181" i="110"/>
  <c r="U127" i="110"/>
  <c r="W38" i="137" s="1"/>
  <c r="T127" i="110"/>
  <c r="V38" i="137" s="1"/>
  <c r="G94" i="110"/>
  <c r="K94" i="110" s="1"/>
  <c r="K404" i="110" s="1"/>
  <c r="R127" i="110"/>
  <c r="T38" i="137" s="1"/>
  <c r="H94" i="110"/>
  <c r="AB94" i="110" s="1"/>
  <c r="AE94" i="110" s="1"/>
  <c r="V379" i="110"/>
  <c r="O92" i="110"/>
  <c r="Q7" i="137" s="1"/>
  <c r="R92" i="110"/>
  <c r="T7" i="137" s="1"/>
  <c r="G227" i="110"/>
  <c r="AA227" i="110" s="1"/>
  <c r="AD227" i="110" s="1"/>
  <c r="V370" i="110"/>
  <c r="K56" i="181"/>
  <c r="K381" i="110"/>
  <c r="K382" i="110" s="1"/>
  <c r="K274" i="110" s="1"/>
  <c r="K275" i="110" s="1"/>
  <c r="AB115" i="110"/>
  <c r="AE115" i="110" s="1"/>
  <c r="N381" i="110"/>
  <c r="N382" i="110" s="1"/>
  <c r="N274" i="110" s="1"/>
  <c r="N275" i="110" s="1"/>
  <c r="P127" i="110"/>
  <c r="R38" i="137" s="1"/>
  <c r="K92" i="110"/>
  <c r="K402" i="110" s="1"/>
  <c r="P381" i="110"/>
  <c r="P382" i="110" s="1"/>
  <c r="P274" i="110" s="1"/>
  <c r="P275" i="110" s="1"/>
  <c r="P92" i="110"/>
  <c r="P402" i="110" s="1"/>
  <c r="L127" i="110"/>
  <c r="L329" i="110" s="1"/>
  <c r="K127" i="110"/>
  <c r="K329" i="110" s="1"/>
  <c r="J92" i="110"/>
  <c r="L7" i="137" s="1"/>
  <c r="T92" i="110"/>
  <c r="V7" i="137" s="1"/>
  <c r="L92" i="110"/>
  <c r="N7" i="137" s="1"/>
  <c r="V376" i="110"/>
  <c r="S92" i="110"/>
  <c r="U7" i="137" s="1"/>
  <c r="AA92" i="110"/>
  <c r="AD92" i="110" s="1"/>
  <c r="J101" i="110"/>
  <c r="J303" i="110" s="1"/>
  <c r="R101" i="110"/>
  <c r="T16" i="137" s="1"/>
  <c r="K101" i="110"/>
  <c r="M16" i="137" s="1"/>
  <c r="L101" i="110"/>
  <c r="K15" i="181" s="1"/>
  <c r="K37" i="181"/>
  <c r="U101" i="110"/>
  <c r="W16" i="137" s="1"/>
  <c r="M101" i="110"/>
  <c r="M303" i="110" s="1"/>
  <c r="AB207" i="110"/>
  <c r="AE207" i="110" s="1"/>
  <c r="P101" i="110"/>
  <c r="P303" i="110" s="1"/>
  <c r="N101" i="110"/>
  <c r="P16" i="137" s="1"/>
  <c r="O101" i="110"/>
  <c r="Q16" i="137" s="1"/>
  <c r="G225" i="110"/>
  <c r="AA225" i="110" s="1"/>
  <c r="AD225" i="110" s="1"/>
  <c r="T101" i="110"/>
  <c r="V16" i="137" s="1"/>
  <c r="T381" i="110"/>
  <c r="T382" i="110" s="1"/>
  <c r="T274" i="110" s="1"/>
  <c r="T275" i="110" s="1"/>
  <c r="AC202" i="110"/>
  <c r="AF202" i="110" s="1"/>
  <c r="H213" i="110"/>
  <c r="AB213" i="110" s="1"/>
  <c r="AE213" i="110" s="1"/>
  <c r="I158" i="110"/>
  <c r="AC158" i="110" s="1"/>
  <c r="AF158" i="110" s="1"/>
  <c r="F228" i="110"/>
  <c r="I228" i="110" s="1"/>
  <c r="AC228" i="110" s="1"/>
  <c r="AF228" i="110" s="1"/>
  <c r="H141" i="110"/>
  <c r="AB141" i="110" s="1"/>
  <c r="AE141" i="110" s="1"/>
  <c r="K147" i="110"/>
  <c r="M58" i="137" s="1"/>
  <c r="H153" i="110"/>
  <c r="AB153" i="110" s="1"/>
  <c r="AE153" i="110" s="1"/>
  <c r="I141" i="110"/>
  <c r="AC141" i="110" s="1"/>
  <c r="AF141" i="110" s="1"/>
  <c r="K126" i="110"/>
  <c r="K213" i="110" s="1"/>
  <c r="Q126" i="110"/>
  <c r="S37" i="137" s="1"/>
  <c r="V378" i="110"/>
  <c r="U381" i="110"/>
  <c r="U382" i="110" s="1"/>
  <c r="U274" i="110" s="1"/>
  <c r="U275" i="110" s="1"/>
  <c r="V266" i="110"/>
  <c r="I153" i="110"/>
  <c r="AC153" i="110" s="1"/>
  <c r="AF153" i="110" s="1"/>
  <c r="H234" i="110"/>
  <c r="AB234" i="110" s="1"/>
  <c r="AE234" i="110" s="1"/>
  <c r="V369" i="110"/>
  <c r="S85" i="110"/>
  <c r="H103" i="110"/>
  <c r="AB103" i="110" s="1"/>
  <c r="AE103" i="110" s="1"/>
  <c r="R126" i="110"/>
  <c r="T37" i="137" s="1"/>
  <c r="AB120" i="110"/>
  <c r="AE120" i="110" s="1"/>
  <c r="S126" i="110"/>
  <c r="S213" i="110" s="1"/>
  <c r="G91" i="110"/>
  <c r="I91" i="110"/>
  <c r="AC91" i="110" s="1"/>
  <c r="AF91" i="110" s="1"/>
  <c r="F178" i="110"/>
  <c r="H91" i="110"/>
  <c r="AB91" i="110" s="1"/>
  <c r="AE91" i="110" s="1"/>
  <c r="L146" i="110"/>
  <c r="L348" i="110" s="1"/>
  <c r="AA146" i="110"/>
  <c r="AD146" i="110" s="1"/>
  <c r="AC5" i="110"/>
  <c r="AF5" i="110" s="1"/>
  <c r="O411" i="110" a="1"/>
  <c r="O411" i="110" s="1"/>
  <c r="K16" i="124" s="1"/>
  <c r="K23" i="124" s="1"/>
  <c r="K36" i="124" s="1"/>
  <c r="K38" i="124" s="1"/>
  <c r="J412" i="110" a="1"/>
  <c r="J412" i="110" s="1"/>
  <c r="F17" i="124" s="1"/>
  <c r="F26" i="124" s="1"/>
  <c r="F39" i="124" s="1"/>
  <c r="F41" i="124" s="1"/>
  <c r="P411" i="110" a="1"/>
  <c r="P411" i="110" s="1"/>
  <c r="L16" i="124" s="1"/>
  <c r="R412" i="110" a="1"/>
  <c r="R412" i="110" s="1"/>
  <c r="N17" i="124" s="1"/>
  <c r="N26" i="124" s="1"/>
  <c r="N28" i="124" s="1"/>
  <c r="S412" i="110" a="1"/>
  <c r="U412" i="110" a="1"/>
  <c r="U412" i="110" s="1"/>
  <c r="Q17" i="124" s="1"/>
  <c r="Q26" i="124" s="1"/>
  <c r="Q28" i="124" s="1"/>
  <c r="U411" i="110" a="1"/>
  <c r="T411" i="110" a="1"/>
  <c r="T411" i="110" s="1"/>
  <c r="P16" i="124" s="1"/>
  <c r="P23" i="124" s="1"/>
  <c r="P36" i="124" s="1"/>
  <c r="P38" i="124" s="1"/>
  <c r="O412" i="110" a="1"/>
  <c r="N412" i="110" a="1"/>
  <c r="N412" i="110" s="1"/>
  <c r="J17" i="124" s="1"/>
  <c r="J26" i="124" s="1"/>
  <c r="T412" i="110" a="1"/>
  <c r="T412" i="110" s="1"/>
  <c r="P17" i="124" s="1"/>
  <c r="P26" i="124" s="1"/>
  <c r="P39" i="124" s="1"/>
  <c r="P41" i="124" s="1"/>
  <c r="M412" i="110" a="1"/>
  <c r="M412" i="110" s="1"/>
  <c r="I17" i="124" s="1"/>
  <c r="I26" i="124" s="1"/>
  <c r="I39" i="124" s="1"/>
  <c r="I41" i="124" s="1"/>
  <c r="K411" i="110" a="1"/>
  <c r="Q412" i="110" a="1"/>
  <c r="Q412" i="110" s="1"/>
  <c r="M17" i="124" s="1"/>
  <c r="M26" i="124" s="1"/>
  <c r="M28" i="124" s="1"/>
  <c r="K412" i="110" a="1"/>
  <c r="L411" i="110" a="1"/>
  <c r="L411" i="110" s="1"/>
  <c r="H16" i="124" s="1"/>
  <c r="R411" i="110" a="1"/>
  <c r="R411" i="110" s="1"/>
  <c r="N16" i="124" s="1"/>
  <c r="N23" i="124" s="1"/>
  <c r="N25" i="124" s="1"/>
  <c r="J411" i="110" a="1"/>
  <c r="J411" i="110" s="1"/>
  <c r="N411" i="110" a="1"/>
  <c r="N411" i="110" s="1"/>
  <c r="J16" i="124" s="1"/>
  <c r="M411" i="110" a="1"/>
  <c r="M411" i="110" s="1"/>
  <c r="P412" i="110" a="1"/>
  <c r="Q411" i="110" a="1"/>
  <c r="Q411" i="110" s="1"/>
  <c r="M16" i="124" s="1"/>
  <c r="M23" i="124" s="1"/>
  <c r="M25" i="124" s="1"/>
  <c r="L412" i="110" a="1"/>
  <c r="S411" i="110" a="1"/>
  <c r="P146" i="110"/>
  <c r="P233" i="110" s="1"/>
  <c r="S146" i="110"/>
  <c r="U57" i="137" s="1"/>
  <c r="R146" i="110"/>
  <c r="T57" i="137" s="1"/>
  <c r="S381" i="110"/>
  <c r="S382" i="110" s="1"/>
  <c r="S274" i="110" s="1"/>
  <c r="S275" i="110" s="1"/>
  <c r="G150" i="110"/>
  <c r="I150" i="110"/>
  <c r="AC150" i="110" s="1"/>
  <c r="AF150" i="110" s="1"/>
  <c r="H150" i="110"/>
  <c r="AB150" i="110" s="1"/>
  <c r="AE150" i="110" s="1"/>
  <c r="F237" i="110"/>
  <c r="V280" i="110"/>
  <c r="I103" i="110"/>
  <c r="AC103" i="110" s="1"/>
  <c r="AF103" i="110" s="1"/>
  <c r="K146" i="110"/>
  <c r="M57" i="137" s="1"/>
  <c r="N146" i="110"/>
  <c r="N233" i="110" s="1"/>
  <c r="Q146" i="110"/>
  <c r="S57" i="137" s="1"/>
  <c r="G103" i="110"/>
  <c r="S103" i="110" s="1"/>
  <c r="S305" i="110" s="1"/>
  <c r="T146" i="110"/>
  <c r="V57" i="137" s="1"/>
  <c r="O146" i="110"/>
  <c r="Q57" i="137" s="1"/>
  <c r="U146" i="110"/>
  <c r="W57" i="137" s="1"/>
  <c r="M146" i="110"/>
  <c r="O57" i="137" s="1"/>
  <c r="G188" i="110"/>
  <c r="AA188" i="110" s="1"/>
  <c r="AD188" i="110" s="1"/>
  <c r="V168" i="110"/>
  <c r="V368" i="110"/>
  <c r="T147" i="110"/>
  <c r="T349" i="110" s="1"/>
  <c r="M338" i="58"/>
  <c r="S132" i="110"/>
  <c r="U43" i="137" s="1"/>
  <c r="T136" i="110"/>
  <c r="T338" i="110" s="1"/>
  <c r="AA136" i="110"/>
  <c r="AD136" i="110" s="1"/>
  <c r="K132" i="110"/>
  <c r="M43" i="137" s="1"/>
  <c r="K85" i="110"/>
  <c r="T45" i="181"/>
  <c r="P132" i="110"/>
  <c r="R43" i="137" s="1"/>
  <c r="L130" i="110"/>
  <c r="N41" i="137" s="1"/>
  <c r="S130" i="110"/>
  <c r="S332" i="110" s="1"/>
  <c r="L136" i="110"/>
  <c r="N47" i="137" s="1"/>
  <c r="J332" i="110"/>
  <c r="J136" i="110"/>
  <c r="J223" i="110" s="1"/>
  <c r="P136" i="110"/>
  <c r="P338" i="110" s="1"/>
  <c r="V363" i="110"/>
  <c r="R130" i="110"/>
  <c r="T41" i="137" s="1"/>
  <c r="Q130" i="110"/>
  <c r="S41" i="137" s="1"/>
  <c r="M132" i="110"/>
  <c r="O43" i="137" s="1"/>
  <c r="K136" i="110"/>
  <c r="M47" i="137" s="1"/>
  <c r="Q155" i="110"/>
  <c r="S66" i="137" s="1"/>
  <c r="R132" i="110"/>
  <c r="T43" i="137" s="1"/>
  <c r="N136" i="110"/>
  <c r="P47" i="137" s="1"/>
  <c r="AA132" i="110"/>
  <c r="AD132" i="110" s="1"/>
  <c r="S136" i="110"/>
  <c r="U47" i="137" s="1"/>
  <c r="M137" i="110"/>
  <c r="O48" i="137" s="1"/>
  <c r="U132" i="110"/>
  <c r="U334" i="110" s="1"/>
  <c r="L132" i="110"/>
  <c r="J132" i="110"/>
  <c r="L43" i="137" s="1"/>
  <c r="Q136" i="110"/>
  <c r="S47" i="137" s="1"/>
  <c r="N132" i="110"/>
  <c r="P43" i="137" s="1"/>
  <c r="U136" i="110"/>
  <c r="U223" i="110" s="1"/>
  <c r="R136" i="110"/>
  <c r="R338" i="110" s="1"/>
  <c r="O136" i="110"/>
  <c r="Q47" i="137" s="1"/>
  <c r="Q132" i="110"/>
  <c r="O132" i="110"/>
  <c r="O334" i="110" s="1"/>
  <c r="R137" i="110"/>
  <c r="T48" i="137" s="1"/>
  <c r="Q137" i="110"/>
  <c r="S48" i="137" s="1"/>
  <c r="AA130" i="110"/>
  <c r="AD130" i="110" s="1"/>
  <c r="M126" i="110"/>
  <c r="M328" i="110" s="1"/>
  <c r="O126" i="110"/>
  <c r="Q37" i="137" s="1"/>
  <c r="T126" i="110"/>
  <c r="V37" i="137" s="1"/>
  <c r="N126" i="110"/>
  <c r="P37" i="137" s="1"/>
  <c r="AA126" i="110"/>
  <c r="AD126" i="110" s="1"/>
  <c r="L126" i="110"/>
  <c r="N37" i="137" s="1"/>
  <c r="AA117" i="110"/>
  <c r="AD117" i="110" s="1"/>
  <c r="J126" i="110"/>
  <c r="J328" i="110" s="1"/>
  <c r="P126" i="110"/>
  <c r="P213" i="110" s="1"/>
  <c r="K331" i="110"/>
  <c r="I79" i="137"/>
  <c r="I158" i="137" s="1"/>
  <c r="G120" i="137"/>
  <c r="J105" i="110"/>
  <c r="J307" i="110" s="1"/>
  <c r="R147" i="110"/>
  <c r="T58" i="137" s="1"/>
  <c r="Q147" i="110"/>
  <c r="Q349" i="110" s="1"/>
  <c r="J159" i="110"/>
  <c r="J361" i="110" s="1"/>
  <c r="M159" i="110"/>
  <c r="M361" i="110" s="1"/>
  <c r="S139" i="110"/>
  <c r="U50" i="137" s="1"/>
  <c r="N147" i="110"/>
  <c r="N349" i="110" s="1"/>
  <c r="J98" i="110"/>
  <c r="L13" i="137" s="1"/>
  <c r="P159" i="110"/>
  <c r="P361" i="110" s="1"/>
  <c r="Q92" i="110"/>
  <c r="S7" i="137" s="1"/>
  <c r="Q127" i="110"/>
  <c r="S38" i="137" s="1"/>
  <c r="U159" i="110"/>
  <c r="W70" i="137" s="1"/>
  <c r="P139" i="110"/>
  <c r="R50" i="137" s="1"/>
  <c r="M127" i="110"/>
  <c r="O38" i="137" s="1"/>
  <c r="K139" i="110"/>
  <c r="M50" i="137" s="1"/>
  <c r="S147" i="110"/>
  <c r="S349" i="110" s="1"/>
  <c r="S127" i="110"/>
  <c r="U38" i="137" s="1"/>
  <c r="O127" i="110"/>
  <c r="Q38" i="137" s="1"/>
  <c r="S138" i="110"/>
  <c r="S340" i="110" s="1"/>
  <c r="U140" i="110"/>
  <c r="U342" i="110" s="1"/>
  <c r="N138" i="110"/>
  <c r="N340" i="110" s="1"/>
  <c r="T140" i="110"/>
  <c r="T342" i="110" s="1"/>
  <c r="R140" i="110"/>
  <c r="R342" i="110" s="1"/>
  <c r="M140" i="110"/>
  <c r="O51" i="137" s="1"/>
  <c r="P96" i="110"/>
  <c r="R11" i="137" s="1"/>
  <c r="N159" i="110"/>
  <c r="P70" i="137" s="1"/>
  <c r="U124" i="110"/>
  <c r="U326" i="110" s="1"/>
  <c r="G109" i="137"/>
  <c r="G151" i="137"/>
  <c r="K159" i="110"/>
  <c r="K361" i="110" s="1"/>
  <c r="J158" i="110"/>
  <c r="J360" i="110" s="1"/>
  <c r="Q140" i="110"/>
  <c r="S51" i="137" s="1"/>
  <c r="N139" i="110"/>
  <c r="P50" i="137" s="1"/>
  <c r="T158" i="110"/>
  <c r="V69" i="137" s="1"/>
  <c r="K138" i="110"/>
  <c r="M49" i="137" s="1"/>
  <c r="O138" i="110"/>
  <c r="O340" i="110" s="1"/>
  <c r="L138" i="110"/>
  <c r="N49" i="137" s="1"/>
  <c r="J124" i="110"/>
  <c r="L35" i="137" s="1"/>
  <c r="P405" i="110"/>
  <c r="G150" i="137"/>
  <c r="U98" i="110"/>
  <c r="W13" i="137" s="1"/>
  <c r="M124" i="110"/>
  <c r="M326" i="110" s="1"/>
  <c r="AA98" i="110"/>
  <c r="AD98" i="110" s="1"/>
  <c r="O130" i="110"/>
  <c r="Q41" i="137" s="1"/>
  <c r="P130" i="110"/>
  <c r="R41" i="137" s="1"/>
  <c r="O140" i="110"/>
  <c r="Q51" i="137" s="1"/>
  <c r="M130" i="110"/>
  <c r="M332" i="110" s="1"/>
  <c r="P147" i="110"/>
  <c r="R58" i="137" s="1"/>
  <c r="N130" i="110"/>
  <c r="P41" i="137" s="1"/>
  <c r="T130" i="110"/>
  <c r="T217" i="110" s="1"/>
  <c r="N92" i="110"/>
  <c r="P7" i="137" s="1"/>
  <c r="L128" i="110"/>
  <c r="L330" i="110" s="1"/>
  <c r="K128" i="110"/>
  <c r="M39" i="137" s="1"/>
  <c r="M92" i="110"/>
  <c r="M402" i="110" s="1"/>
  <c r="S133" i="110"/>
  <c r="U44" i="137" s="1"/>
  <c r="AA137" i="110"/>
  <c r="AD137" i="110" s="1"/>
  <c r="AA127" i="110"/>
  <c r="AD127" i="110" s="1"/>
  <c r="Q98" i="110"/>
  <c r="Q300" i="110" s="1"/>
  <c r="N128" i="110"/>
  <c r="P39" i="137" s="1"/>
  <c r="M98" i="110"/>
  <c r="O98" i="110"/>
  <c r="Q13" i="137" s="1"/>
  <c r="R138" i="110"/>
  <c r="T49" i="137" s="1"/>
  <c r="P98" i="110"/>
  <c r="R13" i="137" s="1"/>
  <c r="U130" i="110"/>
  <c r="W41" i="137" s="1"/>
  <c r="M147" i="110"/>
  <c r="O58" i="137" s="1"/>
  <c r="Q133" i="110"/>
  <c r="S44" i="137" s="1"/>
  <c r="K98" i="110"/>
  <c r="M13" i="137" s="1"/>
  <c r="N137" i="110"/>
  <c r="P48" i="137" s="1"/>
  <c r="L98" i="110"/>
  <c r="K12" i="181" s="1"/>
  <c r="S140" i="110"/>
  <c r="U147" i="110"/>
  <c r="U349" i="110" s="1"/>
  <c r="M138" i="110"/>
  <c r="K130" i="110"/>
  <c r="K332" i="110" s="1"/>
  <c r="J138" i="110"/>
  <c r="J340" i="110" s="1"/>
  <c r="N98" i="110"/>
  <c r="P13" i="137" s="1"/>
  <c r="O147" i="110"/>
  <c r="O349" i="110" s="1"/>
  <c r="G155" i="137"/>
  <c r="I37" i="137"/>
  <c r="I116" i="137" s="1"/>
  <c r="G130" i="137"/>
  <c r="T98" i="110"/>
  <c r="V13" i="137" s="1"/>
  <c r="G131" i="137"/>
  <c r="J140" i="110"/>
  <c r="L51" i="137" s="1"/>
  <c r="T157" i="110"/>
  <c r="T359" i="110" s="1"/>
  <c r="P138" i="110"/>
  <c r="P340" i="110" s="1"/>
  <c r="K140" i="110"/>
  <c r="N127" i="110"/>
  <c r="P38" i="137" s="1"/>
  <c r="L147" i="110"/>
  <c r="L234" i="110" s="1"/>
  <c r="Q158" i="110"/>
  <c r="J147" i="110"/>
  <c r="L58" i="137" s="1"/>
  <c r="T138" i="110"/>
  <c r="V49" i="137" s="1"/>
  <c r="R98" i="110"/>
  <c r="T13" i="137" s="1"/>
  <c r="G108" i="137"/>
  <c r="L140" i="110"/>
  <c r="L342" i="110" s="1"/>
  <c r="N342" i="110"/>
  <c r="P158" i="110"/>
  <c r="R69" i="137" s="1"/>
  <c r="S124" i="110"/>
  <c r="U35" i="137" s="1"/>
  <c r="P124" i="110"/>
  <c r="U138" i="110"/>
  <c r="W49" i="137" s="1"/>
  <c r="AA140" i="110"/>
  <c r="AD140" i="110" s="1"/>
  <c r="N158" i="110"/>
  <c r="P69" i="137" s="1"/>
  <c r="O124" i="110"/>
  <c r="Q35" i="137" s="1"/>
  <c r="AA105" i="110"/>
  <c r="AD105" i="110" s="1"/>
  <c r="P140" i="110"/>
  <c r="P342" i="110" s="1"/>
  <c r="Q139" i="110"/>
  <c r="Q341" i="110" s="1"/>
  <c r="R158" i="110"/>
  <c r="T69" i="137" s="1"/>
  <c r="K124" i="110"/>
  <c r="M35" i="137" s="1"/>
  <c r="AA138" i="110"/>
  <c r="AD138" i="110" s="1"/>
  <c r="L158" i="110"/>
  <c r="N69" i="137" s="1"/>
  <c r="G111" i="137"/>
  <c r="I75" i="137"/>
  <c r="I154" i="137" s="1"/>
  <c r="G121" i="137"/>
  <c r="G125" i="137"/>
  <c r="I69" i="137"/>
  <c r="I148" i="137" s="1"/>
  <c r="U149" i="110"/>
  <c r="W60" i="137" s="1"/>
  <c r="O153" i="110"/>
  <c r="Q64" i="137" s="1"/>
  <c r="P153" i="110"/>
  <c r="R64" i="137" s="1"/>
  <c r="J85" i="110"/>
  <c r="O85" i="110"/>
  <c r="N124" i="110"/>
  <c r="I194" i="110"/>
  <c r="AC194" i="110" s="1"/>
  <c r="AF194" i="110" s="1"/>
  <c r="F309" i="110"/>
  <c r="E309" i="110" s="1"/>
  <c r="U137" i="110"/>
  <c r="U339" i="110" s="1"/>
  <c r="S158" i="110"/>
  <c r="S360" i="110" s="1"/>
  <c r="S128" i="110"/>
  <c r="U39" i="137" s="1"/>
  <c r="T124" i="110"/>
  <c r="T326" i="110" s="1"/>
  <c r="Q124" i="110"/>
  <c r="S35" i="137" s="1"/>
  <c r="M128" i="110"/>
  <c r="M330" i="110" s="1"/>
  <c r="M96" i="110"/>
  <c r="O11" i="137" s="1"/>
  <c r="O158" i="110"/>
  <c r="Q69" i="137" s="1"/>
  <c r="AA124" i="110"/>
  <c r="AD124" i="110" s="1"/>
  <c r="T85" i="110"/>
  <c r="S45" i="181"/>
  <c r="R190" i="58"/>
  <c r="P137" i="110"/>
  <c r="R48" i="137" s="1"/>
  <c r="K158" i="110"/>
  <c r="P128" i="110"/>
  <c r="R39" i="137" s="1"/>
  <c r="N96" i="110"/>
  <c r="P11" i="137" s="1"/>
  <c r="O96" i="110"/>
  <c r="Q11" i="137" s="1"/>
  <c r="AA158" i="110"/>
  <c r="AD158" i="110" s="1"/>
  <c r="N85" i="110"/>
  <c r="K149" i="110"/>
  <c r="M60" i="137" s="1"/>
  <c r="F240" i="110"/>
  <c r="H240" i="110" s="1"/>
  <c r="AB240" i="110" s="1"/>
  <c r="AE240" i="110" s="1"/>
  <c r="W104" i="58"/>
  <c r="W172" i="58" s="1"/>
  <c r="P5" i="35" s="1"/>
  <c r="P13" i="35" s="1"/>
  <c r="G100" i="137"/>
  <c r="G194" i="110"/>
  <c r="AA194" i="110" s="1"/>
  <c r="AD194" i="110" s="1"/>
  <c r="AC207" i="110"/>
  <c r="AF207" i="110" s="1"/>
  <c r="I233" i="110"/>
  <c r="AC233" i="110" s="1"/>
  <c r="AF233" i="110" s="1"/>
  <c r="H233" i="110"/>
  <c r="AB233" i="110" s="1"/>
  <c r="AE233" i="110" s="1"/>
  <c r="F348" i="110"/>
  <c r="E348" i="110" s="1"/>
  <c r="I182" i="110"/>
  <c r="AC182" i="110" s="1"/>
  <c r="AF182" i="110" s="1"/>
  <c r="H182" i="110"/>
  <c r="AB182" i="110" s="1"/>
  <c r="AE182" i="110" s="1"/>
  <c r="F297" i="110"/>
  <c r="E297" i="110" s="1"/>
  <c r="K137" i="110"/>
  <c r="K339" i="110" s="1"/>
  <c r="U158" i="110"/>
  <c r="W69" i="137" s="1"/>
  <c r="L137" i="110"/>
  <c r="N48" i="137" s="1"/>
  <c r="R124" i="110"/>
  <c r="Q96" i="110"/>
  <c r="S11" i="137" s="1"/>
  <c r="X103" i="58"/>
  <c r="L262" i="58"/>
  <c r="E47" i="35" s="1"/>
  <c r="G153" i="137"/>
  <c r="S137" i="110"/>
  <c r="U48" i="137" s="1"/>
  <c r="O149" i="110"/>
  <c r="O351" i="110" s="1"/>
  <c r="J137" i="110"/>
  <c r="L48" i="137" s="1"/>
  <c r="T137" i="110"/>
  <c r="T393" i="110" s="1"/>
  <c r="K96" i="110"/>
  <c r="M11" i="137" s="1"/>
  <c r="V365" i="110"/>
  <c r="G102" i="137"/>
  <c r="X75" i="137"/>
  <c r="K75" i="137" s="1"/>
  <c r="K155" i="137" s="1"/>
  <c r="AC201" i="110"/>
  <c r="AF201" i="110" s="1"/>
  <c r="E316" i="110"/>
  <c r="AB201" i="110"/>
  <c r="AE201" i="110" s="1"/>
  <c r="AC206" i="110"/>
  <c r="AF206" i="110" s="1"/>
  <c r="AB116" i="110"/>
  <c r="AE116" i="110" s="1"/>
  <c r="AC116" i="110"/>
  <c r="AF116" i="110" s="1"/>
  <c r="Q157" i="110"/>
  <c r="S68" i="137" s="1"/>
  <c r="R157" i="110"/>
  <c r="R359" i="110" s="1"/>
  <c r="P247" i="110"/>
  <c r="X102" i="58"/>
  <c r="R338" i="58"/>
  <c r="C6" i="138"/>
  <c r="G101" i="137"/>
  <c r="Q128" i="110"/>
  <c r="Q330" i="110" s="1"/>
  <c r="L133" i="110"/>
  <c r="N44" i="137" s="1"/>
  <c r="J133" i="110"/>
  <c r="L44" i="137" s="1"/>
  <c r="AA128" i="110"/>
  <c r="AD128" i="110" s="1"/>
  <c r="V104" i="58"/>
  <c r="V172" i="58" s="1"/>
  <c r="P142" i="133" s="1"/>
  <c r="S104" i="58"/>
  <c r="S172" i="58" s="1"/>
  <c r="L5" i="35" s="1"/>
  <c r="L20" i="35" s="1"/>
  <c r="R133" i="110"/>
  <c r="T44" i="137" s="1"/>
  <c r="T128" i="110"/>
  <c r="V39" i="137" s="1"/>
  <c r="P37" i="181"/>
  <c r="R85" i="110"/>
  <c r="G122" i="137"/>
  <c r="I229" i="110"/>
  <c r="AC229" i="110" s="1"/>
  <c r="AF229" i="110" s="1"/>
  <c r="F344" i="110"/>
  <c r="E344" i="110" s="1"/>
  <c r="O76" i="137"/>
  <c r="X76" i="137" s="1"/>
  <c r="K76" i="137" s="1"/>
  <c r="K156" i="137" s="1"/>
  <c r="V165" i="110"/>
  <c r="M252" i="110"/>
  <c r="V252" i="110" s="1"/>
  <c r="I223" i="110"/>
  <c r="AC223" i="110" s="1"/>
  <c r="AF223" i="110" s="1"/>
  <c r="F338" i="110"/>
  <c r="E338" i="110" s="1"/>
  <c r="H223" i="110"/>
  <c r="AB223" i="110" s="1"/>
  <c r="AE223" i="110" s="1"/>
  <c r="V251" i="110"/>
  <c r="H187" i="110"/>
  <c r="AB187" i="110" s="1"/>
  <c r="AE187" i="110" s="1"/>
  <c r="I187" i="110"/>
  <c r="AC187" i="110" s="1"/>
  <c r="AF187" i="110" s="1"/>
  <c r="F302" i="110"/>
  <c r="E302" i="110" s="1"/>
  <c r="G187" i="110"/>
  <c r="AA187" i="110" s="1"/>
  <c r="AD187" i="110" s="1"/>
  <c r="I225" i="110"/>
  <c r="AC225" i="110" s="1"/>
  <c r="AF225" i="110" s="1"/>
  <c r="F340" i="110"/>
  <c r="E340" i="110" s="1"/>
  <c r="H229" i="110"/>
  <c r="AB229" i="110" s="1"/>
  <c r="AE229" i="110" s="1"/>
  <c r="M77" i="137"/>
  <c r="K253" i="110"/>
  <c r="I227" i="110"/>
  <c r="AC227" i="110" s="1"/>
  <c r="AF227" i="110" s="1"/>
  <c r="F342" i="110"/>
  <c r="E342" i="110" s="1"/>
  <c r="I211" i="110"/>
  <c r="AC211" i="110" s="1"/>
  <c r="AF211" i="110" s="1"/>
  <c r="T133" i="110"/>
  <c r="V44" i="137" s="1"/>
  <c r="N133" i="110"/>
  <c r="N335" i="110" s="1"/>
  <c r="V380" i="110"/>
  <c r="G216" i="110"/>
  <c r="T216" i="110" s="1"/>
  <c r="F331" i="110"/>
  <c r="E331" i="110" s="1"/>
  <c r="I216" i="110"/>
  <c r="AC216" i="110" s="1"/>
  <c r="AF216" i="110" s="1"/>
  <c r="H216" i="110"/>
  <c r="AB216" i="110" s="1"/>
  <c r="AE216" i="110" s="1"/>
  <c r="I185" i="110"/>
  <c r="AC185" i="110" s="1"/>
  <c r="AF185" i="110" s="1"/>
  <c r="H185" i="110"/>
  <c r="AB185" i="110" s="1"/>
  <c r="AE185" i="110" s="1"/>
  <c r="F300" i="110"/>
  <c r="E300" i="110" s="1"/>
  <c r="G185" i="110"/>
  <c r="AA185" i="110" s="1"/>
  <c r="AD185" i="110" s="1"/>
  <c r="H179" i="110"/>
  <c r="AB179" i="110" s="1"/>
  <c r="AE179" i="110" s="1"/>
  <c r="I179" i="110"/>
  <c r="AC179" i="110" s="1"/>
  <c r="AF179" i="110" s="1"/>
  <c r="G179" i="110"/>
  <c r="AA179" i="110" s="1"/>
  <c r="AD179" i="110" s="1"/>
  <c r="F294" i="110"/>
  <c r="E294" i="110" s="1"/>
  <c r="J128" i="110"/>
  <c r="L39" i="137" s="1"/>
  <c r="Q101" i="110"/>
  <c r="S16" i="137" s="1"/>
  <c r="S101" i="110"/>
  <c r="R15" i="181" s="1"/>
  <c r="R128" i="110"/>
  <c r="T39" i="137" s="1"/>
  <c r="AA106" i="110"/>
  <c r="AD106" i="110" s="1"/>
  <c r="X188" i="58"/>
  <c r="M104" i="58"/>
  <c r="M172" i="58" s="1"/>
  <c r="C4" i="26" s="1"/>
  <c r="O45" i="181"/>
  <c r="N262" i="58"/>
  <c r="G47" i="35" s="1"/>
  <c r="I188" i="110"/>
  <c r="AC188" i="110" s="1"/>
  <c r="AF188" i="110" s="1"/>
  <c r="F303" i="110"/>
  <c r="E303" i="110" s="1"/>
  <c r="I234" i="110"/>
  <c r="AC234" i="110" s="1"/>
  <c r="AF234" i="110" s="1"/>
  <c r="F349" i="110"/>
  <c r="E349" i="110" s="1"/>
  <c r="AC204" i="110"/>
  <c r="AF204" i="110" s="1"/>
  <c r="E319" i="110"/>
  <c r="H214" i="110"/>
  <c r="AB214" i="110" s="1"/>
  <c r="AE214" i="110" s="1"/>
  <c r="G214" i="110"/>
  <c r="AA214" i="110" s="1"/>
  <c r="AD214" i="110" s="1"/>
  <c r="F329" i="110"/>
  <c r="E329" i="110" s="1"/>
  <c r="I214" i="110"/>
  <c r="AC214" i="110" s="1"/>
  <c r="AF214" i="110" s="1"/>
  <c r="I213" i="110"/>
  <c r="AC213" i="110" s="1"/>
  <c r="AF213" i="110" s="1"/>
  <c r="F328" i="110"/>
  <c r="E328" i="110" s="1"/>
  <c r="F248" i="110"/>
  <c r="AC161" i="110"/>
  <c r="AF161" i="110" s="1"/>
  <c r="AB161" i="110"/>
  <c r="AE161" i="110" s="1"/>
  <c r="U128" i="110"/>
  <c r="W39" i="137" s="1"/>
  <c r="P133" i="110"/>
  <c r="P335" i="110" s="1"/>
  <c r="O104" i="58"/>
  <c r="O172" i="58" s="1"/>
  <c r="I5" i="124" s="1"/>
  <c r="I61" i="124" s="1"/>
  <c r="T190" i="58"/>
  <c r="P56" i="181"/>
  <c r="V364" i="110"/>
  <c r="G145" i="110"/>
  <c r="F232" i="110"/>
  <c r="I145" i="110"/>
  <c r="AC145" i="110" s="1"/>
  <c r="AF145" i="110" s="1"/>
  <c r="H145" i="110"/>
  <c r="AB145" i="110" s="1"/>
  <c r="AE145" i="110" s="1"/>
  <c r="F239" i="110"/>
  <c r="G152" i="110"/>
  <c r="I152" i="110"/>
  <c r="AC152" i="110" s="1"/>
  <c r="AF152" i="110" s="1"/>
  <c r="H152" i="110"/>
  <c r="AB152" i="110" s="1"/>
  <c r="AE152" i="110" s="1"/>
  <c r="R141" i="110"/>
  <c r="R343" i="110" s="1"/>
  <c r="G104" i="137"/>
  <c r="AA153" i="110"/>
  <c r="AD153" i="110" s="1"/>
  <c r="S155" i="110"/>
  <c r="U66" i="137" s="1"/>
  <c r="O14" i="181"/>
  <c r="S157" i="110"/>
  <c r="U68" i="137" s="1"/>
  <c r="AA157" i="110"/>
  <c r="AD157" i="110" s="1"/>
  <c r="AA118" i="110"/>
  <c r="AD118" i="110" s="1"/>
  <c r="O155" i="110"/>
  <c r="Q66" i="137" s="1"/>
  <c r="T159" i="110"/>
  <c r="V70" i="137" s="1"/>
  <c r="Q159" i="110"/>
  <c r="S70" i="137" s="1"/>
  <c r="L155" i="110"/>
  <c r="N66" i="137" s="1"/>
  <c r="L159" i="110"/>
  <c r="N70" i="137" s="1"/>
  <c r="M153" i="110"/>
  <c r="O64" i="137" s="1"/>
  <c r="O139" i="110"/>
  <c r="O341" i="110" s="1"/>
  <c r="U96" i="110"/>
  <c r="W11" i="137" s="1"/>
  <c r="AA139" i="110"/>
  <c r="AD139" i="110" s="1"/>
  <c r="AA109" i="110"/>
  <c r="AD109" i="110" s="1"/>
  <c r="M139" i="110"/>
  <c r="O50" i="137" s="1"/>
  <c r="M155" i="110"/>
  <c r="M357" i="110" s="1"/>
  <c r="P157" i="110"/>
  <c r="R68" i="137" s="1"/>
  <c r="S96" i="110"/>
  <c r="U11" i="137" s="1"/>
  <c r="L96" i="110"/>
  <c r="N11" i="137" s="1"/>
  <c r="G106" i="137"/>
  <c r="L139" i="110"/>
  <c r="N50" i="137" s="1"/>
  <c r="T139" i="110"/>
  <c r="V50" i="137" s="1"/>
  <c r="R139" i="110"/>
  <c r="R341" i="110" s="1"/>
  <c r="O157" i="110"/>
  <c r="O359" i="110" s="1"/>
  <c r="J96" i="110"/>
  <c r="L11" i="137" s="1"/>
  <c r="S159" i="110"/>
  <c r="U70" i="137" s="1"/>
  <c r="P302" i="110"/>
  <c r="AA96" i="110"/>
  <c r="AD96" i="110" s="1"/>
  <c r="J139" i="110"/>
  <c r="J341" i="110" s="1"/>
  <c r="T96" i="110"/>
  <c r="R159" i="110"/>
  <c r="T70" i="137" s="1"/>
  <c r="AA159" i="110"/>
  <c r="AD159" i="110" s="1"/>
  <c r="E403" i="110"/>
  <c r="Q149" i="110"/>
  <c r="S60" i="137" s="1"/>
  <c r="T149" i="110"/>
  <c r="V60" i="137" s="1"/>
  <c r="P149" i="110"/>
  <c r="R60" i="137" s="1"/>
  <c r="L149" i="110"/>
  <c r="L351" i="110" s="1"/>
  <c r="M149" i="110"/>
  <c r="M351" i="110" s="1"/>
  <c r="K133" i="110"/>
  <c r="M44" i="137" s="1"/>
  <c r="J149" i="110"/>
  <c r="L60" i="137" s="1"/>
  <c r="U133" i="110"/>
  <c r="AA133" i="110"/>
  <c r="AD133" i="110" s="1"/>
  <c r="I77" i="137"/>
  <c r="I156" i="137" s="1"/>
  <c r="G156" i="137"/>
  <c r="N149" i="110"/>
  <c r="P60" i="137" s="1"/>
  <c r="R149" i="110"/>
  <c r="T60" i="137" s="1"/>
  <c r="M133" i="110"/>
  <c r="O44" i="137" s="1"/>
  <c r="I40" i="137"/>
  <c r="I119" i="137" s="1"/>
  <c r="G119" i="137"/>
  <c r="I73" i="137"/>
  <c r="I152" i="137" s="1"/>
  <c r="G152" i="137"/>
  <c r="I44" i="137"/>
  <c r="I123" i="137" s="1"/>
  <c r="G123" i="137"/>
  <c r="S149" i="110"/>
  <c r="U60" i="137" s="1"/>
  <c r="W190" i="58"/>
  <c r="W260" i="58" s="1"/>
  <c r="N17" i="138" s="1"/>
  <c r="N55" i="138" s="1"/>
  <c r="X93" i="58"/>
  <c r="X179" i="58"/>
  <c r="L104" i="58"/>
  <c r="L172" i="58" s="1"/>
  <c r="B4" i="26" s="1"/>
  <c r="X187" i="58"/>
  <c r="G99" i="110"/>
  <c r="H99" i="110"/>
  <c r="AB99" i="110" s="1"/>
  <c r="AE99" i="110" s="1"/>
  <c r="F186" i="110"/>
  <c r="I99" i="110"/>
  <c r="AC99" i="110" s="1"/>
  <c r="AF99" i="110" s="1"/>
  <c r="V73" i="137"/>
  <c r="T249" i="110"/>
  <c r="M73" i="137"/>
  <c r="K249" i="110"/>
  <c r="V162" i="110"/>
  <c r="I219" i="110"/>
  <c r="AC219" i="110" s="1"/>
  <c r="AF219" i="110" s="1"/>
  <c r="G102" i="110"/>
  <c r="I102" i="110"/>
  <c r="AC102" i="110" s="1"/>
  <c r="AF102" i="110" s="1"/>
  <c r="H102" i="110"/>
  <c r="AB102" i="110" s="1"/>
  <c r="AE102" i="110" s="1"/>
  <c r="F189" i="110"/>
  <c r="I217" i="110"/>
  <c r="AC217" i="110" s="1"/>
  <c r="AF217" i="110" s="1"/>
  <c r="F332" i="110"/>
  <c r="E332" i="110" s="1"/>
  <c r="H217" i="110"/>
  <c r="AB217" i="110" s="1"/>
  <c r="AE217" i="110" s="1"/>
  <c r="Q78" i="137"/>
  <c r="O254" i="110"/>
  <c r="I190" i="110"/>
  <c r="AC190" i="110" s="1"/>
  <c r="AF190" i="110" s="1"/>
  <c r="H190" i="110"/>
  <c r="AB190" i="110" s="1"/>
  <c r="AE190" i="110" s="1"/>
  <c r="F305" i="110"/>
  <c r="E305" i="110" s="1"/>
  <c r="P104" i="58"/>
  <c r="P172" i="58" s="1"/>
  <c r="F4" i="26" s="1"/>
  <c r="U8" i="181"/>
  <c r="M190" i="58"/>
  <c r="T104" i="58"/>
  <c r="T172" i="58" s="1"/>
  <c r="N5" i="124" s="1"/>
  <c r="N61" i="124" s="1"/>
  <c r="O190" i="58"/>
  <c r="L85" i="110"/>
  <c r="M85" i="110"/>
  <c r="AC112" i="110"/>
  <c r="AF112" i="110" s="1"/>
  <c r="AB112" i="110"/>
  <c r="AE112" i="110" s="1"/>
  <c r="T77" i="137"/>
  <c r="R253" i="110"/>
  <c r="G144" i="110"/>
  <c r="I144" i="110"/>
  <c r="AC144" i="110" s="1"/>
  <c r="AF144" i="110" s="1"/>
  <c r="H144" i="110"/>
  <c r="AB144" i="110" s="1"/>
  <c r="AE144" i="110" s="1"/>
  <c r="F231" i="110"/>
  <c r="G108" i="110"/>
  <c r="H108" i="110"/>
  <c r="AB108" i="110" s="1"/>
  <c r="AE108" i="110" s="1"/>
  <c r="F195" i="110"/>
  <c r="I108" i="110"/>
  <c r="AC108" i="110" s="1"/>
  <c r="AF108" i="110" s="1"/>
  <c r="I183" i="110"/>
  <c r="AC183" i="110" s="1"/>
  <c r="AF183" i="110" s="1"/>
  <c r="H183" i="110"/>
  <c r="AB183" i="110" s="1"/>
  <c r="AE183" i="110" s="1"/>
  <c r="G183" i="110"/>
  <c r="F298" i="110"/>
  <c r="E298" i="110" s="1"/>
  <c r="AB210" i="110"/>
  <c r="AE210" i="110" s="1"/>
  <c r="AC210" i="110"/>
  <c r="AF210" i="110" s="1"/>
  <c r="E324" i="110"/>
  <c r="G131" i="110"/>
  <c r="H131" i="110"/>
  <c r="AB131" i="110" s="1"/>
  <c r="AE131" i="110" s="1"/>
  <c r="F218" i="110"/>
  <c r="I131" i="110"/>
  <c r="AC131" i="110" s="1"/>
  <c r="AF131" i="110" s="1"/>
  <c r="I247" i="110"/>
  <c r="AC247" i="110" s="1"/>
  <c r="AF247" i="110" s="1"/>
  <c r="H247" i="110"/>
  <c r="AB247" i="110" s="1"/>
  <c r="AE247" i="110" s="1"/>
  <c r="F362" i="110"/>
  <c r="E362" i="110" s="1"/>
  <c r="G230" i="110"/>
  <c r="AA230" i="110" s="1"/>
  <c r="AD230" i="110" s="1"/>
  <c r="H230" i="110"/>
  <c r="AB230" i="110" s="1"/>
  <c r="AE230" i="110" s="1"/>
  <c r="I230" i="110"/>
  <c r="AC230" i="110" s="1"/>
  <c r="AF230" i="110" s="1"/>
  <c r="F345" i="110"/>
  <c r="E345" i="110" s="1"/>
  <c r="I193" i="110"/>
  <c r="AC193" i="110" s="1"/>
  <c r="AF193" i="110" s="1"/>
  <c r="H193" i="110"/>
  <c r="AB193" i="110" s="1"/>
  <c r="AE193" i="110" s="1"/>
  <c r="F308" i="110"/>
  <c r="E308" i="110" s="1"/>
  <c r="G151" i="110"/>
  <c r="F238" i="110"/>
  <c r="I151" i="110"/>
  <c r="AC151" i="110" s="1"/>
  <c r="AF151" i="110" s="1"/>
  <c r="H151" i="110"/>
  <c r="AB151" i="110" s="1"/>
  <c r="AE151" i="110" s="1"/>
  <c r="G90" i="110"/>
  <c r="I90" i="110"/>
  <c r="H90" i="110"/>
  <c r="AB90" i="110" s="1"/>
  <c r="AE90" i="110" s="1"/>
  <c r="F177" i="110"/>
  <c r="I215" i="110"/>
  <c r="AC215" i="110" s="1"/>
  <c r="AF215" i="110" s="1"/>
  <c r="H215" i="110"/>
  <c r="AB215" i="110" s="1"/>
  <c r="AE215" i="110" s="1"/>
  <c r="F330" i="110"/>
  <c r="E330" i="110" s="1"/>
  <c r="G246" i="110"/>
  <c r="AA246" i="110" s="1"/>
  <c r="AD246" i="110" s="1"/>
  <c r="H246" i="110"/>
  <c r="AB246" i="110" s="1"/>
  <c r="AE246" i="110" s="1"/>
  <c r="I246" i="110"/>
  <c r="AC246" i="110" s="1"/>
  <c r="AF246" i="110" s="1"/>
  <c r="F361" i="110"/>
  <c r="E361" i="110" s="1"/>
  <c r="Q77" i="137"/>
  <c r="O253" i="110"/>
  <c r="V166" i="110"/>
  <c r="I192" i="110"/>
  <c r="AC192" i="110" s="1"/>
  <c r="AF192" i="110" s="1"/>
  <c r="H192" i="110"/>
  <c r="AB192" i="110" s="1"/>
  <c r="AE192" i="110" s="1"/>
  <c r="G192" i="110"/>
  <c r="F307" i="110"/>
  <c r="G226" i="110"/>
  <c r="H226" i="110"/>
  <c r="AB226" i="110" s="1"/>
  <c r="AE226" i="110" s="1"/>
  <c r="I226" i="110"/>
  <c r="AC226" i="110" s="1"/>
  <c r="AF226" i="110" s="1"/>
  <c r="F341" i="110"/>
  <c r="E341" i="110" s="1"/>
  <c r="I181" i="110"/>
  <c r="AC181" i="110" s="1"/>
  <c r="AF181" i="110" s="1"/>
  <c r="H181" i="110"/>
  <c r="AB181" i="110" s="1"/>
  <c r="AE181" i="110" s="1"/>
  <c r="G181" i="110"/>
  <c r="F296" i="110"/>
  <c r="E296" i="110" s="1"/>
  <c r="Q104" i="58"/>
  <c r="Q172" i="58" s="1"/>
  <c r="K5" i="124" s="1"/>
  <c r="K61" i="124" s="1"/>
  <c r="G148" i="110"/>
  <c r="I148" i="110"/>
  <c r="AC148" i="110" s="1"/>
  <c r="AF148" i="110" s="1"/>
  <c r="H148" i="110"/>
  <c r="AB148" i="110" s="1"/>
  <c r="AE148" i="110" s="1"/>
  <c r="F235" i="110"/>
  <c r="G134" i="110"/>
  <c r="I134" i="110"/>
  <c r="AC134" i="110" s="1"/>
  <c r="AF134" i="110" s="1"/>
  <c r="H134" i="110"/>
  <c r="AB134" i="110" s="1"/>
  <c r="AE134" i="110" s="1"/>
  <c r="F221" i="110"/>
  <c r="M141" i="110"/>
  <c r="M343" i="110" s="1"/>
  <c r="P190" i="58"/>
  <c r="G196" i="110"/>
  <c r="H196" i="110"/>
  <c r="AB196" i="110" s="1"/>
  <c r="AE196" i="110" s="1"/>
  <c r="I196" i="110"/>
  <c r="AC196" i="110" s="1"/>
  <c r="AF196" i="110" s="1"/>
  <c r="F311" i="110"/>
  <c r="E311" i="110" s="1"/>
  <c r="G154" i="110"/>
  <c r="I154" i="110"/>
  <c r="AC154" i="110" s="1"/>
  <c r="AF154" i="110" s="1"/>
  <c r="H154" i="110"/>
  <c r="AB154" i="110" s="1"/>
  <c r="AE154" i="110" s="1"/>
  <c r="F241" i="110"/>
  <c r="AC205" i="110"/>
  <c r="AF205" i="110" s="1"/>
  <c r="AB205" i="110"/>
  <c r="AE205" i="110" s="1"/>
  <c r="E320" i="110"/>
  <c r="G93" i="110"/>
  <c r="F180" i="110"/>
  <c r="I93" i="110"/>
  <c r="AC93" i="110" s="1"/>
  <c r="AF93" i="110" s="1"/>
  <c r="H93" i="110"/>
  <c r="AB93" i="110" s="1"/>
  <c r="AE93" i="110" s="1"/>
  <c r="G156" i="110"/>
  <c r="H156" i="110"/>
  <c r="AB156" i="110" s="1"/>
  <c r="AE156" i="110" s="1"/>
  <c r="F243" i="110"/>
  <c r="I156" i="110"/>
  <c r="AC156" i="110" s="1"/>
  <c r="AF156" i="110" s="1"/>
  <c r="W74" i="137"/>
  <c r="X74" i="137" s="1"/>
  <c r="K74" i="137" s="1"/>
  <c r="K154" i="137" s="1"/>
  <c r="U250" i="110"/>
  <c r="V250" i="110" s="1"/>
  <c r="I224" i="110"/>
  <c r="AC224" i="110" s="1"/>
  <c r="AF224" i="110" s="1"/>
  <c r="H224" i="110"/>
  <c r="AB224" i="110" s="1"/>
  <c r="AE224" i="110" s="1"/>
  <c r="F339" i="110"/>
  <c r="E339" i="110" s="1"/>
  <c r="G224" i="110"/>
  <c r="AA224" i="110" s="1"/>
  <c r="AD224" i="110" s="1"/>
  <c r="N153" i="110"/>
  <c r="N355" i="110" s="1"/>
  <c r="L141" i="110"/>
  <c r="N52" i="137" s="1"/>
  <c r="T141" i="110"/>
  <c r="K155" i="110"/>
  <c r="M66" i="137" s="1"/>
  <c r="M157" i="110"/>
  <c r="O68" i="137" s="1"/>
  <c r="J141" i="110"/>
  <c r="J343" i="110" s="1"/>
  <c r="P182" i="110"/>
  <c r="N155" i="110"/>
  <c r="P66" i="137" s="1"/>
  <c r="J153" i="110"/>
  <c r="L64" i="137" s="1"/>
  <c r="L153" i="110"/>
  <c r="N64" i="137" s="1"/>
  <c r="S141" i="110"/>
  <c r="U52" i="137" s="1"/>
  <c r="M182" i="110"/>
  <c r="U141" i="110"/>
  <c r="U343" i="110" s="1"/>
  <c r="AA141" i="110"/>
  <c r="AD141" i="110" s="1"/>
  <c r="K157" i="110"/>
  <c r="R153" i="110"/>
  <c r="T64" i="137" s="1"/>
  <c r="N141" i="110"/>
  <c r="P52" i="137" s="1"/>
  <c r="U153" i="110"/>
  <c r="U355" i="110" s="1"/>
  <c r="K153" i="110"/>
  <c r="M64" i="137" s="1"/>
  <c r="J155" i="110"/>
  <c r="J357" i="110" s="1"/>
  <c r="T153" i="110"/>
  <c r="V64" i="137" s="1"/>
  <c r="N413" i="110"/>
  <c r="J18" i="124" s="1"/>
  <c r="J29" i="124" s="1"/>
  <c r="J42" i="124" s="1"/>
  <c r="AA110" i="110"/>
  <c r="AD110" i="110" s="1"/>
  <c r="K411" i="110"/>
  <c r="G16" i="124" s="1"/>
  <c r="P141" i="110"/>
  <c r="P343" i="110" s="1"/>
  <c r="P155" i="110"/>
  <c r="P357" i="110" s="1"/>
  <c r="R155" i="110"/>
  <c r="R357" i="110" s="1"/>
  <c r="L157" i="110"/>
  <c r="N68" i="137" s="1"/>
  <c r="R413" i="110"/>
  <c r="N18" i="124" s="1"/>
  <c r="N29" i="124" s="1"/>
  <c r="J217" i="110"/>
  <c r="O141" i="110"/>
  <c r="Q52" i="137" s="1"/>
  <c r="N157" i="110"/>
  <c r="P68" i="137" s="1"/>
  <c r="U155" i="110"/>
  <c r="W66" i="137" s="1"/>
  <c r="U157" i="110"/>
  <c r="S153" i="110"/>
  <c r="U64" i="137" s="1"/>
  <c r="Q153" i="110"/>
  <c r="S64" i="137" s="1"/>
  <c r="K141" i="110"/>
  <c r="K343" i="110" s="1"/>
  <c r="T155" i="110"/>
  <c r="V66" i="137" s="1"/>
  <c r="K413" i="110"/>
  <c r="G18" i="124" s="1"/>
  <c r="I197" i="110"/>
  <c r="AC197" i="110" s="1"/>
  <c r="AF197" i="110" s="1"/>
  <c r="F312" i="110"/>
  <c r="E312" i="110" s="1"/>
  <c r="H197" i="110"/>
  <c r="AB197" i="110" s="1"/>
  <c r="AE197" i="110" s="1"/>
  <c r="I20" i="137"/>
  <c r="I99" i="137" s="1"/>
  <c r="G99" i="137"/>
  <c r="I212" i="110"/>
  <c r="AC212" i="110" s="1"/>
  <c r="AF212" i="110" s="1"/>
  <c r="H212" i="110"/>
  <c r="AB212" i="110" s="1"/>
  <c r="AE212" i="110" s="1"/>
  <c r="G212" i="110"/>
  <c r="F327" i="110"/>
  <c r="E327" i="110" s="1"/>
  <c r="I33" i="137"/>
  <c r="I112" i="137" s="1"/>
  <c r="G112" i="137"/>
  <c r="I60" i="137"/>
  <c r="I139" i="137" s="1"/>
  <c r="G139" i="137"/>
  <c r="I55" i="137"/>
  <c r="I134" i="137" s="1"/>
  <c r="G134" i="137"/>
  <c r="I236" i="110"/>
  <c r="AC236" i="110" s="1"/>
  <c r="AF236" i="110" s="1"/>
  <c r="H236" i="110"/>
  <c r="AB236" i="110" s="1"/>
  <c r="AE236" i="110" s="1"/>
  <c r="F351" i="110"/>
  <c r="E351" i="110" s="1"/>
  <c r="G236" i="110"/>
  <c r="AA236" i="110" s="1"/>
  <c r="AD236" i="110" s="1"/>
  <c r="I67" i="137"/>
  <c r="I146" i="137" s="1"/>
  <c r="G146" i="137"/>
  <c r="I49" i="137"/>
  <c r="I128" i="137" s="1"/>
  <c r="G128" i="137"/>
  <c r="I28" i="137"/>
  <c r="I107" i="137" s="1"/>
  <c r="G107" i="137"/>
  <c r="I39" i="137"/>
  <c r="I118" i="137" s="1"/>
  <c r="G118" i="137"/>
  <c r="R104" i="58"/>
  <c r="R172" i="58" s="1"/>
  <c r="K5" i="35" s="1"/>
  <c r="I59" i="137"/>
  <c r="I138" i="137" s="1"/>
  <c r="G138" i="137"/>
  <c r="I57" i="137"/>
  <c r="I136" i="137" s="1"/>
  <c r="G136" i="137"/>
  <c r="I66" i="137"/>
  <c r="I145" i="137" s="1"/>
  <c r="G145" i="137"/>
  <c r="I53" i="137"/>
  <c r="I132" i="137" s="1"/>
  <c r="G132" i="137"/>
  <c r="I31" i="137"/>
  <c r="I110" i="137" s="1"/>
  <c r="G110" i="137"/>
  <c r="I47" i="137"/>
  <c r="I126" i="137" s="1"/>
  <c r="G126" i="137"/>
  <c r="E14" i="196"/>
  <c r="I65" i="137"/>
  <c r="I144" i="137" s="1"/>
  <c r="G144" i="137"/>
  <c r="I58" i="137"/>
  <c r="I137" i="137" s="1"/>
  <c r="G137" i="137"/>
  <c r="G124" i="137"/>
  <c r="I45" i="137"/>
  <c r="I124" i="137" s="1"/>
  <c r="I64" i="137"/>
  <c r="I143" i="137" s="1"/>
  <c r="G143" i="137"/>
  <c r="I244" i="110"/>
  <c r="AC244" i="110" s="1"/>
  <c r="AF244" i="110" s="1"/>
  <c r="H244" i="110"/>
  <c r="AB244" i="110" s="1"/>
  <c r="AE244" i="110" s="1"/>
  <c r="F359" i="110"/>
  <c r="E359" i="110" s="1"/>
  <c r="G244" i="110"/>
  <c r="AA244" i="110" s="1"/>
  <c r="AD244" i="110" s="1"/>
  <c r="V377" i="110"/>
  <c r="I61" i="137"/>
  <c r="I140" i="137" s="1"/>
  <c r="G140" i="137"/>
  <c r="Q85" i="110"/>
  <c r="X101" i="58"/>
  <c r="I63" i="137"/>
  <c r="I142" i="137" s="1"/>
  <c r="G142" i="137"/>
  <c r="L78" i="137"/>
  <c r="V167" i="110"/>
  <c r="J254" i="110"/>
  <c r="I34" i="137"/>
  <c r="I113" i="137" s="1"/>
  <c r="G113" i="137"/>
  <c r="I62" i="137"/>
  <c r="I141" i="137" s="1"/>
  <c r="G141" i="137"/>
  <c r="I56" i="137"/>
  <c r="I135" i="137" s="1"/>
  <c r="G135" i="137"/>
  <c r="I36" i="137"/>
  <c r="I115" i="137" s="1"/>
  <c r="G115" i="137"/>
  <c r="U6" i="181"/>
  <c r="E91" i="137"/>
  <c r="E405" i="110"/>
  <c r="I242" i="110"/>
  <c r="AC242" i="110" s="1"/>
  <c r="AF242" i="110" s="1"/>
  <c r="H242" i="110"/>
  <c r="AB242" i="110" s="1"/>
  <c r="AE242" i="110" s="1"/>
  <c r="G242" i="110"/>
  <c r="AA242" i="110" s="1"/>
  <c r="AD242" i="110" s="1"/>
  <c r="F357" i="110"/>
  <c r="E357" i="110" s="1"/>
  <c r="I26" i="137"/>
  <c r="G105" i="137"/>
  <c r="I54" i="137"/>
  <c r="I133" i="137" s="1"/>
  <c r="G133" i="137"/>
  <c r="I48" i="137"/>
  <c r="I127" i="137" s="1"/>
  <c r="G127" i="137"/>
  <c r="N104" i="58"/>
  <c r="N172" i="58" s="1"/>
  <c r="G5" i="35" s="1"/>
  <c r="T278" i="58"/>
  <c r="T280" i="58" s="1"/>
  <c r="I220" i="110"/>
  <c r="AC220" i="110" s="1"/>
  <c r="AF220" i="110" s="1"/>
  <c r="H220" i="110"/>
  <c r="AB220" i="110" s="1"/>
  <c r="AE220" i="110" s="1"/>
  <c r="G220" i="110"/>
  <c r="AA220" i="110" s="1"/>
  <c r="AD220" i="110" s="1"/>
  <c r="F335" i="110"/>
  <c r="E335" i="110" s="1"/>
  <c r="I68" i="137"/>
  <c r="I147" i="137" s="1"/>
  <c r="G147" i="137"/>
  <c r="I38" i="137"/>
  <c r="I117" i="137" s="1"/>
  <c r="G117" i="137"/>
  <c r="Q278" i="58"/>
  <c r="Q281" i="58" s="1"/>
  <c r="O361" i="110"/>
  <c r="O37" i="181"/>
  <c r="W338" i="58"/>
  <c r="O56" i="181"/>
  <c r="M278" i="58"/>
  <c r="M281" i="58" s="1"/>
  <c r="L412" i="110"/>
  <c r="H17" i="124" s="1"/>
  <c r="H26" i="124" s="1"/>
  <c r="H28" i="124" s="1"/>
  <c r="L413" i="110"/>
  <c r="H18" i="124" s="1"/>
  <c r="H29" i="124" s="1"/>
  <c r="H42" i="124" s="1"/>
  <c r="U5" i="181"/>
  <c r="M413" i="110"/>
  <c r="I18" i="124" s="1"/>
  <c r="V278" i="58"/>
  <c r="V281" i="58" s="1"/>
  <c r="U411" i="110"/>
  <c r="Q16" i="124" s="1"/>
  <c r="Q23" i="124" s="1"/>
  <c r="Q36" i="124" s="1"/>
  <c r="Q38" i="124" s="1"/>
  <c r="P412" i="110"/>
  <c r="L17" i="124" s="1"/>
  <c r="L26" i="124" s="1"/>
  <c r="L28" i="124" s="1"/>
  <c r="U413" i="110"/>
  <c r="Q18" i="124" s="1"/>
  <c r="Q29" i="124" s="1"/>
  <c r="Q42" i="124" s="1"/>
  <c r="S411" i="110"/>
  <c r="O16" i="124" s="1"/>
  <c r="O23" i="124" s="1"/>
  <c r="O25" i="124" s="1"/>
  <c r="S412" i="110"/>
  <c r="O17" i="124" s="1"/>
  <c r="O26" i="124" s="1"/>
  <c r="O28" i="124" s="1"/>
  <c r="J50" i="181"/>
  <c r="J51" i="181" s="1"/>
  <c r="S413" i="110"/>
  <c r="O18" i="124" s="1"/>
  <c r="O30" i="124" s="1"/>
  <c r="O43" i="124" s="1"/>
  <c r="Q298" i="58"/>
  <c r="Q301" i="58" s="1"/>
  <c r="O335" i="110"/>
  <c r="T298" i="58"/>
  <c r="T300" i="58" s="1"/>
  <c r="N338" i="58"/>
  <c r="V298" i="58"/>
  <c r="V302" i="58" s="1"/>
  <c r="V338" i="58"/>
  <c r="S338" i="58"/>
  <c r="R298" i="58"/>
  <c r="R300" i="58" s="1"/>
  <c r="Q343" i="110"/>
  <c r="Q340" i="110"/>
  <c r="S255" i="58"/>
  <c r="P45" i="181"/>
  <c r="R278" i="58"/>
  <c r="R281" i="58" s="1"/>
  <c r="P85" i="110"/>
  <c r="W278" i="58"/>
  <c r="W320" i="58" s="1"/>
  <c r="P413" i="110"/>
  <c r="L18" i="124" s="1"/>
  <c r="L29" i="124" s="1"/>
  <c r="L42" i="124" s="1"/>
  <c r="O413" i="110"/>
  <c r="K18" i="124" s="1"/>
  <c r="K29" i="124" s="1"/>
  <c r="K42" i="124" s="1"/>
  <c r="L298" i="58"/>
  <c r="L302" i="58" s="1"/>
  <c r="U11" i="181"/>
  <c r="J413" i="110" a="1"/>
  <c r="J413" i="110" s="1"/>
  <c r="F18" i="124" s="1"/>
  <c r="F29" i="124" s="1"/>
  <c r="F42" i="124" s="1"/>
  <c r="O412" i="110"/>
  <c r="K17" i="124" s="1"/>
  <c r="K26" i="124" s="1"/>
  <c r="K28" i="124" s="1"/>
  <c r="M32" i="181"/>
  <c r="P50" i="181"/>
  <c r="P51" i="181" s="1"/>
  <c r="P278" i="58"/>
  <c r="P281" i="58" s="1"/>
  <c r="E13" i="196"/>
  <c r="V84" i="110"/>
  <c r="M223" i="110"/>
  <c r="U278" i="58"/>
  <c r="U281" i="58" s="1"/>
  <c r="Q255" i="58"/>
  <c r="U85" i="110"/>
  <c r="X86" i="58"/>
  <c r="T255" i="58"/>
  <c r="E12" i="196"/>
  <c r="K45" i="181"/>
  <c r="M338" i="110"/>
  <c r="L61" i="181"/>
  <c r="L64" i="181" s="1"/>
  <c r="X317" i="58"/>
  <c r="O330" i="110"/>
  <c r="R45" i="181"/>
  <c r="R63" i="181" s="1"/>
  <c r="R62" i="181"/>
  <c r="X191" i="58"/>
  <c r="X255" i="58" s="1"/>
  <c r="P338" i="58"/>
  <c r="R255" i="58"/>
  <c r="O255" i="58"/>
  <c r="O215" i="110"/>
  <c r="E11" i="196"/>
  <c r="U298" i="58"/>
  <c r="U301" i="58" s="1"/>
  <c r="J45" i="181"/>
  <c r="J63" i="181" s="1"/>
  <c r="J62" i="181"/>
  <c r="P255" i="58"/>
  <c r="N45" i="181"/>
  <c r="N63" i="181" s="1"/>
  <c r="N62" i="181"/>
  <c r="M45" i="181"/>
  <c r="M63" i="181" s="1"/>
  <c r="M61" i="181"/>
  <c r="U43" i="181"/>
  <c r="N278" i="58"/>
  <c r="N320" i="58" s="1"/>
  <c r="U57" i="181"/>
  <c r="U58" i="181" s="1"/>
  <c r="L58" i="181"/>
  <c r="I45" i="181"/>
  <c r="I63" i="181" s="1"/>
  <c r="U42" i="181"/>
  <c r="I61" i="181"/>
  <c r="Q56" i="181"/>
  <c r="Q37" i="181"/>
  <c r="Q190" i="58"/>
  <c r="X176" i="58"/>
  <c r="X180" i="58"/>
  <c r="L33" i="181"/>
  <c r="U33" i="181" s="1"/>
  <c r="L34" i="181"/>
  <c r="L53" i="181" s="1"/>
  <c r="U53" i="181" s="1"/>
  <c r="L36" i="181"/>
  <c r="T52" i="181"/>
  <c r="T56" i="181" s="1"/>
  <c r="T37" i="181"/>
  <c r="X182" i="58"/>
  <c r="U9" i="181"/>
  <c r="W298" i="58"/>
  <c r="P298" i="58"/>
  <c r="M298" i="58"/>
  <c r="M302" i="58" s="1"/>
  <c r="T50" i="181"/>
  <c r="T51" i="181" s="1"/>
  <c r="T32" i="181"/>
  <c r="X276" i="58"/>
  <c r="J52" i="181"/>
  <c r="J37" i="181"/>
  <c r="O278" i="58"/>
  <c r="M37" i="181"/>
  <c r="M52" i="181"/>
  <c r="M56" i="181" s="1"/>
  <c r="T338" i="58"/>
  <c r="X327" i="58"/>
  <c r="X185" i="58"/>
  <c r="X295" i="58"/>
  <c r="R32" i="181"/>
  <c r="R50" i="181"/>
  <c r="R51" i="181" s="1"/>
  <c r="N37" i="181"/>
  <c r="N52" i="181"/>
  <c r="N56" i="181" s="1"/>
  <c r="L278" i="58"/>
  <c r="L281" i="58" s="1"/>
  <c r="T413" i="110"/>
  <c r="P18" i="124" s="1"/>
  <c r="P29" i="124" s="1"/>
  <c r="P42" i="124" s="1"/>
  <c r="I50" i="181"/>
  <c r="N298" i="58"/>
  <c r="N301" i="58" s="1"/>
  <c r="M319" i="58"/>
  <c r="R50" i="124"/>
  <c r="K32" i="181"/>
  <c r="K50" i="181"/>
  <c r="K51" i="181" s="1"/>
  <c r="N190" i="58"/>
  <c r="O289" i="58"/>
  <c r="X287" i="58"/>
  <c r="S50" i="181"/>
  <c r="S51" i="181" s="1"/>
  <c r="S32" i="181"/>
  <c r="X270" i="58"/>
  <c r="U7" i="181"/>
  <c r="N32" i="181"/>
  <c r="N50" i="181"/>
  <c r="N51" i="181" s="1"/>
  <c r="L50" i="181"/>
  <c r="L51" i="181" s="1"/>
  <c r="L32" i="181"/>
  <c r="V19" i="110"/>
  <c r="U190" i="58"/>
  <c r="Q413" i="110"/>
  <c r="M18" i="124" s="1"/>
  <c r="M29" i="124" s="1"/>
  <c r="M42" i="124" s="1"/>
  <c r="X335" i="58"/>
  <c r="S298" i="58"/>
  <c r="S301" i="58" s="1"/>
  <c r="L338" i="58"/>
  <c r="U10" i="181"/>
  <c r="R52" i="181"/>
  <c r="R56" i="181" s="1"/>
  <c r="R37" i="181"/>
  <c r="X326" i="58"/>
  <c r="Q32" i="181"/>
  <c r="Q50" i="181"/>
  <c r="Q51" i="181" s="1"/>
  <c r="K412" i="110"/>
  <c r="G17" i="124" s="1"/>
  <c r="G26" i="124" s="1"/>
  <c r="G39" i="124" s="1"/>
  <c r="G41" i="124" s="1"/>
  <c r="S278" i="58"/>
  <c r="S281" i="58" s="1"/>
  <c r="I35" i="181"/>
  <c r="U16" i="181"/>
  <c r="I36" i="133"/>
  <c r="I29" i="133"/>
  <c r="S30" i="133"/>
  <c r="S36" i="133" s="1"/>
  <c r="T17" i="178"/>
  <c r="J60" i="178"/>
  <c r="M405" i="110"/>
  <c r="O10" i="137"/>
  <c r="U302" i="110"/>
  <c r="T18" i="178"/>
  <c r="T11" i="178"/>
  <c r="T16" i="178"/>
  <c r="T14" i="181"/>
  <c r="I46" i="178"/>
  <c r="T15" i="178"/>
  <c r="T56" i="178"/>
  <c r="H46" i="178"/>
  <c r="T10" i="178"/>
  <c r="P46" i="178"/>
  <c r="T9" i="178"/>
  <c r="N46" i="178"/>
  <c r="J46" i="178"/>
  <c r="N19" i="26"/>
  <c r="T33" i="178"/>
  <c r="O78" i="178"/>
  <c r="J57" i="35"/>
  <c r="H60" i="178"/>
  <c r="T50" i="178"/>
  <c r="K57" i="35"/>
  <c r="P78" i="178"/>
  <c r="I60" i="178"/>
  <c r="T49" i="178"/>
  <c r="O46" i="178"/>
  <c r="K21" i="178"/>
  <c r="L21" i="178" s="1"/>
  <c r="O71" i="137"/>
  <c r="O57" i="178"/>
  <c r="N60" i="178"/>
  <c r="Q46" i="178"/>
  <c r="R23" i="178"/>
  <c r="O339" i="110"/>
  <c r="Q48" i="137"/>
  <c r="J362" i="110"/>
  <c r="J247" i="110"/>
  <c r="R247" i="110"/>
  <c r="M247" i="110"/>
  <c r="T71" i="137"/>
  <c r="W50" i="137"/>
  <c r="U341" i="110"/>
  <c r="Q40" i="137"/>
  <c r="O331" i="110"/>
  <c r="L38" i="137"/>
  <c r="J329" i="110"/>
  <c r="Q15" i="137"/>
  <c r="N14" i="181"/>
  <c r="O302" i="110"/>
  <c r="L57" i="137"/>
  <c r="J348" i="110"/>
  <c r="J233" i="110"/>
  <c r="O15" i="137"/>
  <c r="M302" i="110"/>
  <c r="L14" i="181"/>
  <c r="W10" i="137"/>
  <c r="U182" i="110"/>
  <c r="U405" i="110"/>
  <c r="W71" i="137"/>
  <c r="U362" i="110"/>
  <c r="U247" i="110"/>
  <c r="U40" i="137"/>
  <c r="S331" i="110"/>
  <c r="P15" i="137"/>
  <c r="N302" i="110"/>
  <c r="M14" i="181"/>
  <c r="V10" i="137"/>
  <c r="T182" i="110"/>
  <c r="T405" i="110"/>
  <c r="T40" i="137"/>
  <c r="R331" i="110"/>
  <c r="N40" i="137"/>
  <c r="L331" i="110"/>
  <c r="R40" i="137"/>
  <c r="P331" i="110"/>
  <c r="V40" i="137"/>
  <c r="T331" i="110"/>
  <c r="M331" i="110"/>
  <c r="O40" i="137"/>
  <c r="S40" i="137"/>
  <c r="Q331" i="110"/>
  <c r="W40" i="137"/>
  <c r="U331" i="110"/>
  <c r="W37" i="137"/>
  <c r="U328" i="110"/>
  <c r="U213" i="110"/>
  <c r="L40" i="137"/>
  <c r="J331" i="110"/>
  <c r="T11" i="137"/>
  <c r="N35" i="137"/>
  <c r="L326" i="110"/>
  <c r="U13" i="137"/>
  <c r="R12" i="181"/>
  <c r="S300" i="110"/>
  <c r="V15" i="137"/>
  <c r="S14" i="181"/>
  <c r="T302" i="110"/>
  <c r="V160" i="110"/>
  <c r="U15" i="137"/>
  <c r="S302" i="110"/>
  <c r="R14" i="181"/>
  <c r="K14" i="181"/>
  <c r="L302" i="110"/>
  <c r="N15" i="137"/>
  <c r="V71" i="137"/>
  <c r="T362" i="110"/>
  <c r="T247" i="110"/>
  <c r="N10" i="137"/>
  <c r="L182" i="110"/>
  <c r="L405" i="110"/>
  <c r="S71" i="137"/>
  <c r="Q362" i="110"/>
  <c r="Q247" i="110"/>
  <c r="V43" i="137"/>
  <c r="T334" i="110"/>
  <c r="W12" i="137"/>
  <c r="W7" i="137"/>
  <c r="U402" i="110"/>
  <c r="N71" i="137"/>
  <c r="L247" i="110"/>
  <c r="L362" i="110"/>
  <c r="S12" i="137"/>
  <c r="Q10" i="137"/>
  <c r="O405" i="110"/>
  <c r="O182" i="110"/>
  <c r="M15" i="137"/>
  <c r="K302" i="110"/>
  <c r="J14" i="181"/>
  <c r="L15" i="137"/>
  <c r="J302" i="110"/>
  <c r="I14" i="181"/>
  <c r="V100" i="110"/>
  <c r="N331" i="110"/>
  <c r="P40" i="137"/>
  <c r="V129" i="110"/>
  <c r="T10" i="137"/>
  <c r="R182" i="110"/>
  <c r="R405" i="110"/>
  <c r="S53" i="137"/>
  <c r="Q229" i="110"/>
  <c r="Q344" i="110"/>
  <c r="N54" i="137"/>
  <c r="L345" i="110"/>
  <c r="L54" i="137"/>
  <c r="J345" i="110"/>
  <c r="V143" i="110"/>
  <c r="P53" i="137"/>
  <c r="N344" i="110"/>
  <c r="N229" i="110"/>
  <c r="W54" i="137"/>
  <c r="U345" i="110"/>
  <c r="Q54" i="137"/>
  <c r="O345" i="110"/>
  <c r="U53" i="137"/>
  <c r="S344" i="110"/>
  <c r="S229" i="110"/>
  <c r="M54" i="137"/>
  <c r="K345" i="110"/>
  <c r="V53" i="137"/>
  <c r="T229" i="110"/>
  <c r="T344" i="110"/>
  <c r="T15" i="137"/>
  <c r="Q14" i="181"/>
  <c r="R302" i="110"/>
  <c r="M71" i="137"/>
  <c r="K362" i="110"/>
  <c r="K247" i="110"/>
  <c r="P54" i="137"/>
  <c r="N345" i="110"/>
  <c r="N53" i="137"/>
  <c r="L229" i="110"/>
  <c r="L344" i="110"/>
  <c r="R53" i="137"/>
  <c r="P344" i="110"/>
  <c r="P229" i="110"/>
  <c r="P71" i="137"/>
  <c r="N247" i="110"/>
  <c r="N362" i="110"/>
  <c r="M53" i="137"/>
  <c r="K344" i="110"/>
  <c r="K229" i="110"/>
  <c r="M10" i="137"/>
  <c r="K182" i="110"/>
  <c r="K405" i="110"/>
  <c r="S10" i="137"/>
  <c r="Q182" i="110"/>
  <c r="Q405" i="110"/>
  <c r="U71" i="137"/>
  <c r="S247" i="110"/>
  <c r="S362" i="110"/>
  <c r="Q71" i="137"/>
  <c r="O362" i="110"/>
  <c r="O247" i="110"/>
  <c r="V54" i="137"/>
  <c r="T345" i="110"/>
  <c r="Q53" i="137"/>
  <c r="O344" i="110"/>
  <c r="O229" i="110"/>
  <c r="U10" i="137"/>
  <c r="S182" i="110"/>
  <c r="S405" i="110"/>
  <c r="S54" i="137"/>
  <c r="Q345" i="110"/>
  <c r="T53" i="137"/>
  <c r="R229" i="110"/>
  <c r="R344" i="110"/>
  <c r="S15" i="137"/>
  <c r="Q302" i="110"/>
  <c r="P14" i="181"/>
  <c r="U54" i="137"/>
  <c r="S345" i="110"/>
  <c r="M345" i="110"/>
  <c r="O54" i="137"/>
  <c r="O69" i="137"/>
  <c r="M360" i="110"/>
  <c r="W53" i="137"/>
  <c r="U229" i="110"/>
  <c r="U344" i="110"/>
  <c r="J359" i="110"/>
  <c r="L68" i="137"/>
  <c r="P10" i="137"/>
  <c r="N182" i="110"/>
  <c r="N405" i="110"/>
  <c r="L10" i="137"/>
  <c r="J405" i="110"/>
  <c r="J182" i="110"/>
  <c r="V95" i="110"/>
  <c r="R54" i="137"/>
  <c r="P345" i="110"/>
  <c r="T54" i="137"/>
  <c r="R345" i="110"/>
  <c r="O53" i="137"/>
  <c r="M344" i="110"/>
  <c r="M229" i="110"/>
  <c r="L53" i="137"/>
  <c r="V142" i="110"/>
  <c r="J344" i="110"/>
  <c r="J229" i="110"/>
  <c r="M260" i="58" l="1"/>
  <c r="D17" i="138" s="1"/>
  <c r="R84" i="133"/>
  <c r="T66" i="133"/>
  <c r="V97" i="110"/>
  <c r="L184" i="110"/>
  <c r="Q125" i="110"/>
  <c r="S36" i="137" s="1"/>
  <c r="U125" i="110"/>
  <c r="U327" i="110" s="1"/>
  <c r="L125" i="110"/>
  <c r="L327" i="110" s="1"/>
  <c r="N125" i="110"/>
  <c r="P36" i="137" s="1"/>
  <c r="O125" i="110"/>
  <c r="O327" i="110" s="1"/>
  <c r="M125" i="110"/>
  <c r="M327" i="110" s="1"/>
  <c r="K125" i="110"/>
  <c r="M36" i="137" s="1"/>
  <c r="T125" i="110"/>
  <c r="T327" i="110" s="1"/>
  <c r="AA125" i="110"/>
  <c r="AD125" i="110" s="1"/>
  <c r="J125" i="110"/>
  <c r="J327" i="110" s="1"/>
  <c r="P125" i="110"/>
  <c r="R36" i="137" s="1"/>
  <c r="T36" i="137"/>
  <c r="S125" i="110"/>
  <c r="U36" i="137" s="1"/>
  <c r="V260" i="58"/>
  <c r="M17" i="138" s="1"/>
  <c r="M6" i="138" s="1"/>
  <c r="G36" i="193"/>
  <c r="H30" i="193" s="1"/>
  <c r="G30" i="193"/>
  <c r="N23" i="119"/>
  <c r="G94" i="133"/>
  <c r="G40" i="133"/>
  <c r="F62" i="35" s="1"/>
  <c r="CL92" i="188"/>
  <c r="CH97" i="188"/>
  <c r="M11" i="175"/>
  <c r="O10" i="175"/>
  <c r="CF97" i="188"/>
  <c r="DZ112" i="188"/>
  <c r="EJ112" i="188"/>
  <c r="EA112" i="188"/>
  <c r="EB112" i="188"/>
  <c r="EE112" i="188"/>
  <c r="ED112" i="188"/>
  <c r="EF112" i="188"/>
  <c r="EG112" i="188"/>
  <c r="EC112" i="188"/>
  <c r="EH112" i="188"/>
  <c r="EK112" i="188"/>
  <c r="EI112" i="188"/>
  <c r="CL29" i="188"/>
  <c r="M12" i="175"/>
  <c r="N5" i="175" s="1"/>
  <c r="F25" i="193"/>
  <c r="E56" i="193"/>
  <c r="E65" i="193" s="1"/>
  <c r="E74" i="193" s="1"/>
  <c r="DA71" i="188"/>
  <c r="K71" i="188"/>
  <c r="DJ71" i="188"/>
  <c r="DJ74" i="188" s="1"/>
  <c r="DF71" i="188"/>
  <c r="DI71" i="188"/>
  <c r="DG71" i="188"/>
  <c r="DE71" i="188"/>
  <c r="DH71" i="188"/>
  <c r="DB71" i="188"/>
  <c r="DD71" i="188"/>
  <c r="CZ71" i="188"/>
  <c r="DL71" i="188" s="1"/>
  <c r="DC71" i="188"/>
  <c r="DK71" i="188"/>
  <c r="DJ93" i="188"/>
  <c r="CZ93" i="188"/>
  <c r="DK93" i="188"/>
  <c r="K93" i="188"/>
  <c r="DF93" i="188"/>
  <c r="DI93" i="188"/>
  <c r="DA93" i="188"/>
  <c r="DE93" i="188"/>
  <c r="DB93" i="188"/>
  <c r="DH93" i="188"/>
  <c r="DC93" i="188"/>
  <c r="DG93" i="188"/>
  <c r="DD93" i="188"/>
  <c r="DA69" i="188"/>
  <c r="DA74" i="188" s="1"/>
  <c r="K69" i="188"/>
  <c r="DB69" i="188"/>
  <c r="DI69" i="188"/>
  <c r="DC69" i="188"/>
  <c r="DJ69" i="188"/>
  <c r="DH69" i="188"/>
  <c r="DG69" i="188"/>
  <c r="CZ69" i="188"/>
  <c r="DL69" i="188" s="1"/>
  <c r="DF69" i="188"/>
  <c r="DE69" i="188"/>
  <c r="DD69" i="188"/>
  <c r="DK69" i="188"/>
  <c r="E4" i="26"/>
  <c r="EL104" i="188"/>
  <c r="CD102" i="188"/>
  <c r="CD122" i="188" s="1"/>
  <c r="CD130" i="188" s="1"/>
  <c r="CK102" i="188"/>
  <c r="CK122" i="188" s="1"/>
  <c r="CK130" i="188" s="1"/>
  <c r="CG102" i="188"/>
  <c r="CG122" i="188" s="1"/>
  <c r="CB102" i="188"/>
  <c r="CB122" i="188" s="1"/>
  <c r="CB130" i="188" s="1"/>
  <c r="CH102" i="188"/>
  <c r="CH122" i="188" s="1"/>
  <c r="CC102" i="188"/>
  <c r="CC122" i="188" s="1"/>
  <c r="CC130" i="188" s="1"/>
  <c r="CF102" i="188"/>
  <c r="CF122" i="188" s="1"/>
  <c r="CJ102" i="188"/>
  <c r="CJ122" i="188" s="1"/>
  <c r="CJ130" i="188" s="1"/>
  <c r="CA102" i="188"/>
  <c r="CA122" i="188" s="1"/>
  <c r="CA130" i="188" s="1"/>
  <c r="CE102" i="188"/>
  <c r="CE122" i="188" s="1"/>
  <c r="CE130" i="188" s="1"/>
  <c r="CI102" i="188"/>
  <c r="CI122" i="188" s="1"/>
  <c r="CI130" i="188" s="1"/>
  <c r="BZ102" i="188"/>
  <c r="J102" i="188"/>
  <c r="EL54" i="188"/>
  <c r="EJ29" i="188"/>
  <c r="L63" i="199"/>
  <c r="L48" i="199"/>
  <c r="L50" i="199" s="1"/>
  <c r="L60" i="199" s="1"/>
  <c r="EJ60" i="188"/>
  <c r="EG60" i="188"/>
  <c r="EI60" i="188"/>
  <c r="EH60" i="188"/>
  <c r="EF60" i="188"/>
  <c r="EB60" i="188"/>
  <c r="DZ60" i="188"/>
  <c r="EL60" i="188" s="1"/>
  <c r="EA60" i="188"/>
  <c r="EE60" i="188"/>
  <c r="ED60" i="188"/>
  <c r="EC60" i="188"/>
  <c r="EK60" i="188"/>
  <c r="BJ130" i="188"/>
  <c r="I245" i="110"/>
  <c r="AC245" i="110" s="1"/>
  <c r="AF245" i="110" s="1"/>
  <c r="P67" i="192"/>
  <c r="P106" i="192" s="1"/>
  <c r="DN28" i="188"/>
  <c r="DN29" i="188" s="1"/>
  <c r="DN130" i="188" s="1"/>
  <c r="CN29" i="188"/>
  <c r="CN130" i="188" s="1"/>
  <c r="E57" i="193"/>
  <c r="E66" i="193" s="1"/>
  <c r="E75" i="193" s="1"/>
  <c r="F26" i="193"/>
  <c r="CL12" i="188"/>
  <c r="CL14" i="188" s="1"/>
  <c r="BZ14" i="188"/>
  <c r="N10" i="175"/>
  <c r="N11" i="175" s="1"/>
  <c r="N45" i="175"/>
  <c r="N46" i="175" s="1"/>
  <c r="CL69" i="188"/>
  <c r="CL64" i="188"/>
  <c r="CL60" i="188"/>
  <c r="N47" i="175"/>
  <c r="X79" i="137"/>
  <c r="K79" i="137" s="1"/>
  <c r="CF130" i="188"/>
  <c r="EL70" i="188"/>
  <c r="BB130" i="188"/>
  <c r="P20" i="192"/>
  <c r="P25" i="192" s="1"/>
  <c r="P99" i="192" s="1"/>
  <c r="Q18" i="192"/>
  <c r="R18" i="192"/>
  <c r="R20" i="192" s="1"/>
  <c r="CL30" i="188"/>
  <c r="BL102" i="188"/>
  <c r="BL122" i="188" s="1"/>
  <c r="J69" i="192"/>
  <c r="J109" i="192"/>
  <c r="P162" i="137"/>
  <c r="O168" i="137"/>
  <c r="X162" i="137"/>
  <c r="O163" i="137"/>
  <c r="I20" i="119"/>
  <c r="I24" i="119" s="1"/>
  <c r="I25" i="119" s="1"/>
  <c r="J50" i="192"/>
  <c r="I56" i="192"/>
  <c r="CG97" i="188"/>
  <c r="E54" i="193"/>
  <c r="F23" i="193"/>
  <c r="E27" i="193"/>
  <c r="O99" i="192"/>
  <c r="DI12" i="188"/>
  <c r="DI14" i="188" s="1"/>
  <c r="DD12" i="188"/>
  <c r="DD14" i="188" s="1"/>
  <c r="DC12" i="188"/>
  <c r="DC14" i="188" s="1"/>
  <c r="DJ12" i="188"/>
  <c r="DJ14" i="188" s="1"/>
  <c r="K12" i="188"/>
  <c r="DA12" i="188"/>
  <c r="DA14" i="188" s="1"/>
  <c r="DK12" i="188"/>
  <c r="DK14" i="188" s="1"/>
  <c r="DB12" i="188"/>
  <c r="DB14" i="188" s="1"/>
  <c r="DH12" i="188"/>
  <c r="DH14" i="188" s="1"/>
  <c r="DE12" i="188"/>
  <c r="DE14" i="188" s="1"/>
  <c r="DF12" i="188"/>
  <c r="DF14" i="188" s="1"/>
  <c r="CZ12" i="188"/>
  <c r="DG12" i="188"/>
  <c r="DG14" i="188" s="1"/>
  <c r="EA117" i="188"/>
  <c r="EC117" i="188"/>
  <c r="EI117" i="188"/>
  <c r="EB117" i="188"/>
  <c r="EH117" i="188"/>
  <c r="ED117" i="188"/>
  <c r="EK117" i="188"/>
  <c r="EG117" i="188"/>
  <c r="DZ117" i="188"/>
  <c r="EL117" i="188" s="1"/>
  <c r="EJ117" i="188"/>
  <c r="EE117" i="188"/>
  <c r="EF117" i="188"/>
  <c r="CL63" i="188"/>
  <c r="J13" i="119"/>
  <c r="J21" i="119"/>
  <c r="J22" i="119" s="1"/>
  <c r="BY130" i="188"/>
  <c r="F109" i="192"/>
  <c r="F69" i="192"/>
  <c r="DC64" i="188"/>
  <c r="DK64" i="188"/>
  <c r="DG64" i="188"/>
  <c r="DD64" i="188"/>
  <c r="DH64" i="188"/>
  <c r="DB64" i="188"/>
  <c r="DF64" i="188"/>
  <c r="DF74" i="188" s="1"/>
  <c r="DA64" i="188"/>
  <c r="CZ64" i="188"/>
  <c r="K64" i="188"/>
  <c r="DI64" i="188"/>
  <c r="DJ64" i="188"/>
  <c r="DE64" i="188"/>
  <c r="EL65" i="188"/>
  <c r="DL112" i="188"/>
  <c r="M64" i="181"/>
  <c r="DY28" i="188"/>
  <c r="I21" i="119"/>
  <c r="I13" i="119"/>
  <c r="CL93" i="188"/>
  <c r="EL33" i="188"/>
  <c r="DJ92" i="188"/>
  <c r="DJ97" i="188" s="1"/>
  <c r="K92" i="188"/>
  <c r="DF92" i="188"/>
  <c r="DF97" i="188" s="1"/>
  <c r="DI92" i="188"/>
  <c r="DK92" i="188"/>
  <c r="DK97" i="188" s="1"/>
  <c r="DD92" i="188"/>
  <c r="DD97" i="188" s="1"/>
  <c r="DC92" i="188"/>
  <c r="DC97" i="188" s="1"/>
  <c r="DA92" i="188"/>
  <c r="DA97" i="188" s="1"/>
  <c r="DE92" i="188"/>
  <c r="DE97" i="188" s="1"/>
  <c r="DG92" i="188"/>
  <c r="DG97" i="188" s="1"/>
  <c r="DB92" i="188"/>
  <c r="DB97" i="188" s="1"/>
  <c r="CZ92" i="188"/>
  <c r="DH92" i="188"/>
  <c r="DH97" i="188" s="1"/>
  <c r="P65" i="192"/>
  <c r="R65" i="192" s="1"/>
  <c r="Q10" i="192"/>
  <c r="Q65" i="192" s="1"/>
  <c r="R10" i="192"/>
  <c r="F24" i="193"/>
  <c r="E55" i="193"/>
  <c r="E64" i="193" s="1"/>
  <c r="E73" i="193" s="1"/>
  <c r="J24" i="119"/>
  <c r="J25" i="119" s="1"/>
  <c r="DU27" i="188"/>
  <c r="CY27" i="188"/>
  <c r="CU29" i="188"/>
  <c r="CU130" i="188" s="1"/>
  <c r="DH27" i="188"/>
  <c r="CY28" i="188"/>
  <c r="G20" i="119"/>
  <c r="G125" i="133"/>
  <c r="H125" i="133" s="1"/>
  <c r="I125" i="133" s="1"/>
  <c r="G13" i="119"/>
  <c r="G21" i="119"/>
  <c r="N12" i="119"/>
  <c r="K109" i="192"/>
  <c r="K69" i="192"/>
  <c r="BD130" i="188"/>
  <c r="AL122" i="188"/>
  <c r="AL130" i="188" s="1"/>
  <c r="DD63" i="188"/>
  <c r="K63" i="188"/>
  <c r="DA63" i="188"/>
  <c r="DJ63" i="188"/>
  <c r="DC63" i="188"/>
  <c r="DG63" i="188"/>
  <c r="DK63" i="188"/>
  <c r="DB63" i="188"/>
  <c r="DI63" i="188"/>
  <c r="DF63" i="188"/>
  <c r="DE63" i="188"/>
  <c r="DH63" i="188"/>
  <c r="CZ63" i="188"/>
  <c r="DF30" i="188"/>
  <c r="DC30" i="188"/>
  <c r="DJ30" i="188"/>
  <c r="DB30" i="188"/>
  <c r="DB74" i="188" s="1"/>
  <c r="DA30" i="188"/>
  <c r="DK30" i="188"/>
  <c r="DK74" i="188" s="1"/>
  <c r="DH30" i="188"/>
  <c r="DI30" i="188"/>
  <c r="DI74" i="188" s="1"/>
  <c r="DD30" i="188"/>
  <c r="DE30" i="188"/>
  <c r="DG30" i="188"/>
  <c r="K30" i="188"/>
  <c r="CZ30" i="188"/>
  <c r="H109" i="192"/>
  <c r="H69" i="192"/>
  <c r="DL127" i="188"/>
  <c r="CH29" i="188"/>
  <c r="CH130" i="188" s="1"/>
  <c r="CL27" i="188"/>
  <c r="EL61" i="188"/>
  <c r="O41" i="175"/>
  <c r="O45" i="175" s="1"/>
  <c r="O46" i="175" s="1"/>
  <c r="O47" i="175" s="1"/>
  <c r="I61" i="178"/>
  <c r="I66" i="178" s="1"/>
  <c r="DH74" i="188"/>
  <c r="DE74" i="188"/>
  <c r="O61" i="192"/>
  <c r="P6" i="192"/>
  <c r="EF40" i="188"/>
  <c r="EG40" i="188"/>
  <c r="EI40" i="188"/>
  <c r="EK40" i="188"/>
  <c r="EC40" i="188"/>
  <c r="EE40" i="188"/>
  <c r="ED40" i="188"/>
  <c r="EJ40" i="188"/>
  <c r="EA40" i="188"/>
  <c r="EB40" i="188"/>
  <c r="EH40" i="188"/>
  <c r="DZ40" i="188"/>
  <c r="CG130" i="188"/>
  <c r="DD74" i="188"/>
  <c r="BL130" i="188"/>
  <c r="J50" i="35"/>
  <c r="G35" i="138"/>
  <c r="M23" i="199"/>
  <c r="M25" i="199" s="1"/>
  <c r="EL103" i="188"/>
  <c r="DL40" i="188"/>
  <c r="M109" i="192"/>
  <c r="M69" i="192"/>
  <c r="O8" i="192"/>
  <c r="S63" i="181"/>
  <c r="S64" i="181" s="1"/>
  <c r="DC74" i="188"/>
  <c r="O63" i="192"/>
  <c r="I129" i="133"/>
  <c r="I130" i="133" s="1"/>
  <c r="I96" i="133"/>
  <c r="H11" i="35" s="1"/>
  <c r="P63" i="181"/>
  <c r="P64" i="181" s="1"/>
  <c r="Q63" i="181"/>
  <c r="Q64" i="181" s="1"/>
  <c r="G127" i="133"/>
  <c r="Q12" i="192"/>
  <c r="R12" i="192" s="1"/>
  <c r="Q64" i="192"/>
  <c r="Q67" i="192" s="1"/>
  <c r="Q106" i="192" s="1"/>
  <c r="R9" i="192"/>
  <c r="O22" i="193"/>
  <c r="P22" i="193" s="1"/>
  <c r="N53" i="193"/>
  <c r="N71" i="193"/>
  <c r="Q5" i="192"/>
  <c r="P8" i="192"/>
  <c r="P13" i="192" s="1"/>
  <c r="P60" i="192"/>
  <c r="T63" i="181"/>
  <c r="T64" i="181" s="1"/>
  <c r="EL114" i="188"/>
  <c r="DG29" i="188"/>
  <c r="DL28" i="188"/>
  <c r="N21" i="199"/>
  <c r="O15" i="199"/>
  <c r="N16" i="199"/>
  <c r="N22" i="199" s="1"/>
  <c r="N17" i="199"/>
  <c r="F108" i="192"/>
  <c r="DG74" i="188"/>
  <c r="N109" i="192"/>
  <c r="N69" i="192"/>
  <c r="L41" i="192"/>
  <c r="K34" i="192"/>
  <c r="K86" i="192"/>
  <c r="N106" i="192"/>
  <c r="J64" i="181"/>
  <c r="K63" i="181"/>
  <c r="K64" i="181" s="1"/>
  <c r="O63" i="181"/>
  <c r="B25" i="119"/>
  <c r="M98" i="192"/>
  <c r="N73" i="192"/>
  <c r="N76" i="192" s="1"/>
  <c r="P73" i="192"/>
  <c r="P76" i="192" s="1"/>
  <c r="M73" i="192"/>
  <c r="M76" i="192" s="1"/>
  <c r="K73" i="192"/>
  <c r="K76" i="192" s="1"/>
  <c r="I73" i="192"/>
  <c r="I76" i="192" s="1"/>
  <c r="G73" i="192"/>
  <c r="G76" i="192" s="1"/>
  <c r="H73" i="192"/>
  <c r="H76" i="192" s="1"/>
  <c r="F73" i="192"/>
  <c r="J73" i="192"/>
  <c r="J76" i="192" s="1"/>
  <c r="L73" i="192"/>
  <c r="L76" i="192" s="1"/>
  <c r="Q73" i="192"/>
  <c r="O73" i="192"/>
  <c r="O76" i="192" s="1"/>
  <c r="EG28" i="188"/>
  <c r="DT29" i="188"/>
  <c r="DT130" i="188" s="1"/>
  <c r="DL32" i="188"/>
  <c r="CZ74" i="188"/>
  <c r="EJ32" i="188"/>
  <c r="ED32" i="188"/>
  <c r="EB32" i="188"/>
  <c r="EG32" i="188"/>
  <c r="EI32" i="188"/>
  <c r="DZ32" i="188"/>
  <c r="EH32" i="188"/>
  <c r="EA32" i="188"/>
  <c r="EE32" i="188"/>
  <c r="EF32" i="188"/>
  <c r="EK32" i="188"/>
  <c r="EC32" i="188"/>
  <c r="E42" i="138"/>
  <c r="E74" i="35"/>
  <c r="E75" i="35" s="1"/>
  <c r="B12" i="26" s="1"/>
  <c r="F75" i="35"/>
  <c r="D41" i="138"/>
  <c r="G74" i="133"/>
  <c r="F74" i="133"/>
  <c r="R64" i="133"/>
  <c r="AY5" i="133"/>
  <c r="AX44" i="133"/>
  <c r="T97" i="133"/>
  <c r="AJ8" i="133"/>
  <c r="AJ45" i="133"/>
  <c r="AJ47" i="133" s="1"/>
  <c r="AJ87" i="133" s="1"/>
  <c r="F11" i="35"/>
  <c r="M46" i="133"/>
  <c r="H126" i="133"/>
  <c r="I126" i="133" s="1"/>
  <c r="H127" i="133"/>
  <c r="H74" i="133" s="1"/>
  <c r="H124" i="133"/>
  <c r="G128" i="133"/>
  <c r="D73" i="133"/>
  <c r="AC74" i="133"/>
  <c r="AT74" i="133"/>
  <c r="Z74" i="133"/>
  <c r="X74" i="133"/>
  <c r="AW74" i="133"/>
  <c r="U74" i="133"/>
  <c r="AJ74" i="133"/>
  <c r="AZ74" i="133"/>
  <c r="AM74" i="133"/>
  <c r="BC74" i="133"/>
  <c r="AA74" i="133"/>
  <c r="AP74" i="133"/>
  <c r="AD74" i="133"/>
  <c r="AU74" i="133"/>
  <c r="S74" i="133"/>
  <c r="AH74" i="133"/>
  <c r="BD74" i="133"/>
  <c r="AB74" i="133"/>
  <c r="AX74" i="133"/>
  <c r="V74" i="133"/>
  <c r="AK74" i="133"/>
  <c r="BA74" i="133"/>
  <c r="Y74" i="133"/>
  <c r="AS74" i="133"/>
  <c r="AF74" i="133"/>
  <c r="AV74" i="133"/>
  <c r="T74" i="133"/>
  <c r="AQ74" i="133"/>
  <c r="AO74" i="133"/>
  <c r="AN74" i="133"/>
  <c r="AY74" i="133"/>
  <c r="W74" i="133"/>
  <c r="AL74" i="133"/>
  <c r="BB74" i="133"/>
  <c r="AI74" i="133"/>
  <c r="AG74" i="133"/>
  <c r="Z7" i="133"/>
  <c r="Y46" i="133"/>
  <c r="U24" i="133"/>
  <c r="U25" i="133" s="1"/>
  <c r="U95" i="133" s="1"/>
  <c r="U62" i="133"/>
  <c r="U64" i="133" s="1"/>
  <c r="W17" i="133"/>
  <c r="V20" i="133"/>
  <c r="V25" i="133" s="1"/>
  <c r="V95" i="133" s="1"/>
  <c r="V57" i="133"/>
  <c r="V60" i="133" s="1"/>
  <c r="V88" i="133" s="1"/>
  <c r="V89" i="133" s="1"/>
  <c r="AM10" i="133"/>
  <c r="AL49" i="133"/>
  <c r="N66" i="133"/>
  <c r="S24" i="119"/>
  <c r="S25" i="119" s="1"/>
  <c r="I22" i="35"/>
  <c r="BA10" i="133"/>
  <c r="AZ49" i="133"/>
  <c r="AW8" i="133"/>
  <c r="AW45" i="133"/>
  <c r="AW47" i="133" s="1"/>
  <c r="AW87" i="133" s="1"/>
  <c r="AX6" i="133"/>
  <c r="AL44" i="133"/>
  <c r="AM5" i="133"/>
  <c r="Y45" i="133"/>
  <c r="Z6" i="133"/>
  <c r="J45" i="133"/>
  <c r="Z9" i="133"/>
  <c r="Y48" i="133"/>
  <c r="BB23" i="133"/>
  <c r="BA63" i="133"/>
  <c r="AK45" i="133"/>
  <c r="AK47" i="133" s="1"/>
  <c r="AK87" i="133" s="1"/>
  <c r="AL6" i="133"/>
  <c r="AL8" i="133" s="1"/>
  <c r="AK8" i="133"/>
  <c r="AI20" i="133"/>
  <c r="AJ17" i="133"/>
  <c r="AI57" i="133"/>
  <c r="AA23" i="133"/>
  <c r="Z63" i="133"/>
  <c r="F88" i="133"/>
  <c r="F89" i="133" s="1"/>
  <c r="AO23" i="133"/>
  <c r="AN63" i="133"/>
  <c r="I44" i="133"/>
  <c r="I47" i="133" s="1"/>
  <c r="I87" i="133" s="1"/>
  <c r="J5" i="133"/>
  <c r="I8" i="133"/>
  <c r="I13" i="133" s="1"/>
  <c r="H47" i="133"/>
  <c r="H87" i="133" s="1"/>
  <c r="H89" i="133" s="1"/>
  <c r="G44" i="35" s="1"/>
  <c r="T51" i="133"/>
  <c r="AA19" i="133"/>
  <c r="Z59" i="133"/>
  <c r="AE18" i="133"/>
  <c r="AD58" i="133"/>
  <c r="X47" i="133"/>
  <c r="T20" i="119"/>
  <c r="J22" i="35" s="1"/>
  <c r="V11" i="133"/>
  <c r="U12" i="133"/>
  <c r="U13" i="133" s="1"/>
  <c r="U94" i="133" s="1"/>
  <c r="U50" i="133"/>
  <c r="U51" i="133" s="1"/>
  <c r="W22" i="133"/>
  <c r="W24" i="133" s="1"/>
  <c r="V62" i="133"/>
  <c r="V64" i="133" s="1"/>
  <c r="AM18" i="133"/>
  <c r="AL58" i="133"/>
  <c r="Z5" i="133"/>
  <c r="Y8" i="133"/>
  <c r="Y44" i="133"/>
  <c r="AP21" i="133"/>
  <c r="AO61" i="133"/>
  <c r="BA19" i="133"/>
  <c r="AZ59" i="133"/>
  <c r="AM19" i="133"/>
  <c r="AL59" i="133"/>
  <c r="AL9" i="133"/>
  <c r="AK48" i="133"/>
  <c r="Z10" i="133"/>
  <c r="Y49" i="133"/>
  <c r="I83" i="133"/>
  <c r="H83" i="133"/>
  <c r="AN7" i="133"/>
  <c r="AM46" i="133"/>
  <c r="N46" i="133"/>
  <c r="AY9" i="133"/>
  <c r="AX48" i="133"/>
  <c r="J12" i="133"/>
  <c r="J48" i="133"/>
  <c r="J51" i="133" s="1"/>
  <c r="K9" i="133"/>
  <c r="BA7" i="133"/>
  <c r="AZ46" i="133"/>
  <c r="H94" i="133"/>
  <c r="H97" i="133" s="1"/>
  <c r="X21" i="133"/>
  <c r="W61" i="133"/>
  <c r="AX20" i="133"/>
  <c r="AY17" i="133"/>
  <c r="AX57" i="133"/>
  <c r="S94" i="133"/>
  <c r="AJ122" i="133"/>
  <c r="AI128" i="133"/>
  <c r="I64" i="181"/>
  <c r="G63" i="199"/>
  <c r="G48" i="199"/>
  <c r="G50" i="199" s="1"/>
  <c r="G60" i="199" s="1"/>
  <c r="H48" i="199"/>
  <c r="H50" i="199" s="1"/>
  <c r="H60" i="199" s="1"/>
  <c r="H63" i="199"/>
  <c r="K48" i="199"/>
  <c r="K50" i="199" s="1"/>
  <c r="K60" i="199" s="1"/>
  <c r="K63" i="199"/>
  <c r="H5" i="35"/>
  <c r="H46" i="35" s="1"/>
  <c r="L14" i="35"/>
  <c r="N64" i="181"/>
  <c r="R64" i="181"/>
  <c r="M5" i="35"/>
  <c r="M12" i="35" s="1"/>
  <c r="G142" i="133"/>
  <c r="F5" i="35"/>
  <c r="F14" i="35" s="1"/>
  <c r="G5" i="124"/>
  <c r="G61" i="124" s="1"/>
  <c r="S388" i="110"/>
  <c r="E22" i="35"/>
  <c r="X122" i="133"/>
  <c r="X128" i="133" s="1"/>
  <c r="W128" i="133"/>
  <c r="O24" i="119"/>
  <c r="BD122" i="133"/>
  <c r="BD128" i="133" s="1"/>
  <c r="BC128" i="133"/>
  <c r="J54" i="35"/>
  <c r="Q54" i="35" s="1"/>
  <c r="AQ122" i="133"/>
  <c r="AQ128" i="133" s="1"/>
  <c r="AP128" i="133"/>
  <c r="AX122" i="133"/>
  <c r="AW128" i="133"/>
  <c r="L88" i="133"/>
  <c r="K66" i="133"/>
  <c r="R60" i="133"/>
  <c r="AV88" i="133"/>
  <c r="AV89" i="133" s="1"/>
  <c r="H66" i="133"/>
  <c r="R16" i="137"/>
  <c r="M66" i="133"/>
  <c r="G88" i="133"/>
  <c r="G89" i="133" s="1"/>
  <c r="F44" i="35" s="1"/>
  <c r="AG88" i="133"/>
  <c r="AG89" i="133" s="1"/>
  <c r="O88" i="133"/>
  <c r="O66" i="133"/>
  <c r="S88" i="133"/>
  <c r="S66" i="133"/>
  <c r="P66" i="133"/>
  <c r="P88" i="133"/>
  <c r="Q66" i="133"/>
  <c r="Q88" i="133"/>
  <c r="AT88" i="133"/>
  <c r="AT89" i="133" s="1"/>
  <c r="I88" i="133"/>
  <c r="I66" i="133"/>
  <c r="AS88" i="133"/>
  <c r="AW88" i="133"/>
  <c r="AF88" i="133"/>
  <c r="I63" i="199"/>
  <c r="I48" i="199"/>
  <c r="I50" i="199" s="1"/>
  <c r="I60" i="199" s="1"/>
  <c r="S18" i="199"/>
  <c r="T17" i="199"/>
  <c r="F23" i="199"/>
  <c r="S22" i="199"/>
  <c r="R22" i="199"/>
  <c r="T402" i="110"/>
  <c r="Q225" i="110"/>
  <c r="L303" i="110"/>
  <c r="S20" i="137"/>
  <c r="K234" i="110"/>
  <c r="N309" i="110"/>
  <c r="M342" i="110"/>
  <c r="Q219" i="110"/>
  <c r="R70" i="137"/>
  <c r="H219" i="110"/>
  <c r="AB219" i="110" s="1"/>
  <c r="AE219" i="110" s="1"/>
  <c r="L219" i="110"/>
  <c r="T51" i="137"/>
  <c r="T219" i="110"/>
  <c r="F326" i="110"/>
  <c r="E326" i="110" s="1"/>
  <c r="K341" i="110"/>
  <c r="S39" i="137"/>
  <c r="I5" i="35"/>
  <c r="I24" i="35" s="1"/>
  <c r="N234" i="110"/>
  <c r="Q332" i="110"/>
  <c r="F334" i="110"/>
  <c r="E334" i="110" s="1"/>
  <c r="I142" i="133"/>
  <c r="V255" i="110"/>
  <c r="J4" i="138"/>
  <c r="M142" i="133"/>
  <c r="I240" i="110"/>
  <c r="AC240" i="110" s="1"/>
  <c r="AF240" i="110" s="1"/>
  <c r="L56" i="35"/>
  <c r="L30" i="35"/>
  <c r="L21" i="35"/>
  <c r="L53" i="35"/>
  <c r="L23" i="35"/>
  <c r="L46" i="35"/>
  <c r="L17" i="35"/>
  <c r="M38" i="137"/>
  <c r="O223" i="110"/>
  <c r="R316" i="110"/>
  <c r="Q15" i="181"/>
  <c r="H245" i="110"/>
  <c r="AB245" i="110" s="1"/>
  <c r="AE245" i="110" s="1"/>
  <c r="T213" i="110"/>
  <c r="G228" i="110"/>
  <c r="Q228" i="110" s="1"/>
  <c r="P319" i="110"/>
  <c r="O260" i="58"/>
  <c r="F17" i="138" s="1"/>
  <c r="F55" i="138" s="1"/>
  <c r="F343" i="110"/>
  <c r="E343" i="110" s="1"/>
  <c r="Q215" i="110"/>
  <c r="W21" i="137"/>
  <c r="H228" i="110"/>
  <c r="AB228" i="110" s="1"/>
  <c r="AE228" i="110" s="1"/>
  <c r="U193" i="110"/>
  <c r="T328" i="110"/>
  <c r="M245" i="110"/>
  <c r="R30" i="137"/>
  <c r="O309" i="110"/>
  <c r="O142" i="133"/>
  <c r="F360" i="110"/>
  <c r="E360" i="110" s="1"/>
  <c r="U300" i="110"/>
  <c r="R184" i="110"/>
  <c r="L205" i="110"/>
  <c r="Q184" i="110"/>
  <c r="O184" i="110"/>
  <c r="W34" i="137"/>
  <c r="S234" i="110"/>
  <c r="J201" i="110"/>
  <c r="K349" i="110"/>
  <c r="U58" i="137"/>
  <c r="N58" i="137"/>
  <c r="N16" i="137"/>
  <c r="H222" i="110"/>
  <c r="AB222" i="110" s="1"/>
  <c r="AE222" i="110" s="1"/>
  <c r="F337" i="110"/>
  <c r="E337" i="110" s="1"/>
  <c r="I222" i="110"/>
  <c r="AC222" i="110" s="1"/>
  <c r="AF222" i="110" s="1"/>
  <c r="I12" i="181"/>
  <c r="S348" i="110"/>
  <c r="J320" i="110"/>
  <c r="U388" i="110"/>
  <c r="K316" i="110"/>
  <c r="L319" i="110"/>
  <c r="M316" i="110"/>
  <c r="L20" i="137"/>
  <c r="T12" i="181"/>
  <c r="J194" i="110"/>
  <c r="K201" i="110"/>
  <c r="M7" i="137"/>
  <c r="L188" i="110"/>
  <c r="S13" i="137"/>
  <c r="P49" i="137"/>
  <c r="Q34" i="137"/>
  <c r="L217" i="110"/>
  <c r="R201" i="110"/>
  <c r="L332" i="110"/>
  <c r="N5" i="35"/>
  <c r="N21" i="35" s="1"/>
  <c r="O338" i="110"/>
  <c r="R303" i="110"/>
  <c r="M15" i="181"/>
  <c r="E8" i="196"/>
  <c r="R329" i="110"/>
  <c r="Q217" i="110"/>
  <c r="M339" i="110"/>
  <c r="Q245" i="110"/>
  <c r="O5" i="124"/>
  <c r="O61" i="124" s="1"/>
  <c r="M393" i="110"/>
  <c r="V27" i="137"/>
  <c r="W51" i="137"/>
  <c r="U24" i="137"/>
  <c r="N184" i="110"/>
  <c r="U184" i="110"/>
  <c r="M9" i="137"/>
  <c r="O15" i="181"/>
  <c r="Q388" i="110"/>
  <c r="Q213" i="110"/>
  <c r="R260" i="58"/>
  <c r="I17" i="138" s="1"/>
  <c r="I6" i="138" s="1"/>
  <c r="R213" i="110"/>
  <c r="N94" i="110"/>
  <c r="P9" i="137" s="1"/>
  <c r="O316" i="110"/>
  <c r="T184" i="110"/>
  <c r="L340" i="110"/>
  <c r="O201" i="110"/>
  <c r="I15" i="181"/>
  <c r="N38" i="137"/>
  <c r="N201" i="110"/>
  <c r="P27" i="137"/>
  <c r="P312" i="110"/>
  <c r="N22" i="137"/>
  <c r="P197" i="110"/>
  <c r="W48" i="137"/>
  <c r="L341" i="110"/>
  <c r="L16" i="137"/>
  <c r="S245" i="110"/>
  <c r="K245" i="110"/>
  <c r="L24" i="35"/>
  <c r="L13" i="35"/>
  <c r="L31" i="138" s="1"/>
  <c r="L65" i="35"/>
  <c r="L18" i="35"/>
  <c r="L12" i="35"/>
  <c r="M5" i="124"/>
  <c r="M61" i="124" s="1"/>
  <c r="I4" i="26"/>
  <c r="L349" i="110"/>
  <c r="N402" i="110"/>
  <c r="S184" i="110"/>
  <c r="Q49" i="137"/>
  <c r="P58" i="137"/>
  <c r="R51" i="137"/>
  <c r="H4" i="26"/>
  <c r="K142" i="133"/>
  <c r="S94" i="110"/>
  <c r="S404" i="110" s="1"/>
  <c r="M70" i="137"/>
  <c r="T215" i="110"/>
  <c r="S341" i="110"/>
  <c r="T330" i="110"/>
  <c r="L311" i="110"/>
  <c r="S190" i="110"/>
  <c r="S226" i="110"/>
  <c r="P308" i="110"/>
  <c r="T316" i="110"/>
  <c r="O37" i="137"/>
  <c r="L320" i="110"/>
  <c r="J197" i="110"/>
  <c r="M387" i="110"/>
  <c r="V48" i="137"/>
  <c r="Q328" i="110"/>
  <c r="M184" i="110"/>
  <c r="T339" i="110"/>
  <c r="AA184" i="110"/>
  <c r="AD184" i="110" s="1"/>
  <c r="P193" i="110"/>
  <c r="P184" i="110"/>
  <c r="O30" i="137"/>
  <c r="J184" i="110"/>
  <c r="N57" i="137"/>
  <c r="K184" i="110"/>
  <c r="S324" i="110"/>
  <c r="R335" i="110"/>
  <c r="Q21" i="137"/>
  <c r="R307" i="110"/>
  <c r="Q359" i="110"/>
  <c r="P211" i="110"/>
  <c r="L211" i="110"/>
  <c r="L201" i="110"/>
  <c r="T388" i="110"/>
  <c r="V34" i="137"/>
  <c r="R211" i="110"/>
  <c r="L316" i="110"/>
  <c r="Q334" i="110"/>
  <c r="K211" i="110"/>
  <c r="N211" i="110"/>
  <c r="S43" i="137"/>
  <c r="N15" i="181"/>
  <c r="R57" i="137"/>
  <c r="P44" i="137"/>
  <c r="R328" i="110"/>
  <c r="J316" i="110"/>
  <c r="M225" i="110"/>
  <c r="T245" i="110"/>
  <c r="T204" i="110"/>
  <c r="T360" i="110"/>
  <c r="O402" i="110"/>
  <c r="T320" i="58"/>
  <c r="Q47" i="35"/>
  <c r="M204" i="110"/>
  <c r="L204" i="110"/>
  <c r="O204" i="110"/>
  <c r="U393" i="110"/>
  <c r="R20" i="137"/>
  <c r="O27" i="137"/>
  <c r="G4" i="26"/>
  <c r="L142" i="133"/>
  <c r="T281" i="58"/>
  <c r="R44" i="137"/>
  <c r="J5" i="35"/>
  <c r="J18" i="35" s="1"/>
  <c r="L5" i="124"/>
  <c r="L61" i="124" s="1"/>
  <c r="Q204" i="110"/>
  <c r="J387" i="110"/>
  <c r="K337" i="110"/>
  <c r="N30" i="137"/>
  <c r="J319" i="110"/>
  <c r="Q201" i="110"/>
  <c r="M135" i="110"/>
  <c r="O46" i="137" s="1"/>
  <c r="L135" i="110"/>
  <c r="N46" i="137" s="1"/>
  <c r="N135" i="110"/>
  <c r="P46" i="137" s="1"/>
  <c r="J135" i="110"/>
  <c r="L46" i="137" s="1"/>
  <c r="L194" i="110"/>
  <c r="J204" i="110"/>
  <c r="S219" i="110"/>
  <c r="N360" i="110"/>
  <c r="P329" i="110"/>
  <c r="U22" i="137"/>
  <c r="N393" i="110"/>
  <c r="Q316" i="110"/>
  <c r="R233" i="110"/>
  <c r="U135" i="110"/>
  <c r="U222" i="110" s="1"/>
  <c r="AA135" i="110"/>
  <c r="AD135" i="110" s="1"/>
  <c r="W43" i="137"/>
  <c r="S334" i="110"/>
  <c r="N245" i="110"/>
  <c r="R193" i="110"/>
  <c r="S15" i="181"/>
  <c r="N339" i="110"/>
  <c r="R402" i="110"/>
  <c r="U303" i="110"/>
  <c r="R348" i="110"/>
  <c r="U233" i="110"/>
  <c r="L402" i="110"/>
  <c r="T196" i="110"/>
  <c r="T311" i="110"/>
  <c r="R308" i="110"/>
  <c r="U348" i="110"/>
  <c r="P135" i="110"/>
  <c r="R46" i="137" s="1"/>
  <c r="O135" i="110"/>
  <c r="Q46" i="137" s="1"/>
  <c r="Q135" i="110"/>
  <c r="Q222" i="110" s="1"/>
  <c r="P204" i="110"/>
  <c r="T303" i="110"/>
  <c r="T15" i="181"/>
  <c r="V35" i="137"/>
  <c r="S217" i="110"/>
  <c r="R225" i="110"/>
  <c r="J311" i="110"/>
  <c r="S135" i="110"/>
  <c r="U46" i="137" s="1"/>
  <c r="M355" i="110"/>
  <c r="J12" i="181"/>
  <c r="R37" i="137"/>
  <c r="S58" i="137"/>
  <c r="L49" i="137"/>
  <c r="Q234" i="110"/>
  <c r="K300" i="110"/>
  <c r="T135" i="110"/>
  <c r="V46" i="137" s="1"/>
  <c r="R135" i="110"/>
  <c r="T46" i="137" s="1"/>
  <c r="E321" i="110"/>
  <c r="R215" i="110"/>
  <c r="AB206" i="110"/>
  <c r="AE206" i="110" s="1"/>
  <c r="R330" i="110"/>
  <c r="U18" i="137"/>
  <c r="U216" i="110"/>
  <c r="O342" i="110"/>
  <c r="T68" i="137"/>
  <c r="K217" i="110"/>
  <c r="P216" i="110"/>
  <c r="R216" i="110"/>
  <c r="N216" i="110"/>
  <c r="M41" i="137"/>
  <c r="L335" i="110"/>
  <c r="G240" i="110"/>
  <c r="AA240" i="110" s="1"/>
  <c r="AD240" i="110" s="1"/>
  <c r="P201" i="110"/>
  <c r="K348" i="110"/>
  <c r="S216" i="110"/>
  <c r="Q402" i="110"/>
  <c r="F355" i="110"/>
  <c r="E355" i="110" s="1"/>
  <c r="L227" i="110"/>
  <c r="M37" i="137"/>
  <c r="U27" i="137"/>
  <c r="P316" i="110"/>
  <c r="P227" i="110"/>
  <c r="W22" i="137"/>
  <c r="S24" i="137"/>
  <c r="L334" i="110"/>
  <c r="M348" i="110"/>
  <c r="U227" i="110"/>
  <c r="R227" i="110"/>
  <c r="R234" i="110"/>
  <c r="N43" i="137"/>
  <c r="J213" i="110"/>
  <c r="S227" i="110"/>
  <c r="R349" i="110"/>
  <c r="L37" i="137"/>
  <c r="U329" i="110"/>
  <c r="K328" i="110"/>
  <c r="S316" i="110"/>
  <c r="V47" i="137"/>
  <c r="M227" i="110"/>
  <c r="K214" i="110"/>
  <c r="O211" i="110"/>
  <c r="P12" i="181"/>
  <c r="T211" i="110"/>
  <c r="T341" i="110"/>
  <c r="O66" i="137"/>
  <c r="L361" i="110"/>
  <c r="X78" i="137"/>
  <c r="K78" i="137" s="1"/>
  <c r="K158" i="137" s="1"/>
  <c r="Q108" i="110"/>
  <c r="P108" i="110"/>
  <c r="S108" i="110"/>
  <c r="J108" i="110"/>
  <c r="T108" i="110"/>
  <c r="U108" i="110"/>
  <c r="N108" i="110"/>
  <c r="M108" i="110"/>
  <c r="K108" i="110"/>
  <c r="R108" i="110"/>
  <c r="O108" i="110"/>
  <c r="L108" i="110"/>
  <c r="S204" i="110"/>
  <c r="Q112" i="110"/>
  <c r="P112" i="110"/>
  <c r="R112" i="110"/>
  <c r="O112" i="110"/>
  <c r="J112" i="110"/>
  <c r="N112" i="110"/>
  <c r="L112" i="110"/>
  <c r="M112" i="110"/>
  <c r="K112" i="110"/>
  <c r="U112" i="110"/>
  <c r="S112" i="110"/>
  <c r="T112" i="110"/>
  <c r="R351" i="110"/>
  <c r="M217" i="110"/>
  <c r="Q335" i="110"/>
  <c r="V114" i="110"/>
  <c r="P116" i="110"/>
  <c r="Q116" i="110"/>
  <c r="O116" i="110"/>
  <c r="T116" i="110"/>
  <c r="U116" i="110"/>
  <c r="S116" i="110"/>
  <c r="K116" i="110"/>
  <c r="J116" i="110"/>
  <c r="N116" i="110"/>
  <c r="R116" i="110"/>
  <c r="M116" i="110"/>
  <c r="L116" i="110"/>
  <c r="T119" i="110"/>
  <c r="L119" i="110"/>
  <c r="U119" i="110"/>
  <c r="M119" i="110"/>
  <c r="P119" i="110"/>
  <c r="O119" i="110"/>
  <c r="R119" i="110"/>
  <c r="Q119" i="110"/>
  <c r="J119" i="110"/>
  <c r="S119" i="110"/>
  <c r="K119" i="110"/>
  <c r="N119" i="110"/>
  <c r="P120" i="110"/>
  <c r="R33" i="137" s="1"/>
  <c r="Q120" i="110"/>
  <c r="S33" i="137" s="1"/>
  <c r="N120" i="110"/>
  <c r="P33" i="137" s="1"/>
  <c r="J120" i="110"/>
  <c r="L33" i="137" s="1"/>
  <c r="M120" i="110"/>
  <c r="R120" i="110"/>
  <c r="T33" i="137" s="1"/>
  <c r="K120" i="110"/>
  <c r="M33" i="137" s="1"/>
  <c r="L120" i="110"/>
  <c r="U120" i="110"/>
  <c r="U322" i="110" s="1"/>
  <c r="S120" i="110"/>
  <c r="U33" i="137" s="1"/>
  <c r="O120" i="110"/>
  <c r="Q33" i="137" s="1"/>
  <c r="T120" i="110"/>
  <c r="V33" i="137" s="1"/>
  <c r="V58" i="137"/>
  <c r="Q348" i="110"/>
  <c r="O41" i="137"/>
  <c r="U30" i="137"/>
  <c r="R300" i="110"/>
  <c r="L215" i="110"/>
  <c r="J339" i="110"/>
  <c r="Q233" i="110"/>
  <c r="U316" i="110"/>
  <c r="U49" i="137"/>
  <c r="M115" i="110"/>
  <c r="M317" i="110" s="1"/>
  <c r="U115" i="110"/>
  <c r="U317" i="110" s="1"/>
  <c r="T115" i="110"/>
  <c r="L115" i="110"/>
  <c r="N28" i="137" s="1"/>
  <c r="K115" i="110"/>
  <c r="M28" i="137" s="1"/>
  <c r="Q115" i="110"/>
  <c r="S28" i="137" s="1"/>
  <c r="S115" i="110"/>
  <c r="U28" i="137" s="1"/>
  <c r="O115" i="110"/>
  <c r="P115" i="110"/>
  <c r="R115" i="110"/>
  <c r="J115" i="110"/>
  <c r="L28" i="137" s="1"/>
  <c r="N115" i="110"/>
  <c r="N317" i="110" s="1"/>
  <c r="U201" i="110"/>
  <c r="N341" i="110"/>
  <c r="O388" i="110"/>
  <c r="L307" i="110"/>
  <c r="N39" i="137"/>
  <c r="P348" i="110"/>
  <c r="AA103" i="110"/>
  <c r="AD103" i="110" s="1"/>
  <c r="Q24" i="137"/>
  <c r="Q43" i="137"/>
  <c r="L70" i="137"/>
  <c r="S402" i="110"/>
  <c r="T52" i="137"/>
  <c r="P225" i="110"/>
  <c r="U37" i="137"/>
  <c r="R7" i="137"/>
  <c r="T223" i="110"/>
  <c r="O24" i="137"/>
  <c r="P245" i="110"/>
  <c r="U217" i="110"/>
  <c r="Q320" i="110"/>
  <c r="T332" i="110"/>
  <c r="S342" i="110"/>
  <c r="L223" i="110"/>
  <c r="T329" i="110"/>
  <c r="U320" i="110"/>
  <c r="V110" i="110"/>
  <c r="P360" i="110"/>
  <c r="Q205" i="110"/>
  <c r="V41" i="137"/>
  <c r="K338" i="110"/>
  <c r="L328" i="110"/>
  <c r="L338" i="110"/>
  <c r="U205" i="110"/>
  <c r="E317" i="110"/>
  <c r="U332" i="110"/>
  <c r="R245" i="110"/>
  <c r="K223" i="110"/>
  <c r="L213" i="110"/>
  <c r="P324" i="110"/>
  <c r="N227" i="110"/>
  <c r="AB202" i="110"/>
  <c r="AE202" i="110" s="1"/>
  <c r="K227" i="110"/>
  <c r="T227" i="110"/>
  <c r="R360" i="110"/>
  <c r="O219" i="110"/>
  <c r="T194" i="110"/>
  <c r="Q387" i="110"/>
  <c r="S328" i="110"/>
  <c r="R34" i="137"/>
  <c r="V22" i="137"/>
  <c r="O227" i="110"/>
  <c r="V381" i="110"/>
  <c r="V382" i="110" s="1"/>
  <c r="R49" i="137"/>
  <c r="S225" i="110"/>
  <c r="O94" i="110"/>
  <c r="O181" i="110" s="1"/>
  <c r="U94" i="110"/>
  <c r="W9" i="137" s="1"/>
  <c r="T94" i="110"/>
  <c r="T181" i="110" s="1"/>
  <c r="L94" i="110"/>
  <c r="N9" i="137" s="1"/>
  <c r="L245" i="110"/>
  <c r="R94" i="110"/>
  <c r="R181" i="110" s="1"/>
  <c r="Q94" i="110"/>
  <c r="Q181" i="110" s="1"/>
  <c r="AA94" i="110"/>
  <c r="AD94" i="110" s="1"/>
  <c r="T24" i="137"/>
  <c r="U211" i="110"/>
  <c r="P94" i="110"/>
  <c r="P181" i="110" s="1"/>
  <c r="M94" i="110"/>
  <c r="O9" i="137" s="1"/>
  <c r="W35" i="137"/>
  <c r="J94" i="110"/>
  <c r="J404" i="110" s="1"/>
  <c r="V275" i="110"/>
  <c r="K181" i="110"/>
  <c r="J300" i="110"/>
  <c r="Q324" i="110"/>
  <c r="O303" i="110"/>
  <c r="J15" i="181"/>
  <c r="S233" i="110"/>
  <c r="N319" i="110"/>
  <c r="M215" i="110"/>
  <c r="K303" i="110"/>
  <c r="S338" i="110"/>
  <c r="K205" i="110"/>
  <c r="T47" i="137"/>
  <c r="M234" i="110"/>
  <c r="P219" i="110"/>
  <c r="R387" i="110"/>
  <c r="P326" i="110"/>
  <c r="O328" i="110"/>
  <c r="S223" i="110"/>
  <c r="K320" i="110"/>
  <c r="T300" i="110"/>
  <c r="N320" i="110"/>
  <c r="L233" i="110"/>
  <c r="V51" i="137"/>
  <c r="P334" i="110"/>
  <c r="U204" i="110"/>
  <c r="O213" i="110"/>
  <c r="O205" i="110"/>
  <c r="S12" i="181"/>
  <c r="R223" i="110"/>
  <c r="N387" i="110"/>
  <c r="Q30" i="137"/>
  <c r="T30" i="137"/>
  <c r="R217" i="110"/>
  <c r="U387" i="110"/>
  <c r="M329" i="110"/>
  <c r="T335" i="110"/>
  <c r="T308" i="110"/>
  <c r="U16" i="137"/>
  <c r="Q31" i="137"/>
  <c r="N204" i="110"/>
  <c r="T193" i="110"/>
  <c r="O225" i="110"/>
  <c r="R326" i="110"/>
  <c r="R204" i="110"/>
  <c r="O387" i="110"/>
  <c r="T234" i="110"/>
  <c r="M324" i="110"/>
  <c r="R332" i="110"/>
  <c r="K309" i="110"/>
  <c r="U319" i="110"/>
  <c r="V274" i="110"/>
  <c r="K340" i="110"/>
  <c r="P341" i="110"/>
  <c r="K225" i="110"/>
  <c r="N303" i="110"/>
  <c r="R355" i="110"/>
  <c r="N351" i="110"/>
  <c r="Q246" i="110"/>
  <c r="U338" i="110"/>
  <c r="O35" i="137"/>
  <c r="P246" i="110"/>
  <c r="O233" i="110"/>
  <c r="W47" i="137"/>
  <c r="M211" i="110"/>
  <c r="J402" i="110"/>
  <c r="O348" i="110"/>
  <c r="P328" i="110"/>
  <c r="N225" i="110"/>
  <c r="M213" i="110"/>
  <c r="P226" i="110"/>
  <c r="S359" i="110"/>
  <c r="O49" i="137"/>
  <c r="Q226" i="110"/>
  <c r="U69" i="137"/>
  <c r="P300" i="110"/>
  <c r="S308" i="110"/>
  <c r="L15" i="181"/>
  <c r="S50" i="137"/>
  <c r="S30" i="137"/>
  <c r="S193" i="110"/>
  <c r="N307" i="110"/>
  <c r="L31" i="137"/>
  <c r="S312" i="110"/>
  <c r="L50" i="137"/>
  <c r="O70" i="137"/>
  <c r="O12" i="181"/>
  <c r="O16" i="137"/>
  <c r="M224" i="110"/>
  <c r="R224" i="110"/>
  <c r="P320" i="110"/>
  <c r="Q357" i="110"/>
  <c r="J219" i="110"/>
  <c r="R393" i="110"/>
  <c r="N13" i="137"/>
  <c r="U351" i="110"/>
  <c r="N329" i="110"/>
  <c r="P64" i="137"/>
  <c r="Q319" i="110"/>
  <c r="J334" i="110"/>
  <c r="R339" i="110"/>
  <c r="T307" i="110"/>
  <c r="L300" i="110"/>
  <c r="O193" i="110"/>
  <c r="P217" i="110"/>
  <c r="U41" i="137"/>
  <c r="M340" i="110"/>
  <c r="T351" i="110"/>
  <c r="M233" i="110"/>
  <c r="K233" i="110"/>
  <c r="K103" i="110"/>
  <c r="U219" i="110"/>
  <c r="S387" i="110"/>
  <c r="O326" i="110"/>
  <c r="U103" i="110"/>
  <c r="Q51" i="124" s="1"/>
  <c r="Q52" i="124" s="1"/>
  <c r="M219" i="110"/>
  <c r="S215" i="110"/>
  <c r="R388" i="110"/>
  <c r="M334" i="110"/>
  <c r="O194" i="110"/>
  <c r="S194" i="110"/>
  <c r="S330" i="110"/>
  <c r="R324" i="110"/>
  <c r="O103" i="110"/>
  <c r="Q18" i="137" s="1"/>
  <c r="R103" i="110"/>
  <c r="R194" i="110"/>
  <c r="M194" i="110"/>
  <c r="U194" i="110"/>
  <c r="K194" i="110"/>
  <c r="N194" i="110"/>
  <c r="M103" i="110"/>
  <c r="M305" i="110" s="1"/>
  <c r="Q194" i="110"/>
  <c r="E322" i="110"/>
  <c r="R230" i="110"/>
  <c r="R31" i="137"/>
  <c r="K342" i="110"/>
  <c r="R320" i="110"/>
  <c r="U188" i="110"/>
  <c r="Q211" i="110"/>
  <c r="J338" i="110"/>
  <c r="S230" i="110"/>
  <c r="K219" i="110"/>
  <c r="U361" i="110"/>
  <c r="Q326" i="110"/>
  <c r="S335" i="110"/>
  <c r="L47" i="137"/>
  <c r="R340" i="110"/>
  <c r="R334" i="110"/>
  <c r="M51" i="137"/>
  <c r="K334" i="110"/>
  <c r="Q338" i="110"/>
  <c r="N179" i="110"/>
  <c r="R219" i="110"/>
  <c r="K393" i="110"/>
  <c r="Q223" i="110"/>
  <c r="O329" i="110"/>
  <c r="U307" i="110"/>
  <c r="Q309" i="110"/>
  <c r="S393" i="110"/>
  <c r="N361" i="110"/>
  <c r="J225" i="110"/>
  <c r="M30" i="137"/>
  <c r="P188" i="110"/>
  <c r="K188" i="110"/>
  <c r="N188" i="110"/>
  <c r="T348" i="110"/>
  <c r="O230" i="110"/>
  <c r="N60" i="137"/>
  <c r="M312" i="110"/>
  <c r="V146" i="110"/>
  <c r="J23" i="124"/>
  <c r="J25" i="124" s="1"/>
  <c r="J19" i="124"/>
  <c r="J355" i="110"/>
  <c r="R52" i="137"/>
  <c r="L388" i="110"/>
  <c r="T233" i="110"/>
  <c r="N348" i="110"/>
  <c r="R188" i="110"/>
  <c r="P103" i="110"/>
  <c r="T103" i="110"/>
  <c r="K360" i="110"/>
  <c r="U230" i="110"/>
  <c r="T188" i="110"/>
  <c r="L324" i="110"/>
  <c r="P57" i="137"/>
  <c r="M188" i="110"/>
  <c r="U311" i="110"/>
  <c r="N230" i="110"/>
  <c r="J230" i="110"/>
  <c r="J330" i="110"/>
  <c r="M193" i="110"/>
  <c r="Q224" i="110"/>
  <c r="U234" i="110"/>
  <c r="AC90" i="110"/>
  <c r="AF90" i="110" s="1"/>
  <c r="L103" i="110"/>
  <c r="J103" i="110"/>
  <c r="P230" i="110"/>
  <c r="J215" i="110"/>
  <c r="Q339" i="110"/>
  <c r="V249" i="110"/>
  <c r="N103" i="110"/>
  <c r="M230" i="110"/>
  <c r="P311" i="110"/>
  <c r="Q230" i="110"/>
  <c r="T230" i="110"/>
  <c r="K230" i="110"/>
  <c r="O188" i="110"/>
  <c r="Q393" i="110"/>
  <c r="M36" i="124"/>
  <c r="M38" i="124" s="1"/>
  <c r="J188" i="110"/>
  <c r="O51" i="124"/>
  <c r="O52" i="124" s="1"/>
  <c r="O57" i="124" s="1"/>
  <c r="O58" i="124" s="1"/>
  <c r="I237" i="110"/>
  <c r="AC237" i="110" s="1"/>
  <c r="AF237" i="110" s="1"/>
  <c r="H237" i="110"/>
  <c r="AB237" i="110" s="1"/>
  <c r="AE237" i="110" s="1"/>
  <c r="F352" i="110"/>
  <c r="E352" i="110" s="1"/>
  <c r="G237" i="110"/>
  <c r="AA237" i="110" s="1"/>
  <c r="AD237" i="110" s="1"/>
  <c r="M197" i="110"/>
  <c r="Q103" i="110"/>
  <c r="S18" i="137" s="1"/>
  <c r="I178" i="110"/>
  <c r="AC178" i="110" s="1"/>
  <c r="AF178" i="110" s="1"/>
  <c r="F293" i="110"/>
  <c r="E293" i="110" s="1"/>
  <c r="G178" i="110"/>
  <c r="AA178" i="110" s="1"/>
  <c r="AD178" i="110" s="1"/>
  <c r="H178" i="110"/>
  <c r="AB178" i="110" s="1"/>
  <c r="AE178" i="110" s="1"/>
  <c r="L230" i="110"/>
  <c r="K25" i="124"/>
  <c r="V253" i="110"/>
  <c r="U150" i="110"/>
  <c r="T150" i="110"/>
  <c r="K150" i="110"/>
  <c r="S150" i="110"/>
  <c r="P150" i="110"/>
  <c r="Q150" i="110"/>
  <c r="J150" i="110"/>
  <c r="R150" i="110"/>
  <c r="AA150" i="110"/>
  <c r="AD150" i="110" s="1"/>
  <c r="M150" i="110"/>
  <c r="O150" i="110"/>
  <c r="N150" i="110"/>
  <c r="L150" i="110"/>
  <c r="AA91" i="110"/>
  <c r="AD91" i="110" s="1"/>
  <c r="M91" i="110"/>
  <c r="U91" i="110"/>
  <c r="K91" i="110"/>
  <c r="L91" i="110"/>
  <c r="Q91" i="110"/>
  <c r="T91" i="110"/>
  <c r="O91" i="110"/>
  <c r="N91" i="110"/>
  <c r="R91" i="110"/>
  <c r="J91" i="110"/>
  <c r="P91" i="110"/>
  <c r="S91" i="110"/>
  <c r="K330" i="110"/>
  <c r="M307" i="110"/>
  <c r="O217" i="110"/>
  <c r="K387" i="110"/>
  <c r="J193" i="110"/>
  <c r="N213" i="110"/>
  <c r="Q60" i="137"/>
  <c r="L21" i="137"/>
  <c r="V136" i="110"/>
  <c r="P215" i="110"/>
  <c r="V68" i="137"/>
  <c r="S320" i="110"/>
  <c r="M192" i="110"/>
  <c r="Q303" i="110"/>
  <c r="R47" i="137"/>
  <c r="V126" i="110"/>
  <c r="P25" i="137"/>
  <c r="V127" i="110"/>
  <c r="N328" i="110"/>
  <c r="O332" i="110"/>
  <c r="P330" i="110"/>
  <c r="K215" i="110"/>
  <c r="P223" i="110"/>
  <c r="N332" i="110"/>
  <c r="J326" i="110"/>
  <c r="Q227" i="110"/>
  <c r="L393" i="110"/>
  <c r="N217" i="110"/>
  <c r="P355" i="110"/>
  <c r="O300" i="110"/>
  <c r="U225" i="110"/>
  <c r="J211" i="110"/>
  <c r="O343" i="110"/>
  <c r="N36" i="124"/>
  <c r="N38" i="124" s="1"/>
  <c r="J309" i="110"/>
  <c r="Q342" i="110"/>
  <c r="O307" i="110"/>
  <c r="V132" i="110"/>
  <c r="L224" i="110"/>
  <c r="N12" i="181"/>
  <c r="U340" i="110"/>
  <c r="Q329" i="110"/>
  <c r="R414" i="110"/>
  <c r="S355" i="110"/>
  <c r="T225" i="110"/>
  <c r="N219" i="110"/>
  <c r="L339" i="110"/>
  <c r="N223" i="110"/>
  <c r="S214" i="110"/>
  <c r="Q214" i="110"/>
  <c r="T302" i="58"/>
  <c r="Q320" i="58"/>
  <c r="K204" i="110"/>
  <c r="N197" i="110"/>
  <c r="T340" i="110"/>
  <c r="L343" i="110"/>
  <c r="N334" i="110"/>
  <c r="T246" i="110"/>
  <c r="N338" i="110"/>
  <c r="S329" i="110"/>
  <c r="Q280" i="58"/>
  <c r="M280" i="58"/>
  <c r="O192" i="110"/>
  <c r="V92" i="110"/>
  <c r="L360" i="110"/>
  <c r="P210" i="110"/>
  <c r="J224" i="110"/>
  <c r="Q68" i="137"/>
  <c r="N51" i="137"/>
  <c r="M349" i="110"/>
  <c r="Q12" i="181"/>
  <c r="T361" i="110"/>
  <c r="S205" i="110"/>
  <c r="T35" i="137"/>
  <c r="O245" i="110"/>
  <c r="V105" i="110"/>
  <c r="P194" i="110"/>
  <c r="V98" i="110"/>
  <c r="V106" i="110"/>
  <c r="V107" i="110"/>
  <c r="L226" i="110"/>
  <c r="P332" i="110"/>
  <c r="J393" i="110"/>
  <c r="O60" i="137"/>
  <c r="K326" i="110"/>
  <c r="M179" i="110"/>
  <c r="O360" i="110"/>
  <c r="V137" i="110"/>
  <c r="M388" i="110"/>
  <c r="Q188" i="110"/>
  <c r="O7" i="137"/>
  <c r="Q312" i="110"/>
  <c r="O210" i="110"/>
  <c r="M210" i="110"/>
  <c r="V158" i="110"/>
  <c r="P15" i="181"/>
  <c r="S357" i="110"/>
  <c r="J210" i="110"/>
  <c r="P309" i="110"/>
  <c r="U245" i="110"/>
  <c r="M69" i="137"/>
  <c r="V130" i="110"/>
  <c r="S69" i="137"/>
  <c r="S339" i="110"/>
  <c r="R205" i="110"/>
  <c r="N215" i="110"/>
  <c r="N193" i="110"/>
  <c r="R35" i="137"/>
  <c r="Q25" i="137"/>
  <c r="O21" i="137"/>
  <c r="L359" i="110"/>
  <c r="W52" i="137"/>
  <c r="T387" i="110"/>
  <c r="J214" i="110"/>
  <c r="K324" i="110"/>
  <c r="T179" i="110"/>
  <c r="M12" i="181"/>
  <c r="O214" i="110"/>
  <c r="J388" i="110"/>
  <c r="S25" i="137"/>
  <c r="L52" i="137"/>
  <c r="V117" i="110"/>
  <c r="O22" i="137"/>
  <c r="M20" i="137"/>
  <c r="R22" i="137"/>
  <c r="N388" i="110"/>
  <c r="T22" i="137"/>
  <c r="U360" i="110"/>
  <c r="V140" i="110"/>
  <c r="N311" i="110"/>
  <c r="U210" i="110"/>
  <c r="P234" i="110"/>
  <c r="Q360" i="110"/>
  <c r="J187" i="110"/>
  <c r="V138" i="110"/>
  <c r="N330" i="110"/>
  <c r="L187" i="110"/>
  <c r="P21" i="137"/>
  <c r="M335" i="110"/>
  <c r="L308" i="110"/>
  <c r="K222" i="110"/>
  <c r="U197" i="110"/>
  <c r="O312" i="110"/>
  <c r="K193" i="110"/>
  <c r="R210" i="110"/>
  <c r="T319" i="110"/>
  <c r="O187" i="110"/>
  <c r="K210" i="110"/>
  <c r="J324" i="110"/>
  <c r="L69" i="137"/>
  <c r="M48" i="137"/>
  <c r="N210" i="110"/>
  <c r="N214" i="110"/>
  <c r="N324" i="110"/>
  <c r="V147" i="110"/>
  <c r="O355" i="110"/>
  <c r="Q351" i="110"/>
  <c r="J227" i="110"/>
  <c r="P393" i="110"/>
  <c r="P349" i="110"/>
  <c r="K187" i="110"/>
  <c r="S187" i="110"/>
  <c r="R179" i="110"/>
  <c r="R214" i="110"/>
  <c r="S179" i="110"/>
  <c r="L193" i="110"/>
  <c r="U312" i="110"/>
  <c r="S211" i="110"/>
  <c r="K308" i="110"/>
  <c r="Q193" i="110"/>
  <c r="V30" i="137"/>
  <c r="K388" i="110"/>
  <c r="K179" i="110"/>
  <c r="Q187" i="110"/>
  <c r="K307" i="110"/>
  <c r="O234" i="110"/>
  <c r="J349" i="110"/>
  <c r="O357" i="110"/>
  <c r="J342" i="110"/>
  <c r="P224" i="110"/>
  <c r="T226" i="110"/>
  <c r="K226" i="110"/>
  <c r="L214" i="110"/>
  <c r="M300" i="110"/>
  <c r="Q210" i="110"/>
  <c r="S326" i="110"/>
  <c r="M21" i="137"/>
  <c r="L197" i="110"/>
  <c r="Q308" i="110"/>
  <c r="L210" i="110"/>
  <c r="N187" i="110"/>
  <c r="W58" i="137"/>
  <c r="N300" i="110"/>
  <c r="N226" i="110"/>
  <c r="M309" i="110"/>
  <c r="V122" i="110"/>
  <c r="V124" i="110"/>
  <c r="U179" i="110"/>
  <c r="L12" i="181"/>
  <c r="U51" i="137"/>
  <c r="L225" i="110"/>
  <c r="L312" i="110"/>
  <c r="T210" i="110"/>
  <c r="Q58" i="137"/>
  <c r="O39" i="137"/>
  <c r="U187" i="110"/>
  <c r="J234" i="110"/>
  <c r="O242" i="110"/>
  <c r="J226" i="110"/>
  <c r="P339" i="110"/>
  <c r="M214" i="110"/>
  <c r="J245" i="110"/>
  <c r="U214" i="110"/>
  <c r="R187" i="110"/>
  <c r="P214" i="110"/>
  <c r="T187" i="110"/>
  <c r="O13" i="137"/>
  <c r="P179" i="110"/>
  <c r="Q179" i="110"/>
  <c r="L179" i="110"/>
  <c r="K351" i="110"/>
  <c r="N359" i="110"/>
  <c r="L66" i="137"/>
  <c r="T357" i="110"/>
  <c r="Q242" i="110"/>
  <c r="R220" i="110"/>
  <c r="O179" i="110"/>
  <c r="P220" i="110"/>
  <c r="S196" i="110"/>
  <c r="P187" i="110"/>
  <c r="Q30" i="124"/>
  <c r="Q43" i="124" s="1"/>
  <c r="Q44" i="124" s="1"/>
  <c r="O220" i="110"/>
  <c r="Q220" i="110"/>
  <c r="T220" i="110"/>
  <c r="N220" i="110"/>
  <c r="J30" i="124"/>
  <c r="J43" i="124" s="1"/>
  <c r="J44" i="124" s="1"/>
  <c r="M187" i="110"/>
  <c r="Q216" i="110"/>
  <c r="AA116" i="110"/>
  <c r="AD116" i="110" s="1"/>
  <c r="X77" i="137"/>
  <c r="K77" i="137" s="1"/>
  <c r="K157" i="137" s="1"/>
  <c r="N357" i="110"/>
  <c r="L357" i="110"/>
  <c r="K335" i="110"/>
  <c r="N205" i="110"/>
  <c r="AA119" i="110"/>
  <c r="AD119" i="110" s="1"/>
  <c r="T355" i="110"/>
  <c r="S260" i="58"/>
  <c r="J17" i="138" s="1"/>
  <c r="J55" i="138" s="1"/>
  <c r="P35" i="137"/>
  <c r="N326" i="110"/>
  <c r="R361" i="110"/>
  <c r="S361" i="110"/>
  <c r="M320" i="110"/>
  <c r="N30" i="124"/>
  <c r="N43" i="124" s="1"/>
  <c r="W64" i="137"/>
  <c r="N142" i="133"/>
  <c r="P242" i="110"/>
  <c r="V139" i="110"/>
  <c r="M205" i="110"/>
  <c r="J4" i="26"/>
  <c r="V85" i="110"/>
  <c r="V86" i="110" s="1"/>
  <c r="AC203" i="110"/>
  <c r="AF203" i="110" s="1"/>
  <c r="AB203" i="110"/>
  <c r="AE203" i="110" s="1"/>
  <c r="E318" i="110"/>
  <c r="AA203" i="110"/>
  <c r="AD203" i="110" s="1"/>
  <c r="W339" i="58"/>
  <c r="N246" i="110"/>
  <c r="S343" i="110"/>
  <c r="R66" i="137"/>
  <c r="V128" i="110"/>
  <c r="P185" i="110"/>
  <c r="Q50" i="137"/>
  <c r="X73" i="137"/>
  <c r="K73" i="137" s="1"/>
  <c r="K153" i="137" s="1"/>
  <c r="J216" i="110"/>
  <c r="J179" i="110"/>
  <c r="R246" i="110"/>
  <c r="V101" i="110"/>
  <c r="J220" i="110"/>
  <c r="T260" i="58"/>
  <c r="K17" i="138" s="1"/>
  <c r="K55" i="138" s="1"/>
  <c r="O216" i="110"/>
  <c r="L216" i="110"/>
  <c r="T50" i="137"/>
  <c r="Q39" i="124"/>
  <c r="Q41" i="124" s="1"/>
  <c r="J246" i="110"/>
  <c r="K185" i="110"/>
  <c r="J335" i="110"/>
  <c r="P351" i="110"/>
  <c r="N185" i="110"/>
  <c r="G232" i="110"/>
  <c r="AA232" i="110" s="1"/>
  <c r="AD232" i="110" s="1"/>
  <c r="F347" i="110"/>
  <c r="E347" i="110" s="1"/>
  <c r="I232" i="110"/>
  <c r="AC232" i="110" s="1"/>
  <c r="AF232" i="110" s="1"/>
  <c r="H232" i="110"/>
  <c r="AB232" i="110" s="1"/>
  <c r="AE232" i="110" s="1"/>
  <c r="T214" i="110"/>
  <c r="M216" i="110"/>
  <c r="F354" i="110"/>
  <c r="E354" i="110" s="1"/>
  <c r="H239" i="110"/>
  <c r="AB239" i="110" s="1"/>
  <c r="AE239" i="110" s="1"/>
  <c r="G239" i="110"/>
  <c r="AA239" i="110" s="1"/>
  <c r="AD239" i="110" s="1"/>
  <c r="I239" i="110"/>
  <c r="AC239" i="110" s="1"/>
  <c r="AF239" i="110" s="1"/>
  <c r="J351" i="110"/>
  <c r="U246" i="110"/>
  <c r="U330" i="110"/>
  <c r="M246" i="110"/>
  <c r="P359" i="110"/>
  <c r="T185" i="110"/>
  <c r="O246" i="110"/>
  <c r="AA145" i="110"/>
  <c r="AD145" i="110" s="1"/>
  <c r="U145" i="110"/>
  <c r="P145" i="110"/>
  <c r="O145" i="110"/>
  <c r="K145" i="110"/>
  <c r="N145" i="110"/>
  <c r="L145" i="110"/>
  <c r="Q145" i="110"/>
  <c r="M145" i="110"/>
  <c r="T145" i="110"/>
  <c r="J145" i="110"/>
  <c r="R145" i="110"/>
  <c r="S145" i="110"/>
  <c r="Q355" i="110"/>
  <c r="R226" i="110"/>
  <c r="S307" i="110"/>
  <c r="R185" i="110"/>
  <c r="U215" i="110"/>
  <c r="M185" i="110"/>
  <c r="L185" i="110"/>
  <c r="J185" i="110"/>
  <c r="S188" i="110"/>
  <c r="O185" i="110"/>
  <c r="O161" i="110"/>
  <c r="L161" i="110"/>
  <c r="Q161" i="110"/>
  <c r="S161" i="110"/>
  <c r="U161" i="110"/>
  <c r="P161" i="110"/>
  <c r="N161" i="110"/>
  <c r="R161" i="110"/>
  <c r="T161" i="110"/>
  <c r="K161" i="110"/>
  <c r="J161" i="110"/>
  <c r="AA161" i="110"/>
  <c r="AD161" i="110" s="1"/>
  <c r="M161" i="110"/>
  <c r="U185" i="110"/>
  <c r="K246" i="110"/>
  <c r="S185" i="110"/>
  <c r="Q185" i="110"/>
  <c r="S303" i="110"/>
  <c r="F363" i="110"/>
  <c r="AB248" i="110"/>
  <c r="AE248" i="110" s="1"/>
  <c r="AA248" i="110"/>
  <c r="AD248" i="110" s="1"/>
  <c r="F376" i="110"/>
  <c r="AC248" i="110"/>
  <c r="AF248" i="110" s="1"/>
  <c r="U152" i="110"/>
  <c r="Q152" i="110"/>
  <c r="K152" i="110"/>
  <c r="L152" i="110"/>
  <c r="O152" i="110"/>
  <c r="N152" i="110"/>
  <c r="J152" i="110"/>
  <c r="R152" i="110"/>
  <c r="AA152" i="110"/>
  <c r="AD152" i="110" s="1"/>
  <c r="M152" i="110"/>
  <c r="P152" i="110"/>
  <c r="T152" i="110"/>
  <c r="S152" i="110"/>
  <c r="K216" i="110"/>
  <c r="AA216" i="110"/>
  <c r="AD216" i="110" s="1"/>
  <c r="M220" i="110"/>
  <c r="Q19" i="124"/>
  <c r="S351" i="110"/>
  <c r="O52" i="137"/>
  <c r="V109" i="110"/>
  <c r="U414" i="110"/>
  <c r="O29" i="124"/>
  <c r="O31" i="124" s="1"/>
  <c r="O32" i="124" s="1"/>
  <c r="K311" i="110"/>
  <c r="N343" i="110"/>
  <c r="Q25" i="124"/>
  <c r="T25" i="137"/>
  <c r="M359" i="110"/>
  <c r="R312" i="110"/>
  <c r="V96" i="110"/>
  <c r="O196" i="110"/>
  <c r="K224" i="110"/>
  <c r="V118" i="110"/>
  <c r="N196" i="110"/>
  <c r="U224" i="110"/>
  <c r="V159" i="110"/>
  <c r="V11" i="137"/>
  <c r="X11" i="137" s="1"/>
  <c r="K11" i="137" s="1"/>
  <c r="K92" i="137" s="1"/>
  <c r="S197" i="110"/>
  <c r="L196" i="110"/>
  <c r="P196" i="110"/>
  <c r="R196" i="110"/>
  <c r="Q361" i="110"/>
  <c r="T197" i="110"/>
  <c r="T205" i="110"/>
  <c r="M341" i="110"/>
  <c r="Q196" i="110"/>
  <c r="T312" i="110"/>
  <c r="T320" i="110"/>
  <c r="I28" i="124"/>
  <c r="U196" i="110"/>
  <c r="U357" i="110"/>
  <c r="O224" i="110"/>
  <c r="T183" i="110"/>
  <c r="V133" i="110"/>
  <c r="K196" i="110"/>
  <c r="T224" i="110"/>
  <c r="M196" i="110"/>
  <c r="S224" i="110"/>
  <c r="N224" i="110"/>
  <c r="O39" i="124"/>
  <c r="O41" i="124" s="1"/>
  <c r="T66" i="137"/>
  <c r="N244" i="110"/>
  <c r="L25" i="137"/>
  <c r="N414" i="110"/>
  <c r="V155" i="110"/>
  <c r="K357" i="110"/>
  <c r="O183" i="110"/>
  <c r="O244" i="110"/>
  <c r="U335" i="110"/>
  <c r="W44" i="137"/>
  <c r="K355" i="110"/>
  <c r="R183" i="110"/>
  <c r="V149" i="110"/>
  <c r="M52" i="137"/>
  <c r="J183" i="110"/>
  <c r="U192" i="110"/>
  <c r="O50" i="181"/>
  <c r="O51" i="181" s="1"/>
  <c r="O32" i="181"/>
  <c r="X104" i="58"/>
  <c r="X172" i="58" s="1"/>
  <c r="E10" i="196"/>
  <c r="E16" i="196" s="1"/>
  <c r="Z98" i="58"/>
  <c r="Z100" i="58" s="1"/>
  <c r="Z102" i="58" s="1"/>
  <c r="I221" i="110"/>
  <c r="AC221" i="110" s="1"/>
  <c r="AF221" i="110" s="1"/>
  <c r="F336" i="110"/>
  <c r="E336" i="110" s="1"/>
  <c r="H221" i="110"/>
  <c r="AB221" i="110" s="1"/>
  <c r="AE221" i="110" s="1"/>
  <c r="G221" i="110"/>
  <c r="AA221" i="110" s="1"/>
  <c r="AD221" i="110" s="1"/>
  <c r="AA181" i="110"/>
  <c r="AD181" i="110" s="1"/>
  <c r="AA192" i="110"/>
  <c r="AD192" i="110" s="1"/>
  <c r="P192" i="110"/>
  <c r="N192" i="110"/>
  <c r="T192" i="110"/>
  <c r="L192" i="110"/>
  <c r="R192" i="110"/>
  <c r="Q192" i="110"/>
  <c r="K192" i="110"/>
  <c r="S192" i="110"/>
  <c r="J192" i="110"/>
  <c r="Q90" i="110"/>
  <c r="K90" i="110"/>
  <c r="O90" i="110"/>
  <c r="J90" i="110"/>
  <c r="S90" i="110"/>
  <c r="P90" i="110"/>
  <c r="M90" i="110"/>
  <c r="N90" i="110"/>
  <c r="AA90" i="110"/>
  <c r="AD90" i="110" s="1"/>
  <c r="U90" i="110"/>
  <c r="R90" i="110"/>
  <c r="T90" i="110"/>
  <c r="L90" i="110"/>
  <c r="I218" i="110"/>
  <c r="AC218" i="110" s="1"/>
  <c r="AF218" i="110" s="1"/>
  <c r="H218" i="110"/>
  <c r="AB218" i="110" s="1"/>
  <c r="AE218" i="110" s="1"/>
  <c r="G218" i="110"/>
  <c r="AA218" i="110" s="1"/>
  <c r="AD218" i="110" s="1"/>
  <c r="F333" i="110"/>
  <c r="E333" i="110" s="1"/>
  <c r="AA183" i="110"/>
  <c r="AD183" i="110" s="1"/>
  <c r="K183" i="110"/>
  <c r="L183" i="110"/>
  <c r="Q183" i="110"/>
  <c r="P183" i="110"/>
  <c r="M183" i="110"/>
  <c r="U183" i="110"/>
  <c r="N183" i="110"/>
  <c r="S183" i="110"/>
  <c r="AA112" i="110"/>
  <c r="AD112" i="110" s="1"/>
  <c r="J5" i="124"/>
  <c r="J61" i="124" s="1"/>
  <c r="J142" i="133"/>
  <c r="V52" i="137"/>
  <c r="V141" i="110"/>
  <c r="T343" i="110"/>
  <c r="I180" i="110"/>
  <c r="AC180" i="110" s="1"/>
  <c r="AF180" i="110" s="1"/>
  <c r="H180" i="110"/>
  <c r="AB180" i="110" s="1"/>
  <c r="AE180" i="110" s="1"/>
  <c r="F295" i="110"/>
  <c r="E295" i="110" s="1"/>
  <c r="G180" i="110"/>
  <c r="AA180" i="110" s="1"/>
  <c r="AD180" i="110" s="1"/>
  <c r="O154" i="110"/>
  <c r="N154" i="110"/>
  <c r="Q154" i="110"/>
  <c r="M154" i="110"/>
  <c r="T154" i="110"/>
  <c r="J154" i="110"/>
  <c r="R154" i="110"/>
  <c r="AA154" i="110"/>
  <c r="AD154" i="110" s="1"/>
  <c r="P154" i="110"/>
  <c r="K154" i="110"/>
  <c r="L154" i="110"/>
  <c r="U154" i="110"/>
  <c r="S154" i="110"/>
  <c r="L55" i="181"/>
  <c r="U55" i="181" s="1"/>
  <c r="U36" i="181"/>
  <c r="I16" i="124"/>
  <c r="I23" i="124" s="1"/>
  <c r="I25" i="124" s="1"/>
  <c r="M414" i="110"/>
  <c r="L355" i="110"/>
  <c r="V153" i="110"/>
  <c r="E5" i="35"/>
  <c r="E13" i="35" s="1"/>
  <c r="E31" i="138" s="1"/>
  <c r="F142" i="133"/>
  <c r="F5" i="124"/>
  <c r="F61" i="124" s="1"/>
  <c r="M68" i="137"/>
  <c r="K359" i="110"/>
  <c r="V157" i="110"/>
  <c r="Q300" i="58"/>
  <c r="Q339" i="58"/>
  <c r="Q302" i="58"/>
  <c r="G30" i="124"/>
  <c r="G43" i="124" s="1"/>
  <c r="G29" i="124"/>
  <c r="G42" i="124" s="1"/>
  <c r="W68" i="137"/>
  <c r="U359" i="110"/>
  <c r="M25" i="137"/>
  <c r="K312" i="110"/>
  <c r="K197" i="110"/>
  <c r="AA102" i="110"/>
  <c r="AD102" i="110" s="1"/>
  <c r="J102" i="110"/>
  <c r="U102" i="110"/>
  <c r="P102" i="110"/>
  <c r="K102" i="110"/>
  <c r="R102" i="110"/>
  <c r="Q102" i="110"/>
  <c r="T102" i="110"/>
  <c r="S102" i="110"/>
  <c r="M102" i="110"/>
  <c r="O102" i="110"/>
  <c r="L102" i="110"/>
  <c r="N102" i="110"/>
  <c r="M148" i="110"/>
  <c r="K148" i="110"/>
  <c r="AA148" i="110"/>
  <c r="AD148" i="110" s="1"/>
  <c r="U148" i="110"/>
  <c r="T148" i="110"/>
  <c r="O148" i="110"/>
  <c r="N148" i="110"/>
  <c r="J148" i="110"/>
  <c r="L148" i="110"/>
  <c r="P148" i="110"/>
  <c r="S148" i="110"/>
  <c r="Q148" i="110"/>
  <c r="R148" i="110"/>
  <c r="F386" i="110"/>
  <c r="E386" i="110" s="1"/>
  <c r="E307" i="110"/>
  <c r="I231" i="110"/>
  <c r="AC231" i="110" s="1"/>
  <c r="AF231" i="110" s="1"/>
  <c r="H231" i="110"/>
  <c r="AB231" i="110" s="1"/>
  <c r="AE231" i="110" s="1"/>
  <c r="F346" i="110"/>
  <c r="E346" i="110" s="1"/>
  <c r="G231" i="110"/>
  <c r="AA231" i="110" s="1"/>
  <c r="AD231" i="110" s="1"/>
  <c r="AC199" i="110"/>
  <c r="AF199" i="110" s="1"/>
  <c r="AB199" i="110"/>
  <c r="AE199" i="110" s="1"/>
  <c r="AA199" i="110"/>
  <c r="AD199" i="110" s="1"/>
  <c r="E314" i="110"/>
  <c r="M93" i="110"/>
  <c r="O93" i="110"/>
  <c r="J93" i="110"/>
  <c r="U93" i="110"/>
  <c r="Q93" i="110"/>
  <c r="T93" i="110"/>
  <c r="S93" i="110"/>
  <c r="N93" i="110"/>
  <c r="AA93" i="110"/>
  <c r="AD93" i="110" s="1"/>
  <c r="K93" i="110"/>
  <c r="L93" i="110"/>
  <c r="R93" i="110"/>
  <c r="P93" i="110"/>
  <c r="U226" i="110"/>
  <c r="K236" i="110"/>
  <c r="Q131" i="110"/>
  <c r="K131" i="110"/>
  <c r="R131" i="110"/>
  <c r="L131" i="110"/>
  <c r="T131" i="110"/>
  <c r="O131" i="110"/>
  <c r="S131" i="110"/>
  <c r="AA131" i="110"/>
  <c r="AD131" i="110" s="1"/>
  <c r="P131" i="110"/>
  <c r="M131" i="110"/>
  <c r="J131" i="110"/>
  <c r="U131" i="110"/>
  <c r="N131" i="110"/>
  <c r="AA144" i="110"/>
  <c r="AD144" i="110" s="1"/>
  <c r="L144" i="110"/>
  <c r="K144" i="110"/>
  <c r="R144" i="110"/>
  <c r="P144" i="110"/>
  <c r="J144" i="110"/>
  <c r="S144" i="110"/>
  <c r="T144" i="110"/>
  <c r="N144" i="110"/>
  <c r="U144" i="110"/>
  <c r="O144" i="110"/>
  <c r="M144" i="110"/>
  <c r="Q144" i="110"/>
  <c r="O226" i="110"/>
  <c r="V254" i="110"/>
  <c r="I243" i="110"/>
  <c r="AC243" i="110" s="1"/>
  <c r="AF243" i="110" s="1"/>
  <c r="H243" i="110"/>
  <c r="AB243" i="110" s="1"/>
  <c r="AE243" i="110" s="1"/>
  <c r="F358" i="110"/>
  <c r="E358" i="110" s="1"/>
  <c r="G243" i="110"/>
  <c r="AA243" i="110" s="1"/>
  <c r="AD243" i="110" s="1"/>
  <c r="T134" i="110"/>
  <c r="J134" i="110"/>
  <c r="U134" i="110"/>
  <c r="R134" i="110"/>
  <c r="P134" i="110"/>
  <c r="Q134" i="110"/>
  <c r="O134" i="110"/>
  <c r="L134" i="110"/>
  <c r="K134" i="110"/>
  <c r="S134" i="110"/>
  <c r="N134" i="110"/>
  <c r="AA134" i="110"/>
  <c r="AD134" i="110" s="1"/>
  <c r="M134" i="110"/>
  <c r="I238" i="110"/>
  <c r="AC238" i="110" s="1"/>
  <c r="AF238" i="110" s="1"/>
  <c r="H238" i="110"/>
  <c r="AB238" i="110" s="1"/>
  <c r="AE238" i="110" s="1"/>
  <c r="G238" i="110"/>
  <c r="AA238" i="110" s="1"/>
  <c r="AD238" i="110" s="1"/>
  <c r="F353" i="110"/>
  <c r="E353" i="110" s="1"/>
  <c r="S246" i="110"/>
  <c r="AA196" i="110"/>
  <c r="AD196" i="110" s="1"/>
  <c r="J196" i="110"/>
  <c r="I235" i="110"/>
  <c r="AC235" i="110" s="1"/>
  <c r="AF235" i="110" s="1"/>
  <c r="H235" i="110"/>
  <c r="AB235" i="110" s="1"/>
  <c r="AE235" i="110" s="1"/>
  <c r="F350" i="110"/>
  <c r="E350" i="110" s="1"/>
  <c r="G235" i="110"/>
  <c r="AA235" i="110" s="1"/>
  <c r="AD235" i="110" s="1"/>
  <c r="K151" i="110"/>
  <c r="S151" i="110"/>
  <c r="Q151" i="110"/>
  <c r="AA151" i="110"/>
  <c r="AD151" i="110" s="1"/>
  <c r="P151" i="110"/>
  <c r="T151" i="110"/>
  <c r="M151" i="110"/>
  <c r="J151" i="110"/>
  <c r="L151" i="110"/>
  <c r="O151" i="110"/>
  <c r="U151" i="110"/>
  <c r="N151" i="110"/>
  <c r="R151" i="110"/>
  <c r="I195" i="110"/>
  <c r="AC195" i="110" s="1"/>
  <c r="AF195" i="110" s="1"/>
  <c r="H195" i="110"/>
  <c r="AB195" i="110" s="1"/>
  <c r="AE195" i="110" s="1"/>
  <c r="F310" i="110"/>
  <c r="E310" i="110" s="1"/>
  <c r="G195" i="110"/>
  <c r="I186" i="110"/>
  <c r="AC186" i="110" s="1"/>
  <c r="AF186" i="110" s="1"/>
  <c r="H186" i="110"/>
  <c r="AB186" i="110" s="1"/>
  <c r="AE186" i="110" s="1"/>
  <c r="F301" i="110"/>
  <c r="E301" i="110" s="1"/>
  <c r="G186" i="110"/>
  <c r="AA186" i="110" s="1"/>
  <c r="AD186" i="110" s="1"/>
  <c r="AA156" i="110"/>
  <c r="AD156" i="110" s="1"/>
  <c r="T156" i="110"/>
  <c r="U156" i="110"/>
  <c r="O156" i="110"/>
  <c r="P156" i="110"/>
  <c r="N156" i="110"/>
  <c r="L156" i="110"/>
  <c r="J156" i="110"/>
  <c r="R156" i="110"/>
  <c r="Q156" i="110"/>
  <c r="K156" i="110"/>
  <c r="S156" i="110"/>
  <c r="M156" i="110"/>
  <c r="I241" i="110"/>
  <c r="AC241" i="110" s="1"/>
  <c r="AF241" i="110" s="1"/>
  <c r="F356" i="110"/>
  <c r="E356" i="110" s="1"/>
  <c r="H241" i="110"/>
  <c r="AB241" i="110" s="1"/>
  <c r="AE241" i="110" s="1"/>
  <c r="G241" i="110"/>
  <c r="AA241" i="110" s="1"/>
  <c r="AD241" i="110" s="1"/>
  <c r="I177" i="110"/>
  <c r="AC177" i="110" s="1"/>
  <c r="AF177" i="110" s="1"/>
  <c r="H177" i="110"/>
  <c r="AB177" i="110" s="1"/>
  <c r="AE177" i="110" s="1"/>
  <c r="F292" i="110"/>
  <c r="E292" i="110" s="1"/>
  <c r="G177" i="110"/>
  <c r="AA177" i="110" s="1"/>
  <c r="AD177" i="110" s="1"/>
  <c r="I189" i="110"/>
  <c r="AC189" i="110" s="1"/>
  <c r="AF189" i="110" s="1"/>
  <c r="H189" i="110"/>
  <c r="AB189" i="110" s="1"/>
  <c r="AE189" i="110" s="1"/>
  <c r="G189" i="110"/>
  <c r="AA189" i="110" s="1"/>
  <c r="AD189" i="110" s="1"/>
  <c r="F304" i="110"/>
  <c r="E304" i="110" s="1"/>
  <c r="L246" i="110"/>
  <c r="AA226" i="110"/>
  <c r="AD226" i="110" s="1"/>
  <c r="M226" i="110"/>
  <c r="S210" i="110"/>
  <c r="AA210" i="110"/>
  <c r="AD210" i="110" s="1"/>
  <c r="AA108" i="110"/>
  <c r="AD108" i="110" s="1"/>
  <c r="T99" i="110"/>
  <c r="R99" i="110"/>
  <c r="Q99" i="110"/>
  <c r="AA99" i="110"/>
  <c r="AD99" i="110" s="1"/>
  <c r="L99" i="110"/>
  <c r="P99" i="110"/>
  <c r="U99" i="110"/>
  <c r="M99" i="110"/>
  <c r="N99" i="110"/>
  <c r="J99" i="110"/>
  <c r="S99" i="110"/>
  <c r="O99" i="110"/>
  <c r="K99" i="110"/>
  <c r="J244" i="110"/>
  <c r="T244" i="110"/>
  <c r="P244" i="110"/>
  <c r="M244" i="110"/>
  <c r="R244" i="110"/>
  <c r="L39" i="124"/>
  <c r="L41" i="124" s="1"/>
  <c r="K244" i="110"/>
  <c r="S244" i="110"/>
  <c r="Q244" i="110"/>
  <c r="U220" i="110"/>
  <c r="H39" i="124"/>
  <c r="H41" i="124" s="1"/>
  <c r="R236" i="110"/>
  <c r="R242" i="110"/>
  <c r="S236" i="110"/>
  <c r="T236" i="110"/>
  <c r="K220" i="110"/>
  <c r="Q236" i="110"/>
  <c r="K242" i="110"/>
  <c r="L244" i="110"/>
  <c r="U244" i="110"/>
  <c r="J236" i="110"/>
  <c r="S220" i="110"/>
  <c r="U236" i="110"/>
  <c r="R212" i="110"/>
  <c r="AA212" i="110"/>
  <c r="AD212" i="110" s="1"/>
  <c r="N236" i="110"/>
  <c r="O236" i="110"/>
  <c r="L242" i="110"/>
  <c r="L236" i="110"/>
  <c r="P236" i="110"/>
  <c r="M236" i="110"/>
  <c r="N242" i="110"/>
  <c r="S242" i="110"/>
  <c r="J242" i="110"/>
  <c r="T242" i="110"/>
  <c r="V301" i="58"/>
  <c r="L220" i="110"/>
  <c r="M242" i="110"/>
  <c r="U242" i="110"/>
  <c r="L414" i="110"/>
  <c r="I105" i="137"/>
  <c r="I161" i="137" s="1"/>
  <c r="I81" i="137"/>
  <c r="V300" i="58"/>
  <c r="L301" i="58"/>
  <c r="V320" i="58"/>
  <c r="V280" i="58"/>
  <c r="V339" i="58"/>
  <c r="H30" i="124"/>
  <c r="H43" i="124" s="1"/>
  <c r="H44" i="124" s="1"/>
  <c r="F28" i="124"/>
  <c r="U260" i="58"/>
  <c r="L17" i="138" s="1"/>
  <c r="L55" i="138" s="1"/>
  <c r="R302" i="58"/>
  <c r="P30" i="35"/>
  <c r="R301" i="58"/>
  <c r="T339" i="58"/>
  <c r="R339" i="58"/>
  <c r="P17" i="35"/>
  <c r="T301" i="58"/>
  <c r="W280" i="58"/>
  <c r="W281" i="58"/>
  <c r="F30" i="124"/>
  <c r="F31" i="124" s="1"/>
  <c r="O36" i="124"/>
  <c r="O38" i="124" s="1"/>
  <c r="U31" i="181"/>
  <c r="P32" i="181"/>
  <c r="J414" i="110"/>
  <c r="S414" i="110"/>
  <c r="O19" i="124"/>
  <c r="P280" i="58"/>
  <c r="P320" i="58"/>
  <c r="R280" i="58"/>
  <c r="M4" i="26"/>
  <c r="R320" i="58"/>
  <c r="V411" i="110"/>
  <c r="F16" i="124"/>
  <c r="F23" i="124" s="1"/>
  <c r="L30" i="124"/>
  <c r="L43" i="124" s="1"/>
  <c r="L44" i="124" s="1"/>
  <c r="L19" i="124"/>
  <c r="P414" i="110"/>
  <c r="K30" i="124"/>
  <c r="K43" i="124" s="1"/>
  <c r="K44" i="124" s="1"/>
  <c r="K19" i="124"/>
  <c r="L300" i="58"/>
  <c r="P20" i="35"/>
  <c r="P18" i="35"/>
  <c r="P12" i="35"/>
  <c r="H5" i="124"/>
  <c r="H61" i="124" s="1"/>
  <c r="P14" i="35"/>
  <c r="D4" i="26"/>
  <c r="N6" i="138"/>
  <c r="Q5" i="124"/>
  <c r="Q61" i="124" s="1"/>
  <c r="P65" i="35"/>
  <c r="H142" i="133"/>
  <c r="P56" i="35"/>
  <c r="U300" i="58"/>
  <c r="P23" i="35"/>
  <c r="N4" i="138"/>
  <c r="P46" i="35"/>
  <c r="P24" i="35"/>
  <c r="Q142" i="133"/>
  <c r="P53" i="35"/>
  <c r="P21" i="35"/>
  <c r="M39" i="124"/>
  <c r="M41" i="124" s="1"/>
  <c r="O5" i="35"/>
  <c r="O24" i="35" s="1"/>
  <c r="U339" i="58"/>
  <c r="L4" i="26"/>
  <c r="U302" i="58"/>
  <c r="P5" i="124"/>
  <c r="P61" i="124" s="1"/>
  <c r="U320" i="58"/>
  <c r="P30" i="124"/>
  <c r="P43" i="124" s="1"/>
  <c r="P44" i="124" s="1"/>
  <c r="P45" i="124" s="1"/>
  <c r="M50" i="181"/>
  <c r="M51" i="181" s="1"/>
  <c r="U280" i="58"/>
  <c r="U34" i="181"/>
  <c r="V413" i="110"/>
  <c r="O414" i="110"/>
  <c r="K39" i="124"/>
  <c r="K41" i="124" s="1"/>
  <c r="P260" i="58"/>
  <c r="M30" i="124"/>
  <c r="M43" i="124" s="1"/>
  <c r="M44" i="124" s="1"/>
  <c r="T414" i="110"/>
  <c r="U45" i="181"/>
  <c r="P19" i="124"/>
  <c r="P339" i="58"/>
  <c r="U62" i="181"/>
  <c r="K414" i="110"/>
  <c r="G28" i="124"/>
  <c r="V412" i="110"/>
  <c r="N339" i="58"/>
  <c r="P28" i="124"/>
  <c r="U61" i="181"/>
  <c r="N281" i="58"/>
  <c r="N280" i="58"/>
  <c r="M301" i="58"/>
  <c r="P300" i="58"/>
  <c r="W302" i="58"/>
  <c r="W300" i="58"/>
  <c r="W301" i="58"/>
  <c r="P302" i="58"/>
  <c r="P301" i="58"/>
  <c r="M300" i="58"/>
  <c r="L52" i="181"/>
  <c r="L37" i="181"/>
  <c r="P25" i="124"/>
  <c r="M339" i="58"/>
  <c r="F17" i="35"/>
  <c r="I54" i="181"/>
  <c r="U35" i="181"/>
  <c r="I37" i="181"/>
  <c r="K21" i="35"/>
  <c r="K13" i="35"/>
  <c r="K31" i="138" s="1"/>
  <c r="K17" i="35"/>
  <c r="K14" i="35"/>
  <c r="I4" i="138"/>
  <c r="K65" i="35"/>
  <c r="K12" i="35"/>
  <c r="K18" i="35"/>
  <c r="K24" i="35"/>
  <c r="K46" i="35"/>
  <c r="K23" i="35"/>
  <c r="K53" i="35"/>
  <c r="K20" i="35"/>
  <c r="K56" i="35"/>
  <c r="K30" i="35"/>
  <c r="X289" i="58"/>
  <c r="X298" i="58" s="1"/>
  <c r="X301" i="58" s="1"/>
  <c r="N302" i="58"/>
  <c r="N300" i="58"/>
  <c r="Q260" i="58"/>
  <c r="H17" i="138" s="1"/>
  <c r="M19" i="124"/>
  <c r="O298" i="58"/>
  <c r="S320" i="58"/>
  <c r="S280" i="58"/>
  <c r="L339" i="58"/>
  <c r="X338" i="58"/>
  <c r="N260" i="58"/>
  <c r="E17" i="138" s="1"/>
  <c r="X190" i="58"/>
  <c r="I51" i="181"/>
  <c r="O320" i="58"/>
  <c r="O280" i="58"/>
  <c r="J56" i="181"/>
  <c r="G13" i="35"/>
  <c r="G31" i="138" s="1"/>
  <c r="G56" i="35"/>
  <c r="G20" i="35"/>
  <c r="G12" i="35"/>
  <c r="G14" i="35"/>
  <c r="G17" i="35"/>
  <c r="G53" i="35"/>
  <c r="E4" i="138"/>
  <c r="G23" i="35"/>
  <c r="G18" i="35"/>
  <c r="G21" i="35"/>
  <c r="G30" i="35"/>
  <c r="G24" i="35"/>
  <c r="G46" i="35"/>
  <c r="G65" i="35"/>
  <c r="O18" i="138"/>
  <c r="X259" i="58"/>
  <c r="O281" i="58"/>
  <c r="Q414" i="110"/>
  <c r="L280" i="58"/>
  <c r="L320" i="58"/>
  <c r="S302" i="58"/>
  <c r="S300" i="58"/>
  <c r="S339" i="58"/>
  <c r="X319" i="58"/>
  <c r="G326" i="58" s="1"/>
  <c r="M320" i="58"/>
  <c r="X278" i="58"/>
  <c r="X281" i="58" s="1"/>
  <c r="J29" i="133"/>
  <c r="J36" i="133"/>
  <c r="G62" i="35"/>
  <c r="S143" i="133"/>
  <c r="T30" i="133"/>
  <c r="T36" i="133" s="1"/>
  <c r="S40" i="133"/>
  <c r="T29" i="133"/>
  <c r="R17" i="124"/>
  <c r="N19" i="124"/>
  <c r="J61" i="178"/>
  <c r="J66" i="178" s="1"/>
  <c r="E32" i="138" s="1"/>
  <c r="H61" i="178"/>
  <c r="H66" i="178" s="1"/>
  <c r="N61" i="178"/>
  <c r="N66" i="178" s="1"/>
  <c r="N67" i="178" s="1"/>
  <c r="L46" i="178"/>
  <c r="L61" i="178" s="1"/>
  <c r="L66" i="178" s="1"/>
  <c r="M21" i="178"/>
  <c r="Q78" i="178"/>
  <c r="L57" i="35"/>
  <c r="P57" i="178"/>
  <c r="Q57" i="178" s="1"/>
  <c r="Q60" i="178" s="1"/>
  <c r="Q61" i="178" s="1"/>
  <c r="Q66" i="178" s="1"/>
  <c r="O60" i="178"/>
  <c r="O61" i="178" s="1"/>
  <c r="O66" i="178" s="1"/>
  <c r="D32" i="138"/>
  <c r="I67" i="178"/>
  <c r="M57" i="35"/>
  <c r="R78" i="178"/>
  <c r="O57" i="35" s="1"/>
  <c r="K46" i="178"/>
  <c r="S23" i="178"/>
  <c r="S46" i="178" s="1"/>
  <c r="S61" i="178" s="1"/>
  <c r="S66" i="178" s="1"/>
  <c r="R46" i="178"/>
  <c r="R61" i="178" s="1"/>
  <c r="R66" i="178" s="1"/>
  <c r="T48" i="178"/>
  <c r="N39" i="124"/>
  <c r="N41" i="124" s="1"/>
  <c r="L23" i="124"/>
  <c r="L36" i="124" s="1"/>
  <c r="L38" i="124" s="1"/>
  <c r="X40" i="137"/>
  <c r="K40" i="137" s="1"/>
  <c r="K120" i="137" s="1"/>
  <c r="N42" i="124"/>
  <c r="V331" i="110"/>
  <c r="V247" i="110"/>
  <c r="V405" i="110"/>
  <c r="G19" i="124"/>
  <c r="G23" i="124"/>
  <c r="H23" i="124"/>
  <c r="H19" i="124"/>
  <c r="V362" i="110"/>
  <c r="I29" i="124"/>
  <c r="I30" i="124"/>
  <c r="R18" i="124"/>
  <c r="X12" i="137"/>
  <c r="K12" i="137" s="1"/>
  <c r="Q34" i="124"/>
  <c r="J28" i="124"/>
  <c r="J39" i="124"/>
  <c r="R26" i="124"/>
  <c r="R28" i="124" s="1"/>
  <c r="X54" i="137"/>
  <c r="K54" i="137" s="1"/>
  <c r="K134" i="137" s="1"/>
  <c r="X53" i="137"/>
  <c r="K53" i="137" s="1"/>
  <c r="K133" i="137" s="1"/>
  <c r="V182" i="110"/>
  <c r="U14" i="181"/>
  <c r="V229" i="110"/>
  <c r="X10" i="137"/>
  <c r="K10" i="137" s="1"/>
  <c r="K91" i="137" s="1"/>
  <c r="V302" i="110"/>
  <c r="V344" i="110"/>
  <c r="X71" i="137"/>
  <c r="K71" i="137" s="1"/>
  <c r="K151" i="137" s="1"/>
  <c r="V345" i="110"/>
  <c r="X15" i="137"/>
  <c r="K15" i="137" s="1"/>
  <c r="K95" i="137" s="1"/>
  <c r="D6" i="138" l="1"/>
  <c r="D55" i="138"/>
  <c r="W36" i="137"/>
  <c r="R66" i="133"/>
  <c r="R67" i="133" s="1"/>
  <c r="I53" i="133"/>
  <c r="U212" i="110"/>
  <c r="P20" i="157"/>
  <c r="P21" i="157" s="1"/>
  <c r="Q212" i="110"/>
  <c r="Q327" i="110"/>
  <c r="H23" i="35"/>
  <c r="N20" i="35"/>
  <c r="P212" i="110"/>
  <c r="N36" i="137"/>
  <c r="L212" i="110"/>
  <c r="I18" i="35"/>
  <c r="I12" i="35"/>
  <c r="I53" i="35"/>
  <c r="I13" i="35"/>
  <c r="I31" i="138" s="1"/>
  <c r="H21" i="35"/>
  <c r="I46" i="35"/>
  <c r="I56" i="35"/>
  <c r="I17" i="35"/>
  <c r="I30" i="35"/>
  <c r="G4" i="138"/>
  <c r="H13" i="35"/>
  <c r="H31" i="138" s="1"/>
  <c r="I21" i="35"/>
  <c r="I14" i="35"/>
  <c r="I65" i="35"/>
  <c r="I20" i="35"/>
  <c r="I23" i="35"/>
  <c r="M55" i="138"/>
  <c r="F6" i="138"/>
  <c r="N212" i="110"/>
  <c r="N327" i="110"/>
  <c r="O36" i="137"/>
  <c r="M212" i="110"/>
  <c r="Q36" i="137"/>
  <c r="S212" i="110"/>
  <c r="O212" i="110"/>
  <c r="S327" i="110"/>
  <c r="M20" i="35"/>
  <c r="M13" i="35"/>
  <c r="M31" i="138" s="1"/>
  <c r="M23" i="35"/>
  <c r="M18" i="35"/>
  <c r="V36" i="137"/>
  <c r="T212" i="110"/>
  <c r="M56" i="35"/>
  <c r="M30" i="35"/>
  <c r="M21" i="35"/>
  <c r="M17" i="35"/>
  <c r="M46" i="35"/>
  <c r="M24" i="35"/>
  <c r="M14" i="35"/>
  <c r="M65" i="35"/>
  <c r="K4" i="138"/>
  <c r="M53" i="35"/>
  <c r="M28" i="138" s="1"/>
  <c r="K212" i="110"/>
  <c r="K327" i="110"/>
  <c r="F18" i="35"/>
  <c r="F29" i="138" s="1"/>
  <c r="L36" i="137"/>
  <c r="D4" i="138"/>
  <c r="F21" i="35"/>
  <c r="F20" i="35"/>
  <c r="F53" i="35"/>
  <c r="F30" i="35"/>
  <c r="J212" i="110"/>
  <c r="F65" i="35"/>
  <c r="F56" i="35"/>
  <c r="P327" i="110"/>
  <c r="F12" i="35"/>
  <c r="V125" i="110"/>
  <c r="F24" i="35"/>
  <c r="F23" i="35"/>
  <c r="F46" i="35"/>
  <c r="F13" i="35"/>
  <c r="BZ130" i="188"/>
  <c r="EB30" i="188"/>
  <c r="EC30" i="188"/>
  <c r="EJ30" i="188"/>
  <c r="EE30" i="188"/>
  <c r="EF30" i="188"/>
  <c r="EG30" i="188"/>
  <c r="EA30" i="188"/>
  <c r="EA74" i="188" s="1"/>
  <c r="ED30" i="188"/>
  <c r="EK30" i="188"/>
  <c r="DZ30" i="188"/>
  <c r="EI30" i="188"/>
  <c r="EH30" i="188"/>
  <c r="O167" i="137"/>
  <c r="EH74" i="188"/>
  <c r="G24" i="119"/>
  <c r="N20" i="119"/>
  <c r="G24" i="193"/>
  <c r="F55" i="193"/>
  <c r="F64" i="193" s="1"/>
  <c r="F73" i="193" s="1"/>
  <c r="EE12" i="188"/>
  <c r="EE14" i="188" s="1"/>
  <c r="EG12" i="188"/>
  <c r="EG14" i="188" s="1"/>
  <c r="EF12" i="188"/>
  <c r="EF14" i="188" s="1"/>
  <c r="EI12" i="188"/>
  <c r="EI14" i="188" s="1"/>
  <c r="EB12" i="188"/>
  <c r="EB14" i="188" s="1"/>
  <c r="ED12" i="188"/>
  <c r="ED14" i="188" s="1"/>
  <c r="EC12" i="188"/>
  <c r="EC14" i="188" s="1"/>
  <c r="EA12" i="188"/>
  <c r="EA14" i="188" s="1"/>
  <c r="EH12" i="188"/>
  <c r="EH14" i="188" s="1"/>
  <c r="EJ12" i="188"/>
  <c r="EJ14" i="188" s="1"/>
  <c r="DZ12" i="188"/>
  <c r="EK12" i="188"/>
  <c r="EK14" i="188" s="1"/>
  <c r="G23" i="193"/>
  <c r="F27" i="193"/>
  <c r="F54" i="193"/>
  <c r="Q20" i="192"/>
  <c r="Q25" i="192" s="1"/>
  <c r="Q74" i="192"/>
  <c r="R74" i="192" s="1"/>
  <c r="EF71" i="188"/>
  <c r="EG71" i="188"/>
  <c r="EG74" i="188" s="1"/>
  <c r="ED71" i="188"/>
  <c r="EA71" i="188"/>
  <c r="EI71" i="188"/>
  <c r="DZ71" i="188"/>
  <c r="EC71" i="188"/>
  <c r="EE71" i="188"/>
  <c r="EJ71" i="188"/>
  <c r="EH71" i="188"/>
  <c r="EB71" i="188"/>
  <c r="EK71" i="188"/>
  <c r="O11" i="175"/>
  <c r="O12" i="175" s="1"/>
  <c r="Q76" i="192"/>
  <c r="E18" i="193"/>
  <c r="C117" i="193"/>
  <c r="E17" i="193"/>
  <c r="N23" i="199"/>
  <c r="N25" i="199" s="1"/>
  <c r="CY29" i="188"/>
  <c r="CY130" i="188" s="1"/>
  <c r="DL12" i="188"/>
  <c r="DL14" i="188" s="1"/>
  <c r="CZ14" i="188"/>
  <c r="E63" i="193"/>
  <c r="E58" i="193"/>
  <c r="X168" i="137"/>
  <c r="G26" i="193"/>
  <c r="F57" i="193"/>
  <c r="F66" i="193" s="1"/>
  <c r="F75" i="193" s="1"/>
  <c r="ED93" i="188"/>
  <c r="EE93" i="188"/>
  <c r="EC93" i="188"/>
  <c r="EI93" i="188"/>
  <c r="EK93" i="188"/>
  <c r="EJ93" i="188"/>
  <c r="EF93" i="188"/>
  <c r="EB93" i="188"/>
  <c r="EA93" i="188"/>
  <c r="EG93" i="188"/>
  <c r="EH93" i="188"/>
  <c r="DZ93" i="188"/>
  <c r="U63" i="181"/>
  <c r="DH29" i="188"/>
  <c r="DL27" i="188"/>
  <c r="P168" i="137"/>
  <c r="P163" i="137"/>
  <c r="P167" i="137" s="1"/>
  <c r="P169" i="137" s="1"/>
  <c r="CL97" i="188"/>
  <c r="DL63" i="188"/>
  <c r="N13" i="119"/>
  <c r="DD102" i="188"/>
  <c r="DD122" i="188" s="1"/>
  <c r="DD130" i="188" s="1"/>
  <c r="DF102" i="188"/>
  <c r="DF122" i="188" s="1"/>
  <c r="DF130" i="188" s="1"/>
  <c r="DC102" i="188"/>
  <c r="DC122" i="188" s="1"/>
  <c r="DC130" i="188" s="1"/>
  <c r="DK102" i="188"/>
  <c r="DK122" i="188" s="1"/>
  <c r="DK130" i="188" s="1"/>
  <c r="DH102" i="188"/>
  <c r="DH122" i="188" s="1"/>
  <c r="DH130" i="188" s="1"/>
  <c r="CZ102" i="188"/>
  <c r="DB102" i="188"/>
  <c r="DB122" i="188" s="1"/>
  <c r="DB130" i="188" s="1"/>
  <c r="DA102" i="188"/>
  <c r="DA122" i="188" s="1"/>
  <c r="DA130" i="188" s="1"/>
  <c r="DJ102" i="188"/>
  <c r="DJ122" i="188" s="1"/>
  <c r="DJ130" i="188" s="1"/>
  <c r="K102" i="188"/>
  <c r="DE102" i="188"/>
  <c r="DE122" i="188" s="1"/>
  <c r="DE130" i="188" s="1"/>
  <c r="DG102" i="188"/>
  <c r="DG122" i="188" s="1"/>
  <c r="DI102" i="188"/>
  <c r="DI122" i="188" s="1"/>
  <c r="DI130" i="188" s="1"/>
  <c r="DL93" i="188"/>
  <c r="F56" i="193"/>
  <c r="F65" i="193" s="1"/>
  <c r="F74" i="193" s="1"/>
  <c r="G25" i="193"/>
  <c r="EJ92" i="188"/>
  <c r="DZ92" i="188"/>
  <c r="EK92" i="188"/>
  <c r="EH92" i="188"/>
  <c r="EA92" i="188"/>
  <c r="EA97" i="188" s="1"/>
  <c r="EC92" i="188"/>
  <c r="EB92" i="188"/>
  <c r="EB97" i="188" s="1"/>
  <c r="EF92" i="188"/>
  <c r="EF97" i="188" s="1"/>
  <c r="EE92" i="188"/>
  <c r="EE97" i="188" s="1"/>
  <c r="EG92" i="188"/>
  <c r="EG97" i="188" s="1"/>
  <c r="EI92" i="188"/>
  <c r="EI97" i="188" s="1"/>
  <c r="ED92" i="188"/>
  <c r="ED97" i="188" s="1"/>
  <c r="EK74" i="188"/>
  <c r="DL29" i="188"/>
  <c r="I22" i="119"/>
  <c r="EJ64" i="188"/>
  <c r="EH64" i="188"/>
  <c r="EG64" i="188"/>
  <c r="ED64" i="188"/>
  <c r="EC64" i="188"/>
  <c r="DZ64" i="188"/>
  <c r="EK64" i="188"/>
  <c r="EE64" i="188"/>
  <c r="EB64" i="188"/>
  <c r="EF64" i="188"/>
  <c r="EI64" i="188"/>
  <c r="EA64" i="188"/>
  <c r="BZ122" i="188"/>
  <c r="CL102" i="188"/>
  <c r="CL122" i="188" s="1"/>
  <c r="F45" i="35"/>
  <c r="D36" i="138" s="1"/>
  <c r="D56" i="138" s="1"/>
  <c r="G97" i="133"/>
  <c r="G22" i="119"/>
  <c r="EH27" i="188"/>
  <c r="DU29" i="188"/>
  <c r="DU130" i="188" s="1"/>
  <c r="DY27" i="188"/>
  <c r="CZ97" i="188"/>
  <c r="DL92" i="188"/>
  <c r="DL97" i="188" s="1"/>
  <c r="DI97" i="188"/>
  <c r="DY29" i="188"/>
  <c r="DY130" i="188" s="1"/>
  <c r="DL64" i="188"/>
  <c r="K50" i="192"/>
  <c r="J56" i="192"/>
  <c r="EL112" i="188"/>
  <c r="R67" i="192"/>
  <c r="DL30" i="188"/>
  <c r="DL74" i="188" s="1"/>
  <c r="EG63" i="188"/>
  <c r="EC63" i="188"/>
  <c r="EC74" i="188" s="1"/>
  <c r="EF63" i="188"/>
  <c r="DZ63" i="188"/>
  <c r="EJ63" i="188"/>
  <c r="EJ74" i="188" s="1"/>
  <c r="EH63" i="188"/>
  <c r="EB63" i="188"/>
  <c r="EB74" i="188" s="1"/>
  <c r="EI63" i="188"/>
  <c r="EE63" i="188"/>
  <c r="EE74" i="188" s="1"/>
  <c r="EA63" i="188"/>
  <c r="EK63" i="188"/>
  <c r="ED63" i="188"/>
  <c r="ED74" i="188" s="1"/>
  <c r="CL74" i="188"/>
  <c r="CL130" i="188" s="1"/>
  <c r="CL131" i="188" s="1"/>
  <c r="EJ69" i="188"/>
  <c r="EA69" i="188"/>
  <c r="DZ69" i="188"/>
  <c r="EF69" i="188"/>
  <c r="EF74" i="188" s="1"/>
  <c r="EI69" i="188"/>
  <c r="EI74" i="188" s="1"/>
  <c r="EE69" i="188"/>
  <c r="ED69" i="188"/>
  <c r="EC69" i="188"/>
  <c r="EH69" i="188"/>
  <c r="EB69" i="188"/>
  <c r="EK69" i="188"/>
  <c r="EG69" i="188"/>
  <c r="N12" i="175"/>
  <c r="C42" i="138"/>
  <c r="P98" i="192"/>
  <c r="Q6" i="192"/>
  <c r="Q61" i="192" s="1"/>
  <c r="P61" i="192"/>
  <c r="R6" i="192"/>
  <c r="R73" i="192"/>
  <c r="R76" i="192" s="1"/>
  <c r="R82" i="192" s="1"/>
  <c r="R83" i="192" s="1"/>
  <c r="F76" i="192"/>
  <c r="O13" i="192"/>
  <c r="H110" i="192"/>
  <c r="H111" i="192" s="1"/>
  <c r="H112" i="192" s="1"/>
  <c r="H82" i="192"/>
  <c r="H94" i="192" s="1"/>
  <c r="O64" i="181"/>
  <c r="DG130" i="188"/>
  <c r="Q60" i="192"/>
  <c r="R60" i="192" s="1"/>
  <c r="R5" i="192"/>
  <c r="O109" i="192"/>
  <c r="O69" i="192"/>
  <c r="R61" i="192"/>
  <c r="H12" i="35"/>
  <c r="H14" i="35"/>
  <c r="G110" i="192"/>
  <c r="G111" i="192" s="1"/>
  <c r="G112" i="192" s="1"/>
  <c r="G82" i="192"/>
  <c r="G94" i="192" s="1"/>
  <c r="K92" i="192"/>
  <c r="K107" i="192" s="1"/>
  <c r="H30" i="35"/>
  <c r="H53" i="35"/>
  <c r="EG29" i="188"/>
  <c r="EL28" i="188"/>
  <c r="I110" i="192"/>
  <c r="I111" i="192" s="1"/>
  <c r="I112" i="192" s="1"/>
  <c r="I82" i="192"/>
  <c r="I94" i="192" s="1"/>
  <c r="K100" i="192"/>
  <c r="K36" i="192"/>
  <c r="EL40" i="188"/>
  <c r="F4" i="138"/>
  <c r="O82" i="192"/>
  <c r="O110" i="192"/>
  <c r="K110" i="192"/>
  <c r="K111" i="192" s="1"/>
  <c r="K82" i="192"/>
  <c r="K94" i="192" s="1"/>
  <c r="L29" i="192"/>
  <c r="L46" i="192"/>
  <c r="L47" i="192" s="1"/>
  <c r="M48" i="199"/>
  <c r="M50" i="199" s="1"/>
  <c r="M60" i="199" s="1"/>
  <c r="M63" i="199"/>
  <c r="H56" i="35"/>
  <c r="J129" i="133"/>
  <c r="J130" i="133" s="1"/>
  <c r="J96" i="133"/>
  <c r="H20" i="35"/>
  <c r="H24" i="35"/>
  <c r="EL32" i="188"/>
  <c r="DZ74" i="188"/>
  <c r="Q82" i="192"/>
  <c r="Q110" i="192"/>
  <c r="M110" i="192"/>
  <c r="M111" i="192" s="1"/>
  <c r="M82" i="192"/>
  <c r="N48" i="199"/>
  <c r="N50" i="199" s="1"/>
  <c r="N60" i="199" s="1"/>
  <c r="N63" i="199"/>
  <c r="R64" i="192"/>
  <c r="H65" i="35"/>
  <c r="H18" i="35"/>
  <c r="H17" i="35"/>
  <c r="L110" i="192"/>
  <c r="L111" i="192" s="1"/>
  <c r="L82" i="192"/>
  <c r="P82" i="192"/>
  <c r="P110" i="192"/>
  <c r="O21" i="199"/>
  <c r="P15" i="199"/>
  <c r="O16" i="199"/>
  <c r="O22" i="199" s="1"/>
  <c r="J110" i="192"/>
  <c r="J111" i="192" s="1"/>
  <c r="J112" i="192" s="1"/>
  <c r="J82" i="192"/>
  <c r="J94" i="192" s="1"/>
  <c r="N110" i="192"/>
  <c r="N111" i="192" s="1"/>
  <c r="N82" i="192"/>
  <c r="H36" i="193"/>
  <c r="R106" i="192"/>
  <c r="P63" i="192"/>
  <c r="O71" i="193"/>
  <c r="P71" i="193" s="1"/>
  <c r="O53" i="193"/>
  <c r="K50" i="35"/>
  <c r="H35" i="138"/>
  <c r="P53" i="193"/>
  <c r="I74" i="35"/>
  <c r="I75" i="35" s="1"/>
  <c r="H74" i="35"/>
  <c r="E41" i="138"/>
  <c r="D42" i="138"/>
  <c r="C12" i="26"/>
  <c r="H73" i="133"/>
  <c r="G73" i="133"/>
  <c r="I73" i="133"/>
  <c r="F73" i="133"/>
  <c r="AZ5" i="133"/>
  <c r="AY44" i="133"/>
  <c r="H53" i="133"/>
  <c r="G143" i="133"/>
  <c r="I89" i="133"/>
  <c r="H44" i="35" s="1"/>
  <c r="H143" i="133"/>
  <c r="I143" i="133"/>
  <c r="U97" i="133"/>
  <c r="I127" i="133"/>
  <c r="I74" i="133" s="1"/>
  <c r="J126" i="133"/>
  <c r="J73" i="133" s="1"/>
  <c r="AW89" i="133"/>
  <c r="I124" i="133"/>
  <c r="H128" i="133"/>
  <c r="J125" i="133"/>
  <c r="AR74" i="133"/>
  <c r="BE74" i="133"/>
  <c r="AE74" i="133"/>
  <c r="U73" i="133"/>
  <c r="BA73" i="133"/>
  <c r="T73" i="133"/>
  <c r="AB73" i="133"/>
  <c r="V73" i="133"/>
  <c r="AG73" i="133"/>
  <c r="AI73" i="133"/>
  <c r="AQ73" i="133"/>
  <c r="AV73" i="133"/>
  <c r="BD73" i="133"/>
  <c r="X73" i="133"/>
  <c r="Z73" i="133"/>
  <c r="BB73" i="133"/>
  <c r="D72" i="133"/>
  <c r="AW73" i="133"/>
  <c r="AN73" i="133"/>
  <c r="AX73" i="133"/>
  <c r="AZ73" i="133"/>
  <c r="AT73" i="133"/>
  <c r="AC73" i="133"/>
  <c r="AH73" i="133"/>
  <c r="AP73" i="133"/>
  <c r="AJ73" i="133"/>
  <c r="AL73" i="133"/>
  <c r="W73" i="133"/>
  <c r="S73" i="133"/>
  <c r="AA73" i="133"/>
  <c r="AS73" i="133"/>
  <c r="AF73" i="133"/>
  <c r="AU73" i="133"/>
  <c r="AM73" i="133"/>
  <c r="AY73" i="133"/>
  <c r="Y73" i="133"/>
  <c r="AK73" i="133"/>
  <c r="AD73" i="133"/>
  <c r="AO73" i="133"/>
  <c r="BC73" i="133"/>
  <c r="X17" i="133"/>
  <c r="W20" i="133"/>
  <c r="W25" i="133" s="1"/>
  <c r="W95" i="133" s="1"/>
  <c r="W57" i="133"/>
  <c r="AA7" i="133"/>
  <c r="Z46" i="133"/>
  <c r="Y47" i="133"/>
  <c r="Y87" i="133" s="1"/>
  <c r="AM49" i="133"/>
  <c r="AN10" i="133"/>
  <c r="AA20" i="119"/>
  <c r="AX45" i="133"/>
  <c r="AX47" i="133" s="1"/>
  <c r="AX87" i="133" s="1"/>
  <c r="AY6" i="133"/>
  <c r="AX8" i="133"/>
  <c r="BB10" i="133"/>
  <c r="BA49" i="133"/>
  <c r="AM6" i="133"/>
  <c r="AL45" i="133"/>
  <c r="AL47" i="133" s="1"/>
  <c r="AL87" i="133" s="1"/>
  <c r="K45" i="133"/>
  <c r="AN5" i="133"/>
  <c r="AM44" i="133"/>
  <c r="AP23" i="133"/>
  <c r="AO63" i="133"/>
  <c r="AB23" i="133"/>
  <c r="AA63" i="133"/>
  <c r="R122" i="133"/>
  <c r="BB63" i="133"/>
  <c r="BC23" i="133"/>
  <c r="AI60" i="133"/>
  <c r="AI88" i="133" s="1"/>
  <c r="AI89" i="133" s="1"/>
  <c r="AK17" i="133"/>
  <c r="AJ20" i="133"/>
  <c r="AJ57" i="133"/>
  <c r="AJ60" i="133" s="1"/>
  <c r="AJ88" i="133" s="1"/>
  <c r="AJ89" i="133" s="1"/>
  <c r="Z48" i="133"/>
  <c r="AA9" i="133"/>
  <c r="Z45" i="133"/>
  <c r="AA6" i="133"/>
  <c r="I94" i="133"/>
  <c r="I97" i="133" s="1"/>
  <c r="I40" i="133"/>
  <c r="H62" i="35" s="1"/>
  <c r="K5" i="133"/>
  <c r="J8" i="133"/>
  <c r="J13" i="133" s="1"/>
  <c r="J44" i="133"/>
  <c r="AZ9" i="133"/>
  <c r="AY48" i="133"/>
  <c r="AO7" i="133"/>
  <c r="AN46" i="133"/>
  <c r="V84" i="133"/>
  <c r="V66" i="133"/>
  <c r="T24" i="119"/>
  <c r="T25" i="119" s="1"/>
  <c r="Q22" i="35"/>
  <c r="BB7" i="133"/>
  <c r="BA46" i="133"/>
  <c r="AK122" i="133"/>
  <c r="AK128" i="133" s="1"/>
  <c r="AJ128" i="133"/>
  <c r="K48" i="133"/>
  <c r="K51" i="133" s="1"/>
  <c r="L9" i="133"/>
  <c r="K12" i="133"/>
  <c r="AN19" i="133"/>
  <c r="AM59" i="133"/>
  <c r="X87" i="133"/>
  <c r="T53" i="133"/>
  <c r="T83" i="133"/>
  <c r="S97" i="133"/>
  <c r="J83" i="133"/>
  <c r="O46" i="133"/>
  <c r="AQ21" i="133"/>
  <c r="AP61" i="133"/>
  <c r="X22" i="133"/>
  <c r="W62" i="133"/>
  <c r="Y21" i="133"/>
  <c r="X61" i="133"/>
  <c r="AA10" i="133"/>
  <c r="Z49" i="133"/>
  <c r="AA5" i="133"/>
  <c r="Z8" i="133"/>
  <c r="Z44" i="133"/>
  <c r="AN18" i="133"/>
  <c r="AM58" i="133"/>
  <c r="U53" i="133"/>
  <c r="U83" i="133"/>
  <c r="AX60" i="133"/>
  <c r="AM9" i="133"/>
  <c r="AL48" i="133"/>
  <c r="BB19" i="133"/>
  <c r="BA59" i="133"/>
  <c r="U84" i="133"/>
  <c r="U66" i="133"/>
  <c r="AB19" i="133"/>
  <c r="AA59" i="133"/>
  <c r="AY20" i="133"/>
  <c r="AZ17" i="133"/>
  <c r="AY57" i="133"/>
  <c r="AY60" i="133" s="1"/>
  <c r="G45" i="35"/>
  <c r="G67" i="35" s="1"/>
  <c r="W11" i="133"/>
  <c r="V12" i="133"/>
  <c r="V13" i="133" s="1"/>
  <c r="V50" i="133"/>
  <c r="V51" i="133" s="1"/>
  <c r="AE58" i="133"/>
  <c r="I55" i="138"/>
  <c r="Z99" i="58"/>
  <c r="L28" i="138"/>
  <c r="L29" i="138"/>
  <c r="O25" i="119"/>
  <c r="AX128" i="133"/>
  <c r="BE122" i="133"/>
  <c r="BE128" i="133" s="1"/>
  <c r="AE122" i="133"/>
  <c r="AE128" i="133" s="1"/>
  <c r="S89" i="133"/>
  <c r="AS89" i="133"/>
  <c r="R88" i="133"/>
  <c r="AF89" i="133"/>
  <c r="E44" i="35"/>
  <c r="R23" i="199"/>
  <c r="S23" i="199"/>
  <c r="F25" i="199"/>
  <c r="J67" i="178"/>
  <c r="H72" i="178"/>
  <c r="X38" i="137"/>
  <c r="K38" i="137" s="1"/>
  <c r="K118" i="137" s="1"/>
  <c r="N24" i="35"/>
  <c r="N17" i="35"/>
  <c r="N53" i="35"/>
  <c r="N56" i="35"/>
  <c r="N46" i="35"/>
  <c r="N65" i="35"/>
  <c r="N12" i="35"/>
  <c r="N23" i="35"/>
  <c r="N14" i="35"/>
  <c r="N13" i="35"/>
  <c r="N31" i="138" s="1"/>
  <c r="L4" i="138"/>
  <c r="N30" i="35"/>
  <c r="N18" i="35"/>
  <c r="L39" i="138"/>
  <c r="J53" i="35"/>
  <c r="M228" i="110"/>
  <c r="AA228" i="110"/>
  <c r="AD228" i="110" s="1"/>
  <c r="P228" i="110"/>
  <c r="L228" i="110"/>
  <c r="J228" i="110"/>
  <c r="U228" i="110"/>
  <c r="T228" i="110"/>
  <c r="O228" i="110"/>
  <c r="R228" i="110"/>
  <c r="S228" i="110"/>
  <c r="K228" i="110"/>
  <c r="N228" i="110"/>
  <c r="N31" i="124"/>
  <c r="N32" i="124" s="1"/>
  <c r="X34" i="137"/>
  <c r="K34" i="137" s="1"/>
  <c r="K114" i="137" s="1"/>
  <c r="O206" i="110"/>
  <c r="J31" i="124"/>
  <c r="J32" i="124" s="1"/>
  <c r="Q31" i="124"/>
  <c r="Q32" i="124" s="1"/>
  <c r="N44" i="124"/>
  <c r="N45" i="124" s="1"/>
  <c r="G44" i="124"/>
  <c r="H31" i="124"/>
  <c r="V388" i="110"/>
  <c r="S181" i="110"/>
  <c r="V197" i="110"/>
  <c r="X25" i="137"/>
  <c r="K25" i="137" s="1"/>
  <c r="K105" i="137" s="1"/>
  <c r="N181" i="110"/>
  <c r="N404" i="110"/>
  <c r="O28" i="137"/>
  <c r="U9" i="137"/>
  <c r="J6" i="138"/>
  <c r="E17" i="35"/>
  <c r="J222" i="110"/>
  <c r="C4" i="138"/>
  <c r="E18" i="35"/>
  <c r="E65" i="35"/>
  <c r="J56" i="35"/>
  <c r="X57" i="137"/>
  <c r="K57" i="137" s="1"/>
  <c r="K137" i="137" s="1"/>
  <c r="E21" i="35"/>
  <c r="E53" i="35"/>
  <c r="V316" i="110"/>
  <c r="E56" i="35"/>
  <c r="E30" i="35"/>
  <c r="E12" i="35"/>
  <c r="E20" i="35"/>
  <c r="E24" i="35"/>
  <c r="E23" i="35"/>
  <c r="E14" i="35"/>
  <c r="E46" i="35"/>
  <c r="F143" i="133"/>
  <c r="R337" i="110"/>
  <c r="X39" i="137"/>
  <c r="K39" i="137" s="1"/>
  <c r="K119" i="137" s="1"/>
  <c r="L222" i="110"/>
  <c r="V184" i="110"/>
  <c r="L337" i="110"/>
  <c r="R222" i="110"/>
  <c r="M181" i="110"/>
  <c r="X48" i="137"/>
  <c r="K48" i="137" s="1"/>
  <c r="K128" i="137" s="1"/>
  <c r="X27" i="137"/>
  <c r="K27" i="137" s="1"/>
  <c r="K107" i="137" s="1"/>
  <c r="O337" i="110"/>
  <c r="O222" i="110"/>
  <c r="K322" i="110"/>
  <c r="X44" i="137"/>
  <c r="K44" i="137" s="1"/>
  <c r="K124" i="137" s="1"/>
  <c r="T240" i="110"/>
  <c r="Q240" i="110"/>
  <c r="X20" i="137"/>
  <c r="K20" i="137" s="1"/>
  <c r="P240" i="110"/>
  <c r="R240" i="110"/>
  <c r="K391" i="110"/>
  <c r="K240" i="110"/>
  <c r="N240" i="110"/>
  <c r="N222" i="110"/>
  <c r="U202" i="110"/>
  <c r="G31" i="124"/>
  <c r="M240" i="110"/>
  <c r="S240" i="110"/>
  <c r="J240" i="110"/>
  <c r="U240" i="110"/>
  <c r="O240" i="110"/>
  <c r="L240" i="110"/>
  <c r="N337" i="110"/>
  <c r="M206" i="110"/>
  <c r="N206" i="110"/>
  <c r="P206" i="110"/>
  <c r="U206" i="110"/>
  <c r="S207" i="110"/>
  <c r="K206" i="110"/>
  <c r="X7" i="137"/>
  <c r="K7" i="137" s="1"/>
  <c r="K88" i="137" s="1"/>
  <c r="AA206" i="110"/>
  <c r="AD206" i="110" s="1"/>
  <c r="J46" i="35"/>
  <c r="J23" i="35"/>
  <c r="T222" i="110"/>
  <c r="T337" i="110"/>
  <c r="S337" i="110"/>
  <c r="H4" i="138"/>
  <c r="J20" i="35"/>
  <c r="M222" i="110"/>
  <c r="S222" i="110"/>
  <c r="J17" i="35"/>
  <c r="J29" i="138" s="1"/>
  <c r="J65" i="35"/>
  <c r="M337" i="110"/>
  <c r="J12" i="35"/>
  <c r="J14" i="35"/>
  <c r="J30" i="35"/>
  <c r="J24" i="35"/>
  <c r="J13" i="35"/>
  <c r="J31" i="138" s="1"/>
  <c r="J21" i="35"/>
  <c r="V135" i="110"/>
  <c r="P222" i="110"/>
  <c r="R61" i="124"/>
  <c r="R5" i="124"/>
  <c r="P337" i="110"/>
  <c r="S206" i="110"/>
  <c r="L206" i="110"/>
  <c r="X43" i="137"/>
  <c r="K43" i="137" s="1"/>
  <c r="K123" i="137" s="1"/>
  <c r="J337" i="110"/>
  <c r="Q337" i="110"/>
  <c r="S46" i="137"/>
  <c r="U337" i="110"/>
  <c r="W46" i="137"/>
  <c r="J206" i="110"/>
  <c r="T206" i="110"/>
  <c r="V341" i="110"/>
  <c r="P391" i="110"/>
  <c r="V201" i="110"/>
  <c r="X24" i="137"/>
  <c r="K24" i="137" s="1"/>
  <c r="K104" i="137" s="1"/>
  <c r="V308" i="110"/>
  <c r="N202" i="110"/>
  <c r="S317" i="110"/>
  <c r="R391" i="110"/>
  <c r="X37" i="137"/>
  <c r="K37" i="137" s="1"/>
  <c r="K117" i="137" s="1"/>
  <c r="S202" i="110"/>
  <c r="X49" i="137"/>
  <c r="K49" i="137" s="1"/>
  <c r="K129" i="137" s="1"/>
  <c r="K317" i="110"/>
  <c r="Q207" i="110"/>
  <c r="O322" i="110"/>
  <c r="W28" i="137"/>
  <c r="M404" i="110"/>
  <c r="O391" i="110"/>
  <c r="X41" i="137"/>
  <c r="K41" i="137" s="1"/>
  <c r="K121" i="137" s="1"/>
  <c r="O202" i="110"/>
  <c r="R322" i="110"/>
  <c r="V402" i="110"/>
  <c r="V204" i="110"/>
  <c r="X13" i="137"/>
  <c r="K13" i="137" s="1"/>
  <c r="K93" i="137" s="1"/>
  <c r="O190" i="110"/>
  <c r="X70" i="137"/>
  <c r="K70" i="137" s="1"/>
  <c r="K150" i="137" s="1"/>
  <c r="U207" i="110"/>
  <c r="V120" i="110"/>
  <c r="T207" i="110"/>
  <c r="J391" i="110"/>
  <c r="T391" i="110"/>
  <c r="J317" i="110"/>
  <c r="L202" i="110"/>
  <c r="Q322" i="110"/>
  <c r="S322" i="110"/>
  <c r="V28" i="137"/>
  <c r="T317" i="110"/>
  <c r="R317" i="110"/>
  <c r="T28" i="137"/>
  <c r="L322" i="110"/>
  <c r="L391" i="110"/>
  <c r="N33" i="137"/>
  <c r="V115" i="110"/>
  <c r="J181" i="110"/>
  <c r="V319" i="110"/>
  <c r="N391" i="110"/>
  <c r="Q317" i="110"/>
  <c r="J322" i="110"/>
  <c r="P322" i="110"/>
  <c r="R28" i="137"/>
  <c r="P317" i="110"/>
  <c r="P28" i="137"/>
  <c r="X51" i="137"/>
  <c r="K51" i="137" s="1"/>
  <c r="K131" i="137" s="1"/>
  <c r="V233" i="110"/>
  <c r="N322" i="110"/>
  <c r="Q391" i="110"/>
  <c r="V213" i="110"/>
  <c r="T322" i="110"/>
  <c r="Q28" i="137"/>
  <c r="O317" i="110"/>
  <c r="U391" i="110"/>
  <c r="W33" i="137"/>
  <c r="U32" i="181"/>
  <c r="J207" i="110"/>
  <c r="L207" i="110"/>
  <c r="L9" i="137"/>
  <c r="S391" i="110"/>
  <c r="O33" i="137"/>
  <c r="M322" i="110"/>
  <c r="M391" i="110"/>
  <c r="R207" i="110"/>
  <c r="L317" i="110"/>
  <c r="V387" i="110"/>
  <c r="U181" i="110"/>
  <c r="R202" i="110"/>
  <c r="T202" i="110"/>
  <c r="L181" i="110"/>
  <c r="K202" i="110"/>
  <c r="AA202" i="110"/>
  <c r="AD202" i="110" s="1"/>
  <c r="J202" i="110"/>
  <c r="P202" i="110"/>
  <c r="M202" i="110"/>
  <c r="V94" i="110"/>
  <c r="L404" i="110"/>
  <c r="X16" i="137"/>
  <c r="K16" i="137" s="1"/>
  <c r="K96" i="137" s="1"/>
  <c r="Q202" i="110"/>
  <c r="U404" i="110"/>
  <c r="R404" i="110"/>
  <c r="T9" i="137"/>
  <c r="R9" i="137"/>
  <c r="P404" i="110"/>
  <c r="V9" i="137"/>
  <c r="T404" i="110"/>
  <c r="O404" i="110"/>
  <c r="Q9" i="137"/>
  <c r="V334" i="110"/>
  <c r="V338" i="110"/>
  <c r="V328" i="110"/>
  <c r="Q404" i="110"/>
  <c r="S9" i="137"/>
  <c r="Q57" i="124"/>
  <c r="Q58" i="124" s="1"/>
  <c r="Q53" i="124"/>
  <c r="L56" i="181"/>
  <c r="V211" i="110"/>
  <c r="V348" i="110"/>
  <c r="V324" i="110"/>
  <c r="V219" i="110"/>
  <c r="U15" i="181"/>
  <c r="V329" i="110"/>
  <c r="X31" i="137"/>
  <c r="K31" i="137" s="1"/>
  <c r="K111" i="137" s="1"/>
  <c r="V194" i="110"/>
  <c r="X64" i="137"/>
  <c r="K64" i="137" s="1"/>
  <c r="K144" i="137" s="1"/>
  <c r="X30" i="137"/>
  <c r="K30" i="137" s="1"/>
  <c r="K110" i="137" s="1"/>
  <c r="M190" i="110"/>
  <c r="V227" i="110"/>
  <c r="Q305" i="110"/>
  <c r="X47" i="137"/>
  <c r="K47" i="137" s="1"/>
  <c r="K127" i="137" s="1"/>
  <c r="J36" i="124"/>
  <c r="J38" i="124" s="1"/>
  <c r="V303" i="110"/>
  <c r="M51" i="124"/>
  <c r="M52" i="124" s="1"/>
  <c r="P207" i="110"/>
  <c r="M207" i="110"/>
  <c r="O207" i="110"/>
  <c r="T18" i="137"/>
  <c r="R190" i="110"/>
  <c r="N51" i="124"/>
  <c r="N52" i="124" s="1"/>
  <c r="R305" i="110"/>
  <c r="O305" i="110"/>
  <c r="K51" i="124"/>
  <c r="K52" i="124" s="1"/>
  <c r="K190" i="110"/>
  <c r="K305" i="110"/>
  <c r="G51" i="124"/>
  <c r="G52" i="124" s="1"/>
  <c r="M18" i="137"/>
  <c r="I51" i="124"/>
  <c r="I52" i="124" s="1"/>
  <c r="O18" i="137"/>
  <c r="W18" i="137"/>
  <c r="U305" i="110"/>
  <c r="U190" i="110"/>
  <c r="V340" i="110"/>
  <c r="AA207" i="110"/>
  <c r="AD207" i="110" s="1"/>
  <c r="N207" i="110"/>
  <c r="K207" i="110"/>
  <c r="V326" i="110"/>
  <c r="V225" i="110"/>
  <c r="V349" i="110"/>
  <c r="V332" i="110"/>
  <c r="V309" i="110"/>
  <c r="V217" i="110"/>
  <c r="V103" i="110"/>
  <c r="V230" i="110"/>
  <c r="O53" i="124"/>
  <c r="V342" i="110"/>
  <c r="V393" i="110"/>
  <c r="I36" i="124"/>
  <c r="I38" i="124" s="1"/>
  <c r="Q190" i="110"/>
  <c r="X50" i="137"/>
  <c r="K50" i="137" s="1"/>
  <c r="K130" i="137" s="1"/>
  <c r="L6" i="137"/>
  <c r="J401" i="110"/>
  <c r="J178" i="110"/>
  <c r="V91" i="110"/>
  <c r="W6" i="137"/>
  <c r="U401" i="110"/>
  <c r="U178" i="110"/>
  <c r="T61" i="137"/>
  <c r="R352" i="110"/>
  <c r="R237" i="110"/>
  <c r="R401" i="110"/>
  <c r="T6" i="137"/>
  <c r="R178" i="110"/>
  <c r="O6" i="137"/>
  <c r="M401" i="110"/>
  <c r="M178" i="110"/>
  <c r="L61" i="137"/>
  <c r="J352" i="110"/>
  <c r="J237" i="110"/>
  <c r="V150" i="110"/>
  <c r="V215" i="110"/>
  <c r="N178" i="110"/>
  <c r="N401" i="110"/>
  <c r="P6" i="137"/>
  <c r="S61" i="137"/>
  <c r="Q352" i="110"/>
  <c r="Q237" i="110"/>
  <c r="O178" i="110"/>
  <c r="O401" i="110"/>
  <c r="Q6" i="137"/>
  <c r="N61" i="137"/>
  <c r="L237" i="110"/>
  <c r="L352" i="110"/>
  <c r="P237" i="110"/>
  <c r="R61" i="137"/>
  <c r="P352" i="110"/>
  <c r="V6" i="137"/>
  <c r="T178" i="110"/>
  <c r="T401" i="110"/>
  <c r="N352" i="110"/>
  <c r="P61" i="137"/>
  <c r="N237" i="110"/>
  <c r="U61" i="137"/>
  <c r="S352" i="110"/>
  <c r="S237" i="110"/>
  <c r="L18" i="137"/>
  <c r="J190" i="110"/>
  <c r="J305" i="110"/>
  <c r="F51" i="124"/>
  <c r="S6" i="137"/>
  <c r="Q178" i="110"/>
  <c r="Q401" i="110"/>
  <c r="Q61" i="137"/>
  <c r="O352" i="110"/>
  <c r="O237" i="110"/>
  <c r="M61" i="137"/>
  <c r="K237" i="110"/>
  <c r="K352" i="110"/>
  <c r="N18" i="137"/>
  <c r="H51" i="124"/>
  <c r="H52" i="124" s="1"/>
  <c r="L190" i="110"/>
  <c r="L305" i="110"/>
  <c r="V234" i="110"/>
  <c r="X60" i="137"/>
  <c r="K60" i="137" s="1"/>
  <c r="K140" i="137" s="1"/>
  <c r="U6" i="137"/>
  <c r="S178" i="110"/>
  <c r="S401" i="110"/>
  <c r="L401" i="110"/>
  <c r="L178" i="110"/>
  <c r="N6" i="137"/>
  <c r="O61" i="137"/>
  <c r="M352" i="110"/>
  <c r="M237" i="110"/>
  <c r="V61" i="137"/>
  <c r="T352" i="110"/>
  <c r="T237" i="110"/>
  <c r="P51" i="124"/>
  <c r="P52" i="124" s="1"/>
  <c r="T305" i="110"/>
  <c r="T190" i="110"/>
  <c r="V18" i="137"/>
  <c r="R6" i="137"/>
  <c r="P401" i="110"/>
  <c r="P178" i="110"/>
  <c r="M6" i="137"/>
  <c r="K401" i="110"/>
  <c r="K178" i="110"/>
  <c r="U352" i="110"/>
  <c r="U237" i="110"/>
  <c r="W61" i="137"/>
  <c r="P18" i="137"/>
  <c r="N305" i="110"/>
  <c r="J51" i="124"/>
  <c r="J52" i="124" s="1"/>
  <c r="N190" i="110"/>
  <c r="R18" i="137"/>
  <c r="P305" i="110"/>
  <c r="L51" i="124"/>
  <c r="L52" i="124" s="1"/>
  <c r="P190" i="110"/>
  <c r="X21" i="137"/>
  <c r="K21" i="137" s="1"/>
  <c r="K101" i="137" s="1"/>
  <c r="V307" i="110"/>
  <c r="V245" i="110"/>
  <c r="V343" i="110"/>
  <c r="V223" i="110"/>
  <c r="V359" i="110"/>
  <c r="V300" i="110"/>
  <c r="V187" i="110"/>
  <c r="V311" i="110"/>
  <c r="U12" i="181"/>
  <c r="V188" i="110"/>
  <c r="X52" i="137"/>
  <c r="K52" i="137" s="1"/>
  <c r="K132" i="137" s="1"/>
  <c r="V335" i="110"/>
  <c r="V339" i="110"/>
  <c r="V330" i="110"/>
  <c r="X22" i="137"/>
  <c r="K22" i="137" s="1"/>
  <c r="K102" i="137" s="1"/>
  <c r="X35" i="137"/>
  <c r="K35" i="137" s="1"/>
  <c r="K115" i="137" s="1"/>
  <c r="V214" i="110"/>
  <c r="V179" i="110"/>
  <c r="X58" i="137"/>
  <c r="K58" i="137" s="1"/>
  <c r="K138" i="137" s="1"/>
  <c r="V210" i="110"/>
  <c r="V193" i="110"/>
  <c r="V360" i="110"/>
  <c r="X69" i="137"/>
  <c r="K69" i="137" s="1"/>
  <c r="K149" i="137" s="1"/>
  <c r="X68" i="137"/>
  <c r="K68" i="137" s="1"/>
  <c r="K148" i="137" s="1"/>
  <c r="X66" i="137"/>
  <c r="K66" i="137" s="1"/>
  <c r="K146" i="137" s="1"/>
  <c r="V320" i="110"/>
  <c r="V357" i="110"/>
  <c r="Q45" i="124"/>
  <c r="V205" i="110"/>
  <c r="V312" i="110"/>
  <c r="V361" i="110"/>
  <c r="K321" i="110"/>
  <c r="M32" i="137"/>
  <c r="R32" i="137"/>
  <c r="P321" i="110"/>
  <c r="O203" i="110"/>
  <c r="O390" i="110"/>
  <c r="O318" i="110"/>
  <c r="Q29" i="137"/>
  <c r="T32" i="137"/>
  <c r="R321" i="110"/>
  <c r="P29" i="137"/>
  <c r="N203" i="110"/>
  <c r="N318" i="110"/>
  <c r="N390" i="110"/>
  <c r="O42" i="124"/>
  <c r="O44" i="124" s="1"/>
  <c r="O45" i="124" s="1"/>
  <c r="O70" i="124" s="1"/>
  <c r="N9" i="35" s="1"/>
  <c r="N26" i="138" s="1"/>
  <c r="J321" i="110"/>
  <c r="L32" i="137"/>
  <c r="V119" i="110"/>
  <c r="N32" i="137"/>
  <c r="L321" i="110"/>
  <c r="W29" i="137"/>
  <c r="U203" i="110"/>
  <c r="U390" i="110"/>
  <c r="U318" i="110"/>
  <c r="K6" i="138"/>
  <c r="V32" i="137"/>
  <c r="T321" i="110"/>
  <c r="W32" i="137"/>
  <c r="U321" i="110"/>
  <c r="O29" i="137"/>
  <c r="M318" i="110"/>
  <c r="M203" i="110"/>
  <c r="M390" i="110"/>
  <c r="P32" i="137"/>
  <c r="N321" i="110"/>
  <c r="M321" i="110"/>
  <c r="O32" i="137"/>
  <c r="U32" i="137"/>
  <c r="S321" i="110"/>
  <c r="U29" i="137"/>
  <c r="S390" i="110"/>
  <c r="S318" i="110"/>
  <c r="S203" i="110"/>
  <c r="Q318" i="110"/>
  <c r="Q203" i="110"/>
  <c r="Q390" i="110"/>
  <c r="S29" i="137"/>
  <c r="R206" i="110"/>
  <c r="Q32" i="137"/>
  <c r="O321" i="110"/>
  <c r="N29" i="137"/>
  <c r="L318" i="110"/>
  <c r="L390" i="110"/>
  <c r="L203" i="110"/>
  <c r="V29" i="137"/>
  <c r="T390" i="110"/>
  <c r="T203" i="110"/>
  <c r="T318" i="110"/>
  <c r="K318" i="110"/>
  <c r="K203" i="110"/>
  <c r="K390" i="110"/>
  <c r="M29" i="137"/>
  <c r="R29" i="137"/>
  <c r="P318" i="110"/>
  <c r="P390" i="110"/>
  <c r="P203" i="110"/>
  <c r="V246" i="110"/>
  <c r="V185" i="110"/>
  <c r="V351" i="110"/>
  <c r="V216" i="110"/>
  <c r="Q206" i="110"/>
  <c r="S32" i="137"/>
  <c r="Q321" i="110"/>
  <c r="R203" i="110"/>
  <c r="T29" i="137"/>
  <c r="R318" i="110"/>
  <c r="R390" i="110"/>
  <c r="L29" i="137"/>
  <c r="J318" i="110"/>
  <c r="V116" i="110"/>
  <c r="J390" i="110"/>
  <c r="J203" i="110"/>
  <c r="L63" i="137"/>
  <c r="J354" i="110"/>
  <c r="J239" i="110"/>
  <c r="V152" i="110"/>
  <c r="P72" i="137"/>
  <c r="N248" i="110"/>
  <c r="T56" i="137"/>
  <c r="R232" i="110"/>
  <c r="R347" i="110"/>
  <c r="O347" i="110"/>
  <c r="O232" i="110"/>
  <c r="Q56" i="137"/>
  <c r="N239" i="110"/>
  <c r="N354" i="110"/>
  <c r="P63" i="137"/>
  <c r="R72" i="137"/>
  <c r="P248" i="110"/>
  <c r="L56" i="137"/>
  <c r="J232" i="110"/>
  <c r="J347" i="110"/>
  <c r="V145" i="110"/>
  <c r="R56" i="137"/>
  <c r="P232" i="110"/>
  <c r="P347" i="110"/>
  <c r="U56" i="137"/>
  <c r="S347" i="110"/>
  <c r="S232" i="110"/>
  <c r="U63" i="137"/>
  <c r="S239" i="110"/>
  <c r="S354" i="110"/>
  <c r="Q63" i="137"/>
  <c r="O354" i="110"/>
  <c r="O239" i="110"/>
  <c r="O72" i="137"/>
  <c r="M248" i="110"/>
  <c r="W72" i="137"/>
  <c r="U248" i="110"/>
  <c r="T347" i="110"/>
  <c r="T232" i="110"/>
  <c r="V56" i="137"/>
  <c r="W56" i="137"/>
  <c r="U347" i="110"/>
  <c r="U232" i="110"/>
  <c r="T72" i="137"/>
  <c r="R248" i="110"/>
  <c r="V63" i="137"/>
  <c r="T354" i="110"/>
  <c r="T239" i="110"/>
  <c r="N63" i="137"/>
  <c r="L354" i="110"/>
  <c r="L239" i="110"/>
  <c r="E376" i="110"/>
  <c r="U72" i="137"/>
  <c r="S248" i="110"/>
  <c r="O56" i="137"/>
  <c r="M347" i="110"/>
  <c r="M232" i="110"/>
  <c r="U51" i="181"/>
  <c r="R63" i="137"/>
  <c r="P239" i="110"/>
  <c r="P354" i="110"/>
  <c r="K239" i="110"/>
  <c r="M63" i="137"/>
  <c r="K354" i="110"/>
  <c r="J248" i="110"/>
  <c r="L72" i="137"/>
  <c r="V161" i="110"/>
  <c r="S72" i="137"/>
  <c r="Q248" i="110"/>
  <c r="S56" i="137"/>
  <c r="Q347" i="110"/>
  <c r="Q232" i="110"/>
  <c r="T63" i="137"/>
  <c r="R354" i="110"/>
  <c r="R239" i="110"/>
  <c r="M56" i="137"/>
  <c r="K232" i="110"/>
  <c r="K347" i="110"/>
  <c r="O63" i="137"/>
  <c r="M354" i="110"/>
  <c r="M239" i="110"/>
  <c r="Q239" i="110"/>
  <c r="Q354" i="110"/>
  <c r="S63" i="137"/>
  <c r="K248" i="110"/>
  <c r="M72" i="137"/>
  <c r="N72" i="137"/>
  <c r="L248" i="110"/>
  <c r="N56" i="137"/>
  <c r="L347" i="110"/>
  <c r="L232" i="110"/>
  <c r="W63" i="137"/>
  <c r="U239" i="110"/>
  <c r="U354" i="110"/>
  <c r="V72" i="137"/>
  <c r="T248" i="110"/>
  <c r="Q72" i="137"/>
  <c r="O248" i="110"/>
  <c r="N347" i="110"/>
  <c r="P56" i="137"/>
  <c r="N232" i="110"/>
  <c r="V196" i="110"/>
  <c r="V183" i="110"/>
  <c r="V355" i="110"/>
  <c r="V224" i="110"/>
  <c r="V220" i="110"/>
  <c r="V226" i="110"/>
  <c r="V192" i="110"/>
  <c r="P14" i="137"/>
  <c r="N186" i="110"/>
  <c r="N301" i="110"/>
  <c r="M13" i="181"/>
  <c r="T186" i="110"/>
  <c r="S13" i="181"/>
  <c r="V14" i="137"/>
  <c r="T301" i="110"/>
  <c r="T386" i="110"/>
  <c r="V23" i="137"/>
  <c r="T310" i="110"/>
  <c r="T169" i="110"/>
  <c r="T195" i="110"/>
  <c r="U67" i="137"/>
  <c r="S358" i="110"/>
  <c r="S243" i="110"/>
  <c r="Q67" i="137"/>
  <c r="O243" i="110"/>
  <c r="O358" i="110"/>
  <c r="N195" i="110"/>
  <c r="AA195" i="110"/>
  <c r="AD195" i="110" s="1"/>
  <c r="N62" i="137"/>
  <c r="L353" i="110"/>
  <c r="L238" i="110"/>
  <c r="M62" i="137"/>
  <c r="K238" i="110"/>
  <c r="K353" i="110"/>
  <c r="K336" i="110"/>
  <c r="K221" i="110"/>
  <c r="M45" i="137"/>
  <c r="V45" i="137"/>
  <c r="T336" i="110"/>
  <c r="T221" i="110"/>
  <c r="O55" i="137"/>
  <c r="M346" i="110"/>
  <c r="M231" i="110"/>
  <c r="T55" i="137"/>
  <c r="R231" i="110"/>
  <c r="R346" i="110"/>
  <c r="R42" i="137"/>
  <c r="P333" i="110"/>
  <c r="P218" i="110"/>
  <c r="Q333" i="110"/>
  <c r="Q218" i="110"/>
  <c r="S42" i="137"/>
  <c r="M8" i="137"/>
  <c r="K403" i="110"/>
  <c r="K180" i="110"/>
  <c r="O180" i="110"/>
  <c r="O403" i="110"/>
  <c r="Q8" i="137"/>
  <c r="N59" i="137"/>
  <c r="L235" i="110"/>
  <c r="L350" i="110"/>
  <c r="M350" i="110"/>
  <c r="M235" i="110"/>
  <c r="O59" i="137"/>
  <c r="T17" i="137"/>
  <c r="R304" i="110"/>
  <c r="R189" i="110"/>
  <c r="P356" i="110"/>
  <c r="P241" i="110"/>
  <c r="R65" i="137"/>
  <c r="Q65" i="137"/>
  <c r="O356" i="110"/>
  <c r="O241" i="110"/>
  <c r="P26" i="137"/>
  <c r="N314" i="110"/>
  <c r="N199" i="110"/>
  <c r="S5" i="137"/>
  <c r="Q400" i="110"/>
  <c r="Q104" i="110"/>
  <c r="Q418" i="110" s="1" a="1"/>
  <c r="Q177" i="110"/>
  <c r="L13" i="181"/>
  <c r="M186" i="110"/>
  <c r="M301" i="110"/>
  <c r="O14" i="137"/>
  <c r="R195" i="110"/>
  <c r="R386" i="110"/>
  <c r="R310" i="110"/>
  <c r="R169" i="110"/>
  <c r="T23" i="137"/>
  <c r="M169" i="110"/>
  <c r="O23" i="137"/>
  <c r="M195" i="110"/>
  <c r="M386" i="110"/>
  <c r="M310" i="110"/>
  <c r="M67" i="137"/>
  <c r="K358" i="110"/>
  <c r="K243" i="110"/>
  <c r="U358" i="110"/>
  <c r="W67" i="137"/>
  <c r="U243" i="110"/>
  <c r="L62" i="137"/>
  <c r="J238" i="110"/>
  <c r="J353" i="110"/>
  <c r="V151" i="110"/>
  <c r="N45" i="137"/>
  <c r="L336" i="110"/>
  <c r="L221" i="110"/>
  <c r="O346" i="110"/>
  <c r="O231" i="110"/>
  <c r="Q55" i="137"/>
  <c r="K231" i="110"/>
  <c r="K346" i="110"/>
  <c r="M55" i="137"/>
  <c r="O8" i="137"/>
  <c r="M180" i="110"/>
  <c r="M403" i="110"/>
  <c r="L59" i="137"/>
  <c r="J350" i="110"/>
  <c r="V148" i="110"/>
  <c r="J235" i="110"/>
  <c r="N189" i="110"/>
  <c r="P17" i="137"/>
  <c r="N304" i="110"/>
  <c r="K189" i="110"/>
  <c r="M17" i="137"/>
  <c r="K304" i="110"/>
  <c r="V26" i="137"/>
  <c r="T314" i="110"/>
  <c r="T199" i="110"/>
  <c r="P5" i="137"/>
  <c r="N177" i="110"/>
  <c r="N104" i="110"/>
  <c r="N418" i="110" s="1" a="1"/>
  <c r="N400" i="110"/>
  <c r="W14" i="137"/>
  <c r="U301" i="110"/>
  <c r="U186" i="110"/>
  <c r="T13" i="181"/>
  <c r="P23" i="137"/>
  <c r="N310" i="110"/>
  <c r="N169" i="110"/>
  <c r="N386" i="110"/>
  <c r="L386" i="110"/>
  <c r="L169" i="110"/>
  <c r="N23" i="137"/>
  <c r="L195" i="110"/>
  <c r="L310" i="110"/>
  <c r="S67" i="137"/>
  <c r="Q243" i="110"/>
  <c r="Q358" i="110"/>
  <c r="V67" i="137"/>
  <c r="T358" i="110"/>
  <c r="T243" i="110"/>
  <c r="M353" i="110"/>
  <c r="O62" i="137"/>
  <c r="M238" i="110"/>
  <c r="Q45" i="137"/>
  <c r="O336" i="110"/>
  <c r="O221" i="110"/>
  <c r="W55" i="137"/>
  <c r="U231" i="110"/>
  <c r="U346" i="110"/>
  <c r="N55" i="137"/>
  <c r="L231" i="110"/>
  <c r="L346" i="110"/>
  <c r="U42" i="137"/>
  <c r="S333" i="110"/>
  <c r="S218" i="110"/>
  <c r="P8" i="137"/>
  <c r="N180" i="110"/>
  <c r="N403" i="110"/>
  <c r="P59" i="137"/>
  <c r="N235" i="110"/>
  <c r="N350" i="110"/>
  <c r="N17" i="137"/>
  <c r="L304" i="110"/>
  <c r="L189" i="110"/>
  <c r="P304" i="110"/>
  <c r="R17" i="137"/>
  <c r="P189" i="110"/>
  <c r="R241" i="110"/>
  <c r="T65" i="137"/>
  <c r="R356" i="110"/>
  <c r="M26" i="137"/>
  <c r="K199" i="110"/>
  <c r="K314" i="110"/>
  <c r="M314" i="110"/>
  <c r="O26" i="137"/>
  <c r="M199" i="110"/>
  <c r="M177" i="110"/>
  <c r="O5" i="137"/>
  <c r="M400" i="110"/>
  <c r="M104" i="110"/>
  <c r="M418" i="110" s="1" a="1"/>
  <c r="R14" i="137"/>
  <c r="P301" i="110"/>
  <c r="P186" i="110"/>
  <c r="O13" i="181"/>
  <c r="M23" i="137"/>
  <c r="K310" i="110"/>
  <c r="K195" i="110"/>
  <c r="K386" i="110"/>
  <c r="K169" i="110"/>
  <c r="S195" i="110"/>
  <c r="S169" i="110"/>
  <c r="S386" i="110"/>
  <c r="S310" i="110"/>
  <c r="U23" i="137"/>
  <c r="T67" i="137"/>
  <c r="R243" i="110"/>
  <c r="R358" i="110"/>
  <c r="T238" i="110"/>
  <c r="V62" i="137"/>
  <c r="T353" i="110"/>
  <c r="S45" i="137"/>
  <c r="Q221" i="110"/>
  <c r="Q336" i="110"/>
  <c r="P55" i="137"/>
  <c r="N231" i="110"/>
  <c r="N346" i="110"/>
  <c r="Q42" i="137"/>
  <c r="O218" i="110"/>
  <c r="O333" i="110"/>
  <c r="S403" i="110"/>
  <c r="S180" i="110"/>
  <c r="U8" i="137"/>
  <c r="O350" i="110"/>
  <c r="Q59" i="137"/>
  <c r="O235" i="110"/>
  <c r="O189" i="110"/>
  <c r="Q17" i="137"/>
  <c r="O304" i="110"/>
  <c r="W17" i="137"/>
  <c r="U304" i="110"/>
  <c r="U189" i="110"/>
  <c r="J356" i="110"/>
  <c r="J241" i="110"/>
  <c r="V154" i="110"/>
  <c r="L65" i="137"/>
  <c r="S26" i="137"/>
  <c r="Q314" i="110"/>
  <c r="Q199" i="110"/>
  <c r="Q26" i="137"/>
  <c r="O314" i="110"/>
  <c r="O199" i="110"/>
  <c r="P400" i="110"/>
  <c r="P104" i="110"/>
  <c r="P418" i="110" s="1" a="1"/>
  <c r="R5" i="137"/>
  <c r="P177" i="110"/>
  <c r="I19" i="124"/>
  <c r="M14" i="137"/>
  <c r="K186" i="110"/>
  <c r="J13" i="181"/>
  <c r="K301" i="110"/>
  <c r="N14" i="137"/>
  <c r="L186" i="110"/>
  <c r="K13" i="181"/>
  <c r="L301" i="110"/>
  <c r="R23" i="137"/>
  <c r="P310" i="110"/>
  <c r="P386" i="110"/>
  <c r="P169" i="110"/>
  <c r="P195" i="110"/>
  <c r="J243" i="110"/>
  <c r="J358" i="110"/>
  <c r="V156" i="110"/>
  <c r="L67" i="137"/>
  <c r="R353" i="110"/>
  <c r="R238" i="110"/>
  <c r="T62" i="137"/>
  <c r="P238" i="110"/>
  <c r="R62" i="137"/>
  <c r="P353" i="110"/>
  <c r="O45" i="137"/>
  <c r="M221" i="110"/>
  <c r="M336" i="110"/>
  <c r="R45" i="137"/>
  <c r="P336" i="110"/>
  <c r="P221" i="110"/>
  <c r="T346" i="110"/>
  <c r="T231" i="110"/>
  <c r="V55" i="137"/>
  <c r="P42" i="137"/>
  <c r="N218" i="110"/>
  <c r="N333" i="110"/>
  <c r="T218" i="110"/>
  <c r="V42" i="137"/>
  <c r="T333" i="110"/>
  <c r="T403" i="110"/>
  <c r="V8" i="137"/>
  <c r="T180" i="110"/>
  <c r="T59" i="137"/>
  <c r="R235" i="110"/>
  <c r="R350" i="110"/>
  <c r="T235" i="110"/>
  <c r="V59" i="137"/>
  <c r="T350" i="110"/>
  <c r="O17" i="137"/>
  <c r="M304" i="110"/>
  <c r="M189" i="110"/>
  <c r="V102" i="110"/>
  <c r="J304" i="110"/>
  <c r="L17" i="137"/>
  <c r="J189" i="110"/>
  <c r="U65" i="137"/>
  <c r="S241" i="110"/>
  <c r="S356" i="110"/>
  <c r="T356" i="110"/>
  <c r="V65" i="137"/>
  <c r="T241" i="110"/>
  <c r="W26" i="137"/>
  <c r="U314" i="110"/>
  <c r="U199" i="110"/>
  <c r="L177" i="110"/>
  <c r="L400" i="110"/>
  <c r="L104" i="110"/>
  <c r="L418" i="110" s="1" a="1"/>
  <c r="N5" i="137"/>
  <c r="U5" i="137"/>
  <c r="S177" i="110"/>
  <c r="S400" i="110"/>
  <c r="S104" i="110"/>
  <c r="S418" i="110" s="1" a="1"/>
  <c r="Q14" i="137"/>
  <c r="O186" i="110"/>
  <c r="O301" i="110"/>
  <c r="N13" i="181"/>
  <c r="O169" i="110"/>
  <c r="O310" i="110"/>
  <c r="O386" i="110"/>
  <c r="O195" i="110"/>
  <c r="Q23" i="137"/>
  <c r="J386" i="110"/>
  <c r="J169" i="110"/>
  <c r="L23" i="137"/>
  <c r="J195" i="110"/>
  <c r="J310" i="110"/>
  <c r="V108" i="110"/>
  <c r="N67" i="137"/>
  <c r="L358" i="110"/>
  <c r="L243" i="110"/>
  <c r="N353" i="110"/>
  <c r="P62" i="137"/>
  <c r="N238" i="110"/>
  <c r="T45" i="137"/>
  <c r="R221" i="110"/>
  <c r="R336" i="110"/>
  <c r="U55" i="137"/>
  <c r="S346" i="110"/>
  <c r="S231" i="110"/>
  <c r="U218" i="110"/>
  <c r="U333" i="110"/>
  <c r="W42" i="137"/>
  <c r="L218" i="110"/>
  <c r="L333" i="110"/>
  <c r="N42" i="137"/>
  <c r="R8" i="137"/>
  <c r="P180" i="110"/>
  <c r="P403" i="110"/>
  <c r="Q180" i="110"/>
  <c r="Q403" i="110"/>
  <c r="S8" i="137"/>
  <c r="Q235" i="110"/>
  <c r="S59" i="137"/>
  <c r="Q350" i="110"/>
  <c r="W59" i="137"/>
  <c r="U235" i="110"/>
  <c r="U350" i="110"/>
  <c r="U17" i="137"/>
  <c r="S304" i="110"/>
  <c r="S189" i="110"/>
  <c r="U356" i="110"/>
  <c r="W65" i="137"/>
  <c r="U241" i="110"/>
  <c r="O65" i="137"/>
  <c r="M356" i="110"/>
  <c r="M241" i="110"/>
  <c r="T26" i="137"/>
  <c r="R199" i="110"/>
  <c r="R314" i="110"/>
  <c r="L26" i="137"/>
  <c r="J314" i="110"/>
  <c r="J199" i="110"/>
  <c r="V112" i="110"/>
  <c r="V5" i="137"/>
  <c r="T177" i="110"/>
  <c r="T400" i="110"/>
  <c r="T104" i="110"/>
  <c r="T419" i="110" s="1" a="1"/>
  <c r="V90" i="110"/>
  <c r="J104" i="110"/>
  <c r="J419" i="110" s="1" a="1"/>
  <c r="L5" i="137"/>
  <c r="J177" i="110"/>
  <c r="J400" i="110"/>
  <c r="U14" i="137"/>
  <c r="S301" i="110"/>
  <c r="R13" i="181"/>
  <c r="S186" i="110"/>
  <c r="S14" i="137"/>
  <c r="P13" i="181"/>
  <c r="Q301" i="110"/>
  <c r="Q186" i="110"/>
  <c r="Q195" i="110"/>
  <c r="Q386" i="110"/>
  <c r="Q169" i="110"/>
  <c r="S23" i="137"/>
  <c r="Q310" i="110"/>
  <c r="P67" i="137"/>
  <c r="N358" i="110"/>
  <c r="N243" i="110"/>
  <c r="W62" i="137"/>
  <c r="U238" i="110"/>
  <c r="U353" i="110"/>
  <c r="S62" i="137"/>
  <c r="Q238" i="110"/>
  <c r="Q353" i="110"/>
  <c r="P45" i="137"/>
  <c r="N336" i="110"/>
  <c r="N221" i="110"/>
  <c r="U221" i="110"/>
  <c r="W45" i="137"/>
  <c r="U336" i="110"/>
  <c r="L55" i="137"/>
  <c r="J346" i="110"/>
  <c r="J231" i="110"/>
  <c r="V144" i="110"/>
  <c r="L42" i="137"/>
  <c r="J218" i="110"/>
  <c r="V131" i="110"/>
  <c r="J333" i="110"/>
  <c r="T42" i="137"/>
  <c r="R218" i="110"/>
  <c r="R333" i="110"/>
  <c r="T8" i="137"/>
  <c r="R403" i="110"/>
  <c r="R180" i="110"/>
  <c r="U403" i="110"/>
  <c r="W8" i="137"/>
  <c r="U180" i="110"/>
  <c r="S350" i="110"/>
  <c r="U59" i="137"/>
  <c r="S235" i="110"/>
  <c r="T189" i="110"/>
  <c r="V17" i="137"/>
  <c r="T304" i="110"/>
  <c r="N65" i="137"/>
  <c r="L241" i="110"/>
  <c r="L356" i="110"/>
  <c r="S65" i="137"/>
  <c r="Q241" i="110"/>
  <c r="Q356" i="110"/>
  <c r="L199" i="110"/>
  <c r="L314" i="110"/>
  <c r="N26" i="137"/>
  <c r="U26" i="137"/>
  <c r="S199" i="110"/>
  <c r="S314" i="110"/>
  <c r="R177" i="110"/>
  <c r="T5" i="137"/>
  <c r="R400" i="110"/>
  <c r="R104" i="110"/>
  <c r="R418" i="110" s="1" a="1"/>
  <c r="O400" i="110"/>
  <c r="O177" i="110"/>
  <c r="Q5" i="137"/>
  <c r="O104" i="110"/>
  <c r="O418" i="110" s="1" a="1"/>
  <c r="J301" i="110"/>
  <c r="I13" i="181"/>
  <c r="V99" i="110"/>
  <c r="L14" i="137"/>
  <c r="J186" i="110"/>
  <c r="T14" i="137"/>
  <c r="R301" i="110"/>
  <c r="R186" i="110"/>
  <c r="Q13" i="181"/>
  <c r="U310" i="110"/>
  <c r="U195" i="110"/>
  <c r="U169" i="110"/>
  <c r="U386" i="110"/>
  <c r="W23" i="137"/>
  <c r="M243" i="110"/>
  <c r="M358" i="110"/>
  <c r="O67" i="137"/>
  <c r="P243" i="110"/>
  <c r="R67" i="137"/>
  <c r="P358" i="110"/>
  <c r="Q62" i="137"/>
  <c r="O353" i="110"/>
  <c r="O238" i="110"/>
  <c r="U62" i="137"/>
  <c r="S353" i="110"/>
  <c r="S238" i="110"/>
  <c r="U45" i="137"/>
  <c r="S336" i="110"/>
  <c r="S221" i="110"/>
  <c r="V134" i="110"/>
  <c r="J221" i="110"/>
  <c r="J336" i="110"/>
  <c r="L45" i="137"/>
  <c r="S55" i="137"/>
  <c r="Q231" i="110"/>
  <c r="Q346" i="110"/>
  <c r="R55" i="137"/>
  <c r="P346" i="110"/>
  <c r="P231" i="110"/>
  <c r="M218" i="110"/>
  <c r="O42" i="137"/>
  <c r="M333" i="110"/>
  <c r="M42" i="137"/>
  <c r="K218" i="110"/>
  <c r="K333" i="110"/>
  <c r="L180" i="110"/>
  <c r="N8" i="137"/>
  <c r="L403" i="110"/>
  <c r="L8" i="137"/>
  <c r="J403" i="110"/>
  <c r="J180" i="110"/>
  <c r="V93" i="110"/>
  <c r="R59" i="137"/>
  <c r="P235" i="110"/>
  <c r="P350" i="110"/>
  <c r="M59" i="137"/>
  <c r="K350" i="110"/>
  <c r="K235" i="110"/>
  <c r="S17" i="137"/>
  <c r="Q189" i="110"/>
  <c r="Q304" i="110"/>
  <c r="M65" i="137"/>
  <c r="K356" i="110"/>
  <c r="K241" i="110"/>
  <c r="P65" i="137"/>
  <c r="N241" i="110"/>
  <c r="N356" i="110"/>
  <c r="R26" i="137"/>
  <c r="P199" i="110"/>
  <c r="P314" i="110"/>
  <c r="U104" i="110"/>
  <c r="U418" i="110" s="1" a="1"/>
  <c r="W5" i="137"/>
  <c r="U400" i="110"/>
  <c r="U177" i="110"/>
  <c r="M5" i="137"/>
  <c r="K104" i="110"/>
  <c r="K418" i="110" s="1" a="1"/>
  <c r="K400" i="110"/>
  <c r="K177" i="110"/>
  <c r="V242" i="110"/>
  <c r="V244" i="110"/>
  <c r="L6" i="138"/>
  <c r="R16" i="124"/>
  <c r="V236" i="110"/>
  <c r="F19" i="124"/>
  <c r="U37" i="181"/>
  <c r="V414" i="110"/>
  <c r="V415" i="110" s="1"/>
  <c r="F43" i="124"/>
  <c r="F44" i="124" s="1"/>
  <c r="U52" i="181"/>
  <c r="U50" i="181"/>
  <c r="O20" i="35"/>
  <c r="Q5" i="35"/>
  <c r="O13" i="35"/>
  <c r="N4" i="26"/>
  <c r="L31" i="124"/>
  <c r="R142" i="133"/>
  <c r="R143" i="133" s="1"/>
  <c r="E142" i="133"/>
  <c r="K45" i="124"/>
  <c r="K31" i="124"/>
  <c r="K32" i="124" s="1"/>
  <c r="P31" i="124"/>
  <c r="P32" i="124" s="1"/>
  <c r="M45" i="124"/>
  <c r="M4" i="138"/>
  <c r="O65" i="35"/>
  <c r="O17" i="35"/>
  <c r="O14" i="35"/>
  <c r="O46" i="35"/>
  <c r="O53" i="35"/>
  <c r="M31" i="124"/>
  <c r="M32" i="124" s="1"/>
  <c r="O56" i="35"/>
  <c r="O12" i="35"/>
  <c r="O23" i="35"/>
  <c r="O18" i="35"/>
  <c r="O21" i="35"/>
  <c r="O30" i="35"/>
  <c r="U64" i="181"/>
  <c r="K28" i="138"/>
  <c r="K29" i="138"/>
  <c r="X339" i="58"/>
  <c r="X280" i="58"/>
  <c r="G287" i="58"/>
  <c r="X279" i="58"/>
  <c r="G274" i="58"/>
  <c r="G269" i="58"/>
  <c r="G275" i="58"/>
  <c r="G272" i="58"/>
  <c r="G268" i="58"/>
  <c r="G271" i="58"/>
  <c r="G273" i="58"/>
  <c r="G277" i="58"/>
  <c r="O302" i="58"/>
  <c r="O301" i="58"/>
  <c r="O339" i="58"/>
  <c r="O300" i="58"/>
  <c r="X300" i="58"/>
  <c r="F31" i="138"/>
  <c r="G28" i="138"/>
  <c r="X260" i="58"/>
  <c r="U54" i="181"/>
  <c r="I56" i="181"/>
  <c r="G29" i="138"/>
  <c r="E6" i="138"/>
  <c r="E55" i="138"/>
  <c r="G292" i="58"/>
  <c r="X299" i="58"/>
  <c r="G288" i="58"/>
  <c r="G297" i="58"/>
  <c r="G291" i="58"/>
  <c r="X302" i="58"/>
  <c r="G293" i="58"/>
  <c r="G290" i="58"/>
  <c r="G294" i="58"/>
  <c r="G17" i="138"/>
  <c r="X321" i="58"/>
  <c r="G315" i="58"/>
  <c r="G313" i="58"/>
  <c r="G334" i="58"/>
  <c r="G311" i="58"/>
  <c r="G337" i="58"/>
  <c r="X320" i="58"/>
  <c r="G318" i="58"/>
  <c r="G310" i="58"/>
  <c r="G330" i="58"/>
  <c r="G333" i="58"/>
  <c r="G314" i="58"/>
  <c r="G316" i="58"/>
  <c r="G332" i="58"/>
  <c r="G312" i="58"/>
  <c r="G329" i="58"/>
  <c r="G331" i="58"/>
  <c r="G328" i="58"/>
  <c r="G308" i="58"/>
  <c r="G39" i="138"/>
  <c r="H55" i="138"/>
  <c r="H6" i="138"/>
  <c r="K39" i="138"/>
  <c r="K36" i="133"/>
  <c r="J143" i="133"/>
  <c r="K29" i="133"/>
  <c r="E34" i="138"/>
  <c r="U29" i="133"/>
  <c r="T40" i="133"/>
  <c r="U30" i="133"/>
  <c r="U36" i="133" s="1"/>
  <c r="T143" i="133"/>
  <c r="L25" i="124"/>
  <c r="L45" i="124"/>
  <c r="I32" i="138"/>
  <c r="T57" i="178"/>
  <c r="T60" i="178" s="1"/>
  <c r="T23" i="178"/>
  <c r="R67" i="178"/>
  <c r="M32" i="138"/>
  <c r="O67" i="178"/>
  <c r="J32" i="138"/>
  <c r="N57" i="35"/>
  <c r="S78" i="178"/>
  <c r="P57" i="35" s="1"/>
  <c r="N32" i="138"/>
  <c r="S67" i="178"/>
  <c r="L32" i="138"/>
  <c r="Q67" i="178"/>
  <c r="K61" i="178"/>
  <c r="K66" i="178" s="1"/>
  <c r="M46" i="178"/>
  <c r="M61" i="178" s="1"/>
  <c r="M66" i="178" s="1"/>
  <c r="T21" i="178"/>
  <c r="L67" i="178"/>
  <c r="G32" i="138"/>
  <c r="P60" i="178"/>
  <c r="P61" i="178" s="1"/>
  <c r="P66" i="178" s="1"/>
  <c r="C32" i="138"/>
  <c r="H67" i="178"/>
  <c r="I72" i="178"/>
  <c r="H71" i="178"/>
  <c r="H80" i="178" s="1"/>
  <c r="E25" i="35"/>
  <c r="B18" i="26" s="1"/>
  <c r="B20" i="26" s="1"/>
  <c r="F36" i="124"/>
  <c r="F38" i="124" s="1"/>
  <c r="F25" i="124"/>
  <c r="F32" i="124" s="1"/>
  <c r="G25" i="124"/>
  <c r="G36" i="124"/>
  <c r="G38" i="124" s="1"/>
  <c r="H36" i="124"/>
  <c r="H38" i="124" s="1"/>
  <c r="H45" i="124" s="1"/>
  <c r="H25" i="124"/>
  <c r="I43" i="124"/>
  <c r="R30" i="124"/>
  <c r="R23" i="124"/>
  <c r="R25" i="124" s="1"/>
  <c r="I42" i="124"/>
  <c r="I31" i="124"/>
  <c r="I32" i="124" s="1"/>
  <c r="R29" i="124"/>
  <c r="J41" i="124"/>
  <c r="R39" i="124"/>
  <c r="I28" i="138" l="1"/>
  <c r="I29" i="138"/>
  <c r="H39" i="138"/>
  <c r="N28" i="138"/>
  <c r="I39" i="138"/>
  <c r="M29" i="138"/>
  <c r="F39" i="138"/>
  <c r="V327" i="110"/>
  <c r="H29" i="138"/>
  <c r="X36" i="137"/>
  <c r="K36" i="137" s="1"/>
  <c r="K116" i="137" s="1"/>
  <c r="M39" i="138"/>
  <c r="D34" i="138"/>
  <c r="Q18" i="35"/>
  <c r="V212" i="110"/>
  <c r="F28" i="138"/>
  <c r="F67" i="35"/>
  <c r="F68" i="35" s="1"/>
  <c r="H28" i="138"/>
  <c r="EF130" i="188"/>
  <c r="ED130" i="188"/>
  <c r="K56" i="192"/>
  <c r="R50" i="192"/>
  <c r="R56" i="192" s="1"/>
  <c r="R57" i="192" s="1"/>
  <c r="EH29" i="188"/>
  <c r="EH130" i="188" s="1"/>
  <c r="EL27" i="188"/>
  <c r="EH97" i="188"/>
  <c r="X163" i="137"/>
  <c r="EL69" i="188"/>
  <c r="EK97" i="188"/>
  <c r="EL93" i="188"/>
  <c r="E72" i="193"/>
  <c r="E67" i="193"/>
  <c r="E76" i="193" s="1"/>
  <c r="E13" i="193" s="1"/>
  <c r="E14" i="193" s="1"/>
  <c r="O169" i="137"/>
  <c r="X167" i="137"/>
  <c r="X169" i="137" s="1"/>
  <c r="X170" i="137" s="1"/>
  <c r="EL92" i="188"/>
  <c r="EL97" i="188" s="1"/>
  <c r="DZ97" i="188"/>
  <c r="ED102" i="188"/>
  <c r="ED122" i="188" s="1"/>
  <c r="EK102" i="188"/>
  <c r="EK122" i="188" s="1"/>
  <c r="EK130" i="188" s="1"/>
  <c r="EA102" i="188"/>
  <c r="EA122" i="188" s="1"/>
  <c r="EA130" i="188" s="1"/>
  <c r="EJ102" i="188"/>
  <c r="EJ122" i="188" s="1"/>
  <c r="EJ130" i="188" s="1"/>
  <c r="DZ102" i="188"/>
  <c r="EF102" i="188"/>
  <c r="EF122" i="188" s="1"/>
  <c r="EG102" i="188"/>
  <c r="EG122" i="188" s="1"/>
  <c r="EB102" i="188"/>
  <c r="EB122" i="188" s="1"/>
  <c r="EB130" i="188" s="1"/>
  <c r="EC102" i="188"/>
  <c r="EC122" i="188" s="1"/>
  <c r="EC130" i="188" s="1"/>
  <c r="EH102" i="188"/>
  <c r="EH122" i="188" s="1"/>
  <c r="EI102" i="188"/>
  <c r="EI122" i="188" s="1"/>
  <c r="EI130" i="188" s="1"/>
  <c r="EE102" i="188"/>
  <c r="EE122" i="188" s="1"/>
  <c r="EE130" i="188" s="1"/>
  <c r="Q99" i="192"/>
  <c r="R99" i="192" s="1"/>
  <c r="R25" i="192"/>
  <c r="EJ97" i="188"/>
  <c r="EL71" i="188"/>
  <c r="F63" i="193"/>
  <c r="F58" i="193"/>
  <c r="G55" i="193"/>
  <c r="G64" i="193" s="1"/>
  <c r="G73" i="193" s="1"/>
  <c r="H24" i="193"/>
  <c r="EL12" i="188"/>
  <c r="EL14" i="188" s="1"/>
  <c r="DZ14" i="188"/>
  <c r="H25" i="193"/>
  <c r="G56" i="193"/>
  <c r="G65" i="193" s="1"/>
  <c r="G74" i="193" s="1"/>
  <c r="F18" i="193"/>
  <c r="F17" i="193"/>
  <c r="D117" i="193"/>
  <c r="EL30" i="188"/>
  <c r="EL74" i="188" s="1"/>
  <c r="EL29" i="188"/>
  <c r="EL63" i="188"/>
  <c r="EL64" i="188"/>
  <c r="G54" i="193"/>
  <c r="H23" i="193"/>
  <c r="G27" i="193"/>
  <c r="G25" i="119"/>
  <c r="N25" i="119" s="1"/>
  <c r="N27" i="119" s="1"/>
  <c r="N24" i="119"/>
  <c r="EG130" i="188"/>
  <c r="Q8" i="192"/>
  <c r="Q13" i="192" s="1"/>
  <c r="EC97" i="188"/>
  <c r="DL102" i="188"/>
  <c r="DL122" i="188" s="1"/>
  <c r="DL130" i="188" s="1"/>
  <c r="DL131" i="188" s="1"/>
  <c r="CZ122" i="188"/>
  <c r="CZ130" i="188" s="1"/>
  <c r="H26" i="193"/>
  <c r="G57" i="193"/>
  <c r="G66" i="193" s="1"/>
  <c r="G75" i="193" s="1"/>
  <c r="K129" i="133"/>
  <c r="K96" i="133"/>
  <c r="J11" i="35" s="1"/>
  <c r="I35" i="138"/>
  <c r="L50" i="35"/>
  <c r="P69" i="192"/>
  <c r="P109" i="192"/>
  <c r="O23" i="199"/>
  <c r="O25" i="199" s="1"/>
  <c r="I11" i="35"/>
  <c r="P16" i="199"/>
  <c r="Q15" i="199"/>
  <c r="P21" i="199"/>
  <c r="Q98" i="192"/>
  <c r="I30" i="193"/>
  <c r="I36" i="193" s="1"/>
  <c r="Q63" i="192"/>
  <c r="R63" i="192" s="1"/>
  <c r="R8" i="192"/>
  <c r="K101" i="192"/>
  <c r="O98" i="192"/>
  <c r="R13" i="192"/>
  <c r="F110" i="192"/>
  <c r="F82" i="192"/>
  <c r="F94" i="192" s="1"/>
  <c r="N29" i="138"/>
  <c r="S15" i="199"/>
  <c r="L34" i="192"/>
  <c r="M41" i="192"/>
  <c r="L86" i="192"/>
  <c r="O17" i="199"/>
  <c r="K108" i="192"/>
  <c r="K112" i="192" s="1"/>
  <c r="O111" i="192"/>
  <c r="H75" i="35"/>
  <c r="K74" i="35"/>
  <c r="K75" i="35" s="1"/>
  <c r="F12" i="26"/>
  <c r="G42" i="138"/>
  <c r="F41" i="138"/>
  <c r="R19" i="124"/>
  <c r="I72" i="133"/>
  <c r="H72" i="133"/>
  <c r="J72" i="133"/>
  <c r="G72" i="133"/>
  <c r="F72" i="133"/>
  <c r="AZ44" i="133"/>
  <c r="BA5" i="133"/>
  <c r="AR73" i="133"/>
  <c r="J124" i="133"/>
  <c r="I128" i="133"/>
  <c r="K130" i="133"/>
  <c r="K125" i="133" s="1"/>
  <c r="K72" i="133" s="1"/>
  <c r="J127" i="133"/>
  <c r="J74" i="133" s="1"/>
  <c r="AE73" i="133"/>
  <c r="V72" i="133"/>
  <c r="AB72" i="133"/>
  <c r="AS72" i="133"/>
  <c r="D71" i="133"/>
  <c r="AJ72" i="133"/>
  <c r="AK72" i="133"/>
  <c r="BA72" i="133"/>
  <c r="AY72" i="133"/>
  <c r="W72" i="133"/>
  <c r="Z72" i="133"/>
  <c r="Y72" i="133"/>
  <c r="BC72" i="133"/>
  <c r="AC72" i="133"/>
  <c r="X72" i="133"/>
  <c r="AH72" i="133"/>
  <c r="AM72" i="133"/>
  <c r="AF72" i="133"/>
  <c r="AT72" i="133"/>
  <c r="AD72" i="133"/>
  <c r="AA72" i="133"/>
  <c r="AZ72" i="133"/>
  <c r="AL72" i="133"/>
  <c r="AI72" i="133"/>
  <c r="AU72" i="133"/>
  <c r="AN72" i="133"/>
  <c r="BB72" i="133"/>
  <c r="AG72" i="133"/>
  <c r="S72" i="133"/>
  <c r="AX72" i="133"/>
  <c r="AV72" i="133"/>
  <c r="AQ72" i="133"/>
  <c r="AW72" i="133"/>
  <c r="AP72" i="133"/>
  <c r="BD72" i="133"/>
  <c r="T72" i="133"/>
  <c r="AO72" i="133"/>
  <c r="U72" i="133"/>
  <c r="BE73" i="133"/>
  <c r="AB7" i="133"/>
  <c r="AA46" i="133"/>
  <c r="W60" i="133"/>
  <c r="W88" i="133" s="1"/>
  <c r="W89" i="133" s="1"/>
  <c r="Y17" i="133"/>
  <c r="X20" i="133"/>
  <c r="X57" i="133"/>
  <c r="X60" i="133" s="1"/>
  <c r="X88" i="133" s="1"/>
  <c r="X89" i="133" s="1"/>
  <c r="J94" i="133"/>
  <c r="J97" i="133" s="1"/>
  <c r="J40" i="133"/>
  <c r="AO10" i="133"/>
  <c r="AN49" i="133"/>
  <c r="BC10" i="133"/>
  <c r="BB49" i="133"/>
  <c r="AZ6" i="133"/>
  <c r="AY45" i="133"/>
  <c r="AY47" i="133" s="1"/>
  <c r="AY87" i="133" s="1"/>
  <c r="AY8" i="133"/>
  <c r="AL17" i="133"/>
  <c r="AK57" i="133"/>
  <c r="AK20" i="133"/>
  <c r="AB6" i="133"/>
  <c r="AA45" i="133"/>
  <c r="AN44" i="133"/>
  <c r="AO5" i="133"/>
  <c r="AA48" i="133"/>
  <c r="AB9" i="133"/>
  <c r="L45" i="133"/>
  <c r="BD23" i="133"/>
  <c r="BC63" i="133"/>
  <c r="AB63" i="133"/>
  <c r="AC23" i="133"/>
  <c r="AA25" i="119"/>
  <c r="AA27" i="119" s="1"/>
  <c r="AQ23" i="133"/>
  <c r="AQ63" i="133" s="1"/>
  <c r="AP63" i="133"/>
  <c r="AN6" i="133"/>
  <c r="AM45" i="133"/>
  <c r="AM47" i="133" s="1"/>
  <c r="AM87" i="133" s="1"/>
  <c r="AM8" i="133"/>
  <c r="AA24" i="119"/>
  <c r="Z47" i="133"/>
  <c r="Z87" i="133" s="1"/>
  <c r="AR122" i="133"/>
  <c r="AR128" i="133" s="1"/>
  <c r="J47" i="133"/>
  <c r="K44" i="133"/>
  <c r="K47" i="133" s="1"/>
  <c r="K87" i="133" s="1"/>
  <c r="K89" i="133" s="1"/>
  <c r="J44" i="35" s="1"/>
  <c r="K8" i="133"/>
  <c r="K13" i="133" s="1"/>
  <c r="K40" i="133" s="1"/>
  <c r="L5" i="133"/>
  <c r="H45" i="35"/>
  <c r="F36" i="138" s="1"/>
  <c r="V53" i="133"/>
  <c r="V83" i="133"/>
  <c r="AA8" i="133"/>
  <c r="AB5" i="133"/>
  <c r="AA44" i="133"/>
  <c r="W64" i="133"/>
  <c r="BA9" i="133"/>
  <c r="AZ48" i="133"/>
  <c r="V94" i="133"/>
  <c r="AZ20" i="133"/>
  <c r="BA17" i="133"/>
  <c r="AZ57" i="133"/>
  <c r="AZ60" i="133" s="1"/>
  <c r="AN9" i="133"/>
  <c r="AM48" i="133"/>
  <c r="AX88" i="133"/>
  <c r="Z21" i="133"/>
  <c r="Y61" i="133"/>
  <c r="Y22" i="133"/>
  <c r="Y24" i="133" s="1"/>
  <c r="X62" i="133"/>
  <c r="X64" i="133" s="1"/>
  <c r="X11" i="133"/>
  <c r="W50" i="133"/>
  <c r="W51" i="133" s="1"/>
  <c r="W12" i="133"/>
  <c r="W13" i="133" s="1"/>
  <c r="W94" i="133" s="1"/>
  <c r="W97" i="133" s="1"/>
  <c r="X24" i="133"/>
  <c r="X25" i="133" s="1"/>
  <c r="T86" i="133"/>
  <c r="AO18" i="133"/>
  <c r="AN58" i="133"/>
  <c r="AB10" i="133"/>
  <c r="AA49" i="133"/>
  <c r="AP7" i="133"/>
  <c r="AO46" i="133"/>
  <c r="AY88" i="133"/>
  <c r="E36" i="138"/>
  <c r="BC19" i="133"/>
  <c r="BB59" i="133"/>
  <c r="P46" i="133"/>
  <c r="R7" i="133"/>
  <c r="L12" i="133"/>
  <c r="M9" i="133"/>
  <c r="L48" i="133"/>
  <c r="BC7" i="133"/>
  <c r="BB46" i="133"/>
  <c r="K83" i="133"/>
  <c r="AC19" i="133"/>
  <c r="AB59" i="133"/>
  <c r="AQ61" i="133"/>
  <c r="AR21" i="133"/>
  <c r="AO19" i="133"/>
  <c r="AN59" i="133"/>
  <c r="Q13" i="35"/>
  <c r="E29" i="138"/>
  <c r="N39" i="138"/>
  <c r="F63" i="199"/>
  <c r="F48" i="199"/>
  <c r="R25" i="199"/>
  <c r="S25" i="199"/>
  <c r="G45" i="124"/>
  <c r="Q23" i="35"/>
  <c r="Q56" i="35"/>
  <c r="O31" i="138"/>
  <c r="J28" i="138"/>
  <c r="G32" i="124"/>
  <c r="V228" i="110"/>
  <c r="Q46" i="35"/>
  <c r="Q53" i="35"/>
  <c r="Q17" i="35"/>
  <c r="H32" i="124"/>
  <c r="V169" i="110"/>
  <c r="R42" i="124"/>
  <c r="P394" i="110"/>
  <c r="P396" i="110" s="1"/>
  <c r="P278" i="110" s="1"/>
  <c r="P279" i="110" s="1"/>
  <c r="S394" i="110"/>
  <c r="S396" i="110" s="1"/>
  <c r="S278" i="110" s="1"/>
  <c r="S279" i="110" s="1"/>
  <c r="M394" i="110"/>
  <c r="M396" i="110" s="1"/>
  <c r="M278" i="110" s="1"/>
  <c r="M279" i="110" s="1"/>
  <c r="X33" i="137"/>
  <c r="K33" i="137" s="1"/>
  <c r="K113" i="137" s="1"/>
  <c r="V207" i="110"/>
  <c r="V391" i="110"/>
  <c r="P80" i="137"/>
  <c r="W80" i="137"/>
  <c r="S80" i="137"/>
  <c r="Q256" i="110"/>
  <c r="M80" i="137"/>
  <c r="K256" i="110"/>
  <c r="S256" i="110"/>
  <c r="O256" i="110"/>
  <c r="U80" i="137"/>
  <c r="P256" i="110"/>
  <c r="R256" i="110"/>
  <c r="M256" i="110"/>
  <c r="T256" i="110"/>
  <c r="O80" i="137"/>
  <c r="N256" i="110"/>
  <c r="R80" i="137"/>
  <c r="L256" i="110"/>
  <c r="T80" i="137"/>
  <c r="V80" i="137"/>
  <c r="U256" i="110"/>
  <c r="Q80" i="137"/>
  <c r="N80" i="137"/>
  <c r="Q24" i="35"/>
  <c r="E67" i="35"/>
  <c r="E68" i="35" s="1"/>
  <c r="Q65" i="35"/>
  <c r="C34" i="138"/>
  <c r="E39" i="138"/>
  <c r="O4" i="138"/>
  <c r="K65" i="138" s="1"/>
  <c r="Q21" i="35"/>
  <c r="Q14" i="35"/>
  <c r="E28" i="138"/>
  <c r="Q12" i="35"/>
  <c r="V240" i="110"/>
  <c r="J39" i="138"/>
  <c r="V222" i="110"/>
  <c r="Q30" i="35"/>
  <c r="Q20" i="35"/>
  <c r="V337" i="110"/>
  <c r="X46" i="137"/>
  <c r="K46" i="137" s="1"/>
  <c r="K126" i="137" s="1"/>
  <c r="V206" i="110"/>
  <c r="V181" i="110"/>
  <c r="V317" i="110"/>
  <c r="T406" i="110"/>
  <c r="T281" i="110" s="1"/>
  <c r="T282" i="110" s="1"/>
  <c r="X28" i="137"/>
  <c r="K28" i="137" s="1"/>
  <c r="K108" i="137" s="1"/>
  <c r="Q70" i="124"/>
  <c r="P9" i="35" s="1"/>
  <c r="V322" i="110"/>
  <c r="V202" i="110"/>
  <c r="X9" i="137"/>
  <c r="K9" i="137" s="1"/>
  <c r="K90" i="137" s="1"/>
  <c r="V404" i="110"/>
  <c r="M57" i="124"/>
  <c r="M58" i="124" s="1"/>
  <c r="M70" i="124" s="1"/>
  <c r="L9" i="35" s="1"/>
  <c r="L26" i="138" s="1"/>
  <c r="M53" i="124"/>
  <c r="I57" i="124"/>
  <c r="I58" i="124" s="1"/>
  <c r="I53" i="124"/>
  <c r="N53" i="124"/>
  <c r="N57" i="124"/>
  <c r="N58" i="124" s="1"/>
  <c r="N70" i="124" s="1"/>
  <c r="M9" i="35" s="1"/>
  <c r="M26" i="138" s="1"/>
  <c r="G53" i="124"/>
  <c r="G57" i="124"/>
  <c r="G58" i="124" s="1"/>
  <c r="K53" i="124"/>
  <c r="K57" i="124"/>
  <c r="K58" i="124" s="1"/>
  <c r="K70" i="124" s="1"/>
  <c r="S406" i="110"/>
  <c r="S281" i="110" s="1"/>
  <c r="S282" i="110" s="1"/>
  <c r="V190" i="110"/>
  <c r="X18" i="137"/>
  <c r="K18" i="137" s="1"/>
  <c r="K98" i="137" s="1"/>
  <c r="V305" i="110"/>
  <c r="S419" i="110" a="1"/>
  <c r="S419" i="110" s="1"/>
  <c r="V178" i="110"/>
  <c r="P419" i="110" a="1"/>
  <c r="P419" i="110" s="1"/>
  <c r="P53" i="124"/>
  <c r="P57" i="124"/>
  <c r="P58" i="124" s="1"/>
  <c r="P70" i="124" s="1"/>
  <c r="O9" i="35" s="1"/>
  <c r="L419" i="110" a="1"/>
  <c r="L419" i="110" s="1"/>
  <c r="V401" i="110"/>
  <c r="M419" i="110" a="1"/>
  <c r="M419" i="110" s="1"/>
  <c r="J57" i="124"/>
  <c r="J58" i="124" s="1"/>
  <c r="J53" i="124"/>
  <c r="N419" i="110" a="1"/>
  <c r="N419" i="110" s="1"/>
  <c r="O419" i="110" a="1"/>
  <c r="O419" i="110" s="1"/>
  <c r="R51" i="124"/>
  <c r="R52" i="124" s="1"/>
  <c r="R53" i="124" s="1"/>
  <c r="F52" i="124"/>
  <c r="K419" i="110" a="1"/>
  <c r="K419" i="110" s="1"/>
  <c r="X6" i="137"/>
  <c r="K6" i="137" s="1"/>
  <c r="K87" i="137" s="1"/>
  <c r="R419" i="110" a="1"/>
  <c r="R419" i="110" s="1"/>
  <c r="T418" i="110" a="1"/>
  <c r="T418" i="110" s="1"/>
  <c r="Q419" i="110" a="1"/>
  <c r="Q419" i="110" s="1"/>
  <c r="J418" i="110" a="1"/>
  <c r="J418" i="110" s="1"/>
  <c r="V237" i="110"/>
  <c r="U419" i="110" a="1"/>
  <c r="U419" i="110" s="1"/>
  <c r="L57" i="124"/>
  <c r="L58" i="124" s="1"/>
  <c r="L70" i="124" s="1"/>
  <c r="K9" i="35" s="1"/>
  <c r="K26" i="138" s="1"/>
  <c r="L53" i="124"/>
  <c r="H53" i="124"/>
  <c r="H57" i="124"/>
  <c r="H58" i="124" s="1"/>
  <c r="H70" i="124" s="1"/>
  <c r="G9" i="35" s="1"/>
  <c r="G26" i="138" s="1"/>
  <c r="V352" i="110"/>
  <c r="X61" i="137"/>
  <c r="K61" i="137" s="1"/>
  <c r="K141" i="137" s="1"/>
  <c r="R306" i="110"/>
  <c r="U406" i="110"/>
  <c r="U281" i="110" s="1"/>
  <c r="U282" i="110" s="1"/>
  <c r="T259" i="110"/>
  <c r="T267" i="110" s="1"/>
  <c r="T268" i="110" s="1"/>
  <c r="K406" i="110"/>
  <c r="K281" i="110" s="1"/>
  <c r="K282" i="110" s="1"/>
  <c r="Q394" i="110"/>
  <c r="Q396" i="110" s="1"/>
  <c r="Q278" i="110" s="1"/>
  <c r="Q279" i="110" s="1"/>
  <c r="O394" i="110"/>
  <c r="O396" i="110" s="1"/>
  <c r="O278" i="110" s="1"/>
  <c r="O279" i="110" s="1"/>
  <c r="K394" i="110"/>
  <c r="K396" i="110" s="1"/>
  <c r="K278" i="110" s="1"/>
  <c r="K279" i="110" s="1"/>
  <c r="L394" i="110"/>
  <c r="L396" i="110" s="1"/>
  <c r="L278" i="110" s="1"/>
  <c r="L279" i="110" s="1"/>
  <c r="N394" i="110"/>
  <c r="N396" i="110" s="1"/>
  <c r="N278" i="110" s="1"/>
  <c r="N279" i="110" s="1"/>
  <c r="X29" i="137"/>
  <c r="K29" i="137" s="1"/>
  <c r="K109" i="137" s="1"/>
  <c r="V321" i="110"/>
  <c r="U394" i="110"/>
  <c r="U396" i="110" s="1"/>
  <c r="U278" i="110" s="1"/>
  <c r="U279" i="110" s="1"/>
  <c r="T394" i="110"/>
  <c r="T396" i="110" s="1"/>
  <c r="T278" i="110" s="1"/>
  <c r="T279" i="110" s="1"/>
  <c r="V203" i="110"/>
  <c r="V390" i="110"/>
  <c r="R394" i="110"/>
  <c r="R396" i="110" s="1"/>
  <c r="R278" i="110" s="1"/>
  <c r="R279" i="110" s="1"/>
  <c r="V318" i="110"/>
  <c r="X32" i="137"/>
  <c r="K32" i="137" s="1"/>
  <c r="K112" i="137" s="1"/>
  <c r="V347" i="110"/>
  <c r="X72" i="137"/>
  <c r="K72" i="137" s="1"/>
  <c r="K152" i="137" s="1"/>
  <c r="V232" i="110"/>
  <c r="V239" i="110"/>
  <c r="V248" i="110"/>
  <c r="X56" i="137"/>
  <c r="K56" i="137" s="1"/>
  <c r="K136" i="137" s="1"/>
  <c r="V354" i="110"/>
  <c r="X63" i="137"/>
  <c r="K63" i="137" s="1"/>
  <c r="K143" i="137" s="1"/>
  <c r="V221" i="110"/>
  <c r="Q19" i="137"/>
  <c r="R259" i="110"/>
  <c r="R267" i="110" s="1"/>
  <c r="R268" i="110" s="1"/>
  <c r="K306" i="110"/>
  <c r="O259" i="110"/>
  <c r="O267" i="110" s="1"/>
  <c r="O268" i="110" s="1"/>
  <c r="F45" i="124"/>
  <c r="R406" i="110"/>
  <c r="R407" i="110" s="1"/>
  <c r="S306" i="110"/>
  <c r="O306" i="110"/>
  <c r="L406" i="110"/>
  <c r="L281" i="110" s="1"/>
  <c r="L282" i="110" s="1"/>
  <c r="S259" i="110"/>
  <c r="S267" i="110" s="1"/>
  <c r="S268" i="110" s="1"/>
  <c r="L259" i="110"/>
  <c r="L267" i="110" s="1"/>
  <c r="L268" i="110" s="1"/>
  <c r="V346" i="110"/>
  <c r="P406" i="110"/>
  <c r="W19" i="137"/>
  <c r="V336" i="110"/>
  <c r="Q306" i="110"/>
  <c r="O258" i="110"/>
  <c r="O264" i="110" s="1"/>
  <c r="O265" i="110" s="1"/>
  <c r="V19" i="137"/>
  <c r="M258" i="110"/>
  <c r="M264" i="110" s="1"/>
  <c r="M265" i="110" s="1"/>
  <c r="O371" i="110"/>
  <c r="K191" i="110"/>
  <c r="O191" i="110"/>
  <c r="Q259" i="110"/>
  <c r="Q267" i="110" s="1"/>
  <c r="Q268" i="110" s="1"/>
  <c r="U258" i="110"/>
  <c r="U264" i="110" s="1"/>
  <c r="P259" i="110"/>
  <c r="P267" i="110" s="1"/>
  <c r="P268" i="110" s="1"/>
  <c r="L306" i="110"/>
  <c r="V186" i="110"/>
  <c r="O406" i="110"/>
  <c r="V333" i="110"/>
  <c r="L19" i="137"/>
  <c r="X5" i="137"/>
  <c r="V199" i="110"/>
  <c r="U259" i="110"/>
  <c r="U267" i="110" s="1"/>
  <c r="U268" i="110" s="1"/>
  <c r="L80" i="137"/>
  <c r="X23" i="137"/>
  <c r="N40" i="181"/>
  <c r="N27" i="181"/>
  <c r="S418" i="110"/>
  <c r="S170" i="110"/>
  <c r="S420" i="110"/>
  <c r="V358" i="110"/>
  <c r="K40" i="181"/>
  <c r="K27" i="181"/>
  <c r="P191" i="110"/>
  <c r="P258" i="110"/>
  <c r="P264" i="110" s="1"/>
  <c r="M406" i="110"/>
  <c r="U306" i="110"/>
  <c r="V353" i="110"/>
  <c r="R371" i="110"/>
  <c r="Q170" i="110"/>
  <c r="Q420" i="110"/>
  <c r="Q418" i="110"/>
  <c r="T306" i="110"/>
  <c r="U56" i="181"/>
  <c r="K418" i="110"/>
  <c r="K170" i="110"/>
  <c r="K420" i="110"/>
  <c r="K259" i="110"/>
  <c r="K267" i="110" s="1"/>
  <c r="K268" i="110" s="1"/>
  <c r="X14" i="137"/>
  <c r="K14" i="137" s="1"/>
  <c r="K94" i="137" s="1"/>
  <c r="R418" i="110"/>
  <c r="R420" i="110"/>
  <c r="R170" i="110"/>
  <c r="R40" i="181"/>
  <c r="R27" i="181"/>
  <c r="V104" i="110"/>
  <c r="J419" i="110"/>
  <c r="J426" i="110" s="1"/>
  <c r="J420" i="110" a="1"/>
  <c r="J420" i="110" s="1"/>
  <c r="J170" i="110"/>
  <c r="V314" i="110"/>
  <c r="V189" i="110"/>
  <c r="V243" i="110"/>
  <c r="R19" i="137"/>
  <c r="K371" i="110"/>
  <c r="O19" i="137"/>
  <c r="V350" i="110"/>
  <c r="V238" i="110"/>
  <c r="M371" i="110"/>
  <c r="Q406" i="110"/>
  <c r="M19" i="137"/>
  <c r="V180" i="110"/>
  <c r="J259" i="110"/>
  <c r="J267" i="110" s="1"/>
  <c r="V218" i="110"/>
  <c r="X26" i="137"/>
  <c r="K26" i="137" s="1"/>
  <c r="K106" i="137" s="1"/>
  <c r="V386" i="110"/>
  <c r="J394" i="110"/>
  <c r="S191" i="110"/>
  <c r="X17" i="137"/>
  <c r="K17" i="137" s="1"/>
  <c r="K97" i="137" s="1"/>
  <c r="P418" i="110"/>
  <c r="P420" i="110"/>
  <c r="P170" i="110"/>
  <c r="X65" i="137"/>
  <c r="K65" i="137" s="1"/>
  <c r="K145" i="137" s="1"/>
  <c r="S371" i="110"/>
  <c r="M191" i="110"/>
  <c r="N406" i="110"/>
  <c r="X59" i="137"/>
  <c r="K59" i="137" s="1"/>
  <c r="K139" i="137" s="1"/>
  <c r="X62" i="137"/>
  <c r="K62" i="137" s="1"/>
  <c r="K142" i="137" s="1"/>
  <c r="S19" i="137"/>
  <c r="S40" i="181"/>
  <c r="S27" i="181"/>
  <c r="U191" i="110"/>
  <c r="V403" i="110"/>
  <c r="U371" i="110"/>
  <c r="I40" i="181"/>
  <c r="I27" i="181"/>
  <c r="U13" i="181"/>
  <c r="U27" i="181" s="1"/>
  <c r="T19" i="137"/>
  <c r="X42" i="137"/>
  <c r="K42" i="137" s="1"/>
  <c r="K122" i="137" s="1"/>
  <c r="T420" i="110"/>
  <c r="T419" i="110"/>
  <c r="T170" i="110"/>
  <c r="U19" i="137"/>
  <c r="V304" i="110"/>
  <c r="O40" i="181"/>
  <c r="O27" i="181"/>
  <c r="N418" i="110"/>
  <c r="N170" i="110"/>
  <c r="N420" i="110"/>
  <c r="P40" i="181"/>
  <c r="P27" i="181"/>
  <c r="X8" i="137"/>
  <c r="K8" i="137" s="1"/>
  <c r="K89" i="137" s="1"/>
  <c r="X45" i="137"/>
  <c r="K45" i="137" s="1"/>
  <c r="K125" i="137" s="1"/>
  <c r="Q40" i="181"/>
  <c r="Q27" i="181"/>
  <c r="V301" i="110"/>
  <c r="J306" i="110"/>
  <c r="R258" i="110"/>
  <c r="R264" i="110" s="1"/>
  <c r="R191" i="110"/>
  <c r="S258" i="110"/>
  <c r="S264" i="110" s="1"/>
  <c r="N19" i="137"/>
  <c r="J40" i="181"/>
  <c r="J27" i="181"/>
  <c r="V241" i="110"/>
  <c r="N371" i="110"/>
  <c r="N258" i="110"/>
  <c r="N264" i="110" s="1"/>
  <c r="N191" i="110"/>
  <c r="M306" i="110"/>
  <c r="M40" i="181"/>
  <c r="M27" i="181"/>
  <c r="M259" i="110"/>
  <c r="M267" i="110" s="1"/>
  <c r="M268" i="110" s="1"/>
  <c r="O170" i="110"/>
  <c r="O420" i="110"/>
  <c r="O418" i="110"/>
  <c r="V231" i="110"/>
  <c r="T258" i="110"/>
  <c r="T264" i="110" s="1"/>
  <c r="T191" i="110"/>
  <c r="K258" i="110"/>
  <c r="K264" i="110" s="1"/>
  <c r="L170" i="110"/>
  <c r="L420" i="110"/>
  <c r="L418" i="110"/>
  <c r="N259" i="110"/>
  <c r="N267" i="110" s="1"/>
  <c r="N268" i="110" s="1"/>
  <c r="P371" i="110"/>
  <c r="V356" i="110"/>
  <c r="P306" i="110"/>
  <c r="L371" i="110"/>
  <c r="P19" i="137"/>
  <c r="T371" i="110"/>
  <c r="N306" i="110"/>
  <c r="U418" i="110"/>
  <c r="U420" i="110"/>
  <c r="U170" i="110"/>
  <c r="J406" i="110"/>
  <c r="V400" i="110"/>
  <c r="J371" i="110"/>
  <c r="V310" i="110"/>
  <c r="X67" i="137"/>
  <c r="K67" i="137" s="1"/>
  <c r="K147" i="137" s="1"/>
  <c r="T40" i="181"/>
  <c r="T27" i="181"/>
  <c r="L40" i="181"/>
  <c r="L27" i="181"/>
  <c r="X55" i="137"/>
  <c r="K55" i="137" s="1"/>
  <c r="K135" i="137" s="1"/>
  <c r="Q371" i="110"/>
  <c r="V177" i="110"/>
  <c r="J191" i="110"/>
  <c r="V195" i="110"/>
  <c r="J256" i="110"/>
  <c r="J258" i="110"/>
  <c r="J264" i="110" s="1"/>
  <c r="L258" i="110"/>
  <c r="L264" i="110" s="1"/>
  <c r="L191" i="110"/>
  <c r="M170" i="110"/>
  <c r="M418" i="110"/>
  <c r="M420" i="110"/>
  <c r="V235" i="110"/>
  <c r="Q258" i="110"/>
  <c r="Q264" i="110" s="1"/>
  <c r="Q191" i="110"/>
  <c r="L32" i="124"/>
  <c r="G6" i="138"/>
  <c r="O6" i="138" s="1"/>
  <c r="G55" i="138"/>
  <c r="O17" i="138"/>
  <c r="L36" i="133"/>
  <c r="K143" i="133"/>
  <c r="L29" i="133"/>
  <c r="D9" i="26"/>
  <c r="D10" i="26" s="1"/>
  <c r="G68" i="35"/>
  <c r="I62" i="35"/>
  <c r="F34" i="138"/>
  <c r="H67" i="35"/>
  <c r="U75" i="133"/>
  <c r="U77" i="133" s="1"/>
  <c r="U79" i="133" s="1"/>
  <c r="U143" i="133"/>
  <c r="V29" i="133"/>
  <c r="U40" i="133"/>
  <c r="V30" i="133"/>
  <c r="V36" i="133" s="1"/>
  <c r="T78" i="178"/>
  <c r="H32" i="138"/>
  <c r="M67" i="178"/>
  <c r="T46" i="178"/>
  <c r="T61" i="178" s="1"/>
  <c r="T62" i="178" s="1"/>
  <c r="F32" i="138"/>
  <c r="K67" i="178"/>
  <c r="T66" i="178"/>
  <c r="T67" i="178" s="1"/>
  <c r="T68" i="178" s="1"/>
  <c r="Q57" i="35"/>
  <c r="P67" i="178"/>
  <c r="K32" i="138"/>
  <c r="J72" i="178"/>
  <c r="I71" i="178"/>
  <c r="I80" i="178" s="1"/>
  <c r="F25" i="35"/>
  <c r="I44" i="124"/>
  <c r="R44" i="124" s="1"/>
  <c r="R43" i="124"/>
  <c r="R36" i="124"/>
  <c r="R31" i="124"/>
  <c r="R32" i="124" s="1"/>
  <c r="K100" i="137"/>
  <c r="R38" i="124"/>
  <c r="J45" i="124"/>
  <c r="R41" i="124"/>
  <c r="C9" i="26" l="1"/>
  <c r="C10" i="26" s="1"/>
  <c r="O29" i="138"/>
  <c r="O28" i="138"/>
  <c r="H55" i="193"/>
  <c r="H64" i="193" s="1"/>
  <c r="H73" i="193" s="1"/>
  <c r="I24" i="193"/>
  <c r="G18" i="193"/>
  <c r="E117" i="193"/>
  <c r="G17" i="193"/>
  <c r="H54" i="193"/>
  <c r="I23" i="193"/>
  <c r="H27" i="193"/>
  <c r="G63" i="193"/>
  <c r="G58" i="193"/>
  <c r="F72" i="193"/>
  <c r="F67" i="193"/>
  <c r="F76" i="193" s="1"/>
  <c r="F13" i="193" s="1"/>
  <c r="F14" i="193" s="1"/>
  <c r="I26" i="193"/>
  <c r="H57" i="193"/>
  <c r="I25" i="193"/>
  <c r="H56" i="193"/>
  <c r="H65" i="193" s="1"/>
  <c r="H74" i="193" s="1"/>
  <c r="EL102" i="188"/>
  <c r="EL122" i="188" s="1"/>
  <c r="EL130" i="188" s="1"/>
  <c r="EL131" i="188" s="1"/>
  <c r="DZ122" i="188"/>
  <c r="DZ130" i="188" s="1"/>
  <c r="M257" i="110"/>
  <c r="J30" i="193"/>
  <c r="J36" i="193" s="1"/>
  <c r="L92" i="192"/>
  <c r="M29" i="192"/>
  <c r="M46" i="192"/>
  <c r="M47" i="192" s="1"/>
  <c r="M50" i="35"/>
  <c r="J35" i="138"/>
  <c r="L100" i="192"/>
  <c r="L36" i="192"/>
  <c r="O63" i="199"/>
  <c r="O48" i="199"/>
  <c r="O50" i="199" s="1"/>
  <c r="O60" i="199" s="1"/>
  <c r="F111" i="192"/>
  <c r="F112" i="192" s="1"/>
  <c r="R110" i="192"/>
  <c r="R98" i="192"/>
  <c r="Q21" i="199"/>
  <c r="Q16" i="199"/>
  <c r="Q22" i="199" s="1"/>
  <c r="R15" i="199"/>
  <c r="P111" i="192"/>
  <c r="L129" i="133"/>
  <c r="L130" i="133" s="1"/>
  <c r="L125" i="133" s="1"/>
  <c r="L72" i="133" s="1"/>
  <c r="L96" i="133"/>
  <c r="Q69" i="192"/>
  <c r="Q109" i="192"/>
  <c r="Q111" i="192" s="1"/>
  <c r="P17" i="199"/>
  <c r="P22" i="199"/>
  <c r="P23" i="199" s="1"/>
  <c r="P25" i="199" s="1"/>
  <c r="S407" i="110"/>
  <c r="I42" i="138"/>
  <c r="H12" i="26"/>
  <c r="G41" i="138"/>
  <c r="J74" i="35"/>
  <c r="E12" i="26"/>
  <c r="F42" i="138"/>
  <c r="F71" i="133"/>
  <c r="G71" i="133"/>
  <c r="J71" i="133"/>
  <c r="H71" i="133"/>
  <c r="I71" i="133"/>
  <c r="BB5" i="133"/>
  <c r="BA44" i="133"/>
  <c r="K126" i="133"/>
  <c r="K127" i="133"/>
  <c r="K74" i="133" s="1"/>
  <c r="K124" i="133"/>
  <c r="K71" i="133" s="1"/>
  <c r="J128" i="133"/>
  <c r="BE72" i="133"/>
  <c r="AR72" i="133"/>
  <c r="AL71" i="133"/>
  <c r="AN71" i="133"/>
  <c r="AM71" i="133"/>
  <c r="AQ71" i="133"/>
  <c r="AF71" i="133"/>
  <c r="W71" i="133"/>
  <c r="AX71" i="133"/>
  <c r="D70" i="133"/>
  <c r="AD71" i="133"/>
  <c r="S71" i="133"/>
  <c r="AC71" i="133"/>
  <c r="AO71" i="133"/>
  <c r="Z71" i="133"/>
  <c r="AJ71" i="133"/>
  <c r="AK71" i="133"/>
  <c r="V71" i="133"/>
  <c r="AG71" i="133"/>
  <c r="AT71" i="133"/>
  <c r="BD71" i="133"/>
  <c r="AB71" i="133"/>
  <c r="AV71" i="133"/>
  <c r="AS71" i="133"/>
  <c r="U71" i="133"/>
  <c r="BB71" i="133"/>
  <c r="AW71" i="133"/>
  <c r="AI71" i="133"/>
  <c r="BA71" i="133"/>
  <c r="AZ71" i="133"/>
  <c r="BC71" i="133"/>
  <c r="AU71" i="133"/>
  <c r="Y71" i="133"/>
  <c r="T71" i="133"/>
  <c r="AA71" i="133"/>
  <c r="AP71" i="133"/>
  <c r="AY71" i="133"/>
  <c r="AH71" i="133"/>
  <c r="X71" i="133"/>
  <c r="AE72" i="133"/>
  <c r="Z17" i="133"/>
  <c r="Y20" i="133"/>
  <c r="Y25" i="133" s="1"/>
  <c r="Y95" i="133" s="1"/>
  <c r="Y57" i="133"/>
  <c r="AC7" i="133"/>
  <c r="AB46" i="133"/>
  <c r="AR63" i="133"/>
  <c r="I45" i="35"/>
  <c r="G36" i="138" s="1"/>
  <c r="AP10" i="133"/>
  <c r="AO49" i="133"/>
  <c r="BA6" i="133"/>
  <c r="AZ45" i="133"/>
  <c r="AZ47" i="133" s="1"/>
  <c r="AZ87" i="133" s="1"/>
  <c r="AZ8" i="133"/>
  <c r="AY89" i="133"/>
  <c r="BD10" i="133"/>
  <c r="BC49" i="133"/>
  <c r="AO6" i="133"/>
  <c r="AN45" i="133"/>
  <c r="AN47" i="133" s="1"/>
  <c r="AN87" i="133" s="1"/>
  <c r="AN8" i="133"/>
  <c r="AB48" i="133"/>
  <c r="AC9" i="133"/>
  <c r="AK60" i="133"/>
  <c r="AK88" i="133" s="1"/>
  <c r="AK89" i="133" s="1"/>
  <c r="AC6" i="133"/>
  <c r="AB45" i="133"/>
  <c r="AM17" i="133"/>
  <c r="AL57" i="133"/>
  <c r="AL60" i="133" s="1"/>
  <c r="AL88" i="133" s="1"/>
  <c r="AL89" i="133" s="1"/>
  <c r="AL20" i="133"/>
  <c r="AD23" i="133"/>
  <c r="AD63" i="133" s="1"/>
  <c r="AC63" i="133"/>
  <c r="M45" i="133"/>
  <c r="AR23" i="133"/>
  <c r="AP5" i="133"/>
  <c r="AO44" i="133"/>
  <c r="BE23" i="133"/>
  <c r="BD63" i="133"/>
  <c r="BE63" i="133" s="1"/>
  <c r="K53" i="133"/>
  <c r="L44" i="133"/>
  <c r="L47" i="133" s="1"/>
  <c r="L87" i="133" s="1"/>
  <c r="L89" i="133" s="1"/>
  <c r="K44" i="35" s="1"/>
  <c r="M5" i="133"/>
  <c r="L8" i="133"/>
  <c r="L13" i="133" s="1"/>
  <c r="J87" i="133"/>
  <c r="J89" i="133" s="1"/>
  <c r="I44" i="35" s="1"/>
  <c r="J53" i="133"/>
  <c r="AP19" i="133"/>
  <c r="AO59" i="133"/>
  <c r="AC10" i="133"/>
  <c r="AB49" i="133"/>
  <c r="AA21" i="133"/>
  <c r="Z61" i="133"/>
  <c r="BD7" i="133"/>
  <c r="BC46" i="133"/>
  <c r="X95" i="133"/>
  <c r="W83" i="133"/>
  <c r="W53" i="133"/>
  <c r="X84" i="133"/>
  <c r="X66" i="133"/>
  <c r="BD19" i="133"/>
  <c r="BC59" i="133"/>
  <c r="BA20" i="133"/>
  <c r="BB17" i="133"/>
  <c r="BA57" i="133"/>
  <c r="Q46" i="133"/>
  <c r="K94" i="133"/>
  <c r="K97" i="133" s="1"/>
  <c r="AP18" i="133"/>
  <c r="AO58" i="133"/>
  <c r="Y11" i="133"/>
  <c r="X50" i="133"/>
  <c r="X51" i="133" s="1"/>
  <c r="X12" i="133"/>
  <c r="AX89" i="133"/>
  <c r="V97" i="133"/>
  <c r="AA47" i="133"/>
  <c r="AR61" i="133"/>
  <c r="AC5" i="133"/>
  <c r="AB8" i="133"/>
  <c r="AB44" i="133"/>
  <c r="AD19" i="133"/>
  <c r="AC59" i="133"/>
  <c r="L51" i="133"/>
  <c r="AO9" i="133"/>
  <c r="AN48" i="133"/>
  <c r="M12" i="133"/>
  <c r="N9" i="133"/>
  <c r="M48" i="133"/>
  <c r="M51" i="133" s="1"/>
  <c r="AQ7" i="133"/>
  <c r="AR7" i="133" s="1"/>
  <c r="AP46" i="133"/>
  <c r="Z22" i="133"/>
  <c r="Y62" i="133"/>
  <c r="Y64" i="133" s="1"/>
  <c r="BB9" i="133"/>
  <c r="BA48" i="133"/>
  <c r="AZ88" i="133"/>
  <c r="W84" i="133"/>
  <c r="W66" i="133"/>
  <c r="G70" i="124"/>
  <c r="F9" i="35" s="1"/>
  <c r="F26" i="138" s="1"/>
  <c r="S81" i="137"/>
  <c r="O32" i="138"/>
  <c r="B9" i="26"/>
  <c r="B10" i="26" s="1"/>
  <c r="V170" i="110"/>
  <c r="V171" i="110" s="1"/>
  <c r="V172" i="110" s="1"/>
  <c r="F50" i="199"/>
  <c r="R48" i="199"/>
  <c r="S48" i="199"/>
  <c r="R63" i="199"/>
  <c r="S63" i="199"/>
  <c r="M81" i="137"/>
  <c r="T257" i="110"/>
  <c r="P257" i="110"/>
  <c r="U257" i="110"/>
  <c r="Q257" i="110"/>
  <c r="O81" i="137"/>
  <c r="N81" i="137"/>
  <c r="P81" i="137"/>
  <c r="T81" i="137"/>
  <c r="R33" i="124"/>
  <c r="W81" i="137"/>
  <c r="N257" i="110"/>
  <c r="S257" i="110"/>
  <c r="L257" i="110"/>
  <c r="U81" i="137"/>
  <c r="O257" i="110"/>
  <c r="K257" i="110"/>
  <c r="V81" i="137"/>
  <c r="Q81" i="137"/>
  <c r="R257" i="110"/>
  <c r="R81" i="137"/>
  <c r="O39" i="138"/>
  <c r="T407" i="110"/>
  <c r="R281" i="110"/>
  <c r="R282" i="110" s="1"/>
  <c r="Q372" i="110"/>
  <c r="Q271" i="110" s="1"/>
  <c r="Q272" i="110" s="1"/>
  <c r="J70" i="124"/>
  <c r="I9" i="35" s="1"/>
  <c r="I26" i="138" s="1"/>
  <c r="K73" i="124"/>
  <c r="J9" i="35"/>
  <c r="J26" i="138" s="1"/>
  <c r="F53" i="124"/>
  <c r="R54" i="124" s="1"/>
  <c r="F57" i="124"/>
  <c r="R372" i="110"/>
  <c r="R271" i="110" s="1"/>
  <c r="R272" i="110" s="1"/>
  <c r="K407" i="110"/>
  <c r="K372" i="110"/>
  <c r="K271" i="110" s="1"/>
  <c r="K272" i="110" s="1"/>
  <c r="U407" i="110"/>
  <c r="S372" i="110"/>
  <c r="S271" i="110" s="1"/>
  <c r="S272" i="110" s="1"/>
  <c r="N372" i="110"/>
  <c r="N271" i="110" s="1"/>
  <c r="N272" i="110" s="1"/>
  <c r="L407" i="110"/>
  <c r="O372" i="110"/>
  <c r="O271" i="110" s="1"/>
  <c r="O272" i="110" s="1"/>
  <c r="M372" i="110"/>
  <c r="M271" i="110" s="1"/>
  <c r="M272" i="110" s="1"/>
  <c r="U372" i="110"/>
  <c r="U271" i="110" s="1"/>
  <c r="U272" i="110" s="1"/>
  <c r="V259" i="110"/>
  <c r="O269" i="110"/>
  <c r="T11" i="119" s="1"/>
  <c r="T12" i="119" s="1"/>
  <c r="U269" i="110"/>
  <c r="Z11" i="119" s="1"/>
  <c r="Z12" i="119" s="1"/>
  <c r="Z21" i="119" s="1"/>
  <c r="Z22" i="119" s="1"/>
  <c r="P407" i="110"/>
  <c r="P281" i="110"/>
  <c r="P282" i="110" s="1"/>
  <c r="L372" i="110"/>
  <c r="L271" i="110" s="1"/>
  <c r="L272" i="110" s="1"/>
  <c r="P372" i="110"/>
  <c r="P271" i="110" s="1"/>
  <c r="P272" i="110" s="1"/>
  <c r="U265" i="110"/>
  <c r="V258" i="110"/>
  <c r="U427" i="110"/>
  <c r="U434" i="110"/>
  <c r="Q11" i="124"/>
  <c r="M427" i="110"/>
  <c r="M434" i="110"/>
  <c r="I11" i="124"/>
  <c r="T59" i="181"/>
  <c r="T60" i="181" s="1"/>
  <c r="T65" i="181" s="1"/>
  <c r="P16" i="35" s="1"/>
  <c r="T41" i="181"/>
  <c r="T46" i="181" s="1"/>
  <c r="Q9" i="124"/>
  <c r="U421" i="110"/>
  <c r="U435" i="110" s="1"/>
  <c r="U425" i="110"/>
  <c r="U432" i="110"/>
  <c r="T265" i="110"/>
  <c r="T269" i="110"/>
  <c r="Y11" i="119" s="1"/>
  <c r="Y12" i="119" s="1"/>
  <c r="J41" i="181"/>
  <c r="J46" i="181" s="1"/>
  <c r="J59" i="181"/>
  <c r="J60" i="181" s="1"/>
  <c r="J65" i="181" s="1"/>
  <c r="F16" i="35" s="1"/>
  <c r="F32" i="35" s="1"/>
  <c r="Q59" i="181"/>
  <c r="Q60" i="181" s="1"/>
  <c r="Q65" i="181" s="1"/>
  <c r="M16" i="35" s="1"/>
  <c r="M30" i="138" s="1"/>
  <c r="Q41" i="181"/>
  <c r="Q46" i="181" s="1"/>
  <c r="J9" i="124"/>
  <c r="N425" i="110"/>
  <c r="N432" i="110"/>
  <c r="N421" i="110"/>
  <c r="N435" i="110" s="1"/>
  <c r="T434" i="110"/>
  <c r="T427" i="110"/>
  <c r="P11" i="124"/>
  <c r="V394" i="110"/>
  <c r="V396" i="110" s="1"/>
  <c r="J396" i="110"/>
  <c r="J278" i="110" s="1"/>
  <c r="R426" i="110"/>
  <c r="R433" i="110"/>
  <c r="N10" i="124"/>
  <c r="G144" i="133"/>
  <c r="G145" i="133" s="1"/>
  <c r="K171" i="110"/>
  <c r="K172" i="110" s="1"/>
  <c r="Q265" i="110"/>
  <c r="Q269" i="110"/>
  <c r="V11" i="119" s="1"/>
  <c r="V12" i="119" s="1"/>
  <c r="V264" i="110"/>
  <c r="J265" i="110"/>
  <c r="J269" i="110"/>
  <c r="J257" i="110"/>
  <c r="V256" i="110"/>
  <c r="N171" i="110"/>
  <c r="N172" i="110" s="1"/>
  <c r="J144" i="133"/>
  <c r="J145" i="133" s="1"/>
  <c r="I9" i="124"/>
  <c r="M432" i="110"/>
  <c r="M425" i="110"/>
  <c r="M421" i="110"/>
  <c r="M435" i="110" s="1"/>
  <c r="V191" i="110"/>
  <c r="U433" i="110"/>
  <c r="Q10" i="124"/>
  <c r="U426" i="110"/>
  <c r="M41" i="181"/>
  <c r="M46" i="181" s="1"/>
  <c r="M59" i="181"/>
  <c r="M60" i="181" s="1"/>
  <c r="M65" i="181" s="1"/>
  <c r="I16" i="35" s="1"/>
  <c r="I30" i="138" s="1"/>
  <c r="J171" i="110"/>
  <c r="J172" i="110" s="1"/>
  <c r="F144" i="133"/>
  <c r="R171" i="110"/>
  <c r="R172" i="110" s="1"/>
  <c r="N144" i="133"/>
  <c r="N145" i="133" s="1"/>
  <c r="G9" i="124"/>
  <c r="K432" i="110"/>
  <c r="K425" i="110"/>
  <c r="K421" i="110"/>
  <c r="K435" i="110" s="1"/>
  <c r="O11" i="124"/>
  <c r="S427" i="110"/>
  <c r="S434" i="110"/>
  <c r="H9" i="124"/>
  <c r="L425" i="110"/>
  <c r="L432" i="110"/>
  <c r="L421" i="110"/>
  <c r="L435" i="110" s="1"/>
  <c r="O425" i="110"/>
  <c r="O421" i="110"/>
  <c r="O435" i="110" s="1"/>
  <c r="K9" i="124"/>
  <c r="O432" i="110"/>
  <c r="S265" i="110"/>
  <c r="S269" i="110"/>
  <c r="X11" i="119" s="1"/>
  <c r="X12" i="119" s="1"/>
  <c r="O59" i="181"/>
  <c r="O60" i="181" s="1"/>
  <c r="O65" i="181" s="1"/>
  <c r="K16" i="35" s="1"/>
  <c r="K30" i="138" s="1"/>
  <c r="O41" i="181"/>
  <c r="O46" i="181" s="1"/>
  <c r="S41" i="181"/>
  <c r="S46" i="181" s="1"/>
  <c r="S59" i="181"/>
  <c r="S60" i="181" s="1"/>
  <c r="S65" i="181" s="1"/>
  <c r="O16" i="35" s="1"/>
  <c r="P171" i="110"/>
  <c r="P172" i="110" s="1"/>
  <c r="L144" i="133"/>
  <c r="L145" i="133" s="1"/>
  <c r="F11" i="124"/>
  <c r="J427" i="110"/>
  <c r="J434" i="110"/>
  <c r="V420" i="110"/>
  <c r="V434" i="110" s="1"/>
  <c r="R427" i="110"/>
  <c r="N11" i="124"/>
  <c r="R434" i="110"/>
  <c r="O10" i="124"/>
  <c r="S426" i="110"/>
  <c r="S433" i="110"/>
  <c r="M433" i="110"/>
  <c r="M426" i="110"/>
  <c r="I10" i="124"/>
  <c r="V371" i="110"/>
  <c r="K10" i="124"/>
  <c r="O426" i="110"/>
  <c r="O433" i="110"/>
  <c r="P433" i="110"/>
  <c r="L10" i="124"/>
  <c r="P426" i="110"/>
  <c r="F10" i="124"/>
  <c r="V419" i="110"/>
  <c r="V433" i="110" s="1"/>
  <c r="J433" i="110"/>
  <c r="R432" i="110"/>
  <c r="R425" i="110"/>
  <c r="R421" i="110"/>
  <c r="R435" i="110" s="1"/>
  <c r="N9" i="124"/>
  <c r="T372" i="110"/>
  <c r="T271" i="110" s="1"/>
  <c r="T272" i="110" s="1"/>
  <c r="M281" i="110"/>
  <c r="M282" i="110" s="1"/>
  <c r="M407" i="110"/>
  <c r="O144" i="133"/>
  <c r="O145" i="133" s="1"/>
  <c r="S171" i="110"/>
  <c r="S172" i="110" s="1"/>
  <c r="K5" i="137"/>
  <c r="K86" i="137" s="1"/>
  <c r="X19" i="137"/>
  <c r="M171" i="110"/>
  <c r="M172" i="110" s="1"/>
  <c r="I144" i="133"/>
  <c r="I145" i="133" s="1"/>
  <c r="L427" i="110"/>
  <c r="L434" i="110"/>
  <c r="H11" i="124"/>
  <c r="H144" i="133"/>
  <c r="H145" i="133" s="1"/>
  <c r="L171" i="110"/>
  <c r="L172" i="110" s="1"/>
  <c r="K11" i="124"/>
  <c r="O427" i="110"/>
  <c r="O434" i="110"/>
  <c r="N265" i="110"/>
  <c r="N269" i="110"/>
  <c r="S11" i="119" s="1"/>
  <c r="S12" i="119" s="1"/>
  <c r="R269" i="110"/>
  <c r="W11" i="119" s="1"/>
  <c r="W12" i="119" s="1"/>
  <c r="R265" i="110"/>
  <c r="P59" i="181"/>
  <c r="P60" i="181" s="1"/>
  <c r="P65" i="181" s="1"/>
  <c r="L16" i="35" s="1"/>
  <c r="L30" i="138" s="1"/>
  <c r="P41" i="181"/>
  <c r="P46" i="181" s="1"/>
  <c r="P434" i="110"/>
  <c r="L11" i="124"/>
  <c r="P427" i="110"/>
  <c r="V267" i="110"/>
  <c r="J268" i="110"/>
  <c r="V268" i="110" s="1"/>
  <c r="Q425" i="110"/>
  <c r="Q421" i="110"/>
  <c r="Q435" i="110" s="1"/>
  <c r="M9" i="124"/>
  <c r="Q432" i="110"/>
  <c r="P269" i="110"/>
  <c r="U11" i="119" s="1"/>
  <c r="U12" i="119" s="1"/>
  <c r="P265" i="110"/>
  <c r="O9" i="124"/>
  <c r="S432" i="110"/>
  <c r="S421" i="110"/>
  <c r="S435" i="110" s="1"/>
  <c r="S425" i="110"/>
  <c r="L81" i="137"/>
  <c r="L265" i="110"/>
  <c r="L269" i="110"/>
  <c r="Q11" i="119" s="1"/>
  <c r="Q12" i="119" s="1"/>
  <c r="J281" i="110"/>
  <c r="J407" i="110"/>
  <c r="V406" i="110"/>
  <c r="V407" i="110" s="1"/>
  <c r="L433" i="110"/>
  <c r="H10" i="124"/>
  <c r="L426" i="110"/>
  <c r="O171" i="110"/>
  <c r="O172" i="110" s="1"/>
  <c r="K144" i="133"/>
  <c r="K145" i="133" s="1"/>
  <c r="J372" i="110"/>
  <c r="J271" i="110" s="1"/>
  <c r="V306" i="110"/>
  <c r="N433" i="110"/>
  <c r="J10" i="124"/>
  <c r="N426" i="110"/>
  <c r="T171" i="110"/>
  <c r="T172" i="110" s="1"/>
  <c r="P144" i="133"/>
  <c r="P145" i="133" s="1"/>
  <c r="I59" i="181"/>
  <c r="I41" i="181"/>
  <c r="I46" i="181" s="1"/>
  <c r="U40" i="181"/>
  <c r="U41" i="181" s="1"/>
  <c r="U46" i="181" s="1"/>
  <c r="L9" i="124"/>
  <c r="P425" i="110"/>
  <c r="P432" i="110"/>
  <c r="P421" i="110"/>
  <c r="P435" i="110" s="1"/>
  <c r="J432" i="110"/>
  <c r="J425" i="110"/>
  <c r="F9" i="124"/>
  <c r="V418" i="110"/>
  <c r="J421" i="110"/>
  <c r="J435" i="110" s="1"/>
  <c r="M11" i="124"/>
  <c r="Q434" i="110"/>
  <c r="Q427" i="110"/>
  <c r="L59" i="181"/>
  <c r="L60" i="181" s="1"/>
  <c r="L65" i="181" s="1"/>
  <c r="H16" i="35" s="1"/>
  <c r="H30" i="138" s="1"/>
  <c r="L41" i="181"/>
  <c r="L46" i="181" s="1"/>
  <c r="U171" i="110"/>
  <c r="U172" i="110" s="1"/>
  <c r="Q144" i="133"/>
  <c r="Q145" i="133" s="1"/>
  <c r="K269" i="110"/>
  <c r="P11" i="119" s="1"/>
  <c r="P12" i="119" s="1"/>
  <c r="K265" i="110"/>
  <c r="N434" i="110"/>
  <c r="J11" i="124"/>
  <c r="N427" i="110"/>
  <c r="P9" i="124"/>
  <c r="T432" i="110"/>
  <c r="T425" i="110"/>
  <c r="T421" i="110"/>
  <c r="T435" i="110" s="1"/>
  <c r="N407" i="110"/>
  <c r="N281" i="110"/>
  <c r="N282" i="110" s="1"/>
  <c r="G11" i="124"/>
  <c r="K427" i="110"/>
  <c r="K434" i="110"/>
  <c r="Q171" i="110"/>
  <c r="Q172" i="110" s="1"/>
  <c r="M144" i="133"/>
  <c r="M145" i="133" s="1"/>
  <c r="N41" i="181"/>
  <c r="N46" i="181" s="1"/>
  <c r="N59" i="181"/>
  <c r="N60" i="181" s="1"/>
  <c r="N65" i="181" s="1"/>
  <c r="J16" i="35" s="1"/>
  <c r="J30" i="138" s="1"/>
  <c r="O281" i="110"/>
  <c r="O282" i="110" s="1"/>
  <c r="O407" i="110"/>
  <c r="M269" i="110"/>
  <c r="R11" i="119" s="1"/>
  <c r="R12" i="119" s="1"/>
  <c r="P10" i="124"/>
  <c r="T426" i="110"/>
  <c r="T433" i="110"/>
  <c r="Q407" i="110"/>
  <c r="Q281" i="110"/>
  <c r="Q282" i="110" s="1"/>
  <c r="R59" i="181"/>
  <c r="R60" i="181" s="1"/>
  <c r="R65" i="181" s="1"/>
  <c r="N16" i="35" s="1"/>
  <c r="N30" i="138" s="1"/>
  <c r="R41" i="181"/>
  <c r="R46" i="181" s="1"/>
  <c r="G10" i="124"/>
  <c r="K426" i="110"/>
  <c r="K433" i="110"/>
  <c r="Q426" i="110"/>
  <c r="M10" i="124"/>
  <c r="Q433" i="110"/>
  <c r="K41" i="181"/>
  <c r="K46" i="181" s="1"/>
  <c r="K59" i="181"/>
  <c r="K60" i="181" s="1"/>
  <c r="K65" i="181" s="1"/>
  <c r="G16" i="35" s="1"/>
  <c r="K23" i="137"/>
  <c r="X80" i="137"/>
  <c r="K80" i="137" s="1"/>
  <c r="G34" i="138"/>
  <c r="J62" i="35"/>
  <c r="E9" i="26"/>
  <c r="E10" i="26" s="1"/>
  <c r="H68" i="35"/>
  <c r="M36" i="133"/>
  <c r="M29" i="133"/>
  <c r="L143" i="133"/>
  <c r="U85" i="133"/>
  <c r="U86" i="133" s="1"/>
  <c r="U90" i="133" s="1"/>
  <c r="W30" i="133"/>
  <c r="W36" i="133" s="1"/>
  <c r="W29" i="133"/>
  <c r="V143" i="133"/>
  <c r="V75" i="133"/>
  <c r="V77" i="133" s="1"/>
  <c r="V40" i="133"/>
  <c r="C18" i="26"/>
  <c r="C20" i="26" s="1"/>
  <c r="K72" i="178"/>
  <c r="J71" i="178"/>
  <c r="J80" i="178" s="1"/>
  <c r="G25" i="35"/>
  <c r="I45" i="124"/>
  <c r="I70" i="124" s="1"/>
  <c r="H9" i="35" s="1"/>
  <c r="R45" i="124"/>
  <c r="J26" i="193" l="1"/>
  <c r="I57" i="193"/>
  <c r="I66" i="193" s="1"/>
  <c r="I75" i="193" s="1"/>
  <c r="I55" i="193"/>
  <c r="J24" i="193"/>
  <c r="G72" i="193"/>
  <c r="G67" i="193"/>
  <c r="G76" i="193" s="1"/>
  <c r="G13" i="193" s="1"/>
  <c r="G14" i="193" s="1"/>
  <c r="H18" i="193"/>
  <c r="F117" i="193"/>
  <c r="H17" i="193"/>
  <c r="J25" i="193"/>
  <c r="I56" i="193"/>
  <c r="I65" i="193" s="1"/>
  <c r="I74" i="193" s="1"/>
  <c r="J23" i="193"/>
  <c r="I27" i="193"/>
  <c r="I54" i="193"/>
  <c r="I63" i="193" s="1"/>
  <c r="Q17" i="199"/>
  <c r="H66" i="193"/>
  <c r="H63" i="193"/>
  <c r="H58" i="193"/>
  <c r="K30" i="193"/>
  <c r="K36" i="193" s="1"/>
  <c r="P48" i="199"/>
  <c r="P50" i="199" s="1"/>
  <c r="P60" i="199" s="1"/>
  <c r="P63" i="199"/>
  <c r="L101" i="192"/>
  <c r="K11" i="35"/>
  <c r="K35" i="138"/>
  <c r="N50" i="35"/>
  <c r="AB47" i="133"/>
  <c r="R109" i="192"/>
  <c r="R111" i="192" s="1"/>
  <c r="AZ89" i="133"/>
  <c r="I67" i="35"/>
  <c r="I68" i="35" s="1"/>
  <c r="L107" i="192"/>
  <c r="L94" i="192"/>
  <c r="M129" i="133"/>
  <c r="M130" i="133" s="1"/>
  <c r="M96" i="133"/>
  <c r="L11" i="35" s="1"/>
  <c r="R69" i="192"/>
  <c r="R70" i="192" s="1"/>
  <c r="Q23" i="199"/>
  <c r="Q25" i="199" s="1"/>
  <c r="M86" i="192"/>
  <c r="N41" i="192"/>
  <c r="M34" i="192"/>
  <c r="R21" i="199"/>
  <c r="S21" i="199"/>
  <c r="L74" i="35"/>
  <c r="L75" i="35" s="1"/>
  <c r="J75" i="35"/>
  <c r="M74" i="35"/>
  <c r="L126" i="133"/>
  <c r="L73" i="133" s="1"/>
  <c r="K73" i="133"/>
  <c r="Q70" i="133"/>
  <c r="I70" i="133"/>
  <c r="I75" i="133" s="1"/>
  <c r="I77" i="133" s="1"/>
  <c r="P70" i="133"/>
  <c r="H70" i="133"/>
  <c r="H75" i="133" s="1"/>
  <c r="H77" i="133" s="1"/>
  <c r="L70" i="133"/>
  <c r="J70" i="133"/>
  <c r="J75" i="133" s="1"/>
  <c r="J77" i="133" s="1"/>
  <c r="J85" i="133" s="1"/>
  <c r="J86" i="133" s="1"/>
  <c r="O70" i="133"/>
  <c r="G70" i="133"/>
  <c r="G75" i="133" s="1"/>
  <c r="G77" i="133" s="1"/>
  <c r="K70" i="133"/>
  <c r="N70" i="133"/>
  <c r="F70" i="133"/>
  <c r="F75" i="133" s="1"/>
  <c r="F77" i="133" s="1"/>
  <c r="M70" i="133"/>
  <c r="AE23" i="133"/>
  <c r="BC5" i="133"/>
  <c r="BB44" i="133"/>
  <c r="L124" i="133"/>
  <c r="L71" i="133" s="1"/>
  <c r="K128" i="133"/>
  <c r="L127" i="133"/>
  <c r="L74" i="133" s="1"/>
  <c r="M126" i="133"/>
  <c r="M73" i="133" s="1"/>
  <c r="M125" i="133"/>
  <c r="M72" i="133" s="1"/>
  <c r="AE71" i="133"/>
  <c r="AR71" i="133"/>
  <c r="AI70" i="133"/>
  <c r="AV70" i="133"/>
  <c r="AT70" i="133"/>
  <c r="AB70" i="133"/>
  <c r="AD70" i="133"/>
  <c r="AO70" i="133"/>
  <c r="X70" i="133"/>
  <c r="S70" i="133"/>
  <c r="AC70" i="133"/>
  <c r="AS70" i="133"/>
  <c r="AU70" i="133"/>
  <c r="BD70" i="133"/>
  <c r="AK70" i="133"/>
  <c r="AM70" i="133"/>
  <c r="T70" i="133"/>
  <c r="AZ70" i="133"/>
  <c r="BB70" i="133"/>
  <c r="AG70" i="133"/>
  <c r="AX70" i="133"/>
  <c r="BA70" i="133"/>
  <c r="W70" i="133"/>
  <c r="Y70" i="133"/>
  <c r="AA70" i="133"/>
  <c r="AH70" i="133"/>
  <c r="AP70" i="133"/>
  <c r="AL70" i="133"/>
  <c r="Z70" i="133"/>
  <c r="V70" i="133"/>
  <c r="AQ70" i="133"/>
  <c r="AN70" i="133"/>
  <c r="AY70" i="133"/>
  <c r="U70" i="133"/>
  <c r="AW70" i="133"/>
  <c r="AJ70" i="133"/>
  <c r="AF70" i="133"/>
  <c r="BC70" i="133"/>
  <c r="BE71" i="133"/>
  <c r="AD7" i="133"/>
  <c r="AD46" i="133" s="1"/>
  <c r="AC46" i="133"/>
  <c r="Y60" i="133"/>
  <c r="Y88" i="133" s="1"/>
  <c r="Y89" i="133" s="1"/>
  <c r="AA17" i="133"/>
  <c r="Z57" i="133"/>
  <c r="Z60" i="133" s="1"/>
  <c r="Z88" i="133" s="1"/>
  <c r="Z89" i="133" s="1"/>
  <c r="Z20" i="133"/>
  <c r="AE63" i="133"/>
  <c r="AQ10" i="133"/>
  <c r="AQ49" i="133" s="1"/>
  <c r="AP49" i="133"/>
  <c r="BD49" i="133"/>
  <c r="BE49" i="133" s="1"/>
  <c r="BE10" i="133"/>
  <c r="BB6" i="133"/>
  <c r="BA45" i="133"/>
  <c r="BA47" i="133" s="1"/>
  <c r="BA87" i="133" s="1"/>
  <c r="BA8" i="133"/>
  <c r="L94" i="133"/>
  <c r="L97" i="133" s="1"/>
  <c r="L40" i="133"/>
  <c r="K62" i="35" s="1"/>
  <c r="AD9" i="133"/>
  <c r="AD48" i="133" s="1"/>
  <c r="AC48" i="133"/>
  <c r="AE48" i="133" s="1"/>
  <c r="AQ5" i="133"/>
  <c r="AQ44" i="133" s="1"/>
  <c r="AP44" i="133"/>
  <c r="AN17" i="133"/>
  <c r="AM57" i="133"/>
  <c r="AM60" i="133" s="1"/>
  <c r="AM88" i="133" s="1"/>
  <c r="AM89" i="133" s="1"/>
  <c r="AM20" i="133"/>
  <c r="AP6" i="133"/>
  <c r="AO45" i="133"/>
  <c r="AO47" i="133" s="1"/>
  <c r="AO87" i="133" s="1"/>
  <c r="AO8" i="133"/>
  <c r="N45" i="133"/>
  <c r="AD6" i="133"/>
  <c r="AC45" i="133"/>
  <c r="M44" i="133"/>
  <c r="N5" i="133"/>
  <c r="M8" i="133"/>
  <c r="M13" i="133" s="1"/>
  <c r="M40" i="133" s="1"/>
  <c r="M83" i="133"/>
  <c r="BD59" i="133"/>
  <c r="BE59" i="133" s="1"/>
  <c r="BE19" i="133"/>
  <c r="O9" i="133"/>
  <c r="N12" i="133"/>
  <c r="N48" i="133"/>
  <c r="N51" i="133" s="1"/>
  <c r="AP9" i="133"/>
  <c r="AO48" i="133"/>
  <c r="AD59" i="133"/>
  <c r="AE19" i="133"/>
  <c r="AQ19" i="133"/>
  <c r="AP59" i="133"/>
  <c r="AA87" i="133"/>
  <c r="AQ18" i="133"/>
  <c r="AP58" i="133"/>
  <c r="AA22" i="133"/>
  <c r="AA24" i="133" s="1"/>
  <c r="Z62" i="133"/>
  <c r="Z64" i="133" s="1"/>
  <c r="AB87" i="133"/>
  <c r="BA60" i="133"/>
  <c r="AD10" i="133"/>
  <c r="AC49" i="133"/>
  <c r="Z24" i="133"/>
  <c r="Y84" i="133"/>
  <c r="X13" i="133"/>
  <c r="J45" i="35"/>
  <c r="J67" i="35" s="1"/>
  <c r="BC17" i="133"/>
  <c r="BB20" i="133"/>
  <c r="BB57" i="133"/>
  <c r="BB60" i="133" s="1"/>
  <c r="BC9" i="133"/>
  <c r="BB48" i="133"/>
  <c r="L83" i="133"/>
  <c r="L53" i="133"/>
  <c r="AD5" i="133"/>
  <c r="AE5" i="133" s="1"/>
  <c r="AC8" i="133"/>
  <c r="AC44" i="133"/>
  <c r="X83" i="133"/>
  <c r="X53" i="133"/>
  <c r="AQ46" i="133"/>
  <c r="Z11" i="133"/>
  <c r="Y50" i="133"/>
  <c r="Y12" i="133"/>
  <c r="Y13" i="133" s="1"/>
  <c r="Y94" i="133" s="1"/>
  <c r="Y97" i="133" s="1"/>
  <c r="R46" i="133"/>
  <c r="BD46" i="133"/>
  <c r="BE7" i="133"/>
  <c r="AB21" i="133"/>
  <c r="AA61" i="133"/>
  <c r="W170" i="110"/>
  <c r="S34" i="199"/>
  <c r="T64" i="199"/>
  <c r="R50" i="199"/>
  <c r="F60" i="199"/>
  <c r="S50" i="199"/>
  <c r="O428" i="110"/>
  <c r="J12" i="124"/>
  <c r="U428" i="110"/>
  <c r="N12" i="124"/>
  <c r="S428" i="110"/>
  <c r="T428" i="110"/>
  <c r="O12" i="124"/>
  <c r="V426" i="110"/>
  <c r="M428" i="110"/>
  <c r="N428" i="110"/>
  <c r="M12" i="124"/>
  <c r="P12" i="124"/>
  <c r="R10" i="124"/>
  <c r="K428" i="110"/>
  <c r="R428" i="110"/>
  <c r="V427" i="110"/>
  <c r="L428" i="110"/>
  <c r="G12" i="124"/>
  <c r="P428" i="110"/>
  <c r="Q428" i="110"/>
  <c r="R11" i="124"/>
  <c r="L12" i="124"/>
  <c r="K12" i="124"/>
  <c r="V257" i="110"/>
  <c r="F58" i="124"/>
  <c r="R57" i="124"/>
  <c r="R58" i="124" s="1"/>
  <c r="G57" i="138"/>
  <c r="G61" i="138" s="1"/>
  <c r="T21" i="119"/>
  <c r="T22" i="119" s="1"/>
  <c r="T13" i="119"/>
  <c r="Z13" i="119"/>
  <c r="F30" i="138"/>
  <c r="D57" i="138"/>
  <c r="P13" i="119"/>
  <c r="P21" i="119"/>
  <c r="P22" i="119" s="1"/>
  <c r="W21" i="119"/>
  <c r="W22" i="119" s="1"/>
  <c r="W13" i="119"/>
  <c r="H12" i="124"/>
  <c r="V432" i="110"/>
  <c r="V421" i="110"/>
  <c r="V435" i="110" s="1"/>
  <c r="V372" i="110"/>
  <c r="V373" i="110" s="1"/>
  <c r="S13" i="119"/>
  <c r="S21" i="119"/>
  <c r="S22" i="119" s="1"/>
  <c r="Y13" i="119"/>
  <c r="Y21" i="119"/>
  <c r="Y22" i="119" s="1"/>
  <c r="I12" i="124"/>
  <c r="F145" i="133"/>
  <c r="E145" i="133" s="1"/>
  <c r="E144" i="133"/>
  <c r="R144" i="133"/>
  <c r="O11" i="119"/>
  <c r="V269" i="110"/>
  <c r="J282" i="110"/>
  <c r="V282" i="110" s="1"/>
  <c r="V281" i="110"/>
  <c r="J428" i="110"/>
  <c r="V425" i="110"/>
  <c r="I60" i="181"/>
  <c r="I65" i="181" s="1"/>
  <c r="E16" i="35" s="1"/>
  <c r="U59" i="181"/>
  <c r="U60" i="181" s="1"/>
  <c r="U65" i="181" s="1"/>
  <c r="U68" i="181" s="1"/>
  <c r="U70" i="181" s="1"/>
  <c r="Q13" i="119"/>
  <c r="Q21" i="119"/>
  <c r="Q22" i="119" s="1"/>
  <c r="U13" i="119"/>
  <c r="U21" i="119"/>
  <c r="U22" i="119" s="1"/>
  <c r="V265" i="110"/>
  <c r="R9" i="124"/>
  <c r="F12" i="124"/>
  <c r="J272" i="110"/>
  <c r="V272" i="110" s="1"/>
  <c r="V271" i="110"/>
  <c r="K103" i="137"/>
  <c r="K81" i="137"/>
  <c r="R21" i="119"/>
  <c r="R22" i="119" s="1"/>
  <c r="R13" i="119"/>
  <c r="V278" i="110"/>
  <c r="J279" i="110"/>
  <c r="V279" i="110" s="1"/>
  <c r="Q12" i="124"/>
  <c r="G30" i="138"/>
  <c r="G56" i="138" s="1"/>
  <c r="E57" i="138"/>
  <c r="E61" i="138" s="1"/>
  <c r="K19" i="137"/>
  <c r="K99" i="137" s="1"/>
  <c r="X81" i="137"/>
  <c r="X82" i="137" s="1"/>
  <c r="V13" i="119"/>
  <c r="V21" i="119"/>
  <c r="V22" i="119" s="1"/>
  <c r="X21" i="119"/>
  <c r="X22" i="119" s="1"/>
  <c r="X13" i="119"/>
  <c r="H34" i="138"/>
  <c r="N36" i="133"/>
  <c r="M143" i="133"/>
  <c r="N29" i="133"/>
  <c r="V79" i="133"/>
  <c r="V85" i="133"/>
  <c r="V86" i="133" s="1"/>
  <c r="V90" i="133" s="1"/>
  <c r="W75" i="133"/>
  <c r="W77" i="133" s="1"/>
  <c r="W85" i="133" s="1"/>
  <c r="W40" i="133"/>
  <c r="X29" i="133"/>
  <c r="X30" i="133"/>
  <c r="X36" i="133" s="1"/>
  <c r="W143" i="133"/>
  <c r="H26" i="138"/>
  <c r="D18" i="26"/>
  <c r="D20" i="26" s="1"/>
  <c r="G32" i="35"/>
  <c r="L72" i="178"/>
  <c r="H25" i="35"/>
  <c r="K71" i="178"/>
  <c r="K80" i="178" s="1"/>
  <c r="F57" i="138"/>
  <c r="F61" i="138" s="1"/>
  <c r="R46" i="124"/>
  <c r="F9" i="26" l="1"/>
  <c r="F10" i="26" s="1"/>
  <c r="K75" i="133"/>
  <c r="K77" i="133" s="1"/>
  <c r="K85" i="133" s="1"/>
  <c r="K86" i="133" s="1"/>
  <c r="I72" i="193"/>
  <c r="G117" i="193"/>
  <c r="I18" i="193"/>
  <c r="I17" i="193"/>
  <c r="J54" i="193"/>
  <c r="K23" i="193"/>
  <c r="J27" i="193"/>
  <c r="J55" i="193"/>
  <c r="J64" i="193" s="1"/>
  <c r="J73" i="193" s="1"/>
  <c r="K24" i="193"/>
  <c r="I58" i="193"/>
  <c r="I64" i="193"/>
  <c r="I73" i="193" s="1"/>
  <c r="H72" i="193"/>
  <c r="H67" i="193"/>
  <c r="H76" i="193" s="1"/>
  <c r="H13" i="193" s="1"/>
  <c r="H14" i="193" s="1"/>
  <c r="J56" i="193"/>
  <c r="J65" i="193" s="1"/>
  <c r="J74" i="193" s="1"/>
  <c r="K25" i="193"/>
  <c r="K26" i="193"/>
  <c r="J57" i="193"/>
  <c r="J66" i="193" s="1"/>
  <c r="J75" i="193" s="1"/>
  <c r="H75" i="193"/>
  <c r="J79" i="133"/>
  <c r="L30" i="193"/>
  <c r="L36" i="193" s="1"/>
  <c r="M92" i="192"/>
  <c r="L108" i="192"/>
  <c r="L112" i="192" s="1"/>
  <c r="Q48" i="199"/>
  <c r="Q50" i="199" s="1"/>
  <c r="Q60" i="199" s="1"/>
  <c r="Q63" i="199"/>
  <c r="N129" i="133"/>
  <c r="N96" i="133"/>
  <c r="M11" i="35" s="1"/>
  <c r="M100" i="192"/>
  <c r="M36" i="192"/>
  <c r="AR10" i="133"/>
  <c r="AE7" i="133"/>
  <c r="N29" i="192"/>
  <c r="N46" i="192"/>
  <c r="N47" i="192" s="1"/>
  <c r="O50" i="35"/>
  <c r="L35" i="138"/>
  <c r="M75" i="35"/>
  <c r="H42" i="138"/>
  <c r="G12" i="26"/>
  <c r="I12" i="26"/>
  <c r="J42" i="138"/>
  <c r="H85" i="133"/>
  <c r="H86" i="133" s="1"/>
  <c r="H79" i="133"/>
  <c r="F85" i="133"/>
  <c r="F86" i="133" s="1"/>
  <c r="F79" i="133"/>
  <c r="I85" i="133"/>
  <c r="I86" i="133" s="1"/>
  <c r="I79" i="133"/>
  <c r="G85" i="133"/>
  <c r="G86" i="133" s="1"/>
  <c r="G79" i="133"/>
  <c r="I10" i="35"/>
  <c r="J90" i="133"/>
  <c r="L75" i="133"/>
  <c r="L77" i="133" s="1"/>
  <c r="K79" i="133"/>
  <c r="BC44" i="133"/>
  <c r="BD5" i="133"/>
  <c r="BD44" i="133" s="1"/>
  <c r="AE46" i="133"/>
  <c r="AR70" i="133"/>
  <c r="Y66" i="133"/>
  <c r="H57" i="138"/>
  <c r="H61" i="138" s="1"/>
  <c r="N130" i="133"/>
  <c r="N125" i="133" s="1"/>
  <c r="N72" i="133" s="1"/>
  <c r="M127" i="133"/>
  <c r="M74" i="133" s="1"/>
  <c r="Z25" i="133"/>
  <c r="Z95" i="133" s="1"/>
  <c r="M124" i="133"/>
  <c r="M71" i="133" s="1"/>
  <c r="L128" i="133"/>
  <c r="R70" i="133"/>
  <c r="BE70" i="133"/>
  <c r="AE70" i="133"/>
  <c r="AB17" i="133"/>
  <c r="AA57" i="133"/>
  <c r="AA60" i="133" s="1"/>
  <c r="AA88" i="133" s="1"/>
  <c r="AA89" i="133" s="1"/>
  <c r="AA20" i="133"/>
  <c r="AA25" i="133" s="1"/>
  <c r="AA95" i="133" s="1"/>
  <c r="AR5" i="133"/>
  <c r="AR49" i="133"/>
  <c r="BC6" i="133"/>
  <c r="BB45" i="133"/>
  <c r="BB47" i="133" s="1"/>
  <c r="BB87" i="133" s="1"/>
  <c r="BB8" i="133"/>
  <c r="AE6" i="133"/>
  <c r="AD45" i="133"/>
  <c r="AE45" i="133" s="1"/>
  <c r="AC47" i="133"/>
  <c r="AC87" i="133" s="1"/>
  <c r="AO17" i="133"/>
  <c r="AN57" i="133"/>
  <c r="AN20" i="133"/>
  <c r="O45" i="133"/>
  <c r="AR44" i="133"/>
  <c r="AE9" i="133"/>
  <c r="K45" i="35"/>
  <c r="I36" i="138" s="1"/>
  <c r="I56" i="138" s="1"/>
  <c r="AQ6" i="133"/>
  <c r="AR6" i="133" s="1"/>
  <c r="AP45" i="133"/>
  <c r="AP47" i="133" s="1"/>
  <c r="AP87" i="133" s="1"/>
  <c r="AP8" i="133"/>
  <c r="AE59" i="133"/>
  <c r="M47" i="133"/>
  <c r="N44" i="133"/>
  <c r="N47" i="133" s="1"/>
  <c r="N87" i="133" s="1"/>
  <c r="N89" i="133" s="1"/>
  <c r="M44" i="35" s="1"/>
  <c r="O5" i="133"/>
  <c r="N8" i="133"/>
  <c r="N13" i="133" s="1"/>
  <c r="Y51" i="133"/>
  <c r="AD8" i="133"/>
  <c r="AD44" i="133"/>
  <c r="BD9" i="133"/>
  <c r="BC48" i="133"/>
  <c r="X94" i="133"/>
  <c r="AA11" i="133"/>
  <c r="Z50" i="133"/>
  <c r="Z51" i="133" s="1"/>
  <c r="Z12" i="133"/>
  <c r="Z13" i="133" s="1"/>
  <c r="Z94" i="133" s="1"/>
  <c r="BB88" i="133"/>
  <c r="BE46" i="133"/>
  <c r="BA88" i="133"/>
  <c r="M94" i="133"/>
  <c r="M97" i="133" s="1"/>
  <c r="BC20" i="133"/>
  <c r="BD17" i="133"/>
  <c r="BC57" i="133"/>
  <c r="BC60" i="133" s="1"/>
  <c r="AQ59" i="133"/>
  <c r="AR59" i="133" s="1"/>
  <c r="AR19" i="133"/>
  <c r="AQ9" i="133"/>
  <c r="AP48" i="133"/>
  <c r="Z84" i="133"/>
  <c r="Z66" i="133"/>
  <c r="N83" i="133"/>
  <c r="AB22" i="133"/>
  <c r="AB24" i="133" s="1"/>
  <c r="AA62" i="133"/>
  <c r="AA64" i="133" s="1"/>
  <c r="AC21" i="133"/>
  <c r="AB61" i="133"/>
  <c r="AR46" i="133"/>
  <c r="H36" i="138"/>
  <c r="H56" i="138" s="1"/>
  <c r="AD49" i="133"/>
  <c r="AE10" i="133"/>
  <c r="AQ58" i="133"/>
  <c r="AR18" i="133"/>
  <c r="O48" i="133"/>
  <c r="O51" i="133" s="1"/>
  <c r="P9" i="133"/>
  <c r="O12" i="133"/>
  <c r="F70" i="124"/>
  <c r="E9" i="35" s="1"/>
  <c r="S60" i="199"/>
  <c r="R60" i="199"/>
  <c r="V428" i="110"/>
  <c r="R12" i="124"/>
  <c r="F56" i="138"/>
  <c r="F58" i="138" s="1"/>
  <c r="R59" i="124"/>
  <c r="R70" i="124"/>
  <c r="R73" i="124" s="1"/>
  <c r="R75" i="124" s="1"/>
  <c r="G58" i="138"/>
  <c r="K161" i="137"/>
  <c r="E30" i="138"/>
  <c r="E32" i="35"/>
  <c r="Q16" i="35"/>
  <c r="AA11" i="119"/>
  <c r="O12" i="119"/>
  <c r="D61" i="138"/>
  <c r="D58" i="138"/>
  <c r="W79" i="133"/>
  <c r="N143" i="133"/>
  <c r="O36" i="133"/>
  <c r="O29" i="133"/>
  <c r="I34" i="138"/>
  <c r="G9" i="26"/>
  <c r="G10" i="26" s="1"/>
  <c r="J68" i="35"/>
  <c r="L62" i="35"/>
  <c r="X75" i="133"/>
  <c r="X77" i="133" s="1"/>
  <c r="X143" i="133"/>
  <c r="Y30" i="133"/>
  <c r="Y36" i="133" s="1"/>
  <c r="Y29" i="133"/>
  <c r="X40" i="133"/>
  <c r="W86" i="133"/>
  <c r="W90" i="133" s="1"/>
  <c r="H32" i="35"/>
  <c r="E18" i="26"/>
  <c r="E20" i="26" s="1"/>
  <c r="L71" i="178"/>
  <c r="L80" i="178" s="1"/>
  <c r="M72" i="178"/>
  <c r="I25" i="35"/>
  <c r="L23" i="193" l="1"/>
  <c r="K54" i="193"/>
  <c r="K27" i="193"/>
  <c r="J63" i="193"/>
  <c r="J58" i="193"/>
  <c r="M75" i="133"/>
  <c r="M77" i="133" s="1"/>
  <c r="M85" i="133" s="1"/>
  <c r="M86" i="133" s="1"/>
  <c r="L10" i="35" s="1"/>
  <c r="BE44" i="133"/>
  <c r="K57" i="193"/>
  <c r="L26" i="193"/>
  <c r="L24" i="193"/>
  <c r="K55" i="193"/>
  <c r="K64" i="193" s="1"/>
  <c r="K73" i="193" s="1"/>
  <c r="I67" i="193"/>
  <c r="I76" i="193" s="1"/>
  <c r="I13" i="193" s="1"/>
  <c r="I14" i="193" s="1"/>
  <c r="L25" i="193"/>
  <c r="K56" i="193"/>
  <c r="K65" i="193" s="1"/>
  <c r="K74" i="193" s="1"/>
  <c r="J17" i="193"/>
  <c r="J18" i="193"/>
  <c r="H117" i="193"/>
  <c r="K90" i="133"/>
  <c r="J10" i="35"/>
  <c r="H33" i="138" s="1"/>
  <c r="G33" i="138"/>
  <c r="G40" i="138" s="1"/>
  <c r="G21" i="138" s="1"/>
  <c r="G7" i="138" s="1"/>
  <c r="G8" i="138" s="1"/>
  <c r="M101" i="192"/>
  <c r="N34" i="192"/>
  <c r="N86" i="192"/>
  <c r="O41" i="192"/>
  <c r="M107" i="192"/>
  <c r="M94" i="192"/>
  <c r="M30" i="193"/>
  <c r="M36" i="193"/>
  <c r="O129" i="133"/>
  <c r="O130" i="133" s="1"/>
  <c r="O125" i="133" s="1"/>
  <c r="O72" i="133" s="1"/>
  <c r="O96" i="133"/>
  <c r="P50" i="35"/>
  <c r="N35" i="138" s="1"/>
  <c r="M35" i="138"/>
  <c r="Q50" i="35"/>
  <c r="N74" i="35"/>
  <c r="K42" i="138"/>
  <c r="J12" i="26"/>
  <c r="E10" i="35"/>
  <c r="C33" i="138" s="1"/>
  <c r="F90" i="133"/>
  <c r="F10" i="35"/>
  <c r="D33" i="138" s="1"/>
  <c r="G90" i="133"/>
  <c r="H90" i="133"/>
  <c r="G10" i="35"/>
  <c r="E33" i="138" s="1"/>
  <c r="L79" i="133"/>
  <c r="L85" i="133"/>
  <c r="L86" i="133" s="1"/>
  <c r="H10" i="35"/>
  <c r="F33" i="138" s="1"/>
  <c r="I90" i="133"/>
  <c r="BE5" i="133"/>
  <c r="H58" i="138"/>
  <c r="N124" i="133"/>
  <c r="N71" i="133" s="1"/>
  <c r="M128" i="133"/>
  <c r="BB89" i="133"/>
  <c r="N126" i="133"/>
  <c r="N73" i="133" s="1"/>
  <c r="N127" i="133"/>
  <c r="N74" i="133" s="1"/>
  <c r="AC17" i="133"/>
  <c r="AB57" i="133"/>
  <c r="AB20" i="133"/>
  <c r="AB25" i="133" s="1"/>
  <c r="AB95" i="133" s="1"/>
  <c r="I57" i="138"/>
  <c r="I61" i="138" s="1"/>
  <c r="K67" i="35"/>
  <c r="K68" i="35" s="1"/>
  <c r="BC45" i="133"/>
  <c r="BC47" i="133" s="1"/>
  <c r="BC87" i="133" s="1"/>
  <c r="BD6" i="133"/>
  <c r="BC8" i="133"/>
  <c r="AN60" i="133"/>
  <c r="AN88" i="133" s="1"/>
  <c r="AN89" i="133" s="1"/>
  <c r="Q45" i="133"/>
  <c r="P45" i="133"/>
  <c r="AP17" i="133"/>
  <c r="AO57" i="133"/>
  <c r="AO60" i="133" s="1"/>
  <c r="AO88" i="133" s="1"/>
  <c r="AO89" i="133" s="1"/>
  <c r="AO20" i="133"/>
  <c r="AQ45" i="133"/>
  <c r="AQ8" i="133"/>
  <c r="AR8" i="133" s="1"/>
  <c r="N53" i="133"/>
  <c r="Z97" i="133"/>
  <c r="N94" i="133"/>
  <c r="N97" i="133" s="1"/>
  <c r="N40" i="133"/>
  <c r="M62" i="35" s="1"/>
  <c r="O44" i="133"/>
  <c r="O47" i="133" s="1"/>
  <c r="O53" i="133" s="1"/>
  <c r="P5" i="133"/>
  <c r="O8" i="133"/>
  <c r="O13" i="133" s="1"/>
  <c r="O40" i="133" s="1"/>
  <c r="M87" i="133"/>
  <c r="M89" i="133" s="1"/>
  <c r="L44" i="35" s="1"/>
  <c r="M53" i="133"/>
  <c r="AA84" i="133"/>
  <c r="AA66" i="133"/>
  <c r="AD21" i="133"/>
  <c r="AC61" i="133"/>
  <c r="BC88" i="133"/>
  <c r="AD47" i="133"/>
  <c r="AE44" i="133"/>
  <c r="AR58" i="133"/>
  <c r="AQ48" i="133"/>
  <c r="AR9" i="133"/>
  <c r="BD20" i="133"/>
  <c r="BD57" i="133"/>
  <c r="BD60" i="133" s="1"/>
  <c r="BE17" i="133"/>
  <c r="BE20" i="133" s="1"/>
  <c r="Z83" i="133"/>
  <c r="Z53" i="133"/>
  <c r="Y83" i="133"/>
  <c r="Y53" i="133"/>
  <c r="L45" i="35"/>
  <c r="J57" i="138" s="1"/>
  <c r="AB11" i="133"/>
  <c r="AA50" i="133"/>
  <c r="AA51" i="133" s="1"/>
  <c r="AA12" i="133"/>
  <c r="AA13" i="133" s="1"/>
  <c r="AA94" i="133" s="1"/>
  <c r="AA97" i="133" s="1"/>
  <c r="X97" i="133"/>
  <c r="P12" i="133"/>
  <c r="Q9" i="133"/>
  <c r="P48" i="133"/>
  <c r="P51" i="133" s="1"/>
  <c r="BA89" i="133"/>
  <c r="O83" i="133"/>
  <c r="AE49" i="133"/>
  <c r="BD48" i="133"/>
  <c r="BE9" i="133"/>
  <c r="AC22" i="133"/>
  <c r="AC24" i="133" s="1"/>
  <c r="AB62" i="133"/>
  <c r="AB64" i="133" s="1"/>
  <c r="AE8" i="133"/>
  <c r="E26" i="138"/>
  <c r="O26" i="138" s="1"/>
  <c r="Q9" i="35"/>
  <c r="C57" i="138"/>
  <c r="C61" i="138" s="1"/>
  <c r="O13" i="119"/>
  <c r="AA13" i="119" s="1"/>
  <c r="O21" i="119"/>
  <c r="O22" i="119" s="1"/>
  <c r="AA12" i="119"/>
  <c r="O30" i="138"/>
  <c r="P29" i="133"/>
  <c r="O143" i="133"/>
  <c r="P36" i="133"/>
  <c r="J34" i="138"/>
  <c r="Z30" i="133"/>
  <c r="Z36" i="133" s="1"/>
  <c r="Y143" i="133"/>
  <c r="Y75" i="133"/>
  <c r="Y77" i="133" s="1"/>
  <c r="Y85" i="133" s="1"/>
  <c r="Z29" i="133"/>
  <c r="Y40" i="133"/>
  <c r="X85" i="133"/>
  <c r="X86" i="133" s="1"/>
  <c r="X90" i="133" s="1"/>
  <c r="X79" i="133"/>
  <c r="F18" i="26"/>
  <c r="F20" i="26" s="1"/>
  <c r="I32" i="35"/>
  <c r="I33" i="35" s="1"/>
  <c r="J25" i="35"/>
  <c r="N72" i="178"/>
  <c r="M71" i="178"/>
  <c r="M80" i="178" s="1"/>
  <c r="M79" i="133" l="1"/>
  <c r="M25" i="193"/>
  <c r="L56" i="193"/>
  <c r="J72" i="193"/>
  <c r="J67" i="193"/>
  <c r="J76" i="193" s="1"/>
  <c r="J13" i="193" s="1"/>
  <c r="J14" i="193" s="1"/>
  <c r="M24" i="193"/>
  <c r="L55" i="193"/>
  <c r="K17" i="193"/>
  <c r="K18" i="193"/>
  <c r="I117" i="193"/>
  <c r="L57" i="193"/>
  <c r="L66" i="193" s="1"/>
  <c r="L75" i="193" s="1"/>
  <c r="M26" i="193"/>
  <c r="K63" i="193"/>
  <c r="K58" i="193"/>
  <c r="K66" i="193"/>
  <c r="L54" i="193"/>
  <c r="M23" i="193"/>
  <c r="L27" i="193"/>
  <c r="G25" i="138"/>
  <c r="E33" i="35"/>
  <c r="B5" i="26" s="1"/>
  <c r="H33" i="35"/>
  <c r="E5" i="26" s="1"/>
  <c r="E8" i="26" s="1"/>
  <c r="G10" i="138"/>
  <c r="J33" i="138"/>
  <c r="G9" i="138"/>
  <c r="G47" i="138"/>
  <c r="M108" i="192"/>
  <c r="M112" i="192" s="1"/>
  <c r="O35" i="138"/>
  <c r="N100" i="192"/>
  <c r="N101" i="192" s="1"/>
  <c r="N36" i="192"/>
  <c r="P129" i="133"/>
  <c r="P130" i="133" s="1"/>
  <c r="P125" i="133" s="1"/>
  <c r="P72" i="133" s="1"/>
  <c r="P96" i="133"/>
  <c r="O11" i="35" s="1"/>
  <c r="N11" i="35"/>
  <c r="N30" i="193"/>
  <c r="N36" i="193" s="1"/>
  <c r="O29" i="192"/>
  <c r="O46" i="192"/>
  <c r="O47" i="192" s="1"/>
  <c r="N75" i="133"/>
  <c r="N77" i="133" s="1"/>
  <c r="N85" i="133" s="1"/>
  <c r="N86" i="133" s="1"/>
  <c r="N92" i="192"/>
  <c r="N75" i="35"/>
  <c r="O74" i="35"/>
  <c r="O75" i="35" s="1"/>
  <c r="G33" i="35"/>
  <c r="F33" i="35"/>
  <c r="F40" i="138"/>
  <c r="F9" i="138"/>
  <c r="L90" i="133"/>
  <c r="K10" i="35"/>
  <c r="I33" i="138" s="1"/>
  <c r="C40" i="138"/>
  <c r="C9" i="138"/>
  <c r="H9" i="26"/>
  <c r="H10" i="26" s="1"/>
  <c r="BE57" i="133"/>
  <c r="BE60" i="133" s="1"/>
  <c r="I58" i="138"/>
  <c r="BC89" i="133"/>
  <c r="O127" i="133"/>
  <c r="O74" i="133" s="1"/>
  <c r="O124" i="133"/>
  <c r="O71" i="133" s="1"/>
  <c r="N128" i="133"/>
  <c r="O126" i="133"/>
  <c r="O73" i="133" s="1"/>
  <c r="AB60" i="133"/>
  <c r="AB88" i="133" s="1"/>
  <c r="AD17" i="133"/>
  <c r="AC57" i="133"/>
  <c r="AC60" i="133" s="1"/>
  <c r="AC88" i="133" s="1"/>
  <c r="AC89" i="133" s="1"/>
  <c r="AC20" i="133"/>
  <c r="AC25" i="133" s="1"/>
  <c r="AC95" i="133" s="1"/>
  <c r="E56" i="138"/>
  <c r="E58" i="138" s="1"/>
  <c r="BD45" i="133"/>
  <c r="BD8" i="133"/>
  <c r="BE8" i="133" s="1"/>
  <c r="BE6" i="133"/>
  <c r="R45" i="133"/>
  <c r="M90" i="133"/>
  <c r="AR45" i="133"/>
  <c r="AQ47" i="133"/>
  <c r="AQ17" i="133"/>
  <c r="AP57" i="133"/>
  <c r="AP20" i="133"/>
  <c r="R6" i="133"/>
  <c r="L67" i="35"/>
  <c r="L68" i="35" s="1"/>
  <c r="P44" i="133"/>
  <c r="P47" i="133" s="1"/>
  <c r="P87" i="133" s="1"/>
  <c r="P89" i="133" s="1"/>
  <c r="O44" i="35" s="1"/>
  <c r="Q5" i="133"/>
  <c r="P8" i="133"/>
  <c r="P13" i="133" s="1"/>
  <c r="O87" i="133"/>
  <c r="M45" i="35"/>
  <c r="K36" i="138" s="1"/>
  <c r="K56" i="138" s="1"/>
  <c r="AB84" i="133"/>
  <c r="AB66" i="133"/>
  <c r="AD22" i="133"/>
  <c r="AD24" i="133" s="1"/>
  <c r="AC62" i="133"/>
  <c r="AC64" i="133" s="1"/>
  <c r="Q12" i="133"/>
  <c r="Q48" i="133"/>
  <c r="R9" i="133"/>
  <c r="AC11" i="133"/>
  <c r="AB50" i="133"/>
  <c r="AB51" i="133" s="1"/>
  <c r="AB12" i="133"/>
  <c r="AB13" i="133" s="1"/>
  <c r="AB94" i="133" s="1"/>
  <c r="AB97" i="133" s="1"/>
  <c r="O94" i="133"/>
  <c r="O97" i="133" s="1"/>
  <c r="AD61" i="133"/>
  <c r="AE21" i="133"/>
  <c r="AA83" i="133"/>
  <c r="AA53" i="133"/>
  <c r="BE48" i="133"/>
  <c r="J36" i="138"/>
  <c r="BD88" i="133"/>
  <c r="AD87" i="133"/>
  <c r="AE47" i="133"/>
  <c r="P83" i="133"/>
  <c r="AR48" i="133"/>
  <c r="C58" i="138"/>
  <c r="C59" i="138"/>
  <c r="D59" i="138" s="1"/>
  <c r="P143" i="133"/>
  <c r="Q36" i="133"/>
  <c r="Q29" i="133"/>
  <c r="J61" i="138"/>
  <c r="N62" i="35"/>
  <c r="K34" i="138"/>
  <c r="Y79" i="133"/>
  <c r="Z143" i="133"/>
  <c r="AA30" i="133"/>
  <c r="AA36" i="133" s="1"/>
  <c r="Z40" i="133"/>
  <c r="Z75" i="133"/>
  <c r="Z77" i="133" s="1"/>
  <c r="AA29" i="133"/>
  <c r="Y86" i="133"/>
  <c r="Y90" i="133" s="1"/>
  <c r="N71" i="178"/>
  <c r="N80" i="178" s="1"/>
  <c r="O72" i="178"/>
  <c r="K25" i="35"/>
  <c r="G18" i="26"/>
  <c r="G20" i="26" s="1"/>
  <c r="J32" i="35"/>
  <c r="J33" i="35" s="1"/>
  <c r="I36" i="35"/>
  <c r="F5" i="26"/>
  <c r="B7" i="26" l="1"/>
  <c r="L64" i="193"/>
  <c r="N24" i="193"/>
  <c r="M55" i="193"/>
  <c r="M64" i="193" s="1"/>
  <c r="M73" i="193" s="1"/>
  <c r="K72" i="193"/>
  <c r="K67" i="193"/>
  <c r="K76" i="193" s="1"/>
  <c r="K13" i="193" s="1"/>
  <c r="K14" i="193" s="1"/>
  <c r="L17" i="193"/>
  <c r="L18" i="193"/>
  <c r="J117" i="193"/>
  <c r="M57" i="193"/>
  <c r="M66" i="193" s="1"/>
  <c r="M75" i="193" s="1"/>
  <c r="N26" i="193"/>
  <c r="M54" i="193"/>
  <c r="N23" i="193"/>
  <c r="M27" i="193"/>
  <c r="L63" i="193"/>
  <c r="L58" i="193"/>
  <c r="O75" i="133"/>
  <c r="O77" i="133" s="1"/>
  <c r="O79" i="133" s="1"/>
  <c r="N79" i="133"/>
  <c r="K75" i="193"/>
  <c r="L65" i="193"/>
  <c r="N25" i="193"/>
  <c r="M56" i="193"/>
  <c r="M65" i="193" s="1"/>
  <c r="M74" i="193" s="1"/>
  <c r="E36" i="35"/>
  <c r="G48" i="138"/>
  <c r="E34" i="35"/>
  <c r="E37" i="35" s="1"/>
  <c r="H36" i="35"/>
  <c r="H34" i="35"/>
  <c r="H37" i="35" s="1"/>
  <c r="G11" i="138"/>
  <c r="E7" i="26"/>
  <c r="B8" i="26"/>
  <c r="B22" i="26" s="1"/>
  <c r="O30" i="193"/>
  <c r="P30" i="193" s="1"/>
  <c r="N107" i="192"/>
  <c r="N94" i="192"/>
  <c r="Q129" i="133"/>
  <c r="Q130" i="133" s="1"/>
  <c r="Q125" i="133" s="1"/>
  <c r="Q72" i="133" s="1"/>
  <c r="Q96" i="133"/>
  <c r="K57" i="138"/>
  <c r="K61" i="138" s="1"/>
  <c r="O86" i="192"/>
  <c r="O92" i="192" s="1"/>
  <c r="P41" i="192"/>
  <c r="O34" i="192"/>
  <c r="L12" i="26"/>
  <c r="M42" i="138"/>
  <c r="K12" i="26"/>
  <c r="L42" i="138"/>
  <c r="I9" i="138"/>
  <c r="I40" i="138"/>
  <c r="I47" i="138" s="1"/>
  <c r="F47" i="138"/>
  <c r="F10" i="138"/>
  <c r="F11" i="138" s="1"/>
  <c r="F21" i="138"/>
  <c r="C5" i="26"/>
  <c r="F36" i="35"/>
  <c r="D9" i="138"/>
  <c r="D40" i="138"/>
  <c r="G36" i="35"/>
  <c r="D5" i="26"/>
  <c r="C47" i="138"/>
  <c r="C10" i="138"/>
  <c r="C11" i="138" s="1"/>
  <c r="C21" i="138"/>
  <c r="M67" i="35"/>
  <c r="J9" i="26" s="1"/>
  <c r="P124" i="133"/>
  <c r="P71" i="133" s="1"/>
  <c r="O128" i="133"/>
  <c r="P127" i="133"/>
  <c r="P74" i="133" s="1"/>
  <c r="P126" i="133"/>
  <c r="P73" i="133" s="1"/>
  <c r="I9" i="26"/>
  <c r="I10" i="26" s="1"/>
  <c r="AE17" i="133"/>
  <c r="AE20" i="133" s="1"/>
  <c r="AD57" i="133"/>
  <c r="AD20" i="133"/>
  <c r="AD25" i="133" s="1"/>
  <c r="AB89" i="133"/>
  <c r="BE45" i="133"/>
  <c r="BD47" i="133"/>
  <c r="AR47" i="133"/>
  <c r="AQ87" i="133"/>
  <c r="J9" i="138"/>
  <c r="P53" i="133"/>
  <c r="AP60" i="133"/>
  <c r="AP88" i="133" s="1"/>
  <c r="AP89" i="133" s="1"/>
  <c r="AQ57" i="133"/>
  <c r="AQ60" i="133" s="1"/>
  <c r="AQ88" i="133" s="1"/>
  <c r="AQ20" i="133"/>
  <c r="AR17" i="133"/>
  <c r="AR20" i="133" s="1"/>
  <c r="P94" i="133"/>
  <c r="P97" i="133" s="1"/>
  <c r="P40" i="133"/>
  <c r="O89" i="133"/>
  <c r="N44" i="35" s="1"/>
  <c r="Q44" i="133"/>
  <c r="R5" i="133"/>
  <c r="Q8" i="133"/>
  <c r="R8" i="133" s="1"/>
  <c r="J40" i="138"/>
  <c r="J10" i="138" s="1"/>
  <c r="Q51" i="133"/>
  <c r="R48" i="133"/>
  <c r="J56" i="138"/>
  <c r="J58" i="138" s="1"/>
  <c r="R12" i="133"/>
  <c r="AC84" i="133"/>
  <c r="AC66" i="133"/>
  <c r="N45" i="35"/>
  <c r="AE87" i="133"/>
  <c r="AB83" i="133"/>
  <c r="AB53" i="133"/>
  <c r="AD62" i="133"/>
  <c r="AE62" i="133" s="1"/>
  <c r="AE22" i="133"/>
  <c r="AF22" i="133" s="1"/>
  <c r="BE88" i="133"/>
  <c r="AD11" i="133"/>
  <c r="AC50" i="133"/>
  <c r="AC51" i="133" s="1"/>
  <c r="AC12" i="133"/>
  <c r="AC13" i="133" s="1"/>
  <c r="AC94" i="133" s="1"/>
  <c r="AC97" i="133" s="1"/>
  <c r="AE61" i="133"/>
  <c r="C62" i="138"/>
  <c r="D62" i="138"/>
  <c r="E59" i="138"/>
  <c r="Q143" i="133"/>
  <c r="E143" i="133" s="1"/>
  <c r="M10" i="35"/>
  <c r="K33" i="138" s="1"/>
  <c r="N90" i="133"/>
  <c r="L34" i="138"/>
  <c r="Z79" i="133"/>
  <c r="Z85" i="133"/>
  <c r="Z86" i="133" s="1"/>
  <c r="Z90" i="133" s="1"/>
  <c r="AA143" i="133"/>
  <c r="AA40" i="133"/>
  <c r="AA75" i="133"/>
  <c r="AA77" i="133" s="1"/>
  <c r="AB29" i="133"/>
  <c r="AB30" i="133"/>
  <c r="AB36" i="133" s="1"/>
  <c r="H18" i="26"/>
  <c r="H20" i="26" s="1"/>
  <c r="K32" i="35"/>
  <c r="K33" i="35" s="1"/>
  <c r="P72" i="178"/>
  <c r="L25" i="35"/>
  <c r="O71" i="178"/>
  <c r="O80" i="178" s="1"/>
  <c r="I34" i="35"/>
  <c r="F8" i="26"/>
  <c r="F7" i="26"/>
  <c r="E11" i="26"/>
  <c r="E22" i="26"/>
  <c r="J36" i="35"/>
  <c r="G5" i="26"/>
  <c r="O85" i="133" l="1"/>
  <c r="M68" i="35"/>
  <c r="L72" i="193"/>
  <c r="L67" i="193"/>
  <c r="L76" i="193" s="1"/>
  <c r="L13" i="193" s="1"/>
  <c r="O36" i="193"/>
  <c r="P37" i="193" s="1"/>
  <c r="K117" i="193"/>
  <c r="M18" i="193"/>
  <c r="M17" i="193"/>
  <c r="L74" i="193"/>
  <c r="N54" i="193"/>
  <c r="O23" i="193"/>
  <c r="N27" i="193"/>
  <c r="M63" i="193"/>
  <c r="M58" i="193"/>
  <c r="O25" i="193"/>
  <c r="O56" i="193" s="1"/>
  <c r="O65" i="193" s="1"/>
  <c r="O74" i="193" s="1"/>
  <c r="N56" i="193"/>
  <c r="N65" i="193" s="1"/>
  <c r="N74" i="193" s="1"/>
  <c r="N57" i="193"/>
  <c r="N66" i="193" s="1"/>
  <c r="N75" i="193" s="1"/>
  <c r="O26" i="193"/>
  <c r="O57" i="193" s="1"/>
  <c r="O66" i="193" s="1"/>
  <c r="O75" i="193" s="1"/>
  <c r="P26" i="193"/>
  <c r="N55" i="193"/>
  <c r="O24" i="193"/>
  <c r="P75" i="193"/>
  <c r="L73" i="193"/>
  <c r="H35" i="35"/>
  <c r="H38" i="35"/>
  <c r="H39" i="35" s="1"/>
  <c r="E38" i="35"/>
  <c r="E40" i="35" s="1"/>
  <c r="B11" i="26"/>
  <c r="B23" i="26" s="1"/>
  <c r="E35" i="35"/>
  <c r="K58" i="138"/>
  <c r="O107" i="192"/>
  <c r="O108" i="192" s="1"/>
  <c r="O112" i="192" s="1"/>
  <c r="O94" i="192"/>
  <c r="P11" i="35"/>
  <c r="Q11" i="35" s="1"/>
  <c r="R96" i="133"/>
  <c r="N108" i="192"/>
  <c r="N112" i="192" s="1"/>
  <c r="O100" i="192"/>
  <c r="O101" i="192" s="1"/>
  <c r="O36" i="192"/>
  <c r="P46" i="192"/>
  <c r="P47" i="192" s="1"/>
  <c r="P29" i="192"/>
  <c r="P74" i="35"/>
  <c r="C7" i="26"/>
  <c r="C8" i="26"/>
  <c r="F34" i="35"/>
  <c r="D8" i="26"/>
  <c r="D7" i="26"/>
  <c r="G34" i="35"/>
  <c r="F7" i="138"/>
  <c r="F8" i="138" s="1"/>
  <c r="F25" i="138"/>
  <c r="F48" i="138" s="1"/>
  <c r="P75" i="133"/>
  <c r="P77" i="133" s="1"/>
  <c r="D10" i="138"/>
  <c r="D11" i="138" s="1"/>
  <c r="D21" i="138"/>
  <c r="I21" i="138"/>
  <c r="I10" i="138"/>
  <c r="I11" i="138" s="1"/>
  <c r="C7" i="138"/>
  <c r="C8" i="138" s="1"/>
  <c r="C12" i="138" s="1"/>
  <c r="C25" i="138"/>
  <c r="C48" i="138" s="1"/>
  <c r="C49" i="138" s="1"/>
  <c r="D47" i="138"/>
  <c r="O62" i="35"/>
  <c r="M34" i="138" s="1"/>
  <c r="AE24" i="133"/>
  <c r="Q127" i="133"/>
  <c r="Q74" i="133" s="1"/>
  <c r="Q124" i="133"/>
  <c r="Q71" i="133" s="1"/>
  <c r="P128" i="133"/>
  <c r="Q126" i="133"/>
  <c r="Q73" i="133" s="1"/>
  <c r="R72" i="133"/>
  <c r="R125" i="133"/>
  <c r="AR88" i="133"/>
  <c r="AD95" i="133"/>
  <c r="AE95" i="133" s="1"/>
  <c r="AE25" i="133"/>
  <c r="J47" i="138"/>
  <c r="AD60" i="133"/>
  <c r="AD88" i="133" s="1"/>
  <c r="AE57" i="133"/>
  <c r="AE60" i="133" s="1"/>
  <c r="AE64" i="133"/>
  <c r="BD87" i="133"/>
  <c r="BE47" i="133"/>
  <c r="AR87" i="133"/>
  <c r="AQ89" i="133"/>
  <c r="AR57" i="133"/>
  <c r="AR60" i="133" s="1"/>
  <c r="J11" i="138"/>
  <c r="J21" i="138"/>
  <c r="J7" i="138" s="1"/>
  <c r="J8" i="138" s="1"/>
  <c r="Q13" i="133"/>
  <c r="Q94" i="133" s="1"/>
  <c r="Q97" i="133" s="1"/>
  <c r="Q47" i="133"/>
  <c r="Q53" i="133" s="1"/>
  <c r="R53" i="133" s="1"/>
  <c r="R54" i="133" s="1"/>
  <c r="R44" i="133"/>
  <c r="O45" i="35"/>
  <c r="M36" i="138" s="1"/>
  <c r="M56" i="138" s="1"/>
  <c r="L36" i="138"/>
  <c r="L56" i="138" s="1"/>
  <c r="N67" i="35"/>
  <c r="N68" i="35" s="1"/>
  <c r="AD64" i="133"/>
  <c r="AC83" i="133"/>
  <c r="AC53" i="133"/>
  <c r="AG22" i="133"/>
  <c r="AF24" i="133"/>
  <c r="AF25" i="133" s="1"/>
  <c r="AF62" i="133"/>
  <c r="Q83" i="133"/>
  <c r="R83" i="133" s="1"/>
  <c r="R51" i="133"/>
  <c r="AF11" i="133"/>
  <c r="AD50" i="133"/>
  <c r="AE11" i="133"/>
  <c r="AD12" i="133"/>
  <c r="L57" i="138"/>
  <c r="L61" i="138" s="1"/>
  <c r="F59" i="138"/>
  <c r="E62" i="138"/>
  <c r="O86" i="133"/>
  <c r="J10" i="26"/>
  <c r="AB143" i="133"/>
  <c r="AB75" i="133"/>
  <c r="AB77" i="133" s="1"/>
  <c r="AB79" i="133" s="1"/>
  <c r="AB40" i="133"/>
  <c r="AC29" i="133"/>
  <c r="AC30" i="133"/>
  <c r="AC36" i="133" s="1"/>
  <c r="AA85" i="133"/>
  <c r="AA86" i="133" s="1"/>
  <c r="AA90" i="133" s="1"/>
  <c r="AA79" i="133"/>
  <c r="I18" i="26"/>
  <c r="I20" i="26" s="1"/>
  <c r="L32" i="35"/>
  <c r="L33" i="35" s="1"/>
  <c r="M25" i="35"/>
  <c r="P71" i="178"/>
  <c r="P80" i="178" s="1"/>
  <c r="Q72" i="178"/>
  <c r="K36" i="35"/>
  <c r="H5" i="26"/>
  <c r="G8" i="26"/>
  <c r="J34" i="35"/>
  <c r="G7" i="26"/>
  <c r="F22" i="26"/>
  <c r="F11" i="26"/>
  <c r="E23" i="26"/>
  <c r="E14" i="26"/>
  <c r="E28" i="26" s="1"/>
  <c r="I37" i="35"/>
  <c r="I38" i="35"/>
  <c r="I35" i="35"/>
  <c r="Q40" i="133" l="1"/>
  <c r="P62" i="35" s="1"/>
  <c r="N34" i="138" s="1"/>
  <c r="O34" i="138" s="1"/>
  <c r="P74" i="193"/>
  <c r="M72" i="193"/>
  <c r="M67" i="193"/>
  <c r="M76" i="193" s="1"/>
  <c r="M13" i="193" s="1"/>
  <c r="M14" i="193" s="1"/>
  <c r="N64" i="193"/>
  <c r="L117" i="193"/>
  <c r="N17" i="193"/>
  <c r="N18" i="193"/>
  <c r="P66" i="193"/>
  <c r="P56" i="193"/>
  <c r="O54" i="193"/>
  <c r="O27" i="193"/>
  <c r="P23" i="193"/>
  <c r="P57" i="193"/>
  <c r="N63" i="193"/>
  <c r="N58" i="193"/>
  <c r="L14" i="193"/>
  <c r="O55" i="193"/>
  <c r="O64" i="193" s="1"/>
  <c r="O73" i="193" s="1"/>
  <c r="P24" i="193"/>
  <c r="P54" i="193"/>
  <c r="P25" i="193"/>
  <c r="P65" i="193"/>
  <c r="H40" i="35"/>
  <c r="B14" i="26"/>
  <c r="B28" i="26" s="1"/>
  <c r="B30" i="26" s="1"/>
  <c r="B29" i="26" s="1"/>
  <c r="E39" i="35"/>
  <c r="R13" i="133"/>
  <c r="AR89" i="133"/>
  <c r="P34" i="192"/>
  <c r="Q41" i="192"/>
  <c r="P86" i="192"/>
  <c r="P92" i="192" s="1"/>
  <c r="O41" i="138"/>
  <c r="P75" i="35"/>
  <c r="Q74" i="35"/>
  <c r="Q75" i="35" s="1"/>
  <c r="C51" i="138"/>
  <c r="D16" i="138"/>
  <c r="G37" i="35"/>
  <c r="G35" i="35"/>
  <c r="G38" i="35"/>
  <c r="Q75" i="133"/>
  <c r="I7" i="138"/>
  <c r="I8" i="138" s="1"/>
  <c r="I25" i="138"/>
  <c r="I48" i="138" s="1"/>
  <c r="D22" i="26"/>
  <c r="D11" i="26"/>
  <c r="D25" i="138"/>
  <c r="D48" i="138" s="1"/>
  <c r="D7" i="138"/>
  <c r="D8" i="138" s="1"/>
  <c r="F38" i="35"/>
  <c r="F37" i="35"/>
  <c r="F35" i="35"/>
  <c r="C22" i="26"/>
  <c r="C11" i="26"/>
  <c r="P85" i="133"/>
  <c r="P86" i="133" s="1"/>
  <c r="P79" i="133"/>
  <c r="R73" i="133"/>
  <c r="R126" i="133"/>
  <c r="M57" i="138"/>
  <c r="M58" i="138" s="1"/>
  <c r="Q128" i="133"/>
  <c r="R71" i="133"/>
  <c r="R124" i="133"/>
  <c r="R74" i="133"/>
  <c r="R127" i="133"/>
  <c r="AE66" i="133"/>
  <c r="AD89" i="133"/>
  <c r="AE88" i="133"/>
  <c r="AE89" i="133" s="1"/>
  <c r="K9" i="26"/>
  <c r="K10" i="26" s="1"/>
  <c r="O67" i="35"/>
  <c r="L9" i="26" s="1"/>
  <c r="J25" i="138"/>
  <c r="J48" i="138" s="1"/>
  <c r="BE87" i="133"/>
  <c r="BE89" i="133" s="1"/>
  <c r="BD89" i="133"/>
  <c r="L58" i="138"/>
  <c r="Q87" i="133"/>
  <c r="R47" i="133"/>
  <c r="AG11" i="133"/>
  <c r="AF12" i="133"/>
  <c r="AF50" i="133"/>
  <c r="AD84" i="133"/>
  <c r="AE84" i="133" s="1"/>
  <c r="AD66" i="133"/>
  <c r="AE50" i="133"/>
  <c r="AD51" i="133"/>
  <c r="P45" i="35"/>
  <c r="N57" i="138" s="1"/>
  <c r="R94" i="133"/>
  <c r="R97" i="133" s="1"/>
  <c r="AF64" i="133"/>
  <c r="AF95" i="133"/>
  <c r="AH22" i="133"/>
  <c r="AG24" i="133"/>
  <c r="AG25" i="133" s="1"/>
  <c r="AG95" i="133" s="1"/>
  <c r="AG62" i="133"/>
  <c r="AG64" i="133" s="1"/>
  <c r="AE12" i="133"/>
  <c r="AD13" i="133"/>
  <c r="G59" i="138"/>
  <c r="F62" i="138"/>
  <c r="AB85" i="133"/>
  <c r="AB86" i="133" s="1"/>
  <c r="AB90" i="133" s="1"/>
  <c r="N10" i="35"/>
  <c r="L33" i="138" s="1"/>
  <c r="O90" i="133"/>
  <c r="Q62" i="35"/>
  <c r="AC143" i="133"/>
  <c r="AC40" i="133"/>
  <c r="AC75" i="133"/>
  <c r="AC77" i="133" s="1"/>
  <c r="AD29" i="133"/>
  <c r="AD30" i="133"/>
  <c r="AE30" i="133" s="1"/>
  <c r="AE36" i="133" s="1"/>
  <c r="F23" i="26"/>
  <c r="F14" i="26"/>
  <c r="F28" i="26" s="1"/>
  <c r="N25" i="35"/>
  <c r="R72" i="178"/>
  <c r="Q71" i="178"/>
  <c r="Q80" i="178" s="1"/>
  <c r="J38" i="35"/>
  <c r="J37" i="35"/>
  <c r="J35" i="35"/>
  <c r="J18" i="26"/>
  <c r="J20" i="26" s="1"/>
  <c r="M32" i="35"/>
  <c r="M33" i="35" s="1"/>
  <c r="I40" i="35"/>
  <c r="I39" i="35"/>
  <c r="G22" i="26"/>
  <c r="G11" i="26"/>
  <c r="L36" i="35"/>
  <c r="I5" i="26"/>
  <c r="H8" i="26"/>
  <c r="H7" i="26"/>
  <c r="K34" i="35"/>
  <c r="R40" i="133" l="1"/>
  <c r="R41" i="133"/>
  <c r="D5" i="138"/>
  <c r="D12" i="138" s="1"/>
  <c r="D49" i="138"/>
  <c r="D51" i="138" s="1"/>
  <c r="N72" i="193"/>
  <c r="N67" i="193"/>
  <c r="N76" i="193" s="1"/>
  <c r="N13" i="193" s="1"/>
  <c r="N14" i="193" s="1"/>
  <c r="P14" i="193" s="1"/>
  <c r="P58" i="193"/>
  <c r="P55" i="193"/>
  <c r="P27" i="193"/>
  <c r="N117" i="193" s="1"/>
  <c r="O17" i="193"/>
  <c r="B20" i="193"/>
  <c r="O18" i="193"/>
  <c r="M117" i="193"/>
  <c r="N73" i="193"/>
  <c r="P73" i="193" s="1"/>
  <c r="P64" i="193"/>
  <c r="O63" i="193"/>
  <c r="O58" i="193"/>
  <c r="P13" i="193"/>
  <c r="P107" i="192"/>
  <c r="P108" i="192" s="1"/>
  <c r="P112" i="192" s="1"/>
  <c r="P94" i="192"/>
  <c r="Q29" i="192"/>
  <c r="Q46" i="192"/>
  <c r="Q47" i="192" s="1"/>
  <c r="R41" i="192"/>
  <c r="P100" i="192"/>
  <c r="P101" i="192" s="1"/>
  <c r="P36" i="192"/>
  <c r="N42" i="138"/>
  <c r="O42" i="138" s="1"/>
  <c r="M12" i="26"/>
  <c r="N12" i="26" s="1"/>
  <c r="F40" i="35"/>
  <c r="F39" i="35"/>
  <c r="G39" i="35"/>
  <c r="G40" i="35"/>
  <c r="O68" i="35"/>
  <c r="Q77" i="133"/>
  <c r="R75" i="133"/>
  <c r="R77" i="133" s="1"/>
  <c r="P90" i="133"/>
  <c r="O10" i="35"/>
  <c r="M33" i="138" s="1"/>
  <c r="D23" i="26"/>
  <c r="D14" i="26"/>
  <c r="D28" i="26" s="1"/>
  <c r="C23" i="26"/>
  <c r="C14" i="26"/>
  <c r="C28" i="26" s="1"/>
  <c r="C30" i="26" s="1"/>
  <c r="C29" i="26" s="1"/>
  <c r="C15" i="26" s="1"/>
  <c r="M61" i="138"/>
  <c r="R128" i="133"/>
  <c r="AE67" i="133"/>
  <c r="R98" i="133"/>
  <c r="Q89" i="133"/>
  <c r="P44" i="35" s="1"/>
  <c r="R87" i="133"/>
  <c r="R89" i="133" s="1"/>
  <c r="AF84" i="133"/>
  <c r="AF66" i="133"/>
  <c r="AD94" i="133"/>
  <c r="AE13" i="133"/>
  <c r="AG84" i="133"/>
  <c r="AG66" i="133"/>
  <c r="AF13" i="133"/>
  <c r="N36" i="138"/>
  <c r="Q45" i="35"/>
  <c r="AH11" i="133"/>
  <c r="AG12" i="133"/>
  <c r="AG13" i="133" s="1"/>
  <c r="AG94" i="133" s="1"/>
  <c r="AG97" i="133" s="1"/>
  <c r="AG50" i="133"/>
  <c r="AG51" i="133" s="1"/>
  <c r="AF51" i="133"/>
  <c r="AH24" i="133"/>
  <c r="AH25" i="133" s="1"/>
  <c r="AI22" i="133"/>
  <c r="AH62" i="133"/>
  <c r="AH64" i="133" s="1"/>
  <c r="AD83" i="133"/>
  <c r="AE83" i="133" s="1"/>
  <c r="AE51" i="133"/>
  <c r="AD53" i="133"/>
  <c r="AE53" i="133" s="1"/>
  <c r="AE54" i="133" s="1"/>
  <c r="H59" i="138"/>
  <c r="G62" i="138"/>
  <c r="N61" i="138"/>
  <c r="L10" i="26"/>
  <c r="AD36" i="133"/>
  <c r="AF29" i="133"/>
  <c r="AF30" i="133"/>
  <c r="AC79" i="133"/>
  <c r="AC85" i="133"/>
  <c r="AC86" i="133" s="1"/>
  <c r="AC90" i="133" s="1"/>
  <c r="G14" i="26"/>
  <c r="G28" i="26" s="1"/>
  <c r="G23" i="26"/>
  <c r="J39" i="35"/>
  <c r="J40" i="35"/>
  <c r="I7" i="26"/>
  <c r="L34" i="35"/>
  <c r="I8" i="26"/>
  <c r="O25" i="35"/>
  <c r="S72" i="178"/>
  <c r="T72" i="178" s="1"/>
  <c r="T71" i="178" s="1"/>
  <c r="T80" i="178" s="1"/>
  <c r="R71" i="178"/>
  <c r="R80" i="178" s="1"/>
  <c r="K18" i="26"/>
  <c r="K20" i="26" s="1"/>
  <c r="N32" i="35"/>
  <c r="N33" i="35" s="1"/>
  <c r="K37" i="35"/>
  <c r="K35" i="35"/>
  <c r="K38" i="35"/>
  <c r="J5" i="26"/>
  <c r="M36" i="35"/>
  <c r="H11" i="26"/>
  <c r="H22" i="26"/>
  <c r="B15" i="26"/>
  <c r="C16" i="26" l="1"/>
  <c r="C17" i="26" s="1"/>
  <c r="O72" i="193"/>
  <c r="P72" i="193" s="1"/>
  <c r="O67" i="193"/>
  <c r="O76" i="193" s="1"/>
  <c r="P63" i="193"/>
  <c r="P67" i="193" s="1"/>
  <c r="E16" i="138"/>
  <c r="Q86" i="192"/>
  <c r="Q34" i="192"/>
  <c r="R29" i="192"/>
  <c r="R34" i="192" s="1"/>
  <c r="R78" i="133"/>
  <c r="Q79" i="133"/>
  <c r="R79" i="133" s="1"/>
  <c r="Q85" i="133"/>
  <c r="D30" i="26"/>
  <c r="D29" i="26" s="1"/>
  <c r="M40" i="138"/>
  <c r="M9" i="138"/>
  <c r="Q44" i="35"/>
  <c r="Q67" i="35" s="1"/>
  <c r="P67" i="35"/>
  <c r="AG53" i="133"/>
  <c r="AG83" i="133"/>
  <c r="AG86" i="133" s="1"/>
  <c r="AH12" i="133"/>
  <c r="AH13" i="133" s="1"/>
  <c r="AH94" i="133" s="1"/>
  <c r="AI11" i="133"/>
  <c r="AH50" i="133"/>
  <c r="AH51" i="133" s="1"/>
  <c r="AH84" i="133"/>
  <c r="AH66" i="133"/>
  <c r="AI24" i="133"/>
  <c r="AI25" i="133" s="1"/>
  <c r="AI95" i="133" s="1"/>
  <c r="AJ22" i="133"/>
  <c r="AI62" i="133"/>
  <c r="AI64" i="133" s="1"/>
  <c r="N56" i="138"/>
  <c r="N58" i="138" s="1"/>
  <c r="O36" i="138"/>
  <c r="AD97" i="133"/>
  <c r="AE94" i="133"/>
  <c r="AE97" i="133" s="1"/>
  <c r="AH95" i="133"/>
  <c r="AD40" i="133"/>
  <c r="AF53" i="133"/>
  <c r="AF83" i="133"/>
  <c r="AF94" i="133"/>
  <c r="H62" i="138"/>
  <c r="I59" i="138"/>
  <c r="L9" i="138"/>
  <c r="L40" i="138"/>
  <c r="AD75" i="133"/>
  <c r="AD143" i="133"/>
  <c r="AF36" i="133"/>
  <c r="AR29" i="133"/>
  <c r="I22" i="26"/>
  <c r="I11" i="26"/>
  <c r="L38" i="35"/>
  <c r="L35" i="35"/>
  <c r="L37" i="35"/>
  <c r="K5" i="26"/>
  <c r="N36" i="35"/>
  <c r="O32" i="35"/>
  <c r="L18" i="26"/>
  <c r="H23" i="26"/>
  <c r="H14" i="26"/>
  <c r="H28" i="26" s="1"/>
  <c r="K40" i="35"/>
  <c r="K39" i="35"/>
  <c r="M34" i="35"/>
  <c r="J8" i="26"/>
  <c r="J7" i="26"/>
  <c r="P25" i="35"/>
  <c r="S71" i="178"/>
  <c r="S80" i="178" s="1"/>
  <c r="T81" i="178" s="1"/>
  <c r="B16" i="26"/>
  <c r="B17" i="26" s="1"/>
  <c r="C34" i="26" l="1"/>
  <c r="C24" i="26"/>
  <c r="C33" i="26"/>
  <c r="E5" i="138"/>
  <c r="E30" i="26"/>
  <c r="F30" i="26" s="1"/>
  <c r="Q100" i="192"/>
  <c r="Q36" i="192"/>
  <c r="R36" i="192" s="1"/>
  <c r="Q92" i="192"/>
  <c r="R86" i="192"/>
  <c r="R92" i="192" s="1"/>
  <c r="R93" i="192" s="1"/>
  <c r="M47" i="138"/>
  <c r="M10" i="138"/>
  <c r="M11" i="138" s="1"/>
  <c r="M21" i="138"/>
  <c r="Q86" i="133"/>
  <c r="R85" i="133"/>
  <c r="R86" i="133" s="1"/>
  <c r="R90" i="133" s="1"/>
  <c r="R80" i="133"/>
  <c r="R99" i="133"/>
  <c r="R101" i="133" s="1"/>
  <c r="AE40" i="133"/>
  <c r="Q69" i="35"/>
  <c r="AH97" i="133"/>
  <c r="M9" i="26"/>
  <c r="P68" i="35"/>
  <c r="Q68" i="35" s="1"/>
  <c r="AH83" i="133"/>
  <c r="AH53" i="133"/>
  <c r="AJ11" i="133"/>
  <c r="AI50" i="133"/>
  <c r="AI51" i="133" s="1"/>
  <c r="AI12" i="133"/>
  <c r="AI84" i="133"/>
  <c r="AI66" i="133"/>
  <c r="AF97" i="133"/>
  <c r="AJ24" i="133"/>
  <c r="AJ25" i="133" s="1"/>
  <c r="AK22" i="133"/>
  <c r="AJ62" i="133"/>
  <c r="AJ64" i="133" s="1"/>
  <c r="AF86" i="133"/>
  <c r="AE98" i="133"/>
  <c r="I62" i="138"/>
  <c r="J59" i="138"/>
  <c r="L47" i="138"/>
  <c r="L10" i="138"/>
  <c r="L11" i="138" s="1"/>
  <c r="L21" i="138"/>
  <c r="AD77" i="133"/>
  <c r="AE75" i="133"/>
  <c r="AE77" i="133" s="1"/>
  <c r="AG29" i="133"/>
  <c r="AF40" i="133"/>
  <c r="AG30" i="133"/>
  <c r="AG36" i="133" s="1"/>
  <c r="AF143" i="133"/>
  <c r="J22" i="26"/>
  <c r="J11" i="26"/>
  <c r="O33" i="35"/>
  <c r="M37" i="35"/>
  <c r="M35" i="35"/>
  <c r="M38" i="35"/>
  <c r="N34" i="35"/>
  <c r="K8" i="26"/>
  <c r="K7" i="26"/>
  <c r="L40" i="35"/>
  <c r="L39" i="35"/>
  <c r="M18" i="26"/>
  <c r="M20" i="26" s="1"/>
  <c r="P32" i="35"/>
  <c r="Q25" i="35"/>
  <c r="I23" i="26"/>
  <c r="I14" i="26"/>
  <c r="I28" i="26" s="1"/>
  <c r="L20" i="26"/>
  <c r="B34" i="26"/>
  <c r="B33" i="26"/>
  <c r="B24" i="26"/>
  <c r="D15" i="26"/>
  <c r="E29" i="26" l="1"/>
  <c r="E15" i="26" s="1"/>
  <c r="Q107" i="192"/>
  <c r="Q94" i="192"/>
  <c r="R94" i="192" s="1"/>
  <c r="Q101" i="192"/>
  <c r="R100" i="192"/>
  <c r="R101" i="192" s="1"/>
  <c r="Q90" i="133"/>
  <c r="R91" i="133" s="1"/>
  <c r="P10" i="35"/>
  <c r="M25" i="138"/>
  <c r="M48" i="138" s="1"/>
  <c r="M7" i="138"/>
  <c r="M8" i="138" s="1"/>
  <c r="M10" i="26"/>
  <c r="N9" i="26"/>
  <c r="N10" i="26" s="1"/>
  <c r="AK24" i="133"/>
  <c r="AK25" i="133" s="1"/>
  <c r="AK95" i="133" s="1"/>
  <c r="AL22" i="133"/>
  <c r="AK62" i="133"/>
  <c r="AK64" i="133" s="1"/>
  <c r="AK11" i="133"/>
  <c r="AJ50" i="133"/>
  <c r="AJ51" i="133" s="1"/>
  <c r="AJ12" i="133"/>
  <c r="AJ13" i="133" s="1"/>
  <c r="AJ94" i="133" s="1"/>
  <c r="AI53" i="133"/>
  <c r="AI83" i="133"/>
  <c r="AJ95" i="133"/>
  <c r="AJ84" i="133"/>
  <c r="AJ66" i="133"/>
  <c r="AI13" i="133"/>
  <c r="K59" i="138"/>
  <c r="J62" i="138"/>
  <c r="L25" i="138"/>
  <c r="L48" i="138" s="1"/>
  <c r="L7" i="138"/>
  <c r="L8" i="138" s="1"/>
  <c r="AD85" i="133"/>
  <c r="AD79" i="133"/>
  <c r="AE79" i="133" s="1"/>
  <c r="AE78" i="133"/>
  <c r="AG40" i="133"/>
  <c r="AG143" i="133"/>
  <c r="AH30" i="133"/>
  <c r="AH36" i="133" s="1"/>
  <c r="AH29" i="133"/>
  <c r="N18" i="26"/>
  <c r="N20" i="26" s="1"/>
  <c r="N37" i="35"/>
  <c r="N38" i="35"/>
  <c r="N35" i="35"/>
  <c r="Q32" i="35"/>
  <c r="M39" i="35"/>
  <c r="M40" i="35"/>
  <c r="L5" i="26"/>
  <c r="O36" i="35"/>
  <c r="J23" i="26"/>
  <c r="J14" i="26"/>
  <c r="J28" i="26" s="1"/>
  <c r="K11" i="26"/>
  <c r="K22" i="26"/>
  <c r="D16" i="26"/>
  <c r="D17" i="26" s="1"/>
  <c r="E38" i="138"/>
  <c r="F29" i="26"/>
  <c r="F15" i="26" s="1"/>
  <c r="G30" i="26"/>
  <c r="F16" i="26" l="1"/>
  <c r="F17" i="26" s="1"/>
  <c r="E16" i="26"/>
  <c r="E17" i="26" s="1"/>
  <c r="P33" i="35"/>
  <c r="P36" i="35" s="1"/>
  <c r="N33" i="138"/>
  <c r="O33" i="138" s="1"/>
  <c r="R102" i="192"/>
  <c r="R103" i="192"/>
  <c r="Q108" i="192"/>
  <c r="Q112" i="192" s="1"/>
  <c r="R107" i="192"/>
  <c r="R108" i="192" s="1"/>
  <c r="R112" i="192" s="1"/>
  <c r="Q10" i="35"/>
  <c r="Q33" i="35" s="1"/>
  <c r="AJ97" i="133"/>
  <c r="AJ53" i="133"/>
  <c r="AJ83" i="133"/>
  <c r="AK84" i="133"/>
  <c r="AK66" i="133"/>
  <c r="AM22" i="133"/>
  <c r="AL24" i="133"/>
  <c r="AL25" i="133" s="1"/>
  <c r="AL62" i="133"/>
  <c r="AL64" i="133" s="1"/>
  <c r="AL11" i="133"/>
  <c r="AK50" i="133"/>
  <c r="AK12" i="133"/>
  <c r="AK13" i="133" s="1"/>
  <c r="AK94" i="133" s="1"/>
  <c r="AK97" i="133" s="1"/>
  <c r="AI94" i="133"/>
  <c r="L59" i="138"/>
  <c r="K62" i="138"/>
  <c r="AE80" i="133"/>
  <c r="AE99" i="133"/>
  <c r="AE101" i="133" s="1"/>
  <c r="AE85" i="133"/>
  <c r="AE86" i="133" s="1"/>
  <c r="AE90" i="133" s="1"/>
  <c r="AD86" i="133"/>
  <c r="AD90" i="133" s="1"/>
  <c r="AI30" i="133"/>
  <c r="AI36" i="133" s="1"/>
  <c r="AH75" i="133"/>
  <c r="AH77" i="133" s="1"/>
  <c r="AH85" i="133" s="1"/>
  <c r="AH143" i="133"/>
  <c r="AH40" i="133"/>
  <c r="AI29" i="133"/>
  <c r="K14" i="26"/>
  <c r="K28" i="26" s="1"/>
  <c r="K23" i="26"/>
  <c r="L7" i="26"/>
  <c r="O34" i="35"/>
  <c r="L8" i="26"/>
  <c r="N40" i="35"/>
  <c r="N39" i="35"/>
  <c r="G29" i="26"/>
  <c r="H30" i="26"/>
  <c r="E9" i="138"/>
  <c r="E40" i="138"/>
  <c r="E47" i="138" s="1"/>
  <c r="D24" i="26"/>
  <c r="D33" i="26"/>
  <c r="D34" i="26"/>
  <c r="E33" i="26" l="1"/>
  <c r="E24" i="26"/>
  <c r="E34" i="26"/>
  <c r="F33" i="26"/>
  <c r="F24" i="26"/>
  <c r="F34" i="26"/>
  <c r="M5" i="26"/>
  <c r="M7" i="26" s="1"/>
  <c r="R113" i="192"/>
  <c r="S112" i="192"/>
  <c r="AI97" i="133"/>
  <c r="AK51" i="133"/>
  <c r="AM11" i="133"/>
  <c r="AL50" i="133"/>
  <c r="AL51" i="133" s="1"/>
  <c r="AL12" i="133"/>
  <c r="AL13" i="133" s="1"/>
  <c r="AL94" i="133" s="1"/>
  <c r="AL84" i="133"/>
  <c r="AL66" i="133"/>
  <c r="AL95" i="133"/>
  <c r="AN22" i="133"/>
  <c r="AM62" i="133"/>
  <c r="AM64" i="133" s="1"/>
  <c r="AM24" i="133"/>
  <c r="AM25" i="133" s="1"/>
  <c r="AM95" i="133" s="1"/>
  <c r="M59" i="138"/>
  <c r="L62" i="138"/>
  <c r="AH79" i="133"/>
  <c r="AE91" i="133"/>
  <c r="AJ30" i="133"/>
  <c r="AJ36" i="133" s="1"/>
  <c r="AI143" i="133"/>
  <c r="AI75" i="133"/>
  <c r="AI77" i="133" s="1"/>
  <c r="AJ29" i="133"/>
  <c r="AI40" i="133"/>
  <c r="AH86" i="133"/>
  <c r="AH90" i="133" s="1"/>
  <c r="L11" i="26"/>
  <c r="L22" i="26"/>
  <c r="O37" i="35"/>
  <c r="O38" i="35"/>
  <c r="O35" i="35"/>
  <c r="E21" i="138"/>
  <c r="E10" i="138"/>
  <c r="E11" i="138" s="1"/>
  <c r="H29" i="26"/>
  <c r="H15" i="26" s="1"/>
  <c r="I30" i="26"/>
  <c r="G15" i="26"/>
  <c r="P34" i="35" l="1"/>
  <c r="P37" i="35" s="1"/>
  <c r="M8" i="26"/>
  <c r="M22" i="26" s="1"/>
  <c r="N5" i="26"/>
  <c r="N7" i="26" s="1"/>
  <c r="AN11" i="133"/>
  <c r="AM50" i="133"/>
  <c r="AM51" i="133" s="1"/>
  <c r="AM12" i="133"/>
  <c r="AM13" i="133" s="1"/>
  <c r="AK83" i="133"/>
  <c r="AK53" i="133"/>
  <c r="AO22" i="133"/>
  <c r="AN62" i="133"/>
  <c r="AN64" i="133" s="1"/>
  <c r="AN24" i="133"/>
  <c r="AN25" i="133" s="1"/>
  <c r="AL83" i="133"/>
  <c r="AL53" i="133"/>
  <c r="AM84" i="133"/>
  <c r="AM66" i="133"/>
  <c r="AL97" i="133"/>
  <c r="M62" i="138"/>
  <c r="N59" i="138"/>
  <c r="N62" i="138" s="1"/>
  <c r="AI85" i="133"/>
  <c r="AI86" i="133" s="1"/>
  <c r="AI90" i="133" s="1"/>
  <c r="AI79" i="133"/>
  <c r="AJ75" i="133"/>
  <c r="AJ77" i="133" s="1"/>
  <c r="AJ85" i="133" s="1"/>
  <c r="AJ143" i="133"/>
  <c r="AJ40" i="133"/>
  <c r="AK30" i="133"/>
  <c r="AK36" i="133" s="1"/>
  <c r="AK29" i="133"/>
  <c r="O39" i="35"/>
  <c r="O40" i="35"/>
  <c r="L23" i="26"/>
  <c r="L14" i="26"/>
  <c r="L28" i="26" s="1"/>
  <c r="G16" i="26"/>
  <c r="G17" i="26" s="1"/>
  <c r="H38" i="138"/>
  <c r="J30" i="26"/>
  <c r="I29" i="26"/>
  <c r="H16" i="26"/>
  <c r="H17" i="26" s="1"/>
  <c r="E7" i="138"/>
  <c r="E25" i="138"/>
  <c r="E48" i="138" s="1"/>
  <c r="E49" i="138" s="1"/>
  <c r="P38" i="35" l="1"/>
  <c r="P40" i="35" s="1"/>
  <c r="P35" i="35"/>
  <c r="Q34" i="35"/>
  <c r="Q38" i="35" s="1"/>
  <c r="Q40" i="35" s="1"/>
  <c r="N8" i="26"/>
  <c r="N11" i="26" s="1"/>
  <c r="N23" i="26" s="1"/>
  <c r="M11" i="26"/>
  <c r="M23" i="26" s="1"/>
  <c r="AP22" i="133"/>
  <c r="AO62" i="133"/>
  <c r="AO64" i="133" s="1"/>
  <c r="AO24" i="133"/>
  <c r="AO25" i="133" s="1"/>
  <c r="AO95" i="133" s="1"/>
  <c r="AM94" i="133"/>
  <c r="AM83" i="133"/>
  <c r="AM53" i="133"/>
  <c r="AN95" i="133"/>
  <c r="AO11" i="133"/>
  <c r="AN50" i="133"/>
  <c r="AN51" i="133" s="1"/>
  <c r="AN12" i="133"/>
  <c r="AN13" i="133" s="1"/>
  <c r="AN94" i="133" s="1"/>
  <c r="AN84" i="133"/>
  <c r="AN66" i="133"/>
  <c r="AK75" i="133"/>
  <c r="AK77" i="133" s="1"/>
  <c r="AK40" i="133"/>
  <c r="AL29" i="133"/>
  <c r="AL30" i="133"/>
  <c r="AL36" i="133" s="1"/>
  <c r="AK143" i="133"/>
  <c r="AJ79" i="133"/>
  <c r="AJ86" i="133"/>
  <c r="AJ90" i="133" s="1"/>
  <c r="E51" i="138"/>
  <c r="F16" i="138"/>
  <c r="H33" i="26"/>
  <c r="H34" i="26"/>
  <c r="H24" i="26"/>
  <c r="I15" i="26"/>
  <c r="J29" i="26"/>
  <c r="J15" i="26" s="1"/>
  <c r="K30" i="26"/>
  <c r="E8" i="138"/>
  <c r="H9" i="138"/>
  <c r="H40" i="138"/>
  <c r="G33" i="26"/>
  <c r="G24" i="26"/>
  <c r="G34" i="26"/>
  <c r="J16" i="26" l="1"/>
  <c r="J17" i="26" s="1"/>
  <c r="Q39" i="35"/>
  <c r="N14" i="26"/>
  <c r="M14" i="26"/>
  <c r="M28" i="26" s="1"/>
  <c r="N28" i="26" s="1"/>
  <c r="N22" i="26"/>
  <c r="P39" i="35"/>
  <c r="AN97" i="133"/>
  <c r="AM97" i="133"/>
  <c r="AN83" i="133"/>
  <c r="AN53" i="133"/>
  <c r="AP11" i="133"/>
  <c r="AO50" i="133"/>
  <c r="AO51" i="133" s="1"/>
  <c r="AO12" i="133"/>
  <c r="AO13" i="133" s="1"/>
  <c r="AO94" i="133" s="1"/>
  <c r="AO97" i="133" s="1"/>
  <c r="AO84" i="133"/>
  <c r="AO66" i="133"/>
  <c r="AQ22" i="133"/>
  <c r="AP62" i="133"/>
  <c r="AP64" i="133" s="1"/>
  <c r="AP24" i="133"/>
  <c r="AP25" i="133" s="1"/>
  <c r="AP95" i="133" s="1"/>
  <c r="AL75" i="133"/>
  <c r="AL77" i="133" s="1"/>
  <c r="AL85" i="133" s="1"/>
  <c r="AL143" i="133"/>
  <c r="AL40" i="133"/>
  <c r="AM29" i="133"/>
  <c r="AM30" i="133"/>
  <c r="AM36" i="133" s="1"/>
  <c r="AK79" i="133"/>
  <c r="AK85" i="133"/>
  <c r="AK86" i="133" s="1"/>
  <c r="AK90" i="133" s="1"/>
  <c r="H21" i="138"/>
  <c r="H10" i="138"/>
  <c r="H11" i="138" s="1"/>
  <c r="I16" i="26"/>
  <c r="I17" i="26" s="1"/>
  <c r="K38" i="138"/>
  <c r="H47" i="138"/>
  <c r="E12" i="138"/>
  <c r="K29" i="26"/>
  <c r="K15" i="26" s="1"/>
  <c r="L30" i="26"/>
  <c r="F5" i="138"/>
  <c r="F12" i="138" s="1"/>
  <c r="F49" i="138"/>
  <c r="J24" i="26" l="1"/>
  <c r="J34" i="26"/>
  <c r="J33" i="26"/>
  <c r="AQ11" i="133"/>
  <c r="AP50" i="133"/>
  <c r="AP51" i="133" s="1"/>
  <c r="AP12" i="133"/>
  <c r="AP13" i="133" s="1"/>
  <c r="AP94" i="133" s="1"/>
  <c r="AP97" i="133" s="1"/>
  <c r="AP84" i="133"/>
  <c r="AP66" i="133"/>
  <c r="AO83" i="133"/>
  <c r="AO53" i="133"/>
  <c r="AQ62" i="133"/>
  <c r="AQ24" i="133"/>
  <c r="AQ25" i="133" s="1"/>
  <c r="AR22" i="133"/>
  <c r="AL79" i="133"/>
  <c r="AN30" i="133"/>
  <c r="AN36" i="133" s="1"/>
  <c r="AM40" i="133"/>
  <c r="AM75" i="133"/>
  <c r="AM77" i="133" s="1"/>
  <c r="AN29" i="133"/>
  <c r="AM143" i="133"/>
  <c r="AL86" i="133"/>
  <c r="AL90" i="133" s="1"/>
  <c r="G16" i="138"/>
  <c r="F51" i="138"/>
  <c r="K9" i="138"/>
  <c r="K40" i="138"/>
  <c r="K47" i="138" s="1"/>
  <c r="M30" i="26"/>
  <c r="M29" i="26" s="1"/>
  <c r="L29" i="26"/>
  <c r="L15" i="26" s="1"/>
  <c r="K16" i="26"/>
  <c r="K17" i="26" s="1"/>
  <c r="I24" i="26"/>
  <c r="I34" i="26"/>
  <c r="I33" i="26"/>
  <c r="H7" i="138"/>
  <c r="H25" i="138"/>
  <c r="H48" i="138" s="1"/>
  <c r="L16" i="26" l="1"/>
  <c r="L17" i="26" s="1"/>
  <c r="AQ64" i="133"/>
  <c r="AR62" i="133"/>
  <c r="AR64" i="133" s="1"/>
  <c r="AR66" i="133" s="1"/>
  <c r="AS22" i="133"/>
  <c r="AR24" i="133"/>
  <c r="AP83" i="133"/>
  <c r="AP53" i="133"/>
  <c r="AQ95" i="133"/>
  <c r="AR95" i="133" s="1"/>
  <c r="AR25" i="133"/>
  <c r="AS11" i="133"/>
  <c r="AQ50" i="133"/>
  <c r="AQ12" i="133"/>
  <c r="AR11" i="133"/>
  <c r="AM85" i="133"/>
  <c r="AM86" i="133" s="1"/>
  <c r="AM90" i="133" s="1"/>
  <c r="AM79" i="133"/>
  <c r="AN75" i="133"/>
  <c r="AN77" i="133" s="1"/>
  <c r="AN143" i="133"/>
  <c r="AO29" i="133"/>
  <c r="AO30" i="133"/>
  <c r="AO36" i="133" s="1"/>
  <c r="AN40" i="133"/>
  <c r="M15" i="26"/>
  <c r="N29" i="26"/>
  <c r="K10" i="138"/>
  <c r="K11" i="138" s="1"/>
  <c r="K21" i="138"/>
  <c r="K34" i="26"/>
  <c r="K24" i="26"/>
  <c r="K33" i="26"/>
  <c r="H8" i="138"/>
  <c r="G5" i="138"/>
  <c r="G12" i="138" s="1"/>
  <c r="G49" i="138"/>
  <c r="L34" i="26" l="1"/>
  <c r="L24" i="26"/>
  <c r="L33" i="26"/>
  <c r="AQ13" i="133"/>
  <c r="AR12" i="133"/>
  <c r="AS62" i="133"/>
  <c r="AS24" i="133"/>
  <c r="AS25" i="133" s="1"/>
  <c r="AT22" i="133"/>
  <c r="AQ51" i="133"/>
  <c r="AR50" i="133"/>
  <c r="AS12" i="133"/>
  <c r="AT11" i="133"/>
  <c r="AS50" i="133"/>
  <c r="AQ84" i="133"/>
  <c r="AR84" i="133" s="1"/>
  <c r="AQ66" i="133"/>
  <c r="AR67" i="133" s="1"/>
  <c r="AO143" i="133"/>
  <c r="AP30" i="133"/>
  <c r="AP36" i="133" s="1"/>
  <c r="AO75" i="133"/>
  <c r="AO77" i="133" s="1"/>
  <c r="AO85" i="133" s="1"/>
  <c r="AP29" i="133"/>
  <c r="AO40" i="133"/>
  <c r="AN85" i="133"/>
  <c r="AN86" i="133" s="1"/>
  <c r="AN90" i="133" s="1"/>
  <c r="AN79" i="133"/>
  <c r="G51" i="138"/>
  <c r="H16" i="138"/>
  <c r="K25" i="138"/>
  <c r="K48" i="138" s="1"/>
  <c r="K7" i="138"/>
  <c r="M16" i="26"/>
  <c r="M17" i="26" s="1"/>
  <c r="N15" i="26"/>
  <c r="N16" i="26" s="1"/>
  <c r="N17" i="26" s="1"/>
  <c r="N38" i="138"/>
  <c r="AQ83" i="133" l="1"/>
  <c r="AR83" i="133" s="1"/>
  <c r="AQ53" i="133"/>
  <c r="AR53" i="133" s="1"/>
  <c r="AR54" i="133" s="1"/>
  <c r="AR51" i="133"/>
  <c r="AS51" i="133"/>
  <c r="AT24" i="133"/>
  <c r="AT25" i="133" s="1"/>
  <c r="AT95" i="133" s="1"/>
  <c r="AT62" i="133"/>
  <c r="AT64" i="133" s="1"/>
  <c r="AU22" i="133"/>
  <c r="AU11" i="133"/>
  <c r="AT12" i="133"/>
  <c r="AT13" i="133" s="1"/>
  <c r="AT94" i="133" s="1"/>
  <c r="AT50" i="133"/>
  <c r="AT51" i="133" s="1"/>
  <c r="AS95" i="133"/>
  <c r="AS64" i="133"/>
  <c r="AS13" i="133"/>
  <c r="AQ94" i="133"/>
  <c r="AR13" i="133"/>
  <c r="AO79" i="133"/>
  <c r="AP40" i="133"/>
  <c r="AP143" i="133"/>
  <c r="AQ29" i="133"/>
  <c r="AQ30" i="133"/>
  <c r="AP75" i="133"/>
  <c r="AP77" i="133" s="1"/>
  <c r="AO86" i="133"/>
  <c r="AO90" i="133" s="1"/>
  <c r="K8" i="138"/>
  <c r="N40" i="138"/>
  <c r="N47" i="138" s="1"/>
  <c r="N9" i="138"/>
  <c r="O38" i="138"/>
  <c r="H5" i="138"/>
  <c r="H12" i="138" s="1"/>
  <c r="H49" i="138"/>
  <c r="N24" i="26"/>
  <c r="N33" i="26"/>
  <c r="M34" i="26"/>
  <c r="M24" i="26"/>
  <c r="M33" i="26"/>
  <c r="AU24" i="133" l="1"/>
  <c r="AU25" i="133" s="1"/>
  <c r="AU95" i="133" s="1"/>
  <c r="AU62" i="133"/>
  <c r="AV22" i="133"/>
  <c r="AT84" i="133"/>
  <c r="AT66" i="133"/>
  <c r="AS84" i="133"/>
  <c r="AS66" i="133"/>
  <c r="AS53" i="133"/>
  <c r="AS83" i="133"/>
  <c r="AT53" i="133"/>
  <c r="AT83" i="133"/>
  <c r="AQ97" i="133"/>
  <c r="AR94" i="133"/>
  <c r="AR97" i="133" s="1"/>
  <c r="AT97" i="133"/>
  <c r="AS94" i="133"/>
  <c r="AV11" i="133"/>
  <c r="AU12" i="133"/>
  <c r="AU50" i="133"/>
  <c r="AP79" i="133"/>
  <c r="AP85" i="133"/>
  <c r="AP86" i="133" s="1"/>
  <c r="AP90" i="133" s="1"/>
  <c r="AR30" i="133"/>
  <c r="AR36" i="133" s="1"/>
  <c r="AQ36" i="133"/>
  <c r="N21" i="138"/>
  <c r="N10" i="138"/>
  <c r="O10" i="138" s="1"/>
  <c r="O40" i="138"/>
  <c r="O47" i="138" s="1"/>
  <c r="O9" i="138"/>
  <c r="H51" i="138"/>
  <c r="I16" i="138"/>
  <c r="AR98" i="133" l="1"/>
  <c r="AU51" i="133"/>
  <c r="AU13" i="133"/>
  <c r="AT86" i="133"/>
  <c r="AW11" i="133"/>
  <c r="AV50" i="133"/>
  <c r="AV51" i="133" s="1"/>
  <c r="AV12" i="133"/>
  <c r="AV13" i="133" s="1"/>
  <c r="AV94" i="133" s="1"/>
  <c r="AS97" i="133"/>
  <c r="AS86" i="133"/>
  <c r="AW22" i="133"/>
  <c r="AV24" i="133"/>
  <c r="AV25" i="133" s="1"/>
  <c r="AV62" i="133"/>
  <c r="AV64" i="133" s="1"/>
  <c r="AU64" i="133"/>
  <c r="AS29" i="133"/>
  <c r="AS30" i="133"/>
  <c r="AQ143" i="133"/>
  <c r="AQ75" i="133"/>
  <c r="AQ40" i="133"/>
  <c r="N11" i="138"/>
  <c r="O11" i="138" s="1"/>
  <c r="N7" i="138"/>
  <c r="N25" i="138"/>
  <c r="N48" i="138" s="1"/>
  <c r="O21" i="138"/>
  <c r="O25" i="138" s="1"/>
  <c r="O48" i="138" s="1"/>
  <c r="O49" i="138" s="1"/>
  <c r="O51" i="138" s="1"/>
  <c r="I5" i="138"/>
  <c r="I12" i="138" s="1"/>
  <c r="I49" i="138"/>
  <c r="AV84" i="133" l="1"/>
  <c r="AV66" i="133"/>
  <c r="AV53" i="133"/>
  <c r="AV83" i="133"/>
  <c r="AV95" i="133"/>
  <c r="AV97" i="133" s="1"/>
  <c r="AX11" i="133"/>
  <c r="AW50" i="133"/>
  <c r="AW51" i="133" s="1"/>
  <c r="AW12" i="133"/>
  <c r="AU94" i="133"/>
  <c r="AW62" i="133"/>
  <c r="AW64" i="133" s="1"/>
  <c r="AX22" i="133"/>
  <c r="AW24" i="133"/>
  <c r="AW25" i="133" s="1"/>
  <c r="AW95" i="133" s="1"/>
  <c r="AU84" i="133"/>
  <c r="AU66" i="133"/>
  <c r="AU83" i="133"/>
  <c r="AU53" i="133"/>
  <c r="AR75" i="133"/>
  <c r="AR77" i="133" s="1"/>
  <c r="AQ77" i="133"/>
  <c r="AR40" i="133"/>
  <c r="BE29" i="133"/>
  <c r="AS36" i="133"/>
  <c r="I51" i="138"/>
  <c r="J16" i="138"/>
  <c r="C5" i="197"/>
  <c r="N8" i="138"/>
  <c r="O8" i="138" s="1"/>
  <c r="O12" i="138" s="1"/>
  <c r="O7" i="138"/>
  <c r="AW83" i="133" l="1"/>
  <c r="AW53" i="133"/>
  <c r="AX62" i="133"/>
  <c r="AX64" i="133" s="1"/>
  <c r="AY22" i="133"/>
  <c r="AX24" i="133"/>
  <c r="AX25" i="133" s="1"/>
  <c r="AY11" i="133"/>
  <c r="AX50" i="133"/>
  <c r="AX12" i="133"/>
  <c r="AX13" i="133" s="1"/>
  <c r="AX94" i="133" s="1"/>
  <c r="AU97" i="133"/>
  <c r="AW84" i="133"/>
  <c r="AW66" i="133"/>
  <c r="AW13" i="133"/>
  <c r="AR78" i="133"/>
  <c r="AT29" i="133"/>
  <c r="AT30" i="133"/>
  <c r="AT36" i="133" s="1"/>
  <c r="AS40" i="133"/>
  <c r="AS143" i="133"/>
  <c r="AQ85" i="133"/>
  <c r="AQ79" i="133"/>
  <c r="AR79" i="133" s="1"/>
  <c r="J5" i="138"/>
  <c r="J12" i="138" s="1"/>
  <c r="J49" i="138"/>
  <c r="AX51" i="133" l="1"/>
  <c r="AZ11" i="133"/>
  <c r="AY50" i="133"/>
  <c r="AY51" i="133" s="1"/>
  <c r="AY12" i="133"/>
  <c r="AZ22" i="133"/>
  <c r="AY62" i="133"/>
  <c r="AY24" i="133"/>
  <c r="AY25" i="133" s="1"/>
  <c r="AY95" i="133" s="1"/>
  <c r="AX84" i="133"/>
  <c r="AX66" i="133"/>
  <c r="AX95" i="133"/>
  <c r="AX97" i="133" s="1"/>
  <c r="AW94" i="133"/>
  <c r="AT143" i="133"/>
  <c r="AT40" i="133"/>
  <c r="AU30" i="133"/>
  <c r="AU36" i="133" s="1"/>
  <c r="AU29" i="133"/>
  <c r="AR99" i="133"/>
  <c r="AR101" i="133" s="1"/>
  <c r="AR80" i="133"/>
  <c r="AQ86" i="133"/>
  <c r="AQ90" i="133" s="1"/>
  <c r="AR85" i="133"/>
  <c r="AR86" i="133" s="1"/>
  <c r="AR90" i="133" s="1"/>
  <c r="AR91" i="133" s="1"/>
  <c r="J51" i="138"/>
  <c r="K16" i="138"/>
  <c r="AY64" i="133" l="1"/>
  <c r="BA22" i="133"/>
  <c r="AZ62" i="133"/>
  <c r="AZ64" i="133" s="1"/>
  <c r="AZ24" i="133"/>
  <c r="AZ25" i="133" s="1"/>
  <c r="AZ95" i="133" s="1"/>
  <c r="AW97" i="133"/>
  <c r="AY13" i="133"/>
  <c r="AY83" i="133"/>
  <c r="AY53" i="133"/>
  <c r="BA11" i="133"/>
  <c r="AZ50" i="133"/>
  <c r="AZ51" i="133" s="1"/>
  <c r="AZ12" i="133"/>
  <c r="AZ13" i="133" s="1"/>
  <c r="AZ94" i="133" s="1"/>
  <c r="AX53" i="133"/>
  <c r="AX83" i="133"/>
  <c r="AV29" i="133"/>
  <c r="AU143" i="133"/>
  <c r="AV30" i="133"/>
  <c r="AV36" i="133" s="1"/>
  <c r="AU40" i="133"/>
  <c r="AU75" i="133"/>
  <c r="AU77" i="133" s="1"/>
  <c r="K5" i="138"/>
  <c r="K12" i="138" s="1"/>
  <c r="K49" i="138"/>
  <c r="BB11" i="133" l="1"/>
  <c r="BA50" i="133"/>
  <c r="BA51" i="133" s="1"/>
  <c r="BA12" i="133"/>
  <c r="AZ83" i="133"/>
  <c r="AZ53" i="133"/>
  <c r="AZ84" i="133"/>
  <c r="AZ66" i="133"/>
  <c r="BB22" i="133"/>
  <c r="BA24" i="133"/>
  <c r="BA25" i="133" s="1"/>
  <c r="BA95" i="133" s="1"/>
  <c r="BA62" i="133"/>
  <c r="BA64" i="133" s="1"/>
  <c r="AZ97" i="133"/>
  <c r="AY94" i="133"/>
  <c r="AY84" i="133"/>
  <c r="AY66" i="133"/>
  <c r="AV143" i="133"/>
  <c r="AV75" i="133"/>
  <c r="AV77" i="133" s="1"/>
  <c r="AW30" i="133"/>
  <c r="AW36" i="133" s="1"/>
  <c r="AW29" i="133"/>
  <c r="AV40" i="133"/>
  <c r="AU79" i="133"/>
  <c r="AU85" i="133"/>
  <c r="AU86" i="133" s="1"/>
  <c r="AU90" i="133" s="1"/>
  <c r="L16" i="138"/>
  <c r="K51" i="138"/>
  <c r="AY97" i="133" l="1"/>
  <c r="BA84" i="133"/>
  <c r="BA66" i="133"/>
  <c r="BA13" i="133"/>
  <c r="BA83" i="133"/>
  <c r="BA53" i="133"/>
  <c r="BC22" i="133"/>
  <c r="BB24" i="133"/>
  <c r="BB25" i="133" s="1"/>
  <c r="BB95" i="133" s="1"/>
  <c r="BB62" i="133"/>
  <c r="BB64" i="133" s="1"/>
  <c r="BC11" i="133"/>
  <c r="BB50" i="133"/>
  <c r="BB51" i="133" s="1"/>
  <c r="BB12" i="133"/>
  <c r="BB13" i="133" s="1"/>
  <c r="BB94" i="133" s="1"/>
  <c r="AX30" i="133"/>
  <c r="AX36" i="133" s="1"/>
  <c r="AW75" i="133"/>
  <c r="AW77" i="133" s="1"/>
  <c r="AX29" i="133"/>
  <c r="AW40" i="133"/>
  <c r="AW143" i="133"/>
  <c r="AV85" i="133"/>
  <c r="AV86" i="133" s="1"/>
  <c r="AV90" i="133" s="1"/>
  <c r="AV79" i="133"/>
  <c r="L5" i="138"/>
  <c r="L12" i="138" s="1"/>
  <c r="L49" i="138"/>
  <c r="BB97" i="133" l="1"/>
  <c r="BA94" i="133"/>
  <c r="BB83" i="133"/>
  <c r="BB53" i="133"/>
  <c r="BD11" i="133"/>
  <c r="BC50" i="133"/>
  <c r="BC51" i="133" s="1"/>
  <c r="BC12" i="133"/>
  <c r="BC13" i="133" s="1"/>
  <c r="BC94" i="133" s="1"/>
  <c r="BB84" i="133"/>
  <c r="BB66" i="133"/>
  <c r="BC62" i="133"/>
  <c r="BC64" i="133" s="1"/>
  <c r="BD22" i="133"/>
  <c r="BC24" i="133"/>
  <c r="BC25" i="133" s="1"/>
  <c r="BC95" i="133" s="1"/>
  <c r="AW85" i="133"/>
  <c r="AW86" i="133" s="1"/>
  <c r="AW90" i="133" s="1"/>
  <c r="AW79" i="133"/>
  <c r="AX75" i="133"/>
  <c r="AX77" i="133" s="1"/>
  <c r="AY29" i="133"/>
  <c r="AX143" i="133"/>
  <c r="AX40" i="133"/>
  <c r="AY30" i="133"/>
  <c r="AY36" i="133" s="1"/>
  <c r="M16" i="138"/>
  <c r="L51" i="138"/>
  <c r="BC97" i="133" l="1"/>
  <c r="BC83" i="133"/>
  <c r="BC53" i="133"/>
  <c r="BD50" i="133"/>
  <c r="BD12" i="133"/>
  <c r="BE11" i="133"/>
  <c r="BD24" i="133"/>
  <c r="BD25" i="133" s="1"/>
  <c r="BD62" i="133"/>
  <c r="BE22" i="133"/>
  <c r="BE24" i="133" s="1"/>
  <c r="BC84" i="133"/>
  <c r="BC66" i="133"/>
  <c r="BA97" i="133"/>
  <c r="AY75" i="133"/>
  <c r="AY77" i="133" s="1"/>
  <c r="AZ29" i="133"/>
  <c r="AY143" i="133"/>
  <c r="AY40" i="133"/>
  <c r="AZ30" i="133"/>
  <c r="AZ36" i="133" s="1"/>
  <c r="AX79" i="133"/>
  <c r="AX85" i="133"/>
  <c r="AX86" i="133" s="1"/>
  <c r="AX90" i="133" s="1"/>
  <c r="M5" i="138"/>
  <c r="M12" i="138" s="1"/>
  <c r="M49" i="138"/>
  <c r="BD64" i="133" l="1"/>
  <c r="BE62" i="133"/>
  <c r="BE64" i="133" s="1"/>
  <c r="BE66" i="133" s="1"/>
  <c r="BD95" i="133"/>
  <c r="BE95" i="133" s="1"/>
  <c r="BE25" i="133"/>
  <c r="BD13" i="133"/>
  <c r="BE12" i="133"/>
  <c r="BD51" i="133"/>
  <c r="BE50" i="133"/>
  <c r="AZ40" i="133"/>
  <c r="BA30" i="133"/>
  <c r="BA36" i="133" s="1"/>
  <c r="BA29" i="133"/>
  <c r="AZ75" i="133"/>
  <c r="AZ77" i="133" s="1"/>
  <c r="AZ143" i="133"/>
  <c r="AY79" i="133"/>
  <c r="AY85" i="133"/>
  <c r="AY86" i="133" s="1"/>
  <c r="AY90" i="133" s="1"/>
  <c r="M51" i="138"/>
  <c r="N16" i="138"/>
  <c r="BD83" i="133" l="1"/>
  <c r="BE83" i="133" s="1"/>
  <c r="BD53" i="133"/>
  <c r="BE53" i="133" s="1"/>
  <c r="BE54" i="133" s="1"/>
  <c r="BE51" i="133"/>
  <c r="BD94" i="133"/>
  <c r="BE13" i="133"/>
  <c r="BD84" i="133"/>
  <c r="BE84" i="133" s="1"/>
  <c r="BD66" i="133"/>
  <c r="BE67" i="133" s="1"/>
  <c r="BB30" i="133"/>
  <c r="BB36" i="133" s="1"/>
  <c r="BB29" i="133"/>
  <c r="BA143" i="133"/>
  <c r="BA40" i="133"/>
  <c r="BA75" i="133"/>
  <c r="BA77" i="133" s="1"/>
  <c r="AZ79" i="133"/>
  <c r="AZ85" i="133"/>
  <c r="AZ86" i="133" s="1"/>
  <c r="AZ90" i="133" s="1"/>
  <c r="N5" i="138"/>
  <c r="N12" i="138" s="1"/>
  <c r="N49" i="138"/>
  <c r="N51" i="138" s="1"/>
  <c r="BD97" i="133" l="1"/>
  <c r="BE94" i="133"/>
  <c r="BE97" i="133" s="1"/>
  <c r="BE98" i="133" s="1"/>
  <c r="BA85" i="133"/>
  <c r="BA86" i="133" s="1"/>
  <c r="BA90" i="133" s="1"/>
  <c r="BA79" i="133"/>
  <c r="BC29" i="133"/>
  <c r="BB75" i="133"/>
  <c r="BB77" i="133" s="1"/>
  <c r="BB40" i="133"/>
  <c r="BC30" i="133"/>
  <c r="BC36" i="133" s="1"/>
  <c r="BB143" i="133"/>
  <c r="BC75" i="133" l="1"/>
  <c r="BC77" i="133" s="1"/>
  <c r="BD29" i="133"/>
  <c r="BC143" i="133"/>
  <c r="BC40" i="133"/>
  <c r="BD30" i="133"/>
  <c r="BE30" i="133" s="1"/>
  <c r="BE36" i="133" s="1"/>
  <c r="BB79" i="133"/>
  <c r="BB85" i="133"/>
  <c r="BB86" i="133" s="1"/>
  <c r="BB90" i="133" s="1"/>
  <c r="BD36" i="133" l="1"/>
  <c r="BC79" i="133"/>
  <c r="BC85" i="133"/>
  <c r="BC86" i="133" s="1"/>
  <c r="BC90" i="133" s="1"/>
  <c r="BD75" i="133" l="1"/>
  <c r="BD77" i="133" s="1"/>
  <c r="BD40" i="133"/>
  <c r="BD143" i="133"/>
  <c r="BE75" i="133"/>
  <c r="BE77" i="133" s="1"/>
  <c r="BE78" i="133" s="1"/>
  <c r="BE40" i="133" l="1"/>
  <c r="BD85" i="133"/>
  <c r="BD79" i="133"/>
  <c r="BE79" i="133" s="1"/>
  <c r="BE99" i="133" l="1"/>
  <c r="BE101" i="133" s="1"/>
  <c r="BE80" i="133"/>
  <c r="BD86" i="133"/>
  <c r="BD90" i="133" s="1"/>
  <c r="BE85" i="133"/>
  <c r="BE86" i="133" s="1"/>
  <c r="BE90" i="133" s="1"/>
  <c r="BE91" i="13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J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A17
</t>
        </r>
      </text>
    </comment>
    <comment ref="G110" authorId="0" shapeId="0" xr:uid="{00000000-0006-0000-0400-000002000000}">
      <text>
        <r>
          <rPr>
            <b/>
            <sz val="12"/>
            <color indexed="81"/>
            <rFont val="돋움"/>
            <family val="3"/>
            <charset val="129"/>
          </rPr>
          <t>연태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→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멕시코</t>
        </r>
        <r>
          <rPr>
            <b/>
            <sz val="12"/>
            <color indexed="81"/>
            <rFont val="Tahoma"/>
            <family val="2"/>
          </rPr>
          <t xml:space="preserve"> 
2026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가격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변동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有</t>
        </r>
      </text>
    </comment>
    <comment ref="X259" authorId="0" shapeId="0" xr:uid="{9798200D-0488-42A9-93FF-3E5A41C4FA74}">
      <text>
        <r>
          <rPr>
            <b/>
            <sz val="12"/>
            <color indexed="81"/>
            <rFont val="돋움"/>
            <family val="3"/>
            <charset val="129"/>
          </rPr>
          <t>셜리와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협의하여</t>
        </r>
        <r>
          <rPr>
            <b/>
            <sz val="12"/>
            <color indexed="81"/>
            <rFont val="Tahoma"/>
            <family val="2"/>
          </rPr>
          <t xml:space="preserve"> AR</t>
        </r>
        <r>
          <rPr>
            <b/>
            <sz val="12"/>
            <color indexed="81"/>
            <rFont val="돋움"/>
            <family val="3"/>
            <charset val="129"/>
          </rPr>
          <t>비용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 Lee</author>
    <author>LPC</author>
    <author>PT.THUY</author>
  </authors>
  <commentList>
    <comment ref="H34" authorId="0" shapeId="0" xr:uid="{00000000-0006-0000-0600-000001000000}">
      <text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상승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기간이익율</t>
        </r>
        <r>
          <rPr>
            <sz val="9"/>
            <color indexed="81"/>
            <rFont val="Tahoma"/>
            <family val="2"/>
          </rPr>
          <t xml:space="preserve"> 7% </t>
        </r>
        <r>
          <rPr>
            <sz val="9"/>
            <color indexed="81"/>
            <rFont val="돋움"/>
            <family val="3"/>
            <charset val="129"/>
          </rPr>
          <t>고려</t>
        </r>
      </text>
    </comment>
    <comment ref="AA73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LPC: LGIT PL compensation amount + mold fee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3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LPC:</t>
        </r>
        <r>
          <rPr>
            <sz val="9"/>
            <color indexed="81"/>
            <rFont val="Tahoma"/>
            <family val="2"/>
          </rPr>
          <t xml:space="preserve">
AL5#7, T6 bearing #2, 203A,207A #2</t>
        </r>
      </text>
    </comment>
    <comment ref="AD73" authorId="2" shapeId="0" xr:uid="{00000000-0006-0000-0600-000004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AL5 #8, Gen 2 #5, CL4 HS #3 #4 570W #3
</t>
        </r>
      </text>
    </comment>
    <comment ref="AE73" authorId="2" shapeId="0" xr:uid="{00000000-0006-0000-0600-000005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T6M6 #4, CL4 Cover #2 MQ4a Cover #2</t>
        </r>
      </text>
    </comment>
    <comment ref="AF73" authorId="2" shapeId="0" xr:uid="{00000000-0006-0000-0600-000006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MQ4a Housing #2 
T6 Bearing Plate #3
Cl4 Housing #5
</t>
        </r>
      </text>
    </comment>
    <comment ref="AY73" authorId="0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모터</t>
        </r>
        <r>
          <rPr>
            <b/>
            <sz val="9"/>
            <color indexed="81"/>
            <rFont val="Tahoma"/>
            <family val="2"/>
          </rPr>
          <t xml:space="preserve"> '24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25% </t>
        </r>
        <r>
          <rPr>
            <b/>
            <sz val="9"/>
            <color indexed="81"/>
            <rFont val="돋움"/>
            <family val="3"/>
            <charset val="129"/>
          </rPr>
          <t>증가로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32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
카메라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금형비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감안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Kang YeongKyu</author>
  </authors>
  <commentList>
    <comment ref="P268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</t>
        </r>
      </text>
    </comment>
    <comment ref="J280" authorId="1" shapeId="0" xr:uid="{00000000-0006-0000-0700-000002000000}">
      <text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3</t>
        </r>
        <r>
          <rPr>
            <b/>
            <sz val="14"/>
            <color indexed="81"/>
            <rFont val="돋움"/>
            <family val="3"/>
            <charset val="129"/>
          </rPr>
          <t xml:space="preserve">대
</t>
        </r>
        <r>
          <rPr>
            <b/>
            <sz val="14"/>
            <color indexed="81"/>
            <rFont val="Tahoma"/>
            <family val="2"/>
          </rPr>
          <t xml:space="preserve">Old </t>
        </r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2</t>
        </r>
        <r>
          <rPr>
            <b/>
            <sz val="14"/>
            <color indexed="81"/>
            <rFont val="돋움"/>
            <family val="3"/>
            <charset val="129"/>
          </rPr>
          <t>세트</t>
        </r>
      </text>
    </comment>
    <comment ref="P299" authorId="1" shapeId="0" xr:uid="{00000000-0006-0000-0700-000003000000}">
      <text>
        <r>
          <rPr>
            <b/>
            <sz val="12"/>
            <color indexed="81"/>
            <rFont val="돋움"/>
            <family val="3"/>
            <charset val="129"/>
          </rPr>
          <t>삼성</t>
        </r>
        <r>
          <rPr>
            <b/>
            <sz val="12"/>
            <color indexed="81"/>
            <rFont val="Tahoma"/>
            <family val="2"/>
          </rPr>
          <t xml:space="preserve"> CNC </t>
        </r>
        <r>
          <rPr>
            <b/>
            <sz val="12"/>
            <color indexed="81"/>
            <rFont val="돋움"/>
            <family val="3"/>
            <charset val="129"/>
          </rPr>
          <t>설비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제외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B174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 xml:space="preserve">퀄컴, LG
</t>
        </r>
      </text>
    </comment>
    <comment ref="B175" authorId="0" shapeId="0" xr:uid="{00000000-0006-0000-0800-000002000000}">
      <text>
        <r>
          <rPr>
            <b/>
            <sz val="9"/>
            <color indexed="81"/>
            <rFont val="돋움"/>
            <family val="3"/>
            <charset val="129"/>
          </rPr>
          <t>만도</t>
        </r>
        <r>
          <rPr>
            <b/>
            <sz val="9"/>
            <color indexed="81"/>
            <rFont val="Tahoma"/>
            <family val="2"/>
          </rPr>
          <t>, ZF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Windows 사용자</author>
    <author>ACC-PC01</author>
  </authors>
  <commentList>
    <comment ref="B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Roh chung hyun,kim young jin, Lee Choong jae, Choi Byeong Youn,kim seok ki, Lim Jae hong</t>
        </r>
      </text>
    </comment>
    <comment ref="B6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Kim dokun</t>
        </r>
      </text>
    </comment>
    <comment ref="B7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Noh Young jun, Kang yeong kyu</t>
        </r>
      </text>
    </comment>
    <comment ref="B9" authorId="0" shapeId="0" xr:uid="{00000000-0006-0000-0A00-000004000000}">
      <text>
        <r>
          <rPr>
            <b/>
            <sz val="9"/>
            <color indexed="81"/>
            <rFont val="돋움"/>
            <family val="3"/>
            <charset val="129"/>
          </rPr>
          <t>Lee Bong ki, Mr Koh</t>
        </r>
      </text>
    </comment>
    <comment ref="B10" authorId="0" shapeId="0" xr:uid="{00000000-0006-0000-0A00-000005000000}">
      <text>
        <r>
          <rPr>
            <b/>
            <sz val="9"/>
            <color indexed="81"/>
            <rFont val="돋움"/>
            <family val="3"/>
            <charset val="129"/>
          </rPr>
          <t>Yeong Dongil, Park seong oh,</t>
        </r>
      </text>
    </comment>
    <comment ref="B1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 xml:space="preserve">son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 xml:space="preserve">, Wang Shin </t>
        </r>
        <r>
          <rPr>
            <b/>
            <sz val="9"/>
            <color indexed="81"/>
            <rFont val="돋움"/>
            <family val="3"/>
            <charset val="129"/>
          </rPr>
          <t>과장</t>
        </r>
      </text>
    </comment>
    <comment ref="B17" authorId="1" shapeId="0" xr:uid="{00000000-0006-0000-0A00-000007000000}">
      <text>
        <r>
          <rPr>
            <b/>
            <sz val="9"/>
            <color indexed="81"/>
            <rFont val="Tahoma"/>
            <family val="2"/>
          </rPr>
          <t>Đức, Tấm, Dân, Chi, Tú.</t>
        </r>
      </text>
    </comment>
    <comment ref="B18" authorId="1" shapeId="0" xr:uid="{00000000-0006-0000-0A00-000008000000}">
      <text>
        <r>
          <rPr>
            <b/>
            <sz val="9"/>
            <color indexed="81"/>
            <rFont val="Tahoma"/>
            <family val="2"/>
          </rPr>
          <t xml:space="preserve">Hoa, Lương, Luân, Trọng, Cương, Đáo, Quang, Hà.
</t>
        </r>
      </text>
    </comment>
    <comment ref="B21" authorId="1" shapeId="0" xr:uid="{00000000-0006-0000-0A00-000009000000}">
      <text>
        <r>
          <rPr>
            <b/>
            <sz val="9"/>
            <color indexed="81"/>
            <rFont val="Tahoma"/>
            <family val="2"/>
          </rPr>
          <t xml:space="preserve">Mạnh, Chất
</t>
        </r>
      </text>
    </comment>
    <comment ref="B22" authorId="1" shapeId="0" xr:uid="{00000000-0006-0000-0A00-00000A000000}">
      <text>
        <r>
          <rPr>
            <b/>
            <sz val="9"/>
            <color indexed="81"/>
            <rFont val="Tahoma"/>
            <family val="2"/>
          </rPr>
          <t>Thủy ,Sơn, Tráng, Giang, Duyên, Duẩn, Cường, Sơn (CNC from Mar).</t>
        </r>
      </text>
    </comment>
    <comment ref="F53" authorId="1" shapeId="0" xr:uid="{00000000-0006-0000-0A00-00000B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N53" authorId="1" shapeId="0" xr:uid="{00000000-0006-0000-0A00-00000C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4" authorId="1" shapeId="0" xr:uid="{00000000-0006-0000-0A00-00000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G54" authorId="1" shapeId="0" xr:uid="{00000000-0006-0000-0A00-00000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5" authorId="1" shapeId="0" xr:uid="{00000000-0006-0000-0A00-00000F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K55" authorId="1" shapeId="0" xr:uid="{00000000-0006-0000-0A00-000010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59" authorId="2" shapeId="0" xr:uid="{00000000-0006-0000-0A00-000011000000}">
      <text>
        <r>
          <rPr>
            <sz val="9"/>
            <color indexed="81"/>
            <rFont val="Tahoma"/>
            <family val="2"/>
          </rPr>
          <t xml:space="preserve">wealfare expense m
</t>
        </r>
      </text>
    </comment>
    <comment ref="D64" authorId="2" shapeId="0" xr:uid="{00000000-0006-0000-0A00-000012000000}">
      <text>
        <r>
          <rPr>
            <sz val="9"/>
            <color indexed="81"/>
            <rFont val="Tahoma"/>
            <family val="2"/>
          </rPr>
          <t xml:space="preserve">
Atual salary Mr Koh 
reduces : 3k</t>
        </r>
      </text>
    </comment>
    <comment ref="D72" authorId="2" shapeId="0" xr:uid="{00000000-0006-0000-0A00-000013000000}">
      <text>
        <r>
          <rPr>
            <b/>
            <sz val="9"/>
            <color indexed="81"/>
            <rFont val="Tahoma"/>
            <family val="2"/>
          </rPr>
          <t>SHUI company pay: 21.5%</t>
        </r>
      </text>
    </comment>
    <comment ref="F117" authorId="1" shapeId="0" xr:uid="{00000000-0006-0000-0A00-000014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D12" authorId="0" shapeId="0" xr:uid="{00000000-0006-0000-0B00-00000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87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L87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8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E88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9" authorId="0" shapeId="0" xr:uid="{00000000-0006-0000-0B00-00000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89" authorId="0" shapeId="0" xr:uid="{00000000-0006-0000-0B00-00000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105" authorId="0" shapeId="0" xr:uid="{00000000-0006-0000-0B00-000008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임재홍</author>
    <author>Windows 사용자</author>
  </authors>
  <commentList>
    <comment ref="B5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U5" authorId="1" shapeId="0" xr:uid="{00000000-0006-0000-0C00-000002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H5" authorId="1" shapeId="0" xr:uid="{00000000-0006-0000-0C00-000003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U5" authorId="1" shapeId="0" xr:uid="{00000000-0006-0000-0C00-000004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B6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Kim dokun
Noh Young jun</t>
        </r>
      </text>
    </comment>
    <comment ref="B7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Kang yeong kyu
Oh Sang Hoon</t>
        </r>
      </text>
    </comment>
    <comment ref="F7" authorId="0" shapeId="0" xr:uid="{00000000-0006-0000-0C00-000007000000}">
      <text>
        <r>
          <rPr>
            <b/>
            <sz val="9"/>
            <color indexed="81"/>
            <rFont val="돋움"/>
            <family val="3"/>
            <charset val="129"/>
          </rPr>
          <t>신입사원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B9" authorId="0" shapeId="0" xr:uid="{00000000-0006-0000-0C00-000008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10" authorId="0" shapeId="0" xr:uid="{00000000-0006-0000-0C00-000009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T10" authorId="1" shapeId="0" xr:uid="{00000000-0006-0000-0C00-00000A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G10" authorId="1" shapeId="0" xr:uid="{00000000-0006-0000-0C00-00000B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T10" authorId="1" shapeId="0" xr:uid="{00000000-0006-0000-0C00-00000C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B11" authorId="0" shapeId="0" xr:uid="{00000000-0006-0000-0C00-00000D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AB11" authorId="2" shapeId="0" xr:uid="{00000000-0006-0000-0C00-00000E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11" authorId="2" shapeId="0" xr:uid="{00000000-0006-0000-0C00-00000F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B11" authorId="2" shapeId="0" xr:uid="{00000000-0006-0000-0C00-000010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7" authorId="2" shapeId="0" xr:uid="{00000000-0006-0000-0C00-000011000000}">
      <text>
        <r>
          <rPr>
            <b/>
            <sz val="9"/>
            <color indexed="81"/>
            <rFont val="Tahoma"/>
            <family val="2"/>
          </rPr>
          <t>Ngô Văn Đông Đức
Phùng Thị Tấm
Tạ Khánh Chi
Nguyễn Văn Tú
Nguyễn Viết Luân</t>
        </r>
      </text>
    </comment>
    <comment ref="B18" authorId="2" shapeId="0" xr:uid="{00000000-0006-0000-0C00-000012000000}">
      <text>
        <r>
          <rPr>
            <b/>
            <sz val="9"/>
            <color indexed="81"/>
            <rFont val="Tahoma"/>
            <family val="2"/>
          </rPr>
          <t>NGUYỄN THỊ HÀ
NGUYỄN DIỆU TIÊN
ĐỖ ĐÌNH QUANG
NGUYỄN VIẾT CƯƠNG
TRẦN THỊ THỦY
NGUYỄN THANH HÙNG
NGUYỄN TÀI MẠNH</t>
        </r>
      </text>
    </comment>
    <comment ref="V19" authorId="2" shapeId="0" xr:uid="{00000000-0006-0000-0C00-000013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I19" authorId="2" shapeId="0" xr:uid="{00000000-0006-0000-0C00-000014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V19" authorId="2" shapeId="0" xr:uid="{00000000-0006-0000-0C00-000015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21" authorId="2" shapeId="0" xr:uid="{00000000-0006-0000-0C00-000016000000}">
      <text>
        <r>
          <rPr>
            <b/>
            <sz val="9"/>
            <color indexed="81"/>
            <rFont val="Tahoma"/>
            <family val="2"/>
          </rPr>
          <t>Nguyễn Thế Duẩn
Nguyễn Văn Chất
Nguyễn Ngọc Mạnh
'V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GIANG
ĐÀO BÁ TRỌNG</t>
        </r>
      </text>
    </comment>
    <comment ref="B22" authorId="2" shapeId="0" xr:uid="{00000000-0006-0000-0C00-000017000000}">
      <text>
        <r>
          <rPr>
            <b/>
            <sz val="9"/>
            <color indexed="81"/>
            <rFont val="Tahoma"/>
            <family val="2"/>
          </rPr>
          <t>ĐỖ VĂN DUYÊN
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SƠN
TRẦN VĂN SƠN
TRỊNH ĐẮC CƯỜNG
NGUYỄN THẾ SAN
NGUYỄN ĐỨC TIẾN
TẠ ĐÌNH TRÁNG
VÕ BÌNH DƯƠNG
ĐÀO VĂN TÂN
NGUYỄN HỮU TUÂN
NGUYỄN VĂN ĐIỂM
</t>
        </r>
      </text>
    </comment>
    <comment ref="V23" authorId="2" shapeId="0" xr:uid="{00000000-0006-0000-0C00-000018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I23" authorId="2" shapeId="0" xr:uid="{00000000-0006-0000-0C00-000019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V23" authorId="2" shapeId="0" xr:uid="{00000000-0006-0000-0C00-00001A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B44" authorId="0" shapeId="0" xr:uid="{00000000-0006-0000-0C00-00001B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B45" authorId="0" shapeId="0" xr:uid="{00000000-0006-0000-0C00-00001C000000}">
      <text>
        <r>
          <rPr>
            <b/>
            <sz val="9"/>
            <color indexed="81"/>
            <rFont val="Tahoma"/>
            <family val="2"/>
          </rPr>
          <t>Kim dokun
Noh Young jun</t>
        </r>
      </text>
    </comment>
    <comment ref="B46" authorId="0" shapeId="0" xr:uid="{00000000-0006-0000-0C00-00001D000000}">
      <text>
        <r>
          <rPr>
            <b/>
            <sz val="9"/>
            <color indexed="81"/>
            <rFont val="Tahoma"/>
            <family val="2"/>
          </rPr>
          <t>Kang yeong kyu
Oh Sang Hoon</t>
        </r>
      </text>
    </comment>
    <comment ref="B48" authorId="0" shapeId="0" xr:uid="{00000000-0006-0000-0C00-00001E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49" authorId="0" shapeId="0" xr:uid="{00000000-0006-0000-0C00-00001F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B50" authorId="0" shapeId="0" xr:uid="{00000000-0006-0000-0C00-000020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G52" authorId="0" shapeId="0" xr:uid="{7B467A8F-DE87-4B88-89A9-80789FAE9BAA}">
      <text>
        <r>
          <rPr>
            <b/>
            <sz val="14"/>
            <color indexed="81"/>
            <rFont val="맑은 고딕"/>
            <family val="3"/>
            <charset val="129"/>
            <scheme val="major"/>
          </rPr>
          <t>한국 주재원 25년 퇴직금</t>
        </r>
      </text>
    </comment>
    <comment ref="Y63" authorId="2" shapeId="0" xr:uid="{00000000-0006-0000-0C00-000021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63" authorId="2" shapeId="0" xr:uid="{00000000-0006-0000-0C00-000022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63" authorId="2" shapeId="0" xr:uid="{00000000-0006-0000-0C00-000023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" authorId="2" shapeId="0" xr:uid="{00000000-0006-0000-0C00-000024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L75" authorId="2" shapeId="0" xr:uid="{00000000-0006-0000-0C00-000025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Y75" authorId="2" shapeId="0" xr:uid="{00000000-0006-0000-0C00-000026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R76" authorId="0" shapeId="0" xr:uid="{00000000-0006-0000-0C00-000027000000}">
      <text>
        <r>
          <rPr>
            <b/>
            <sz val="12"/>
            <color indexed="81"/>
            <rFont val="Tahoma"/>
            <family val="2"/>
          </rPr>
          <t>2027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지급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예정인</t>
        </r>
        <r>
          <rPr>
            <b/>
            <sz val="12"/>
            <color indexed="81"/>
            <rFont val="Tahoma"/>
            <family val="2"/>
          </rPr>
          <t xml:space="preserve"> 2026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보너스</t>
        </r>
      </text>
    </comment>
    <comment ref="G83" authorId="0" shapeId="0" xr:uid="{00000000-0006-0000-0C00-000028000000}">
      <text>
        <r>
          <rPr>
            <b/>
            <sz val="12"/>
            <color indexed="81"/>
            <rFont val="Tahoma"/>
            <family val="2"/>
          </rPr>
          <t>2025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퇴직금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지급</t>
        </r>
        <r>
          <rPr>
            <b/>
            <sz val="12"/>
            <color indexed="81"/>
            <rFont val="Tahoma"/>
            <family val="2"/>
          </rPr>
          <t xml:space="preserve"> $70,657 15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중</t>
        </r>
        <r>
          <rPr>
            <b/>
            <sz val="12"/>
            <color indexed="81"/>
            <rFont val="Tahoma"/>
            <family val="2"/>
          </rPr>
          <t xml:space="preserve"> 9</t>
        </r>
        <r>
          <rPr>
            <b/>
            <sz val="12"/>
            <color indexed="81"/>
            <rFont val="돋움"/>
            <family val="3"/>
            <charset val="129"/>
          </rPr>
          <t>명</t>
        </r>
      </text>
    </comment>
    <comment ref="G87" authorId="0" shapeId="0" xr:uid="{00000000-0006-0000-0C00-000029000000}">
      <text>
        <r>
          <rPr>
            <b/>
            <sz val="11"/>
            <color indexed="81"/>
            <rFont val="Tahoma"/>
            <family val="2"/>
          </rPr>
          <t>2025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퇴직금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지급</t>
        </r>
        <r>
          <rPr>
            <b/>
            <sz val="11"/>
            <color indexed="81"/>
            <rFont val="Tahoma"/>
            <family val="2"/>
          </rPr>
          <t xml:space="preserve"> $70,657 15</t>
        </r>
        <r>
          <rPr>
            <b/>
            <sz val="11"/>
            <color indexed="81"/>
            <rFont val="돋움"/>
            <family val="3"/>
            <charset val="129"/>
          </rPr>
          <t>명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중</t>
        </r>
        <r>
          <rPr>
            <b/>
            <sz val="11"/>
            <color indexed="81"/>
            <rFont val="Tahoma"/>
            <family val="2"/>
          </rPr>
          <t xml:space="preserve"> 6</t>
        </r>
        <r>
          <rPr>
            <b/>
            <sz val="11"/>
            <color indexed="81"/>
            <rFont val="돋움"/>
            <family val="3"/>
            <charset val="129"/>
          </rPr>
          <t>명</t>
        </r>
      </text>
    </comment>
    <comment ref="G108" authorId="0" shapeId="0" xr:uid="{00000000-0006-0000-0C00-00002A000000}">
      <text>
        <r>
          <rPr>
            <b/>
            <sz val="9"/>
            <color indexed="81"/>
            <rFont val="돋움"/>
            <family val="3"/>
            <charset val="129"/>
          </rPr>
          <t>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2/13~2/22
</t>
        </r>
      </text>
    </comment>
    <comment ref="R108" authorId="2" shapeId="0" xr:uid="{00000000-0006-0000-0C00-00002B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08" authorId="2" shapeId="0" xr:uid="{00000000-0006-0000-0C00-00002C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08" authorId="2" shapeId="0" xr:uid="{00000000-0006-0000-0C00-00002D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08" authorId="2" shapeId="0" xr:uid="{00000000-0006-0000-0C00-00002E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14" authorId="2" shapeId="0" xr:uid="{00000000-0006-0000-0C00-00002F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14" authorId="2" shapeId="0" xr:uid="{00000000-0006-0000-0C00-000030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14" authorId="2" shapeId="0" xr:uid="{00000000-0006-0000-0C00-00003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14" authorId="2" shapeId="0" xr:uid="{00000000-0006-0000-0C00-000032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25" authorId="2" shapeId="0" xr:uid="{00000000-0006-0000-0C00-000033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S125" authorId="2" shapeId="0" xr:uid="{00000000-0006-0000-0C00-000034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A125" authorId="2" shapeId="0" xr:uid="{00000000-0006-0000-0C00-000035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5" authorId="2" shapeId="0" xr:uid="{00000000-0006-0000-0C00-000036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N125" authorId="2" shapeId="0" xr:uid="{00000000-0006-0000-0C00-000037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5" authorId="2" shapeId="0" xr:uid="{00000000-0006-0000-0C00-000038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BA125" authorId="2" shapeId="0" xr:uid="{00000000-0006-0000-0C00-000039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6" authorId="2" shapeId="0" xr:uid="{00000000-0006-0000-0C00-00003A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S126" authorId="2" shapeId="0" xr:uid="{00000000-0006-0000-0C00-00003B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T126" authorId="2" shapeId="0" xr:uid="{00000000-0006-0000-0C00-00003C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6" authorId="2" shapeId="0" xr:uid="{00000000-0006-0000-0C00-00003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G126" authorId="2" shapeId="0" xr:uid="{00000000-0006-0000-0C00-00003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6" authorId="2" shapeId="0" xr:uid="{00000000-0006-0000-0C00-00003F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T126" authorId="2" shapeId="0" xr:uid="{00000000-0006-0000-0C00-000040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7" authorId="2" shapeId="0" xr:uid="{00000000-0006-0000-0C00-000041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27" authorId="2" shapeId="0" xr:uid="{00000000-0006-0000-0C00-000042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127" authorId="2" shapeId="0" xr:uid="{00000000-0006-0000-0C00-000043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7" authorId="2" shapeId="0" xr:uid="{00000000-0006-0000-0C00-000044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K127" authorId="2" shapeId="0" xr:uid="{00000000-0006-0000-0C00-000045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7" authorId="2" shapeId="0" xr:uid="{00000000-0006-0000-0C00-00004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X127" authorId="2" shapeId="0" xr:uid="{00000000-0006-0000-0C00-00004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Windows 사용자</author>
    <author>Kang YeongKyu</author>
  </authors>
  <commentList>
    <comment ref="D23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3" authorId="0" shapeId="0" xr:uid="{00000000-0006-0000-0D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가격(1~10월평균가) </t>
        </r>
      </text>
    </comment>
    <comment ref="D26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6" authorId="1" shapeId="0" xr:uid="{00000000-0006-0000-0D00-000004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29" authorId="1" shapeId="0" xr:uid="{00000000-0006-0000-0D00-000005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65" authorId="2" shapeId="0" xr:uid="{00000000-0006-0000-0D00-000006000000}">
      <text>
        <r>
          <rPr>
            <b/>
            <sz val="12"/>
            <color indexed="81"/>
            <rFont val="돋움"/>
            <family val="3"/>
            <charset val="129"/>
          </rPr>
          <t>물류비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포함</t>
        </r>
      </text>
    </comment>
    <comment ref="E66" authorId="2" shapeId="0" xr:uid="{00000000-0006-0000-0D00-000007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67" authorId="2" shapeId="0" xr:uid="{00000000-0006-0000-0D00-000008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Kang YeongKyu</author>
  </authors>
  <commentList>
    <comment ref="D1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11" authorId="0" shapeId="0" xr:uid="{00000000-0006-0000-0E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 $2.8 예상 </t>
        </r>
      </text>
    </comment>
    <comment ref="E60" authorId="1" shapeId="0" xr:uid="{00000000-0006-0000-0E00-000003000000}">
      <text>
        <r>
          <rPr>
            <b/>
            <sz val="9"/>
            <color indexed="81"/>
            <rFont val="Tahoma"/>
            <family val="2"/>
          </rPr>
          <t>원재료 현금 구매로 추가 대출 $50만</t>
        </r>
      </text>
    </comment>
    <comment ref="L62" authorId="1" shapeId="0" xr:uid="{00000000-0006-0000-0E00-000004000000}">
      <text>
        <r>
          <rPr>
            <b/>
            <sz val="9"/>
            <color indexed="81"/>
            <rFont val="Tahoma"/>
            <family val="2"/>
          </rPr>
          <t>원금 24개월 기준 월 $33,333(원금) +  $5,333(이자) X2 
월 $77,332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임재홍</author>
  </authors>
  <commentList>
    <comment ref="G33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34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35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36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  <comment ref="G52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53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54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55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  <comment ref="H57" authorId="1" shapeId="0" xr:uid="{00000000-0006-0000-0F00-000009000000}">
      <text>
        <r>
          <rPr>
            <b/>
            <sz val="9"/>
            <color indexed="81"/>
            <rFont val="돋움"/>
            <family val="3"/>
            <charset val="129"/>
          </rPr>
          <t>기존단가</t>
        </r>
        <r>
          <rPr>
            <b/>
            <sz val="9"/>
            <color indexed="81"/>
            <rFont val="Tahoma"/>
            <family val="2"/>
          </rPr>
          <t xml:space="preserve"> 9250 
</t>
        </r>
        <r>
          <rPr>
            <b/>
            <sz val="9"/>
            <color indexed="81"/>
            <rFont val="돋움"/>
            <family val="3"/>
            <charset val="129"/>
          </rPr>
          <t>단가인하</t>
        </r>
        <r>
          <rPr>
            <b/>
            <sz val="9"/>
            <color indexed="81"/>
            <rFont val="Tahoma"/>
            <family val="2"/>
          </rPr>
          <t xml:space="preserve"> : 6500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Kang YeongKyu</author>
    <author>ACC-PC01</author>
  </authors>
  <commentList>
    <comment ref="D13" authorId="0" shapeId="0" xr:uid="{00000000-0006-0000-1000-000001000000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5" authorId="1" shapeId="0" xr:uid="{00000000-0006-0000-1000-000002000000}">
      <text>
        <r>
          <rPr>
            <b/>
            <sz val="11"/>
            <color indexed="81"/>
            <rFont val="맑은 고딕"/>
            <family val="3"/>
            <charset val="129"/>
          </rPr>
          <t>SG MCT 18K + 외주창고  및 지게차</t>
        </r>
      </text>
    </comment>
    <comment ref="D46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분기별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$10,000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G46" authorId="1" shapeId="0" xr:uid="{00000000-0006-0000-1000-000004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J46" authorId="1" shapeId="0" xr:uid="{00000000-0006-0000-1000-000005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M46" authorId="1" shapeId="0" xr:uid="{00000000-0006-0000-1000-000006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P46" authorId="1" shapeId="0" xr:uid="{00000000-0006-0000-1000-000007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D47" authorId="2" shapeId="0" xr:uid="{00000000-0006-0000-1000-000008000000}">
      <text>
        <r>
          <rPr>
            <b/>
            <sz val="9"/>
            <color indexed="81"/>
            <rFont val="Tahoma"/>
            <family val="2"/>
          </rPr>
          <t>warehouse fee for hyosung gen5 s.block 
$0.109 x monthly qty</t>
        </r>
      </text>
    </comment>
    <comment ref="D51" authorId="0" shapeId="0" xr:uid="{00000000-0006-0000-1000-000009000000}">
      <text>
        <r>
          <rPr>
            <b/>
            <sz val="9"/>
            <color indexed="81"/>
            <rFont val="돋움"/>
            <family val="3"/>
            <charset val="129"/>
          </rPr>
          <t>외부창고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해지</t>
        </r>
      </text>
    </comment>
    <comment ref="D55" authorId="1" shapeId="0" xr:uid="{00000000-0006-0000-1000-00000A000000}">
      <text>
        <r>
          <rPr>
            <b/>
            <sz val="9"/>
            <color indexed="81"/>
            <rFont val="Tahoma"/>
            <family val="2"/>
          </rPr>
          <t>Included WHT (VMI)</t>
        </r>
      </text>
    </comment>
    <comment ref="D59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</text>
    </comment>
    <comment ref="D60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</text>
    </comment>
    <comment ref="D6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</text>
    </comment>
    <comment ref="D62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>/$
1.02</t>
        </r>
      </text>
    </comment>
    <comment ref="D63" authorId="0" shapeId="0" xr:uid="{00000000-0006-0000-1000-00000F000000}">
      <text>
        <r>
          <rPr>
            <b/>
            <sz val="9"/>
            <color indexed="81"/>
            <rFont val="돋움"/>
            <family val="3"/>
            <charset val="129"/>
          </rPr>
          <t>자녀수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Net $6,500/1</t>
        </r>
        <r>
          <rPr>
            <b/>
            <sz val="9"/>
            <color indexed="81"/>
            <rFont val="돋움"/>
            <family val="3"/>
            <charset val="129"/>
          </rPr>
          <t>명당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$50,050 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65" authorId="0" shapeId="0" xr:uid="{00000000-0006-0000-1000-000010000000}">
      <text>
        <r>
          <rPr>
            <b/>
            <sz val="9"/>
            <color indexed="81"/>
            <rFont val="Tahoma"/>
            <family val="2"/>
          </rPr>
          <t xml:space="preserve">GA </t>
        </r>
        <r>
          <rPr>
            <b/>
            <sz val="9"/>
            <color indexed="81"/>
            <rFont val="돋움"/>
            <family val="3"/>
            <charset val="129"/>
          </rPr>
          <t>사무용품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음료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생수</t>
        </r>
        <r>
          <rPr>
            <b/>
            <sz val="9"/>
            <color indexed="81"/>
            <rFont val="Tahoma"/>
            <family val="2"/>
          </rPr>
          <t xml:space="preserve">/R&amp;D </t>
        </r>
        <r>
          <rPr>
            <b/>
            <sz val="9"/>
            <color indexed="81"/>
            <rFont val="돋움"/>
            <family val="3"/>
            <charset val="129"/>
          </rPr>
          <t xml:space="preserve">비용
</t>
        </r>
        <r>
          <rPr>
            <b/>
            <sz val="9"/>
            <color indexed="81"/>
            <rFont val="Tahoma"/>
            <family val="2"/>
          </rPr>
          <t>(24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1~8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사용비율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0.41%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H6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2025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</text>
    </comment>
    <comment ref="H15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</text>
    </comment>
    <comment ref="K15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</text>
    </comment>
    <comment ref="H16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</text>
    </comment>
    <comment ref="K16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</text>
    </comment>
    <comment ref="G19" authorId="0" shapeId="0" xr:uid="{DB4C4DEF-7C2B-47A7-818E-4622ACDF0BCF}">
      <text>
        <r>
          <rPr>
            <b/>
            <sz val="11"/>
            <color indexed="81"/>
            <rFont val="Tahoma"/>
            <family val="2"/>
          </rPr>
          <t>2025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$1.4</t>
        </r>
        <r>
          <rPr>
            <b/>
            <sz val="11"/>
            <color indexed="81"/>
            <rFont val="돋움"/>
            <family val="3"/>
            <charset val="129"/>
          </rPr>
          <t>만</t>
        </r>
      </text>
    </comment>
    <comment ref="G24" authorId="0" shapeId="0" xr:uid="{00000000-0006-0000-1100-000007000000}">
      <text>
        <r>
          <rPr>
            <b/>
            <sz val="11"/>
            <color indexed="81"/>
            <rFont val="Tahoma"/>
            <family val="2"/>
          </rPr>
          <t>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3</t>
        </r>
        <r>
          <rPr>
            <b/>
            <sz val="11"/>
            <color indexed="81"/>
            <rFont val="돋움"/>
            <family val="3"/>
            <charset val="129"/>
          </rPr>
          <t>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구매분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잔액</t>
        </r>
      </text>
    </comment>
    <comment ref="H27" authorId="0" shapeId="0" xr:uid="{00000000-0006-0000-1100-000008000000}">
      <text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70%
</t>
        </r>
      </text>
    </comment>
    <comment ref="H28" authorId="0" shapeId="0" xr:uid="{00000000-0006-0000-1100-000009000000}">
      <text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70%</t>
        </r>
      </text>
    </comment>
    <comment ref="H48" authorId="0" shapeId="0" xr:uid="{BEA77FDA-0D9A-4F59-B496-D842B581E40C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K48" authorId="0" shapeId="0" xr:uid="{1B5C8DFB-12EA-45FF-BEB3-D155402A461B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M48" authorId="0" shapeId="0" xr:uid="{86CC20BE-EF08-40E4-A225-57FC1443E564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O48" authorId="0" shapeId="0" xr:uid="{5AE9F19F-8DCB-4C72-A9CF-8FE72E90ECAA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대
</t>
        </r>
      </text>
    </comment>
    <comment ref="H49" authorId="0" shapeId="0" xr:uid="{0D668FBF-5915-4A26-B620-A2B9B1B0277B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K49" authorId="0" shapeId="0" xr:uid="{E7C03812-FBB6-4F59-B8BE-2B96BBEE6D9D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대
</t>
        </r>
      </text>
    </comment>
    <comment ref="G50" authorId="0" shapeId="0" xr:uid="{00000000-0006-0000-1100-00000E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급액</t>
        </r>
        <r>
          <rPr>
            <b/>
            <sz val="9"/>
            <color indexed="81"/>
            <rFont val="Tahoma"/>
            <family val="2"/>
          </rPr>
          <t xml:space="preserve"> $110,588</t>
        </r>
      </text>
    </comment>
    <comment ref="G51" authorId="0" shapeId="0" xr:uid="{00000000-0006-0000-1100-00000F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급액</t>
        </r>
        <r>
          <rPr>
            <b/>
            <sz val="9"/>
            <color indexed="81"/>
            <rFont val="Tahoma"/>
            <family val="2"/>
          </rPr>
          <t xml:space="preserve"> $61,250</t>
        </r>
      </text>
    </comment>
    <comment ref="G52" authorId="0" shapeId="0" xr:uid="{00000000-0006-0000-1100-000010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$112,000</t>
        </r>
      </text>
    </comment>
    <comment ref="G53" authorId="0" shapeId="0" xr:uid="{00000000-0006-0000-1100-000011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$71,200</t>
        </r>
      </text>
    </comment>
    <comment ref="G54" authorId="0" shapeId="0" xr:uid="{00000000-0006-0000-1100-000012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$32,061</t>
        </r>
      </text>
    </comment>
    <comment ref="H59" authorId="0" shapeId="0" xr:uid="{00000000-0006-0000-1100-000013000000}">
      <text>
        <r>
          <rPr>
            <b/>
            <sz val="11"/>
            <color indexed="81"/>
            <rFont val="Tahoma"/>
            <family val="2"/>
          </rPr>
          <t>25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$7.1</t>
        </r>
        <r>
          <rPr>
            <b/>
            <sz val="11"/>
            <color indexed="81"/>
            <rFont val="돋움"/>
            <family val="3"/>
            <charset val="129"/>
          </rPr>
          <t xml:space="preserve">만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B9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부가세 (VAT) 5% 
대행 (CIT) 5%
</t>
        </r>
      </text>
    </comment>
    <comment ref="B14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CNC 40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* $400,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$16,000</t>
        </r>
      </text>
    </comment>
    <comment ref="B15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400Ton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$2,500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B13" authorId="0" shapeId="0" xr:uid="{00000000-0006-0000-1400-000001000000}">
      <text>
        <r>
          <rPr>
            <sz val="11"/>
            <color indexed="81"/>
            <rFont val="맑은 고딕"/>
            <family val="3"/>
            <charset val="129"/>
            <scheme val="major"/>
          </rPr>
          <t>UV Line 설비 처리
몇개월에 걸쳐 진행 불가능
1번에 정리 필요 
$380,653</t>
        </r>
      </text>
    </comment>
    <comment ref="D15" authorId="0" shapeId="0" xr:uid="{00000000-0006-0000-1400-000002000000}">
      <text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만불에서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월에</t>
        </r>
        <r>
          <rPr>
            <sz val="11"/>
            <color indexed="81"/>
            <rFont val="Tahoma"/>
            <family val="2"/>
          </rPr>
          <t xml:space="preserve"> UV</t>
        </r>
        <r>
          <rPr>
            <sz val="11"/>
            <color indexed="81"/>
            <rFont val="돋움"/>
            <family val="3"/>
            <charset val="129"/>
          </rPr>
          <t>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정리시</t>
        </r>
        <r>
          <rPr>
            <sz val="11"/>
            <color indexed="81"/>
            <rFont val="Tahoma"/>
            <family val="2"/>
          </rPr>
          <t>3.4</t>
        </r>
        <r>
          <rPr>
            <sz val="11"/>
            <color indexed="81"/>
            <rFont val="돋움"/>
            <family val="3"/>
            <charset val="129"/>
          </rPr>
          <t>만으로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감소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ACC-PC01</author>
    <author>Windows 사용자</author>
  </authors>
  <commentList>
    <comment ref="C16" authorId="0" shapeId="0" xr:uid="{00000000-0006-0000-15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2025년 디파짓 금액 초기 금액으로 적용</t>
        </r>
      </text>
    </comment>
    <comment ref="M23" authorId="1" shapeId="0" xr:uid="{00000000-0006-0000-1500-000002000000}">
      <text>
        <r>
          <rPr>
            <b/>
            <sz val="9"/>
            <color indexed="81"/>
            <rFont val="Tahoma"/>
            <family val="2"/>
          </rPr>
          <t>VAT refund</t>
        </r>
      </text>
    </comment>
    <comment ref="B33" authorId="1" shapeId="0" xr:uid="{00000000-0006-0000-1500-000003000000}">
      <text>
        <r>
          <rPr>
            <b/>
            <sz val="9"/>
            <color indexed="81"/>
            <rFont val="Tahoma"/>
            <family val="2"/>
          </rPr>
          <t>Apr ( Insurance +PIT+Salary)</t>
        </r>
      </text>
    </comment>
    <comment ref="D33" authorId="1" shapeId="0" xr:uid="{00000000-0006-0000-1500-000004000000}">
      <text>
        <r>
          <rPr>
            <sz val="12"/>
            <color indexed="81"/>
            <rFont val="맑은 고딕"/>
            <family val="3"/>
            <charset val="129"/>
            <scheme val="major"/>
          </rPr>
          <t>estimate severance pay 2025:
VN: 193,486
Korean: 62,337</t>
        </r>
      </text>
    </comment>
    <comment ref="I35" authorId="1" shapeId="0" xr:uid="{00000000-0006-0000-1500-000005000000}">
      <text>
        <r>
          <rPr>
            <b/>
            <sz val="9"/>
            <color indexed="81"/>
            <rFont val="Tahoma"/>
            <family val="2"/>
          </rPr>
          <t>Rental machine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" authorId="1" shapeId="0" xr:uid="{00000000-0006-0000-1500-000006000000}">
      <text>
        <r>
          <rPr>
            <b/>
            <sz val="9"/>
            <color indexed="81"/>
            <rFont val="Tahoma"/>
            <family val="2"/>
          </rPr>
          <t>Meal+tuisonfee +Wealfare</t>
        </r>
      </text>
    </comment>
    <comment ref="B37" authorId="2" shapeId="0" xr:uid="{00000000-0006-0000-1500-000007000000}">
      <text>
        <r>
          <rPr>
            <b/>
            <sz val="12"/>
            <color indexed="81"/>
            <rFont val="돋움"/>
            <family val="3"/>
            <charset val="129"/>
          </rPr>
          <t>25년도 평균 금액 반영</t>
        </r>
      </text>
    </comment>
    <comment ref="H41" authorId="0" shapeId="0" xr:uid="{00000000-0006-0000-1500-000008000000}">
      <text>
        <r>
          <rPr>
            <b/>
            <sz val="11"/>
            <color indexed="81"/>
            <rFont val="맑은 고딕"/>
            <family val="3"/>
            <charset val="129"/>
            <scheme val="major"/>
          </rPr>
          <t>Clear off Priciple contract
Lathe CNC Machine
CNC Machine
Alumium recycle
Die-casting 
X-Ray
Total 567k</t>
        </r>
      </text>
    </comment>
    <comment ref="E44" authorId="0" shapeId="0" xr:uid="{00000000-0006-0000-1500-000009000000}">
      <text>
        <r>
          <rPr>
            <b/>
            <sz val="14"/>
            <color indexed="81"/>
            <rFont val="Tahoma"/>
            <family val="2"/>
          </rPr>
          <t xml:space="preserve">M&amp;C </t>
        </r>
        <r>
          <rPr>
            <b/>
            <sz val="14"/>
            <color indexed="81"/>
            <rFont val="맑은 고딕"/>
            <family val="2"/>
            <charset val="129"/>
          </rPr>
          <t>전사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체육대회</t>
        </r>
        <r>
          <rPr>
            <b/>
            <sz val="14"/>
            <color indexed="81"/>
            <rFont val="Tahoma"/>
            <family val="2"/>
          </rPr>
          <t xml:space="preserve">  $20,000 
</t>
        </r>
        <r>
          <rPr>
            <b/>
            <sz val="14"/>
            <color indexed="81"/>
            <rFont val="맑은 고딕"/>
            <family val="2"/>
            <charset val="129"/>
          </rPr>
          <t>국제여성의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날</t>
        </r>
        <r>
          <rPr>
            <b/>
            <sz val="14"/>
            <color indexed="81"/>
            <rFont val="Tahoma"/>
            <family val="2"/>
          </rPr>
          <t xml:space="preserve">(3/8) </t>
        </r>
        <r>
          <rPr>
            <b/>
            <sz val="14"/>
            <color indexed="81"/>
            <rFont val="맑은 고딕"/>
            <family val="2"/>
            <charset val="129"/>
          </rPr>
          <t>기념행사</t>
        </r>
        <r>
          <rPr>
            <b/>
            <sz val="14"/>
            <color indexed="81"/>
            <rFont val="Tahoma"/>
            <family val="2"/>
          </rPr>
          <t xml:space="preserve">  $5,000 
CEO</t>
        </r>
        <r>
          <rPr>
            <b/>
            <sz val="14"/>
            <color indexed="81"/>
            <rFont val="맑은 고딕"/>
            <family val="2"/>
            <charset val="129"/>
          </rPr>
          <t>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간부의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밤</t>
        </r>
        <r>
          <rPr>
            <b/>
            <sz val="14"/>
            <color indexed="81"/>
            <rFont val="Tahoma"/>
            <family val="2"/>
          </rPr>
          <t xml:space="preserve">1  $1,000 </t>
        </r>
      </text>
    </comment>
    <comment ref="F44" authorId="0" shapeId="0" xr:uid="{00000000-0006-0000-1500-00000A000000}">
      <text>
        <r>
          <rPr>
            <b/>
            <sz val="12"/>
            <color indexed="81"/>
            <rFont val="돋움"/>
            <family val="3"/>
            <charset val="129"/>
          </rPr>
          <t>부서장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워크숍</t>
        </r>
        <r>
          <rPr>
            <b/>
            <sz val="12"/>
            <color indexed="81"/>
            <rFont val="Tahoma"/>
            <family val="2"/>
          </rPr>
          <t xml:space="preserve"> $10,000
</t>
        </r>
        <r>
          <rPr>
            <b/>
            <sz val="12"/>
            <color indexed="81"/>
            <rFont val="돋움"/>
            <family val="3"/>
            <charset val="129"/>
          </rPr>
          <t xml:space="preserve">
반기별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사내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프로그램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합창대회</t>
        </r>
        <r>
          <rPr>
            <b/>
            <sz val="12"/>
            <color indexed="81"/>
            <rFont val="Tahoma"/>
            <family val="2"/>
          </rPr>
          <t>)  $ 3,000</t>
        </r>
      </text>
    </comment>
    <comment ref="G44" authorId="0" shapeId="0" xr:uid="{00000000-0006-0000-1500-00000B000000}">
      <text>
        <r>
          <rPr>
            <b/>
            <sz val="12"/>
            <color indexed="81"/>
            <rFont val="돋움"/>
            <family val="3"/>
            <charset val="129"/>
          </rPr>
          <t>전사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축구대회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부서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대항</t>
        </r>
        <r>
          <rPr>
            <b/>
            <sz val="12"/>
            <color indexed="81"/>
            <rFont val="Tahoma"/>
            <family val="2"/>
          </rPr>
          <t>)  $    4,000</t>
        </r>
      </text>
    </comment>
    <comment ref="H44" authorId="0" shapeId="0" xr:uid="{00000000-0006-0000-1500-00000C000000}">
      <text>
        <r>
          <rPr>
            <b/>
            <sz val="12"/>
            <color indexed="81"/>
            <rFont val="Tahoma"/>
            <family val="2"/>
          </rPr>
          <t>CEO</t>
        </r>
        <r>
          <rPr>
            <b/>
            <sz val="12"/>
            <color indexed="81"/>
            <rFont val="돋움"/>
            <family val="3"/>
            <charset val="129"/>
          </rPr>
          <t>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2 2,000</t>
        </r>
        <r>
          <rPr>
            <b/>
            <sz val="12"/>
            <color indexed="81"/>
            <rFont val="돋움"/>
            <family val="3"/>
            <charset val="129"/>
          </rPr>
          <t>달러</t>
        </r>
      </text>
    </comment>
    <comment ref="J44" authorId="0" shapeId="0" xr:uid="{00000000-0006-0000-1500-00000D000000}">
      <text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자녀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장학금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수여식</t>
        </r>
        <r>
          <rPr>
            <b/>
            <sz val="12"/>
            <color indexed="81"/>
            <rFont val="Tahoma"/>
            <family val="2"/>
          </rPr>
          <t xml:space="preserve">  $  10,000 
</t>
        </r>
        <r>
          <rPr>
            <b/>
            <sz val="12"/>
            <color indexed="81"/>
            <rFont val="돋움"/>
            <family val="3"/>
            <charset val="129"/>
          </rPr>
          <t>주재원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워크샾</t>
        </r>
        <r>
          <rPr>
            <b/>
            <sz val="12"/>
            <color indexed="81"/>
            <rFont val="Tahoma"/>
            <family val="2"/>
          </rPr>
          <t xml:space="preserve"> $ 15,000 CEO</t>
        </r>
        <r>
          <rPr>
            <b/>
            <sz val="12"/>
            <color indexed="81"/>
            <rFont val="돋움"/>
            <family val="3"/>
            <charset val="129"/>
          </rPr>
          <t>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2 $2,000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L44" authorId="0" shapeId="0" xr:uid="{00000000-0006-0000-1500-00000E000000}">
      <text>
        <r>
          <rPr>
            <b/>
            <sz val="12"/>
            <color indexed="81"/>
            <rFont val="돋움"/>
            <family val="3"/>
            <charset val="129"/>
          </rPr>
          <t xml:space="preserve">회사 창립 기념일 $10,000
베트남 여성의 날 $5,000
</t>
        </r>
      </text>
    </comment>
    <comment ref="M44" authorId="0" shapeId="0" xr:uid="{00000000-0006-0000-1500-00000F000000}">
      <text>
        <r>
          <rPr>
            <b/>
            <sz val="12"/>
            <color indexed="81"/>
            <rFont val="돋움"/>
            <family val="3"/>
            <charset val="129"/>
          </rPr>
          <t>전 직원 1일 여행 프로그램 $50,000</t>
        </r>
      </text>
    </comment>
    <comment ref="N44" authorId="0" shapeId="0" xr:uid="{00000000-0006-0000-1500-000010000000}">
      <text>
        <r>
          <rPr>
            <b/>
            <sz val="12"/>
            <color indexed="81"/>
            <rFont val="돋움"/>
            <family val="3"/>
            <charset val="129"/>
          </rPr>
          <t>CEO와 간부의 밤2 $2,000
우수사원 수상 $7,000
$임원 및 간부 가족 동반 연말 행사 $100,000</t>
        </r>
      </text>
    </comment>
    <comment ref="C45" authorId="0" shapeId="0" xr:uid="{00000000-0006-0000-1500-000011000000}">
      <text>
        <r>
          <rPr>
            <b/>
            <sz val="9"/>
            <color indexed="81"/>
            <rFont val="돋움"/>
            <family val="3"/>
            <charset val="129"/>
          </rPr>
          <t>배당금</t>
        </r>
        <r>
          <rPr>
            <b/>
            <sz val="9"/>
            <color indexed="81"/>
            <rFont val="Tahoma"/>
            <family val="2"/>
          </rPr>
          <t xml:space="preserve"> 500K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N45" authorId="0" shapeId="0" xr:uid="{00000000-0006-0000-1500-000012000000}">
      <text>
        <r>
          <rPr>
            <b/>
            <sz val="9"/>
            <color indexed="81"/>
            <rFont val="돋움"/>
            <family val="3"/>
            <charset val="129"/>
          </rPr>
          <t>배당금</t>
        </r>
        <r>
          <rPr>
            <b/>
            <sz val="9"/>
            <color indexed="81"/>
            <rFont val="Tahoma"/>
            <family val="2"/>
          </rPr>
          <t xml:space="preserve"> 1M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E4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VND convers with 25k</t>
        </r>
      </text>
    </comment>
    <comment ref="J4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Base on balance at Jul</t>
        </r>
      </text>
    </comment>
    <comment ref="P24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New exchange:25.5</t>
        </r>
      </text>
    </comment>
    <comment ref="E28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VND convers with 25k</t>
        </r>
      </text>
    </comment>
    <comment ref="J28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Base on balance at Jul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M14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Only reference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  <author>Windows 사용자</author>
    <author>CHI</author>
  </authors>
  <commentList>
    <comment ref="G23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Mr Kim:63.830$ (1.5B)
Mr Noh:42.553$ (1B)</t>
        </r>
      </text>
    </comment>
    <comment ref="I23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Mr Choi:20.425 (480M)
Mr Roh:46,708$ (1.1B)</t>
        </r>
      </text>
    </comment>
    <comment ref="L23" authorId="1" shapeId="0" xr:uid="{00000000-0006-0000-1A00-000003000000}">
      <text>
        <r>
          <rPr>
            <b/>
            <sz val="9"/>
            <color indexed="81"/>
            <rFont val="Tahoma"/>
            <family val="2"/>
          </rPr>
          <t>Mr.Roh APT Loan  $208,333</t>
        </r>
      </text>
    </comment>
    <comment ref="M23" authorId="1" shapeId="0" xr:uid="{00000000-0006-0000-1A00-000004000000}">
      <text>
        <r>
          <rPr>
            <b/>
            <sz val="9"/>
            <color indexed="81"/>
            <rFont val="돋움"/>
            <family val="3"/>
            <charset val="129"/>
          </rPr>
          <t>Sell off Singapore Office</t>
        </r>
      </text>
    </comment>
    <comment ref="N23" authorId="2" shapeId="0" xr:uid="{00000000-0006-0000-1A00-000005000000}">
      <text>
        <r>
          <rPr>
            <b/>
            <sz val="9"/>
            <color indexed="81"/>
            <rFont val="Tahoma"/>
            <family val="2"/>
          </rPr>
          <t xml:space="preserve">Sell Casting 900ton </t>
        </r>
      </text>
    </comment>
    <comment ref="C24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VAT refund: 666k
Subsidise SS, Advance Hanwa: 157k</t>
        </r>
      </text>
    </comment>
    <comment ref="G24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Subsidise from Samsung Korea : 1.384
Refund rental fee Mr Lee Bong ki:633</t>
        </r>
      </text>
    </comment>
    <comment ref="M24" authorId="2" shapeId="0" xr:uid="{00000000-0006-0000-1A00-000008000000}">
      <text>
        <r>
          <rPr>
            <b/>
            <sz val="9"/>
            <color indexed="81"/>
            <rFont val="Tahoma"/>
            <family val="2"/>
          </rPr>
          <t>VAT Refund</t>
        </r>
      </text>
    </comment>
    <comment ref="C26" authorId="2" shapeId="0" xr:uid="{00000000-0006-0000-1A00-000009000000}">
      <text>
        <r>
          <rPr>
            <b/>
            <sz val="9"/>
            <color indexed="81"/>
            <rFont val="Tahoma"/>
            <family val="2"/>
          </rPr>
          <t xml:space="preserve">Reducing AP: 346K
</t>
        </r>
      </text>
    </comment>
    <comment ref="D27" authorId="3" shapeId="0" xr:uid="{00000000-0006-0000-1A00-00000A000000}">
      <text>
        <r>
          <rPr>
            <b/>
            <sz val="9"/>
            <color indexed="81"/>
            <rFont val="Tahoma"/>
            <family val="2"/>
          </rPr>
          <t>CHI:</t>
        </r>
        <r>
          <rPr>
            <sz val="9"/>
            <color indexed="81"/>
            <rFont val="Tahoma"/>
            <family val="2"/>
          </rPr>
          <t xml:space="preserve">
No pay MC Korea </t>
        </r>
      </text>
    </comment>
    <comment ref="H27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Paid exxpense in May in 1.Jun</t>
        </r>
      </text>
    </comment>
    <comment ref="G29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5 CNC- 110K
Dukin: 14k MC (20%)
             -35k  (50%)Sacom</t>
        </r>
      </text>
    </comment>
    <comment ref="H29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10 CNC :22k.700</t>
        </r>
      </text>
    </comment>
    <comment ref="I32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10 CNC</t>
        </r>
      </text>
    </comment>
    <comment ref="C33" authorId="0" shapeId="0" xr:uid="{00000000-0006-0000-1A00-00000F000000}">
      <text>
        <r>
          <rPr>
            <b/>
            <sz val="9"/>
            <color indexed="81"/>
            <rFont val="Tahoma"/>
            <family val="2"/>
          </rPr>
          <t>Bonus VN:$18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ok </t>
        </r>
      </text>
    </comment>
    <comment ref="D33" authorId="0" shapeId="0" xr:uid="{00000000-0006-0000-1A00-000010000000}">
      <text>
        <r>
          <rPr>
            <b/>
            <sz val="9"/>
            <color indexed="81"/>
            <rFont val="Tahoma"/>
            <family val="2"/>
          </rPr>
          <t>Pospone VN salary 1.Feb.23</t>
        </r>
      </text>
    </comment>
    <comment ref="N33" authorId="2" shapeId="0" xr:uid="{00000000-0006-0000-1A00-000011000000}">
      <text>
        <r>
          <rPr>
            <b/>
            <sz val="9"/>
            <color indexed="81"/>
            <rFont val="Tahoma"/>
            <family val="2"/>
          </rPr>
          <t>2022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
KR:$9.7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I36" authorId="0" shapeId="0" xr:uid="{00000000-0006-0000-1A00-000012000000}">
      <text>
        <r>
          <rPr>
            <b/>
            <sz val="9"/>
            <color indexed="81"/>
            <rFont val="Tahoma"/>
            <family val="2"/>
          </rPr>
          <t>Include: 219k rental machine of MFG</t>
        </r>
      </text>
    </comment>
    <comment ref="F37" authorId="0" shapeId="0" xr:uid="{00000000-0006-0000-1A00-000013000000}">
      <text>
        <r>
          <rPr>
            <b/>
            <sz val="9"/>
            <color indexed="81"/>
            <rFont val="Tahoma"/>
            <family val="2"/>
          </rPr>
          <t>Mar</t>
        </r>
      </text>
    </comment>
    <comment ref="G37" authorId="0" shapeId="0" xr:uid="{00000000-0006-0000-1A00-000014000000}">
      <text>
        <r>
          <rPr>
            <b/>
            <sz val="9"/>
            <color indexed="81"/>
            <rFont val="Tahoma"/>
            <family val="2"/>
          </rPr>
          <t>Mar+Apr</t>
        </r>
      </text>
    </comment>
    <comment ref="C41" authorId="0" shapeId="0" xr:uid="{00000000-0006-0000-1A00-000015000000}">
      <text>
        <r>
          <rPr>
            <sz val="9"/>
            <color indexed="81"/>
            <rFont val="Tahoma"/>
            <family val="2"/>
          </rPr>
          <t>New Long Loan from Dec.22: 4 years.and paid orginal amt Monthly</t>
        </r>
      </text>
    </comment>
    <comment ref="D44" authorId="2" shapeId="0" xr:uid="{00000000-0006-0000-1A00-000016000000}">
      <text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TAX</t>
        </r>
      </text>
    </comment>
    <comment ref="M44" authorId="2" shapeId="0" xr:uid="{00000000-0006-0000-1A00-000017000000}">
      <text>
        <r>
          <rPr>
            <b/>
            <sz val="9"/>
            <color indexed="81"/>
            <rFont val="돋움"/>
            <family val="3"/>
            <charset val="129"/>
          </rPr>
          <t>경남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이자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원금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44" authorId="2" shapeId="0" xr:uid="{00000000-0006-0000-1A00-000018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가족 여행비 (푸우꾹) 74명$50,000+18,755+11,666 (CNC장비구매용 장부 반환 $18,755,경남 대출금 반환)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12" authorId="0" shapeId="0" xr:uid="{00000000-0006-0000-1B00-000001000000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전기료</t>
        </r>
        <r>
          <rPr>
            <b/>
            <sz val="9"/>
            <color indexed="81"/>
            <rFont val="Tahoma"/>
            <family val="2"/>
          </rPr>
          <t>*50%/</t>
        </r>
        <r>
          <rPr>
            <b/>
            <sz val="9"/>
            <color indexed="81"/>
            <rFont val="돋움"/>
            <family val="3"/>
            <charset val="129"/>
          </rPr>
          <t>캐스킹</t>
        </r>
        <r>
          <rPr>
            <b/>
            <sz val="9"/>
            <color indexed="81"/>
            <rFont val="Tahoma"/>
            <family val="2"/>
          </rPr>
          <t xml:space="preserve"> 28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가동되는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<sst xmlns="http://schemas.openxmlformats.org/spreadsheetml/2006/main" count="4740" uniqueCount="1592">
  <si>
    <t>Sales</t>
  </si>
  <si>
    <t>Gross profit</t>
  </si>
  <si>
    <t>SG&amp;A</t>
  </si>
  <si>
    <t>Income from Operation</t>
  </si>
  <si>
    <t>Ordinary Profit</t>
  </si>
  <si>
    <t>Tax</t>
  </si>
  <si>
    <t>Net Income</t>
  </si>
  <si>
    <t>EBITDA</t>
  </si>
  <si>
    <t>Depreciation</t>
  </si>
  <si>
    <t>Amortization</t>
  </si>
  <si>
    <t>Material cost</t>
  </si>
  <si>
    <t>Labor cost</t>
  </si>
  <si>
    <t xml:space="preserve">Depreciation </t>
  </si>
  <si>
    <t>total</t>
  </si>
  <si>
    <t>AVG</t>
    <phoneticPr fontId="8" type="noConversion"/>
  </si>
  <si>
    <t>Total</t>
    <phoneticPr fontId="8" type="noConversion"/>
  </si>
  <si>
    <t>Mobile</t>
    <phoneticPr fontId="8" type="noConversion"/>
  </si>
  <si>
    <t>Sales</t>
    <phoneticPr fontId="8" type="noConversion"/>
  </si>
  <si>
    <t>Interest of Bank</t>
  </si>
  <si>
    <t>Samsung</t>
  </si>
  <si>
    <t>LGIT</t>
  </si>
  <si>
    <t>Hosiden</t>
  </si>
  <si>
    <t>ZF TRW</t>
  </si>
  <si>
    <t>Automotive</t>
  </si>
  <si>
    <t>Qualcomm</t>
  </si>
  <si>
    <t>Estimate Depreciation &amp; Amotization</t>
  </si>
  <si>
    <t>operating profit</t>
  </si>
  <si>
    <t>2) SG&amp;A</t>
    <phoneticPr fontId="8" type="noConversion"/>
  </si>
  <si>
    <t>1) Sales Quantity</t>
    <phoneticPr fontId="8" type="noConversion"/>
  </si>
  <si>
    <t>U/P</t>
    <phoneticPr fontId="8" type="noConversion"/>
  </si>
  <si>
    <t>2.  Sales Plan</t>
    <phoneticPr fontId="8" type="noConversion"/>
  </si>
  <si>
    <t>Note</t>
    <phoneticPr fontId="8" type="noConversion"/>
  </si>
  <si>
    <t>* Sales</t>
    <phoneticPr fontId="8" type="noConversion"/>
  </si>
  <si>
    <t>1) COGS</t>
    <phoneticPr fontId="8" type="noConversion"/>
  </si>
  <si>
    <t>3. Production Plan</t>
    <phoneticPr fontId="8" type="noConversion"/>
  </si>
  <si>
    <t>2) Sales Amount</t>
    <phoneticPr fontId="8" type="noConversion"/>
  </si>
  <si>
    <t>- 매출 수량 및 금액</t>
    <phoneticPr fontId="8" type="noConversion"/>
  </si>
  <si>
    <t>3. Production Plan (P Plan)</t>
    <phoneticPr fontId="8" type="noConversion"/>
  </si>
  <si>
    <t>- 생산 수량 및 필요 설비 수</t>
    <phoneticPr fontId="8" type="noConversion"/>
  </si>
  <si>
    <t>4. Labor Plan (L Plan)</t>
    <phoneticPr fontId="8" type="noConversion"/>
  </si>
  <si>
    <t>- 인원 계획</t>
    <phoneticPr fontId="8" type="noConversion"/>
  </si>
  <si>
    <t>No.</t>
    <phoneticPr fontId="8" type="noConversion"/>
  </si>
  <si>
    <t>내용</t>
    <phoneticPr fontId="8" type="noConversion"/>
  </si>
  <si>
    <t>비고/특이사항</t>
    <phoneticPr fontId="8" type="noConversion"/>
  </si>
  <si>
    <t>Sub-Total</t>
    <phoneticPr fontId="8" type="noConversion"/>
  </si>
  <si>
    <t>Grand Total</t>
  </si>
  <si>
    <t>Customer</t>
  </si>
  <si>
    <t>PART NO.</t>
  </si>
  <si>
    <t>Samsung BRK VN Total</t>
  </si>
  <si>
    <t>Samsung CNC Total</t>
  </si>
  <si>
    <t>Tooling</t>
  </si>
  <si>
    <t>Tooling USA</t>
  </si>
  <si>
    <t>Qualcomm Total</t>
  </si>
  <si>
    <t>3CAC00159A</t>
  </si>
  <si>
    <t>3CAC00160A</t>
  </si>
  <si>
    <t>(GEN3/AL5) - MX</t>
  </si>
  <si>
    <t>(GEN3/AL6) - MX</t>
  </si>
  <si>
    <t>(GEN2)EPS Motor Cover</t>
  </si>
  <si>
    <t>Yubei 570W EPS Bracket</t>
  </si>
  <si>
    <t>3CAC00306A</t>
  </si>
  <si>
    <t>3CAC00307A</t>
  </si>
  <si>
    <t>OMS Entry Vcsel Cover</t>
  </si>
  <si>
    <t>3CAC00250A</t>
  </si>
  <si>
    <t>OMS Entry Lens Holder</t>
  </si>
  <si>
    <t>3CAC00203A</t>
  </si>
  <si>
    <t>OMS Front Lens Holder</t>
  </si>
  <si>
    <t>3CAC00207A</t>
  </si>
  <si>
    <t>HKMC Ikc Camera Base</t>
  </si>
  <si>
    <t>3CAC00180A</t>
  </si>
  <si>
    <t>MRA2</t>
  </si>
  <si>
    <t>3CAC00196A</t>
  </si>
  <si>
    <t>BMS Top Case</t>
  </si>
  <si>
    <t>3CAC00181A</t>
  </si>
  <si>
    <t>BMS Bottom Case</t>
  </si>
  <si>
    <t>3CAC00182A</t>
  </si>
  <si>
    <t>BMS Bottom Case-PL</t>
  </si>
  <si>
    <t>MPC5.5 Cover Lens</t>
  </si>
  <si>
    <t>M. Brose</t>
  </si>
  <si>
    <t>MAS65 Heatsink</t>
  </si>
  <si>
    <t>Mando Hella Total</t>
  </si>
  <si>
    <t>IPM Housing -UK</t>
  </si>
  <si>
    <t>FCA 4.8 Housing -PL</t>
  </si>
  <si>
    <t>FCA 4.8 Cover-PL</t>
  </si>
  <si>
    <t>FCA 4.8 Lens Mount-PL</t>
  </si>
  <si>
    <t>Harley Davidson Handle Bar</t>
  </si>
  <si>
    <t xml:space="preserve">ZF TRW Total </t>
  </si>
  <si>
    <t xml:space="preserve">Hosiden Total </t>
  </si>
  <si>
    <t>Unit: USD</t>
    <phoneticPr fontId="8" type="noConversion"/>
  </si>
  <si>
    <t xml:space="preserve">          Grand Total</t>
    <phoneticPr fontId="8" type="noConversion"/>
  </si>
  <si>
    <t>가동율</t>
    <phoneticPr fontId="8" type="noConversion"/>
  </si>
  <si>
    <t>Casting</t>
    <phoneticPr fontId="8" type="noConversion"/>
  </si>
  <si>
    <t>Mold</t>
  </si>
  <si>
    <t>CNC</t>
  </si>
  <si>
    <t>QC</t>
  </si>
  <si>
    <t>Production</t>
  </si>
  <si>
    <t>Total</t>
  </si>
  <si>
    <t>Management</t>
  </si>
  <si>
    <t>5. Material Plan (M Plan)</t>
  </si>
  <si>
    <t>ADC12</t>
    <phoneticPr fontId="8" type="noConversion"/>
  </si>
  <si>
    <t>New</t>
    <phoneticPr fontId="8" type="noConversion"/>
  </si>
  <si>
    <t>AL</t>
    <phoneticPr fontId="8" type="noConversion"/>
  </si>
  <si>
    <t>Model</t>
  </si>
  <si>
    <t>MCT</t>
    <phoneticPr fontId="8" type="noConversion"/>
  </si>
  <si>
    <t>Remark</t>
  </si>
  <si>
    <t>AVG. S</t>
    <phoneticPr fontId="8" type="noConversion"/>
  </si>
  <si>
    <t>Unit: ea</t>
    <phoneticPr fontId="8" type="noConversion"/>
  </si>
  <si>
    <t>Customer</t>
    <phoneticPr fontId="8" type="noConversion"/>
  </si>
  <si>
    <t>Industry</t>
    <phoneticPr fontId="8" type="noConversion"/>
  </si>
  <si>
    <t>Model</t>
    <phoneticPr fontId="8" type="noConversion"/>
  </si>
  <si>
    <t>Category</t>
    <phoneticPr fontId="8" type="noConversion"/>
  </si>
  <si>
    <t>Tonnage</t>
    <phoneticPr fontId="8" type="noConversion"/>
  </si>
  <si>
    <t>Machinery</t>
    <phoneticPr fontId="8" type="noConversion"/>
  </si>
  <si>
    <t>Dept.</t>
    <phoneticPr fontId="8" type="noConversion"/>
  </si>
  <si>
    <t>TOTAL</t>
    <phoneticPr fontId="8" type="noConversion"/>
  </si>
  <si>
    <t>Unit: Kg</t>
    <phoneticPr fontId="8" type="noConversion"/>
  </si>
  <si>
    <t>Unit: Liter</t>
    <phoneticPr fontId="8" type="noConversion"/>
  </si>
  <si>
    <t>Category 2</t>
    <phoneticPr fontId="8" type="noConversion"/>
  </si>
  <si>
    <t>Category 1</t>
    <phoneticPr fontId="8" type="noConversion"/>
  </si>
  <si>
    <t>2) Actual Production Q'ty</t>
    <phoneticPr fontId="8" type="noConversion"/>
  </si>
  <si>
    <t>주제</t>
    <phoneticPr fontId="8" type="noConversion"/>
  </si>
  <si>
    <t xml:space="preserve">                               Grand Total</t>
    <phoneticPr fontId="8" type="noConversion"/>
  </si>
  <si>
    <t>환율 적용</t>
    <phoneticPr fontId="8" type="noConversion"/>
  </si>
  <si>
    <t xml:space="preserve"> Total</t>
    <phoneticPr fontId="8" type="noConversion"/>
  </si>
  <si>
    <t>Sub Total</t>
    <phoneticPr fontId="8" type="noConversion"/>
  </si>
  <si>
    <t>Category</t>
  </si>
  <si>
    <t>U/P</t>
  </si>
  <si>
    <t>AVG.S</t>
  </si>
  <si>
    <t>Category 1</t>
  </si>
  <si>
    <t>Category 2</t>
  </si>
  <si>
    <t>&lt;Index&gt;</t>
    <phoneticPr fontId="8" type="noConversion"/>
  </si>
  <si>
    <t>- 영업, 개발, 생산, 품질, 관리, 재무</t>
    <phoneticPr fontId="8" type="noConversion"/>
  </si>
  <si>
    <t>2. Sales Plan (S Plan)</t>
    <phoneticPr fontId="8" type="noConversion"/>
  </si>
  <si>
    <t>5. Material Plan (M Plan)</t>
    <phoneticPr fontId="8" type="noConversion"/>
  </si>
  <si>
    <t>- 원부자재 계획</t>
    <phoneticPr fontId="8" type="noConversion"/>
  </si>
  <si>
    <t>6. Outsourcing (O Plan)</t>
    <phoneticPr fontId="8" type="noConversion"/>
  </si>
  <si>
    <t>7. Expense Plan (E Plan)</t>
    <phoneticPr fontId="8" type="noConversion"/>
  </si>
  <si>
    <t>8. Investment Plan (I Plan)</t>
    <phoneticPr fontId="8" type="noConversion"/>
  </si>
  <si>
    <t>Category</t>
    <phoneticPr fontId="16" type="noConversion"/>
  </si>
  <si>
    <t>Grand Total</t>
    <phoneticPr fontId="8" type="noConversion"/>
  </si>
  <si>
    <t>Unit: Pcs</t>
    <phoneticPr fontId="8" type="noConversion"/>
  </si>
  <si>
    <t>No.</t>
  </si>
  <si>
    <t>Industry</t>
  </si>
  <si>
    <t>Sub-Total</t>
  </si>
  <si>
    <t>Prodution</t>
  </si>
  <si>
    <t xml:space="preserve">                               Grand Total</t>
  </si>
  <si>
    <t>- 현금흐름표</t>
    <phoneticPr fontId="8" type="noConversion"/>
  </si>
  <si>
    <t>- 투자 계획</t>
    <phoneticPr fontId="8" type="noConversion"/>
  </si>
  <si>
    <t>- 손익 계산서</t>
    <phoneticPr fontId="8" type="noConversion"/>
  </si>
  <si>
    <t>- 외주 비용(아노다이징,분체도장)</t>
    <phoneticPr fontId="8" type="noConversion"/>
  </si>
  <si>
    <t>- 제조비 및 관리비 계획</t>
    <phoneticPr fontId="8" type="noConversion"/>
  </si>
  <si>
    <t>AL,MG,S36</t>
    <phoneticPr fontId="8" type="noConversion"/>
  </si>
  <si>
    <t>Qualcomm</t>
    <phoneticPr fontId="8" type="noConversion"/>
  </si>
  <si>
    <t>Begin</t>
    <phoneticPr fontId="13" type="noConversion"/>
  </si>
  <si>
    <t>In flow</t>
    <phoneticPr fontId="13" type="noConversion"/>
  </si>
  <si>
    <t>AR</t>
  </si>
  <si>
    <t>AR (Subsidiary) MFG</t>
  </si>
  <si>
    <t>Short term - Sacombank</t>
  </si>
  <si>
    <t>Long term - Sacombank</t>
  </si>
  <si>
    <t>Others  &amp; VAT refund</t>
  </si>
  <si>
    <t>Sub Total</t>
    <phoneticPr fontId="13" type="noConversion"/>
  </si>
  <si>
    <t>Out flow</t>
    <phoneticPr fontId="13" type="noConversion"/>
  </si>
  <si>
    <t>AP</t>
  </si>
  <si>
    <t>AP(Repairing and other services)</t>
  </si>
  <si>
    <t>AP(Consumables)</t>
    <phoneticPr fontId="13" type="noConversion"/>
  </si>
  <si>
    <t>AP(Outsourcing)</t>
  </si>
  <si>
    <t>Salary</t>
  </si>
  <si>
    <t>Utility(Electricity,Water,Gas,sewage charges…)</t>
  </si>
  <si>
    <t>Rental Fee(Care,House,Office machine..)</t>
    <phoneticPr fontId="26" type="noConversion"/>
  </si>
  <si>
    <t>Social Insurance/Trade Union</t>
    <phoneticPr fontId="13" type="noConversion"/>
  </si>
  <si>
    <t>Operation Fee(Security, Comm, Travel.. )</t>
    <phoneticPr fontId="26" type="noConversion"/>
  </si>
  <si>
    <t>Redemption of the loan(Short term)</t>
  </si>
  <si>
    <t>Redemption of the loan(Long term)</t>
  </si>
  <si>
    <t>Variation</t>
    <phoneticPr fontId="13" type="noConversion"/>
  </si>
  <si>
    <t>Ending</t>
    <phoneticPr fontId="26" type="noConversion"/>
  </si>
  <si>
    <t>Inflow</t>
  </si>
  <si>
    <t>AR from Operating</t>
  </si>
  <si>
    <t>AR from Financial oprerating</t>
  </si>
  <si>
    <t>Outflow</t>
  </si>
  <si>
    <t>AP for finacial expense</t>
  </si>
  <si>
    <t>AP for Operating expense</t>
  </si>
  <si>
    <t>Net cash</t>
  </si>
  <si>
    <t>Beginning</t>
  </si>
  <si>
    <t>1) IN &amp; OUT Flow Detail Plan</t>
    <phoneticPr fontId="8" type="noConversion"/>
  </si>
  <si>
    <t>Daily Q'ty</t>
    <phoneticPr fontId="8" type="noConversion"/>
  </si>
  <si>
    <t>G.Shots</t>
    <phoneticPr fontId="8" type="noConversion"/>
  </si>
  <si>
    <t>D/Q,ty</t>
  </si>
  <si>
    <t>M/Tons</t>
  </si>
  <si>
    <t>Cavity</t>
  </si>
  <si>
    <t>Shortage</t>
  </si>
  <si>
    <t>1. ELECTRONIC</t>
    <phoneticPr fontId="8" type="noConversion"/>
  </si>
  <si>
    <t>P.Rate/
Month</t>
    <phoneticPr fontId="8" type="noConversion"/>
  </si>
  <si>
    <t>kw (VNd/USD)</t>
  </si>
  <si>
    <t>COGS</t>
  </si>
  <si>
    <t xml:space="preserve">                                                                     SG&amp;A Percentile / Sales</t>
  </si>
  <si>
    <t xml:space="preserve">        Sub-Total</t>
  </si>
  <si>
    <t>Current Q'ty</t>
  </si>
  <si>
    <t>Need Q'ty</t>
  </si>
  <si>
    <t>Shortage</t>
    <phoneticPr fontId="8" type="noConversion"/>
  </si>
  <si>
    <t>Casting M Total Required Q'ty</t>
    <phoneticPr fontId="8" type="noConversion"/>
  </si>
  <si>
    <t>Outsourcing Amount</t>
  </si>
  <si>
    <t>In-house Q'ty</t>
  </si>
  <si>
    <t>Outsourcing Q'ty</t>
  </si>
  <si>
    <t>2) Mold Q'ty &amp; Cost</t>
  </si>
  <si>
    <t>8. Investment Plan ( I Plan)</t>
  </si>
  <si>
    <t>2) Casting Material Amount</t>
    <phoneticPr fontId="8" type="noConversion"/>
  </si>
  <si>
    <t>Matreial</t>
    <phoneticPr fontId="8" type="noConversion"/>
  </si>
  <si>
    <t>Material</t>
    <phoneticPr fontId="8" type="noConversion"/>
  </si>
  <si>
    <t xml:space="preserve">Chromate Material </t>
    <phoneticPr fontId="8" type="noConversion"/>
  </si>
  <si>
    <t>Mold/Year</t>
  </si>
  <si>
    <t>항목</t>
    <phoneticPr fontId="8" type="noConversion"/>
  </si>
  <si>
    <t xml:space="preserve">인건비 </t>
    <phoneticPr fontId="8" type="noConversion"/>
  </si>
  <si>
    <t>관리비(유틸리티)</t>
    <phoneticPr fontId="8" type="noConversion"/>
  </si>
  <si>
    <t>관리비(아웃소싱)</t>
    <phoneticPr fontId="8" type="noConversion"/>
  </si>
  <si>
    <t xml:space="preserve">투자계획 </t>
    <phoneticPr fontId="8" type="noConversion"/>
  </si>
  <si>
    <t>관리비(납품차량렌트)</t>
    <phoneticPr fontId="8" type="noConversion"/>
  </si>
  <si>
    <t xml:space="preserve">COGS
(COGM) </t>
    <phoneticPr fontId="8" type="noConversion"/>
  </si>
  <si>
    <t>Basic Assumption (Expense)</t>
    <phoneticPr fontId="8" type="noConversion"/>
  </si>
  <si>
    <t>Manufacturing cost</t>
    <phoneticPr fontId="8" type="noConversion"/>
  </si>
  <si>
    <t>관리비(3대보험&amp;복지)</t>
    <phoneticPr fontId="8" type="noConversion"/>
  </si>
  <si>
    <t xml:space="preserve">감가상각 </t>
    <phoneticPr fontId="8" type="noConversion"/>
  </si>
  <si>
    <t>기타 비용</t>
    <phoneticPr fontId="8" type="noConversion"/>
  </si>
  <si>
    <t xml:space="preserve">1. Assumption </t>
    <phoneticPr fontId="8" type="noConversion"/>
  </si>
  <si>
    <t>5) 관리</t>
    <phoneticPr fontId="8" type="noConversion"/>
  </si>
  <si>
    <t>출장비</t>
    <phoneticPr fontId="8" type="noConversion"/>
  </si>
  <si>
    <t>차량(출퇴근)임대</t>
    <phoneticPr fontId="8" type="noConversion"/>
  </si>
  <si>
    <t xml:space="preserve">학자금 지원 </t>
    <phoneticPr fontId="8" type="noConversion"/>
  </si>
  <si>
    <t>4.L.Plan 참조</t>
    <phoneticPr fontId="8" type="noConversion"/>
  </si>
  <si>
    <t xml:space="preserve">8.I-Plan 참조  </t>
    <phoneticPr fontId="8" type="noConversion"/>
  </si>
  <si>
    <t>6.O Plan 참조</t>
    <phoneticPr fontId="8" type="noConversion"/>
  </si>
  <si>
    <t>AR scrapt</t>
  </si>
  <si>
    <t>Tax(VAT, CIT ,PIT, Customs)</t>
  </si>
  <si>
    <t>FC</t>
  </si>
  <si>
    <t>3HDC00003A</t>
  </si>
  <si>
    <t>A021D074</t>
  </si>
  <si>
    <t>A021D075</t>
  </si>
  <si>
    <t>125T</t>
    <phoneticPr fontId="8" type="noConversion"/>
  </si>
  <si>
    <t>HL Klemove</t>
  </si>
  <si>
    <t>Interest Loan</t>
  </si>
  <si>
    <t>OTHERS</t>
    <phoneticPr fontId="8" type="noConversion"/>
  </si>
  <si>
    <t>Employee Benefits(Canteen,tuison fee)</t>
  </si>
  <si>
    <t>Differrece beween COGS vs COGM</t>
  </si>
  <si>
    <t>NG Yield%</t>
    <phoneticPr fontId="8" type="noConversion"/>
  </si>
  <si>
    <t xml:space="preserve">M&amp;C Work  </t>
    <phoneticPr fontId="8" type="noConversion"/>
  </si>
  <si>
    <t>컨설팅 서비스 비용</t>
    <phoneticPr fontId="8" type="noConversion"/>
  </si>
  <si>
    <t>기타비용 (사내 경비,청소)</t>
    <phoneticPr fontId="8" type="noConversion"/>
  </si>
  <si>
    <t xml:space="preserve">원재료 </t>
    <phoneticPr fontId="8" type="noConversion"/>
  </si>
  <si>
    <t xml:space="preserve"> </t>
    <phoneticPr fontId="8" type="noConversion"/>
  </si>
  <si>
    <t>AP Overdue Deduction Plan</t>
    <phoneticPr fontId="8" type="noConversion"/>
  </si>
  <si>
    <t>Machine Set</t>
    <phoneticPr fontId="8" type="noConversion"/>
  </si>
  <si>
    <t>Out Recycle</t>
    <phoneticPr fontId="8" type="noConversion"/>
  </si>
  <si>
    <t>A245 Mobase</t>
  </si>
  <si>
    <t>GH61-17884A</t>
  </si>
  <si>
    <t>GH61-17770A</t>
  </si>
  <si>
    <t>A546 Elentec</t>
  </si>
  <si>
    <t>GH61-17786A</t>
  </si>
  <si>
    <t>3HUC00006A</t>
  </si>
  <si>
    <t>3HUC00007A</t>
  </si>
  <si>
    <t>3CVC00004A</t>
  </si>
  <si>
    <t>3CAZ00041A</t>
  </si>
  <si>
    <t>3CAZ00042A</t>
  </si>
  <si>
    <t>MBA4515181</t>
  </si>
  <si>
    <t>NX4 Housing</t>
  </si>
  <si>
    <t>MBA4111122</t>
  </si>
  <si>
    <t>ME041A1100</t>
  </si>
  <si>
    <t>ME200A1700</t>
  </si>
  <si>
    <t>IMEB2 Housing</t>
  </si>
  <si>
    <t>A012U602</t>
  </si>
  <si>
    <t>GM Cover / GM EU2L-CN</t>
  </si>
  <si>
    <t>GM-ACP2_Cover-US</t>
  </si>
  <si>
    <t>A020R329</t>
  </si>
  <si>
    <t>GM-ACP2 Housing-US</t>
  </si>
  <si>
    <t>A020R331</t>
  </si>
  <si>
    <t>GM-ACP2_Cover-CN</t>
  </si>
  <si>
    <t>GM-ACP2 Housing-CN</t>
  </si>
  <si>
    <t>IPM Base Housing</t>
  </si>
  <si>
    <t>A014A871</t>
  </si>
  <si>
    <t>IPM Advanced Housing</t>
  </si>
  <si>
    <t>A014A881</t>
  </si>
  <si>
    <t>Laser</t>
    <phoneticPr fontId="8" type="noConversion"/>
  </si>
  <si>
    <t>Unit: ea</t>
  </si>
  <si>
    <t>Unit: Kg</t>
  </si>
  <si>
    <t>TCM</t>
    <phoneticPr fontId="8" type="noConversion"/>
  </si>
  <si>
    <t>3) Outsourcing Production Amount</t>
    <phoneticPr fontId="8" type="noConversion"/>
  </si>
  <si>
    <t>2) Outsourcing Production Q'ty</t>
    <phoneticPr fontId="8" type="noConversion"/>
  </si>
  <si>
    <t>Weight(kg)</t>
    <phoneticPr fontId="8" type="noConversion"/>
  </si>
  <si>
    <t>A245 Elentec</t>
  </si>
  <si>
    <t>Increasing  Capital  from MFG</t>
  </si>
  <si>
    <t>Personal Loan</t>
  </si>
  <si>
    <t>GM Lens Mount-CN</t>
  </si>
  <si>
    <t>3CAC00182A-PL</t>
  </si>
  <si>
    <t>3CAC00181A-PL</t>
  </si>
  <si>
    <t>관리비(Oil &amp; 소모품)</t>
    <phoneticPr fontId="8" type="noConversion"/>
  </si>
  <si>
    <t xml:space="preserve">근무일수 </t>
    <phoneticPr fontId="8" type="noConversion"/>
  </si>
  <si>
    <t>주요구입장비</t>
    <phoneticPr fontId="8" type="noConversion"/>
  </si>
  <si>
    <t>10. Income Statement (IS)</t>
    <phoneticPr fontId="8" type="noConversion"/>
  </si>
  <si>
    <t>9. Commission Plan (C Plan)</t>
    <phoneticPr fontId="8" type="noConversion"/>
  </si>
  <si>
    <t xml:space="preserve">- 본사 및 해외 사무소 Commission 계획 </t>
    <phoneticPr fontId="8" type="noConversion"/>
  </si>
  <si>
    <t>Singapore</t>
    <phoneticPr fontId="8" type="noConversion"/>
  </si>
  <si>
    <t>Korea</t>
    <phoneticPr fontId="8" type="noConversion"/>
  </si>
  <si>
    <t>China</t>
    <phoneticPr fontId="8" type="noConversion"/>
  </si>
  <si>
    <t xml:space="preserve">2) Machine Rental </t>
    <phoneticPr fontId="8" type="noConversion"/>
  </si>
  <si>
    <t>Detail</t>
    <phoneticPr fontId="8" type="noConversion"/>
  </si>
  <si>
    <t>Country</t>
    <phoneticPr fontId="8" type="noConversion"/>
  </si>
  <si>
    <t>Casting 400Ton</t>
    <phoneticPr fontId="8" type="noConversion"/>
  </si>
  <si>
    <t>1) Commision</t>
    <phoneticPr fontId="8" type="noConversion"/>
  </si>
  <si>
    <r>
      <t xml:space="preserve">11. Cash Flow Plan (CF) </t>
    </r>
    <r>
      <rPr>
        <b/>
        <sz val="12"/>
        <color theme="0"/>
        <rFont val="맑은 고딕"/>
        <family val="2"/>
        <scheme val="minor"/>
      </rPr>
      <t>V6</t>
    </r>
    <phoneticPr fontId="8" type="noConversion"/>
  </si>
  <si>
    <t>Total Commission</t>
    <phoneticPr fontId="8" type="noConversion"/>
  </si>
  <si>
    <t>Manager</t>
    <phoneticPr fontId="8" type="noConversion"/>
  </si>
  <si>
    <t>Staff + Technician</t>
    <phoneticPr fontId="8" type="noConversion"/>
  </si>
  <si>
    <t>AVG. S</t>
  </si>
  <si>
    <t>Direct</t>
    <phoneticPr fontId="16" type="noConversion"/>
  </si>
  <si>
    <t>Vietnam</t>
    <phoneticPr fontId="8" type="noConversion"/>
  </si>
  <si>
    <t>Foreigner Management</t>
    <phoneticPr fontId="8" type="noConversion"/>
  </si>
  <si>
    <t>SGD</t>
  </si>
  <si>
    <t>KRW</t>
  </si>
  <si>
    <t>CNY</t>
  </si>
  <si>
    <t>VND</t>
  </si>
  <si>
    <t>Banking charge</t>
  </si>
  <si>
    <t>Entertainment</t>
  </si>
  <si>
    <t>Jan.23</t>
  </si>
  <si>
    <t>Feb.23</t>
  </si>
  <si>
    <t>Mar.23</t>
  </si>
  <si>
    <t>Apr.23</t>
  </si>
  <si>
    <t>May.23</t>
  </si>
  <si>
    <t>Jun.23</t>
  </si>
  <si>
    <t>Jul.23</t>
  </si>
  <si>
    <t>Aug.23</t>
  </si>
  <si>
    <t>Sep.23</t>
  </si>
  <si>
    <t>Oct.23</t>
  </si>
  <si>
    <t>Nov.23</t>
  </si>
  <si>
    <t>Dec.23</t>
  </si>
  <si>
    <t>Act</t>
  </si>
  <si>
    <t>350/400T</t>
    <phoneticPr fontId="8" type="noConversion"/>
  </si>
  <si>
    <t>3) Chromate Material Q'ty</t>
    <phoneticPr fontId="8" type="noConversion"/>
  </si>
  <si>
    <t>4) Chromate Material Amount</t>
    <phoneticPr fontId="8" type="noConversion"/>
  </si>
  <si>
    <t>5) Others Material Amount (Packing and injection RM)</t>
    <phoneticPr fontId="8" type="noConversion"/>
  </si>
  <si>
    <t>CNC</t>
    <phoneticPr fontId="8" type="noConversion"/>
  </si>
  <si>
    <t>Capex(include cash &amp; long loan)</t>
  </si>
  <si>
    <t>3MAM00541A</t>
  </si>
  <si>
    <t>ME200RS400</t>
  </si>
  <si>
    <t>ME210RS400</t>
  </si>
  <si>
    <t>MB200IMBO1</t>
  </si>
  <si>
    <t>AP Logistics&amp;VMI WH</t>
    <phoneticPr fontId="8" type="noConversion"/>
  </si>
  <si>
    <t xml:space="preserve">Total </t>
    <phoneticPr fontId="8" type="noConversion"/>
  </si>
  <si>
    <t>Commision (SIG,KR,CN,JP)</t>
    <phoneticPr fontId="8" type="noConversion"/>
  </si>
  <si>
    <t>Sub total</t>
  </si>
  <si>
    <t>Act</t>
    <phoneticPr fontId="8" type="noConversion"/>
  </si>
  <si>
    <t>Commision (SIG,KR,CN,JP)</t>
  </si>
  <si>
    <t>AP Logistics&amp;VMI WH</t>
  </si>
  <si>
    <t>Mando</t>
    <phoneticPr fontId="8" type="noConversion"/>
  </si>
  <si>
    <t>ZF</t>
    <phoneticPr fontId="8" type="noConversion"/>
  </si>
  <si>
    <t>Unit: Person</t>
    <phoneticPr fontId="8" type="noConversion"/>
  </si>
  <si>
    <t>ST-Person</t>
    <phoneticPr fontId="8" type="noConversion"/>
  </si>
  <si>
    <t>Staff</t>
    <phoneticPr fontId="8" type="noConversion"/>
  </si>
  <si>
    <t xml:space="preserve"> Sub total</t>
    <phoneticPr fontId="8" type="noConversion"/>
  </si>
  <si>
    <t>Foreigner Production</t>
    <phoneticPr fontId="8" type="noConversion"/>
  </si>
  <si>
    <t>Director</t>
    <phoneticPr fontId="8" type="noConversion"/>
  </si>
  <si>
    <t>Sub total</t>
    <phoneticPr fontId="8" type="noConversion"/>
  </si>
  <si>
    <t>Foreigner  Total</t>
    <phoneticPr fontId="8" type="noConversion"/>
  </si>
  <si>
    <t>VN Management</t>
    <phoneticPr fontId="8" type="noConversion"/>
  </si>
  <si>
    <t>VN Production</t>
    <phoneticPr fontId="8" type="noConversion"/>
  </si>
  <si>
    <t xml:space="preserve">    Vietnam Total</t>
    <phoneticPr fontId="8" type="noConversion"/>
  </si>
  <si>
    <t>Staff</t>
  </si>
  <si>
    <t>Sub Total</t>
    <phoneticPr fontId="16" type="noConversion"/>
  </si>
  <si>
    <t>Indirect</t>
    <phoneticPr fontId="16" type="noConversion"/>
  </si>
  <si>
    <t>Grand Total</t>
    <phoneticPr fontId="16" type="noConversion"/>
  </si>
  <si>
    <t>Unit: Days</t>
    <phoneticPr fontId="8" type="noConversion"/>
  </si>
  <si>
    <t>T/Day</t>
    <phoneticPr fontId="8" type="noConversion"/>
  </si>
  <si>
    <t>1YEAR W/Day</t>
    <phoneticPr fontId="16" type="noConversion"/>
  </si>
  <si>
    <t>Working Days</t>
    <phoneticPr fontId="8" type="noConversion"/>
  </si>
  <si>
    <t>Working Days (Weekend)</t>
    <phoneticPr fontId="8" type="noConversion"/>
  </si>
  <si>
    <t>Labor Total_ Amount</t>
    <phoneticPr fontId="8" type="noConversion"/>
  </si>
  <si>
    <t>2)VN Person Plan</t>
    <phoneticPr fontId="8" type="noConversion"/>
  </si>
  <si>
    <t>1) Foreigner Person Plan</t>
    <phoneticPr fontId="8" type="noConversion"/>
  </si>
  <si>
    <t>추정 이유(계산) (개선방안)</t>
    <phoneticPr fontId="8" type="noConversion"/>
  </si>
  <si>
    <t>Expenses(SA&amp;GA)</t>
  </si>
  <si>
    <t>Travel -business trips</t>
  </si>
  <si>
    <t>Logistics</t>
  </si>
  <si>
    <t>Electricity</t>
  </si>
  <si>
    <t>cars relative</t>
  </si>
  <si>
    <t>Sorting</t>
  </si>
  <si>
    <t>Sample</t>
  </si>
  <si>
    <t>property insurance</t>
  </si>
  <si>
    <t>Security charge</t>
  </si>
  <si>
    <t>Rental Fee(Care,House,Office machine..)</t>
  </si>
  <si>
    <t>Social Insurance/Trade Union</t>
  </si>
  <si>
    <t>Operation Fee(Security, Comm, Travel.. )</t>
  </si>
  <si>
    <t>Communication</t>
    <phoneticPr fontId="8" type="noConversion"/>
  </si>
  <si>
    <t>Total cost</t>
    <phoneticPr fontId="8" type="noConversion"/>
  </si>
  <si>
    <t>Present Yield%</t>
    <phoneticPr fontId="8" type="noConversion"/>
  </si>
  <si>
    <t xml:space="preserve">                                Grand Total</t>
    <phoneticPr fontId="8" type="noConversion"/>
  </si>
  <si>
    <t>설비 가동율은 장비수량 파악</t>
    <phoneticPr fontId="8" type="noConversion"/>
  </si>
  <si>
    <t>Casting</t>
  </si>
  <si>
    <t>Trimming</t>
  </si>
  <si>
    <t>Polishing</t>
  </si>
  <si>
    <t>Sanding</t>
  </si>
  <si>
    <t>Chromate</t>
  </si>
  <si>
    <t>LDS Antenna</t>
  </si>
  <si>
    <t>Pmt term</t>
  </si>
  <si>
    <t>30days</t>
  </si>
  <si>
    <t>S.manger and above</t>
    <phoneticPr fontId="8" type="noConversion"/>
  </si>
  <si>
    <t>NX4 HSG</t>
  </si>
  <si>
    <t>HL Klemove</t>
    <phoneticPr fontId="7" type="noConversion"/>
  </si>
  <si>
    <t>Mando</t>
    <phoneticPr fontId="7" type="noConversion"/>
  </si>
  <si>
    <t>FCA Cover</t>
  </si>
  <si>
    <t>ZF TRW</t>
    <phoneticPr fontId="7" type="noConversion"/>
  </si>
  <si>
    <t>ZF TWR</t>
    <phoneticPr fontId="8" type="noConversion"/>
  </si>
  <si>
    <t>90 days</t>
  </si>
  <si>
    <t>OT 2023</t>
  </si>
  <si>
    <t>Headcount</t>
  </si>
  <si>
    <t>Amount OT VND</t>
  </si>
  <si>
    <t>Total 
Headcount</t>
  </si>
  <si>
    <t>Total Amt
 VND 3M</t>
  </si>
  <si>
    <t xml:space="preserve">Rate
 vs Gross </t>
  </si>
  <si>
    <t>Oct</t>
  </si>
  <si>
    <t>Nov</t>
  </si>
  <si>
    <t>Dec</t>
  </si>
  <si>
    <t>Mgm</t>
  </si>
  <si>
    <t>S.manger and above</t>
  </si>
  <si>
    <t>Manager</t>
  </si>
  <si>
    <t>Pro</t>
  </si>
  <si>
    <t>Staff + Technician</t>
  </si>
  <si>
    <t>Workers</t>
  </si>
  <si>
    <t>Data 2024 ( Mar)</t>
  </si>
  <si>
    <t>Persons</t>
  </si>
  <si>
    <t xml:space="preserve"> Gross Basic</t>
  </si>
  <si>
    <t>Bonus (1m)</t>
  </si>
  <si>
    <t>OT Mar</t>
  </si>
  <si>
    <t>Usd OT in Mar</t>
  </si>
  <si>
    <t>%</t>
  </si>
  <si>
    <t>Jan.25</t>
  </si>
  <si>
    <t>Apr.25</t>
  </si>
  <si>
    <t>AVR.USD</t>
  </si>
  <si>
    <t>AVG Total</t>
    <phoneticPr fontId="8" type="noConversion"/>
  </si>
  <si>
    <t>G,S Manager</t>
    <phoneticPr fontId="8" type="noConversion"/>
  </si>
  <si>
    <t>1) Casting Material Q.ty</t>
    <phoneticPr fontId="8" type="noConversion"/>
  </si>
  <si>
    <t xml:space="preserve">New </t>
    <phoneticPr fontId="8" type="noConversion"/>
  </si>
  <si>
    <t>1)Sales Quantity</t>
    <phoneticPr fontId="8" type="noConversion"/>
  </si>
  <si>
    <t>Electricity</t>
    <phoneticPr fontId="8" type="noConversion"/>
  </si>
  <si>
    <t xml:space="preserve">Water </t>
    <phoneticPr fontId="8" type="noConversion"/>
  </si>
  <si>
    <t>Gas</t>
    <phoneticPr fontId="8" type="noConversion"/>
  </si>
  <si>
    <t>Repair Expense</t>
    <phoneticPr fontId="8" type="noConversion"/>
  </si>
  <si>
    <t>Transportation</t>
    <phoneticPr fontId="8" type="noConversion"/>
  </si>
  <si>
    <t>Travel(Business)</t>
    <phoneticPr fontId="8" type="noConversion"/>
  </si>
  <si>
    <t>Rent Expense (SG MCT, Outside WH, etc)</t>
    <phoneticPr fontId="8" type="noConversion"/>
  </si>
  <si>
    <t>Consumable tool (CNC)</t>
    <phoneticPr fontId="8" type="noConversion"/>
  </si>
  <si>
    <t>Security</t>
    <phoneticPr fontId="8" type="noConversion"/>
  </si>
  <si>
    <t>Insurance (Fire insurance)</t>
    <phoneticPr fontId="8" type="noConversion"/>
  </si>
  <si>
    <t xml:space="preserve">Cleaning expense </t>
    <phoneticPr fontId="8" type="noConversion"/>
  </si>
  <si>
    <t>Amortization</t>
    <phoneticPr fontId="8" type="noConversion"/>
  </si>
  <si>
    <t>Consumables</t>
    <phoneticPr fontId="8" type="noConversion"/>
  </si>
  <si>
    <t>SG&amp;A</t>
    <phoneticPr fontId="8" type="noConversion"/>
  </si>
  <si>
    <t>Average OT
 VND</t>
  </si>
  <si>
    <t>Average
 USD</t>
  </si>
  <si>
    <t>Aver USD Basic
 (inluded bonus +OT)</t>
  </si>
  <si>
    <t>Coding1</t>
  </si>
  <si>
    <t>Coding2</t>
  </si>
  <si>
    <t>Director</t>
  </si>
  <si>
    <t xml:space="preserve"> Total Gross</t>
  </si>
  <si>
    <t xml:space="preserve">Average </t>
  </si>
  <si>
    <t>Park Seong OH</t>
  </si>
  <si>
    <t>Noh Young Jun</t>
  </si>
  <si>
    <t>Kang Yeong Kyu</t>
  </si>
  <si>
    <t>Wang Zhao Peng</t>
  </si>
  <si>
    <t>Xu Shi Pei</t>
  </si>
  <si>
    <t>Kim Seok Ki</t>
  </si>
  <si>
    <t>G,S Manager</t>
  </si>
  <si>
    <t>Commission fee (M&amp;C SG,KR,CH,JP)</t>
  </si>
  <si>
    <t>Consulting</t>
  </si>
  <si>
    <t>AL Total</t>
    <phoneticPr fontId="8" type="noConversion"/>
  </si>
  <si>
    <t>VN bonus</t>
  </si>
  <si>
    <t>AR from MFG</t>
  </si>
  <si>
    <t>Total</t>
    <phoneticPr fontId="7" type="noConversion"/>
  </si>
  <si>
    <t>SHUI Insurance (21.5%) Company
 VND</t>
  </si>
  <si>
    <t>Basic use for Calculating insurance VND</t>
  </si>
  <si>
    <t>Everage usd</t>
  </si>
  <si>
    <t>Basic 
USD</t>
  </si>
  <si>
    <t>Employee 10.5%</t>
  </si>
  <si>
    <t xml:space="preserve">Company 21.5% </t>
  </si>
  <si>
    <t>Insurance Korean</t>
  </si>
  <si>
    <t>Wealfare others</t>
  </si>
  <si>
    <t xml:space="preserve">    Others (SAMPLE)</t>
    <phoneticPr fontId="8" type="noConversion"/>
  </si>
  <si>
    <t>Grand Total (Foreigner+VN)</t>
    <phoneticPr fontId="8" type="noConversion"/>
  </si>
  <si>
    <t>Carrier Frame</t>
    <phoneticPr fontId="8" type="noConversion"/>
  </si>
  <si>
    <t xml:space="preserve">Bracket </t>
  </si>
  <si>
    <t>Qualcom</t>
  </si>
  <si>
    <t xml:space="preserve"> 55-PM920/ 55-29708-20 </t>
  </si>
  <si>
    <t>Chromate AL</t>
    <phoneticPr fontId="8" type="noConversion"/>
  </si>
  <si>
    <t>Salary VN</t>
  </si>
  <si>
    <t>Sales ( Trading)</t>
  </si>
  <si>
    <t>Outsourcing (Ano, Paint, Chromate ,CNC)</t>
  </si>
  <si>
    <t>Salary (Included PIT,SHUI)</t>
  </si>
  <si>
    <t>COGS  Atual</t>
  </si>
  <si>
    <t>Amortization Mold</t>
  </si>
  <si>
    <t>Amotization (Mold)</t>
  </si>
  <si>
    <t>2) Investment Payment (Long-term loan)</t>
  </si>
  <si>
    <t>6. Outsourcing  Plan (O Plan)</t>
    <phoneticPr fontId="8" type="noConversion"/>
  </si>
  <si>
    <t>1) Sales Production Q'ty</t>
    <phoneticPr fontId="8" type="noConversion"/>
  </si>
  <si>
    <t>Yield%</t>
    <phoneticPr fontId="8" type="noConversion"/>
  </si>
  <si>
    <t>Automotive</t>
    <phoneticPr fontId="8" type="noConversion"/>
  </si>
  <si>
    <t xml:space="preserve">Mobile/Auto </t>
    <phoneticPr fontId="8" type="noConversion"/>
  </si>
  <si>
    <t>Front HSG</t>
    <phoneticPr fontId="8" type="noConversion"/>
  </si>
  <si>
    <t>Frame</t>
    <phoneticPr fontId="8" type="noConversion"/>
  </si>
  <si>
    <t>Others</t>
    <phoneticPr fontId="8" type="noConversion"/>
  </si>
  <si>
    <t>ACP2 Housing</t>
    <phoneticPr fontId="8" type="noConversion"/>
  </si>
  <si>
    <t xml:space="preserve">   </t>
    <phoneticPr fontId="8" type="noConversion"/>
  </si>
  <si>
    <t>[USD]</t>
    <phoneticPr fontId="8" type="noConversion"/>
  </si>
  <si>
    <t xml:space="preserve">    Others (Mold)</t>
    <phoneticPr fontId="60" type="noConversion"/>
  </si>
  <si>
    <t>Retirement Korean</t>
    <phoneticPr fontId="8" type="noConversion"/>
  </si>
  <si>
    <t>Mold Fee (Others)  &amp; VAT refund</t>
    <phoneticPr fontId="8" type="noConversion"/>
  </si>
  <si>
    <t>Salary (SHUI, PIT)</t>
  </si>
  <si>
    <t>관리비(Tool 소모품)</t>
    <phoneticPr fontId="8" type="noConversion"/>
  </si>
  <si>
    <t>3) Actual Casting Machine Q'ty</t>
    <phoneticPr fontId="8" type="noConversion"/>
  </si>
  <si>
    <t>4) Equipment balance</t>
    <phoneticPr fontId="8" type="noConversion"/>
  </si>
  <si>
    <t>5) MCT Production Rate &amp; Q'ty</t>
    <phoneticPr fontId="8" type="noConversion"/>
  </si>
  <si>
    <t>Apr</t>
  </si>
  <si>
    <t>May</t>
  </si>
  <si>
    <t>Aug</t>
  </si>
  <si>
    <t>Sep</t>
  </si>
  <si>
    <t>1)Product Plan (BOM) Material Total</t>
    <phoneticPr fontId="8" type="noConversion"/>
  </si>
  <si>
    <t>Othes invest and Long term - Sacombank</t>
  </si>
  <si>
    <t>Ugint PT400SS Samchully machine</t>
  </si>
  <si>
    <t>Qty</t>
  </si>
  <si>
    <t xml:space="preserve">Rental - oversea -warehouse </t>
  </si>
  <si>
    <t>Others (Garden and cleaning,EHS,comsumption,Unreasonable...)</t>
  </si>
  <si>
    <t xml:space="preserve">Lathe CNC Machine </t>
  </si>
  <si>
    <t>CNC machine</t>
  </si>
  <si>
    <t>25.Jun.2024</t>
  </si>
  <si>
    <t>12.Jul.2024</t>
  </si>
  <si>
    <t>Depreciation Financial Assets (Chailease)</t>
  </si>
  <si>
    <t>Loan date</t>
  </si>
  <si>
    <t xml:space="preserve">Principle  Loan
Contract </t>
  </si>
  <si>
    <t>Month of Loan</t>
  </si>
  <si>
    <t>17.Jun.2022</t>
  </si>
  <si>
    <t>Supplying and installing transformer</t>
  </si>
  <si>
    <t>29.Nov.2022</t>
  </si>
  <si>
    <t>08.Dec.2022</t>
  </si>
  <si>
    <t>3D measuring machine</t>
  </si>
  <si>
    <t>18.May.2023</t>
  </si>
  <si>
    <t>Chailease</t>
  </si>
  <si>
    <t>2.Fix Assets use long loan And Finacial Fix assets ( Interest Amount)</t>
    <phoneticPr fontId="8" type="noConversion"/>
  </si>
  <si>
    <t xml:space="preserve">Principle Loan
Contract </t>
  </si>
  <si>
    <t>Note</t>
  </si>
  <si>
    <t>3) Financial Expenses</t>
    <phoneticPr fontId="8" type="noConversion"/>
  </si>
  <si>
    <t>Financial expenses</t>
    <phoneticPr fontId="8" type="noConversion"/>
  </si>
  <si>
    <t>COGS(COGM)</t>
    <phoneticPr fontId="8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</si>
  <si>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</t>
    <phoneticPr fontId="8" type="noConversion"/>
  </si>
  <si>
    <t xml:space="preserve">Casting Machine 350V7EX </t>
    <phoneticPr fontId="8" type="noConversion"/>
  </si>
  <si>
    <t xml:space="preserve">12. Fix Assets  Loan (FA) </t>
    <phoneticPr fontId="8" type="noConversion"/>
  </si>
  <si>
    <t>Total</t>
    <phoneticPr fontId="16" type="noConversion"/>
  </si>
  <si>
    <t>Salary Koren update: Jun.24</t>
  </si>
  <si>
    <t>Other Expenses
(Net other Income &amp; expense &amp; gain loss exchang rate)</t>
    <phoneticPr fontId="8" type="noConversion"/>
  </si>
  <si>
    <t xml:space="preserve">Tháng 8 </t>
  </si>
  <si>
    <t>Giảm 1</t>
  </si>
  <si>
    <t>Net profit</t>
    <phoneticPr fontId="8" type="noConversion"/>
  </si>
  <si>
    <t>10. INCOME STATEMENT (IS)</t>
    <phoneticPr fontId="8" type="noConversion"/>
  </si>
  <si>
    <t>LGIT</t>
    <phoneticPr fontId="8" type="noConversion"/>
  </si>
  <si>
    <t>Feb.25</t>
  </si>
  <si>
    <t>Mar.25</t>
  </si>
  <si>
    <t>May.25</t>
  </si>
  <si>
    <t>Jun.25</t>
  </si>
  <si>
    <t>Jul.25</t>
  </si>
  <si>
    <t>Aug.25</t>
  </si>
  <si>
    <t>Sep.25</t>
  </si>
  <si>
    <t>Oct.25</t>
  </si>
  <si>
    <t>Nov.25</t>
  </si>
  <si>
    <t>Dec.25</t>
  </si>
  <si>
    <t>Anodizing</t>
    <phoneticPr fontId="8" type="noConversion"/>
  </si>
  <si>
    <t>Jan</t>
  </si>
  <si>
    <t>Feb</t>
  </si>
  <si>
    <t>Mar</t>
  </si>
  <si>
    <t>Jun</t>
  </si>
  <si>
    <t>Barel</t>
  </si>
  <si>
    <t>Chomate</t>
  </si>
  <si>
    <t>Cleanning(Sơn)</t>
  </si>
  <si>
    <t>Soi Dino</t>
  </si>
  <si>
    <t>Dán tape (Sơn)</t>
  </si>
  <si>
    <t>CNC1</t>
  </si>
  <si>
    <t>Anodizing Hmal</t>
  </si>
  <si>
    <t>Lazer</t>
  </si>
  <si>
    <t>CNC 1</t>
  </si>
  <si>
    <t>Clean</t>
  </si>
  <si>
    <t>Gasket (Sơn)</t>
  </si>
  <si>
    <t>Ass Tape Gasket (LẮp ráp)</t>
  </si>
  <si>
    <t>Lazer   &amp; Clean</t>
  </si>
  <si>
    <t>CNC 2.3</t>
  </si>
  <si>
    <t>Ép Pin</t>
  </si>
  <si>
    <t xml:space="preserve"> Clean (Auto)</t>
  </si>
  <si>
    <t>Leakage Testing</t>
  </si>
  <si>
    <t>Clean ( Sơn)</t>
  </si>
  <si>
    <t>Trimming-Blaster</t>
  </si>
  <si>
    <t>Tiện</t>
  </si>
  <si>
    <t>Clean (AUTO)</t>
  </si>
  <si>
    <t>CNC (Smartech)</t>
  </si>
  <si>
    <t>Paint( WJ)</t>
  </si>
  <si>
    <t>Inlogo</t>
  </si>
  <si>
    <t>Bending</t>
  </si>
  <si>
    <t>Hotpress</t>
  </si>
  <si>
    <t>Marking</t>
  </si>
  <si>
    <t>Total Interest</t>
  </si>
  <si>
    <t>TOTAL TO PAY ( principle and interst)MOTHLY</t>
  </si>
  <si>
    <t>2024-Q1
 Unit Price</t>
    <phoneticPr fontId="8" type="noConversion"/>
  </si>
  <si>
    <t>2024-Q2
 Unit Price</t>
    <phoneticPr fontId="8" type="noConversion"/>
  </si>
  <si>
    <t>2024-Q3
 Unit Price</t>
    <phoneticPr fontId="8" type="noConversion"/>
  </si>
  <si>
    <t>2024-Q4
 Unit Price</t>
    <phoneticPr fontId="8" type="noConversion"/>
  </si>
  <si>
    <t>2025
Unit Price</t>
    <phoneticPr fontId="8" type="noConversion"/>
  </si>
  <si>
    <t>2026
Unit Price</t>
    <phoneticPr fontId="8" type="noConversion"/>
  </si>
  <si>
    <t>2027
Unit Price</t>
    <phoneticPr fontId="8" type="noConversion"/>
  </si>
  <si>
    <t>2028
Unit Price</t>
    <phoneticPr fontId="8" type="noConversion"/>
  </si>
  <si>
    <t>2024 Quantity</t>
    <phoneticPr fontId="25" type="noConversion"/>
  </si>
  <si>
    <t>2024 Amount (USD)</t>
    <phoneticPr fontId="25" type="noConversion"/>
  </si>
  <si>
    <t>2025 Quantity</t>
  </si>
  <si>
    <t>2025 Amount (USD)</t>
    <phoneticPr fontId="25" type="noConversion"/>
  </si>
  <si>
    <t>2026 Quantity</t>
  </si>
  <si>
    <t>2026 Amount (USD)</t>
    <phoneticPr fontId="25" type="noConversion"/>
  </si>
  <si>
    <t>2027 Quantity</t>
    <phoneticPr fontId="25" type="noConversion"/>
  </si>
  <si>
    <t>2027 Amount (USD)</t>
    <phoneticPr fontId="25" type="noConversion"/>
  </si>
  <si>
    <t>2028 Quantity</t>
    <phoneticPr fontId="25" type="noConversion"/>
  </si>
  <si>
    <t>2028 Amount (USD)</t>
    <phoneticPr fontId="25" type="noConversion"/>
  </si>
  <si>
    <t>Jan</t>
    <phoneticPr fontId="25" type="noConversion"/>
  </si>
  <si>
    <t>Feb</t>
    <phoneticPr fontId="25" type="noConversion"/>
  </si>
  <si>
    <t>Mar</t>
    <phoneticPr fontId="25" type="noConversion"/>
  </si>
  <si>
    <t>Apr</t>
    <phoneticPr fontId="25" type="noConversion"/>
  </si>
  <si>
    <t>Jul</t>
  </si>
  <si>
    <t>Dec</t>
    <phoneticPr fontId="25" type="noConversion"/>
  </si>
  <si>
    <t>Total 2024</t>
    <phoneticPr fontId="25" type="noConversion"/>
  </si>
  <si>
    <t>Total 2025</t>
  </si>
  <si>
    <t>Total 2025</t>
    <phoneticPr fontId="25" type="noConversion"/>
  </si>
  <si>
    <t>Total 2026</t>
  </si>
  <si>
    <t>Total 2026</t>
    <phoneticPr fontId="25" type="noConversion"/>
  </si>
  <si>
    <t>Total 2027</t>
    <phoneticPr fontId="25" type="noConversion"/>
  </si>
  <si>
    <t>Total 2028</t>
    <phoneticPr fontId="25" type="noConversion"/>
  </si>
  <si>
    <t>HEG Stand Cover</t>
    <phoneticPr fontId="25" type="noConversion"/>
  </si>
  <si>
    <t>Mold/Credit note</t>
    <phoneticPr fontId="25" type="noConversion"/>
  </si>
  <si>
    <t>Samsung BRK</t>
    <phoneticPr fontId="25" type="noConversion"/>
  </si>
  <si>
    <t>A346 Mobase</t>
    <phoneticPr fontId="25" type="noConversion"/>
  </si>
  <si>
    <t>A15</t>
    <phoneticPr fontId="25" type="noConversion"/>
  </si>
  <si>
    <t>GH61-18886A</t>
  </si>
  <si>
    <t>A35</t>
    <phoneticPr fontId="25" type="noConversion"/>
  </si>
  <si>
    <t>GH61-18868A</t>
  </si>
  <si>
    <t>New BRK 1</t>
  </si>
  <si>
    <t>New BRK 2</t>
  </si>
  <si>
    <t xml:space="preserve">Samsung CNC </t>
  </si>
  <si>
    <t>DM3 (S23)</t>
    <phoneticPr fontId="25" type="noConversion"/>
  </si>
  <si>
    <t>GH94-35427A</t>
    <phoneticPr fontId="25" type="noConversion"/>
  </si>
  <si>
    <t>Q4</t>
    <phoneticPr fontId="25" type="noConversion"/>
  </si>
  <si>
    <t xml:space="preserve">GH94-34528A    </t>
  </si>
  <si>
    <t>Q5</t>
  </si>
  <si>
    <t>GH94-35418A</t>
  </si>
  <si>
    <t>HX1</t>
  </si>
  <si>
    <t>GH94-26469A</t>
  </si>
  <si>
    <t>B0</t>
    <phoneticPr fontId="25" type="noConversion"/>
  </si>
  <si>
    <t>GH94-32719A</t>
  </si>
  <si>
    <t>E1</t>
  </si>
  <si>
    <t>GH94-38080A</t>
  </si>
  <si>
    <t>B6</t>
  </si>
  <si>
    <t>GH94-39228A</t>
  </si>
  <si>
    <t>Q6 Sub</t>
  </si>
  <si>
    <t>GH94-39352A</t>
  </si>
  <si>
    <t>Beyond2</t>
    <phoneticPr fontId="25" type="noConversion"/>
  </si>
  <si>
    <t>GH94-21815A</t>
  </si>
  <si>
    <t>Qualcomm</t>
    <phoneticPr fontId="25" type="noConversion"/>
  </si>
  <si>
    <t>MTP Pinnacles</t>
    <phoneticPr fontId="25" type="noConversion"/>
  </si>
  <si>
    <t>MTP/IDP</t>
    <phoneticPr fontId="25" type="noConversion"/>
  </si>
  <si>
    <t>MTP Pakala</t>
    <phoneticPr fontId="25" type="noConversion"/>
  </si>
  <si>
    <t>LDS Antenna</t>
    <phoneticPr fontId="25" type="noConversion"/>
  </si>
  <si>
    <t>LDS</t>
    <phoneticPr fontId="25" type="noConversion"/>
  </si>
  <si>
    <t xml:space="preserve">LG Innotek </t>
    <phoneticPr fontId="25" type="noConversion"/>
  </si>
  <si>
    <t>(GEN3/AL5) - YT</t>
    <phoneticPr fontId="25" type="noConversion"/>
  </si>
  <si>
    <t>(GEN3/AL6) - YT</t>
    <phoneticPr fontId="25" type="noConversion"/>
  </si>
  <si>
    <t>3CAC00159A_MX</t>
  </si>
  <si>
    <t>3CAC00160A_MX</t>
  </si>
  <si>
    <t>(GEN3/AL5) - YT (추가물량)</t>
    <phoneticPr fontId="25" type="noConversion"/>
  </si>
  <si>
    <t>(GEN3/AL6) - YT (추가물량)</t>
    <phoneticPr fontId="25" type="noConversion"/>
  </si>
  <si>
    <t>(GEN3/AL5) - MX (추가물량)</t>
    <phoneticPr fontId="60" type="noConversion"/>
  </si>
  <si>
    <t>(GEN3/AL6) - MX (추가물량)</t>
    <phoneticPr fontId="60" type="noConversion"/>
  </si>
  <si>
    <t>3MAM00269A</t>
    <phoneticPr fontId="25" type="noConversion"/>
  </si>
  <si>
    <t>T6 Housing M6</t>
    <phoneticPr fontId="25" type="noConversion"/>
  </si>
  <si>
    <t>T6 Housing M8</t>
    <phoneticPr fontId="25" type="noConversion"/>
  </si>
  <si>
    <t>T6 Bearing Plate</t>
    <phoneticPr fontId="25" type="noConversion"/>
  </si>
  <si>
    <t xml:space="preserve">LG Innotek </t>
  </si>
  <si>
    <t>T6 Housing M6 - Mexico</t>
    <phoneticPr fontId="60" type="noConversion"/>
  </si>
  <si>
    <t>T6 Housing M8 - Mexico</t>
    <phoneticPr fontId="60" type="noConversion"/>
  </si>
  <si>
    <t>BEV Housing</t>
    <phoneticPr fontId="60" type="noConversion"/>
  </si>
  <si>
    <t>T6 BP - Mexico</t>
    <phoneticPr fontId="60" type="noConversion"/>
  </si>
  <si>
    <t>T3 BP</t>
    <phoneticPr fontId="60" type="noConversion"/>
  </si>
  <si>
    <t xml:space="preserve">CL4 Housing </t>
  </si>
  <si>
    <t xml:space="preserve">CL4 Cover </t>
  </si>
  <si>
    <t xml:space="preserve">MQ4a PE Housing </t>
    <phoneticPr fontId="25" type="noConversion"/>
  </si>
  <si>
    <t>3CAZ00039A</t>
  </si>
  <si>
    <t>MQ4a PE Cover</t>
    <phoneticPr fontId="25" type="noConversion"/>
  </si>
  <si>
    <t>3CAZ00038A</t>
  </si>
  <si>
    <t>BYD Housing</t>
  </si>
  <si>
    <t>3CAC00129A</t>
  </si>
  <si>
    <t>BYD Bracket(cover)</t>
  </si>
  <si>
    <t>3MAM00121A</t>
  </si>
  <si>
    <t xml:space="preserve">BYD HX Housing </t>
  </si>
  <si>
    <t>3HUO00001A</t>
  </si>
  <si>
    <t>New LGIT R-EPS Housing 1</t>
    <phoneticPr fontId="25" type="noConversion"/>
  </si>
  <si>
    <t>New LGIT R-EPS Cover 1</t>
    <phoneticPr fontId="25" type="noConversion"/>
  </si>
  <si>
    <t>New LGIT R-EPS Housing 2</t>
    <phoneticPr fontId="25" type="noConversion"/>
  </si>
  <si>
    <t>New LGIT R-EPS Cover 2</t>
    <phoneticPr fontId="25" type="noConversion"/>
  </si>
  <si>
    <t>New LGIT C-EPS Housing 1</t>
    <phoneticPr fontId="25" type="noConversion"/>
  </si>
  <si>
    <t>New LGIT C-EPS Cover 1</t>
    <phoneticPr fontId="25" type="noConversion"/>
  </si>
  <si>
    <t>BMS Top Case-PL</t>
    <phoneticPr fontId="25" type="noConversion"/>
  </si>
  <si>
    <t>DCU15 Housing-KR</t>
    <phoneticPr fontId="25" type="noConversion"/>
  </si>
  <si>
    <t>DCU15 Cover-KR</t>
    <phoneticPr fontId="25" type="noConversion"/>
  </si>
  <si>
    <t>Mold/Sample</t>
    <phoneticPr fontId="25" type="noConversion"/>
  </si>
  <si>
    <t>LG Innotek Total</t>
    <phoneticPr fontId="25" type="noConversion"/>
  </si>
  <si>
    <t>NX4 Cover</t>
    <phoneticPr fontId="25" type="noConversion"/>
  </si>
  <si>
    <t>TEY GEN4 Heatsink Cover</t>
    <phoneticPr fontId="25" type="noConversion"/>
  </si>
  <si>
    <t>RS4 Housing</t>
    <phoneticPr fontId="25" type="noConversion"/>
  </si>
  <si>
    <t>RS4 Cover</t>
    <phoneticPr fontId="25" type="noConversion"/>
  </si>
  <si>
    <t>J100 Housing</t>
    <phoneticPr fontId="25" type="noConversion"/>
  </si>
  <si>
    <t>SV52 Housing Cover</t>
    <phoneticPr fontId="25" type="noConversion"/>
  </si>
  <si>
    <t>ME210SV500</t>
    <phoneticPr fontId="25" type="noConversion"/>
  </si>
  <si>
    <t>New Mando R-EPS HSG 1</t>
    <phoneticPr fontId="25" type="noConversion"/>
  </si>
  <si>
    <t>New Mando R-EPS CVR 1</t>
    <phoneticPr fontId="60" type="noConversion"/>
  </si>
  <si>
    <t>New Mando R-EPS HSG 2</t>
    <phoneticPr fontId="25" type="noConversion"/>
  </si>
  <si>
    <t>New Mando R-EPS CVR 2</t>
    <phoneticPr fontId="60" type="noConversion"/>
  </si>
  <si>
    <t>New Mando C-EPS HSG 1</t>
    <phoneticPr fontId="60" type="noConversion"/>
  </si>
  <si>
    <t>New Mando C-EPS CVR 1</t>
    <phoneticPr fontId="60" type="noConversion"/>
  </si>
  <si>
    <t>New Mando iMEB</t>
    <phoneticPr fontId="60" type="noConversion"/>
  </si>
  <si>
    <t>New Mando NX5 HSG</t>
    <phoneticPr fontId="60" type="noConversion"/>
  </si>
  <si>
    <t>New Mando NX5 CVR</t>
    <phoneticPr fontId="60" type="noConversion"/>
  </si>
  <si>
    <t>HL Klemove</t>
    <phoneticPr fontId="25" type="noConversion"/>
  </si>
  <si>
    <t>L00.136-00</t>
    <phoneticPr fontId="25" type="noConversion"/>
  </si>
  <si>
    <t>RG3 Heatsink Cover</t>
    <phoneticPr fontId="25" type="noConversion"/>
  </si>
  <si>
    <t>FCM30-Upper Housing</t>
    <phoneticPr fontId="25" type="noConversion"/>
  </si>
  <si>
    <t>FCM30-Lower Housing</t>
    <phoneticPr fontId="25" type="noConversion"/>
  </si>
  <si>
    <t>ZF</t>
    <phoneticPr fontId="25" type="noConversion"/>
  </si>
  <si>
    <t>A010R190</t>
    <phoneticPr fontId="25" type="noConversion"/>
  </si>
  <si>
    <t>A010W096</t>
    <phoneticPr fontId="25" type="noConversion"/>
  </si>
  <si>
    <t>A011F352</t>
    <phoneticPr fontId="25" type="noConversion"/>
  </si>
  <si>
    <t>A011F352</t>
  </si>
  <si>
    <t>GM Housing / GM EU2L-CN</t>
    <phoneticPr fontId="25" type="noConversion"/>
  </si>
  <si>
    <t>GM Housing / GM EU2L -MON</t>
    <phoneticPr fontId="25" type="noConversion"/>
  </si>
  <si>
    <t>GM Cover / GM EU2L-MON</t>
    <phoneticPr fontId="25" type="noConversion"/>
  </si>
  <si>
    <t>GM Lens Mount / GM EU2L-MON</t>
    <phoneticPr fontId="25" type="noConversion"/>
  </si>
  <si>
    <t>GM Lens Mount / GM EU2L-UK</t>
  </si>
  <si>
    <t>IPM 2.0 Housing Base+</t>
    <phoneticPr fontId="25" type="noConversion"/>
  </si>
  <si>
    <t>IPM 2.0 Housing Premium</t>
    <phoneticPr fontId="25" type="noConversion"/>
  </si>
  <si>
    <t>New ADAS HSG 1</t>
    <phoneticPr fontId="25" type="noConversion"/>
  </si>
  <si>
    <t>New ADAS CVR 1</t>
    <phoneticPr fontId="25" type="noConversion"/>
  </si>
  <si>
    <t>New LogoPlate 1</t>
    <phoneticPr fontId="25" type="noConversion"/>
  </si>
  <si>
    <t>Claim (Credit Note)</t>
    <phoneticPr fontId="25" type="noConversion"/>
  </si>
  <si>
    <t>Hyosung</t>
    <phoneticPr fontId="25" type="noConversion"/>
  </si>
  <si>
    <t>Hyosung-GEN5 Block</t>
    <phoneticPr fontId="8" type="noConversion"/>
  </si>
  <si>
    <t>Hyosung-MQ4 Cover</t>
    <phoneticPr fontId="8" type="noConversion"/>
  </si>
  <si>
    <t>Hyosung-P739 EPS Housing</t>
    <phoneticPr fontId="8" type="noConversion"/>
  </si>
  <si>
    <t>Hyosung-P739 EPS Cover</t>
    <phoneticPr fontId="8" type="noConversion"/>
  </si>
  <si>
    <t>Hyosung Total</t>
    <phoneticPr fontId="25" type="noConversion"/>
  </si>
  <si>
    <t>TTI</t>
    <phoneticPr fontId="25" type="noConversion"/>
  </si>
  <si>
    <t>Guidance</t>
    <phoneticPr fontId="25" type="noConversion"/>
  </si>
  <si>
    <t>Others</t>
    <phoneticPr fontId="25" type="noConversion"/>
  </si>
  <si>
    <t>Others + Scrap</t>
    <phoneticPr fontId="25" type="noConversion"/>
  </si>
  <si>
    <t>Time/1day</t>
    <phoneticPr fontId="8" type="noConversion"/>
  </si>
  <si>
    <t xml:space="preserve">W/F+SHUI </t>
    <phoneticPr fontId="8" type="noConversion"/>
  </si>
  <si>
    <t>W/F+exr</t>
    <phoneticPr fontId="8" type="noConversion"/>
  </si>
  <si>
    <t>Interest</t>
    <phoneticPr fontId="8" type="noConversion"/>
  </si>
  <si>
    <t>Interest monthly (Average)</t>
    <phoneticPr fontId="8" type="noConversion"/>
  </si>
  <si>
    <t>Principle monthly (Average)</t>
    <phoneticPr fontId="8" type="noConversion"/>
  </si>
  <si>
    <t>합계</t>
  </si>
  <si>
    <t>담당부서</t>
    <phoneticPr fontId="8" type="noConversion"/>
  </si>
  <si>
    <t>Content</t>
    <phoneticPr fontId="8" type="noConversion"/>
  </si>
  <si>
    <t>Remarks</t>
    <phoneticPr fontId="8" type="noConversion"/>
  </si>
  <si>
    <t>EM</t>
    <phoneticPr fontId="8" type="noConversion"/>
  </si>
  <si>
    <t>S Plan</t>
    <phoneticPr fontId="8" type="noConversion"/>
  </si>
  <si>
    <t>매출 계획 재 확인</t>
    <phoneticPr fontId="8" type="noConversion"/>
  </si>
  <si>
    <t>- 각 고객사 2025년 SOP 최신 데이터 입수 후 반영
- T6 멕시코향 기존 3분기 시작 → 2분기 시작으로 변경
   CL4 '24년 수량 수준 반영 (기존 월 4.8만개 → 6만개)
   IMEB2 고객사로부터 증량 수량 수취 (기존 월 2.9만개 → 4.2만개)
   삼성 A26, A36 수주 건  (월 30만개(2벌) 기준)</t>
    <phoneticPr fontId="8" type="noConversion"/>
  </si>
  <si>
    <t>개발 중 제품</t>
    <phoneticPr fontId="8" type="noConversion"/>
  </si>
  <si>
    <t>- 고객사 및 품명 : LGIT eK Cover
-  양산 기간 : 25년 하반기 ~ 2031년
-  총 매출 : $1,748,858</t>
    <phoneticPr fontId="8" type="noConversion"/>
  </si>
  <si>
    <t>Production Plan</t>
    <phoneticPr fontId="8" type="noConversion"/>
  </si>
  <si>
    <t>P Plan</t>
    <phoneticPr fontId="8" type="noConversion"/>
  </si>
  <si>
    <t>Production Plan,
EM</t>
    <phoneticPr fontId="8" type="noConversion"/>
  </si>
  <si>
    <t>P Plan-2</t>
    <phoneticPr fontId="8" type="noConversion"/>
  </si>
  <si>
    <t>예상 금형 제작 벌 수</t>
    <phoneticPr fontId="8" type="noConversion"/>
  </si>
  <si>
    <t>- 사내 제작 : $835,807 (79set)
- 외주 제작 : $492,370 (20set - 한국) + $53,500 (5set - 베트남)
- 합계 : $1,328,177 (104set)</t>
    <phoneticPr fontId="8" type="noConversion"/>
  </si>
  <si>
    <t>Production, Production Plan, Quality, Finance</t>
    <phoneticPr fontId="8" type="noConversion"/>
  </si>
  <si>
    <t>L Plan</t>
    <phoneticPr fontId="8" type="noConversion"/>
  </si>
  <si>
    <t>CNC 자동화</t>
    <phoneticPr fontId="8" type="noConversion"/>
  </si>
  <si>
    <t xml:space="preserve"> - CNC 선반 + MCT 자동화 도입 (1X3)+(1X2)
 - CNC 자동화(1X6)  - 다관절 로봇타입
 - 세척 및 검사 결합라인 등을 통한 인력절감</t>
    <phoneticPr fontId="8" type="noConversion"/>
  </si>
  <si>
    <t>사상 자동화</t>
    <phoneticPr fontId="8" type="noConversion"/>
  </si>
  <si>
    <t xml:space="preserve"> - 하우징/ 플레이트 사상 자동화 도입으로 인원절감 추진
 - 카메라류/브라캣 류 사상 자동화 도입
 - 브라캣류 열정형 자동화 진행</t>
    <phoneticPr fontId="8" type="noConversion"/>
  </si>
  <si>
    <t xml:space="preserve">비용 절감 (품질팀) </t>
    <phoneticPr fontId="8" type="noConversion"/>
  </si>
  <si>
    <t xml:space="preserve">- 검사 인원 축소  (152명 → 87명, 43% 인원절감)
- 외관 한도 완화 : AUTO 제품 4% 폐기 비용 절감 </t>
    <phoneticPr fontId="8" type="noConversion"/>
  </si>
  <si>
    <t>M Plan</t>
    <phoneticPr fontId="8" type="noConversion"/>
  </si>
  <si>
    <t>O Plan</t>
    <phoneticPr fontId="8" type="noConversion"/>
  </si>
  <si>
    <t>Finance</t>
    <phoneticPr fontId="8" type="noConversion"/>
  </si>
  <si>
    <t>E Plan</t>
    <phoneticPr fontId="8" type="noConversion"/>
  </si>
  <si>
    <t>Automation</t>
    <phoneticPr fontId="8" type="noConversion"/>
  </si>
  <si>
    <t>I Plan</t>
    <phoneticPr fontId="8" type="noConversion"/>
  </si>
  <si>
    <t>C Plan</t>
    <phoneticPr fontId="8" type="noConversion"/>
  </si>
  <si>
    <t>586명</t>
    <phoneticPr fontId="8" type="noConversion"/>
  </si>
  <si>
    <t>고객사별 인원</t>
    <phoneticPr fontId="8" type="noConversion"/>
  </si>
  <si>
    <t>- 삼성 제품 생산을 위한 직접 인력: 103명
- LG/Mando/Hyosung 제품 생산을 위한 직접 인력: 303명
- ZF 제품 생산을 위한 직접 인력: 180명</t>
    <phoneticPr fontId="8" type="noConversion"/>
  </si>
  <si>
    <t>125Ton 부족</t>
    <phoneticPr fontId="8" type="noConversion"/>
  </si>
  <si>
    <t>MCT 부족</t>
    <phoneticPr fontId="8" type="noConversion"/>
  </si>
  <si>
    <t>125ton 부족으로 예상되어 현재 양산중인 125Ton 제품 350Ton으로 변경 필요</t>
    <phoneticPr fontId="8" type="noConversion"/>
  </si>
  <si>
    <t>Production 3</t>
    <phoneticPr fontId="8" type="noConversion"/>
  </si>
  <si>
    <t>Production 2</t>
    <phoneticPr fontId="8" type="noConversion"/>
  </si>
  <si>
    <t>Producrion 1</t>
    <phoneticPr fontId="8" type="noConversion"/>
  </si>
  <si>
    <t>오피스 인원</t>
    <phoneticPr fontId="8" type="noConversion"/>
  </si>
  <si>
    <t>2024년 90명, 2025년 70명으로 축소</t>
    <phoneticPr fontId="8" type="noConversion"/>
  </si>
  <si>
    <t>4월 T6 Mexico 향 신규 물량 수주로 기존 6월 추가 5대 구매 계획 4월로 변경 필요</t>
    <phoneticPr fontId="8" type="noConversion"/>
  </si>
  <si>
    <t>내부 리사이클 진행</t>
    <phoneticPr fontId="8" type="noConversion"/>
  </si>
  <si>
    <t>- 내부 리사이클 진행 예정으로, 리사이클링 비용 삭제
- 신재 52% 재생 48% 유지하되, 신재 사용 절감 방안 지속 강구</t>
    <phoneticPr fontId="8" type="noConversion"/>
  </si>
  <si>
    <t>외주 진행</t>
    <phoneticPr fontId="8" type="noConversion"/>
  </si>
  <si>
    <t>- 아노다이징 및 퀄컴 외주 외 100% 내부 진행</t>
    <phoneticPr fontId="8" type="noConversion"/>
  </si>
  <si>
    <t>구분</t>
    <phoneticPr fontId="8" type="noConversion"/>
  </si>
  <si>
    <t>매출액</t>
    <phoneticPr fontId="8" type="noConversion"/>
  </si>
  <si>
    <t>Ride</t>
    <phoneticPr fontId="8" type="noConversion"/>
  </si>
  <si>
    <t>Mold</t>
    <phoneticPr fontId="8" type="noConversion"/>
  </si>
  <si>
    <t xml:space="preserve">개인별 급여 월 23.5%보험가입비*총 인원+식대  </t>
    <phoneticPr fontId="8" type="noConversion"/>
  </si>
  <si>
    <t>5.M Plan 참조</t>
    <phoneticPr fontId="8" type="noConversion"/>
  </si>
  <si>
    <t>4.L Plan 참조</t>
    <phoneticPr fontId="8" type="noConversion"/>
  </si>
  <si>
    <t xml:space="preserve">베트남 기준 (사회,고용,건강보험,노동조합)가입, 복지(식대)  </t>
    <phoneticPr fontId="8" type="noConversion"/>
  </si>
  <si>
    <t>폐수처리 비용 (생활 폐수,오염 절삭유,크로메이트 처리 폐수 )</t>
    <phoneticPr fontId="8" type="noConversion"/>
  </si>
  <si>
    <t xml:space="preserve">월 계산=3개월 평균 가격 (월 인원수+캐스팅 가동수+크로메이트처리(시간당) 기준) </t>
    <phoneticPr fontId="8" type="noConversion"/>
  </si>
  <si>
    <t xml:space="preserve">8.I Plan 참조  </t>
    <phoneticPr fontId="8" type="noConversion"/>
  </si>
  <si>
    <t>24년 상반기 기준</t>
    <phoneticPr fontId="8" type="noConversion"/>
  </si>
  <si>
    <t>Alumium recycle</t>
  </si>
  <si>
    <t>10.Sep.2024</t>
  </si>
  <si>
    <t>CEO&amp;Director</t>
    <phoneticPr fontId="8" type="noConversion"/>
  </si>
  <si>
    <t>Depreciation</t>
    <phoneticPr fontId="8" type="noConversion"/>
  </si>
  <si>
    <t>1. Fix Assets use long loan And Finacial Fix assets ( Principle Amount)</t>
    <phoneticPr fontId="8" type="noConversion"/>
  </si>
  <si>
    <t xml:space="preserve"> Total  Principle</t>
    <phoneticPr fontId="16" type="noConversion"/>
  </si>
  <si>
    <t>9) Working Days</t>
    <phoneticPr fontId="8" type="noConversion"/>
  </si>
  <si>
    <t>3)SOP Worker plan</t>
    <phoneticPr fontId="8" type="noConversion"/>
  </si>
  <si>
    <t>Sewage charge</t>
    <phoneticPr fontId="8" type="noConversion"/>
  </si>
  <si>
    <t>4)Planned personnel reduction after automation</t>
    <phoneticPr fontId="8" type="noConversion"/>
  </si>
  <si>
    <t>전기비 (일 사용량kwh 평균*단가*일수)</t>
    <phoneticPr fontId="8" type="noConversion"/>
  </si>
  <si>
    <t>1월~5월, 10~12월 일 KWh</t>
    <phoneticPr fontId="8" type="noConversion"/>
  </si>
  <si>
    <t>6월~9월 일 KWh</t>
    <phoneticPr fontId="8" type="noConversion"/>
  </si>
  <si>
    <t xml:space="preserve">작업 일수 </t>
    <phoneticPr fontId="8" type="noConversion"/>
  </si>
  <si>
    <t>평균</t>
    <phoneticPr fontId="8" type="noConversion"/>
  </si>
  <si>
    <t>2024년 147명 절감</t>
    <phoneticPr fontId="8" type="noConversion"/>
  </si>
  <si>
    <t>Production</t>
    <phoneticPr fontId="8" type="noConversion"/>
  </si>
  <si>
    <t>Worker</t>
    <phoneticPr fontId="8" type="noConversion"/>
  </si>
  <si>
    <t>8) Meal-Amount</t>
    <phoneticPr fontId="8" type="noConversion"/>
  </si>
  <si>
    <t>3) Worker plan</t>
    <phoneticPr fontId="8" type="noConversion"/>
  </si>
  <si>
    <t>6) VN Salary Plan</t>
    <phoneticPr fontId="8" type="noConversion"/>
  </si>
  <si>
    <t xml:space="preserve">7) Workers Salary plan                      </t>
    <phoneticPr fontId="8" type="noConversion"/>
  </si>
  <si>
    <t>Meal Amount</t>
    <phoneticPr fontId="8" type="noConversion"/>
  </si>
  <si>
    <t xml:space="preserve">Vietnam </t>
    <phoneticPr fontId="8" type="noConversion"/>
  </si>
  <si>
    <t>Vietnam (Workers)</t>
    <phoneticPr fontId="8" type="noConversion"/>
  </si>
  <si>
    <t>VN Bonus</t>
    <phoneticPr fontId="8" type="noConversion"/>
  </si>
  <si>
    <t>OT</t>
    <phoneticPr fontId="8" type="noConversion"/>
  </si>
  <si>
    <t>Grand Total (Foreigner+VN+Workers)</t>
    <phoneticPr fontId="8" type="noConversion"/>
  </si>
  <si>
    <t>9) Direct vs Indirect Amount</t>
    <phoneticPr fontId="8" type="noConversion"/>
  </si>
  <si>
    <t>5) Foreigner Salary Plan</t>
    <phoneticPr fontId="8" type="noConversion"/>
  </si>
  <si>
    <t>Foreigner</t>
    <phoneticPr fontId="8" type="noConversion"/>
  </si>
  <si>
    <t>W/F + Tax</t>
    <phoneticPr fontId="8" type="noConversion"/>
  </si>
  <si>
    <t>105 days</t>
  </si>
  <si>
    <t>7) Direct vs Indirect Amount</t>
    <phoneticPr fontId="8" type="noConversion"/>
  </si>
  <si>
    <t>Vietnam Workers</t>
    <phoneticPr fontId="8" type="noConversion"/>
  </si>
  <si>
    <t>AVR.S</t>
    <phoneticPr fontId="8" type="noConversion"/>
  </si>
  <si>
    <t>수출액기준</t>
  </si>
  <si>
    <t>추가 없음</t>
    <phoneticPr fontId="8" type="noConversion"/>
  </si>
  <si>
    <t>12. FA Loan</t>
    <phoneticPr fontId="8" type="noConversion"/>
  </si>
  <si>
    <t>- 대출 현황</t>
    <phoneticPr fontId="8" type="noConversion"/>
  </si>
  <si>
    <t>Mobile</t>
  </si>
  <si>
    <t>Bracket</t>
  </si>
  <si>
    <t>MTP+IDP+ADP</t>
  </si>
  <si>
    <t>Ride5</t>
  </si>
  <si>
    <t>Motor HSG</t>
  </si>
  <si>
    <t>GEN3 AL5 Housing (YT)</t>
  </si>
  <si>
    <t>GEN3 AL6 Housing (YT)</t>
  </si>
  <si>
    <t>GEN3 AL5  Housing (MX)</t>
  </si>
  <si>
    <t>GEN3 AL6 Housing (MX)</t>
  </si>
  <si>
    <t>T6 Housing</t>
  </si>
  <si>
    <t>CL4 Housing</t>
  </si>
  <si>
    <t>MQ4a PE Housing</t>
  </si>
  <si>
    <t>BYD  Housing</t>
  </si>
  <si>
    <t>Motor CVR</t>
  </si>
  <si>
    <t>Gen2 Cover</t>
  </si>
  <si>
    <t>T6 Cover</t>
  </si>
  <si>
    <t>EK_Part Cover</t>
  </si>
  <si>
    <t>CL4 Cover</t>
  </si>
  <si>
    <t xml:space="preserve">MQ4a PE Cover </t>
  </si>
  <si>
    <t>BYD Cover</t>
  </si>
  <si>
    <t>DCU15 Housing</t>
  </si>
  <si>
    <t>CAM CVR</t>
  </si>
  <si>
    <t>DCU15 Cover</t>
  </si>
  <si>
    <t>OMS Entry Vcsel Cover(250A)</t>
  </si>
  <si>
    <t>CAM L.Mount</t>
  </si>
  <si>
    <t>OMS Entry Lens Holder (203A)</t>
  </si>
  <si>
    <t>OMS Front Lens Holder (207A)</t>
  </si>
  <si>
    <t>J100 Housing</t>
  </si>
  <si>
    <t>NX4 Cover</t>
  </si>
  <si>
    <t>Tey Gen4 Cover</t>
  </si>
  <si>
    <t>RG3 Heatsink Cover</t>
  </si>
  <si>
    <t>Heatsink</t>
  </si>
  <si>
    <t>MAS65 Heatsink Cover</t>
  </si>
  <si>
    <t>FCA Housing</t>
  </si>
  <si>
    <t>GM EU2L Housing</t>
  </si>
  <si>
    <t>GM ACP Housing</t>
  </si>
  <si>
    <t>GM EU2L Cover</t>
  </si>
  <si>
    <t>GM ACP Cover</t>
  </si>
  <si>
    <t>Lens Mount</t>
  </si>
  <si>
    <t>IPM 1.0 Housing</t>
  </si>
  <si>
    <t>IPM 2.0  Base Housing</t>
  </si>
  <si>
    <t xml:space="preserve">Gen5 S.Block </t>
  </si>
  <si>
    <t>Hyosung</t>
  </si>
  <si>
    <t>Mando</t>
  </si>
  <si>
    <t>CAM HSG</t>
  </si>
  <si>
    <t>CAM HSG</t>
    <phoneticPr fontId="8" type="noConversion"/>
  </si>
  <si>
    <t xml:space="preserve">* 목표인원 관리 : 인당매출액과 생산량을 관리 -&gt; 인원조정 보다는 목표관리인원의 잔업 및 특근을 조정하여 일정한 인원을 유지하고 해당인원의  근속을 유지함 </t>
    <phoneticPr fontId="8" type="noConversion"/>
  </si>
  <si>
    <t>* 2025년 기초인원은 2024년 12월 말기준인원을 참조하여 반영함</t>
    <phoneticPr fontId="8" type="noConversion"/>
  </si>
  <si>
    <t xml:space="preserve">* 인원의 증감 </t>
    <phoneticPr fontId="8" type="noConversion"/>
  </si>
  <si>
    <t xml:space="preserve">  - 감소 : 자연감소는 전월 대비 5%의 인원이 감소하는 것으로 작성 (24년 월별평균 사직인원 비율 참고)   -&gt; 인사팀 자료 확인 필요 요청하였음</t>
    <phoneticPr fontId="8" type="noConversion"/>
  </si>
  <si>
    <t xml:space="preserve">  - 증가 : 관리 목표인원 부족시 충원 진행 -&gt; 당월 잔업 및 특근 사항을 고려하여 ±5% 이내에서 추가 고려 진행 (추가 고려 부분은 자연감소인원을 넘지 않는 부분에서 증원진행)</t>
    <phoneticPr fontId="8" type="noConversion"/>
  </si>
  <si>
    <t>* 부족한 부분은 OT관리를 통해서 생산계획에 맞추어 작업을 진행하는 것으로 함</t>
    <phoneticPr fontId="8" type="noConversion"/>
  </si>
  <si>
    <t>표준편자</t>
    <phoneticPr fontId="8" type="noConversion"/>
  </si>
  <si>
    <t>잔업취소</t>
    <phoneticPr fontId="8" type="noConversion"/>
  </si>
  <si>
    <t>잔업 2시간</t>
    <phoneticPr fontId="8" type="noConversion"/>
  </si>
  <si>
    <t>잔업 3시간</t>
    <phoneticPr fontId="8" type="noConversion"/>
  </si>
  <si>
    <t>작업시간 차이</t>
    <phoneticPr fontId="8" type="noConversion"/>
  </si>
  <si>
    <t>잔업시간 조정 확인</t>
    <phoneticPr fontId="8" type="noConversion"/>
  </si>
  <si>
    <t xml:space="preserve"> * 감소인원의 반영이 익월 부터 발생하는 것으로 가정함.  (실제로는 도입전후로 부터 인원 관리를 진행하여야 함)</t>
    <phoneticPr fontId="8" type="noConversion"/>
  </si>
  <si>
    <t xml:space="preserve"> * CRP 계획에서 인원 부분을 자동 계산하여 입력함</t>
    <phoneticPr fontId="8" type="noConversion"/>
  </si>
  <si>
    <t>1) Working Days</t>
    <phoneticPr fontId="8" type="noConversion"/>
  </si>
  <si>
    <t>* 전년도 평균 자연감소인원 비율 적용 (1,9월) :</t>
    <phoneticPr fontId="8" type="noConversion"/>
  </si>
  <si>
    <t>자연감소인원</t>
    <phoneticPr fontId="8" type="noConversion"/>
  </si>
  <si>
    <t>평균 특근일수</t>
    <phoneticPr fontId="8" type="noConversion"/>
  </si>
  <si>
    <t>월말예상인원</t>
    <phoneticPr fontId="8" type="noConversion"/>
  </si>
  <si>
    <t>채용인원</t>
    <phoneticPr fontId="8" type="noConversion"/>
  </si>
  <si>
    <t>기준</t>
    <phoneticPr fontId="8" type="noConversion"/>
  </si>
  <si>
    <t>* 12월 에는 소요인원보다 예상인원이 많으므로 잔업시간을 줄여서 인원 활용시간을 조정할 필요가 앖음</t>
    <phoneticPr fontId="8" type="noConversion"/>
  </si>
  <si>
    <t>2) 목표인원</t>
    <phoneticPr fontId="8" type="noConversion"/>
  </si>
  <si>
    <t>2-1) 소요인원</t>
    <phoneticPr fontId="8" type="noConversion"/>
  </si>
  <si>
    <t>2-2) 차이인원</t>
    <phoneticPr fontId="8" type="noConversion"/>
  </si>
  <si>
    <t>소요인원 - 목표인원 : 부족한 시간을 특근시간으로 계산하여 특근일자를 조정한다 -&gt; 인원은 목표인원을 기준으로 5% 이내에서만 이직 및 충원이 이루어 지도록 한다.</t>
    <phoneticPr fontId="8" type="noConversion"/>
  </si>
  <si>
    <t>Unit : Hour</t>
    <phoneticPr fontId="8" type="noConversion"/>
  </si>
  <si>
    <t>Unit : Day</t>
    <phoneticPr fontId="8" type="noConversion"/>
  </si>
  <si>
    <t>2-3) 초과 &amp; 부족 생산시간</t>
    <phoneticPr fontId="8" type="noConversion"/>
  </si>
  <si>
    <t>4-1. Labor Plan (L Plan)</t>
    <phoneticPr fontId="8" type="noConversion"/>
  </si>
  <si>
    <t xml:space="preserve"> * 자동화 진행에 따른 인원 조정을 반영하여 당월 생산 품목에 대하여 잔업 3시간 2교대로만 소요인원 산출</t>
    <phoneticPr fontId="8" type="noConversion"/>
  </si>
  <si>
    <t xml:space="preserve"> * 잔업 3시간 2교대 기준인원 계산</t>
    <phoneticPr fontId="8" type="noConversion"/>
  </si>
  <si>
    <t>참고1) Planned personnel reduction after automation</t>
    <phoneticPr fontId="8" type="noConversion"/>
  </si>
  <si>
    <t>기준수율</t>
    <phoneticPr fontId="8" type="noConversion"/>
  </si>
  <si>
    <t>공정</t>
    <phoneticPr fontId="8" type="noConversion"/>
  </si>
  <si>
    <t>1. 기준수율</t>
    <phoneticPr fontId="8" type="noConversion"/>
  </si>
  <si>
    <t>Hot</t>
    <phoneticPr fontId="8" type="noConversion"/>
  </si>
  <si>
    <t>Blasting</t>
    <phoneticPr fontId="8" type="noConversion"/>
  </si>
  <si>
    <t>참고2) 2024년 1~9월 현장직 이익율 현황</t>
    <phoneticPr fontId="8" type="noConversion"/>
  </si>
  <si>
    <t>Item</t>
    <phoneticPr fontId="8" type="noConversion"/>
  </si>
  <si>
    <t>Jan</t>
    <phoneticPr fontId="8" type="noConversion"/>
  </si>
  <si>
    <t>Production Workers</t>
    <phoneticPr fontId="8" type="noConversion"/>
  </si>
  <si>
    <t>Resignation</t>
    <phoneticPr fontId="8" type="noConversion"/>
  </si>
  <si>
    <t>Reason</t>
  </si>
  <si>
    <t>1-Go back to hometown
2-Moving to another company</t>
  </si>
  <si>
    <t>1-Moving to another company
2- New employees are not familiar with the job.</t>
  </si>
  <si>
    <t>1- New employees are not familiar with the job
2-Summer, hot working environment</t>
  </si>
  <si>
    <t>Personal reasons and going home</t>
  </si>
  <si>
    <t>%</t>
    <phoneticPr fontId="8" type="noConversion"/>
  </si>
  <si>
    <t>2-4) 특근소요 일수 계획</t>
    <phoneticPr fontId="8" type="noConversion"/>
  </si>
  <si>
    <t>참고3) Over Time Plan</t>
    <phoneticPr fontId="8" type="noConversion"/>
  </si>
  <si>
    <t xml:space="preserve"> * 뭘별 자연감소 및 채용인원</t>
    <phoneticPr fontId="8" type="noConversion"/>
  </si>
  <si>
    <t>1인당 매출액</t>
    <phoneticPr fontId="8" type="noConversion"/>
  </si>
  <si>
    <t>생산수량</t>
    <phoneticPr fontId="8" type="noConversion"/>
  </si>
  <si>
    <t>단가 (매출액/생산수량)</t>
    <phoneticPr fontId="8" type="noConversion"/>
  </si>
  <si>
    <t>* 자동화 감소인원 반영으로 수량은 늘어나지만 인당 매출액의 감소 폭이 작아짐</t>
    <phoneticPr fontId="8" type="noConversion"/>
  </si>
  <si>
    <t>참고3) 2025년 worker 당 매출액</t>
    <phoneticPr fontId="8" type="noConversion"/>
  </si>
  <si>
    <t>참고자료</t>
    <phoneticPr fontId="8" type="noConversion"/>
  </si>
  <si>
    <t xml:space="preserve">Employees </t>
    <phoneticPr fontId="8" type="noConversion"/>
  </si>
  <si>
    <t>(End of Month)</t>
  </si>
  <si>
    <t>FCM30-Upper Housing</t>
  </si>
  <si>
    <t>FCM30-Lower Housing</t>
  </si>
  <si>
    <t xml:space="preserve">FCM30 Lens Holder </t>
  </si>
  <si>
    <t>90 days</t>
    <phoneticPr fontId="6" type="noConversion"/>
  </si>
  <si>
    <t>1) Actual Production Q'ty</t>
    <phoneticPr fontId="8" type="noConversion"/>
  </si>
  <si>
    <t>Cavity</t>
    <phoneticPr fontId="8" type="noConversion"/>
  </si>
  <si>
    <t>Mold U/P</t>
    <phoneticPr fontId="8" type="noConversion"/>
  </si>
  <si>
    <t xml:space="preserve">    Others</t>
    <phoneticPr fontId="8" type="noConversion"/>
  </si>
  <si>
    <t>Mold T-Cost</t>
    <phoneticPr fontId="8" type="noConversion"/>
  </si>
  <si>
    <t>3) Mold  Amount</t>
    <phoneticPr fontId="8" type="noConversion"/>
  </si>
  <si>
    <t>Mold AVG Price</t>
    <phoneticPr fontId="8" type="noConversion"/>
  </si>
  <si>
    <t>In-House Amount</t>
    <phoneticPr fontId="8" type="noConversion"/>
  </si>
  <si>
    <t>한국 평균</t>
    <phoneticPr fontId="8" type="noConversion"/>
  </si>
  <si>
    <t>4) Sales(Mold) &amp; Amotization Qty</t>
    <phoneticPr fontId="8" type="noConversion"/>
  </si>
  <si>
    <t>Amotization</t>
    <phoneticPr fontId="8" type="noConversion"/>
  </si>
  <si>
    <t>5) Sales(Mold) &amp; Amotization Amount</t>
    <phoneticPr fontId="8" type="noConversion"/>
  </si>
  <si>
    <t>및 인원조정</t>
    <phoneticPr fontId="8" type="noConversion"/>
  </si>
  <si>
    <t>References</t>
  </si>
  <si>
    <t>References 2) Planned personnel reduction after automation</t>
    <phoneticPr fontId="8" type="noConversion"/>
  </si>
  <si>
    <t>References 1) Working Days</t>
    <phoneticPr fontId="8" type="noConversion"/>
  </si>
  <si>
    <t>References 3) 생산인원 조정현황</t>
    <phoneticPr fontId="8" type="noConversion"/>
  </si>
  <si>
    <t>4) Foreigner Salary Plan</t>
    <phoneticPr fontId="8" type="noConversion"/>
  </si>
  <si>
    <t>5) VN Salary Plan</t>
    <phoneticPr fontId="8" type="noConversion"/>
  </si>
  <si>
    <t xml:space="preserve">6) Workers Salary plan                      </t>
    <phoneticPr fontId="8" type="noConversion"/>
  </si>
  <si>
    <t>Die-casting BD-350V5EX</t>
  </si>
  <si>
    <t>05.Aug.2024</t>
  </si>
  <si>
    <t>CNC Machine</t>
  </si>
  <si>
    <t>X-ray</t>
  </si>
  <si>
    <t>Melting furnace</t>
  </si>
  <si>
    <t>24.Sep.2024</t>
  </si>
  <si>
    <t>기초 인원</t>
    <phoneticPr fontId="8" type="noConversion"/>
  </si>
  <si>
    <t>기말 인원</t>
    <phoneticPr fontId="8" type="noConversion"/>
  </si>
  <si>
    <t>(-) 감소 인원</t>
    <phoneticPr fontId="8" type="noConversion"/>
  </si>
  <si>
    <t xml:space="preserve">(+) 채용 및 내부 조정 </t>
    <phoneticPr fontId="8" type="noConversion"/>
  </si>
  <si>
    <t>Scrap</t>
    <phoneticPr fontId="8" type="noConversion"/>
  </si>
  <si>
    <t>Current Q'ty (Samsung  제외)</t>
    <phoneticPr fontId="8" type="noConversion"/>
  </si>
  <si>
    <t>자연감소 및 자동화에 따른 충원 및 부서조정</t>
  </si>
  <si>
    <t>* 2024년도 평균 자연감소인원 비율 적용 (1~9월) :</t>
    <phoneticPr fontId="8" type="noConversion"/>
  </si>
  <si>
    <t>* 분기별 인원계획을 작성하여 달성하도록 진행</t>
    <phoneticPr fontId="8" type="noConversion"/>
  </si>
  <si>
    <t>Categories</t>
  </si>
  <si>
    <t>Categories</t>
    <phoneticPr fontId="7" type="noConversion"/>
  </si>
  <si>
    <t>CAM HSG</t>
    <phoneticPr fontId="7" type="noConversion"/>
  </si>
  <si>
    <t>CAM CVR</t>
    <phoneticPr fontId="7" type="noConversion"/>
  </si>
  <si>
    <t>Categories</t>
    <phoneticPr fontId="8" type="noConversion"/>
  </si>
  <si>
    <r>
      <t>Data OT 202</t>
    </r>
    <r>
      <rPr>
        <sz val="11"/>
        <color theme="1"/>
        <rFont val="맑은 고딕"/>
        <family val="2"/>
        <scheme val="minor"/>
      </rPr>
      <t>4</t>
    </r>
    <phoneticPr fontId="8" type="noConversion"/>
  </si>
  <si>
    <t xml:space="preserve">Sewage </t>
    <phoneticPr fontId="8" type="noConversion"/>
  </si>
  <si>
    <t>Basic Assumption</t>
    <phoneticPr fontId="8" type="noConversion"/>
  </si>
  <si>
    <t>☆ M&amp;C 베트남 법인 사업계획 보고</t>
    <phoneticPr fontId="8" type="noConversion"/>
  </si>
  <si>
    <t>1) 개발영업 - 매출</t>
    <phoneticPr fontId="8" type="noConversion"/>
  </si>
  <si>
    <t>고객사</t>
    <phoneticPr fontId="8" type="noConversion"/>
  </si>
  <si>
    <t>2) 개발영업 - 제품 개발</t>
    <phoneticPr fontId="8" type="noConversion"/>
  </si>
  <si>
    <t>삼성</t>
    <phoneticPr fontId="8" type="noConversion"/>
  </si>
  <si>
    <t>- 자동화 설비 연계, 제품 개발 및 생산성 확보 효율화</t>
    <phoneticPr fontId="8" type="noConversion"/>
  </si>
  <si>
    <t>Other</t>
    <phoneticPr fontId="8" type="noConversion"/>
  </si>
  <si>
    <t>참고) summary</t>
    <phoneticPr fontId="8" type="noConversion"/>
  </si>
  <si>
    <t>1) 고객별 매출수량</t>
    <phoneticPr fontId="8" type="noConversion"/>
  </si>
  <si>
    <t>2) 고객별 매출액</t>
    <phoneticPr fontId="8" type="noConversion"/>
  </si>
  <si>
    <t>3) 카테고리별 매출수량</t>
    <phoneticPr fontId="8" type="noConversion"/>
  </si>
  <si>
    <t>점유율</t>
    <phoneticPr fontId="8" type="noConversion"/>
  </si>
  <si>
    <t>4) 카테고리별 매출액</t>
    <phoneticPr fontId="8" type="noConversion"/>
  </si>
  <si>
    <t>No</t>
    <phoneticPr fontId="8" type="noConversion"/>
  </si>
  <si>
    <t>NO</t>
    <phoneticPr fontId="7" type="noConversion"/>
  </si>
  <si>
    <t>No</t>
    <phoneticPr fontId="7" type="noConversion"/>
  </si>
  <si>
    <t>Basic Information</t>
    <phoneticPr fontId="8" type="noConversion"/>
  </si>
  <si>
    <t>Present Yield%</t>
  </si>
  <si>
    <t>가동율*수율</t>
    <phoneticPr fontId="8" type="noConversion"/>
  </si>
  <si>
    <t>Meterial</t>
    <phoneticPr fontId="8" type="noConversion"/>
  </si>
  <si>
    <t>평균불량율</t>
    <phoneticPr fontId="7" type="noConversion"/>
  </si>
  <si>
    <t>평균수율</t>
    <phoneticPr fontId="7" type="noConversion"/>
  </si>
  <si>
    <t>Meterial</t>
    <phoneticPr fontId="7" type="noConversion"/>
  </si>
  <si>
    <t>AVR.S</t>
  </si>
  <si>
    <t>Tax 계산</t>
    <phoneticPr fontId="5" type="noConversion"/>
  </si>
  <si>
    <t>법인세 비율</t>
    <phoneticPr fontId="8" type="noConversion"/>
  </si>
  <si>
    <t>과세</t>
    <phoneticPr fontId="8" type="noConversion"/>
  </si>
  <si>
    <t xml:space="preserve"> * 신재 구매비율 (신재구매소요량/생산중량)</t>
    <phoneticPr fontId="7" type="noConversion"/>
  </si>
  <si>
    <t xml:space="preserve"> * 신재구매량계산 (매출수량 * 제품중량) : 신재구매기준 수량</t>
    <phoneticPr fontId="7" type="noConversion"/>
  </si>
  <si>
    <t xml:space="preserve"> * 생산중량 계산 (생산수량 * 쇼트(BOM)중량[1세트 기준]) : 생산시 전체 소요량 산정기준 : </t>
    <phoneticPr fontId="7" type="noConversion"/>
  </si>
  <si>
    <t xml:space="preserve"> * 리사이클 소요 중량</t>
    <phoneticPr fontId="7" type="noConversion"/>
  </si>
  <si>
    <t>Shot
Weight(kg)
(1)</t>
    <phoneticPr fontId="8" type="noConversion"/>
  </si>
  <si>
    <t>Product Wigth(Kg)
(2)</t>
    <phoneticPr fontId="8" type="noConversion"/>
  </si>
  <si>
    <t>(2)/(1)</t>
    <phoneticPr fontId="8" type="noConversion"/>
  </si>
  <si>
    <t>이월금액</t>
    <phoneticPr fontId="8" type="noConversion"/>
  </si>
  <si>
    <t>기말금액</t>
    <phoneticPr fontId="8" type="noConversion"/>
  </si>
  <si>
    <t>잉여이익(손실)금액</t>
    <phoneticPr fontId="8" type="noConversion"/>
  </si>
  <si>
    <t>기초자금</t>
    <phoneticPr fontId="8" type="noConversion"/>
  </si>
  <si>
    <t>* 전년도 기초금액입력</t>
    <phoneticPr fontId="8" type="noConversion"/>
  </si>
  <si>
    <t>NO</t>
    <phoneticPr fontId="8" type="noConversion"/>
  </si>
  <si>
    <t>ADC12</t>
  </si>
  <si>
    <t>1-1)Product Plan Product Material Total</t>
    <phoneticPr fontId="8" type="noConversion"/>
  </si>
  <si>
    <t>Ride5</t>
    <phoneticPr fontId="8" type="noConversion"/>
  </si>
  <si>
    <t>Interest of Bank (short loan)</t>
    <phoneticPr fontId="8" type="noConversion"/>
  </si>
  <si>
    <t>Interest long loan ( machine)</t>
    <phoneticPr fontId="8" type="noConversion"/>
  </si>
  <si>
    <t>S36</t>
  </si>
  <si>
    <t>S3Y</t>
  </si>
  <si>
    <t>Loss Yield%</t>
    <phoneticPr fontId="8" type="noConversion"/>
  </si>
  <si>
    <t>570W Cover</t>
  </si>
  <si>
    <t>1) 기초금액</t>
    <phoneticPr fontId="8" type="noConversion"/>
  </si>
  <si>
    <t>2) Item</t>
    <phoneticPr fontId="8" type="noConversion"/>
  </si>
  <si>
    <t>신규품목 확인 필요</t>
    <phoneticPr fontId="8" type="noConversion"/>
  </si>
  <si>
    <t>24년 누적 품목기준정보</t>
    <phoneticPr fontId="8" type="noConversion"/>
  </si>
  <si>
    <t>MTP Hawi</t>
  </si>
  <si>
    <t>QMP Amboseli</t>
  </si>
  <si>
    <t>2024년 141명 절감</t>
    <phoneticPr fontId="8" type="noConversion"/>
  </si>
  <si>
    <t>매출금액</t>
    <phoneticPr fontId="8" type="noConversion"/>
  </si>
  <si>
    <t>인당 생산량</t>
    <phoneticPr fontId="8" type="noConversion"/>
  </si>
  <si>
    <t>인당 매출금</t>
    <phoneticPr fontId="8" type="noConversion"/>
  </si>
  <si>
    <t>S36</t>
    <phoneticPr fontId="8" type="noConversion"/>
  </si>
  <si>
    <t>S3Y/ETC</t>
    <phoneticPr fontId="8" type="noConversion"/>
  </si>
  <si>
    <t>데이터 분석  (평일)</t>
    <phoneticPr fontId="8" type="noConversion"/>
  </si>
  <si>
    <t>데이터 분석  (일요일/공휴일)</t>
    <phoneticPr fontId="8" type="noConversion"/>
  </si>
  <si>
    <t xml:space="preserve">미작업 일수 </t>
    <phoneticPr fontId="8" type="noConversion"/>
  </si>
  <si>
    <t>캐스팅 가동기계 (SOP기준)</t>
    <phoneticPr fontId="8" type="noConversion"/>
  </si>
  <si>
    <t xml:space="preserve">CASTing 전기료 </t>
    <phoneticPr fontId="8" type="noConversion"/>
  </si>
  <si>
    <t>(용해로) 상부침전식 절감비 (8대기준)</t>
    <phoneticPr fontId="8" type="noConversion"/>
  </si>
  <si>
    <t>보온로 절감 (상부8,미설치8 제외,하반기 미설치 적용)</t>
    <phoneticPr fontId="8" type="noConversion"/>
  </si>
  <si>
    <t xml:space="preserve">용해로(더블)증가 (스크랩) </t>
    <phoneticPr fontId="8" type="noConversion"/>
  </si>
  <si>
    <t xml:space="preserve">실제 절감액 </t>
    <phoneticPr fontId="8" type="noConversion"/>
  </si>
  <si>
    <t>월 전기(투자) Total</t>
    <phoneticPr fontId="8" type="noConversion"/>
  </si>
  <si>
    <t>Casting  비용(전기세)</t>
    <phoneticPr fontId="8" type="noConversion"/>
  </si>
  <si>
    <t>office-E</t>
    <phoneticPr fontId="8" type="noConversion"/>
  </si>
  <si>
    <t>전기 TOTAL (제조/판관 비용)</t>
    <phoneticPr fontId="8" type="noConversion"/>
  </si>
  <si>
    <t>절감액</t>
    <phoneticPr fontId="8" type="noConversion"/>
  </si>
  <si>
    <t>`</t>
    <phoneticPr fontId="8" type="noConversion"/>
  </si>
  <si>
    <r>
      <t xml:space="preserve">11. Cash Flow Plan (CF) </t>
    </r>
    <r>
      <rPr>
        <b/>
        <sz val="12"/>
        <color theme="0"/>
        <rFont val="맑은 고딕"/>
        <family val="3"/>
        <charset val="129"/>
      </rPr>
      <t>V6</t>
    </r>
  </si>
  <si>
    <t>차이</t>
  </si>
  <si>
    <t>2024년</t>
  </si>
  <si>
    <t>자동화 완료이후 월평균 Direct Labor cost 절감 예상액</t>
    <phoneticPr fontId="8" type="noConversion"/>
  </si>
  <si>
    <t>2025년도</t>
    <phoneticPr fontId="8" type="noConversion"/>
  </si>
  <si>
    <t>2024년도</t>
    <phoneticPr fontId="8" type="noConversion"/>
  </si>
  <si>
    <t>증감율</t>
    <phoneticPr fontId="8" type="noConversion"/>
  </si>
  <si>
    <t>Labor Total Amount</t>
    <phoneticPr fontId="8" type="noConversion"/>
  </si>
  <si>
    <t>2025년</t>
    <phoneticPr fontId="8" type="noConversion"/>
  </si>
  <si>
    <t>Outsourcing Total</t>
    <phoneticPr fontId="8" type="noConversion"/>
  </si>
  <si>
    <t>AP Plan</t>
  </si>
  <si>
    <t>프로젝트 개요</t>
  </si>
  <si>
    <r>
      <t>목표:</t>
    </r>
    <r>
      <rPr>
        <sz val="12"/>
        <color theme="1"/>
        <rFont val="맑은 고딕"/>
        <family val="3"/>
        <charset val="129"/>
      </rPr>
      <t xml:space="preserve"> Payment Term 단축을 통해 알루미늄 원재료 구매 비용 절감 → 절감된 비용으로 Oil 구매 비용 절감</t>
    </r>
  </si>
  <si>
    <r>
      <t>현금 구매</t>
    </r>
    <r>
      <rPr>
        <sz val="12"/>
        <color theme="1"/>
        <rFont val="맑은 고딕"/>
        <family val="3"/>
        <charset val="129"/>
      </rPr>
      <t xml:space="preserve">를 통해 </t>
    </r>
    <r>
      <rPr>
        <b/>
        <sz val="12"/>
        <color theme="1"/>
        <rFont val="맑은 고딕"/>
        <family val="3"/>
        <charset val="129"/>
      </rPr>
      <t>Vendor A (120일 거래)</t>
    </r>
    <r>
      <rPr>
        <sz val="12"/>
        <color theme="1"/>
        <rFont val="맑은 고딕"/>
        <family val="3"/>
        <charset val="129"/>
      </rPr>
      <t xml:space="preserve"> 대비 비용 절감 달성.</t>
    </r>
  </si>
  <si>
    <r>
      <t>현금 구매를 통해 연간 절감액은</t>
    </r>
    <r>
      <rPr>
        <b/>
        <sz val="12"/>
        <color theme="1"/>
        <rFont val="맑은 고딕"/>
        <family val="3"/>
        <charset val="129"/>
      </rPr>
      <t xml:space="preserve"> 550,800 USD(12%)</t>
    </r>
  </si>
  <si>
    <r>
      <t xml:space="preserve">효율적 재투자: </t>
    </r>
    <r>
      <rPr>
        <sz val="11"/>
        <color theme="1"/>
        <rFont val="맑은 고딕"/>
        <family val="2"/>
        <charset val="129"/>
        <scheme val="minor"/>
      </rPr>
      <t>절감된 비용을 다른 원가 항목에 할당하여 전반적인 구매 비용을 최적화.</t>
    </r>
  </si>
  <si>
    <t>1-1) 신규구매량</t>
    <phoneticPr fontId="8" type="noConversion"/>
  </si>
  <si>
    <t>신 원재료</t>
  </si>
  <si>
    <t>1-2) 구매계획</t>
    <phoneticPr fontId="8" type="noConversion"/>
  </si>
  <si>
    <t>신규업체 (Cash)</t>
    <phoneticPr fontId="8" type="noConversion"/>
  </si>
  <si>
    <t>기존업체 (120days)</t>
    <phoneticPr fontId="8" type="noConversion"/>
  </si>
  <si>
    <t>1월 20Ton, 2월 100Ton으로 점차 늘려가며, 총 150Ton정도 구매 예정이며, 월 20~30Ton 정도는 현재 사용중인 업체 중 가장 품질 및 가격이 좋은 1업체 이용하여 긴급시 이원화 가능하도록 지속 거래</t>
  </si>
  <si>
    <t>1-3) 업체 변경에 따른 절감금액</t>
    <phoneticPr fontId="8" type="noConversion"/>
  </si>
  <si>
    <t>절감계획 금액</t>
    <phoneticPr fontId="8" type="noConversion"/>
  </si>
  <si>
    <t>절감계획 Total</t>
    <phoneticPr fontId="8" type="noConversion"/>
  </si>
  <si>
    <t>기존구매 계획금액</t>
    <phoneticPr fontId="8" type="noConversion"/>
  </si>
  <si>
    <t>기존계획 Total</t>
    <phoneticPr fontId="8" type="noConversion"/>
  </si>
  <si>
    <r>
      <t xml:space="preserve">2) </t>
    </r>
    <r>
      <rPr>
        <sz val="12"/>
        <rFont val="맑은 고딕"/>
        <family val="3"/>
        <charset val="129"/>
      </rPr>
      <t>절감된 금액을 통한 오일 비용 추가 절감 계획</t>
    </r>
  </si>
  <si>
    <t>2-1) 개요</t>
    <phoneticPr fontId="8" type="noConversion"/>
  </si>
  <si>
    <t>원재료 현금으로 NEGO 진행한 금액 및 추가 AP 지불 금액으로 Oil업체 지급 후 NEGO 진행 예정</t>
  </si>
  <si>
    <t>Oil로 선정 이유는 내년 월 약7만불 사용하는 예상되며, 금액 대비 NEGO 감소 또한 10%로 정도로 높음</t>
  </si>
  <si>
    <t>현재 Oil 납품 2업체 있으며, 총 25만불에 정상화 (90days) 가능</t>
  </si>
  <si>
    <t>2-2) 2024년 오일류 구매</t>
  </si>
  <si>
    <t>Jan.24</t>
  </si>
  <si>
    <t>Feb.24</t>
  </si>
  <si>
    <t>Mar.24</t>
  </si>
  <si>
    <t>Apr.24</t>
  </si>
  <si>
    <t>May.24</t>
  </si>
  <si>
    <t>Jun.24</t>
  </si>
  <si>
    <t>Jul.24</t>
  </si>
  <si>
    <t>Aug.24</t>
  </si>
  <si>
    <t>Sep.24</t>
  </si>
  <si>
    <t>Oct.24</t>
  </si>
  <si>
    <t>Nov.24</t>
  </si>
  <si>
    <t>Dec.24</t>
  </si>
  <si>
    <t>Purchase (Oil)</t>
    <phoneticPr fontId="8" type="noConversion"/>
  </si>
  <si>
    <t xml:space="preserve">24년 평균 구매금액 산출 </t>
    <phoneticPr fontId="8" type="noConversion"/>
  </si>
  <si>
    <t>2-3)2025년 오일류 예상 구매 금액 및 절감액</t>
  </si>
  <si>
    <t>Purchase (Oil)</t>
  </si>
  <si>
    <t>기존 예상 구매 금액</t>
    <phoneticPr fontId="8" type="noConversion"/>
  </si>
  <si>
    <t>절감 예상 구매 금액</t>
    <phoneticPr fontId="8" type="noConversion"/>
  </si>
  <si>
    <t xml:space="preserve">지급 정상화(90days) 협력사와 협의 됨, 이후 10% NEGO </t>
  </si>
  <si>
    <t>3) 총 절감금액</t>
  </si>
  <si>
    <t>Oil</t>
  </si>
  <si>
    <t>4) 비용계획</t>
    <phoneticPr fontId="8" type="noConversion"/>
  </si>
  <si>
    <t>4-1) 개요</t>
    <phoneticPr fontId="8" type="noConversion"/>
  </si>
  <si>
    <t xml:space="preserve">비용지급 기준 </t>
    <phoneticPr fontId="8" type="noConversion"/>
  </si>
  <si>
    <t>원재료와 Oil 업체와 마찬가지로 구매량이 높고 NEGO %가 제일 높은 업체로 선별하여 협의 예정</t>
  </si>
  <si>
    <t>기초</t>
    <phoneticPr fontId="8" type="noConversion"/>
  </si>
  <si>
    <t>절감금액</t>
    <phoneticPr fontId="8" type="noConversion"/>
  </si>
  <si>
    <t>AP Overdue Deduction Plan</t>
  </si>
  <si>
    <t>Interest &amp; repay (CEO)</t>
  </si>
  <si>
    <t>Polishing Automation Model: MR12E</t>
  </si>
  <si>
    <t>04.Nov.2024</t>
  </si>
  <si>
    <t>Feb</t>
    <phoneticPr fontId="8" type="noConversion"/>
  </si>
  <si>
    <t>AR</t>
    <phoneticPr fontId="8" type="noConversion"/>
  </si>
  <si>
    <t>AP</t>
    <phoneticPr fontId="8" type="noConversion"/>
  </si>
  <si>
    <t>당월 발생 AP</t>
    <phoneticPr fontId="8" type="noConversion"/>
  </si>
  <si>
    <t>overdue 추가 지급 AP</t>
    <phoneticPr fontId="8" type="noConversion"/>
  </si>
  <si>
    <t>Total AP 잔액</t>
    <phoneticPr fontId="8" type="noConversion"/>
  </si>
  <si>
    <t>당월 AP/AR</t>
    <phoneticPr fontId="8" type="noConversion"/>
  </si>
  <si>
    <t>계획작성 순서</t>
    <phoneticPr fontId="8" type="noConversion"/>
  </si>
  <si>
    <t>1. 추가지급 가능한 금액 확인</t>
    <phoneticPr fontId="8" type="noConversion"/>
  </si>
  <si>
    <t>2. 업체별 중요도 결정</t>
    <phoneticPr fontId="8" type="noConversion"/>
  </si>
  <si>
    <t>목표 AP 수준(매출액 2.5배수준)</t>
    <phoneticPr fontId="8" type="noConversion"/>
  </si>
  <si>
    <t xml:space="preserve">    - 신규 &amp; 이원화 업체 비율 (30%) -&gt; 추가 절감 규모 확인 </t>
    <phoneticPr fontId="8" type="noConversion"/>
  </si>
  <si>
    <t>AP 10% 추가 절감 목표</t>
    <phoneticPr fontId="8" type="noConversion"/>
  </si>
  <si>
    <t>3. 지급금액 결정</t>
    <phoneticPr fontId="8" type="noConversion"/>
  </si>
  <si>
    <t>4. 계획 대비 지급 실적 확인 -&gt; 지속 보고 및 관리</t>
    <phoneticPr fontId="8" type="noConversion"/>
  </si>
  <si>
    <t xml:space="preserve">업체를 운영 중요도로 등급을 구분 (4단계) ◎ ○ </t>
    <phoneticPr fontId="8" type="noConversion"/>
  </si>
  <si>
    <t>1분기에는 53항의 AP금액을 나누어 지급하는 것으로 계획 작성</t>
    <phoneticPr fontId="8" type="noConversion"/>
  </si>
  <si>
    <t>등급에 따른 지급계획 마련</t>
    <phoneticPr fontId="8" type="noConversion"/>
  </si>
  <si>
    <t>2분기에는 당월 발생지급분은 건들지 않고 추가지급분에 대해서 분배하여 지급계획작성</t>
    <phoneticPr fontId="8" type="noConversion"/>
  </si>
  <si>
    <t>△  이원화 변경 준비</t>
    <phoneticPr fontId="8" type="noConversion"/>
  </si>
  <si>
    <t>정상적으로 지급계획이 만들어진 부분은 추가지급 계획 작성하지 않음</t>
    <phoneticPr fontId="8" type="noConversion"/>
  </si>
  <si>
    <t>X  업체취소 준비</t>
    <phoneticPr fontId="8" type="noConversion"/>
  </si>
  <si>
    <t>월마다 지급 중요도를 별도로 표기하여 준비</t>
    <phoneticPr fontId="8" type="noConversion"/>
  </si>
  <si>
    <t>지급 중요도 결정</t>
    <phoneticPr fontId="8" type="noConversion"/>
  </si>
  <si>
    <t>생산주요도</t>
    <phoneticPr fontId="8" type="noConversion"/>
  </si>
  <si>
    <t>구매난이도</t>
    <phoneticPr fontId="8" type="noConversion"/>
  </si>
  <si>
    <t>구매비용</t>
    <phoneticPr fontId="8" type="noConversion"/>
  </si>
  <si>
    <t>AP 지연금액</t>
    <phoneticPr fontId="8" type="noConversion"/>
  </si>
  <si>
    <t>갱신주기</t>
    <phoneticPr fontId="8" type="noConversion"/>
  </si>
  <si>
    <t xml:space="preserve">상반기 - 주간단위 </t>
    <phoneticPr fontId="8" type="noConversion"/>
  </si>
  <si>
    <t>하반기 - 월간단위</t>
    <phoneticPr fontId="8" type="noConversion"/>
  </si>
  <si>
    <t>추가확인 사항</t>
    <phoneticPr fontId="8" type="noConversion"/>
  </si>
  <si>
    <t>대출상환에 따른 이자비용 절감</t>
    <phoneticPr fontId="8" type="noConversion"/>
  </si>
  <si>
    <t>CEO 개인자금 활용방안</t>
    <phoneticPr fontId="8" type="noConversion"/>
  </si>
  <si>
    <t>15.Jan.2025</t>
  </si>
  <si>
    <t>System (1V3-4+Clearning +Transportation)</t>
  </si>
  <si>
    <t>Des</t>
  </si>
  <si>
    <t>Vendor</t>
  </si>
  <si>
    <t xml:space="preserve">Meal </t>
  </si>
  <si>
    <t>Stationery&amp;supplies/utilities</t>
  </si>
  <si>
    <t>Glymur</t>
  </si>
  <si>
    <t>GEN3 AL6  Housing (MX)</t>
  </si>
  <si>
    <t/>
  </si>
  <si>
    <t>* 1분기 : 분기말 700명 수준 관리</t>
    <phoneticPr fontId="8" type="noConversion"/>
  </si>
  <si>
    <t>년초 감소 인원 2월 100명 충원진행</t>
    <phoneticPr fontId="8" type="noConversion"/>
  </si>
  <si>
    <t>이전계획대비
(Rev 19)</t>
    <phoneticPr fontId="8" type="noConversion"/>
  </si>
  <si>
    <t>AP잔액/ 매출액</t>
    <phoneticPr fontId="8" type="noConversion"/>
  </si>
  <si>
    <t>11.Feb.2025</t>
  </si>
  <si>
    <t>System 1V8</t>
  </si>
  <si>
    <t>* 트리밍 자동화 추가, 사상자동화 완성, CNC 자동화 완성 -&gt; (40명 취소 가능)</t>
    <phoneticPr fontId="8" type="noConversion"/>
  </si>
  <si>
    <t>Others incomes</t>
    <phoneticPr fontId="8" type="noConversion"/>
  </si>
  <si>
    <t>2) AP Balance</t>
    <phoneticPr fontId="8" type="noConversion"/>
  </si>
  <si>
    <t xml:space="preserve">200% 이하를 목표로 계획 작성 </t>
    <phoneticPr fontId="8" type="noConversion"/>
  </si>
  <si>
    <t>* 2분기 1분기 테핑자동화 + 기존 테핑기 -&gt;  브라켓 CNC 가공 취소 -&gt; (42명 취소 가능)</t>
    <phoneticPr fontId="8" type="noConversion"/>
  </si>
  <si>
    <t>자연감소인원 반영 (평균 감소율)</t>
    <phoneticPr fontId="8" type="noConversion"/>
  </si>
  <si>
    <t>GEN3 AL5  Housing (MX)</t>
    <phoneticPr fontId="8" type="noConversion"/>
  </si>
  <si>
    <t>Total COGM</t>
  </si>
  <si>
    <t xml:space="preserve"> COGM Percentile / Sales</t>
  </si>
  <si>
    <t xml:space="preserve"> COGS Percentile / Sales</t>
  </si>
  <si>
    <t>A34</t>
  </si>
  <si>
    <t>A36</t>
  </si>
  <si>
    <t>A26</t>
  </si>
  <si>
    <t>Braket</t>
  </si>
  <si>
    <t>Samsung</t>
    <phoneticPr fontId="8" type="noConversion"/>
  </si>
  <si>
    <t>Polishing</t>
    <phoneticPr fontId="8" type="noConversion"/>
  </si>
  <si>
    <t xml:space="preserve">* 4분기 620명 수준으로 관리 진행 </t>
    <phoneticPr fontId="8" type="noConversion"/>
  </si>
  <si>
    <t>Q1</t>
  </si>
  <si>
    <t>Q2</t>
  </si>
  <si>
    <t>Q3</t>
  </si>
  <si>
    <t>Q4</t>
  </si>
  <si>
    <t>SHUI (4보험 +  PIT)</t>
    <phoneticPr fontId="8" type="noConversion"/>
  </si>
  <si>
    <t>Deposit</t>
  </si>
  <si>
    <t>Write off inventory and others booking( previous years)</t>
  </si>
  <si>
    <t>Before adjust</t>
  </si>
  <si>
    <t>After Adjust</t>
  </si>
  <si>
    <t>Netprofit before adjust</t>
  </si>
  <si>
    <t>4) Others Expenses</t>
  </si>
  <si>
    <t>Obsolete Inventory Disposal (불용 처리)</t>
  </si>
  <si>
    <t>Slow-moving items not reflected</t>
    <phoneticPr fontId="8" type="noConversion"/>
  </si>
  <si>
    <t>75days</t>
  </si>
  <si>
    <t>Estimate Incom Tax</t>
  </si>
  <si>
    <t>Tax(FCT)</t>
  </si>
  <si>
    <t>서비스비용 공제시 납부 법인세</t>
    <phoneticPr fontId="8" type="noConversion"/>
  </si>
  <si>
    <t xml:space="preserve">Slow moving Item 투입비율 조정  </t>
    <phoneticPr fontId="8" type="noConversion"/>
  </si>
  <si>
    <t>Tax ( VAT of Bluewind and FCT machines)</t>
  </si>
  <si>
    <t xml:space="preserve">3) Sales AR payment </t>
    <phoneticPr fontId="8" type="noConversion"/>
  </si>
  <si>
    <t>Tax(VAT, CIT , Customs, FCT.)</t>
  </si>
  <si>
    <t>A15/17</t>
  </si>
  <si>
    <t>A27</t>
  </si>
  <si>
    <t>A37</t>
  </si>
  <si>
    <t>A18</t>
  </si>
  <si>
    <t>A38</t>
  </si>
  <si>
    <t>A28</t>
  </si>
  <si>
    <t>A1X-1</t>
  </si>
  <si>
    <t>A1X-2</t>
  </si>
  <si>
    <t>A2X-1</t>
  </si>
  <si>
    <t>A3X-1</t>
  </si>
  <si>
    <t>A2X-2</t>
  </si>
  <si>
    <t>A3X-2</t>
  </si>
  <si>
    <t>A1X-3</t>
  </si>
  <si>
    <t>MX5 Housing</t>
    <phoneticPr fontId="8" type="noConversion"/>
  </si>
  <si>
    <t>MX5 Cover</t>
    <phoneticPr fontId="8" type="noConversion"/>
  </si>
  <si>
    <t>BENZ R-EPS HSG (Anodizing)</t>
  </si>
  <si>
    <t>NE2 R-EPS HSG</t>
  </si>
  <si>
    <t>M184 R-EPS HSG</t>
  </si>
  <si>
    <t>GN7 HSG</t>
  </si>
  <si>
    <t>NE HSG</t>
  </si>
  <si>
    <t>NEA[RHD] HSG</t>
  </si>
  <si>
    <t>NE1 PE HSG</t>
  </si>
  <si>
    <t>NEA HSG</t>
  </si>
  <si>
    <t>LT2 HSG</t>
  </si>
  <si>
    <t>JK1 Housing(LHD)</t>
  </si>
  <si>
    <t>JK1 Housing(RHD)</t>
  </si>
  <si>
    <t>JG R-EPS HSG</t>
  </si>
  <si>
    <t>eM Platform</t>
  </si>
  <si>
    <t>CEER RWA CVR-만도향</t>
  </si>
  <si>
    <t>CEER RWS CVR-만도향</t>
  </si>
  <si>
    <t>JG R-EPS CVR-만도향</t>
  </si>
  <si>
    <t>JG RWS CVR-만도향</t>
  </si>
  <si>
    <t>RG3 LHD CVR</t>
  </si>
  <si>
    <t>RG3 RHD CVR</t>
  </si>
  <si>
    <t>NE CVR</t>
  </si>
  <si>
    <t>W601(NX4) CVR</t>
  </si>
  <si>
    <t>US4 Cover(RHD)</t>
  </si>
  <si>
    <t>NX4(BC3) CVR</t>
  </si>
  <si>
    <t>FCM50 Upper HSG</t>
  </si>
  <si>
    <t>FCM55 Upper HSG</t>
  </si>
  <si>
    <t>FCM50 Lower HSG</t>
  </si>
  <si>
    <t>FCM55 Lower HSG</t>
  </si>
  <si>
    <t>IPM 2.0 Advanced HSG</t>
  </si>
  <si>
    <t>IPM 2.0 HSG Base+</t>
  </si>
  <si>
    <t>IPM 2.0 HSG Premium</t>
  </si>
  <si>
    <t>New IPM 2.0 Base</t>
  </si>
  <si>
    <t>New IPM 2.0 Advanced</t>
  </si>
  <si>
    <t>New RC 2.1 CVR</t>
  </si>
  <si>
    <t>IPM 2.0 Adv ME Bundle 3.0 (Step5)</t>
  </si>
  <si>
    <t>Brake Adaptor</t>
  </si>
  <si>
    <t>Crossbar L</t>
  </si>
  <si>
    <t>Crossbar XL</t>
  </si>
  <si>
    <t>Skeleton L</t>
  </si>
  <si>
    <t>Skeleton XL</t>
  </si>
  <si>
    <t>Ford eRCB</t>
  </si>
  <si>
    <t>Brake</t>
    <phoneticPr fontId="8" type="noConversion"/>
  </si>
  <si>
    <t>Jan.26</t>
    <phoneticPr fontId="8" type="noConversion"/>
  </si>
  <si>
    <t>Feb.26</t>
    <phoneticPr fontId="8" type="noConversion"/>
  </si>
  <si>
    <t>Mar.26</t>
    <phoneticPr fontId="8" type="noConversion"/>
  </si>
  <si>
    <t>Apr.26</t>
    <phoneticPr fontId="8" type="noConversion"/>
  </si>
  <si>
    <t>May.26</t>
    <phoneticPr fontId="8" type="noConversion"/>
  </si>
  <si>
    <t>Jun.26</t>
    <phoneticPr fontId="8" type="noConversion"/>
  </si>
  <si>
    <t>Jul.26</t>
    <phoneticPr fontId="8" type="noConversion"/>
  </si>
  <si>
    <t>Aug.26</t>
    <phoneticPr fontId="8" type="noConversion"/>
  </si>
  <si>
    <t>Sep.26</t>
    <phoneticPr fontId="8" type="noConversion"/>
  </si>
  <si>
    <t>Oct.26</t>
    <phoneticPr fontId="8" type="noConversion"/>
  </si>
  <si>
    <t>Nov.26</t>
    <phoneticPr fontId="8" type="noConversion"/>
  </si>
  <si>
    <t>Dec.26</t>
    <phoneticPr fontId="8" type="noConversion"/>
  </si>
  <si>
    <t>2026
Total</t>
    <phoneticPr fontId="8" type="noConversion"/>
  </si>
  <si>
    <t>MX5 Housing</t>
  </si>
  <si>
    <t>MX5 Cover</t>
  </si>
  <si>
    <t>A15/17</t>
    <phoneticPr fontId="8" type="noConversion"/>
  </si>
  <si>
    <t xml:space="preserve">Gen5 S.Block </t>
    <phoneticPr fontId="8" type="noConversion"/>
  </si>
  <si>
    <t>Brake</t>
  </si>
  <si>
    <t>Laser(LDS)</t>
    <phoneticPr fontId="8" type="noConversion"/>
  </si>
  <si>
    <t>Painting</t>
    <phoneticPr fontId="8" type="noConversion"/>
  </si>
  <si>
    <t>A</t>
    <phoneticPr fontId="8" type="noConversion"/>
  </si>
  <si>
    <t>HUB FRONT COVER</t>
  </si>
  <si>
    <t>HUB REAR COVER</t>
  </si>
  <si>
    <t>AM HUD ENCL</t>
  </si>
  <si>
    <t>PUCK REAR COVER</t>
  </si>
  <si>
    <t>COA2 PUCK FRONY COVER</t>
  </si>
  <si>
    <t>HUD LID AM</t>
  </si>
  <si>
    <t>CTRL TOP COVER ASM</t>
  </si>
  <si>
    <t>CTRL REAR COVER ASM</t>
  </si>
  <si>
    <t>HUB FRONT COVER</t>
    <phoneticPr fontId="8" type="noConversion"/>
  </si>
  <si>
    <t>a</t>
    <phoneticPr fontId="8" type="noConversion"/>
  </si>
  <si>
    <t>Cover</t>
    <phoneticPr fontId="8" type="noConversion"/>
  </si>
  <si>
    <t>7) TCM Production Rate &amp; Q'ty</t>
    <phoneticPr fontId="8" type="noConversion"/>
  </si>
  <si>
    <t>8) M Material 산출식 TOTAL</t>
    <phoneticPr fontId="8" type="noConversion"/>
  </si>
  <si>
    <t>MCT Total Required Q'ty</t>
    <phoneticPr fontId="7" type="noConversion"/>
  </si>
  <si>
    <t>8) Auto Tapping Production Rate &amp; Q'ty</t>
    <phoneticPr fontId="8" type="noConversion"/>
  </si>
  <si>
    <t>NX5 Housing</t>
    <phoneticPr fontId="8" type="noConversion"/>
  </si>
  <si>
    <t>NX5 Cover</t>
    <phoneticPr fontId="8" type="noConversion"/>
  </si>
  <si>
    <t>Auto</t>
    <phoneticPr fontId="8" type="noConversion"/>
  </si>
  <si>
    <t>Auto Tapping</t>
    <phoneticPr fontId="8" type="noConversion"/>
  </si>
  <si>
    <t>Current Q'ty</t>
    <phoneticPr fontId="8" type="noConversion"/>
  </si>
  <si>
    <t>AP (1)</t>
  </si>
  <si>
    <t>AP(Repairing and other services) (4 + 33)</t>
  </si>
  <si>
    <t>AP(Consumables) (9 + 10)</t>
  </si>
  <si>
    <t>AP(Outsourcing) (8)</t>
  </si>
  <si>
    <t>AP Logistics&amp;VMI WH (6+27+32)</t>
  </si>
  <si>
    <t>Utility(Electricity,Water,Gas,sewage charges…)(12+14+15+16+34+42)</t>
  </si>
  <si>
    <t>Rental Fee(Care,House,Office machine..) (30+31)</t>
  </si>
  <si>
    <t>Meal + wealfere others (3+25)</t>
  </si>
  <si>
    <t>Operation Fee (6+11+13+20+22+26+28+29+39+40+41+44+45+46)</t>
  </si>
  <si>
    <t>Redemption of the Long Loan Chailese &amp; Sacombank (Machine)</t>
  </si>
  <si>
    <t>Interest of Chailese &amp; Sacombank (47+48+49)</t>
  </si>
  <si>
    <t>Saving monthtly send deposit</t>
  </si>
  <si>
    <t>Jan.26</t>
  </si>
  <si>
    <t>Feb.26</t>
  </si>
  <si>
    <t>Mar.26</t>
  </si>
  <si>
    <t>Apr.26</t>
  </si>
  <si>
    <t>May.26</t>
  </si>
  <si>
    <t>Jun.26</t>
  </si>
  <si>
    <t>Jul.26</t>
  </si>
  <si>
    <t>Aug.26</t>
  </si>
  <si>
    <t>Sep.26</t>
  </si>
  <si>
    <t>Oct.26</t>
  </si>
  <si>
    <t>Nov.26</t>
  </si>
  <si>
    <t>Dec.26</t>
  </si>
  <si>
    <t>2026
Total</t>
  </si>
  <si>
    <t>A</t>
    <phoneticPr fontId="8" type="noConversion"/>
  </si>
  <si>
    <t>A17/A27/A37</t>
    <phoneticPr fontId="8" type="noConversion"/>
  </si>
  <si>
    <t>Variation</t>
    <phoneticPr fontId="9" type="noConversion"/>
  </si>
  <si>
    <t>Ending</t>
    <phoneticPr fontId="22" type="noConversion"/>
  </si>
  <si>
    <t>Deposit Balance</t>
    <phoneticPr fontId="22" type="noConversion"/>
  </si>
  <si>
    <t xml:space="preserve">Total Ending </t>
    <phoneticPr fontId="22" type="noConversion"/>
  </si>
  <si>
    <t>Interest of Personal (Short)</t>
  </si>
  <si>
    <t>1) Investment plan Payment</t>
    <phoneticPr fontId="7" type="noConversion"/>
  </si>
  <si>
    <t>Unit: USD</t>
    <phoneticPr fontId="7" type="noConversion"/>
  </si>
  <si>
    <t>Sub total</t>
    <phoneticPr fontId="82" type="noConversion"/>
  </si>
  <si>
    <t>Total</t>
    <phoneticPr fontId="82" type="noConversion"/>
  </si>
  <si>
    <t>Category</t>
    <phoneticPr fontId="7" type="noConversion"/>
  </si>
  <si>
    <t>Total</t>
    <phoneticPr fontId="7" type="noConversion"/>
  </si>
  <si>
    <t>M&amp;C Payments</t>
    <phoneticPr fontId="7" type="noConversion"/>
  </si>
  <si>
    <t>3) Depreciation</t>
    <phoneticPr fontId="7" type="noConversion"/>
  </si>
  <si>
    <t>Unit : USD</t>
    <phoneticPr fontId="7" type="noConversion"/>
  </si>
  <si>
    <t>창고 재건축 공사(외부 -쓰레기 집하장)</t>
    <phoneticPr fontId="8" type="noConversion"/>
  </si>
  <si>
    <t>MFG AR</t>
    <phoneticPr fontId="8" type="noConversion"/>
  </si>
  <si>
    <t>2026
Average</t>
    <phoneticPr fontId="7" type="noConversion"/>
  </si>
  <si>
    <t>T6 Cover</t>
    <phoneticPr fontId="7" type="noConversion"/>
  </si>
  <si>
    <t>IMEB2 Housing</t>
    <phoneticPr fontId="7" type="noConversion"/>
  </si>
  <si>
    <t>Samsung</t>
    <phoneticPr fontId="7" type="noConversion"/>
  </si>
  <si>
    <t>5Axis</t>
    <phoneticPr fontId="7" type="noConversion"/>
  </si>
  <si>
    <t>3/4Axis</t>
    <phoneticPr fontId="7" type="noConversion"/>
  </si>
  <si>
    <t>6) 5Axis Production Rate &amp; Q'ty</t>
    <phoneticPr fontId="8" type="noConversion"/>
  </si>
  <si>
    <t>Mold/Year
2026</t>
    <phoneticPr fontId="8" type="noConversion"/>
  </si>
  <si>
    <t>2026년도</t>
    <phoneticPr fontId="8" type="noConversion"/>
  </si>
  <si>
    <t xml:space="preserve">절감인원 </t>
    <phoneticPr fontId="8" type="noConversion"/>
  </si>
  <si>
    <t>2026인상율</t>
    <phoneticPr fontId="8" type="noConversion"/>
  </si>
  <si>
    <t>2026년</t>
    <phoneticPr fontId="8" type="noConversion"/>
  </si>
  <si>
    <t>삼성 Bracket</t>
  </si>
  <si>
    <t>-25년 예상실적 13.6M대 + 모바일 시장 전망 + 5% 성장률 적용= 14.3M대 반영</t>
  </si>
  <si>
    <t>삼성 CNC</t>
  </si>
  <si>
    <t>- 당사 기계 30대 배치에 따른 생산 증가량 반영</t>
  </si>
  <si>
    <t xml:space="preserve"> - Ride5 등 기존 모델 수요량 견조+MTP Hawi 신규 모델 매출 추가
 = +3% 매출 상승 반영</t>
  </si>
  <si>
    <t xml:space="preserve"> - 주요 모델 AL5, CL4, MQ4 수량 감소 반영
 - FCM30 이원화 확정 + LQ2 Cover 양산에 따른 일부 매출 보전 반영
 - 2025년 대비 약 13% 감소</t>
  </si>
  <si>
    <t>- 고객사 최신 forecast 반영 : 전년 대비 유사 수준</t>
  </si>
  <si>
    <t>ZF</t>
  </si>
  <si>
    <t>- 기존 모델 물량 증가 + IPM 신규 모델 양산 반영 = 약 18% 증가</t>
  </si>
  <si>
    <t>A</t>
  </si>
  <si>
    <t>- 2026년 테스트용 시제품 수요 예상 (월 200개, 2026.7~ 반영)</t>
  </si>
  <si>
    <t>기타</t>
  </si>
  <si>
    <t>- 스크랩 및 금형비 반영</t>
  </si>
  <si>
    <t>- AI디바이스 교체에 따른 연간 출하량 지속 증가</t>
  </si>
  <si>
    <t xml:space="preserve"> CL4 &amp; MQ4 기존 납품처 YT -&gt; MX 변경 예정
 구체적인 일정 및 단가 변경은 고객사와 협의 후 사업계획 내 반영 예정</t>
  </si>
  <si>
    <t>- 기존 제품 양산 안정화 및 신규 프로젝트 수주 활동 지속</t>
    <phoneticPr fontId="8" type="noConversion"/>
  </si>
  <si>
    <t>- ADAS 외 제품군 견적 및 수주 활동 지속</t>
    <phoneticPr fontId="8" type="noConversion"/>
  </si>
  <si>
    <t>- 신규 R-EPS 견적 및 수주 활동 지속
- 고객사 현황 파악, 정기 방문 계획 수립</t>
    <phoneticPr fontId="8" type="noConversion"/>
  </si>
  <si>
    <t>- 고객사 현황 파악 지속 및 적극 대응. 방문 일정 수립
'- 5축 설비 활용 → 고난이도 제품 샘플링 연습 및 연구 진행 (방문 시 제안 가능한 수준의 샘플 준비)
'- A 프로젝트 대응 및 유사 R&amp;D 매출 확장을 위한 조직 구조 개편</t>
    <phoneticPr fontId="8" type="noConversion"/>
  </si>
  <si>
    <t>Acrual</t>
    <phoneticPr fontId="8" type="noConversion"/>
  </si>
  <si>
    <t>Rental others (warehouse)</t>
    <phoneticPr fontId="8" type="noConversion"/>
  </si>
  <si>
    <t>Remaining 31.12.2026</t>
  </si>
  <si>
    <r>
      <rPr>
        <b/>
        <sz val="32"/>
        <color theme="1"/>
        <rFont val="맑은 고딕"/>
        <family val="3"/>
        <charset val="129"/>
        <scheme val="major"/>
      </rPr>
      <t>2026 Business Plan</t>
    </r>
    <r>
      <rPr>
        <b/>
        <sz val="36"/>
        <color theme="1"/>
        <rFont val="맑은 고딕"/>
        <family val="3"/>
        <charset val="129"/>
        <scheme val="major"/>
      </rPr>
      <t xml:space="preserve">
</t>
    </r>
    <r>
      <rPr>
        <b/>
        <sz val="28"/>
        <color theme="1"/>
        <rFont val="맑은 고딕"/>
        <family val="3"/>
        <charset val="129"/>
        <scheme val="major"/>
      </rPr>
      <t>M&amp;C Electronics</t>
    </r>
    <phoneticPr fontId="8" type="noConversion"/>
  </si>
  <si>
    <t>3) 관리</t>
    <phoneticPr fontId="8" type="noConversion"/>
  </si>
  <si>
    <t>11. 2026 Cash Flow (CF)</t>
    <phoneticPr fontId="8" type="noConversion"/>
  </si>
  <si>
    <t>25년 (1~8월) 평균가</t>
    <phoneticPr fontId="8" type="noConversion"/>
  </si>
  <si>
    <t xml:space="preserve">2025년 대비 Worker 7%, 관리자 5%, 주재원 3% 인상 적용 </t>
    <phoneticPr fontId="8" type="noConversion"/>
  </si>
  <si>
    <t>2026년 주재원 충원 미반영</t>
    <phoneticPr fontId="8" type="noConversion"/>
  </si>
  <si>
    <t>생산일수 기반으로 현재 단가 적용</t>
    <phoneticPr fontId="8" type="noConversion"/>
  </si>
  <si>
    <t>2023~2025년도 평균 4.5%인상 기준으로 2026년도 베트남 전기료 인상 4.5% 반영</t>
    <phoneticPr fontId="8" type="noConversion"/>
  </si>
  <si>
    <t>2026년 시장 예상(단 환율 변동이 클 경우 조정 필요, update 25.08 UOB 및 Traders Union 참조)</t>
    <phoneticPr fontId="8" type="noConversion"/>
  </si>
  <si>
    <t>Samsung Bracket 월 50만개 이상시 외주 사상 진행, ZF 아노다이징, 퀄컴 레이저 및 A사 외주 비용 반영</t>
    <phoneticPr fontId="8" type="noConversion"/>
  </si>
  <si>
    <t xml:space="preserve">2025년 영업매출 대비 평균 % 반영 </t>
    <phoneticPr fontId="8" type="noConversion"/>
  </si>
  <si>
    <r>
      <t xml:space="preserve">2024년 1.7% 대비 2025년 1~8월 평균 1.2%로, 0.5% 감소하여 </t>
    </r>
    <r>
      <rPr>
        <b/>
        <sz val="10"/>
        <color theme="1"/>
        <rFont val="맑은 고딕"/>
        <family val="3"/>
        <charset val="129"/>
      </rPr>
      <t>2026년 1.2% 반영</t>
    </r>
    <phoneticPr fontId="8" type="noConversion"/>
  </si>
  <si>
    <t xml:space="preserve">영업 납품용 차량 (화물 탑차 5ton 2대 임대 비용) </t>
    <phoneticPr fontId="8" type="noConversion"/>
  </si>
  <si>
    <t xml:space="preserve">각종 납품용 박스 및 파렛트 년평균 매출 %기준 대비 추정 </t>
    <phoneticPr fontId="8" type="noConversion"/>
  </si>
  <si>
    <t>서비스 비용(한국 $5만, 중국$3만)</t>
    <phoneticPr fontId="8" type="noConversion"/>
  </si>
  <si>
    <t xml:space="preserve">주재원 자녀 총 7명 지원    </t>
    <phoneticPr fontId="8" type="noConversion"/>
  </si>
  <si>
    <t>2026년 8월 기준, 신규 투자 설비 반영</t>
    <phoneticPr fontId="8" type="noConversion"/>
  </si>
  <si>
    <t xml:space="preserve">주재원 자녀 복리 학비 지원 (1명당Net $6,500$ 총$45,500 월 평균 반영) </t>
    <phoneticPr fontId="8" type="noConversion"/>
  </si>
  <si>
    <t>Tuition fee (foreigner kids)</t>
    <phoneticPr fontId="8" type="noConversion"/>
  </si>
  <si>
    <t xml:space="preserve">경비 &amp; 청소 용역, 정원 관리 비용 </t>
    <phoneticPr fontId="8" type="noConversion"/>
  </si>
  <si>
    <t>2025년 비용 평균 적용 (예비비 포함)</t>
    <phoneticPr fontId="8" type="noConversion"/>
  </si>
  <si>
    <t>2026년도 총 302일 (주일 53일,국경절&amp;행사 10일)</t>
    <phoneticPr fontId="8" type="noConversion"/>
  </si>
  <si>
    <t>A사 프로젝트에 필요한 5축, 3+2축 또는 CNC 설비 투자 방안 논의 필요</t>
    <phoneticPr fontId="7" type="noConversion"/>
  </si>
  <si>
    <t xml:space="preserve">(ADC12 $2.65, S36 $3.30, S3Y $3.37) / Kg </t>
    <phoneticPr fontId="8" type="noConversion"/>
  </si>
  <si>
    <t>외화(달러)현재 적용 환율</t>
    <phoneticPr fontId="8" type="noConversion"/>
  </si>
  <si>
    <t>캐스팅 장비수+CNC생산일수(평균)*25년 (1~8월) 평균 폐수처리 단가계산로 반영</t>
    <phoneticPr fontId="8" type="noConversion"/>
  </si>
  <si>
    <t xml:space="preserve">매출액 대비 1.2%기준 적용 </t>
    <phoneticPr fontId="8" type="noConversion"/>
  </si>
  <si>
    <t xml:space="preserve">매출액 대비 5.5%기준 적용 </t>
    <phoneticPr fontId="8" type="noConversion"/>
  </si>
  <si>
    <t xml:space="preserve">고정자산(장비&amp;설비) 회계처리 비용 </t>
    <phoneticPr fontId="8" type="noConversion"/>
  </si>
  <si>
    <t>2025년 8월 기준기준 실제 비용 적용</t>
    <phoneticPr fontId="8" type="noConversion"/>
  </si>
  <si>
    <t>매출액의 0.2%로 적용</t>
    <phoneticPr fontId="8" type="noConversion"/>
  </si>
  <si>
    <t>2025년도 월 평균 반영 및 A사 (미국) 출장 비용 분기별 1만불 추가 적용</t>
    <phoneticPr fontId="8" type="noConversion"/>
  </si>
  <si>
    <t>카니발 7인승 5대, 15인승 1대 ,지게차 2대 운영비용</t>
    <phoneticPr fontId="8" type="noConversion"/>
  </si>
  <si>
    <t>사업계획에 투자 반영</t>
    <phoneticPr fontId="8" type="noConversion"/>
  </si>
  <si>
    <t>2025년 8월 기준 업데이트,  'I plan 참조</t>
    <phoneticPr fontId="8" type="noConversion"/>
  </si>
  <si>
    <t>수도,하수 비용</t>
    <phoneticPr fontId="8" type="noConversion"/>
  </si>
  <si>
    <t xml:space="preserve">상부침전식 용해로 </t>
  </si>
  <si>
    <t>5axis CNC Machine (DN-DVS 5000)</t>
    <phoneticPr fontId="8" type="noConversion"/>
  </si>
  <si>
    <t>Production 1</t>
    <phoneticPr fontId="8" type="noConversion"/>
  </si>
  <si>
    <t>QC</t>
    <phoneticPr fontId="8" type="noConversion"/>
  </si>
  <si>
    <t>Warehouse</t>
    <phoneticPr fontId="8" type="noConversion"/>
  </si>
  <si>
    <t>AGV등 반제품 이동 자동화 로봇</t>
    <phoneticPr fontId="8" type="noConversion"/>
  </si>
  <si>
    <t>완제품 창고 자동화</t>
    <phoneticPr fontId="8" type="noConversion"/>
  </si>
  <si>
    <t>적재 및 포장 로봇</t>
    <phoneticPr fontId="8" type="noConversion"/>
  </si>
  <si>
    <t>회사내 물류 통로 개선 공사</t>
    <phoneticPr fontId="8" type="noConversion"/>
  </si>
  <si>
    <t>CNC EDM</t>
    <phoneticPr fontId="8" type="noConversion"/>
  </si>
  <si>
    <t>Jet Cooler</t>
    <phoneticPr fontId="8" type="noConversion"/>
  </si>
  <si>
    <t>Small Parts Polising Machine</t>
    <phoneticPr fontId="8" type="noConversion"/>
  </si>
  <si>
    <t>수동 측정 자동화 추진 (에어 게이지, 리크, 레이저 마킹)</t>
    <phoneticPr fontId="8" type="noConversion"/>
  </si>
  <si>
    <t>프로브 수리 (option 2) 400 수리 어려움 (1800,500) (1500,500)</t>
    <phoneticPr fontId="8" type="noConversion"/>
  </si>
  <si>
    <t>프로브 구매 (12000) , 프로브 세트 (16000) (무선 수신기 포함)</t>
    <phoneticPr fontId="8" type="noConversion"/>
  </si>
  <si>
    <t>Total Amount</t>
    <phoneticPr fontId="8" type="noConversion"/>
  </si>
  <si>
    <t>Cover 자동화 라인</t>
    <phoneticPr fontId="8" type="noConversion"/>
  </si>
  <si>
    <t>점유율</t>
  </si>
  <si>
    <t>2025Y 말</t>
  </si>
  <si>
    <t>100%+금형</t>
    <phoneticPr fontId="8" type="noConversion"/>
  </si>
  <si>
    <t>Remaining Principle
01.01.2026</t>
  </si>
  <si>
    <t>Remaining principine 
01.01.2026</t>
  </si>
  <si>
    <t>Total + 금형</t>
    <phoneticPr fontId="8" type="noConversion"/>
  </si>
  <si>
    <t>금형</t>
    <phoneticPr fontId="8" type="noConversion"/>
  </si>
  <si>
    <t>Casting Repair 350ton &amp; Include Logistic cost</t>
    <phoneticPr fontId="8" type="noConversion"/>
  </si>
  <si>
    <t>Casting Repair 125ton &amp; Include Logistic cost</t>
    <phoneticPr fontId="8" type="noConversion"/>
  </si>
  <si>
    <t xml:space="preserve">3+2 Axis Index  </t>
    <phoneticPr fontId="8" type="noConversion"/>
  </si>
  <si>
    <t>3 Axis High Speed CNC</t>
    <phoneticPr fontId="8" type="noConversion"/>
  </si>
  <si>
    <t>이형제 공급 펌프</t>
    <phoneticPr fontId="8" type="noConversion"/>
  </si>
  <si>
    <t>Category 1</t>
    <phoneticPr fontId="2" type="noConversion"/>
  </si>
  <si>
    <t>Categry 2</t>
    <phoneticPr fontId="2" type="noConversion"/>
  </si>
  <si>
    <t>Q'TY</t>
    <phoneticPr fontId="2" type="noConversion"/>
  </si>
  <si>
    <t>Office &amp; Windows S/W</t>
    <phoneticPr fontId="2" type="noConversion"/>
  </si>
  <si>
    <t>3D Scanner_ QC (GOM)</t>
    <phoneticPr fontId="2" type="noConversion"/>
  </si>
  <si>
    <t>Other &amp; Repair</t>
    <phoneticPr fontId="2" type="noConversion"/>
  </si>
  <si>
    <t xml:space="preserve">Other (Move Machine and Building Repairs) 2025년 이월 비용 포함 </t>
    <phoneticPr fontId="2" type="noConversion"/>
  </si>
  <si>
    <t>Machining Parts &amp; others</t>
    <phoneticPr fontId="8" type="noConversion"/>
  </si>
  <si>
    <t>AZ31B</t>
    <phoneticPr fontId="8" type="noConversion"/>
  </si>
  <si>
    <t>Size (mm)</t>
    <phoneticPr fontId="8" type="noConversion"/>
  </si>
  <si>
    <t>2026년 3월까지 시제품 평가 완료. 하반기 저율초도생산(LRIP)으로 전환 예상
Qualcomm과 같이 VN 20%, SG 80%</t>
    <phoneticPr fontId="8" type="noConversion"/>
  </si>
  <si>
    <t>60 days</t>
    <phoneticPr fontId="8" type="noConversion"/>
  </si>
  <si>
    <t xml:space="preserve">TOYO 350TON_ Machine </t>
  </si>
  <si>
    <t>5 Axis CNC Machine (DN-DVS 5000)</t>
  </si>
  <si>
    <t>30.Nov.2025</t>
  </si>
  <si>
    <t>Everage 16M (7/2024+10/2025)</t>
  </si>
  <si>
    <t>Finished Goods W/H &amp; Injection Molding Machine Relocation</t>
  </si>
  <si>
    <t>휴게실 인테리어 내/외부 공사 (In/Exterior Construction of Rest Area)</t>
    <phoneticPr fontId="8" type="noConversion"/>
  </si>
  <si>
    <t>현장 화장실 개조공사</t>
    <phoneticPr fontId="8" type="noConversion"/>
  </si>
  <si>
    <t>Casting 금형 냉각수 드레인(자연낙하)공사 (비트,Chiller,Tank)</t>
    <phoneticPr fontId="8" type="noConversion"/>
  </si>
  <si>
    <t xml:space="preserve">CNC 2(SEVT)라인 배기 덕트 및 개선 공사  </t>
    <phoneticPr fontId="8" type="noConversion"/>
  </si>
  <si>
    <t>Casting Machine Cover</t>
    <phoneticPr fontId="8" type="noConversion"/>
  </si>
  <si>
    <t>Network 및 보안(방화벽)업그레이드 시스템 (2차)</t>
    <phoneticPr fontId="8" type="noConversion"/>
  </si>
  <si>
    <t>MES + 서버</t>
    <phoneticPr fontId="8" type="noConversion"/>
  </si>
  <si>
    <t>진공 장치 및 기계</t>
    <phoneticPr fontId="8" type="noConversion"/>
  </si>
  <si>
    <t xml:space="preserve">Casting 제품 컨베이어 </t>
    <phoneticPr fontId="8" type="noConversion"/>
  </si>
  <si>
    <t>Casting 냉방 공조기</t>
    <phoneticPr fontId="8" type="noConversion"/>
  </si>
  <si>
    <t>PCCC - 알람 센서 추가 및 승인 (2025년 이월)</t>
    <phoneticPr fontId="8" type="noConversion"/>
  </si>
  <si>
    <t>C240622712</t>
  </si>
  <si>
    <t>C240623712</t>
  </si>
  <si>
    <t>C240626212</t>
  </si>
  <si>
    <t>C240829912</t>
  </si>
  <si>
    <t>C240903412</t>
  </si>
  <si>
    <t>C240926612</t>
  </si>
  <si>
    <t>C250109712</t>
  </si>
  <si>
    <t>C250112712</t>
  </si>
  <si>
    <t>Interest
Current</t>
  </si>
  <si>
    <t>Interest
Before</t>
  </si>
  <si>
    <t>Contract no</t>
  </si>
  <si>
    <t>3D 스캐너 측정 프로그램 ZEISS INSPECT OPTICAL 3D PRO</t>
    <phoneticPr fontId="8" type="noConversion"/>
  </si>
  <si>
    <t>3D 스캐너 측정 로봇 (전용 ZEISS SCAN POT)</t>
    <phoneticPr fontId="8" type="noConversion"/>
  </si>
  <si>
    <t>포장기 SCT-5545TBC</t>
    <phoneticPr fontId="8" type="noConversion"/>
  </si>
  <si>
    <t>자동 검사기 (로봇타입) : 하우징</t>
    <phoneticPr fontId="8" type="noConversion"/>
  </si>
  <si>
    <t>자동 검사기 (로봇타입) : Cover</t>
    <phoneticPr fontId="8" type="noConversion"/>
  </si>
  <si>
    <t>자동 검사기 (브라켓)</t>
    <phoneticPr fontId="8" type="noConversion"/>
  </si>
  <si>
    <t>QC SPC 데이터 관리 프로그램 (제품 측정 연계)</t>
    <phoneticPr fontId="8" type="noConversion"/>
  </si>
  <si>
    <t>공정이동 box 세척장치</t>
    <phoneticPr fontId="8" type="noConversion"/>
  </si>
  <si>
    <t>연마석 바렐 자동화 설비</t>
    <phoneticPr fontId="8" type="noConversion"/>
  </si>
  <si>
    <t>가공 부 치수 측정용 에어 게이지</t>
    <phoneticPr fontId="8" type="noConversion"/>
  </si>
  <si>
    <t>Network 공사 (설비별 렌공사 및 중간 스위치 허브 설치)</t>
    <phoneticPr fontId="8" type="noConversion"/>
  </si>
  <si>
    <t>서버실 확장 공사</t>
    <phoneticPr fontId="8" type="noConversion"/>
  </si>
  <si>
    <t>IT</t>
    <phoneticPr fontId="8" type="noConversion"/>
  </si>
  <si>
    <t>CL4 Housing (MX)</t>
  </si>
  <si>
    <t>CL4 Housing (MX)</t>
    <phoneticPr fontId="8" type="noConversion"/>
  </si>
  <si>
    <t>CL4 Housing (YT)</t>
  </si>
  <si>
    <t>CL4 Housing (YT)</t>
    <phoneticPr fontId="8" type="noConversion"/>
  </si>
  <si>
    <t>CL4 Cover (YT)</t>
  </si>
  <si>
    <t>CL4 Cover (YT)</t>
    <phoneticPr fontId="8" type="noConversion"/>
  </si>
  <si>
    <t>CL4 Cover (MX)</t>
  </si>
  <si>
    <t>CL4 Cover (MX)</t>
    <phoneticPr fontId="8" type="noConversion"/>
  </si>
  <si>
    <t>MQ4a PE Cover (YT)</t>
  </si>
  <si>
    <t>MQ4a PE Cover (YT)</t>
    <phoneticPr fontId="8" type="noConversion"/>
  </si>
  <si>
    <t>MQ4a PE Cover (MX)</t>
  </si>
  <si>
    <t>MQ4a PE Cover (MX)</t>
    <phoneticPr fontId="8" type="noConversion"/>
  </si>
  <si>
    <t>MQ4a PE Housing (YT)</t>
  </si>
  <si>
    <t>MQ4a PE Housing (YT)</t>
    <phoneticPr fontId="8" type="noConversion"/>
  </si>
  <si>
    <t>MQ4a PE Housing (MX)</t>
  </si>
  <si>
    <t>MQ4a PE Housing (MX)</t>
    <phoneticPr fontId="8" type="noConversion"/>
  </si>
  <si>
    <t>MQ4a PE Cover (YT)</t>
    <phoneticPr fontId="7" type="noConversion"/>
  </si>
  <si>
    <t>MQ4a PE Cover (MX)</t>
    <phoneticPr fontId="7" type="noConversion"/>
  </si>
  <si>
    <t>CL4 Cover (YT)</t>
    <phoneticPr fontId="7" type="noConversion"/>
  </si>
  <si>
    <t>CL4 Cover (MX)</t>
    <phoneticPr fontId="7" type="noConversion"/>
  </si>
  <si>
    <t>Tapping Machine</t>
    <phoneticPr fontId="8" type="noConversion"/>
  </si>
  <si>
    <t>Three Punch Trimming Machine</t>
    <phoneticPr fontId="8" type="noConversion"/>
  </si>
  <si>
    <t>Auto Polishing Machine &amp; Shipping fee</t>
    <phoneticPr fontId="8" type="noConversion"/>
  </si>
  <si>
    <t>Mgnesium Block (ZK60A)</t>
    <phoneticPr fontId="8" type="noConversion"/>
  </si>
  <si>
    <t xml:space="preserve">*최저임금 7.2% 예상되어 10% (3월부터 반영) </t>
    <phoneticPr fontId="8" type="noConversion"/>
  </si>
  <si>
    <t>*25년 평가 기준 월 1.4만 증가 예상 (1월부터 반영)</t>
    <phoneticPr fontId="8" type="noConversion"/>
  </si>
  <si>
    <t>2026년 인상분</t>
    <phoneticPr fontId="8" type="noConversion"/>
  </si>
  <si>
    <t>Meal (3+25)</t>
    <phoneticPr fontId="8" type="noConversion"/>
  </si>
  <si>
    <t>Walfare (Monthly Events)</t>
    <phoneticPr fontId="8" type="noConversion"/>
  </si>
  <si>
    <t>Others Part</t>
    <phoneticPr fontId="8" type="noConversion"/>
  </si>
  <si>
    <t>Glass Frame (ZF60A-T5)</t>
    <phoneticPr fontId="8" type="noConversion"/>
  </si>
  <si>
    <t>Body Compute enclosure (AL6061-T6)</t>
    <phoneticPr fontId="8" type="noConversion"/>
  </si>
  <si>
    <t>PEO</t>
    <phoneticPr fontId="8" type="noConversion"/>
  </si>
  <si>
    <t>Silicone</t>
    <phoneticPr fontId="8" type="noConversion"/>
  </si>
  <si>
    <t>Oring</t>
    <phoneticPr fontId="8" type="noConversion"/>
  </si>
  <si>
    <t>Aluminum Block (AL6061-T6)</t>
    <phoneticPr fontId="8" type="noConversion"/>
  </si>
  <si>
    <t>25*110*200</t>
    <phoneticPr fontId="8" type="noConversion"/>
  </si>
  <si>
    <t>60*110*200</t>
    <phoneticPr fontId="8" type="noConversion"/>
  </si>
  <si>
    <t xml:space="preserve">6) Block </t>
    <phoneticPr fontId="8" type="noConversion"/>
  </si>
  <si>
    <t>55*160*110</t>
    <phoneticPr fontId="8" type="noConversion"/>
  </si>
  <si>
    <t>2025년 U/P</t>
    <phoneticPr fontId="8" type="noConversion"/>
  </si>
  <si>
    <t>2026년 U/P</t>
    <phoneticPr fontId="8" type="noConversion"/>
  </si>
  <si>
    <t>References 5) 2026년 worker 당 매출액</t>
    <phoneticPr fontId="8" type="noConversion"/>
  </si>
  <si>
    <t>References 4) 2025년 현장직 이직율 현황</t>
    <phoneticPr fontId="8" type="noConversion"/>
  </si>
  <si>
    <t>56 machine CNC</t>
  </si>
  <si>
    <t>27 machine CNC</t>
  </si>
  <si>
    <t>5CNC, 2 casting, 1 X-ray</t>
  </si>
  <si>
    <t>System (1V8)</t>
  </si>
  <si>
    <t>VAT refund ( Reducing with due to Sale local increase more)</t>
  </si>
  <si>
    <t xml:space="preserve">발전기(1500KW) or ESS &amp; ATS </t>
    <phoneticPr fontId="8" type="noConversion"/>
  </si>
  <si>
    <t>Network 및 보안(방화벽)업그레이드 시스템 (1차)</t>
    <phoneticPr fontId="8" type="noConversion"/>
  </si>
  <si>
    <t>Used -Time (D)</t>
  </si>
  <si>
    <t>Used month
 end Dec.25</t>
  </si>
  <si>
    <t>Remaing 2026</t>
  </si>
  <si>
    <t>Bonus for 2026</t>
    <phoneticPr fontId="8" type="noConversion"/>
  </si>
  <si>
    <t>CMM (덕인 Tool Option 포함)</t>
    <phoneticPr fontId="8" type="noConversion"/>
  </si>
  <si>
    <t>Month</t>
  </si>
  <si>
    <t>중속 가공기(Middle-Speed Machining Center)</t>
    <phoneticPr fontId="8" type="noConversion"/>
  </si>
  <si>
    <t>2026.01.03</t>
    <phoneticPr fontId="8" type="noConversion"/>
  </si>
  <si>
    <t>Rev 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</si>
</sst>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_(&quot;$&quot;* #,##0.00_);_(&quot;$&quot;* \(#,##0.00\);_(&quot;$&quot;* &quot;-&quot;??_);_(@_)"/>
    <numFmt numFmtId="178" formatCode="_(* #,##0.00_);_(* \(#,##0.00\);_(* &quot;-&quot;??_);_(@_)"/>
    <numFmt numFmtId="179" formatCode="_ * #,##0_ ;_ * \-#,##0_ ;_ * &quot;-&quot;??_ ;_ @_ "/>
    <numFmt numFmtId="180" formatCode="0.0%"/>
    <numFmt numFmtId="181" formatCode="[$-409]mmm/yy;@"/>
    <numFmt numFmtId="182" formatCode="#,##0_ ;[Red]\-#,##0\ "/>
    <numFmt numFmtId="183" formatCode="_(* #,##0_);_(* \(#,##0\);_(* &quot;-&quot;??_);_(@_)"/>
    <numFmt numFmtId="184" formatCode="[$-409]d/mmm/yy;@"/>
    <numFmt numFmtId="185" formatCode="_-* #,##0_-;\-* #,##0_-;_-* &quot;-&quot;??_-;_-@_-"/>
    <numFmt numFmtId="186" formatCode="_(&quot;$&quot;* #,##0_);_(&quot;$&quot;* \(#,##0\);_(&quot;$&quot;* &quot;-&quot;??_);_(@_)"/>
    <numFmt numFmtId="187" formatCode="_(&quot;$&quot;* #,##0.000_);_(&quot;$&quot;* \(#,##0.000\);_(&quot;$&quot;* &quot;-&quot;??_);_(@_)"/>
    <numFmt numFmtId="188" formatCode="_(&quot;$&quot;* #,##0.0000_);_(&quot;$&quot;* \(#,##0.0000\);_(&quot;$&quot;* &quot;-&quot;??_);_(@_)"/>
    <numFmt numFmtId="189" formatCode="0_);[Red]\(0\)"/>
    <numFmt numFmtId="190" formatCode="_-[$$-409]* #,##0.00_ ;_-[$$-409]* \-#,##0.00\ ;_-[$$-409]* &quot;-&quot;??_ ;_-@_ "/>
    <numFmt numFmtId="191" formatCode="_-* #,##0.0_-;\-* #,##0.0_-;_-* &quot;-&quot;_-;_-@_-"/>
    <numFmt numFmtId="192" formatCode="_-[$$-409]* #,##0_ ;_-[$$-409]* \-#,##0\ ;_-[$$-409]* &quot;-&quot;??_ ;_-@_ "/>
    <numFmt numFmtId="193" formatCode="_-* #,##0.00_-;\-* #,##0.00_-;_-* &quot;-&quot;_-;_-@_-"/>
    <numFmt numFmtId="194" formatCode="_-* #,##0.0_-;\-* #,##0.0_-;_-* &quot;-&quot;??_-;_-@_-"/>
    <numFmt numFmtId="195" formatCode="0.00_);[Red]\(0.00\)"/>
    <numFmt numFmtId="196" formatCode="_-* #,##0.000_-;\-* #,##0.000_-;_-* &quot;-&quot;_-;_-@_-"/>
    <numFmt numFmtId="197" formatCode="[$-409]mmmm&quot;-&quot;yy;@"/>
    <numFmt numFmtId="198" formatCode="0.0_);[Red]\(0.0\)"/>
    <numFmt numFmtId="199" formatCode="_-* #,##0.0000_-;\-* #,##0.0000_-;_-* &quot;-&quot;_-;_-@_-"/>
    <numFmt numFmtId="200" formatCode="_ [$¥-804]* #,##0.00_ ;_ [$¥-804]* \-#,##0.00_ ;_ [$¥-804]* &quot;-&quot;??_ ;_ @_ "/>
    <numFmt numFmtId="201" formatCode="_-[$¥-411]* #,##0.00_-;\-[$¥-411]* #,##0.00_-;_-[$¥-411]* &quot;-&quot;??_-;_-@_-"/>
    <numFmt numFmtId="202" formatCode="_-* #,##0\ [$₫-42A]_-;\-* #,##0\ [$₫-42A]_-;_-* &quot;-&quot;??\ [$₫-42A]_-;_-@_-"/>
    <numFmt numFmtId="203" formatCode="_-[$₩-412]* #,##0.00_-;\-[$₩-412]* #,##0.00_-;_-[$₩-412]* &quot;-&quot;??_-;_-@_-"/>
    <numFmt numFmtId="204" formatCode="_-[$$-4809]* #,##0.00_-;\-[$$-4809]* #,##0.00_-;_-[$$-4809]* &quot;-&quot;??_-;_-@_-"/>
    <numFmt numFmtId="205" formatCode="_([$$-409]* #,##0.00_);_([$$-409]* \(#,##0.00\);_([$$-409]* &quot;-&quot;??_);_(@_)"/>
    <numFmt numFmtId="206" formatCode="0.0"/>
    <numFmt numFmtId="207" formatCode="_(* #,##0.0000_);_(* \(#,##0.0000\);_(* &quot;-&quot;_);_(@_)"/>
    <numFmt numFmtId="208" formatCode="0.0000%"/>
    <numFmt numFmtId="209" formatCode="_-* #,##0.000000000000_-;\-* #,##0.000000000000_-;_-* &quot;-&quot;??_-;_-@_-"/>
    <numFmt numFmtId="210" formatCode="#,##0.00_ ;[Red]\-#,##0.00\ "/>
    <numFmt numFmtId="211" formatCode="#,##0_ "/>
    <numFmt numFmtId="212" formatCode="#,##0.000_ ;[Red]\-#,##0.000\ "/>
    <numFmt numFmtId="213" formatCode="#,##0.0_ ;[Red]\-#,##0.0\ "/>
    <numFmt numFmtId="214" formatCode="&quot;평균 : &quot;#"/>
    <numFmt numFmtId="215" formatCode="_ * #,##0.0_ ;_ * \-#,##0.0_ ;_ * &quot;-&quot;??_ ;_ @_ "/>
    <numFmt numFmtId="216" formatCode="0.0000000000000000_);[Red]\(0.0000000000000000\)"/>
    <numFmt numFmtId="217" formatCode="0.0000"/>
    <numFmt numFmtId="218" formatCode="_-[$$-409]* #,##0.000_ ;_-[$$-409]* \-#,##0.000\ ;_-[$$-409]* &quot;-&quot;??_ ;_-@_ "/>
  </numFmts>
  <fonts count="18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新細明體"/>
      <family val="1"/>
      <charset val="136"/>
    </font>
    <font>
      <b/>
      <sz val="14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맑은 고딕"/>
      <family val="1"/>
      <scheme val="major"/>
    </font>
    <font>
      <b/>
      <u/>
      <sz val="20"/>
      <color theme="1"/>
      <name val="맑은 고딕"/>
      <family val="1"/>
      <scheme val="major"/>
    </font>
    <font>
      <b/>
      <sz val="36"/>
      <color theme="1"/>
      <name val="맑은 고딕"/>
      <family val="1"/>
      <scheme val="major"/>
    </font>
    <font>
      <b/>
      <sz val="36"/>
      <color theme="1"/>
      <name val="맑은 고딕"/>
      <family val="3"/>
      <charset val="129"/>
      <scheme val="major"/>
    </font>
    <font>
      <b/>
      <sz val="32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u/>
      <sz val="28"/>
      <color theme="1"/>
      <name val="맑은 고딕"/>
      <family val="1"/>
      <scheme val="major"/>
    </font>
    <font>
      <sz val="12"/>
      <color theme="1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i/>
      <u/>
      <sz val="1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u/>
      <sz val="10"/>
      <color rgb="FF0000FF"/>
      <name val="맑은 고딕"/>
      <family val="3"/>
      <charset val="129"/>
      <scheme val="minor"/>
    </font>
    <font>
      <b/>
      <i/>
      <sz val="10"/>
      <color rgb="FF0000FF"/>
      <name val="맑은 고딕"/>
      <family val="3"/>
      <charset val="129"/>
      <scheme val="minor"/>
    </font>
    <font>
      <b/>
      <i/>
      <u val="singleAccounting"/>
      <sz val="10"/>
      <color rgb="FF0000FF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theme="7" tint="-0.499984740745262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0"/>
      <name val="맑은 고딕"/>
      <family val="2"/>
      <scheme val="minor"/>
    </font>
    <font>
      <sz val="8"/>
      <name val="바탕"/>
      <family val="1"/>
      <charset val="129"/>
    </font>
    <font>
      <sz val="10"/>
      <name val="맑은 고딕"/>
      <family val="3"/>
      <charset val="134"/>
      <scheme val="minor"/>
    </font>
    <font>
      <sz val="10"/>
      <color theme="1"/>
      <name val="Times New Roman"/>
      <family val="1"/>
    </font>
    <font>
      <b/>
      <u/>
      <sz val="10"/>
      <color rgb="FF0000FF"/>
      <name val="맑은 고딕"/>
      <family val="3"/>
      <charset val="129"/>
      <scheme val="minor"/>
    </font>
    <font>
      <b/>
      <sz val="11"/>
      <color indexed="8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34"/>
      <scheme val="minor"/>
    </font>
    <font>
      <sz val="12"/>
      <color rgb="FFFF0000"/>
      <name val="맑은 고딕"/>
      <family val="3"/>
      <charset val="129"/>
      <scheme val="minor"/>
    </font>
    <font>
      <sz val="10"/>
      <name val="Geneva"/>
    </font>
    <font>
      <u/>
      <sz val="10"/>
      <name val="Geneva"/>
    </font>
    <font>
      <sz val="10"/>
      <color rgb="FFFF0000"/>
      <name val="Geneva"/>
    </font>
    <font>
      <b/>
      <sz val="10"/>
      <color theme="1"/>
      <name val="Geneva"/>
    </font>
    <font>
      <b/>
      <sz val="10"/>
      <name val="Geneva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2"/>
      <scheme val="minor"/>
    </font>
    <font>
      <sz val="10"/>
      <color theme="0"/>
      <name val="Geneva"/>
    </font>
    <font>
      <sz val="10"/>
      <color theme="1"/>
      <name val="Geneva"/>
    </font>
    <font>
      <u/>
      <sz val="10"/>
      <color theme="1"/>
      <name val="Geneva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34"/>
      <scheme val="minor"/>
    </font>
    <font>
      <sz val="10"/>
      <name val="맑은 고딕"/>
      <family val="2"/>
      <scheme val="minor"/>
    </font>
    <font>
      <sz val="12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rgb="FF0000FF"/>
      <name val="맑은 고딕"/>
      <family val="2"/>
      <scheme val="minor"/>
    </font>
    <font>
      <b/>
      <sz val="1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u/>
      <sz val="2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i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0"/>
      <color theme="5" tint="-0.249977111117893"/>
      <name val="맑은 고딕"/>
      <family val="3"/>
      <charset val="129"/>
    </font>
    <font>
      <b/>
      <i/>
      <sz val="1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b/>
      <i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2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i/>
      <sz val="10"/>
      <color rgb="FF0000FF"/>
      <name val="맑은 고딕"/>
      <family val="3"/>
      <charset val="129"/>
    </font>
    <font>
      <b/>
      <sz val="12"/>
      <name val="맑은 고딕"/>
      <family val="3"/>
      <charset val="129"/>
    </font>
    <font>
      <b/>
      <i/>
      <sz val="10"/>
      <color rgb="FF0000FF"/>
      <name val="맑은 고딕"/>
      <family val="3"/>
      <charset val="129"/>
    </font>
    <font>
      <i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i/>
      <sz val="10"/>
      <color theme="1"/>
      <name val="맑은 고딕"/>
      <family val="3"/>
      <charset val="129"/>
    </font>
    <font>
      <sz val="10"/>
      <color theme="5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0"/>
      <color theme="7" tint="-0.499984740745262"/>
      <name val="맑은 고딕"/>
      <family val="3"/>
      <charset val="129"/>
    </font>
    <font>
      <sz val="8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indexed="81"/>
      <name val="돋움체"/>
      <family val="3"/>
      <charset val="129"/>
    </font>
    <font>
      <b/>
      <sz val="12"/>
      <color indexed="81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6"/>
      <color theme="1"/>
      <name val="맑은 고딕"/>
      <family val="3"/>
      <charset val="129"/>
    </font>
    <font>
      <i/>
      <sz val="16"/>
      <color rgb="FF0000FF"/>
      <name val="맑은 고딕"/>
      <family val="3"/>
      <charset val="129"/>
    </font>
    <font>
      <sz val="16"/>
      <color rgb="FF0000FF"/>
      <name val="맑은 고딕"/>
      <family val="3"/>
      <charset val="129"/>
    </font>
    <font>
      <sz val="16"/>
      <color theme="0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2"/>
      <name val="맑은 고딕"/>
      <family val="3"/>
      <charset val="129"/>
    </font>
    <font>
      <i/>
      <sz val="12"/>
      <color rgb="FF0000FF"/>
      <name val="맑은 고딕"/>
      <family val="3"/>
      <charset val="129"/>
    </font>
    <font>
      <sz val="12"/>
      <color rgb="FF0000FF"/>
      <name val="맑은 고딕"/>
      <family val="3"/>
      <charset val="129"/>
    </font>
    <font>
      <sz val="12"/>
      <color rgb="FFFF0000"/>
      <name val="맑은 고딕"/>
      <family val="3"/>
      <charset val="129"/>
    </font>
    <font>
      <i/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name val="맑은 고딕"/>
      <family val="3"/>
      <charset val="129"/>
    </font>
    <font>
      <b/>
      <i/>
      <sz val="11"/>
      <color rgb="FF0000FF"/>
      <name val="맑은 고딕"/>
      <family val="3"/>
      <charset val="129"/>
    </font>
    <font>
      <b/>
      <u/>
      <sz val="12"/>
      <color rgb="FFFF0000"/>
      <name val="맑은 고딕"/>
      <family val="3"/>
      <charset val="129"/>
    </font>
    <font>
      <b/>
      <sz val="11"/>
      <color indexed="81"/>
      <name val="맑은 고딕"/>
      <family val="3"/>
      <charset val="129"/>
    </font>
    <font>
      <u val="singleAccounting"/>
      <sz val="10"/>
      <color theme="1"/>
      <name val="맑은 고딕"/>
      <family val="3"/>
      <charset val="129"/>
    </font>
    <font>
      <b/>
      <sz val="12"/>
      <color indexed="81"/>
      <name val="돋움"/>
      <family val="3"/>
      <charset val="129"/>
    </font>
    <font>
      <b/>
      <u val="singleAccounting"/>
      <sz val="10"/>
      <color theme="1"/>
      <name val="맑은 고딕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맑은 고딕"/>
      <family val="3"/>
      <charset val="129"/>
      <scheme val="major"/>
    </font>
    <font>
      <b/>
      <u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1"/>
      <name val="맑은 고딕"/>
      <family val="3"/>
      <charset val="129"/>
      <scheme val="major"/>
    </font>
    <font>
      <b/>
      <sz val="11"/>
      <color indexed="81"/>
      <name val="맑은 고딕"/>
      <family val="3"/>
      <charset val="129"/>
      <scheme val="major"/>
    </font>
    <font>
      <b/>
      <sz val="14"/>
      <color indexed="81"/>
      <name val="맑은 고딕"/>
      <family val="2"/>
      <charset val="129"/>
    </font>
    <font>
      <sz val="10"/>
      <color rgb="FFCC3300"/>
      <name val="맑은 고딕"/>
      <family val="3"/>
      <charset val="129"/>
    </font>
    <font>
      <sz val="12"/>
      <color indexed="81"/>
      <name val="맑은 고딕"/>
      <family val="3"/>
      <charset val="129"/>
      <scheme val="major"/>
    </font>
    <font>
      <sz val="11"/>
      <color indexed="81"/>
      <name val="맑은 고딕"/>
      <family val="3"/>
      <charset val="129"/>
      <scheme val="major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sz val="11"/>
      <color theme="1"/>
      <name val="Times New Roman"/>
      <family val="1"/>
    </font>
    <font>
      <b/>
      <sz val="14"/>
      <color indexed="81"/>
      <name val="맑은 고딕"/>
      <family val="3"/>
      <charset val="129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0"/>
        <bgColor rgb="FFC6D9F0"/>
      </patternFill>
    </fill>
    <fill>
      <patternFill patternType="solid">
        <fgColor theme="3" tint="0.79998168889431442"/>
        <bgColor rgb="FFC6D9F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rgb="FFC6D9F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2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177" fontId="23" fillId="0" borderId="0" applyFont="0" applyFill="0" applyBorder="0" applyAlignment="0" applyProtection="0"/>
    <xf numFmtId="0" fontId="23" fillId="0" borderId="0">
      <alignment vertical="center"/>
    </xf>
  </cellStyleXfs>
  <cellXfs count="5557">
    <xf numFmtId="0" fontId="0" fillId="0" borderId="0" xfId="0">
      <alignment vertical="center"/>
    </xf>
    <xf numFmtId="41" fontId="106" fillId="4" borderId="5" xfId="0" applyNumberFormat="1" applyFont="1" applyFill="1" applyBorder="1">
      <alignment vertical="center"/>
    </xf>
    <xf numFmtId="41" fontId="106" fillId="4" borderId="56" xfId="0" applyNumberFormat="1" applyFont="1" applyFill="1" applyBorder="1">
      <alignment vertical="center"/>
    </xf>
    <xf numFmtId="0" fontId="114" fillId="4" borderId="107" xfId="0" applyFont="1" applyFill="1" applyBorder="1">
      <alignment vertical="center"/>
    </xf>
    <xf numFmtId="191" fontId="82" fillId="3" borderId="0" xfId="0" applyNumberFormat="1" applyFont="1" applyFill="1">
      <alignment vertical="center"/>
    </xf>
    <xf numFmtId="41" fontId="82" fillId="3" borderId="0" xfId="0" applyNumberFormat="1" applyFont="1" applyFill="1">
      <alignment vertical="center"/>
    </xf>
    <xf numFmtId="41" fontId="91" fillId="2" borderId="28" xfId="0" applyNumberFormat="1" applyFont="1" applyFill="1" applyBorder="1">
      <alignment vertical="center"/>
    </xf>
    <xf numFmtId="196" fontId="91" fillId="2" borderId="28" xfId="0" applyNumberFormat="1" applyFont="1" applyFill="1" applyBorder="1">
      <alignment vertical="center"/>
    </xf>
    <xf numFmtId="193" fontId="91" fillId="2" borderId="28" xfId="0" applyNumberFormat="1" applyFont="1" applyFill="1" applyBorder="1">
      <alignment vertical="center"/>
    </xf>
    <xf numFmtId="0" fontId="91" fillId="0" borderId="0" xfId="0" applyFont="1">
      <alignment vertical="center"/>
    </xf>
    <xf numFmtId="0" fontId="91" fillId="0" borderId="28" xfId="0" applyFont="1" applyBorder="1">
      <alignment vertical="center"/>
    </xf>
    <xf numFmtId="41" fontId="82" fillId="4" borderId="5" xfId="0" applyNumberFormat="1" applyFont="1" applyFill="1" applyBorder="1">
      <alignment vertical="center"/>
    </xf>
    <xf numFmtId="41" fontId="82" fillId="4" borderId="11" xfId="0" applyNumberFormat="1" applyFont="1" applyFill="1" applyBorder="1">
      <alignment vertical="center"/>
    </xf>
    <xf numFmtId="41" fontId="82" fillId="4" borderId="8" xfId="0" applyNumberFormat="1" applyFont="1" applyFill="1" applyBorder="1">
      <alignment vertical="center"/>
    </xf>
    <xf numFmtId="41" fontId="82" fillId="4" borderId="119" xfId="0" applyNumberFormat="1" applyFont="1" applyFill="1" applyBorder="1">
      <alignment vertical="center"/>
    </xf>
    <xf numFmtId="41" fontId="82" fillId="4" borderId="1" xfId="0" applyNumberFormat="1" applyFont="1" applyFill="1" applyBorder="1">
      <alignment vertical="center"/>
    </xf>
    <xf numFmtId="41" fontId="82" fillId="4" borderId="27" xfId="0" applyNumberFormat="1" applyFont="1" applyFill="1" applyBorder="1">
      <alignment vertical="center"/>
    </xf>
    <xf numFmtId="41" fontId="82" fillId="4" borderId="27" xfId="0" applyNumberFormat="1" applyFont="1" applyFill="1" applyBorder="1" applyAlignment="1">
      <alignment vertical="top"/>
    </xf>
    <xf numFmtId="0" fontId="7" fillId="14" borderId="47" xfId="0" applyFont="1" applyFill="1" applyBorder="1" applyAlignment="1">
      <alignment horizontal="center"/>
    </xf>
    <xf numFmtId="0" fontId="7" fillId="14" borderId="35" xfId="0" applyFont="1" applyFill="1" applyBorder="1" applyAlignment="1">
      <alignment horizontal="center"/>
    </xf>
    <xf numFmtId="41" fontId="114" fillId="4" borderId="34" xfId="0" applyNumberFormat="1" applyFont="1" applyFill="1" applyBorder="1" applyAlignment="1">
      <alignment horizontal="center" vertical="center"/>
    </xf>
    <xf numFmtId="41" fontId="114" fillId="4" borderId="33" xfId="0" applyNumberFormat="1" applyFont="1" applyFill="1" applyBorder="1" applyAlignment="1">
      <alignment horizontal="center" vertical="center"/>
    </xf>
    <xf numFmtId="41" fontId="114" fillId="4" borderId="19" xfId="0" applyNumberFormat="1" applyFont="1" applyFill="1" applyBorder="1" applyAlignment="1">
      <alignment horizontal="center" vertical="center"/>
    </xf>
    <xf numFmtId="41" fontId="114" fillId="4" borderId="17" xfId="0" applyNumberFormat="1" applyFont="1" applyFill="1" applyBorder="1" applyAlignment="1">
      <alignment horizontal="center" vertical="center"/>
    </xf>
    <xf numFmtId="180" fontId="106" fillId="4" borderId="1" xfId="0" applyNumberFormat="1" applyFont="1" applyFill="1" applyBorder="1" applyAlignment="1">
      <alignment horizontal="center" vertical="center"/>
    </xf>
    <xf numFmtId="180" fontId="106" fillId="4" borderId="27" xfId="0" applyNumberFormat="1" applyFont="1" applyFill="1" applyBorder="1" applyAlignment="1">
      <alignment horizontal="center" vertical="center"/>
    </xf>
    <xf numFmtId="41" fontId="91" fillId="4" borderId="63" xfId="0" applyNumberFormat="1" applyFont="1" applyFill="1" applyBorder="1" applyAlignment="1">
      <alignment horizontal="left" vertical="center"/>
    </xf>
    <xf numFmtId="41" fontId="91" fillId="4" borderId="118" xfId="0" applyNumberFormat="1" applyFont="1" applyFill="1" applyBorder="1" applyAlignment="1">
      <alignment horizontal="left" vertical="center"/>
    </xf>
    <xf numFmtId="41" fontId="91" fillId="4" borderId="65" xfId="0" applyNumberFormat="1" applyFont="1" applyFill="1" applyBorder="1" applyAlignment="1">
      <alignment horizontal="left" vertical="center"/>
    </xf>
    <xf numFmtId="41" fontId="91" fillId="4" borderId="62" xfId="0" applyNumberFormat="1" applyFont="1" applyFill="1" applyBorder="1" applyAlignment="1">
      <alignment horizontal="left" vertical="center"/>
    </xf>
    <xf numFmtId="41" fontId="91" fillId="4" borderId="10" xfId="0" applyNumberFormat="1" applyFont="1" applyFill="1" applyBorder="1" applyAlignment="1">
      <alignment horizontal="left" vertical="center"/>
    </xf>
    <xf numFmtId="41" fontId="91" fillId="4" borderId="8" xfId="0" applyNumberFormat="1" applyFont="1" applyFill="1" applyBorder="1" applyAlignment="1">
      <alignment horizontal="left" vertical="center"/>
    </xf>
    <xf numFmtId="41" fontId="91" fillId="4" borderId="119" xfId="0" applyNumberFormat="1" applyFont="1" applyFill="1" applyBorder="1" applyAlignment="1">
      <alignment horizontal="left" vertical="center"/>
    </xf>
    <xf numFmtId="0" fontId="106" fillId="4" borderId="20" xfId="0" applyFont="1" applyFill="1" applyBorder="1" applyAlignment="1">
      <alignment horizontal="center" vertical="center"/>
    </xf>
    <xf numFmtId="41" fontId="91" fillId="4" borderId="56" xfId="0" applyNumberFormat="1" applyFont="1" applyFill="1" applyBorder="1" applyAlignment="1">
      <alignment horizontal="left" vertical="center"/>
    </xf>
    <xf numFmtId="178" fontId="110" fillId="12" borderId="28" xfId="0" applyNumberFormat="1" applyFont="1" applyFill="1" applyBorder="1" applyAlignment="1">
      <alignment horizontal="center" vertical="center"/>
    </xf>
    <xf numFmtId="180" fontId="112" fillId="4" borderId="20" xfId="0" applyNumberFormat="1" applyFont="1" applyFill="1" applyBorder="1" applyAlignment="1">
      <alignment horizontal="center" vertical="center"/>
    </xf>
    <xf numFmtId="180" fontId="110" fillId="4" borderId="45" xfId="0" applyNumberFormat="1" applyFont="1" applyFill="1" applyBorder="1" applyAlignment="1">
      <alignment horizontal="left" vertical="center"/>
    </xf>
    <xf numFmtId="0" fontId="106" fillId="4" borderId="80" xfId="0" applyFont="1" applyFill="1" applyBorder="1" applyAlignment="1">
      <alignment horizontal="center" vertical="top"/>
    </xf>
    <xf numFmtId="180" fontId="114" fillId="4" borderId="45" xfId="0" applyNumberFormat="1" applyFont="1" applyFill="1" applyBorder="1" applyAlignment="1">
      <alignment horizontal="left" vertical="center"/>
    </xf>
    <xf numFmtId="0" fontId="114" fillId="4" borderId="25" xfId="0" applyFont="1" applyFill="1" applyBorder="1" applyAlignment="1">
      <alignment horizontal="center" vertical="center"/>
    </xf>
    <xf numFmtId="0" fontId="114" fillId="4" borderId="80" xfId="0" applyFont="1" applyFill="1" applyBorder="1" applyAlignment="1">
      <alignment horizontal="center" vertical="center"/>
    </xf>
    <xf numFmtId="0" fontId="91" fillId="4" borderId="17" xfId="0" applyFont="1" applyFill="1" applyBorder="1" applyAlignment="1">
      <alignment horizontal="center" vertical="center"/>
    </xf>
    <xf numFmtId="0" fontId="82" fillId="4" borderId="10" xfId="0" applyFont="1" applyFill="1" applyBorder="1" applyAlignment="1">
      <alignment horizontal="left" vertical="center"/>
    </xf>
    <xf numFmtId="180" fontId="106" fillId="4" borderId="45" xfId="0" applyNumberFormat="1" applyFont="1" applyFill="1" applyBorder="1" applyAlignment="1">
      <alignment horizontal="center" vertical="center"/>
    </xf>
    <xf numFmtId="41" fontId="114" fillId="4" borderId="15" xfId="0" applyNumberFormat="1" applyFont="1" applyFill="1" applyBorder="1" applyAlignment="1">
      <alignment horizontal="center" vertical="center"/>
    </xf>
    <xf numFmtId="0" fontId="110" fillId="4" borderId="15" xfId="0" applyFont="1" applyFill="1" applyBorder="1" applyAlignment="1">
      <alignment horizontal="center" vertical="center"/>
    </xf>
    <xf numFmtId="0" fontId="91" fillId="4" borderId="35" xfId="0" applyFont="1" applyFill="1" applyBorder="1" applyAlignment="1">
      <alignment horizontal="center" vertical="center"/>
    </xf>
    <xf numFmtId="41" fontId="10" fillId="4" borderId="68" xfId="0" applyNumberFormat="1" applyFont="1" applyFill="1" applyBorder="1" applyAlignment="1">
      <alignment horizontal="center" vertical="top"/>
    </xf>
    <xf numFmtId="41" fontId="10" fillId="4" borderId="8" xfId="0" applyNumberFormat="1" applyFont="1" applyFill="1" applyBorder="1" applyAlignment="1">
      <alignment horizontal="center" vertical="top"/>
    </xf>
    <xf numFmtId="41" fontId="10" fillId="4" borderId="65" xfId="0" applyNumberFormat="1" applyFont="1" applyFill="1" applyBorder="1" applyAlignment="1">
      <alignment horizontal="center" vertical="top"/>
    </xf>
    <xf numFmtId="0" fontId="11" fillId="4" borderId="67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left" vertical="center"/>
    </xf>
    <xf numFmtId="41" fontId="11" fillId="4" borderId="67" xfId="0" applyNumberFormat="1" applyFont="1" applyFill="1" applyBorder="1" applyAlignment="1">
      <alignment horizontal="center" vertical="center"/>
    </xf>
    <xf numFmtId="41" fontId="11" fillId="4" borderId="15" xfId="0" applyNumberFormat="1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41" fontId="91" fillId="4" borderId="65" xfId="0" applyNumberFormat="1" applyFont="1" applyFill="1" applyBorder="1" applyAlignment="1">
      <alignment horizontal="center" vertical="center"/>
    </xf>
    <xf numFmtId="0" fontId="114" fillId="4" borderId="61" xfId="0" applyFont="1" applyFill="1" applyBorder="1" applyAlignment="1">
      <alignment horizontal="center" vertical="center"/>
    </xf>
    <xf numFmtId="0" fontId="114" fillId="4" borderId="63" xfId="0" applyFont="1" applyFill="1" applyBorder="1" applyAlignment="1">
      <alignment horizontal="center" vertical="center"/>
    </xf>
    <xf numFmtId="0" fontId="114" fillId="4" borderId="64" xfId="0" applyFont="1" applyFill="1" applyBorder="1" applyAlignment="1">
      <alignment horizontal="center" vertical="center"/>
    </xf>
    <xf numFmtId="41" fontId="91" fillId="4" borderId="5" xfId="0" applyNumberFormat="1" applyFont="1" applyFill="1" applyBorder="1" applyAlignment="1">
      <alignment horizontal="left" vertical="center"/>
    </xf>
    <xf numFmtId="41" fontId="91" fillId="4" borderId="1" xfId="0" applyNumberFormat="1" applyFont="1" applyFill="1" applyBorder="1" applyAlignment="1">
      <alignment horizontal="left" vertical="center"/>
    </xf>
    <xf numFmtId="41" fontId="91" fillId="4" borderId="27" xfId="0" applyNumberFormat="1" applyFont="1" applyFill="1" applyBorder="1" applyAlignment="1">
      <alignment horizontal="left" vertical="center"/>
    </xf>
    <xf numFmtId="0" fontId="114" fillId="4" borderId="8" xfId="0" applyFont="1" applyFill="1" applyBorder="1" applyAlignment="1">
      <alignment horizontal="center" vertical="center"/>
    </xf>
    <xf numFmtId="0" fontId="114" fillId="4" borderId="65" xfId="0" applyFont="1" applyFill="1" applyBorder="1" applyAlignment="1">
      <alignment horizontal="center" vertical="center"/>
    </xf>
    <xf numFmtId="0" fontId="114" fillId="4" borderId="35" xfId="0" applyFont="1" applyFill="1" applyBorder="1" applyAlignment="1">
      <alignment horizontal="center" vertical="center"/>
    </xf>
    <xf numFmtId="41" fontId="91" fillId="4" borderId="63" xfId="0" applyNumberFormat="1" applyFont="1" applyFill="1" applyBorder="1" applyAlignment="1">
      <alignment horizontal="center" vertical="center"/>
    </xf>
    <xf numFmtId="41" fontId="91" fillId="4" borderId="8" xfId="0" applyNumberFormat="1" applyFont="1" applyFill="1" applyBorder="1" applyAlignment="1">
      <alignment horizontal="center" vertical="center"/>
    </xf>
    <xf numFmtId="0" fontId="91" fillId="4" borderId="42" xfId="0" applyFont="1" applyFill="1" applyBorder="1" applyAlignment="1">
      <alignment horizontal="center" vertical="center"/>
    </xf>
    <xf numFmtId="0" fontId="91" fillId="4" borderId="8" xfId="0" applyFont="1" applyFill="1" applyBorder="1" applyAlignment="1">
      <alignment horizontal="center" vertical="center"/>
    </xf>
    <xf numFmtId="0" fontId="91" fillId="4" borderId="65" xfId="0" applyFont="1" applyFill="1" applyBorder="1" applyAlignment="1">
      <alignment horizontal="center" vertical="center"/>
    </xf>
    <xf numFmtId="0" fontId="114" fillId="4" borderId="16" xfId="0" applyFont="1" applyFill="1" applyBorder="1" applyAlignment="1">
      <alignment horizontal="center" vertical="center"/>
    </xf>
    <xf numFmtId="0" fontId="114" fillId="4" borderId="20" xfId="0" applyFont="1" applyFill="1" applyBorder="1" applyAlignment="1">
      <alignment horizontal="center" vertical="center"/>
    </xf>
    <xf numFmtId="0" fontId="91" fillId="4" borderId="5" xfId="0" applyFont="1" applyFill="1" applyBorder="1" applyAlignment="1">
      <alignment horizontal="center" vertical="center"/>
    </xf>
    <xf numFmtId="0" fontId="91" fillId="4" borderId="1" xfId="0" applyFont="1" applyFill="1" applyBorder="1" applyAlignment="1">
      <alignment horizontal="center" vertical="center"/>
    </xf>
    <xf numFmtId="0" fontId="114" fillId="4" borderId="112" xfId="0" applyFont="1" applyFill="1" applyBorder="1" applyAlignment="1">
      <alignment horizontal="center" vertical="center"/>
    </xf>
    <xf numFmtId="0" fontId="114" fillId="4" borderId="13" xfId="0" applyFont="1" applyFill="1" applyBorder="1" applyAlignment="1">
      <alignment horizontal="center" vertical="center"/>
    </xf>
    <xf numFmtId="0" fontId="114" fillId="4" borderId="55" xfId="0" applyFont="1" applyFill="1" applyBorder="1" applyAlignment="1">
      <alignment horizontal="center" vertical="center"/>
    </xf>
    <xf numFmtId="0" fontId="114" fillId="4" borderId="58" xfId="0" applyFont="1" applyFill="1" applyBorder="1" applyAlignment="1">
      <alignment horizontal="center" vertical="center"/>
    </xf>
    <xf numFmtId="0" fontId="114" fillId="4" borderId="27" xfId="0" applyFont="1" applyFill="1" applyBorder="1" applyAlignment="1">
      <alignment horizontal="center" vertical="center"/>
    </xf>
    <xf numFmtId="0" fontId="114" fillId="4" borderId="1" xfId="0" applyFont="1" applyFill="1" applyBorder="1" applyAlignment="1">
      <alignment horizontal="center" vertical="center"/>
    </xf>
    <xf numFmtId="0" fontId="114" fillId="4" borderId="18" xfId="0" applyFont="1" applyFill="1" applyBorder="1" applyAlignment="1">
      <alignment horizontal="center" vertical="center"/>
    </xf>
    <xf numFmtId="0" fontId="106" fillId="4" borderId="73" xfId="0" applyFont="1" applyFill="1" applyBorder="1" applyAlignment="1">
      <alignment horizontal="center" vertical="center"/>
    </xf>
    <xf numFmtId="41" fontId="82" fillId="4" borderId="5" xfId="0" applyNumberFormat="1" applyFont="1" applyFill="1" applyBorder="1" applyAlignment="1">
      <alignment horizontal="left" vertical="center"/>
    </xf>
    <xf numFmtId="41" fontId="82" fillId="4" borderId="1" xfId="0" applyNumberFormat="1" applyFont="1" applyFill="1" applyBorder="1" applyAlignment="1">
      <alignment horizontal="left" vertical="center"/>
    </xf>
    <xf numFmtId="41" fontId="82" fillId="4" borderId="11" xfId="0" applyNumberFormat="1" applyFont="1" applyFill="1" applyBorder="1" applyAlignment="1">
      <alignment horizontal="left" vertical="center"/>
    </xf>
    <xf numFmtId="41" fontId="82" fillId="4" borderId="8" xfId="0" applyNumberFormat="1" applyFont="1" applyFill="1" applyBorder="1" applyAlignment="1">
      <alignment horizontal="center" vertical="center"/>
    </xf>
    <xf numFmtId="0" fontId="114" fillId="4" borderId="67" xfId="0" applyFont="1" applyFill="1" applyBorder="1" applyAlignment="1">
      <alignment horizontal="center" vertical="center"/>
    </xf>
    <xf numFmtId="0" fontId="114" fillId="4" borderId="45" xfId="0" applyFont="1" applyFill="1" applyBorder="1" applyAlignment="1">
      <alignment horizontal="center" vertical="center"/>
    </xf>
    <xf numFmtId="0" fontId="114" fillId="4" borderId="15" xfId="0" applyFont="1" applyFill="1" applyBorder="1" applyAlignment="1">
      <alignment horizontal="center" vertical="center"/>
    </xf>
    <xf numFmtId="0" fontId="106" fillId="4" borderId="15" xfId="0" applyFont="1" applyFill="1" applyBorder="1" applyAlignment="1">
      <alignment horizontal="center" vertical="center"/>
    </xf>
    <xf numFmtId="41" fontId="82" fillId="4" borderId="5" xfId="0" applyNumberFormat="1" applyFont="1" applyFill="1" applyBorder="1" applyAlignment="1">
      <alignment horizontal="left" vertical="top"/>
    </xf>
    <xf numFmtId="41" fontId="82" fillId="4" borderId="1" xfId="0" applyNumberFormat="1" applyFont="1" applyFill="1" applyBorder="1" applyAlignment="1">
      <alignment horizontal="left" vertical="top"/>
    </xf>
    <xf numFmtId="41" fontId="82" fillId="4" borderId="27" xfId="0" applyNumberFormat="1" applyFont="1" applyFill="1" applyBorder="1" applyAlignment="1">
      <alignment horizontal="left" vertical="top"/>
    </xf>
    <xf numFmtId="0" fontId="106" fillId="4" borderId="55" xfId="0" applyFont="1" applyFill="1" applyBorder="1" applyAlignment="1">
      <alignment horizontal="center" vertical="center"/>
    </xf>
    <xf numFmtId="0" fontId="17" fillId="3" borderId="61" xfId="0" applyFont="1" applyFill="1" applyBorder="1" applyAlignment="1">
      <alignment horizontal="center" vertical="center"/>
    </xf>
    <xf numFmtId="0" fontId="17" fillId="3" borderId="61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 wrapText="1"/>
    </xf>
    <xf numFmtId="0" fontId="107" fillId="3" borderId="0" xfId="0" applyFont="1" applyFill="1" applyAlignment="1">
      <alignment horizontal="center" vertical="center"/>
    </xf>
    <xf numFmtId="0" fontId="110" fillId="13" borderId="28" xfId="0" applyFont="1" applyFill="1" applyBorder="1" applyAlignment="1">
      <alignment horizontal="center" vertical="center"/>
    </xf>
    <xf numFmtId="0" fontId="17" fillId="3" borderId="48" xfId="0" quotePrefix="1" applyFont="1" applyFill="1" applyBorder="1" applyAlignment="1">
      <alignment horizontal="left" vertical="center" wrapText="1"/>
    </xf>
    <xf numFmtId="41" fontId="22" fillId="0" borderId="0" xfId="0" applyNumberFormat="1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41" fontId="10" fillId="0" borderId="0" xfId="0" applyNumberFormat="1" applyFont="1">
      <alignment vertical="center"/>
    </xf>
    <xf numFmtId="0" fontId="12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20" fillId="0" borderId="0" xfId="0" applyFont="1">
      <alignment vertical="center"/>
    </xf>
    <xf numFmtId="0" fontId="29" fillId="0" borderId="0" xfId="0" applyFont="1" applyAlignment="1">
      <alignment horizontal="left" vertical="center"/>
    </xf>
    <xf numFmtId="0" fontId="34" fillId="0" borderId="0" xfId="0" applyFont="1">
      <alignment vertical="center"/>
    </xf>
    <xf numFmtId="0" fontId="34" fillId="3" borderId="0" xfId="0" applyFont="1" applyFill="1">
      <alignment vertical="center"/>
    </xf>
    <xf numFmtId="0" fontId="34" fillId="6" borderId="0" xfId="0" applyFont="1" applyFill="1">
      <alignment vertical="center"/>
    </xf>
    <xf numFmtId="0" fontId="41" fillId="3" borderId="0" xfId="0" quotePrefix="1" applyFont="1" applyFill="1">
      <alignment vertical="center"/>
    </xf>
    <xf numFmtId="0" fontId="41" fillId="3" borderId="0" xfId="0" applyFont="1" applyFill="1">
      <alignment vertical="center"/>
    </xf>
    <xf numFmtId="0" fontId="19" fillId="3" borderId="0" xfId="0" applyFont="1" applyFill="1">
      <alignment vertical="center"/>
    </xf>
    <xf numFmtId="0" fontId="41" fillId="3" borderId="0" xfId="0" applyFont="1" applyFill="1" applyAlignment="1">
      <alignment horizontal="left" vertical="center"/>
    </xf>
    <xf numFmtId="0" fontId="41" fillId="3" borderId="0" xfId="0" quotePrefix="1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41" fontId="12" fillId="0" borderId="0" xfId="0" applyNumberFormat="1" applyFont="1">
      <alignment vertical="center"/>
    </xf>
    <xf numFmtId="41" fontId="12" fillId="3" borderId="0" xfId="0" applyNumberFormat="1" applyFont="1" applyFill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41" fontId="12" fillId="3" borderId="9" xfId="0" applyNumberFormat="1" applyFont="1" applyFill="1" applyBorder="1">
      <alignment vertical="center"/>
    </xf>
    <xf numFmtId="41" fontId="12" fillId="3" borderId="89" xfId="0" applyNumberFormat="1" applyFont="1" applyFill="1" applyBorder="1">
      <alignment vertical="center"/>
    </xf>
    <xf numFmtId="181" fontId="11" fillId="3" borderId="0" xfId="0" applyNumberFormat="1" applyFont="1" applyFill="1">
      <alignment vertical="center"/>
    </xf>
    <xf numFmtId="181" fontId="10" fillId="3" borderId="0" xfId="0" applyNumberFormat="1" applyFont="1" applyFill="1" applyAlignment="1">
      <alignment vertical="center" shrinkToFit="1"/>
    </xf>
    <xf numFmtId="41" fontId="10" fillId="3" borderId="0" xfId="0" applyNumberFormat="1" applyFont="1" applyFill="1">
      <alignment vertical="center"/>
    </xf>
    <xf numFmtId="181" fontId="10" fillId="3" borderId="0" xfId="0" applyNumberFormat="1" applyFont="1" applyFill="1" applyAlignment="1">
      <alignment horizontal="left" vertical="center" shrinkToFit="1"/>
    </xf>
    <xf numFmtId="43" fontId="10" fillId="3" borderId="0" xfId="0" applyNumberFormat="1" applyFont="1" applyFill="1">
      <alignment vertical="center"/>
    </xf>
    <xf numFmtId="181" fontId="10" fillId="3" borderId="0" xfId="0" applyNumberFormat="1" applyFont="1" applyFill="1">
      <alignment vertical="center"/>
    </xf>
    <xf numFmtId="41" fontId="11" fillId="4" borderId="20" xfId="0" applyNumberFormat="1" applyFont="1" applyFill="1" applyBorder="1" applyAlignment="1">
      <alignment horizontal="center" vertical="center"/>
    </xf>
    <xf numFmtId="41" fontId="11" fillId="4" borderId="19" xfId="0" applyNumberFormat="1" applyFont="1" applyFill="1" applyBorder="1" applyAlignment="1">
      <alignment horizontal="center" vertical="center"/>
    </xf>
    <xf numFmtId="38" fontId="11" fillId="4" borderId="27" xfId="0" applyNumberFormat="1" applyFont="1" applyFill="1" applyBorder="1" applyAlignment="1">
      <alignment horizontal="center" vertical="center"/>
    </xf>
    <xf numFmtId="38" fontId="11" fillId="4" borderId="60" xfId="0" applyNumberFormat="1" applyFont="1" applyFill="1" applyBorder="1" applyAlignment="1">
      <alignment horizontal="center" vertical="center"/>
    </xf>
    <xf numFmtId="38" fontId="11" fillId="4" borderId="25" xfId="0" applyNumberFormat="1" applyFont="1" applyFill="1" applyBorder="1" applyAlignment="1">
      <alignment horizontal="center" vertical="center"/>
    </xf>
    <xf numFmtId="38" fontId="10" fillId="3" borderId="0" xfId="0" applyNumberFormat="1" applyFont="1" applyFill="1" applyAlignment="1">
      <alignment horizontal="left" vertical="center" shrinkToFit="1"/>
    </xf>
    <xf numFmtId="38" fontId="10" fillId="3" borderId="0" xfId="0" applyNumberFormat="1" applyFont="1" applyFill="1">
      <alignment vertical="center"/>
    </xf>
    <xf numFmtId="38" fontId="43" fillId="4" borderId="80" xfId="0" applyNumberFormat="1" applyFont="1" applyFill="1" applyBorder="1">
      <alignment vertical="center"/>
    </xf>
    <xf numFmtId="41" fontId="44" fillId="4" borderId="50" xfId="0" applyNumberFormat="1" applyFont="1" applyFill="1" applyBorder="1" applyAlignment="1">
      <alignment vertical="center" shrinkToFit="1"/>
    </xf>
    <xf numFmtId="38" fontId="45" fillId="3" borderId="27" xfId="0" applyNumberFormat="1" applyFont="1" applyFill="1" applyBorder="1">
      <alignment vertical="center"/>
    </xf>
    <xf numFmtId="38" fontId="45" fillId="3" borderId="60" xfId="0" applyNumberFormat="1" applyFont="1" applyFill="1" applyBorder="1">
      <alignment vertical="center"/>
    </xf>
    <xf numFmtId="38" fontId="45" fillId="4" borderId="25" xfId="0" applyNumberFormat="1" applyFont="1" applyFill="1" applyBorder="1">
      <alignment vertical="center"/>
    </xf>
    <xf numFmtId="38" fontId="46" fillId="3" borderId="0" xfId="0" applyNumberFormat="1" applyFont="1" applyFill="1" applyAlignment="1">
      <alignment horizontal="left" vertical="center" shrinkToFit="1"/>
    </xf>
    <xf numFmtId="38" fontId="46" fillId="3" borderId="0" xfId="0" applyNumberFormat="1" applyFont="1" applyFill="1">
      <alignment vertical="center"/>
    </xf>
    <xf numFmtId="38" fontId="47" fillId="4" borderId="38" xfId="0" applyNumberFormat="1" applyFont="1" applyFill="1" applyBorder="1">
      <alignment vertical="center"/>
    </xf>
    <xf numFmtId="41" fontId="12" fillId="4" borderId="107" xfId="0" applyNumberFormat="1" applyFont="1" applyFill="1" applyBorder="1" applyAlignment="1">
      <alignment vertical="center" shrinkToFit="1"/>
    </xf>
    <xf numFmtId="38" fontId="10" fillId="3" borderId="5" xfId="0" applyNumberFormat="1" applyFont="1" applyFill="1" applyBorder="1">
      <alignment vertical="center"/>
    </xf>
    <xf numFmtId="38" fontId="10" fillId="3" borderId="47" xfId="0" applyNumberFormat="1" applyFont="1" applyFill="1" applyBorder="1">
      <alignment vertical="center"/>
    </xf>
    <xf numFmtId="38" fontId="10" fillId="4" borderId="110" xfId="0" applyNumberFormat="1" applyFont="1" applyFill="1" applyBorder="1">
      <alignment vertical="center"/>
    </xf>
    <xf numFmtId="38" fontId="48" fillId="3" borderId="0" xfId="0" applyNumberFormat="1" applyFont="1" applyFill="1" applyAlignment="1">
      <alignment horizontal="left" vertical="center" shrinkToFit="1"/>
    </xf>
    <xf numFmtId="38" fontId="48" fillId="3" borderId="0" xfId="0" applyNumberFormat="1" applyFont="1" applyFill="1">
      <alignment vertical="center"/>
    </xf>
    <xf numFmtId="38" fontId="12" fillId="4" borderId="55" xfId="0" applyNumberFormat="1" applyFont="1" applyFill="1" applyBorder="1" applyAlignment="1">
      <alignment vertical="center" shrinkToFit="1"/>
    </xf>
    <xf numFmtId="41" fontId="12" fillId="4" borderId="8" xfId="0" applyNumberFormat="1" applyFont="1" applyFill="1" applyBorder="1" applyAlignment="1">
      <alignment vertical="center" shrinkToFit="1"/>
    </xf>
    <xf numFmtId="38" fontId="10" fillId="3" borderId="61" xfId="0" applyNumberFormat="1" applyFont="1" applyFill="1" applyBorder="1">
      <alignment vertical="center"/>
    </xf>
    <xf numFmtId="38" fontId="10" fillId="3" borderId="34" xfId="0" applyNumberFormat="1" applyFont="1" applyFill="1" applyBorder="1">
      <alignment vertical="center"/>
    </xf>
    <xf numFmtId="38" fontId="10" fillId="4" borderId="71" xfId="0" applyNumberFormat="1" applyFont="1" applyFill="1" applyBorder="1">
      <alignment vertical="center"/>
    </xf>
    <xf numFmtId="38" fontId="12" fillId="4" borderId="55" xfId="0" applyNumberFormat="1" applyFont="1" applyFill="1" applyBorder="1">
      <alignment vertical="center"/>
    </xf>
    <xf numFmtId="41" fontId="12" fillId="4" borderId="42" xfId="0" applyNumberFormat="1" applyFont="1" applyFill="1" applyBorder="1" applyAlignment="1">
      <alignment vertical="center" shrinkToFit="1"/>
    </xf>
    <xf numFmtId="38" fontId="14" fillId="4" borderId="21" xfId="0" applyNumberFormat="1" applyFont="1" applyFill="1" applyBorder="1">
      <alignment vertical="center"/>
    </xf>
    <xf numFmtId="41" fontId="11" fillId="4" borderId="71" xfId="0" applyNumberFormat="1" applyFont="1" applyFill="1" applyBorder="1" applyAlignment="1">
      <alignment horizontal="center" vertical="center" shrinkToFit="1"/>
    </xf>
    <xf numFmtId="38" fontId="11" fillId="3" borderId="1" xfId="0" applyNumberFormat="1" applyFont="1" applyFill="1" applyBorder="1">
      <alignment vertical="center"/>
    </xf>
    <xf numFmtId="38" fontId="11" fillId="3" borderId="69" xfId="0" applyNumberFormat="1" applyFont="1" applyFill="1" applyBorder="1">
      <alignment vertical="center"/>
    </xf>
    <xf numFmtId="38" fontId="11" fillId="4" borderId="24" xfId="0" applyNumberFormat="1" applyFont="1" applyFill="1" applyBorder="1">
      <alignment vertical="center"/>
    </xf>
    <xf numFmtId="38" fontId="11" fillId="3" borderId="0" xfId="0" applyNumberFormat="1" applyFont="1" applyFill="1" applyAlignment="1">
      <alignment horizontal="left" vertical="center" shrinkToFit="1"/>
    </xf>
    <xf numFmtId="38" fontId="11" fillId="3" borderId="0" xfId="0" applyNumberFormat="1" applyFont="1" applyFill="1">
      <alignment vertical="center"/>
    </xf>
    <xf numFmtId="38" fontId="12" fillId="4" borderId="64" xfId="0" applyNumberFormat="1" applyFont="1" applyFill="1" applyBorder="1">
      <alignment vertical="center"/>
    </xf>
    <xf numFmtId="41" fontId="12" fillId="4" borderId="34" xfId="0" applyNumberFormat="1" applyFont="1" applyFill="1" applyBorder="1" applyAlignment="1">
      <alignment vertical="center" shrinkToFit="1"/>
    </xf>
    <xf numFmtId="41" fontId="12" fillId="4" borderId="69" xfId="0" applyNumberFormat="1" applyFont="1" applyFill="1" applyBorder="1" applyAlignment="1">
      <alignment vertical="center" shrinkToFit="1"/>
    </xf>
    <xf numFmtId="181" fontId="11" fillId="4" borderId="71" xfId="0" applyNumberFormat="1" applyFont="1" applyFill="1" applyBorder="1" applyAlignment="1">
      <alignment horizontal="center" vertical="center" shrinkToFit="1"/>
    </xf>
    <xf numFmtId="38" fontId="11" fillId="3" borderId="61" xfId="0" applyNumberFormat="1" applyFont="1" applyFill="1" applyBorder="1">
      <alignment vertical="center"/>
    </xf>
    <xf numFmtId="38" fontId="11" fillId="3" borderId="34" xfId="0" applyNumberFormat="1" applyFont="1" applyFill="1" applyBorder="1">
      <alignment vertical="center"/>
    </xf>
    <xf numFmtId="38" fontId="11" fillId="4" borderId="71" xfId="0" applyNumberFormat="1" applyFont="1" applyFill="1" applyBorder="1">
      <alignment vertical="center"/>
    </xf>
    <xf numFmtId="41" fontId="10" fillId="4" borderId="19" xfId="0" applyNumberFormat="1" applyFont="1" applyFill="1" applyBorder="1">
      <alignment vertical="center"/>
    </xf>
    <xf numFmtId="38" fontId="14" fillId="4" borderId="18" xfId="0" applyNumberFormat="1" applyFont="1" applyFill="1" applyBorder="1">
      <alignment vertical="center"/>
    </xf>
    <xf numFmtId="38" fontId="14" fillId="4" borderId="19" xfId="0" applyNumberFormat="1" applyFont="1" applyFill="1" applyBorder="1">
      <alignment vertical="center"/>
    </xf>
    <xf numFmtId="38" fontId="50" fillId="3" borderId="0" xfId="0" applyNumberFormat="1" applyFont="1" applyFill="1" applyAlignment="1">
      <alignment horizontal="left" vertical="center" shrinkToFit="1"/>
    </xf>
    <xf numFmtId="38" fontId="50" fillId="3" borderId="0" xfId="0" applyNumberFormat="1" applyFont="1" applyFill="1">
      <alignment vertical="center"/>
    </xf>
    <xf numFmtId="181" fontId="51" fillId="3" borderId="0" xfId="0" applyNumberFormat="1" applyFont="1" applyFill="1">
      <alignment vertical="center"/>
    </xf>
    <xf numFmtId="181" fontId="52" fillId="3" borderId="0" xfId="0" applyNumberFormat="1" applyFont="1" applyFill="1" applyAlignment="1">
      <alignment vertical="center" shrinkToFit="1"/>
    </xf>
    <xf numFmtId="41" fontId="53" fillId="3" borderId="0" xfId="0" applyNumberFormat="1" applyFont="1" applyFill="1">
      <alignment vertical="center"/>
    </xf>
    <xf numFmtId="181" fontId="50" fillId="3" borderId="0" xfId="0" applyNumberFormat="1" applyFont="1" applyFill="1" applyAlignment="1">
      <alignment horizontal="left" vertical="center" shrinkToFit="1"/>
    </xf>
    <xf numFmtId="43" fontId="50" fillId="3" borderId="0" xfId="0" applyNumberFormat="1" applyFont="1" applyFill="1">
      <alignment vertical="center"/>
    </xf>
    <xf numFmtId="181" fontId="50" fillId="3" borderId="0" xfId="0" applyNumberFormat="1" applyFont="1" applyFill="1">
      <alignment vertical="center"/>
    </xf>
    <xf numFmtId="41" fontId="21" fillId="3" borderId="0" xfId="0" applyNumberFormat="1" applyFont="1" applyFill="1">
      <alignment vertical="center"/>
    </xf>
    <xf numFmtId="181" fontId="10" fillId="3" borderId="0" xfId="0" applyNumberFormat="1" applyFont="1" applyFill="1" applyAlignment="1">
      <alignment horizontal="right" vertical="center" shrinkToFit="1"/>
    </xf>
    <xf numFmtId="3" fontId="11" fillId="3" borderId="0" xfId="0" applyNumberFormat="1" applyFont="1" applyFill="1">
      <alignment vertical="center"/>
    </xf>
    <xf numFmtId="43" fontId="11" fillId="3" borderId="0" xfId="0" applyNumberFormat="1" applyFont="1" applyFill="1">
      <alignment vertical="center"/>
    </xf>
    <xf numFmtId="41" fontId="10" fillId="4" borderId="20" xfId="0" applyNumberFormat="1" applyFont="1" applyFill="1" applyBorder="1">
      <alignment vertical="center"/>
    </xf>
    <xf numFmtId="41" fontId="10" fillId="10" borderId="18" xfId="0" applyNumberFormat="1" applyFont="1" applyFill="1" applyBorder="1">
      <alignment vertical="center"/>
    </xf>
    <xf numFmtId="41" fontId="10" fillId="10" borderId="19" xfId="0" applyNumberFormat="1" applyFont="1" applyFill="1" applyBorder="1">
      <alignment vertical="center"/>
    </xf>
    <xf numFmtId="41" fontId="10" fillId="4" borderId="29" xfId="0" applyNumberFormat="1" applyFont="1" applyFill="1" applyBorder="1" applyAlignment="1">
      <alignment vertical="center" shrinkToFit="1"/>
    </xf>
    <xf numFmtId="3" fontId="10" fillId="3" borderId="0" xfId="0" applyNumberFormat="1" applyFont="1" applyFill="1">
      <alignment vertical="center"/>
    </xf>
    <xf numFmtId="41" fontId="12" fillId="4" borderId="26" xfId="0" applyNumberFormat="1" applyFont="1" applyFill="1" applyBorder="1">
      <alignment vertical="center"/>
    </xf>
    <xf numFmtId="41" fontId="12" fillId="4" borderId="89" xfId="0" applyNumberFormat="1" applyFont="1" applyFill="1" applyBorder="1">
      <alignment vertical="center"/>
    </xf>
    <xf numFmtId="41" fontId="12" fillId="0" borderId="9" xfId="0" applyNumberFormat="1" applyFont="1" applyBorder="1">
      <alignment vertical="center"/>
    </xf>
    <xf numFmtId="41" fontId="12" fillId="0" borderId="89" xfId="0" applyNumberFormat="1" applyFont="1" applyBorder="1">
      <alignment vertical="center"/>
    </xf>
    <xf numFmtId="41" fontId="12" fillId="4" borderId="106" xfId="0" applyNumberFormat="1" applyFont="1" applyFill="1" applyBorder="1" applyAlignment="1">
      <alignment vertical="center" shrinkToFit="1"/>
    </xf>
    <xf numFmtId="41" fontId="12" fillId="4" borderId="10" xfId="0" applyNumberFormat="1" applyFont="1" applyFill="1" applyBorder="1">
      <alignment vertical="center"/>
    </xf>
    <xf numFmtId="41" fontId="10" fillId="4" borderId="22" xfId="0" applyNumberFormat="1" applyFont="1" applyFill="1" applyBorder="1">
      <alignment vertical="center"/>
    </xf>
    <xf numFmtId="41" fontId="10" fillId="0" borderId="3" xfId="0" applyNumberFormat="1" applyFont="1" applyBorder="1">
      <alignment vertical="center"/>
    </xf>
    <xf numFmtId="41" fontId="10" fillId="0" borderId="22" xfId="0" applyNumberFormat="1" applyFont="1" applyBorder="1">
      <alignment vertical="center"/>
    </xf>
    <xf numFmtId="43" fontId="21" fillId="3" borderId="0" xfId="0" applyNumberFormat="1" applyFont="1" applyFill="1">
      <alignment vertical="center"/>
    </xf>
    <xf numFmtId="41" fontId="10" fillId="4" borderId="54" xfId="0" applyNumberFormat="1" applyFont="1" applyFill="1" applyBorder="1">
      <alignment vertical="center"/>
    </xf>
    <xf numFmtId="41" fontId="10" fillId="0" borderId="54" xfId="0" applyNumberFormat="1" applyFont="1" applyBorder="1">
      <alignment vertical="center"/>
    </xf>
    <xf numFmtId="41" fontId="12" fillId="4" borderId="31" xfId="0" applyNumberFormat="1" applyFont="1" applyFill="1" applyBorder="1" applyAlignment="1">
      <alignment vertical="center" shrinkToFit="1"/>
    </xf>
    <xf numFmtId="41" fontId="12" fillId="4" borderId="91" xfId="0" applyNumberFormat="1" applyFont="1" applyFill="1" applyBorder="1">
      <alignment vertical="center"/>
    </xf>
    <xf numFmtId="181" fontId="11" fillId="4" borderId="70" xfId="0" applyNumberFormat="1" applyFont="1" applyFill="1" applyBorder="1" applyAlignment="1">
      <alignment horizontal="center" vertical="center" shrinkToFit="1"/>
    </xf>
    <xf numFmtId="41" fontId="11" fillId="0" borderId="77" xfId="0" applyNumberFormat="1" applyFont="1" applyBorder="1">
      <alignment vertical="center"/>
    </xf>
    <xf numFmtId="41" fontId="11" fillId="0" borderId="49" xfId="0" applyNumberFormat="1" applyFont="1" applyBorder="1">
      <alignment vertical="center"/>
    </xf>
    <xf numFmtId="41" fontId="11" fillId="4" borderId="75" xfId="0" applyNumberFormat="1" applyFont="1" applyFill="1" applyBorder="1" applyAlignment="1">
      <alignment vertical="center" shrinkToFit="1"/>
    </xf>
    <xf numFmtId="41" fontId="10" fillId="4" borderId="27" xfId="0" applyNumberFormat="1" applyFont="1" applyFill="1" applyBorder="1">
      <alignment vertical="center"/>
    </xf>
    <xf numFmtId="41" fontId="12" fillId="4" borderId="1" xfId="0" applyNumberFormat="1" applyFont="1" applyFill="1" applyBorder="1">
      <alignment vertical="center"/>
    </xf>
    <xf numFmtId="181" fontId="50" fillId="4" borderId="21" xfId="0" applyNumberFormat="1" applyFont="1" applyFill="1" applyBorder="1">
      <alignment vertical="center"/>
    </xf>
    <xf numFmtId="41" fontId="10" fillId="4" borderId="22" xfId="0" applyNumberFormat="1" applyFont="1" applyFill="1" applyBorder="1" applyAlignment="1">
      <alignment vertical="center" shrinkToFit="1"/>
    </xf>
    <xf numFmtId="181" fontId="54" fillId="4" borderId="21" xfId="0" applyNumberFormat="1" applyFont="1" applyFill="1" applyBorder="1">
      <alignment vertical="center"/>
    </xf>
    <xf numFmtId="41" fontId="10" fillId="0" borderId="27" xfId="0" applyNumberFormat="1" applyFont="1" applyBorder="1">
      <alignment vertical="center"/>
    </xf>
    <xf numFmtId="41" fontId="10" fillId="0" borderId="60" xfId="0" applyNumberFormat="1" applyFont="1" applyBorder="1">
      <alignment vertical="center"/>
    </xf>
    <xf numFmtId="41" fontId="10" fillId="4" borderId="14" xfId="0" applyNumberFormat="1" applyFont="1" applyFill="1" applyBorder="1" applyAlignment="1">
      <alignment vertical="center" shrinkToFit="1"/>
    </xf>
    <xf numFmtId="41" fontId="11" fillId="4" borderId="17" xfId="0" applyNumberFormat="1" applyFont="1" applyFill="1" applyBorder="1">
      <alignment vertical="center"/>
    </xf>
    <xf numFmtId="41" fontId="11" fillId="4" borderId="18" xfId="0" applyNumberFormat="1" applyFont="1" applyFill="1" applyBorder="1">
      <alignment vertical="center"/>
    </xf>
    <xf numFmtId="41" fontId="11" fillId="4" borderId="19" xfId="0" applyNumberFormat="1" applyFont="1" applyFill="1" applyBorder="1">
      <alignment vertical="center"/>
    </xf>
    <xf numFmtId="41" fontId="11" fillId="4" borderId="29" xfId="0" applyNumberFormat="1" applyFont="1" applyFill="1" applyBorder="1" applyAlignment="1">
      <alignment vertical="center" shrinkToFit="1"/>
    </xf>
    <xf numFmtId="41" fontId="14" fillId="3" borderId="0" xfId="0" applyNumberFormat="1" applyFont="1" applyFill="1">
      <alignment vertical="center"/>
    </xf>
    <xf numFmtId="41" fontId="11" fillId="3" borderId="0" xfId="0" applyNumberFormat="1" applyFont="1" applyFill="1" applyAlignment="1">
      <alignment vertical="center" shrinkToFit="1"/>
    </xf>
    <xf numFmtId="183" fontId="12" fillId="3" borderId="0" xfId="0" applyNumberFormat="1" applyFont="1" applyFill="1">
      <alignment vertical="center"/>
    </xf>
    <xf numFmtId="181" fontId="20" fillId="3" borderId="0" xfId="0" applyNumberFormat="1" applyFont="1" applyFill="1">
      <alignment vertical="center"/>
    </xf>
    <xf numFmtId="185" fontId="10" fillId="0" borderId="0" xfId="0" applyNumberFormat="1" applyFont="1">
      <alignment vertical="center"/>
    </xf>
    <xf numFmtId="0" fontId="10" fillId="3" borderId="0" xfId="0" applyFont="1" applyFill="1">
      <alignment vertical="center"/>
    </xf>
    <xf numFmtId="0" fontId="12" fillId="3" borderId="0" xfId="0" applyFont="1" applyFill="1">
      <alignment vertical="center"/>
    </xf>
    <xf numFmtId="9" fontId="14" fillId="3" borderId="0" xfId="0" applyNumberFormat="1" applyFont="1" applyFill="1">
      <alignment vertical="center"/>
    </xf>
    <xf numFmtId="41" fontId="14" fillId="4" borderId="28" xfId="0" applyNumberFormat="1" applyFont="1" applyFill="1" applyBorder="1">
      <alignment vertical="center"/>
    </xf>
    <xf numFmtId="0" fontId="56" fillId="0" borderId="0" xfId="0" applyFont="1">
      <alignment vertical="center"/>
    </xf>
    <xf numFmtId="0" fontId="34" fillId="11" borderId="0" xfId="0" applyFont="1" applyFill="1">
      <alignment vertical="center"/>
    </xf>
    <xf numFmtId="41" fontId="57" fillId="3" borderId="0" xfId="0" applyNumberFormat="1" applyFont="1" applyFill="1">
      <alignment vertical="center"/>
    </xf>
    <xf numFmtId="0" fontId="22" fillId="0" borderId="0" xfId="0" applyFont="1">
      <alignment vertical="center"/>
    </xf>
    <xf numFmtId="41" fontId="14" fillId="4" borderId="19" xfId="0" applyNumberFormat="1" applyFont="1" applyFill="1" applyBorder="1">
      <alignment vertical="center"/>
    </xf>
    <xf numFmtId="41" fontId="12" fillId="3" borderId="22" xfId="0" applyNumberFormat="1" applyFont="1" applyFill="1" applyBorder="1">
      <alignment vertical="center"/>
    </xf>
    <xf numFmtId="3" fontId="21" fillId="3" borderId="0" xfId="0" applyNumberFormat="1" applyFont="1" applyFill="1">
      <alignment vertical="center"/>
    </xf>
    <xf numFmtId="41" fontId="58" fillId="3" borderId="0" xfId="0" applyNumberFormat="1" applyFont="1" applyFill="1" applyAlignment="1">
      <alignment horizontal="center" vertical="center"/>
    </xf>
    <xf numFmtId="41" fontId="58" fillId="3" borderId="0" xfId="0" applyNumberFormat="1" applyFont="1" applyFill="1">
      <alignment vertical="center"/>
    </xf>
    <xf numFmtId="181" fontId="22" fillId="3" borderId="0" xfId="0" applyNumberFormat="1" applyFont="1" applyFill="1">
      <alignment vertical="center"/>
    </xf>
    <xf numFmtId="41" fontId="22" fillId="3" borderId="0" xfId="0" applyNumberFormat="1" applyFont="1" applyFill="1">
      <alignment vertical="center"/>
    </xf>
    <xf numFmtId="41" fontId="12" fillId="3" borderId="3" xfId="0" applyNumberFormat="1" applyFont="1" applyFill="1" applyBorder="1">
      <alignment vertical="center"/>
    </xf>
    <xf numFmtId="41" fontId="14" fillId="4" borderId="67" xfId="0" applyNumberFormat="1" applyFont="1" applyFill="1" applyBorder="1">
      <alignment vertical="center"/>
    </xf>
    <xf numFmtId="41" fontId="10" fillId="4" borderId="129" xfId="0" applyNumberFormat="1" applyFont="1" applyFill="1" applyBorder="1" applyAlignment="1">
      <alignment vertical="center" shrinkToFit="1"/>
    </xf>
    <xf numFmtId="41" fontId="57" fillId="0" borderId="58" xfId="0" applyNumberFormat="1" applyFont="1" applyBorder="1">
      <alignment vertical="center"/>
    </xf>
    <xf numFmtId="41" fontId="12" fillId="4" borderId="130" xfId="0" applyNumberFormat="1" applyFont="1" applyFill="1" applyBorder="1" applyAlignment="1">
      <alignment vertical="center" shrinkToFit="1"/>
    </xf>
    <xf numFmtId="0" fontId="58" fillId="3" borderId="0" xfId="0" applyFont="1" applyFill="1" applyAlignment="1">
      <alignment horizontal="center" vertical="center"/>
    </xf>
    <xf numFmtId="43" fontId="58" fillId="3" borderId="0" xfId="0" applyNumberFormat="1" applyFont="1" applyFill="1" applyAlignment="1">
      <alignment horizontal="center" vertical="center"/>
    </xf>
    <xf numFmtId="38" fontId="58" fillId="3" borderId="0" xfId="0" applyNumberFormat="1" applyFont="1" applyFill="1" applyAlignment="1">
      <alignment horizontal="left" vertical="center" shrinkToFit="1"/>
    </xf>
    <xf numFmtId="43" fontId="22" fillId="3" borderId="0" xfId="0" applyNumberFormat="1" applyFont="1" applyFill="1">
      <alignment vertical="center"/>
    </xf>
    <xf numFmtId="0" fontId="12" fillId="3" borderId="0" xfId="0" applyFont="1" applyFill="1" applyAlignment="1">
      <alignment horizontal="left" vertical="center"/>
    </xf>
    <xf numFmtId="43" fontId="49" fillId="3" borderId="0" xfId="0" applyNumberFormat="1" applyFont="1" applyFill="1" applyAlignment="1">
      <alignment horizontal="center" vertical="center"/>
    </xf>
    <xf numFmtId="41" fontId="11" fillId="3" borderId="49" xfId="0" applyNumberFormat="1" applyFont="1" applyFill="1" applyBorder="1">
      <alignment vertical="center"/>
    </xf>
    <xf numFmtId="176" fontId="12" fillId="7" borderId="3" xfId="0" applyNumberFormat="1" applyFont="1" applyFill="1" applyBorder="1" applyAlignment="1">
      <alignment horizontal="center" vertical="center"/>
    </xf>
    <xf numFmtId="186" fontId="12" fillId="8" borderId="3" xfId="0" applyNumberFormat="1" applyFont="1" applyFill="1" applyBorder="1" applyAlignment="1">
      <alignment horizontal="center" vertical="center"/>
    </xf>
    <xf numFmtId="176" fontId="12" fillId="7" borderId="11" xfId="0" applyNumberFormat="1" applyFont="1" applyFill="1" applyBorder="1" applyAlignment="1">
      <alignment horizontal="center" vertical="center"/>
    </xf>
    <xf numFmtId="41" fontId="55" fillId="3" borderId="129" xfId="0" applyNumberFormat="1" applyFont="1" applyFill="1" applyBorder="1">
      <alignment vertical="center"/>
    </xf>
    <xf numFmtId="41" fontId="55" fillId="3" borderId="4" xfId="0" applyNumberFormat="1" applyFont="1" applyFill="1" applyBorder="1">
      <alignment vertical="center"/>
    </xf>
    <xf numFmtId="0" fontId="11" fillId="4" borderId="16" xfId="0" applyFont="1" applyFill="1" applyBorder="1" applyAlignment="1">
      <alignment horizontal="center" vertical="center"/>
    </xf>
    <xf numFmtId="181" fontId="11" fillId="4" borderId="15" xfId="0" applyNumberFormat="1" applyFont="1" applyFill="1" applyBorder="1" applyAlignment="1">
      <alignment horizontal="center" vertical="center"/>
    </xf>
    <xf numFmtId="181" fontId="11" fillId="4" borderId="16" xfId="0" applyNumberFormat="1" applyFont="1" applyFill="1" applyBorder="1" applyAlignment="1">
      <alignment horizontal="center" vertical="center"/>
    </xf>
    <xf numFmtId="38" fontId="44" fillId="4" borderId="15" xfId="0" applyNumberFormat="1" applyFont="1" applyFill="1" applyBorder="1" applyAlignment="1">
      <alignment horizontal="center" vertical="center"/>
    </xf>
    <xf numFmtId="38" fontId="44" fillId="4" borderId="45" xfId="0" applyNumberFormat="1" applyFont="1" applyFill="1" applyBorder="1" applyAlignment="1">
      <alignment horizontal="center" vertical="center" shrinkToFit="1"/>
    </xf>
    <xf numFmtId="41" fontId="14" fillId="4" borderId="17" xfId="0" applyNumberFormat="1" applyFont="1" applyFill="1" applyBorder="1">
      <alignment vertical="center"/>
    </xf>
    <xf numFmtId="41" fontId="14" fillId="4" borderId="18" xfId="0" applyNumberFormat="1" applyFont="1" applyFill="1" applyBorder="1">
      <alignment vertical="center"/>
    </xf>
    <xf numFmtId="186" fontId="61" fillId="8" borderId="3" xfId="0" applyNumberFormat="1" applyFont="1" applyFill="1" applyBorder="1" applyAlignment="1">
      <alignment horizontal="center" vertical="center"/>
    </xf>
    <xf numFmtId="176" fontId="61" fillId="7" borderId="3" xfId="0" applyNumberFormat="1" applyFont="1" applyFill="1" applyBorder="1" applyAlignment="1">
      <alignment horizontal="center" vertical="center"/>
    </xf>
    <xf numFmtId="176" fontId="61" fillId="7" borderId="11" xfId="0" applyNumberFormat="1" applyFont="1" applyFill="1" applyBorder="1" applyAlignment="1">
      <alignment horizontal="center" vertical="center"/>
    </xf>
    <xf numFmtId="176" fontId="61" fillId="7" borderId="9" xfId="0" applyNumberFormat="1" applyFont="1" applyFill="1" applyBorder="1" applyAlignment="1">
      <alignment horizontal="center" vertical="center"/>
    </xf>
    <xf numFmtId="38" fontId="14" fillId="4" borderId="16" xfId="0" applyNumberFormat="1" applyFont="1" applyFill="1" applyBorder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quotePrefix="1" applyFont="1">
      <alignment vertical="center"/>
    </xf>
    <xf numFmtId="0" fontId="9" fillId="11" borderId="0" xfId="0" applyFont="1" applyFill="1">
      <alignment vertical="center"/>
    </xf>
    <xf numFmtId="0" fontId="19" fillId="11" borderId="0" xfId="0" applyFont="1" applyFill="1">
      <alignment vertical="center"/>
    </xf>
    <xf numFmtId="0" fontId="0" fillId="0" borderId="5" xfId="0" applyBorder="1">
      <alignment vertical="center"/>
    </xf>
    <xf numFmtId="38" fontId="49" fillId="4" borderId="58" xfId="0" applyNumberFormat="1" applyFont="1" applyFill="1" applyBorder="1" applyAlignment="1">
      <alignment horizontal="center" vertical="center"/>
    </xf>
    <xf numFmtId="38" fontId="49" fillId="4" borderId="27" xfId="0" applyNumberFormat="1" applyFont="1" applyFill="1" applyBorder="1" applyAlignment="1">
      <alignment horizontal="center" vertical="center"/>
    </xf>
    <xf numFmtId="38" fontId="49" fillId="4" borderId="60" xfId="0" applyNumberFormat="1" applyFont="1" applyFill="1" applyBorder="1" applyAlignment="1">
      <alignment horizontal="center" vertical="center"/>
    </xf>
    <xf numFmtId="38" fontId="63" fillId="3" borderId="58" xfId="0" applyNumberFormat="1" applyFont="1" applyFill="1" applyBorder="1">
      <alignment vertical="center"/>
    </xf>
    <xf numFmtId="38" fontId="63" fillId="3" borderId="27" xfId="0" applyNumberFormat="1" applyFont="1" applyFill="1" applyBorder="1">
      <alignment vertical="center"/>
    </xf>
    <xf numFmtId="38" fontId="63" fillId="3" borderId="60" xfId="0" applyNumberFormat="1" applyFont="1" applyFill="1" applyBorder="1">
      <alignment vertical="center"/>
    </xf>
    <xf numFmtId="38" fontId="63" fillId="3" borderId="26" xfId="0" applyNumberFormat="1" applyFont="1" applyFill="1" applyBorder="1">
      <alignment vertical="center"/>
    </xf>
    <xf numFmtId="38" fontId="57" fillId="3" borderId="35" xfId="0" applyNumberFormat="1" applyFont="1" applyFill="1" applyBorder="1">
      <alignment vertical="center"/>
    </xf>
    <xf numFmtId="38" fontId="57" fillId="3" borderId="5" xfId="0" applyNumberFormat="1" applyFont="1" applyFill="1" applyBorder="1">
      <alignment vertical="center"/>
    </xf>
    <xf numFmtId="38" fontId="57" fillId="3" borderId="47" xfId="0" applyNumberFormat="1" applyFont="1" applyFill="1" applyBorder="1">
      <alignment vertical="center"/>
    </xf>
    <xf numFmtId="41" fontId="57" fillId="3" borderId="38" xfId="0" applyNumberFormat="1" applyFont="1" applyFill="1" applyBorder="1">
      <alignment vertical="center"/>
    </xf>
    <xf numFmtId="41" fontId="57" fillId="3" borderId="5" xfId="0" applyNumberFormat="1" applyFont="1" applyFill="1" applyBorder="1">
      <alignment vertical="center"/>
    </xf>
    <xf numFmtId="41" fontId="57" fillId="3" borderId="56" xfId="0" applyNumberFormat="1" applyFont="1" applyFill="1" applyBorder="1">
      <alignment vertical="center"/>
    </xf>
    <xf numFmtId="41" fontId="57" fillId="3" borderId="35" xfId="0" applyNumberFormat="1" applyFont="1" applyFill="1" applyBorder="1">
      <alignment vertical="center"/>
    </xf>
    <xf numFmtId="38" fontId="57" fillId="3" borderId="64" xfId="0" applyNumberFormat="1" applyFont="1" applyFill="1" applyBorder="1">
      <alignment vertical="center"/>
    </xf>
    <xf numFmtId="38" fontId="57" fillId="3" borderId="61" xfId="0" applyNumberFormat="1" applyFont="1" applyFill="1" applyBorder="1">
      <alignment vertical="center"/>
    </xf>
    <xf numFmtId="38" fontId="57" fillId="3" borderId="34" xfId="0" applyNumberFormat="1" applyFont="1" applyFill="1" applyBorder="1">
      <alignment vertical="center"/>
    </xf>
    <xf numFmtId="38" fontId="57" fillId="3" borderId="72" xfId="0" applyNumberFormat="1" applyFont="1" applyFill="1" applyBorder="1">
      <alignment vertical="center"/>
    </xf>
    <xf numFmtId="38" fontId="57" fillId="3" borderId="56" xfId="0" applyNumberFormat="1" applyFont="1" applyFill="1" applyBorder="1">
      <alignment vertical="center"/>
    </xf>
    <xf numFmtId="38" fontId="49" fillId="3" borderId="55" xfId="0" applyNumberFormat="1" applyFont="1" applyFill="1" applyBorder="1">
      <alignment vertical="center"/>
    </xf>
    <xf numFmtId="38" fontId="49" fillId="3" borderId="1" xfId="0" applyNumberFormat="1" applyFont="1" applyFill="1" applyBorder="1">
      <alignment vertical="center"/>
    </xf>
    <xf numFmtId="38" fontId="49" fillId="3" borderId="69" xfId="0" applyNumberFormat="1" applyFont="1" applyFill="1" applyBorder="1">
      <alignment vertical="center"/>
    </xf>
    <xf numFmtId="38" fontId="49" fillId="3" borderId="10" xfId="0" applyNumberFormat="1" applyFont="1" applyFill="1" applyBorder="1">
      <alignment vertical="center"/>
    </xf>
    <xf numFmtId="38" fontId="49" fillId="3" borderId="64" xfId="0" applyNumberFormat="1" applyFont="1" applyFill="1" applyBorder="1">
      <alignment vertical="center"/>
    </xf>
    <xf numFmtId="38" fontId="49" fillId="3" borderId="61" xfId="0" applyNumberFormat="1" applyFont="1" applyFill="1" applyBorder="1">
      <alignment vertical="center"/>
    </xf>
    <xf numFmtId="38" fontId="49" fillId="3" borderId="34" xfId="0" applyNumberFormat="1" applyFont="1" applyFill="1" applyBorder="1">
      <alignment vertical="center"/>
    </xf>
    <xf numFmtId="38" fontId="49" fillId="3" borderId="72" xfId="0" applyNumberFormat="1" applyFont="1" applyFill="1" applyBorder="1">
      <alignment vertical="center"/>
    </xf>
    <xf numFmtId="38" fontId="49" fillId="4" borderId="17" xfId="0" applyNumberFormat="1" applyFont="1" applyFill="1" applyBorder="1">
      <alignment vertical="center"/>
    </xf>
    <xf numFmtId="38" fontId="49" fillId="4" borderId="20" xfId="0" applyNumberFormat="1" applyFont="1" applyFill="1" applyBorder="1">
      <alignment vertical="center"/>
    </xf>
    <xf numFmtId="41" fontId="49" fillId="4" borderId="19" xfId="0" applyNumberFormat="1" applyFont="1" applyFill="1" applyBorder="1">
      <alignment vertical="center"/>
    </xf>
    <xf numFmtId="41" fontId="49" fillId="4" borderId="17" xfId="0" applyNumberFormat="1" applyFont="1" applyFill="1" applyBorder="1">
      <alignment vertical="center"/>
    </xf>
    <xf numFmtId="41" fontId="49" fillId="4" borderId="18" xfId="0" applyNumberFormat="1" applyFont="1" applyFill="1" applyBorder="1">
      <alignment vertical="center"/>
    </xf>
    <xf numFmtId="38" fontId="49" fillId="4" borderId="67" xfId="0" applyNumberFormat="1" applyFont="1" applyFill="1" applyBorder="1">
      <alignment vertical="center"/>
    </xf>
    <xf numFmtId="0" fontId="49" fillId="4" borderId="19" xfId="0" applyFont="1" applyFill="1" applyBorder="1" applyAlignment="1">
      <alignment horizontal="center" vertical="center"/>
    </xf>
    <xf numFmtId="0" fontId="49" fillId="4" borderId="17" xfId="0" applyFont="1" applyFill="1" applyBorder="1" applyAlignment="1">
      <alignment horizontal="center" vertical="center"/>
    </xf>
    <xf numFmtId="0" fontId="49" fillId="4" borderId="18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41" fontId="11" fillId="4" borderId="16" xfId="0" applyNumberFormat="1" applyFont="1" applyFill="1" applyBorder="1" applyAlignment="1">
      <alignment horizontal="center" vertical="center" wrapText="1" shrinkToFit="1"/>
    </xf>
    <xf numFmtId="41" fontId="57" fillId="10" borderId="17" xfId="0" applyNumberFormat="1" applyFont="1" applyFill="1" applyBorder="1">
      <alignment vertical="center"/>
    </xf>
    <xf numFmtId="41" fontId="57" fillId="10" borderId="67" xfId="0" applyNumberFormat="1" applyFont="1" applyFill="1" applyBorder="1">
      <alignment vertical="center"/>
    </xf>
    <xf numFmtId="41" fontId="57" fillId="10" borderId="19" xfId="0" applyNumberFormat="1" applyFont="1" applyFill="1" applyBorder="1">
      <alignment vertical="center"/>
    </xf>
    <xf numFmtId="41" fontId="57" fillId="10" borderId="18" xfId="0" applyNumberFormat="1" applyFont="1" applyFill="1" applyBorder="1">
      <alignment vertical="center"/>
    </xf>
    <xf numFmtId="41" fontId="57" fillId="0" borderId="88" xfId="0" applyNumberFormat="1" applyFont="1" applyBorder="1">
      <alignment vertical="center"/>
    </xf>
    <xf numFmtId="41" fontId="57" fillId="0" borderId="90" xfId="0" applyNumberFormat="1" applyFont="1" applyBorder="1">
      <alignment vertical="center"/>
    </xf>
    <xf numFmtId="41" fontId="57" fillId="0" borderId="89" xfId="0" applyNumberFormat="1" applyFont="1" applyBorder="1">
      <alignment vertical="center"/>
    </xf>
    <xf numFmtId="41" fontId="57" fillId="0" borderId="9" xfId="0" applyNumberFormat="1" applyFont="1" applyBorder="1">
      <alignment vertical="center"/>
    </xf>
    <xf numFmtId="41" fontId="57" fillId="0" borderId="79" xfId="0" applyNumberFormat="1" applyFont="1" applyBorder="1">
      <alignment vertical="center"/>
    </xf>
    <xf numFmtId="41" fontId="57" fillId="0" borderId="22" xfId="0" applyNumberFormat="1" applyFont="1" applyBorder="1">
      <alignment vertical="center"/>
    </xf>
    <xf numFmtId="41" fontId="57" fillId="0" borderId="23" xfId="0" applyNumberFormat="1" applyFont="1" applyBorder="1">
      <alignment vertical="center"/>
    </xf>
    <xf numFmtId="41" fontId="57" fillId="0" borderId="3" xfId="0" applyNumberFormat="1" applyFont="1" applyBorder="1">
      <alignment vertical="center"/>
    </xf>
    <xf numFmtId="41" fontId="57" fillId="3" borderId="22" xfId="0" applyNumberFormat="1" applyFont="1" applyFill="1" applyBorder="1">
      <alignment vertical="center"/>
    </xf>
    <xf numFmtId="41" fontId="10" fillId="0" borderId="7" xfId="0" applyNumberFormat="1" applyFont="1" applyBorder="1">
      <alignment vertical="center"/>
    </xf>
    <xf numFmtId="41" fontId="57" fillId="0" borderId="121" xfId="0" applyNumberFormat="1" applyFont="1" applyBorder="1">
      <alignment vertical="center"/>
    </xf>
    <xf numFmtId="41" fontId="57" fillId="0" borderId="86" xfId="0" applyNumberFormat="1" applyFont="1" applyBorder="1">
      <alignment vertical="center"/>
    </xf>
    <xf numFmtId="41" fontId="57" fillId="0" borderId="87" xfId="0" applyNumberFormat="1" applyFont="1" applyBorder="1">
      <alignment vertical="center"/>
    </xf>
    <xf numFmtId="41" fontId="57" fillId="0" borderId="54" xfId="0" applyNumberFormat="1" applyFont="1" applyBorder="1">
      <alignment vertical="center"/>
    </xf>
    <xf numFmtId="41" fontId="10" fillId="0" borderId="119" xfId="0" applyNumberFormat="1" applyFont="1" applyBorder="1">
      <alignment vertical="center"/>
    </xf>
    <xf numFmtId="41" fontId="57" fillId="0" borderId="123" xfId="0" applyNumberFormat="1" applyFont="1" applyBorder="1">
      <alignment vertical="center"/>
    </xf>
    <xf numFmtId="41" fontId="10" fillId="0" borderId="132" xfId="0" applyNumberFormat="1" applyFont="1" applyBorder="1">
      <alignment vertical="center"/>
    </xf>
    <xf numFmtId="41" fontId="49" fillId="0" borderId="78" xfId="0" applyNumberFormat="1" applyFont="1" applyBorder="1">
      <alignment vertical="center"/>
    </xf>
    <xf numFmtId="41" fontId="49" fillId="0" borderId="76" xfId="0" applyNumberFormat="1" applyFont="1" applyBorder="1">
      <alignment vertical="center"/>
    </xf>
    <xf numFmtId="41" fontId="49" fillId="0" borderId="49" xfId="0" applyNumberFormat="1" applyFont="1" applyBorder="1">
      <alignment vertical="center"/>
    </xf>
    <xf numFmtId="41" fontId="49" fillId="0" borderId="77" xfId="0" applyNumberFormat="1" applyFont="1" applyBorder="1">
      <alignment vertical="center"/>
    </xf>
    <xf numFmtId="41" fontId="49" fillId="0" borderId="40" xfId="0" applyNumberFormat="1" applyFont="1" applyBorder="1">
      <alignment vertical="center"/>
    </xf>
    <xf numFmtId="41" fontId="11" fillId="0" borderId="43" xfId="0" applyNumberFormat="1" applyFont="1" applyBorder="1">
      <alignment vertical="center"/>
    </xf>
    <xf numFmtId="41" fontId="10" fillId="4" borderId="89" xfId="0" applyNumberFormat="1" applyFont="1" applyFill="1" applyBorder="1" applyAlignment="1">
      <alignment horizontal="left" vertical="center"/>
    </xf>
    <xf numFmtId="41" fontId="57" fillId="0" borderId="51" xfId="0" applyNumberFormat="1" applyFont="1" applyBorder="1">
      <alignment vertical="center"/>
    </xf>
    <xf numFmtId="41" fontId="57" fillId="0" borderId="52" xfId="0" applyNumberFormat="1" applyFont="1" applyBorder="1">
      <alignment vertical="center"/>
    </xf>
    <xf numFmtId="41" fontId="57" fillId="0" borderId="53" xfId="0" applyNumberFormat="1" applyFont="1" applyBorder="1">
      <alignment vertical="center"/>
    </xf>
    <xf numFmtId="41" fontId="57" fillId="0" borderId="122" xfId="0" applyNumberFormat="1" applyFont="1" applyBorder="1">
      <alignment vertical="center"/>
    </xf>
    <xf numFmtId="41" fontId="12" fillId="3" borderId="118" xfId="0" applyNumberFormat="1" applyFont="1" applyFill="1" applyBorder="1">
      <alignment vertical="center"/>
    </xf>
    <xf numFmtId="41" fontId="12" fillId="4" borderId="89" xfId="0" applyNumberFormat="1" applyFont="1" applyFill="1" applyBorder="1" applyAlignment="1">
      <alignment horizontal="left" vertical="center"/>
    </xf>
    <xf numFmtId="41" fontId="57" fillId="3" borderId="88" xfId="0" applyNumberFormat="1" applyFont="1" applyFill="1" applyBorder="1">
      <alignment vertical="center"/>
    </xf>
    <xf numFmtId="41" fontId="57" fillId="3" borderId="9" xfId="0" applyNumberFormat="1" applyFont="1" applyFill="1" applyBorder="1">
      <alignment vertical="center"/>
    </xf>
    <xf numFmtId="41" fontId="57" fillId="3" borderId="89" xfId="0" applyNumberFormat="1" applyFont="1" applyFill="1" applyBorder="1">
      <alignment vertical="center"/>
    </xf>
    <xf numFmtId="41" fontId="57" fillId="3" borderId="122" xfId="0" applyNumberFormat="1" applyFont="1" applyFill="1" applyBorder="1">
      <alignment vertical="center"/>
    </xf>
    <xf numFmtId="41" fontId="10" fillId="4" borderId="22" xfId="0" applyNumberFormat="1" applyFont="1" applyFill="1" applyBorder="1" applyAlignment="1">
      <alignment horizontal="left" vertical="center" shrinkToFit="1"/>
    </xf>
    <xf numFmtId="41" fontId="57" fillId="3" borderId="23" xfId="0" applyNumberFormat="1" applyFont="1" applyFill="1" applyBorder="1">
      <alignment vertical="center"/>
    </xf>
    <xf numFmtId="41" fontId="57" fillId="3" borderId="3" xfId="0" applyNumberFormat="1" applyFont="1" applyFill="1" applyBorder="1">
      <alignment vertical="center"/>
    </xf>
    <xf numFmtId="41" fontId="12" fillId="3" borderId="7" xfId="0" applyNumberFormat="1" applyFont="1" applyFill="1" applyBorder="1">
      <alignment vertical="center"/>
    </xf>
    <xf numFmtId="185" fontId="12" fillId="3" borderId="89" xfId="0" applyNumberFormat="1" applyFont="1" applyFill="1" applyBorder="1">
      <alignment vertical="center"/>
    </xf>
    <xf numFmtId="183" fontId="57" fillId="3" borderId="23" xfId="0" applyNumberFormat="1" applyFont="1" applyFill="1" applyBorder="1">
      <alignment vertical="center"/>
    </xf>
    <xf numFmtId="183" fontId="57" fillId="3" borderId="3" xfId="0" applyNumberFormat="1" applyFont="1" applyFill="1" applyBorder="1">
      <alignment vertical="center"/>
    </xf>
    <xf numFmtId="183" fontId="57" fillId="3" borderId="22" xfId="0" applyNumberFormat="1" applyFont="1" applyFill="1" applyBorder="1">
      <alignment vertical="center"/>
    </xf>
    <xf numFmtId="41" fontId="57" fillId="0" borderId="27" xfId="0" applyNumberFormat="1" applyFont="1" applyBorder="1">
      <alignment vertical="center"/>
    </xf>
    <xf numFmtId="41" fontId="57" fillId="0" borderId="60" xfId="0" applyNumberFormat="1" applyFont="1" applyBorder="1">
      <alignment vertical="center"/>
    </xf>
    <xf numFmtId="41" fontId="49" fillId="4" borderId="20" xfId="0" applyNumberFormat="1" applyFont="1" applyFill="1" applyBorder="1">
      <alignment vertical="center"/>
    </xf>
    <xf numFmtId="41" fontId="12" fillId="3" borderId="11" xfId="0" applyNumberFormat="1" applyFont="1" applyFill="1" applyBorder="1">
      <alignment vertical="center"/>
    </xf>
    <xf numFmtId="41" fontId="12" fillId="3" borderId="54" xfId="0" applyNumberFormat="1" applyFont="1" applyFill="1" applyBorder="1">
      <alignment vertical="center"/>
    </xf>
    <xf numFmtId="41" fontId="57" fillId="3" borderId="86" xfId="0" applyNumberFormat="1" applyFont="1" applyFill="1" applyBorder="1">
      <alignment vertical="center"/>
    </xf>
    <xf numFmtId="41" fontId="57" fillId="3" borderId="11" xfId="0" applyNumberFormat="1" applyFont="1" applyFill="1" applyBorder="1">
      <alignment vertical="center"/>
    </xf>
    <xf numFmtId="41" fontId="57" fillId="3" borderId="54" xfId="0" applyNumberFormat="1" applyFont="1" applyFill="1" applyBorder="1">
      <alignment vertical="center"/>
    </xf>
    <xf numFmtId="41" fontId="57" fillId="3" borderId="128" xfId="0" applyNumberFormat="1" applyFont="1" applyFill="1" applyBorder="1">
      <alignment vertical="center"/>
    </xf>
    <xf numFmtId="41" fontId="57" fillId="3" borderId="4" xfId="0" applyNumberFormat="1" applyFont="1" applyFill="1" applyBorder="1">
      <alignment vertical="center"/>
    </xf>
    <xf numFmtId="41" fontId="57" fillId="3" borderId="129" xfId="0" applyNumberFormat="1" applyFont="1" applyFill="1" applyBorder="1">
      <alignment vertical="center"/>
    </xf>
    <xf numFmtId="41" fontId="57" fillId="3" borderId="132" xfId="0" applyNumberFormat="1" applyFont="1" applyFill="1" applyBorder="1">
      <alignment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38" fontId="49" fillId="4" borderId="18" xfId="0" applyNumberFormat="1" applyFont="1" applyFill="1" applyBorder="1">
      <alignment vertical="center"/>
    </xf>
    <xf numFmtId="41" fontId="57" fillId="0" borderId="11" xfId="0" applyNumberFormat="1" applyFont="1" applyBorder="1">
      <alignment vertical="center"/>
    </xf>
    <xf numFmtId="38" fontId="49" fillId="4" borderId="65" xfId="0" applyNumberFormat="1" applyFont="1" applyFill="1" applyBorder="1" applyAlignment="1">
      <alignment horizontal="center" vertical="center"/>
    </xf>
    <xf numFmtId="38" fontId="63" fillId="3" borderId="65" xfId="0" applyNumberFormat="1" applyFont="1" applyFill="1" applyBorder="1">
      <alignment vertical="center"/>
    </xf>
    <xf numFmtId="38" fontId="57" fillId="3" borderId="42" xfId="0" applyNumberFormat="1" applyFont="1" applyFill="1" applyBorder="1">
      <alignment vertical="center"/>
    </xf>
    <xf numFmtId="38" fontId="57" fillId="3" borderId="63" xfId="0" applyNumberFormat="1" applyFont="1" applyFill="1" applyBorder="1">
      <alignment vertical="center"/>
    </xf>
    <xf numFmtId="38" fontId="49" fillId="3" borderId="8" xfId="0" applyNumberFormat="1" applyFont="1" applyFill="1" applyBorder="1">
      <alignment vertical="center"/>
    </xf>
    <xf numFmtId="38" fontId="49" fillId="3" borderId="63" xfId="0" applyNumberFormat="1" applyFont="1" applyFill="1" applyBorder="1">
      <alignment vertical="center"/>
    </xf>
    <xf numFmtId="41" fontId="57" fillId="0" borderId="129" xfId="0" applyNumberFormat="1" applyFont="1" applyBorder="1">
      <alignment vertical="center"/>
    </xf>
    <xf numFmtId="41" fontId="49" fillId="3" borderId="49" xfId="0" applyNumberFormat="1" applyFont="1" applyFill="1" applyBorder="1">
      <alignment vertical="center"/>
    </xf>
    <xf numFmtId="38" fontId="49" fillId="4" borderId="26" xfId="0" applyNumberFormat="1" applyFont="1" applyFill="1" applyBorder="1" applyAlignment="1">
      <alignment horizontal="center" vertical="center"/>
    </xf>
    <xf numFmtId="0" fontId="30" fillId="0" borderId="0" xfId="0" applyFont="1">
      <alignment vertical="center"/>
    </xf>
    <xf numFmtId="9" fontId="65" fillId="3" borderId="0" xfId="0" applyNumberFormat="1" applyFont="1" applyFill="1">
      <alignment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 wrapText="1"/>
    </xf>
    <xf numFmtId="41" fontId="12" fillId="4" borderId="65" xfId="0" applyNumberFormat="1" applyFont="1" applyFill="1" applyBorder="1">
      <alignment vertical="center"/>
    </xf>
    <xf numFmtId="192" fontId="10" fillId="4" borderId="27" xfId="0" applyNumberFormat="1" applyFont="1" applyFill="1" applyBorder="1">
      <alignment vertical="center"/>
    </xf>
    <xf numFmtId="41" fontId="10" fillId="4" borderId="65" xfId="0" applyNumberFormat="1" applyFont="1" applyFill="1" applyBorder="1">
      <alignment vertical="center"/>
    </xf>
    <xf numFmtId="0" fontId="10" fillId="4" borderId="60" xfId="0" applyFont="1" applyFill="1" applyBorder="1">
      <alignment vertical="center"/>
    </xf>
    <xf numFmtId="41" fontId="12" fillId="3" borderId="58" xfId="0" applyNumberFormat="1" applyFont="1" applyFill="1" applyBorder="1">
      <alignment vertical="center"/>
    </xf>
    <xf numFmtId="41" fontId="12" fillId="3" borderId="27" xfId="0" applyNumberFormat="1" applyFont="1" applyFill="1" applyBorder="1">
      <alignment vertical="center"/>
    </xf>
    <xf numFmtId="41" fontId="12" fillId="3" borderId="60" xfId="0" applyNumberFormat="1" applyFont="1" applyFill="1" applyBorder="1">
      <alignment vertical="center"/>
    </xf>
    <xf numFmtId="41" fontId="11" fillId="4" borderId="14" xfId="0" applyNumberFormat="1" applyFont="1" applyFill="1" applyBorder="1">
      <alignment vertical="center"/>
    </xf>
    <xf numFmtId="38" fontId="21" fillId="3" borderId="0" xfId="0" applyNumberFormat="1" applyFont="1" applyFill="1">
      <alignment vertical="center"/>
    </xf>
    <xf numFmtId="41" fontId="12" fillId="4" borderId="8" xfId="0" applyNumberFormat="1" applyFont="1" applyFill="1" applyBorder="1">
      <alignment vertical="center"/>
    </xf>
    <xf numFmtId="192" fontId="10" fillId="4" borderId="1" xfId="0" applyNumberFormat="1" applyFont="1" applyFill="1" applyBorder="1">
      <alignment vertical="center"/>
    </xf>
    <xf numFmtId="41" fontId="10" fillId="4" borderId="8" xfId="0" applyNumberFormat="1" applyFont="1" applyFill="1" applyBorder="1">
      <alignment vertical="center"/>
    </xf>
    <xf numFmtId="0" fontId="10" fillId="4" borderId="69" xfId="0" applyFont="1" applyFill="1" applyBorder="1">
      <alignment vertical="center"/>
    </xf>
    <xf numFmtId="41" fontId="12" fillId="3" borderId="55" xfId="0" applyNumberFormat="1" applyFont="1" applyFill="1" applyBorder="1">
      <alignment vertical="center"/>
    </xf>
    <xf numFmtId="41" fontId="12" fillId="3" borderId="1" xfId="0" applyNumberFormat="1" applyFont="1" applyFill="1" applyBorder="1">
      <alignment vertical="center"/>
    </xf>
    <xf numFmtId="41" fontId="12" fillId="3" borderId="69" xfId="0" applyNumberFormat="1" applyFont="1" applyFill="1" applyBorder="1">
      <alignment vertical="center"/>
    </xf>
    <xf numFmtId="41" fontId="11" fillId="4" borderId="31" xfId="0" applyNumberFormat="1" applyFont="1" applyFill="1" applyBorder="1">
      <alignment vertical="center"/>
    </xf>
    <xf numFmtId="41" fontId="10" fillId="4" borderId="1" xfId="0" applyNumberFormat="1" applyFont="1" applyFill="1" applyBorder="1">
      <alignment vertical="center"/>
    </xf>
    <xf numFmtId="0" fontId="10" fillId="4" borderId="21" xfId="0" applyFont="1" applyFill="1" applyBorder="1">
      <alignment vertical="center"/>
    </xf>
    <xf numFmtId="0" fontId="11" fillId="4" borderId="6" xfId="0" applyFont="1" applyFill="1" applyBorder="1">
      <alignment vertical="center"/>
    </xf>
    <xf numFmtId="192" fontId="11" fillId="4" borderId="61" xfId="0" applyNumberFormat="1" applyFont="1" applyFill="1" applyBorder="1" applyAlignment="1">
      <alignment horizontal="center" vertical="center"/>
    </xf>
    <xf numFmtId="192" fontId="11" fillId="4" borderId="63" xfId="0" applyNumberFormat="1" applyFont="1" applyFill="1" applyBorder="1" applyAlignment="1">
      <alignment horizontal="center" vertical="center"/>
    </xf>
    <xf numFmtId="0" fontId="11" fillId="4" borderId="34" xfId="0" applyFont="1" applyFill="1" applyBorder="1" applyAlignment="1">
      <alignment horizontal="right" vertical="center"/>
    </xf>
    <xf numFmtId="41" fontId="14" fillId="4" borderId="12" xfId="0" applyNumberFormat="1" applyFont="1" applyFill="1" applyBorder="1">
      <alignment vertical="center"/>
    </xf>
    <xf numFmtId="41" fontId="14" fillId="4" borderId="33" xfId="0" applyNumberFormat="1" applyFont="1" applyFill="1" applyBorder="1">
      <alignment vertical="center"/>
    </xf>
    <xf numFmtId="41" fontId="11" fillId="4" borderId="30" xfId="0" applyNumberFormat="1" applyFont="1" applyFill="1" applyBorder="1">
      <alignment vertical="center"/>
    </xf>
    <xf numFmtId="41" fontId="12" fillId="4" borderId="63" xfId="0" applyNumberFormat="1" applyFont="1" applyFill="1" applyBorder="1">
      <alignment vertical="center"/>
    </xf>
    <xf numFmtId="192" fontId="10" fillId="4" borderId="61" xfId="0" applyNumberFormat="1" applyFont="1" applyFill="1" applyBorder="1">
      <alignment vertical="center"/>
    </xf>
    <xf numFmtId="192" fontId="10" fillId="4" borderId="63" xfId="0" applyNumberFormat="1" applyFont="1" applyFill="1" applyBorder="1">
      <alignment vertical="center"/>
    </xf>
    <xf numFmtId="0" fontId="10" fillId="4" borderId="34" xfId="0" applyFont="1" applyFill="1" applyBorder="1">
      <alignment vertical="center"/>
    </xf>
    <xf numFmtId="41" fontId="12" fillId="3" borderId="64" xfId="0" applyNumberFormat="1" applyFont="1" applyFill="1" applyBorder="1">
      <alignment vertical="center"/>
    </xf>
    <xf numFmtId="41" fontId="12" fillId="3" borderId="61" xfId="0" applyNumberFormat="1" applyFont="1" applyFill="1" applyBorder="1">
      <alignment vertical="center"/>
    </xf>
    <xf numFmtId="41" fontId="12" fillId="3" borderId="34" xfId="0" applyNumberFormat="1" applyFont="1" applyFill="1" applyBorder="1">
      <alignment vertical="center"/>
    </xf>
    <xf numFmtId="41" fontId="11" fillId="4" borderId="57" xfId="0" applyNumberFormat="1" applyFont="1" applyFill="1" applyBorder="1">
      <alignment vertical="center"/>
    </xf>
    <xf numFmtId="192" fontId="10" fillId="4" borderId="8" xfId="0" applyNumberFormat="1" applyFont="1" applyFill="1" applyBorder="1">
      <alignment vertical="center"/>
    </xf>
    <xf numFmtId="0" fontId="11" fillId="4" borderId="38" xfId="0" applyFont="1" applyFill="1" applyBorder="1" applyAlignment="1">
      <alignment horizontal="center" vertical="center"/>
    </xf>
    <xf numFmtId="41" fontId="14" fillId="4" borderId="76" xfId="0" applyNumberFormat="1" applyFont="1" applyFill="1" applyBorder="1">
      <alignment vertical="center"/>
    </xf>
    <xf numFmtId="192" fontId="10" fillId="4" borderId="77" xfId="0" applyNumberFormat="1" applyFont="1" applyFill="1" applyBorder="1">
      <alignment vertical="center"/>
    </xf>
    <xf numFmtId="192" fontId="10" fillId="4" borderId="43" xfId="0" applyNumberFormat="1" applyFont="1" applyFill="1" applyBorder="1">
      <alignment vertical="center"/>
    </xf>
    <xf numFmtId="0" fontId="10" fillId="4" borderId="49" xfId="0" applyFont="1" applyFill="1" applyBorder="1">
      <alignment vertical="center"/>
    </xf>
    <xf numFmtId="41" fontId="11" fillId="4" borderId="75" xfId="0" applyNumberFormat="1" applyFont="1" applyFill="1" applyBorder="1">
      <alignment vertical="center"/>
    </xf>
    <xf numFmtId="0" fontId="11" fillId="4" borderId="19" xfId="0" applyFont="1" applyFill="1" applyBorder="1" applyAlignment="1">
      <alignment horizontal="right" vertical="center"/>
    </xf>
    <xf numFmtId="41" fontId="11" fillId="4" borderId="29" xfId="0" applyNumberFormat="1" applyFont="1" applyFill="1" applyBorder="1">
      <alignment vertical="center"/>
    </xf>
    <xf numFmtId="193" fontId="10" fillId="4" borderId="65" xfId="0" applyNumberFormat="1" applyFont="1" applyFill="1" applyBorder="1">
      <alignment vertical="center"/>
    </xf>
    <xf numFmtId="193" fontId="10" fillId="4" borderId="8" xfId="0" applyNumberFormat="1" applyFont="1" applyFill="1" applyBorder="1">
      <alignment vertical="center"/>
    </xf>
    <xf numFmtId="193" fontId="10" fillId="4" borderId="1" xfId="0" applyNumberFormat="1" applyFont="1" applyFill="1" applyBorder="1">
      <alignment vertical="center"/>
    </xf>
    <xf numFmtId="0" fontId="11" fillId="4" borderId="37" xfId="0" applyFont="1" applyFill="1" applyBorder="1" applyAlignment="1">
      <alignment horizontal="center" vertical="center"/>
    </xf>
    <xf numFmtId="190" fontId="10" fillId="4" borderId="63" xfId="0" applyNumberFormat="1" applyFont="1" applyFill="1" applyBorder="1">
      <alignment vertical="center"/>
    </xf>
    <xf numFmtId="190" fontId="10" fillId="4" borderId="8" xfId="0" applyNumberFormat="1" applyFont="1" applyFill="1" applyBorder="1">
      <alignment vertical="center"/>
    </xf>
    <xf numFmtId="41" fontId="12" fillId="4" borderId="78" xfId="0" applyNumberFormat="1" applyFont="1" applyFill="1" applyBorder="1">
      <alignment vertical="center"/>
    </xf>
    <xf numFmtId="41" fontId="12" fillId="4" borderId="77" xfId="0" applyNumberFormat="1" applyFont="1" applyFill="1" applyBorder="1">
      <alignment vertical="center"/>
    </xf>
    <xf numFmtId="41" fontId="12" fillId="4" borderId="49" xfId="0" applyNumberFormat="1" applyFont="1" applyFill="1" applyBorder="1">
      <alignment vertical="center"/>
    </xf>
    <xf numFmtId="38" fontId="12" fillId="3" borderId="0" xfId="0" applyNumberFormat="1" applyFont="1" applyFill="1">
      <alignment vertical="center"/>
    </xf>
    <xf numFmtId="0" fontId="66" fillId="4" borderId="16" xfId="0" applyFont="1" applyFill="1" applyBorder="1">
      <alignment vertical="center"/>
    </xf>
    <xf numFmtId="41" fontId="66" fillId="4" borderId="29" xfId="0" applyNumberFormat="1" applyFont="1" applyFill="1" applyBorder="1">
      <alignment vertical="center"/>
    </xf>
    <xf numFmtId="0" fontId="11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41" fontId="11" fillId="3" borderId="0" xfId="0" applyNumberFormat="1" applyFont="1" applyFill="1">
      <alignment vertical="center"/>
    </xf>
    <xf numFmtId="192" fontId="10" fillId="3" borderId="0" xfId="0" applyNumberFormat="1" applyFont="1" applyFill="1">
      <alignment vertical="center"/>
    </xf>
    <xf numFmtId="0" fontId="11" fillId="4" borderId="18" xfId="0" applyFont="1" applyFill="1" applyBorder="1" applyAlignment="1">
      <alignment horizontal="center" vertical="center" wrapText="1"/>
    </xf>
    <xf numFmtId="190" fontId="10" fillId="4" borderId="1" xfId="0" applyNumberFormat="1" applyFont="1" applyFill="1" applyBorder="1">
      <alignment vertical="center"/>
    </xf>
    <xf numFmtId="9" fontId="12" fillId="0" borderId="0" xfId="0" applyNumberFormat="1" applyFont="1">
      <alignment vertical="center"/>
    </xf>
    <xf numFmtId="41" fontId="10" fillId="4" borderId="42" xfId="0" applyNumberFormat="1" applyFont="1" applyFill="1" applyBorder="1">
      <alignment vertical="center"/>
    </xf>
    <xf numFmtId="190" fontId="10" fillId="4" borderId="47" xfId="0" applyNumberFormat="1" applyFont="1" applyFill="1" applyBorder="1">
      <alignment vertical="center"/>
    </xf>
    <xf numFmtId="183" fontId="10" fillId="0" borderId="56" xfId="0" applyNumberFormat="1" applyFont="1" applyBorder="1">
      <alignment vertical="center"/>
    </xf>
    <xf numFmtId="183" fontId="10" fillId="0" borderId="5" xfId="0" applyNumberFormat="1" applyFont="1" applyBorder="1">
      <alignment vertical="center"/>
    </xf>
    <xf numFmtId="183" fontId="10" fillId="0" borderId="47" xfId="0" applyNumberFormat="1" applyFont="1" applyBorder="1">
      <alignment vertical="center"/>
    </xf>
    <xf numFmtId="0" fontId="11" fillId="4" borderId="74" xfId="0" applyFont="1" applyFill="1" applyBorder="1">
      <alignment vertical="center"/>
    </xf>
    <xf numFmtId="41" fontId="10" fillId="4" borderId="77" xfId="0" applyNumberFormat="1" applyFont="1" applyFill="1" applyBorder="1">
      <alignment vertical="center"/>
    </xf>
    <xf numFmtId="1" fontId="10" fillId="4" borderId="70" xfId="0" applyNumberFormat="1" applyFont="1" applyFill="1" applyBorder="1">
      <alignment vertical="center"/>
    </xf>
    <xf numFmtId="41" fontId="14" fillId="4" borderId="78" xfId="0" applyNumberFormat="1" applyFont="1" applyFill="1" applyBorder="1">
      <alignment vertical="center"/>
    </xf>
    <xf numFmtId="41" fontId="14" fillId="4" borderId="77" xfId="0" applyNumberFormat="1" applyFont="1" applyFill="1" applyBorder="1">
      <alignment vertical="center"/>
    </xf>
    <xf numFmtId="41" fontId="14" fillId="4" borderId="49" xfId="0" applyNumberFormat="1" applyFont="1" applyFill="1" applyBorder="1">
      <alignment vertical="center"/>
    </xf>
    <xf numFmtId="0" fontId="30" fillId="0" borderId="0" xfId="0" applyFont="1" applyAlignment="1">
      <alignment horizontal="center" vertical="center"/>
    </xf>
    <xf numFmtId="9" fontId="65" fillId="0" borderId="0" xfId="0" applyNumberFormat="1" applyFont="1">
      <alignment vertical="center"/>
    </xf>
    <xf numFmtId="0" fontId="21" fillId="3" borderId="0" xfId="0" applyFont="1" applyFill="1">
      <alignment vertical="center"/>
    </xf>
    <xf numFmtId="0" fontId="57" fillId="0" borderId="0" xfId="0" applyFont="1">
      <alignment vertical="center"/>
    </xf>
    <xf numFmtId="0" fontId="10" fillId="3" borderId="0" xfId="0" applyFont="1" applyFill="1" applyAlignment="1">
      <alignment horizontal="right" vertical="center"/>
    </xf>
    <xf numFmtId="185" fontId="12" fillId="3" borderId="69" xfId="0" applyNumberFormat="1" applyFont="1" applyFill="1" applyBorder="1">
      <alignment vertical="center"/>
    </xf>
    <xf numFmtId="0" fontId="11" fillId="4" borderId="49" xfId="0" applyFont="1" applyFill="1" applyBorder="1">
      <alignment vertical="center"/>
    </xf>
    <xf numFmtId="38" fontId="27" fillId="3" borderId="0" xfId="0" applyNumberFormat="1" applyFont="1" applyFill="1">
      <alignment vertical="center"/>
    </xf>
    <xf numFmtId="0" fontId="67" fillId="0" borderId="0" xfId="0" applyFont="1">
      <alignment vertical="center"/>
    </xf>
    <xf numFmtId="0" fontId="28" fillId="0" borderId="0" xfId="0" applyFont="1">
      <alignment vertical="center"/>
    </xf>
    <xf numFmtId="41" fontId="30" fillId="0" borderId="0" xfId="0" applyNumberFormat="1" applyFont="1" applyAlignment="1">
      <alignment horizontal="center" vertical="center"/>
    </xf>
    <xf numFmtId="9" fontId="21" fillId="0" borderId="0" xfId="0" applyNumberFormat="1" applyFont="1">
      <alignment vertical="center"/>
    </xf>
    <xf numFmtId="9" fontId="57" fillId="0" borderId="0" xfId="0" applyNumberFormat="1" applyFont="1">
      <alignment vertical="center"/>
    </xf>
    <xf numFmtId="0" fontId="11" fillId="4" borderId="27" xfId="0" applyFont="1" applyFill="1" applyBorder="1" applyAlignment="1">
      <alignment horizontal="center" vertical="center"/>
    </xf>
    <xf numFmtId="0" fontId="11" fillId="4" borderId="65" xfId="0" applyFont="1" applyFill="1" applyBorder="1" applyAlignment="1">
      <alignment horizontal="center" vertical="center"/>
    </xf>
    <xf numFmtId="0" fontId="11" fillId="4" borderId="60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 wrapText="1"/>
    </xf>
    <xf numFmtId="41" fontId="10" fillId="4" borderId="65" xfId="0" applyNumberFormat="1" applyFont="1" applyFill="1" applyBorder="1" applyAlignment="1">
      <alignment horizontal="left" vertical="center"/>
    </xf>
    <xf numFmtId="41" fontId="10" fillId="4" borderId="27" xfId="0" applyNumberFormat="1" applyFont="1" applyFill="1" applyBorder="1" applyAlignment="1">
      <alignment horizontal="center" vertical="center"/>
    </xf>
    <xf numFmtId="41" fontId="10" fillId="4" borderId="65" xfId="0" applyNumberFormat="1" applyFont="1" applyFill="1" applyBorder="1" applyAlignment="1">
      <alignment horizontal="center" vertical="center"/>
    </xf>
    <xf numFmtId="41" fontId="10" fillId="4" borderId="60" xfId="0" applyNumberFormat="1" applyFont="1" applyFill="1" applyBorder="1" applyAlignment="1">
      <alignment horizontal="center" vertical="center"/>
    </xf>
    <xf numFmtId="41" fontId="10" fillId="4" borderId="14" xfId="0" applyNumberFormat="1" applyFont="1" applyFill="1" applyBorder="1">
      <alignment vertical="center"/>
    </xf>
    <xf numFmtId="41" fontId="10" fillId="4" borderId="8" xfId="0" applyNumberFormat="1" applyFont="1" applyFill="1" applyBorder="1" applyAlignment="1">
      <alignment horizontal="left" vertical="center"/>
    </xf>
    <xf numFmtId="41" fontId="10" fillId="4" borderId="1" xfId="0" applyNumberFormat="1" applyFont="1" applyFill="1" applyBorder="1" applyAlignment="1">
      <alignment horizontal="center" vertical="center"/>
    </xf>
    <xf numFmtId="41" fontId="10" fillId="4" borderId="8" xfId="0" applyNumberFormat="1" applyFont="1" applyFill="1" applyBorder="1" applyAlignment="1">
      <alignment horizontal="center" vertical="center"/>
    </xf>
    <xf numFmtId="41" fontId="10" fillId="4" borderId="69" xfId="0" applyNumberFormat="1" applyFont="1" applyFill="1" applyBorder="1" applyAlignment="1">
      <alignment horizontal="center" vertical="center"/>
    </xf>
    <xf numFmtId="41" fontId="12" fillId="3" borderId="10" xfId="0" applyNumberFormat="1" applyFont="1" applyFill="1" applyBorder="1">
      <alignment vertical="center"/>
    </xf>
    <xf numFmtId="41" fontId="12" fillId="3" borderId="24" xfId="0" applyNumberFormat="1" applyFont="1" applyFill="1" applyBorder="1">
      <alignment vertical="center"/>
    </xf>
    <xf numFmtId="183" fontId="10" fillId="4" borderId="31" xfId="0" applyNumberFormat="1" applyFont="1" applyFill="1" applyBorder="1">
      <alignment vertical="center"/>
    </xf>
    <xf numFmtId="41" fontId="11" fillId="4" borderId="85" xfId="0" applyNumberFormat="1" applyFont="1" applyFill="1" applyBorder="1" applyAlignment="1">
      <alignment horizontal="left" vertical="center"/>
    </xf>
    <xf numFmtId="41" fontId="11" fillId="4" borderId="61" xfId="0" applyNumberFormat="1" applyFont="1" applyFill="1" applyBorder="1" applyAlignment="1">
      <alignment horizontal="center" vertical="center"/>
    </xf>
    <xf numFmtId="41" fontId="11" fillId="4" borderId="63" xfId="0" applyNumberFormat="1" applyFont="1" applyFill="1" applyBorder="1" applyAlignment="1">
      <alignment horizontal="center" vertical="center"/>
    </xf>
    <xf numFmtId="41" fontId="11" fillId="4" borderId="34" xfId="0" applyNumberFormat="1" applyFont="1" applyFill="1" applyBorder="1" applyAlignment="1">
      <alignment horizontal="center" vertical="center"/>
    </xf>
    <xf numFmtId="41" fontId="14" fillId="4" borderId="72" xfId="0" applyNumberFormat="1" applyFont="1" applyFill="1" applyBorder="1">
      <alignment vertical="center"/>
    </xf>
    <xf numFmtId="41" fontId="14" fillId="4" borderId="85" xfId="0" applyNumberFormat="1" applyFont="1" applyFill="1" applyBorder="1">
      <alignment vertical="center"/>
    </xf>
    <xf numFmtId="41" fontId="14" fillId="4" borderId="64" xfId="0" applyNumberFormat="1" applyFont="1" applyFill="1" applyBorder="1">
      <alignment vertical="center"/>
    </xf>
    <xf numFmtId="43" fontId="12" fillId="0" borderId="0" xfId="0" applyNumberFormat="1" applyFont="1">
      <alignment vertical="center"/>
    </xf>
    <xf numFmtId="41" fontId="10" fillId="4" borderId="63" xfId="0" applyNumberFormat="1" applyFont="1" applyFill="1" applyBorder="1" applyAlignment="1">
      <alignment horizontal="left" vertical="center"/>
    </xf>
    <xf numFmtId="41" fontId="10" fillId="4" borderId="61" xfId="0" applyNumberFormat="1" applyFont="1" applyFill="1" applyBorder="1" applyAlignment="1">
      <alignment horizontal="center" vertical="center"/>
    </xf>
    <xf numFmtId="41" fontId="10" fillId="4" borderId="63" xfId="0" applyNumberFormat="1" applyFont="1" applyFill="1" applyBorder="1" applyAlignment="1">
      <alignment horizontal="center" vertical="center"/>
    </xf>
    <xf numFmtId="41" fontId="10" fillId="4" borderId="34" xfId="0" applyNumberFormat="1" applyFont="1" applyFill="1" applyBorder="1" applyAlignment="1">
      <alignment horizontal="center" vertical="center"/>
    </xf>
    <xf numFmtId="41" fontId="10" fillId="4" borderId="57" xfId="0" applyNumberFormat="1" applyFont="1" applyFill="1" applyBorder="1">
      <alignment vertical="center"/>
    </xf>
    <xf numFmtId="41" fontId="10" fillId="4" borderId="31" xfId="0" applyNumberFormat="1" applyFont="1" applyFill="1" applyBorder="1">
      <alignment vertical="center"/>
    </xf>
    <xf numFmtId="41" fontId="11" fillId="4" borderId="67" xfId="0" applyNumberFormat="1" applyFont="1" applyFill="1" applyBorder="1">
      <alignment vertical="center"/>
    </xf>
    <xf numFmtId="41" fontId="11" fillId="4" borderId="45" xfId="0" applyNumberFormat="1" applyFont="1" applyFill="1" applyBorder="1">
      <alignment vertical="center"/>
    </xf>
    <xf numFmtId="41" fontId="11" fillId="4" borderId="16" xfId="0" applyNumberFormat="1" applyFont="1" applyFill="1" applyBorder="1">
      <alignment vertical="center"/>
    </xf>
    <xf numFmtId="41" fontId="30" fillId="0" borderId="0" xfId="0" applyNumberFormat="1" applyFont="1">
      <alignment vertical="center"/>
    </xf>
    <xf numFmtId="0" fontId="68" fillId="0" borderId="0" xfId="0" applyFont="1">
      <alignment vertical="center"/>
    </xf>
    <xf numFmtId="41" fontId="11" fillId="4" borderId="18" xfId="0" applyNumberFormat="1" applyFont="1" applyFill="1" applyBorder="1" applyAlignment="1">
      <alignment horizontal="center" vertical="center"/>
    </xf>
    <xf numFmtId="179" fontId="10" fillId="3" borderId="58" xfId="0" applyNumberFormat="1" applyFont="1" applyFill="1" applyBorder="1" applyAlignment="1">
      <alignment horizontal="center" vertical="center"/>
    </xf>
    <xf numFmtId="179" fontId="10" fillId="3" borderId="27" xfId="0" applyNumberFormat="1" applyFont="1" applyFill="1" applyBorder="1" applyAlignment="1">
      <alignment horizontal="center" vertical="center"/>
    </xf>
    <xf numFmtId="179" fontId="10" fillId="3" borderId="60" xfId="0" applyNumberFormat="1" applyFont="1" applyFill="1" applyBorder="1" applyAlignment="1">
      <alignment horizontal="center" vertical="center"/>
    </xf>
    <xf numFmtId="179" fontId="10" fillId="4" borderId="14" xfId="0" applyNumberFormat="1" applyFont="1" applyFill="1" applyBorder="1" applyAlignment="1">
      <alignment horizontal="center" vertical="center"/>
    </xf>
    <xf numFmtId="190" fontId="10" fillId="4" borderId="69" xfId="0" applyNumberFormat="1" applyFont="1" applyFill="1" applyBorder="1" applyAlignment="1">
      <alignment horizontal="center" vertical="center"/>
    </xf>
    <xf numFmtId="41" fontId="10" fillId="3" borderId="55" xfId="0" applyNumberFormat="1" applyFont="1" applyFill="1" applyBorder="1">
      <alignment vertical="center"/>
    </xf>
    <xf numFmtId="41" fontId="10" fillId="3" borderId="1" xfId="0" applyNumberFormat="1" applyFont="1" applyFill="1" applyBorder="1">
      <alignment vertical="center"/>
    </xf>
    <xf numFmtId="41" fontId="10" fillId="3" borderId="69" xfId="0" applyNumberFormat="1" applyFont="1" applyFill="1" applyBorder="1">
      <alignment vertical="center"/>
    </xf>
    <xf numFmtId="41" fontId="30" fillId="3" borderId="0" xfId="0" applyNumberFormat="1" applyFont="1" applyFill="1">
      <alignment vertical="center"/>
    </xf>
    <xf numFmtId="41" fontId="30" fillId="3" borderId="0" xfId="0" applyNumberFormat="1" applyFont="1" applyFill="1" applyAlignment="1">
      <alignment horizontal="center" vertical="center"/>
    </xf>
    <xf numFmtId="178" fontId="10" fillId="0" borderId="0" xfId="0" applyNumberFormat="1" applyFont="1">
      <alignment vertical="center"/>
    </xf>
    <xf numFmtId="178" fontId="57" fillId="0" borderId="0" xfId="0" applyNumberFormat="1" applyFont="1">
      <alignment vertical="center"/>
    </xf>
    <xf numFmtId="41" fontId="12" fillId="0" borderId="55" xfId="0" applyNumberFormat="1" applyFont="1" applyBorder="1">
      <alignment vertical="center"/>
    </xf>
    <xf numFmtId="41" fontId="12" fillId="0" borderId="1" xfId="0" applyNumberFormat="1" applyFont="1" applyBorder="1">
      <alignment vertical="center"/>
    </xf>
    <xf numFmtId="41" fontId="12" fillId="0" borderId="69" xfId="0" applyNumberFormat="1" applyFont="1" applyBorder="1">
      <alignment vertical="center"/>
    </xf>
    <xf numFmtId="41" fontId="10" fillId="4" borderId="33" xfId="0" applyNumberFormat="1" applyFont="1" applyFill="1" applyBorder="1" applyAlignment="1">
      <alignment horizontal="center" vertical="center"/>
    </xf>
    <xf numFmtId="192" fontId="66" fillId="12" borderId="0" xfId="0" applyNumberFormat="1" applyFont="1" applyFill="1">
      <alignment vertical="center"/>
    </xf>
    <xf numFmtId="41" fontId="57" fillId="0" borderId="0" xfId="0" applyNumberFormat="1" applyFont="1">
      <alignment vertical="center"/>
    </xf>
    <xf numFmtId="188" fontId="12" fillId="0" borderId="140" xfId="0" applyNumberFormat="1" applyFont="1" applyBorder="1" applyAlignment="1">
      <alignment horizontal="center"/>
    </xf>
    <xf numFmtId="188" fontId="12" fillId="0" borderId="9" xfId="0" applyNumberFormat="1" applyFont="1" applyBorder="1" applyAlignment="1">
      <alignment horizontal="center"/>
    </xf>
    <xf numFmtId="188" fontId="12" fillId="0" borderId="141" xfId="0" applyNumberFormat="1" applyFont="1" applyBorder="1" applyAlignment="1">
      <alignment horizontal="center"/>
    </xf>
    <xf numFmtId="41" fontId="61" fillId="7" borderId="3" xfId="0" applyNumberFormat="1" applyFont="1" applyFill="1" applyBorder="1" applyAlignment="1">
      <alignment horizontal="center" vertical="center"/>
    </xf>
    <xf numFmtId="176" fontId="14" fillId="9" borderId="11" xfId="0" applyNumberFormat="1" applyFont="1" applyFill="1" applyBorder="1" applyAlignment="1">
      <alignment horizontal="center" vertical="center"/>
    </xf>
    <xf numFmtId="188" fontId="12" fillId="0" borderId="143" xfId="0" applyNumberFormat="1" applyFont="1" applyBorder="1" applyAlignment="1">
      <alignment horizontal="center"/>
    </xf>
    <xf numFmtId="188" fontId="12" fillId="0" borderId="95" xfId="0" applyNumberFormat="1" applyFont="1" applyBorder="1" applyAlignment="1">
      <alignment horizontal="center"/>
    </xf>
    <xf numFmtId="188" fontId="12" fillId="0" borderId="142" xfId="0" applyNumberFormat="1" applyFont="1" applyBorder="1" applyAlignment="1">
      <alignment horizontal="center"/>
    </xf>
    <xf numFmtId="176" fontId="14" fillId="7" borderId="98" xfId="0" applyNumberFormat="1" applyFont="1" applyFill="1" applyBorder="1" applyAlignment="1">
      <alignment horizontal="center" vertical="center"/>
    </xf>
    <xf numFmtId="176" fontId="14" fillId="9" borderId="98" xfId="0" applyNumberFormat="1" applyFont="1" applyFill="1" applyBorder="1" applyAlignment="1">
      <alignment horizontal="center" vertical="center"/>
    </xf>
    <xf numFmtId="186" fontId="14" fillId="8" borderId="98" xfId="0" applyNumberFormat="1" applyFont="1" applyFill="1" applyBorder="1" applyAlignment="1">
      <alignment horizontal="center" vertical="center"/>
    </xf>
    <xf numFmtId="186" fontId="14" fillId="5" borderId="98" xfId="0" applyNumberFormat="1" applyFont="1" applyFill="1" applyBorder="1" applyAlignment="1">
      <alignment horizontal="center" vertical="center"/>
    </xf>
    <xf numFmtId="176" fontId="69" fillId="7" borderId="3" xfId="0" applyNumberFormat="1" applyFont="1" applyFill="1" applyBorder="1" applyAlignment="1">
      <alignment horizontal="center" vertical="center"/>
    </xf>
    <xf numFmtId="187" fontId="12" fillId="0" borderId="140" xfId="0" applyNumberFormat="1" applyFont="1" applyBorder="1" applyAlignment="1">
      <alignment horizontal="center"/>
    </xf>
    <xf numFmtId="186" fontId="14" fillId="8" borderId="101" xfId="0" applyNumberFormat="1" applyFont="1" applyFill="1" applyBorder="1" applyAlignment="1">
      <alignment horizontal="center" vertical="center"/>
    </xf>
    <xf numFmtId="187" fontId="12" fillId="0" borderId="9" xfId="0" applyNumberFormat="1" applyFont="1" applyBorder="1" applyAlignment="1">
      <alignment horizontal="center"/>
    </xf>
    <xf numFmtId="188" fontId="12" fillId="0" borderId="138" xfId="0" applyNumberFormat="1" applyFont="1" applyBorder="1" applyAlignment="1">
      <alignment horizontal="center"/>
    </xf>
    <xf numFmtId="188" fontId="12" fillId="0" borderId="3" xfId="0" applyNumberFormat="1" applyFont="1" applyBorder="1" applyAlignment="1">
      <alignment horizontal="center"/>
    </xf>
    <xf numFmtId="188" fontId="12" fillId="0" borderId="137" xfId="0" applyNumberFormat="1" applyFont="1" applyBorder="1" applyAlignment="1">
      <alignment horizontal="center"/>
    </xf>
    <xf numFmtId="186" fontId="12" fillId="0" borderId="140" xfId="0" applyNumberFormat="1" applyFont="1" applyBorder="1" applyAlignment="1">
      <alignment horizontal="center"/>
    </xf>
    <xf numFmtId="186" fontId="12" fillId="0" borderId="9" xfId="0" applyNumberFormat="1" applyFont="1" applyBorder="1" applyAlignment="1">
      <alignment horizontal="center"/>
    </xf>
    <xf numFmtId="186" fontId="12" fillId="0" borderId="141" xfId="0" applyNumberFormat="1" applyFont="1" applyBorder="1" applyAlignment="1">
      <alignment horizontal="center"/>
    </xf>
    <xf numFmtId="187" fontId="12" fillId="0" borderId="138" xfId="0" applyNumberFormat="1" applyFont="1" applyBorder="1" applyAlignment="1">
      <alignment horizontal="center"/>
    </xf>
    <xf numFmtId="187" fontId="12" fillId="0" borderId="3" xfId="0" applyNumberFormat="1" applyFont="1" applyBorder="1" applyAlignment="1">
      <alignment horizontal="center"/>
    </xf>
    <xf numFmtId="187" fontId="12" fillId="0" borderId="137" xfId="0" applyNumberFormat="1" applyFont="1" applyBorder="1" applyAlignment="1">
      <alignment horizontal="center"/>
    </xf>
    <xf numFmtId="41" fontId="61" fillId="7" borderId="11" xfId="0" applyNumberFormat="1" applyFont="1" applyFill="1" applyBorder="1" applyAlignment="1">
      <alignment horizontal="center" vertical="center"/>
    </xf>
    <xf numFmtId="176" fontId="67" fillId="0" borderId="0" xfId="0" applyNumberFormat="1" applyFont="1" applyAlignment="1">
      <alignment horizontal="center" vertical="center"/>
    </xf>
    <xf numFmtId="41" fontId="61" fillId="7" borderId="87" xfId="0" applyNumberFormat="1" applyFont="1" applyFill="1" applyBorder="1" applyAlignment="1">
      <alignment horizontal="center" vertical="center"/>
    </xf>
    <xf numFmtId="41" fontId="61" fillId="7" borderId="79" xfId="0" applyNumberFormat="1" applyFont="1" applyFill="1" applyBorder="1" applyAlignment="1">
      <alignment horizontal="center" vertical="center"/>
    </xf>
    <xf numFmtId="176" fontId="12" fillId="7" borderId="79" xfId="0" applyNumberFormat="1" applyFont="1" applyFill="1" applyBorder="1" applyAlignment="1">
      <alignment horizontal="center" vertical="center"/>
    </xf>
    <xf numFmtId="187" fontId="12" fillId="0" borderId="125" xfId="0" applyNumberFormat="1" applyFont="1" applyBorder="1" applyAlignment="1">
      <alignment horizontal="center"/>
    </xf>
    <xf numFmtId="187" fontId="12" fillId="0" borderId="136" xfId="0" applyNumberFormat="1" applyFont="1" applyBorder="1" applyAlignment="1">
      <alignment horizontal="center"/>
    </xf>
    <xf numFmtId="188" fontId="12" fillId="0" borderId="135" xfId="0" applyNumberFormat="1" applyFont="1" applyBorder="1" applyAlignment="1">
      <alignment horizontal="center"/>
    </xf>
    <xf numFmtId="188" fontId="12" fillId="0" borderId="11" xfId="0" applyNumberFormat="1" applyFont="1" applyBorder="1" applyAlignment="1">
      <alignment horizontal="center"/>
    </xf>
    <xf numFmtId="188" fontId="12" fillId="0" borderId="134" xfId="0" applyNumberFormat="1" applyFont="1" applyBorder="1" applyAlignment="1">
      <alignment horizontal="center"/>
    </xf>
    <xf numFmtId="187" fontId="12" fillId="0" borderId="141" xfId="0" applyNumberFormat="1" applyFont="1" applyBorder="1" applyAlignment="1">
      <alignment horizontal="center"/>
    </xf>
    <xf numFmtId="188" fontId="12" fillId="0" borderId="144" xfId="0" applyNumberFormat="1" applyFont="1" applyBorder="1" applyAlignment="1">
      <alignment horizontal="center"/>
    </xf>
    <xf numFmtId="188" fontId="12" fillId="0" borderId="103" xfId="0" applyNumberFormat="1" applyFont="1" applyBorder="1" applyAlignment="1">
      <alignment horizontal="center"/>
    </xf>
    <xf numFmtId="188" fontId="12" fillId="0" borderId="139" xfId="0" applyNumberFormat="1" applyFont="1" applyBorder="1" applyAlignment="1">
      <alignment horizontal="center"/>
    </xf>
    <xf numFmtId="176" fontId="12" fillId="7" borderId="9" xfId="0" applyNumberFormat="1" applyFont="1" applyFill="1" applyBorder="1" applyAlignment="1">
      <alignment horizontal="center" vertical="center"/>
    </xf>
    <xf numFmtId="176" fontId="14" fillId="7" borderId="105" xfId="0" applyNumberFormat="1" applyFont="1" applyFill="1" applyBorder="1" applyAlignment="1">
      <alignment horizontal="center" vertical="center"/>
    </xf>
    <xf numFmtId="188" fontId="67" fillId="0" borderId="0" xfId="0" applyNumberFormat="1" applyFont="1" applyAlignment="1">
      <alignment horizontal="center" vertical="center"/>
    </xf>
    <xf numFmtId="186" fontId="24" fillId="0" borderId="0" xfId="0" applyNumberFormat="1" applyFont="1" applyAlignment="1">
      <alignment horizontal="center" vertical="center"/>
    </xf>
    <xf numFmtId="186" fontId="61" fillId="8" borderId="101" xfId="0" applyNumberFormat="1" applyFont="1" applyFill="1" applyBorder="1" applyAlignment="1">
      <alignment horizontal="center" vertical="center"/>
    </xf>
    <xf numFmtId="186" fontId="61" fillId="8" borderId="127" xfId="0" applyNumberFormat="1" applyFont="1" applyFill="1" applyBorder="1" applyAlignment="1">
      <alignment horizontal="center" vertical="center"/>
    </xf>
    <xf numFmtId="186" fontId="61" fillId="8" borderId="100" xfId="0" applyNumberFormat="1" applyFont="1" applyFill="1" applyBorder="1" applyAlignment="1">
      <alignment horizontal="center" vertical="center"/>
    </xf>
    <xf numFmtId="176" fontId="14" fillId="7" borderId="101" xfId="0" applyNumberFormat="1" applyFont="1" applyFill="1" applyBorder="1" applyAlignment="1">
      <alignment horizontal="center" vertical="center"/>
    </xf>
    <xf numFmtId="176" fontId="14" fillId="7" borderId="99" xfId="0" applyNumberFormat="1" applyFont="1" applyFill="1" applyBorder="1" applyAlignment="1">
      <alignment horizontal="center" vertical="center"/>
    </xf>
    <xf numFmtId="176" fontId="14" fillId="7" borderId="96" xfId="0" applyNumberFormat="1" applyFont="1" applyFill="1" applyBorder="1" applyAlignment="1">
      <alignment horizontal="center" vertical="center"/>
    </xf>
    <xf numFmtId="186" fontId="12" fillId="8" borderId="9" xfId="0" applyNumberFormat="1" applyFont="1" applyFill="1" applyBorder="1" applyAlignment="1">
      <alignment horizontal="center" vertical="center"/>
    </xf>
    <xf numFmtId="41" fontId="57" fillId="0" borderId="126" xfId="0" applyNumberFormat="1" applyFont="1" applyBorder="1">
      <alignment vertical="center"/>
    </xf>
    <xf numFmtId="41" fontId="57" fillId="0" borderId="119" xfId="0" applyNumberFormat="1" applyFont="1" applyBorder="1">
      <alignment vertical="center"/>
    </xf>
    <xf numFmtId="41" fontId="57" fillId="0" borderId="132" xfId="0" applyNumberFormat="1" applyFont="1" applyBorder="1">
      <alignment vertical="center"/>
    </xf>
    <xf numFmtId="41" fontId="49" fillId="3" borderId="40" xfId="0" applyNumberFormat="1" applyFont="1" applyFill="1" applyBorder="1">
      <alignment vertical="center"/>
    </xf>
    <xf numFmtId="41" fontId="49" fillId="3" borderId="0" xfId="0" applyNumberFormat="1" applyFont="1" applyFill="1">
      <alignment vertical="center"/>
    </xf>
    <xf numFmtId="41" fontId="68" fillId="0" borderId="0" xfId="0" applyNumberFormat="1" applyFont="1">
      <alignment vertical="center"/>
    </xf>
    <xf numFmtId="183" fontId="57" fillId="0" borderId="0" xfId="0" applyNumberFormat="1" applyFont="1">
      <alignment vertical="center"/>
    </xf>
    <xf numFmtId="41" fontId="11" fillId="3" borderId="0" xfId="0" applyNumberFormat="1" applyFont="1" applyFill="1" applyAlignment="1">
      <alignment horizontal="center" vertical="center"/>
    </xf>
    <xf numFmtId="41" fontId="57" fillId="3" borderId="91" xfId="0" applyNumberFormat="1" applyFont="1" applyFill="1" applyBorder="1">
      <alignment vertical="center"/>
    </xf>
    <xf numFmtId="41" fontId="11" fillId="3" borderId="0" xfId="0" applyNumberFormat="1" applyFont="1" applyFill="1" applyAlignment="1">
      <alignment horizontal="right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73" xfId="0" applyFont="1" applyFill="1" applyBorder="1" applyAlignment="1">
      <alignment horizontal="center" vertical="center"/>
    </xf>
    <xf numFmtId="0" fontId="11" fillId="4" borderId="80" xfId="0" applyFont="1" applyFill="1" applyBorder="1" applyAlignment="1">
      <alignment horizontal="center" vertical="center"/>
    </xf>
    <xf numFmtId="38" fontId="22" fillId="3" borderId="0" xfId="0" applyNumberFormat="1" applyFont="1" applyFill="1">
      <alignment vertical="center"/>
    </xf>
    <xf numFmtId="0" fontId="11" fillId="4" borderId="16" xfId="0" applyFont="1" applyFill="1" applyBorder="1">
      <alignment vertical="center"/>
    </xf>
    <xf numFmtId="43" fontId="57" fillId="0" borderId="0" xfId="0" applyNumberFormat="1" applyFont="1">
      <alignment vertical="center"/>
    </xf>
    <xf numFmtId="0" fontId="10" fillId="3" borderId="50" xfId="0" applyFont="1" applyFill="1" applyBorder="1" applyAlignment="1">
      <alignment horizontal="center" vertical="center"/>
    </xf>
    <xf numFmtId="0" fontId="11" fillId="3" borderId="45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/>
    </xf>
    <xf numFmtId="0" fontId="11" fillId="3" borderId="45" xfId="0" applyFont="1" applyFill="1" applyBorder="1" applyAlignment="1">
      <alignment horizontal="right" vertical="center"/>
    </xf>
    <xf numFmtId="41" fontId="49" fillId="3" borderId="45" xfId="0" applyNumberFormat="1" applyFont="1" applyFill="1" applyBorder="1">
      <alignment vertical="center"/>
    </xf>
    <xf numFmtId="41" fontId="14" fillId="3" borderId="45" xfId="0" applyNumberFormat="1" applyFont="1" applyFill="1" applyBorder="1">
      <alignment vertical="center"/>
    </xf>
    <xf numFmtId="41" fontId="11" fillId="3" borderId="45" xfId="0" applyNumberFormat="1" applyFont="1" applyFill="1" applyBorder="1">
      <alignment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right" vertical="center"/>
    </xf>
    <xf numFmtId="41" fontId="49" fillId="3" borderId="50" xfId="0" applyNumberFormat="1" applyFont="1" applyFill="1" applyBorder="1">
      <alignment vertical="center"/>
    </xf>
    <xf numFmtId="41" fontId="14" fillId="3" borderId="50" xfId="0" applyNumberFormat="1" applyFont="1" applyFill="1" applyBorder="1">
      <alignment vertical="center"/>
    </xf>
    <xf numFmtId="41" fontId="11" fillId="3" borderId="50" xfId="0" applyNumberFormat="1" applyFont="1" applyFill="1" applyBorder="1">
      <alignment vertical="center"/>
    </xf>
    <xf numFmtId="0" fontId="11" fillId="3" borderId="0" xfId="0" applyFont="1" applyFill="1">
      <alignment vertical="center"/>
    </xf>
    <xf numFmtId="43" fontId="10" fillId="3" borderId="0" xfId="0" applyNumberFormat="1" applyFont="1" applyFill="1" applyAlignment="1">
      <alignment horizontal="center" vertical="center"/>
    </xf>
    <xf numFmtId="177" fontId="10" fillId="3" borderId="0" xfId="0" applyNumberFormat="1" applyFont="1" applyFill="1" applyAlignment="1">
      <alignment horizontal="center" vertical="center"/>
    </xf>
    <xf numFmtId="185" fontId="12" fillId="0" borderId="0" xfId="0" applyNumberFormat="1" applyFont="1">
      <alignment vertical="center"/>
    </xf>
    <xf numFmtId="0" fontId="11" fillId="4" borderId="19" xfId="0" applyFont="1" applyFill="1" applyBorder="1">
      <alignment vertical="center"/>
    </xf>
    <xf numFmtId="0" fontId="72" fillId="0" borderId="0" xfId="0" applyFont="1" applyAlignment="1"/>
    <xf numFmtId="0" fontId="71" fillId="0" borderId="0" xfId="0" applyFont="1" applyAlignment="1"/>
    <xf numFmtId="9" fontId="73" fillId="0" borderId="28" xfId="0" applyNumberFormat="1" applyFont="1" applyBorder="1" applyAlignment="1">
      <alignment horizontal="center"/>
    </xf>
    <xf numFmtId="0" fontId="71" fillId="14" borderId="2" xfId="0" applyFont="1" applyFill="1" applyBorder="1" applyAlignment="1"/>
    <xf numFmtId="0" fontId="71" fillId="14" borderId="4" xfId="0" applyFont="1" applyFill="1" applyBorder="1" applyAlignment="1"/>
    <xf numFmtId="0" fontId="7" fillId="14" borderId="5" xfId="0" applyFont="1" applyFill="1" applyBorder="1" applyAlignment="1">
      <alignment horizontal="center"/>
    </xf>
    <xf numFmtId="0" fontId="7" fillId="14" borderId="56" xfId="0" applyFont="1" applyFill="1" applyBorder="1" applyAlignment="1">
      <alignment horizontal="center"/>
    </xf>
    <xf numFmtId="0" fontId="7" fillId="14" borderId="42" xfId="0" applyFont="1" applyFill="1" applyBorder="1" applyAlignment="1">
      <alignment horizontal="center"/>
    </xf>
    <xf numFmtId="0" fontId="7" fillId="0" borderId="7" xfId="0" applyFont="1" applyBorder="1" applyAlignment="1">
      <alignment horizontal="left" indent="1"/>
    </xf>
    <xf numFmtId="183" fontId="7" fillId="0" borderId="23" xfId="0" applyNumberFormat="1" applyFont="1" applyBorder="1" applyAlignment="1"/>
    <xf numFmtId="183" fontId="7" fillId="0" borderId="3" xfId="0" applyNumberFormat="1" applyFont="1" applyBorder="1" applyAlignment="1"/>
    <xf numFmtId="183" fontId="7" fillId="0" borderId="22" xfId="0" applyNumberFormat="1" applyFont="1" applyBorder="1" applyAlignment="1"/>
    <xf numFmtId="183" fontId="7" fillId="0" borderId="79" xfId="0" applyNumberFormat="1" applyFont="1" applyBorder="1" applyAlignment="1"/>
    <xf numFmtId="183" fontId="7" fillId="0" borderId="7" xfId="0" applyNumberFormat="1" applyFont="1" applyBorder="1" applyAlignment="1"/>
    <xf numFmtId="38" fontId="0" fillId="14" borderId="79" xfId="0" applyNumberFormat="1" applyFill="1" applyBorder="1" applyAlignment="1"/>
    <xf numFmtId="177" fontId="0" fillId="14" borderId="7" xfId="0" applyNumberFormat="1" applyFill="1" applyBorder="1" applyAlignment="1"/>
    <xf numFmtId="9" fontId="73" fillId="0" borderId="9" xfId="0" applyNumberFormat="1" applyFont="1" applyBorder="1" applyAlignment="1">
      <alignment horizontal="center"/>
    </xf>
    <xf numFmtId="0" fontId="7" fillId="0" borderId="118" xfId="0" applyFont="1" applyBorder="1" applyAlignment="1">
      <alignment horizontal="left" indent="1"/>
    </xf>
    <xf numFmtId="183" fontId="7" fillId="0" borderId="88" xfId="0" applyNumberFormat="1" applyFont="1" applyBorder="1" applyAlignment="1"/>
    <xf numFmtId="183" fontId="7" fillId="0" borderId="9" xfId="0" applyNumberFormat="1" applyFont="1" applyBorder="1" applyAlignment="1"/>
    <xf numFmtId="183" fontId="7" fillId="0" borderId="89" xfId="0" applyNumberFormat="1" applyFont="1" applyBorder="1" applyAlignment="1"/>
    <xf numFmtId="183" fontId="7" fillId="0" borderId="90" xfId="0" applyNumberFormat="1" applyFont="1" applyBorder="1" applyAlignment="1"/>
    <xf numFmtId="183" fontId="7" fillId="0" borderId="118" xfId="0" applyNumberFormat="1" applyFont="1" applyBorder="1" applyAlignment="1"/>
    <xf numFmtId="38" fontId="0" fillId="14" borderId="90" xfId="0" applyNumberFormat="1" applyFill="1" applyBorder="1" applyAlignment="1"/>
    <xf numFmtId="177" fontId="0" fillId="14" borderId="118" xfId="0" applyNumberFormat="1" applyFill="1" applyBorder="1" applyAlignment="1"/>
    <xf numFmtId="9" fontId="73" fillId="0" borderId="3" xfId="0" applyNumberFormat="1" applyFont="1" applyBorder="1" applyAlignment="1">
      <alignment horizontal="center"/>
    </xf>
    <xf numFmtId="0" fontId="7" fillId="0" borderId="132" xfId="0" applyFont="1" applyBorder="1" applyAlignment="1">
      <alignment horizontal="left" indent="1"/>
    </xf>
    <xf numFmtId="183" fontId="7" fillId="0" borderId="128" xfId="0" applyNumberFormat="1" applyFont="1" applyBorder="1" applyAlignment="1"/>
    <xf numFmtId="183" fontId="7" fillId="0" borderId="4" xfId="0" applyNumberFormat="1" applyFont="1" applyBorder="1" applyAlignment="1"/>
    <xf numFmtId="183" fontId="7" fillId="0" borderId="129" xfId="0" applyNumberFormat="1" applyFont="1" applyBorder="1" applyAlignment="1"/>
    <xf numFmtId="183" fontId="7" fillId="0" borderId="149" xfId="0" applyNumberFormat="1" applyFont="1" applyBorder="1" applyAlignment="1"/>
    <xf numFmtId="183" fontId="7" fillId="0" borderId="132" xfId="0" applyNumberFormat="1" applyFont="1" applyBorder="1" applyAlignment="1"/>
    <xf numFmtId="38" fontId="0" fillId="14" borderId="149" xfId="0" applyNumberFormat="1" applyFill="1" applyBorder="1" applyAlignment="1"/>
    <xf numFmtId="177" fontId="0" fillId="14" borderId="132" xfId="0" applyNumberFormat="1" applyFill="1" applyBorder="1" applyAlignment="1"/>
    <xf numFmtId="9" fontId="73" fillId="0" borderId="4" xfId="0" applyNumberFormat="1" applyFont="1" applyBorder="1" applyAlignment="1">
      <alignment horizontal="center"/>
    </xf>
    <xf numFmtId="0" fontId="71" fillId="14" borderId="5" xfId="0" applyFont="1" applyFill="1" applyBorder="1" applyAlignment="1"/>
    <xf numFmtId="0" fontId="7" fillId="14" borderId="42" xfId="0" applyFont="1" applyFill="1" applyBorder="1" applyAlignment="1">
      <alignment horizontal="left"/>
    </xf>
    <xf numFmtId="183" fontId="7" fillId="14" borderId="35" xfId="0" applyNumberFormat="1" applyFont="1" applyFill="1" applyBorder="1" applyAlignment="1"/>
    <xf numFmtId="183" fontId="7" fillId="14" borderId="5" xfId="0" applyNumberFormat="1" applyFont="1" applyFill="1" applyBorder="1" applyAlignment="1"/>
    <xf numFmtId="183" fontId="7" fillId="14" borderId="47" xfId="0" applyNumberFormat="1" applyFont="1" applyFill="1" applyBorder="1" applyAlignment="1"/>
    <xf numFmtId="183" fontId="7" fillId="14" borderId="56" xfId="0" applyNumberFormat="1" applyFont="1" applyFill="1" applyBorder="1" applyAlignment="1"/>
    <xf numFmtId="183" fontId="7" fillId="14" borderId="42" xfId="0" applyNumberFormat="1" applyFont="1" applyFill="1" applyBorder="1" applyAlignment="1"/>
    <xf numFmtId="9" fontId="73" fillId="14" borderId="5" xfId="0" applyNumberFormat="1" applyFont="1" applyFill="1" applyBorder="1" applyAlignment="1">
      <alignment horizontal="center"/>
    </xf>
    <xf numFmtId="0" fontId="7" fillId="0" borderId="0" xfId="0" applyFont="1" applyAlignment="1"/>
    <xf numFmtId="9" fontId="73" fillId="0" borderId="0" xfId="0" applyNumberFormat="1" applyFont="1" applyAlignment="1">
      <alignment horizontal="center"/>
    </xf>
    <xf numFmtId="0" fontId="74" fillId="15" borderId="28" xfId="0" applyFont="1" applyFill="1" applyBorder="1" applyAlignment="1"/>
    <xf numFmtId="0" fontId="74" fillId="13" borderId="28" xfId="0" applyFont="1" applyFill="1" applyBorder="1" applyAlignment="1"/>
    <xf numFmtId="186" fontId="74" fillId="16" borderId="28" xfId="0" applyNumberFormat="1" applyFont="1" applyFill="1" applyBorder="1" applyAlignment="1">
      <alignment wrapText="1"/>
    </xf>
    <xf numFmtId="186" fontId="74" fillId="15" borderId="28" xfId="0" applyNumberFormat="1" applyFont="1" applyFill="1" applyBorder="1" applyAlignment="1"/>
    <xf numFmtId="0" fontId="74" fillId="0" borderId="3" xfId="0" applyFont="1" applyBorder="1" applyAlignment="1"/>
    <xf numFmtId="0" fontId="71" fillId="0" borderId="3" xfId="0" applyFont="1" applyBorder="1" applyAlignment="1"/>
    <xf numFmtId="38" fontId="71" fillId="0" borderId="3" xfId="0" applyNumberFormat="1" applyFont="1" applyBorder="1" applyAlignment="1"/>
    <xf numFmtId="38" fontId="0" fillId="0" borderId="3" xfId="0" applyNumberFormat="1" applyBorder="1" applyAlignment="1"/>
    <xf numFmtId="38" fontId="0" fillId="0" borderId="9" xfId="0" applyNumberFormat="1" applyBorder="1" applyAlignment="1"/>
    <xf numFmtId="186" fontId="0" fillId="17" borderId="2" xfId="0" applyNumberFormat="1" applyFill="1" applyBorder="1" applyAlignment="1"/>
    <xf numFmtId="185" fontId="71" fillId="0" borderId="0" xfId="0" applyNumberFormat="1" applyFont="1" applyAlignment="1"/>
    <xf numFmtId="0" fontId="74" fillId="0" borderId="9" xfId="0" applyFont="1" applyBorder="1" applyAlignment="1"/>
    <xf numFmtId="0" fontId="71" fillId="0" borderId="9" xfId="0" applyFont="1" applyBorder="1" applyAlignment="1"/>
    <xf numFmtId="38" fontId="71" fillId="0" borderId="9" xfId="0" applyNumberFormat="1" applyFont="1" applyBorder="1" applyAlignment="1"/>
    <xf numFmtId="186" fontId="0" fillId="17" borderId="3" xfId="0" applyNumberFormat="1" applyFill="1" applyBorder="1" applyAlignment="1"/>
    <xf numFmtId="0" fontId="74" fillId="0" borderId="4" xfId="0" applyFont="1" applyBorder="1" applyAlignment="1"/>
    <xf numFmtId="0" fontId="71" fillId="0" borderId="4" xfId="0" applyFont="1" applyBorder="1" applyAlignment="1"/>
    <xf numFmtId="38" fontId="71" fillId="0" borderId="4" xfId="0" applyNumberFormat="1" applyFont="1" applyBorder="1" applyAlignment="1"/>
    <xf numFmtId="38" fontId="0" fillId="0" borderId="4" xfId="0" applyNumberFormat="1" applyBorder="1" applyAlignment="1"/>
    <xf numFmtId="186" fontId="0" fillId="17" borderId="4" xfId="0" applyNumberFormat="1" applyFill="1" applyBorder="1" applyAlignment="1"/>
    <xf numFmtId="0" fontId="74" fillId="15" borderId="5" xfId="0" applyFont="1" applyFill="1" applyBorder="1" applyAlignment="1"/>
    <xf numFmtId="38" fontId="75" fillId="15" borderId="5" xfId="0" applyNumberFormat="1" applyFont="1" applyFill="1" applyBorder="1" applyAlignment="1"/>
    <xf numFmtId="186" fontId="75" fillId="16" borderId="5" xfId="0" applyNumberFormat="1" applyFont="1" applyFill="1" applyBorder="1" applyAlignment="1"/>
    <xf numFmtId="43" fontId="71" fillId="0" borderId="0" xfId="0" applyNumberFormat="1" applyFont="1" applyAlignment="1"/>
    <xf numFmtId="38" fontId="6" fillId="0" borderId="0" xfId="0" applyNumberFormat="1" applyFont="1" applyAlignment="1"/>
    <xf numFmtId="0" fontId="76" fillId="3" borderId="3" xfId="0" applyFont="1" applyFill="1" applyBorder="1" applyAlignment="1">
      <alignment horizontal="left" vertical="center"/>
    </xf>
    <xf numFmtId="43" fontId="22" fillId="3" borderId="3" xfId="0" applyNumberFormat="1" applyFont="1" applyFill="1" applyBorder="1">
      <alignment vertical="center"/>
    </xf>
    <xf numFmtId="0" fontId="77" fillId="3" borderId="3" xfId="0" applyFont="1" applyFill="1" applyBorder="1" applyAlignment="1">
      <alignment horizontal="left" vertical="center"/>
    </xf>
    <xf numFmtId="186" fontId="77" fillId="3" borderId="3" xfId="0" applyNumberFormat="1" applyFont="1" applyFill="1" applyBorder="1" applyAlignment="1">
      <alignment horizontal="left" vertical="center"/>
    </xf>
    <xf numFmtId="0" fontId="0" fillId="18" borderId="28" xfId="0" applyFill="1" applyBorder="1">
      <alignment vertical="center"/>
    </xf>
    <xf numFmtId="0" fontId="71" fillId="18" borderId="28" xfId="0" applyFont="1" applyFill="1" applyBorder="1" applyAlignment="1"/>
    <xf numFmtId="0" fontId="0" fillId="0" borderId="9" xfId="0" applyBorder="1">
      <alignment vertical="center"/>
    </xf>
    <xf numFmtId="185" fontId="0" fillId="0" borderId="9" xfId="0" applyNumberFormat="1" applyBorder="1">
      <alignment vertical="center"/>
    </xf>
    <xf numFmtId="186" fontId="71" fillId="0" borderId="9" xfId="0" applyNumberFormat="1" applyFont="1" applyBorder="1" applyAlignment="1"/>
    <xf numFmtId="0" fontId="0" fillId="0" borderId="3" xfId="0" applyBorder="1">
      <alignment vertical="center"/>
    </xf>
    <xf numFmtId="185" fontId="0" fillId="0" borderId="3" xfId="0" applyNumberFormat="1" applyBorder="1">
      <alignment vertical="center"/>
    </xf>
    <xf numFmtId="43" fontId="76" fillId="3" borderId="3" xfId="0" applyNumberFormat="1" applyFont="1" applyFill="1" applyBorder="1" applyAlignment="1">
      <alignment horizontal="left" vertical="center"/>
    </xf>
    <xf numFmtId="0" fontId="0" fillId="0" borderId="4" xfId="0" applyBorder="1">
      <alignment vertical="center"/>
    </xf>
    <xf numFmtId="185" fontId="0" fillId="0" borderId="4" xfId="0" applyNumberFormat="1" applyBorder="1">
      <alignment vertical="center"/>
    </xf>
    <xf numFmtId="0" fontId="76" fillId="3" borderId="4" xfId="0" applyFont="1" applyFill="1" applyBorder="1" applyAlignment="1">
      <alignment horizontal="left" vertical="center"/>
    </xf>
    <xf numFmtId="43" fontId="22" fillId="3" borderId="4" xfId="0" applyNumberFormat="1" applyFont="1" applyFill="1" applyBorder="1">
      <alignment vertical="center"/>
    </xf>
    <xf numFmtId="0" fontId="77" fillId="3" borderId="4" xfId="0" applyFont="1" applyFill="1" applyBorder="1" applyAlignment="1">
      <alignment horizontal="left" vertical="center"/>
    </xf>
    <xf numFmtId="186" fontId="77" fillId="3" borderId="4" xfId="0" applyNumberFormat="1" applyFont="1" applyFill="1" applyBorder="1" applyAlignment="1">
      <alignment horizontal="left" vertical="center"/>
    </xf>
    <xf numFmtId="41" fontId="12" fillId="3" borderId="26" xfId="0" applyNumberFormat="1" applyFont="1" applyFill="1" applyBorder="1">
      <alignment vertical="center"/>
    </xf>
    <xf numFmtId="41" fontId="12" fillId="3" borderId="25" xfId="0" applyNumberFormat="1" applyFont="1" applyFill="1" applyBorder="1">
      <alignment vertical="center"/>
    </xf>
    <xf numFmtId="41" fontId="12" fillId="3" borderId="50" xfId="0" applyNumberFormat="1" applyFont="1" applyFill="1" applyBorder="1">
      <alignment vertical="center"/>
    </xf>
    <xf numFmtId="41" fontId="12" fillId="3" borderId="72" xfId="0" applyNumberFormat="1" applyFont="1" applyFill="1" applyBorder="1">
      <alignment vertical="center"/>
    </xf>
    <xf numFmtId="41" fontId="12" fillId="3" borderId="71" xfId="0" applyNumberFormat="1" applyFont="1" applyFill="1" applyBorder="1">
      <alignment vertical="center"/>
    </xf>
    <xf numFmtId="41" fontId="12" fillId="3" borderId="85" xfId="0" applyNumberFormat="1" applyFont="1" applyFill="1" applyBorder="1">
      <alignment vertical="center"/>
    </xf>
    <xf numFmtId="185" fontId="57" fillId="0" borderId="0" xfId="0" applyNumberFormat="1" applyFont="1">
      <alignment vertical="center"/>
    </xf>
    <xf numFmtId="177" fontId="71" fillId="0" borderId="0" xfId="0" applyNumberFormat="1" applyFont="1" applyAlignment="1"/>
    <xf numFmtId="38" fontId="67" fillId="3" borderId="0" xfId="0" applyNumberFormat="1" applyFont="1" applyFill="1">
      <alignment vertical="center"/>
    </xf>
    <xf numFmtId="0" fontId="14" fillId="4" borderId="55" xfId="0" applyFont="1" applyFill="1" applyBorder="1">
      <alignment vertical="center"/>
    </xf>
    <xf numFmtId="41" fontId="11" fillId="4" borderId="6" xfId="0" applyNumberFormat="1" applyFont="1" applyFill="1" applyBorder="1" applyAlignment="1">
      <alignment horizontal="left" vertical="center"/>
    </xf>
    <xf numFmtId="41" fontId="10" fillId="4" borderId="28" xfId="0" applyNumberFormat="1" applyFont="1" applyFill="1" applyBorder="1" applyAlignment="1">
      <alignment horizontal="center" vertical="center"/>
    </xf>
    <xf numFmtId="41" fontId="10" fillId="4" borderId="48" xfId="0" applyNumberFormat="1" applyFont="1" applyFill="1" applyBorder="1" applyAlignment="1">
      <alignment horizontal="center" vertical="center"/>
    </xf>
    <xf numFmtId="41" fontId="14" fillId="4" borderId="62" xfId="0" applyNumberFormat="1" applyFont="1" applyFill="1" applyBorder="1">
      <alignment vertical="center"/>
    </xf>
    <xf numFmtId="41" fontId="14" fillId="4" borderId="83" xfId="0" applyNumberFormat="1" applyFont="1" applyFill="1" applyBorder="1">
      <alignment vertical="center"/>
    </xf>
    <xf numFmtId="41" fontId="14" fillId="4" borderId="6" xfId="0" applyNumberFormat="1" applyFont="1" applyFill="1" applyBorder="1">
      <alignment vertical="center"/>
    </xf>
    <xf numFmtId="41" fontId="12" fillId="4" borderId="69" xfId="0" applyNumberFormat="1" applyFont="1" applyFill="1" applyBorder="1">
      <alignment vertical="center"/>
    </xf>
    <xf numFmtId="0" fontId="14" fillId="4" borderId="19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186" fontId="71" fillId="0" borderId="4" xfId="0" applyNumberFormat="1" applyFont="1" applyBorder="1" applyAlignment="1"/>
    <xf numFmtId="186" fontId="0" fillId="19" borderId="9" xfId="0" applyNumberFormat="1" applyFill="1" applyBorder="1" applyAlignment="1"/>
    <xf numFmtId="186" fontId="0" fillId="19" borderId="3" xfId="0" applyNumberFormat="1" applyFill="1" applyBorder="1" applyAlignment="1"/>
    <xf numFmtId="186" fontId="0" fillId="19" borderId="4" xfId="0" applyNumberFormat="1" applyFill="1" applyBorder="1" applyAlignment="1"/>
    <xf numFmtId="0" fontId="71" fillId="19" borderId="28" xfId="0" applyFont="1" applyFill="1" applyBorder="1" applyAlignment="1">
      <alignment horizontal="center" vertical="center" wrapText="1"/>
    </xf>
    <xf numFmtId="0" fontId="71" fillId="19" borderId="28" xfId="0" applyFont="1" applyFill="1" applyBorder="1">
      <alignment vertical="center"/>
    </xf>
    <xf numFmtId="186" fontId="71" fillId="19" borderId="9" xfId="0" applyNumberFormat="1" applyFont="1" applyFill="1" applyBorder="1" applyAlignment="1"/>
    <xf numFmtId="186" fontId="71" fillId="19" borderId="3" xfId="0" applyNumberFormat="1" applyFont="1" applyFill="1" applyBorder="1" applyAlignment="1"/>
    <xf numFmtId="186" fontId="71" fillId="19" borderId="4" xfId="0" applyNumberFormat="1" applyFont="1" applyFill="1" applyBorder="1" applyAlignment="1"/>
    <xf numFmtId="0" fontId="71" fillId="19" borderId="153" xfId="0" applyFont="1" applyFill="1" applyBorder="1" applyAlignment="1">
      <alignment horizontal="centerContinuous" vertical="center" wrapText="1"/>
    </xf>
    <xf numFmtId="0" fontId="71" fillId="19" borderId="102" xfId="0" applyFont="1" applyFill="1" applyBorder="1" applyAlignment="1">
      <alignment horizontal="centerContinuous" vertical="center"/>
    </xf>
    <xf numFmtId="0" fontId="71" fillId="19" borderId="154" xfId="0" applyFont="1" applyFill="1" applyBorder="1" applyAlignment="1">
      <alignment horizontal="centerContinuous"/>
    </xf>
    <xf numFmtId="9" fontId="73" fillId="19" borderId="104" xfId="0" applyNumberFormat="1" applyFont="1" applyFill="1" applyBorder="1" applyAlignment="1">
      <alignment horizontal="centerContinuous"/>
    </xf>
    <xf numFmtId="0" fontId="71" fillId="19" borderId="155" xfId="0" applyFont="1" applyFill="1" applyBorder="1" applyAlignment="1">
      <alignment horizontal="centerContinuous"/>
    </xf>
    <xf numFmtId="0" fontId="71" fillId="19" borderId="145" xfId="0" applyFont="1" applyFill="1" applyBorder="1" applyAlignment="1">
      <alignment horizontal="center" vertical="center" wrapText="1"/>
    </xf>
    <xf numFmtId="38" fontId="0" fillId="19" borderId="140" xfId="0" applyNumberFormat="1" applyFill="1" applyBorder="1" applyAlignment="1"/>
    <xf numFmtId="38" fontId="0" fillId="19" borderId="138" xfId="0" applyNumberFormat="1" applyFill="1" applyBorder="1" applyAlignment="1"/>
    <xf numFmtId="38" fontId="0" fillId="19" borderId="157" xfId="0" applyNumberFormat="1" applyFill="1" applyBorder="1" applyAlignment="1"/>
    <xf numFmtId="43" fontId="75" fillId="20" borderId="143" xfId="0" applyNumberFormat="1" applyFont="1" applyFill="1" applyBorder="1" applyAlignment="1"/>
    <xf numFmtId="186" fontId="75" fillId="20" borderId="95" xfId="0" applyNumberFormat="1" applyFont="1" applyFill="1" applyBorder="1" applyAlignment="1"/>
    <xf numFmtId="0" fontId="75" fillId="17" borderId="28" xfId="0" applyFont="1" applyFill="1" applyBorder="1" applyAlignment="1">
      <alignment vertical="center" wrapText="1"/>
    </xf>
    <xf numFmtId="0" fontId="75" fillId="17" borderId="146" xfId="0" applyFont="1" applyFill="1" applyBorder="1" applyAlignment="1">
      <alignment vertical="center" wrapText="1"/>
    </xf>
    <xf numFmtId="186" fontId="71" fillId="17" borderId="2" xfId="0" applyNumberFormat="1" applyFont="1" applyFill="1" applyBorder="1" applyAlignment="1"/>
    <xf numFmtId="186" fontId="73" fillId="17" borderId="2" xfId="0" applyNumberFormat="1" applyFont="1" applyFill="1" applyBorder="1" applyAlignment="1">
      <alignment horizontal="center"/>
    </xf>
    <xf numFmtId="186" fontId="71" fillId="17" borderId="156" xfId="0" applyNumberFormat="1" applyFont="1" applyFill="1" applyBorder="1" applyAlignment="1"/>
    <xf numFmtId="186" fontId="71" fillId="17" borderId="3" xfId="0" applyNumberFormat="1" applyFont="1" applyFill="1" applyBorder="1" applyAlignment="1"/>
    <xf numFmtId="186" fontId="73" fillId="17" borderId="3" xfId="0" applyNumberFormat="1" applyFont="1" applyFill="1" applyBorder="1" applyAlignment="1">
      <alignment horizontal="center"/>
    </xf>
    <xf numFmtId="186" fontId="71" fillId="17" borderId="137" xfId="0" applyNumberFormat="1" applyFont="1" applyFill="1" applyBorder="1" applyAlignment="1"/>
    <xf numFmtId="186" fontId="71" fillId="17" borderId="4" xfId="0" applyNumberFormat="1" applyFont="1" applyFill="1" applyBorder="1" applyAlignment="1"/>
    <xf numFmtId="186" fontId="71" fillId="17" borderId="158" xfId="0" applyNumberFormat="1" applyFont="1" applyFill="1" applyBorder="1" applyAlignment="1"/>
    <xf numFmtId="186" fontId="75" fillId="16" borderId="95" xfId="0" applyNumberFormat="1" applyFont="1" applyFill="1" applyBorder="1" applyAlignment="1"/>
    <xf numFmtId="186" fontId="75" fillId="16" borderId="142" xfId="0" applyNumberFormat="1" applyFont="1" applyFill="1" applyBorder="1" applyAlignment="1"/>
    <xf numFmtId="193" fontId="11" fillId="4" borderId="63" xfId="0" applyNumberFormat="1" applyFont="1" applyFill="1" applyBorder="1" applyAlignment="1">
      <alignment horizontal="center" vertical="center"/>
    </xf>
    <xf numFmtId="193" fontId="10" fillId="4" borderId="63" xfId="0" applyNumberFormat="1" applyFont="1" applyFill="1" applyBorder="1">
      <alignment vertical="center"/>
    </xf>
    <xf numFmtId="41" fontId="14" fillId="13" borderId="12" xfId="0" applyNumberFormat="1" applyFont="1" applyFill="1" applyBorder="1">
      <alignment vertical="center"/>
    </xf>
    <xf numFmtId="41" fontId="14" fillId="13" borderId="28" xfId="0" applyNumberFormat="1" applyFont="1" applyFill="1" applyBorder="1">
      <alignment vertical="center"/>
    </xf>
    <xf numFmtId="41" fontId="14" fillId="13" borderId="33" xfId="0" applyNumberFormat="1" applyFont="1" applyFill="1" applyBorder="1">
      <alignment vertical="center"/>
    </xf>
    <xf numFmtId="0" fontId="79" fillId="0" borderId="0" xfId="0" applyFont="1" applyAlignment="1"/>
    <xf numFmtId="38" fontId="23" fillId="0" borderId="9" xfId="0" applyNumberFormat="1" applyFont="1" applyBorder="1" applyAlignment="1"/>
    <xf numFmtId="38" fontId="23" fillId="0" borderId="4" xfId="0" applyNumberFormat="1" applyFont="1" applyBorder="1" applyAlignment="1"/>
    <xf numFmtId="38" fontId="23" fillId="0" borderId="3" xfId="0" applyNumberFormat="1" applyFont="1" applyBorder="1" applyAlignment="1"/>
    <xf numFmtId="38" fontId="74" fillId="15" borderId="5" xfId="0" applyNumberFormat="1" applyFont="1" applyFill="1" applyBorder="1" applyAlignment="1"/>
    <xf numFmtId="177" fontId="80" fillId="0" borderId="0" xfId="0" applyNumberFormat="1" applyFont="1" applyAlignment="1"/>
    <xf numFmtId="9" fontId="80" fillId="0" borderId="48" xfId="0" applyNumberFormat="1" applyFont="1" applyBorder="1" applyAlignment="1">
      <alignment horizontal="center" wrapText="1"/>
    </xf>
    <xf numFmtId="186" fontId="23" fillId="0" borderId="2" xfId="0" applyNumberFormat="1" applyFont="1" applyBorder="1" applyAlignment="1"/>
    <xf numFmtId="9" fontId="80" fillId="0" borderId="152" xfId="0" applyNumberFormat="1" applyFont="1" applyBorder="1" applyAlignment="1"/>
    <xf numFmtId="186" fontId="23" fillId="0" borderId="3" xfId="0" applyNumberFormat="1" applyFont="1" applyBorder="1" applyAlignment="1"/>
    <xf numFmtId="9" fontId="80" fillId="0" borderId="7" xfId="0" applyNumberFormat="1" applyFont="1" applyBorder="1" applyAlignment="1"/>
    <xf numFmtId="186" fontId="23" fillId="0" borderId="4" xfId="0" applyNumberFormat="1" applyFont="1" applyBorder="1" applyAlignment="1"/>
    <xf numFmtId="9" fontId="80" fillId="0" borderId="132" xfId="0" applyNumberFormat="1" applyFont="1" applyBorder="1" applyAlignment="1"/>
    <xf numFmtId="186" fontId="74" fillId="15" borderId="5" xfId="0" applyNumberFormat="1" applyFont="1" applyFill="1" applyBorder="1" applyAlignment="1"/>
    <xf numFmtId="38" fontId="74" fillId="15" borderId="42" xfId="0" applyNumberFormat="1" applyFont="1" applyFill="1" applyBorder="1" applyAlignment="1"/>
    <xf numFmtId="0" fontId="80" fillId="0" borderId="0" xfId="0" applyFont="1" applyAlignment="1"/>
    <xf numFmtId="0" fontId="81" fillId="0" borderId="0" xfId="0" applyFont="1" applyAlignment="1"/>
    <xf numFmtId="183" fontId="12" fillId="3" borderId="1" xfId="0" applyNumberFormat="1" applyFont="1" applyFill="1" applyBorder="1">
      <alignment vertical="center"/>
    </xf>
    <xf numFmtId="183" fontId="12" fillId="3" borderId="69" xfId="0" applyNumberFormat="1" applyFont="1" applyFill="1" applyBorder="1">
      <alignment vertical="center"/>
    </xf>
    <xf numFmtId="183" fontId="12" fillId="3" borderId="55" xfId="0" applyNumberFormat="1" applyFont="1" applyFill="1" applyBorder="1">
      <alignment vertical="center"/>
    </xf>
    <xf numFmtId="0" fontId="18" fillId="4" borderId="77" xfId="0" applyFont="1" applyFill="1" applyBorder="1" applyAlignment="1">
      <alignment horizontal="center" vertical="center"/>
    </xf>
    <xf numFmtId="0" fontId="18" fillId="4" borderId="4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1" fontId="10" fillId="3" borderId="0" xfId="0" applyNumberFormat="1" applyFont="1" applyFill="1" applyAlignment="1">
      <alignment horizontal="center" vertical="center"/>
    </xf>
    <xf numFmtId="41" fontId="10" fillId="3" borderId="58" xfId="0" applyNumberFormat="1" applyFont="1" applyFill="1" applyBorder="1">
      <alignment vertical="center"/>
    </xf>
    <xf numFmtId="41" fontId="10" fillId="3" borderId="27" xfId="0" applyNumberFormat="1" applyFont="1" applyFill="1" applyBorder="1">
      <alignment vertical="center"/>
    </xf>
    <xf numFmtId="41" fontId="10" fillId="3" borderId="60" xfId="0" applyNumberFormat="1" applyFont="1" applyFill="1" applyBorder="1">
      <alignment vertical="center"/>
    </xf>
    <xf numFmtId="41" fontId="10" fillId="4" borderId="60" xfId="0" applyNumberFormat="1" applyFont="1" applyFill="1" applyBorder="1">
      <alignment vertical="center"/>
    </xf>
    <xf numFmtId="41" fontId="10" fillId="4" borderId="69" xfId="0" applyNumberFormat="1" applyFont="1" applyFill="1" applyBorder="1">
      <alignment vertical="center"/>
    </xf>
    <xf numFmtId="41" fontId="10" fillId="3" borderId="10" xfId="0" applyNumberFormat="1" applyFont="1" applyFill="1" applyBorder="1">
      <alignment vertical="center"/>
    </xf>
    <xf numFmtId="185" fontId="10" fillId="3" borderId="55" xfId="0" applyNumberFormat="1" applyFont="1" applyFill="1" applyBorder="1">
      <alignment vertical="center"/>
    </xf>
    <xf numFmtId="0" fontId="11" fillId="4" borderId="112" xfId="0" applyFont="1" applyFill="1" applyBorder="1" applyAlignment="1">
      <alignment horizontal="center" vertical="center" wrapText="1"/>
    </xf>
    <xf numFmtId="41" fontId="10" fillId="4" borderId="1" xfId="0" applyNumberFormat="1" applyFont="1" applyFill="1" applyBorder="1" applyAlignment="1">
      <alignment horizontal="left" vertical="center"/>
    </xf>
    <xf numFmtId="41" fontId="10" fillId="4" borderId="61" xfId="0" applyNumberFormat="1" applyFont="1" applyFill="1" applyBorder="1" applyAlignment="1">
      <alignment horizontal="left" vertical="center"/>
    </xf>
    <xf numFmtId="41" fontId="11" fillId="4" borderId="15" xfId="0" applyNumberFormat="1" applyFont="1" applyFill="1" applyBorder="1">
      <alignment vertical="center"/>
    </xf>
    <xf numFmtId="41" fontId="10" fillId="4" borderId="27" xfId="0" applyNumberFormat="1" applyFont="1" applyFill="1" applyBorder="1" applyAlignment="1">
      <alignment horizontal="left" vertical="center"/>
    </xf>
    <xf numFmtId="185" fontId="0" fillId="0" borderId="5" xfId="0" applyNumberFormat="1" applyBorder="1">
      <alignment vertical="center"/>
    </xf>
    <xf numFmtId="0" fontId="71" fillId="0" borderId="5" xfId="0" applyFont="1" applyBorder="1" applyAlignment="1"/>
    <xf numFmtId="43" fontId="0" fillId="0" borderId="5" xfId="0" applyNumberFormat="1" applyBorder="1">
      <alignment vertical="center"/>
    </xf>
    <xf numFmtId="186" fontId="0" fillId="0" borderId="9" xfId="0" applyNumberFormat="1" applyBorder="1">
      <alignment vertical="center"/>
    </xf>
    <xf numFmtId="186" fontId="0" fillId="0" borderId="3" xfId="0" applyNumberFormat="1" applyBorder="1">
      <alignment vertical="center"/>
    </xf>
    <xf numFmtId="186" fontId="0" fillId="0" borderId="4" xfId="0" applyNumberFormat="1" applyBorder="1">
      <alignment vertical="center"/>
    </xf>
    <xf numFmtId="186" fontId="0" fillId="0" borderId="5" xfId="0" applyNumberFormat="1" applyBorder="1">
      <alignment vertical="center"/>
    </xf>
    <xf numFmtId="204" fontId="15" fillId="3" borderId="28" xfId="0" applyNumberFormat="1" applyFont="1" applyFill="1" applyBorder="1" applyAlignment="1">
      <alignment horizontal="left" vertical="center" shrinkToFit="1"/>
    </xf>
    <xf numFmtId="203" fontId="15" fillId="3" borderId="28" xfId="0" applyNumberFormat="1" applyFont="1" applyFill="1" applyBorder="1" applyAlignment="1">
      <alignment horizontal="left" vertical="center" shrinkToFit="1"/>
    </xf>
    <xf numFmtId="200" fontId="15" fillId="3" borderId="28" xfId="0" applyNumberFormat="1" applyFont="1" applyFill="1" applyBorder="1" applyAlignment="1">
      <alignment horizontal="left" vertical="center" shrinkToFit="1"/>
    </xf>
    <xf numFmtId="202" fontId="15" fillId="3" borderId="28" xfId="0" applyNumberFormat="1" applyFont="1" applyFill="1" applyBorder="1" applyAlignment="1">
      <alignment horizontal="left" vertical="center" shrinkToFit="1"/>
    </xf>
    <xf numFmtId="201" fontId="15" fillId="3" borderId="28" xfId="0" applyNumberFormat="1" applyFont="1" applyFill="1" applyBorder="1" applyAlignment="1">
      <alignment horizontal="left" vertical="center" shrinkToFit="1"/>
    </xf>
    <xf numFmtId="192" fontId="12" fillId="4" borderId="27" xfId="0" applyNumberFormat="1" applyFont="1" applyFill="1" applyBorder="1">
      <alignment vertical="center"/>
    </xf>
    <xf numFmtId="192" fontId="12" fillId="4" borderId="1" xfId="0" applyNumberFormat="1" applyFont="1" applyFill="1" applyBorder="1">
      <alignment vertical="center"/>
    </xf>
    <xf numFmtId="192" fontId="14" fillId="4" borderId="28" xfId="0" applyNumberFormat="1" applyFont="1" applyFill="1" applyBorder="1" applyAlignment="1">
      <alignment horizontal="center" vertical="center"/>
    </xf>
    <xf numFmtId="192" fontId="14" fillId="4" borderId="63" xfId="0" applyNumberFormat="1" applyFont="1" applyFill="1" applyBorder="1" applyAlignment="1">
      <alignment horizontal="center" vertical="center"/>
    </xf>
    <xf numFmtId="192" fontId="12" fillId="4" borderId="63" xfId="0" applyNumberFormat="1" applyFont="1" applyFill="1" applyBorder="1">
      <alignment vertical="center"/>
    </xf>
    <xf numFmtId="192" fontId="12" fillId="4" borderId="8" xfId="0" applyNumberFormat="1" applyFont="1" applyFill="1" applyBorder="1">
      <alignment vertical="center"/>
    </xf>
    <xf numFmtId="41" fontId="11" fillId="3" borderId="78" xfId="0" applyNumberFormat="1" applyFont="1" applyFill="1" applyBorder="1">
      <alignment vertical="center"/>
    </xf>
    <xf numFmtId="41" fontId="10" fillId="3" borderId="26" xfId="0" applyNumberFormat="1" applyFont="1" applyFill="1" applyBorder="1">
      <alignment vertical="center"/>
    </xf>
    <xf numFmtId="185" fontId="10" fillId="3" borderId="69" xfId="0" applyNumberFormat="1" applyFont="1" applyFill="1" applyBorder="1">
      <alignment vertical="center"/>
    </xf>
    <xf numFmtId="41" fontId="11" fillId="4" borderId="12" xfId="0" applyNumberFormat="1" applyFont="1" applyFill="1" applyBorder="1">
      <alignment vertical="center"/>
    </xf>
    <xf numFmtId="41" fontId="11" fillId="4" borderId="28" xfId="0" applyNumberFormat="1" applyFont="1" applyFill="1" applyBorder="1">
      <alignment vertical="center"/>
    </xf>
    <xf numFmtId="41" fontId="11" fillId="4" borderId="33" xfId="0" applyNumberFormat="1" applyFont="1" applyFill="1" applyBorder="1">
      <alignment vertical="center"/>
    </xf>
    <xf numFmtId="41" fontId="10" fillId="3" borderId="61" xfId="0" applyNumberFormat="1" applyFont="1" applyFill="1" applyBorder="1">
      <alignment vertical="center"/>
    </xf>
    <xf numFmtId="41" fontId="10" fillId="3" borderId="34" xfId="0" applyNumberFormat="1" applyFont="1" applyFill="1" applyBorder="1">
      <alignment vertical="center"/>
    </xf>
    <xf numFmtId="41" fontId="10" fillId="3" borderId="64" xfId="0" applyNumberFormat="1" applyFont="1" applyFill="1" applyBorder="1">
      <alignment vertical="center"/>
    </xf>
    <xf numFmtId="41" fontId="10" fillId="4" borderId="78" xfId="0" applyNumberFormat="1" applyFont="1" applyFill="1" applyBorder="1">
      <alignment vertical="center"/>
    </xf>
    <xf numFmtId="41" fontId="10" fillId="4" borderId="49" xfId="0" applyNumberFormat="1" applyFont="1" applyFill="1" applyBorder="1">
      <alignment vertical="center"/>
    </xf>
    <xf numFmtId="41" fontId="66" fillId="4" borderId="17" xfId="0" applyNumberFormat="1" applyFont="1" applyFill="1" applyBorder="1">
      <alignment vertical="center"/>
    </xf>
    <xf numFmtId="41" fontId="66" fillId="4" borderId="18" xfId="0" applyNumberFormat="1" applyFont="1" applyFill="1" applyBorder="1">
      <alignment vertical="center"/>
    </xf>
    <xf numFmtId="41" fontId="66" fillId="4" borderId="19" xfId="0" applyNumberFormat="1" applyFont="1" applyFill="1" applyBorder="1">
      <alignment vertical="center"/>
    </xf>
    <xf numFmtId="41" fontId="10" fillId="3" borderId="21" xfId="0" applyNumberFormat="1" applyFont="1" applyFill="1" applyBorder="1">
      <alignment vertical="center"/>
    </xf>
    <xf numFmtId="41" fontId="11" fillId="4" borderId="78" xfId="0" applyNumberFormat="1" applyFont="1" applyFill="1" applyBorder="1">
      <alignment vertical="center"/>
    </xf>
    <xf numFmtId="41" fontId="11" fillId="4" borderId="77" xfId="0" applyNumberFormat="1" applyFont="1" applyFill="1" applyBorder="1">
      <alignment vertical="center"/>
    </xf>
    <xf numFmtId="41" fontId="11" fillId="4" borderId="49" xfId="0" applyNumberFormat="1" applyFont="1" applyFill="1" applyBorder="1">
      <alignment vertical="center"/>
    </xf>
    <xf numFmtId="41" fontId="11" fillId="13" borderId="12" xfId="0" applyNumberFormat="1" applyFont="1" applyFill="1" applyBorder="1">
      <alignment vertical="center"/>
    </xf>
    <xf numFmtId="41" fontId="11" fillId="13" borderId="28" xfId="0" applyNumberFormat="1" applyFont="1" applyFill="1" applyBorder="1">
      <alignment vertical="center"/>
    </xf>
    <xf numFmtId="41" fontId="11" fillId="13" borderId="33" xfId="0" applyNumberFormat="1" applyFont="1" applyFill="1" applyBorder="1">
      <alignment vertical="center"/>
    </xf>
    <xf numFmtId="183" fontId="10" fillId="3" borderId="69" xfId="0" applyNumberFormat="1" applyFont="1" applyFill="1" applyBorder="1">
      <alignment vertical="center"/>
    </xf>
    <xf numFmtId="41" fontId="11" fillId="4" borderId="40" xfId="0" applyNumberFormat="1" applyFont="1" applyFill="1" applyBorder="1">
      <alignment vertical="center"/>
    </xf>
    <xf numFmtId="41" fontId="11" fillId="4" borderId="76" xfId="0" applyNumberFormat="1" applyFont="1" applyFill="1" applyBorder="1">
      <alignment vertical="center"/>
    </xf>
    <xf numFmtId="41" fontId="10" fillId="3" borderId="50" xfId="0" applyNumberFormat="1" applyFont="1" applyFill="1" applyBorder="1">
      <alignment vertical="center"/>
    </xf>
    <xf numFmtId="41" fontId="10" fillId="3" borderId="25" xfId="0" applyNumberFormat="1" applyFont="1" applyFill="1" applyBorder="1">
      <alignment vertical="center"/>
    </xf>
    <xf numFmtId="41" fontId="10" fillId="0" borderId="1" xfId="0" applyNumberFormat="1" applyFont="1" applyBorder="1">
      <alignment vertical="center"/>
    </xf>
    <xf numFmtId="41" fontId="10" fillId="3" borderId="24" xfId="0" applyNumberFormat="1" applyFont="1" applyFill="1" applyBorder="1">
      <alignment vertical="center"/>
    </xf>
    <xf numFmtId="41" fontId="11" fillId="4" borderId="72" xfId="0" applyNumberFormat="1" applyFont="1" applyFill="1" applyBorder="1">
      <alignment vertical="center"/>
    </xf>
    <xf numFmtId="41" fontId="11" fillId="4" borderId="64" xfId="0" applyNumberFormat="1" applyFont="1" applyFill="1" applyBorder="1">
      <alignment vertical="center"/>
    </xf>
    <xf numFmtId="41" fontId="11" fillId="4" borderId="71" xfId="0" applyNumberFormat="1" applyFont="1" applyFill="1" applyBorder="1">
      <alignment vertical="center"/>
    </xf>
    <xf numFmtId="41" fontId="10" fillId="0" borderId="85" xfId="0" applyNumberFormat="1" applyFont="1" applyBorder="1">
      <alignment vertical="center"/>
    </xf>
    <xf numFmtId="41" fontId="10" fillId="0" borderId="61" xfId="0" applyNumberFormat="1" applyFont="1" applyBorder="1">
      <alignment vertical="center"/>
    </xf>
    <xf numFmtId="41" fontId="10" fillId="3" borderId="72" xfId="0" applyNumberFormat="1" applyFont="1" applyFill="1" applyBorder="1">
      <alignment vertical="center"/>
    </xf>
    <xf numFmtId="41" fontId="10" fillId="3" borderId="71" xfId="0" applyNumberFormat="1" applyFont="1" applyFill="1" applyBorder="1">
      <alignment vertical="center"/>
    </xf>
    <xf numFmtId="183" fontId="10" fillId="0" borderId="38" xfId="0" applyNumberFormat="1" applyFont="1" applyBorder="1">
      <alignment vertical="center"/>
    </xf>
    <xf numFmtId="183" fontId="10" fillId="0" borderId="110" xfId="0" applyNumberFormat="1" applyFont="1" applyBorder="1">
      <alignment vertical="center"/>
    </xf>
    <xf numFmtId="41" fontId="11" fillId="4" borderId="56" xfId="0" applyNumberFormat="1" applyFont="1" applyFill="1" applyBorder="1">
      <alignment vertical="center"/>
    </xf>
    <xf numFmtId="41" fontId="11" fillId="4" borderId="107" xfId="0" applyNumberFormat="1" applyFont="1" applyFill="1" applyBorder="1">
      <alignment vertical="center"/>
    </xf>
    <xf numFmtId="41" fontId="11" fillId="4" borderId="62" xfId="0" applyNumberFormat="1" applyFont="1" applyFill="1" applyBorder="1">
      <alignment vertical="center"/>
    </xf>
    <xf numFmtId="41" fontId="11" fillId="4" borderId="83" xfId="0" applyNumberFormat="1" applyFont="1" applyFill="1" applyBorder="1">
      <alignment vertical="center"/>
    </xf>
    <xf numFmtId="179" fontId="10" fillId="3" borderId="65" xfId="0" applyNumberFormat="1" applyFont="1" applyFill="1" applyBorder="1" applyAlignment="1">
      <alignment horizontal="center" vertical="center"/>
    </xf>
    <xf numFmtId="41" fontId="10" fillId="3" borderId="8" xfId="0" applyNumberFormat="1" applyFont="1" applyFill="1" applyBorder="1">
      <alignment vertical="center"/>
    </xf>
    <xf numFmtId="41" fontId="11" fillId="4" borderId="20" xfId="0" applyNumberFormat="1" applyFont="1" applyFill="1" applyBorder="1">
      <alignment vertical="center"/>
    </xf>
    <xf numFmtId="41" fontId="10" fillId="0" borderId="55" xfId="0" applyNumberFormat="1" applyFont="1" applyBorder="1">
      <alignment vertical="center"/>
    </xf>
    <xf numFmtId="41" fontId="10" fillId="0" borderId="69" xfId="0" applyNumberFormat="1" applyFont="1" applyBorder="1">
      <alignment vertical="center"/>
    </xf>
    <xf numFmtId="185" fontId="10" fillId="0" borderId="69" xfId="0" applyNumberFormat="1" applyFont="1" applyBorder="1">
      <alignment vertical="center"/>
    </xf>
    <xf numFmtId="41" fontId="11" fillId="3" borderId="77" xfId="0" applyNumberFormat="1" applyFont="1" applyFill="1" applyBorder="1">
      <alignment vertical="center"/>
    </xf>
    <xf numFmtId="41" fontId="14" fillId="3" borderId="78" xfId="0" applyNumberFormat="1" applyFont="1" applyFill="1" applyBorder="1">
      <alignment vertical="center"/>
    </xf>
    <xf numFmtId="41" fontId="14" fillId="3" borderId="77" xfId="0" applyNumberFormat="1" applyFont="1" applyFill="1" applyBorder="1">
      <alignment vertical="center"/>
    </xf>
    <xf numFmtId="41" fontId="14" fillId="3" borderId="49" xfId="0" applyNumberFormat="1" applyFont="1" applyFill="1" applyBorder="1">
      <alignment vertical="center"/>
    </xf>
    <xf numFmtId="188" fontId="14" fillId="7" borderId="154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188" fontId="14" fillId="7" borderId="170" xfId="0" applyNumberFormat="1" applyFont="1" applyFill="1" applyBorder="1" applyAlignment="1">
      <alignment horizontal="center" vertical="center"/>
    </xf>
    <xf numFmtId="17" fontId="14" fillId="7" borderId="62" xfId="0" applyNumberFormat="1" applyFont="1" applyFill="1" applyBorder="1" applyAlignment="1">
      <alignment horizontal="center" vertical="center"/>
    </xf>
    <xf numFmtId="17" fontId="14" fillId="7" borderId="28" xfId="0" applyNumberFormat="1" applyFont="1" applyFill="1" applyBorder="1" applyAlignment="1">
      <alignment horizontal="center" vertical="center"/>
    </xf>
    <xf numFmtId="186" fontId="14" fillId="9" borderId="146" xfId="0" applyNumberFormat="1" applyFont="1" applyFill="1" applyBorder="1" applyAlignment="1">
      <alignment horizontal="center" vertical="center"/>
    </xf>
    <xf numFmtId="17" fontId="14" fillId="8" borderId="145" xfId="0" applyNumberFormat="1" applyFont="1" applyFill="1" applyBorder="1" applyAlignment="1">
      <alignment horizontal="center" vertical="center"/>
    </xf>
    <xf numFmtId="17" fontId="14" fillId="8" borderId="28" xfId="0" applyNumberFormat="1" applyFont="1" applyFill="1" applyBorder="1" applyAlignment="1">
      <alignment horizontal="center" vertical="center"/>
    </xf>
    <xf numFmtId="186" fontId="14" fillId="5" borderId="146" xfId="0" applyNumberFormat="1" applyFont="1" applyFill="1" applyBorder="1" applyAlignment="1">
      <alignment horizontal="center" vertical="center"/>
    </xf>
    <xf numFmtId="17" fontId="14" fillId="7" borderId="145" xfId="0" applyNumberFormat="1" applyFont="1" applyFill="1" applyBorder="1" applyAlignment="1">
      <alignment horizontal="center" vertical="center"/>
    </xf>
    <xf numFmtId="17" fontId="14" fillId="8" borderId="62" xfId="0" applyNumberFormat="1" applyFont="1" applyFill="1" applyBorder="1" applyAlignment="1">
      <alignment horizontal="center" vertical="center"/>
    </xf>
    <xf numFmtId="186" fontId="14" fillId="5" borderId="48" xfId="0" applyNumberFormat="1" applyFont="1" applyFill="1" applyBorder="1" applyAlignment="1">
      <alignment horizontal="center" vertical="center"/>
    </xf>
    <xf numFmtId="0" fontId="14" fillId="0" borderId="171" xfId="0" applyFont="1" applyBorder="1" applyAlignment="1">
      <alignment horizontal="center" vertical="center" wrapText="1"/>
    </xf>
    <xf numFmtId="0" fontId="12" fillId="0" borderId="2" xfId="0" applyFont="1" applyBorder="1">
      <alignment vertical="center"/>
    </xf>
    <xf numFmtId="189" fontId="12" fillId="0" borderId="156" xfId="0" applyNumberFormat="1" applyFont="1" applyBorder="1" applyAlignment="1"/>
    <xf numFmtId="188" fontId="12" fillId="0" borderId="118" xfId="0" applyNumberFormat="1" applyFont="1" applyBorder="1" applyAlignment="1">
      <alignment horizontal="center"/>
    </xf>
    <xf numFmtId="188" fontId="12" fillId="0" borderId="172" xfId="0" applyNumberFormat="1" applyFont="1" applyBorder="1" applyAlignment="1">
      <alignment horizontal="center"/>
    </xf>
    <xf numFmtId="176" fontId="14" fillId="9" borderId="134" xfId="0" applyNumberFormat="1" applyFont="1" applyFill="1" applyBorder="1" applyAlignment="1">
      <alignment horizontal="center" vertical="center"/>
    </xf>
    <xf numFmtId="186" fontId="12" fillId="8" borderId="138" xfId="0" applyNumberFormat="1" applyFont="1" applyFill="1" applyBorder="1" applyAlignment="1">
      <alignment horizontal="center" vertical="center"/>
    </xf>
    <xf numFmtId="186" fontId="14" fillId="5" borderId="134" xfId="0" applyNumberFormat="1" applyFont="1" applyFill="1" applyBorder="1" applyAlignment="1">
      <alignment horizontal="center" vertical="center"/>
    </xf>
    <xf numFmtId="41" fontId="61" fillId="7" borderId="173" xfId="0" applyNumberFormat="1" applyFont="1" applyFill="1" applyBorder="1" applyAlignment="1">
      <alignment horizontal="center" vertical="center"/>
    </xf>
    <xf numFmtId="41" fontId="61" fillId="7" borderId="2" xfId="0" applyNumberFormat="1" applyFont="1" applyFill="1" applyBorder="1" applyAlignment="1">
      <alignment horizontal="center" vertical="center"/>
    </xf>
    <xf numFmtId="41" fontId="61" fillId="7" borderId="138" xfId="0" applyNumberFormat="1" applyFont="1" applyFill="1" applyBorder="1" applyAlignment="1">
      <alignment horizontal="center" vertical="center"/>
    </xf>
    <xf numFmtId="186" fontId="12" fillId="8" borderId="79" xfId="0" applyNumberFormat="1" applyFont="1" applyFill="1" applyBorder="1" applyAlignment="1">
      <alignment horizontal="center" vertical="center"/>
    </xf>
    <xf numFmtId="186" fontId="14" fillId="5" borderId="119" xfId="0" applyNumberFormat="1" applyFont="1" applyFill="1" applyBorder="1" applyAlignment="1">
      <alignment horizontal="center" vertical="center"/>
    </xf>
    <xf numFmtId="0" fontId="14" fillId="0" borderId="174" xfId="0" applyFont="1" applyBorder="1" applyAlignment="1">
      <alignment horizontal="center" vertical="center" wrapText="1"/>
    </xf>
    <xf numFmtId="0" fontId="12" fillId="0" borderId="95" xfId="0" applyFont="1" applyBorder="1">
      <alignment vertical="center"/>
    </xf>
    <xf numFmtId="189" fontId="12" fillId="0" borderId="142" xfId="0" applyNumberFormat="1" applyFont="1" applyBorder="1" applyAlignment="1"/>
    <xf numFmtId="188" fontId="12" fillId="0" borderId="124" xfId="0" applyNumberFormat="1" applyFont="1" applyBorder="1" applyAlignment="1">
      <alignment horizontal="center"/>
    </xf>
    <xf numFmtId="176" fontId="12" fillId="7" borderId="138" xfId="0" applyNumberFormat="1" applyFont="1" applyFill="1" applyBorder="1" applyAlignment="1">
      <alignment horizontal="center" vertical="center"/>
    </xf>
    <xf numFmtId="188" fontId="24" fillId="0" borderId="98" xfId="0" applyNumberFormat="1" applyFont="1" applyBorder="1" applyAlignment="1">
      <alignment horizontal="center" vertical="center"/>
    </xf>
    <xf numFmtId="188" fontId="24" fillId="0" borderId="175" xfId="0" applyNumberFormat="1" applyFont="1" applyBorder="1" applyAlignment="1">
      <alignment horizontal="center" vertical="center"/>
    </xf>
    <xf numFmtId="188" fontId="24" fillId="0" borderId="172" xfId="0" applyNumberFormat="1" applyFont="1" applyBorder="1" applyAlignment="1">
      <alignment horizontal="center" vertical="center"/>
    </xf>
    <xf numFmtId="176" fontId="14" fillId="7" borderId="100" xfId="0" applyNumberFormat="1" applyFont="1" applyFill="1" applyBorder="1" applyAlignment="1">
      <alignment horizontal="center" vertical="center"/>
    </xf>
    <xf numFmtId="186" fontId="14" fillId="8" borderId="100" xfId="0" applyNumberFormat="1" applyFont="1" applyFill="1" applyBorder="1" applyAlignment="1">
      <alignment horizontal="center" vertical="center"/>
    </xf>
    <xf numFmtId="186" fontId="14" fillId="5" borderId="175" xfId="0" applyNumberFormat="1" applyFont="1" applyFill="1" applyBorder="1" applyAlignment="1">
      <alignment horizontal="center" vertical="center"/>
    </xf>
    <xf numFmtId="0" fontId="14" fillId="0" borderId="151" xfId="0" applyFont="1" applyBorder="1" applyAlignment="1">
      <alignment horizontal="center" vertical="center" wrapText="1"/>
    </xf>
    <xf numFmtId="0" fontId="12" fillId="0" borderId="3" xfId="0" applyFont="1" applyBorder="1">
      <alignment vertical="center"/>
    </xf>
    <xf numFmtId="189" fontId="12" fillId="0" borderId="134" xfId="0" applyNumberFormat="1" applyFont="1" applyBorder="1" applyAlignment="1"/>
    <xf numFmtId="188" fontId="12" fillId="3" borderId="9" xfId="0" applyNumberFormat="1" applyFont="1" applyFill="1" applyBorder="1" applyAlignment="1">
      <alignment horizontal="center"/>
    </xf>
    <xf numFmtId="176" fontId="61" fillId="7" borderId="79" xfId="0" applyNumberFormat="1" applyFont="1" applyFill="1" applyBorder="1" applyAlignment="1">
      <alignment horizontal="center" vertical="center"/>
    </xf>
    <xf numFmtId="176" fontId="14" fillId="9" borderId="137" xfId="0" applyNumberFormat="1" applyFont="1" applyFill="1" applyBorder="1" applyAlignment="1">
      <alignment horizontal="center" vertical="center"/>
    </xf>
    <xf numFmtId="186" fontId="14" fillId="5" borderId="137" xfId="0" applyNumberFormat="1" applyFont="1" applyFill="1" applyBorder="1" applyAlignment="1">
      <alignment horizontal="center" vertical="center"/>
    </xf>
    <xf numFmtId="176" fontId="61" fillId="7" borderId="138" xfId="0" applyNumberFormat="1" applyFont="1" applyFill="1" applyBorder="1" applyAlignment="1">
      <alignment horizontal="center" vertical="center"/>
    </xf>
    <xf numFmtId="186" fontId="14" fillId="5" borderId="7" xfId="0" applyNumberFormat="1" applyFont="1" applyFill="1" applyBorder="1" applyAlignment="1">
      <alignment horizontal="center" vertical="center"/>
    </xf>
    <xf numFmtId="0" fontId="12" fillId="3" borderId="3" xfId="0" applyFont="1" applyFill="1" applyBorder="1">
      <alignment vertical="center"/>
    </xf>
    <xf numFmtId="188" fontId="12" fillId="3" borderId="3" xfId="0" applyNumberFormat="1" applyFont="1" applyFill="1" applyBorder="1" applyAlignment="1">
      <alignment horizontal="center"/>
    </xf>
    <xf numFmtId="188" fontId="12" fillId="0" borderId="7" xfId="0" applyNumberFormat="1" applyFont="1" applyBorder="1" applyAlignment="1">
      <alignment horizontal="center"/>
    </xf>
    <xf numFmtId="0" fontId="14" fillId="0" borderId="140" xfId="0" applyFont="1" applyBorder="1" applyAlignment="1">
      <alignment horizontal="center" vertical="center" wrapText="1"/>
    </xf>
    <xf numFmtId="189" fontId="12" fillId="0" borderId="137" xfId="0" applyNumberFormat="1" applyFont="1" applyBorder="1" applyAlignment="1"/>
    <xf numFmtId="188" fontId="12" fillId="0" borderId="176" xfId="0" applyNumberFormat="1" applyFont="1" applyBorder="1" applyAlignment="1">
      <alignment horizontal="center"/>
    </xf>
    <xf numFmtId="0" fontId="58" fillId="2" borderId="138" xfId="0" applyFont="1" applyFill="1" applyBorder="1" applyAlignment="1">
      <alignment horizontal="center" vertical="center" wrapText="1"/>
    </xf>
    <xf numFmtId="0" fontId="22" fillId="2" borderId="3" xfId="0" applyFont="1" applyFill="1" applyBorder="1">
      <alignment vertical="center"/>
    </xf>
    <xf numFmtId="189" fontId="22" fillId="2" borderId="137" xfId="0" applyNumberFormat="1" applyFont="1" applyFill="1" applyBorder="1" applyAlignment="1"/>
    <xf numFmtId="187" fontId="22" fillId="2" borderId="138" xfId="0" applyNumberFormat="1" applyFont="1" applyFill="1" applyBorder="1" applyAlignment="1">
      <alignment horizontal="center"/>
    </xf>
    <xf numFmtId="188" fontId="22" fillId="2" borderId="3" xfId="0" applyNumberFormat="1" applyFont="1" applyFill="1" applyBorder="1" applyAlignment="1">
      <alignment horizontal="center"/>
    </xf>
    <xf numFmtId="188" fontId="22" fillId="2" borderId="137" xfId="0" applyNumberFormat="1" applyFont="1" applyFill="1" applyBorder="1" applyAlignment="1">
      <alignment horizontal="center"/>
    </xf>
    <xf numFmtId="188" fontId="22" fillId="2" borderId="7" xfId="0" applyNumberFormat="1" applyFont="1" applyFill="1" applyBorder="1" applyAlignment="1">
      <alignment horizontal="center"/>
    </xf>
    <xf numFmtId="188" fontId="22" fillId="2" borderId="177" xfId="0" applyNumberFormat="1" applyFont="1" applyFill="1" applyBorder="1" applyAlignment="1">
      <alignment horizontal="center"/>
    </xf>
    <xf numFmtId="176" fontId="22" fillId="2" borderId="79" xfId="0" applyNumberFormat="1" applyFont="1" applyFill="1" applyBorder="1" applyAlignment="1">
      <alignment horizontal="center" vertical="center"/>
    </xf>
    <xf numFmtId="176" fontId="22" fillId="2" borderId="3" xfId="0" applyNumberFormat="1" applyFont="1" applyFill="1" applyBorder="1" applyAlignment="1">
      <alignment horizontal="center" vertical="center"/>
    </xf>
    <xf numFmtId="176" fontId="58" fillId="2" borderId="137" xfId="0" applyNumberFormat="1" applyFont="1" applyFill="1" applyBorder="1" applyAlignment="1">
      <alignment horizontal="center" vertical="center"/>
    </xf>
    <xf numFmtId="186" fontId="22" fillId="2" borderId="138" xfId="0" applyNumberFormat="1" applyFont="1" applyFill="1" applyBorder="1" applyAlignment="1">
      <alignment horizontal="center" vertical="center"/>
    </xf>
    <xf numFmtId="186" fontId="22" fillId="2" borderId="3" xfId="0" applyNumberFormat="1" applyFont="1" applyFill="1" applyBorder="1" applyAlignment="1">
      <alignment horizontal="center" vertical="center"/>
    </xf>
    <xf numFmtId="186" fontId="58" fillId="2" borderId="137" xfId="0" applyNumberFormat="1" applyFont="1" applyFill="1" applyBorder="1" applyAlignment="1">
      <alignment horizontal="center" vertical="center"/>
    </xf>
    <xf numFmtId="176" fontId="22" fillId="2" borderId="138" xfId="0" applyNumberFormat="1" applyFont="1" applyFill="1" applyBorder="1" applyAlignment="1">
      <alignment horizontal="center" vertical="center"/>
    </xf>
    <xf numFmtId="186" fontId="22" fillId="2" borderId="79" xfId="0" applyNumberFormat="1" applyFont="1" applyFill="1" applyBorder="1" applyAlignment="1">
      <alignment horizontal="center" vertical="center"/>
    </xf>
    <xf numFmtId="186" fontId="58" fillId="2" borderId="7" xfId="0" applyNumberFormat="1" applyFont="1" applyFill="1" applyBorder="1" applyAlignment="1">
      <alignment horizontal="center" vertical="center"/>
    </xf>
    <xf numFmtId="0" fontId="70" fillId="2" borderId="0" xfId="0" applyFont="1" applyFill="1" applyAlignment="1">
      <alignment horizontal="center" vertical="center"/>
    </xf>
    <xf numFmtId="0" fontId="58" fillId="2" borderId="135" xfId="0" applyFont="1" applyFill="1" applyBorder="1" applyAlignment="1">
      <alignment horizontal="center" vertical="center" wrapText="1"/>
    </xf>
    <xf numFmtId="189" fontId="22" fillId="2" borderId="134" xfId="0" applyNumberFormat="1" applyFont="1" applyFill="1" applyBorder="1" applyAlignment="1"/>
    <xf numFmtId="188" fontId="22" fillId="2" borderId="125" xfId="0" applyNumberFormat="1" applyFont="1" applyFill="1" applyBorder="1" applyAlignment="1">
      <alignment horizontal="center"/>
    </xf>
    <xf numFmtId="188" fontId="22" fillId="2" borderId="136" xfId="0" applyNumberFormat="1" applyFont="1" applyFill="1" applyBorder="1" applyAlignment="1">
      <alignment horizontal="center"/>
    </xf>
    <xf numFmtId="188" fontId="22" fillId="2" borderId="178" xfId="0" applyNumberFormat="1" applyFont="1" applyFill="1" applyBorder="1" applyAlignment="1">
      <alignment horizontal="center"/>
    </xf>
    <xf numFmtId="188" fontId="22" fillId="2" borderId="179" xfId="0" applyNumberFormat="1" applyFont="1" applyFill="1" applyBorder="1" applyAlignment="1">
      <alignment horizontal="center"/>
    </xf>
    <xf numFmtId="176" fontId="22" fillId="2" borderId="180" xfId="0" applyNumberFormat="1" applyFont="1" applyFill="1" applyBorder="1" applyAlignment="1">
      <alignment horizontal="center" vertical="center"/>
    </xf>
    <xf numFmtId="176" fontId="22" fillId="2" borderId="125" xfId="0" applyNumberFormat="1" applyFont="1" applyFill="1" applyBorder="1" applyAlignment="1">
      <alignment horizontal="center" vertical="center"/>
    </xf>
    <xf numFmtId="176" fontId="58" fillId="2" borderId="134" xfId="0" applyNumberFormat="1" applyFont="1" applyFill="1" applyBorder="1" applyAlignment="1">
      <alignment horizontal="center" vertical="center"/>
    </xf>
    <xf numFmtId="186" fontId="14" fillId="8" borderId="127" xfId="0" applyNumberFormat="1" applyFont="1" applyFill="1" applyBorder="1" applyAlignment="1">
      <alignment horizontal="center" vertical="center"/>
    </xf>
    <xf numFmtId="189" fontId="12" fillId="0" borderId="139" xfId="0" applyNumberFormat="1" applyFont="1" applyBorder="1" applyAlignment="1"/>
    <xf numFmtId="187" fontId="12" fillId="0" borderId="118" xfId="0" applyNumberFormat="1" applyFont="1" applyBorder="1" applyAlignment="1">
      <alignment horizontal="center"/>
    </xf>
    <xf numFmtId="176" fontId="12" fillId="7" borderId="90" xfId="0" applyNumberFormat="1" applyFont="1" applyFill="1" applyBorder="1" applyAlignment="1">
      <alignment horizontal="center" vertical="center"/>
    </xf>
    <xf numFmtId="176" fontId="14" fillId="9" borderId="139" xfId="0" applyNumberFormat="1" applyFont="1" applyFill="1" applyBorder="1" applyAlignment="1">
      <alignment horizontal="center" vertical="center"/>
    </xf>
    <xf numFmtId="176" fontId="12" fillId="7" borderId="140" xfId="0" applyNumberFormat="1" applyFont="1" applyFill="1" applyBorder="1" applyAlignment="1">
      <alignment horizontal="center" vertical="center"/>
    </xf>
    <xf numFmtId="187" fontId="12" fillId="3" borderId="140" xfId="0" applyNumberFormat="1" applyFont="1" applyFill="1" applyBorder="1" applyAlignment="1">
      <alignment horizontal="center"/>
    </xf>
    <xf numFmtId="187" fontId="12" fillId="3" borderId="90" xfId="0" applyNumberFormat="1" applyFont="1" applyFill="1" applyBorder="1" applyAlignment="1">
      <alignment horizontal="center"/>
    </xf>
    <xf numFmtId="187" fontId="12" fillId="3" borderId="7" xfId="0" applyNumberFormat="1" applyFont="1" applyFill="1" applyBorder="1" applyAlignment="1">
      <alignment horizontal="center"/>
    </xf>
    <xf numFmtId="188" fontId="12" fillId="3" borderId="172" xfId="0" applyNumberFormat="1" applyFont="1" applyFill="1" applyBorder="1" applyAlignment="1">
      <alignment horizontal="center"/>
    </xf>
    <xf numFmtId="0" fontId="12" fillId="0" borderId="11" xfId="0" applyFont="1" applyBorder="1">
      <alignment vertical="center"/>
    </xf>
    <xf numFmtId="189" fontId="12" fillId="0" borderId="141" xfId="0" applyNumberFormat="1" applyFont="1" applyBorder="1" applyAlignment="1"/>
    <xf numFmtId="187" fontId="12" fillId="3" borderId="3" xfId="0" applyNumberFormat="1" applyFont="1" applyFill="1" applyBorder="1" applyAlignment="1">
      <alignment horizontal="center"/>
    </xf>
    <xf numFmtId="186" fontId="12" fillId="8" borderId="151" xfId="0" applyNumberFormat="1" applyFont="1" applyFill="1" applyBorder="1" applyAlignment="1">
      <alignment horizontal="center" vertical="center"/>
    </xf>
    <xf numFmtId="186" fontId="12" fillId="8" borderId="10" xfId="0" applyNumberFormat="1" applyFont="1" applyFill="1" applyBorder="1" applyAlignment="1">
      <alignment horizontal="center" vertical="center"/>
    </xf>
    <xf numFmtId="176" fontId="12" fillId="7" borderId="151" xfId="0" applyNumberFormat="1" applyFont="1" applyFill="1" applyBorder="1" applyAlignment="1">
      <alignment horizontal="center" vertical="center"/>
    </xf>
    <xf numFmtId="176" fontId="12" fillId="7" borderId="1" xfId="0" applyNumberFormat="1" applyFont="1" applyFill="1" applyBorder="1" applyAlignment="1">
      <alignment horizontal="center" vertical="center"/>
    </xf>
    <xf numFmtId="176" fontId="12" fillId="7" borderId="10" xfId="0" applyNumberFormat="1" applyFont="1" applyFill="1" applyBorder="1" applyAlignment="1">
      <alignment horizontal="center" vertical="center"/>
    </xf>
    <xf numFmtId="176" fontId="12" fillId="7" borderId="181" xfId="0" applyNumberFormat="1" applyFont="1" applyFill="1" applyBorder="1" applyAlignment="1">
      <alignment horizontal="center" vertical="center"/>
    </xf>
    <xf numFmtId="176" fontId="12" fillId="7" borderId="95" xfId="0" applyNumberFormat="1" applyFont="1" applyFill="1" applyBorder="1" applyAlignment="1">
      <alignment horizontal="center" vertical="center"/>
    </xf>
    <xf numFmtId="176" fontId="61" fillId="7" borderId="125" xfId="0" applyNumberFormat="1" applyFont="1" applyFill="1" applyBorder="1" applyAlignment="1">
      <alignment horizontal="center" vertical="center"/>
    </xf>
    <xf numFmtId="176" fontId="12" fillId="7" borderId="147" xfId="0" applyNumberFormat="1" applyFont="1" applyFill="1" applyBorder="1" applyAlignment="1">
      <alignment horizontal="center" vertical="center"/>
    </xf>
    <xf numFmtId="176" fontId="12" fillId="7" borderId="125" xfId="0" applyNumberFormat="1" applyFont="1" applyFill="1" applyBorder="1" applyAlignment="1">
      <alignment horizontal="center" vertical="center"/>
    </xf>
    <xf numFmtId="176" fontId="12" fillId="7" borderId="180" xfId="0" applyNumberFormat="1" applyFont="1" applyFill="1" applyBorder="1" applyAlignment="1">
      <alignment horizontal="center" vertical="center"/>
    </xf>
    <xf numFmtId="0" fontId="14" fillId="0" borderId="144" xfId="0" applyFont="1" applyBorder="1" applyAlignment="1">
      <alignment horizontal="center" vertical="center" wrapText="1"/>
    </xf>
    <xf numFmtId="186" fontId="61" fillId="8" borderId="138" xfId="0" applyNumberFormat="1" applyFont="1" applyFill="1" applyBorder="1" applyAlignment="1">
      <alignment horizontal="center" vertical="center"/>
    </xf>
    <xf numFmtId="186" fontId="61" fillId="8" borderId="79" xfId="0" applyNumberFormat="1" applyFont="1" applyFill="1" applyBorder="1" applyAlignment="1">
      <alignment horizontal="center" vertical="center"/>
    </xf>
    <xf numFmtId="0" fontId="14" fillId="0" borderId="138" xfId="0" applyFont="1" applyBorder="1" applyAlignment="1">
      <alignment horizontal="center" vertical="center" wrapText="1"/>
    </xf>
    <xf numFmtId="0" fontId="14" fillId="0" borderId="147" xfId="0" applyFont="1" applyBorder="1" applyAlignment="1">
      <alignment horizontal="center" vertical="center" wrapText="1"/>
    </xf>
    <xf numFmtId="0" fontId="12" fillId="3" borderId="4" xfId="0" applyFont="1" applyFill="1" applyBorder="1">
      <alignment vertical="center"/>
    </xf>
    <xf numFmtId="189" fontId="12" fillId="0" borderId="158" xfId="0" applyNumberFormat="1" applyFont="1" applyBorder="1" applyAlignment="1"/>
    <xf numFmtId="186" fontId="12" fillId="0" borderId="118" xfId="0" applyNumberFormat="1" applyFont="1" applyBorder="1" applyAlignment="1">
      <alignment horizontal="center"/>
    </xf>
    <xf numFmtId="186" fontId="12" fillId="0" borderId="172" xfId="0" applyNumberFormat="1" applyFont="1" applyBorder="1" applyAlignment="1">
      <alignment horizontal="center"/>
    </xf>
    <xf numFmtId="176" fontId="61" fillId="7" borderId="87" xfId="0" applyNumberFormat="1" applyFont="1" applyFill="1" applyBorder="1" applyAlignment="1">
      <alignment horizontal="center" vertical="center"/>
    </xf>
    <xf numFmtId="176" fontId="61" fillId="7" borderId="135" xfId="0" applyNumberFormat="1" applyFont="1" applyFill="1" applyBorder="1" applyAlignment="1">
      <alignment horizontal="center" vertical="center"/>
    </xf>
    <xf numFmtId="189" fontId="12" fillId="3" borderId="137" xfId="0" applyNumberFormat="1" applyFont="1" applyFill="1" applyBorder="1" applyAlignment="1"/>
    <xf numFmtId="187" fontId="12" fillId="0" borderId="7" xfId="0" applyNumberFormat="1" applyFont="1" applyBorder="1" applyAlignment="1">
      <alignment horizontal="center"/>
    </xf>
    <xf numFmtId="187" fontId="12" fillId="0" borderId="172" xfId="0" applyNumberFormat="1" applyFont="1" applyBorder="1" applyAlignment="1">
      <alignment horizontal="center"/>
    </xf>
    <xf numFmtId="41" fontId="12" fillId="7" borderId="79" xfId="0" applyNumberFormat="1" applyFont="1" applyFill="1" applyBorder="1" applyAlignment="1">
      <alignment horizontal="center" vertical="center"/>
    </xf>
    <xf numFmtId="41" fontId="12" fillId="7" borderId="3" xfId="0" applyNumberFormat="1" applyFont="1" applyFill="1" applyBorder="1" applyAlignment="1">
      <alignment horizontal="center" vertical="center"/>
    </xf>
    <xf numFmtId="176" fontId="14" fillId="9" borderId="119" xfId="0" applyNumberFormat="1" applyFont="1" applyFill="1" applyBorder="1" applyAlignment="1">
      <alignment horizontal="center" vertical="center"/>
    </xf>
    <xf numFmtId="0" fontId="14" fillId="3" borderId="138" xfId="0" applyFont="1" applyFill="1" applyBorder="1" applyAlignment="1">
      <alignment horizontal="center" vertical="center" wrapText="1"/>
    </xf>
    <xf numFmtId="189" fontId="12" fillId="2" borderId="137" xfId="0" applyNumberFormat="1" applyFont="1" applyFill="1" applyBorder="1" applyAlignment="1"/>
    <xf numFmtId="187" fontId="12" fillId="2" borderId="138" xfId="0" applyNumberFormat="1" applyFont="1" applyFill="1" applyBorder="1" applyAlignment="1">
      <alignment horizontal="center"/>
    </xf>
    <xf numFmtId="187" fontId="12" fillId="2" borderId="3" xfId="0" applyNumberFormat="1" applyFont="1" applyFill="1" applyBorder="1" applyAlignment="1">
      <alignment horizontal="center"/>
    </xf>
    <xf numFmtId="187" fontId="12" fillId="2" borderId="137" xfId="0" applyNumberFormat="1" applyFont="1" applyFill="1" applyBorder="1" applyAlignment="1">
      <alignment horizontal="center"/>
    </xf>
    <xf numFmtId="187" fontId="12" fillId="2" borderId="7" xfId="0" applyNumberFormat="1" applyFont="1" applyFill="1" applyBorder="1" applyAlignment="1">
      <alignment horizontal="center"/>
    </xf>
    <xf numFmtId="187" fontId="22" fillId="2" borderId="172" xfId="0" applyNumberFormat="1" applyFont="1" applyFill="1" applyBorder="1" applyAlignment="1">
      <alignment horizontal="center"/>
    </xf>
    <xf numFmtId="41" fontId="22" fillId="2" borderId="79" xfId="0" applyNumberFormat="1" applyFont="1" applyFill="1" applyBorder="1" applyAlignment="1">
      <alignment horizontal="center" vertical="center"/>
    </xf>
    <xf numFmtId="41" fontId="22" fillId="2" borderId="3" xfId="0" applyNumberFormat="1" applyFont="1" applyFill="1" applyBorder="1" applyAlignment="1">
      <alignment horizontal="center" vertical="center"/>
    </xf>
    <xf numFmtId="186" fontId="58" fillId="2" borderId="134" xfId="0" applyNumberFormat="1" applyFont="1" applyFill="1" applyBorder="1" applyAlignment="1">
      <alignment horizontal="center" vertical="center"/>
    </xf>
    <xf numFmtId="41" fontId="12" fillId="2" borderId="79" xfId="0" applyNumberFormat="1" applyFont="1" applyFill="1" applyBorder="1" applyAlignment="1">
      <alignment horizontal="center" vertical="center"/>
    </xf>
    <xf numFmtId="41" fontId="12" fillId="2" borderId="3" xfId="0" applyNumberFormat="1" applyFont="1" applyFill="1" applyBorder="1" applyAlignment="1">
      <alignment horizontal="center" vertical="center"/>
    </xf>
    <xf numFmtId="176" fontId="14" fillId="2" borderId="119" xfId="0" applyNumberFormat="1" applyFont="1" applyFill="1" applyBorder="1" applyAlignment="1">
      <alignment horizontal="center" vertical="center"/>
    </xf>
    <xf numFmtId="186" fontId="12" fillId="2" borderId="138" xfId="0" applyNumberFormat="1" applyFont="1" applyFill="1" applyBorder="1" applyAlignment="1">
      <alignment horizontal="center" vertical="center"/>
    </xf>
    <xf numFmtId="186" fontId="12" fillId="2" borderId="3" xfId="0" applyNumberFormat="1" applyFont="1" applyFill="1" applyBorder="1" applyAlignment="1">
      <alignment horizontal="center" vertical="center"/>
    </xf>
    <xf numFmtId="186" fontId="14" fillId="2" borderId="134" xfId="0" applyNumberFormat="1" applyFont="1" applyFill="1" applyBorder="1" applyAlignment="1">
      <alignment horizontal="center" vertical="center"/>
    </xf>
    <xf numFmtId="41" fontId="12" fillId="7" borderId="11" xfId="0" applyNumberFormat="1" applyFont="1" applyFill="1" applyBorder="1" applyAlignment="1">
      <alignment horizontal="center" vertical="center"/>
    </xf>
    <xf numFmtId="189" fontId="12" fillId="3" borderId="137" xfId="0" quotePrefix="1" applyNumberFormat="1" applyFont="1" applyFill="1" applyBorder="1" applyAlignment="1"/>
    <xf numFmtId="41" fontId="12" fillId="7" borderId="87" xfId="0" applyNumberFormat="1" applyFont="1" applyFill="1" applyBorder="1" applyAlignment="1">
      <alignment horizontal="center" vertical="center"/>
    </xf>
    <xf numFmtId="0" fontId="14" fillId="3" borderId="138" xfId="0" applyFont="1" applyFill="1" applyBorder="1" applyAlignment="1">
      <alignment horizontal="center" vertical="center"/>
    </xf>
    <xf numFmtId="189" fontId="12" fillId="2" borderId="137" xfId="0" quotePrefix="1" applyNumberFormat="1" applyFont="1" applyFill="1" applyBorder="1" applyAlignment="1"/>
    <xf numFmtId="188" fontId="12" fillId="2" borderId="3" xfId="0" applyNumberFormat="1" applyFont="1" applyFill="1" applyBorder="1" applyAlignment="1">
      <alignment horizontal="center"/>
    </xf>
    <xf numFmtId="188" fontId="12" fillId="2" borderId="137" xfId="0" applyNumberFormat="1" applyFont="1" applyFill="1" applyBorder="1" applyAlignment="1">
      <alignment horizontal="center"/>
    </xf>
    <xf numFmtId="188" fontId="12" fillId="2" borderId="7" xfId="0" applyNumberFormat="1" applyFont="1" applyFill="1" applyBorder="1" applyAlignment="1">
      <alignment horizontal="center"/>
    </xf>
    <xf numFmtId="188" fontId="12" fillId="2" borderId="172" xfId="0" applyNumberFormat="1" applyFont="1" applyFill="1" applyBorder="1" applyAlignment="1">
      <alignment horizontal="center"/>
    </xf>
    <xf numFmtId="41" fontId="61" fillId="2" borderId="87" xfId="0" applyNumberFormat="1" applyFont="1" applyFill="1" applyBorder="1" applyAlignment="1">
      <alignment horizontal="center" vertical="center"/>
    </xf>
    <xf numFmtId="41" fontId="61" fillId="2" borderId="11" xfId="0" applyNumberFormat="1" applyFont="1" applyFill="1" applyBorder="1" applyAlignment="1">
      <alignment horizontal="center" vertical="center"/>
    </xf>
    <xf numFmtId="176" fontId="14" fillId="2" borderId="134" xfId="0" applyNumberFormat="1" applyFont="1" applyFill="1" applyBorder="1" applyAlignment="1">
      <alignment horizontal="center" vertical="center"/>
    </xf>
    <xf numFmtId="41" fontId="12" fillId="2" borderId="87" xfId="0" applyNumberFormat="1" applyFont="1" applyFill="1" applyBorder="1" applyAlignment="1">
      <alignment horizontal="center" vertical="center"/>
    </xf>
    <xf numFmtId="41" fontId="12" fillId="2" borderId="11" xfId="0" applyNumberFormat="1" applyFont="1" applyFill="1" applyBorder="1" applyAlignment="1">
      <alignment horizontal="center" vertical="center"/>
    </xf>
    <xf numFmtId="186" fontId="12" fillId="2" borderId="7" xfId="0" applyNumberFormat="1" applyFont="1" applyFill="1" applyBorder="1" applyAlignment="1">
      <alignment horizontal="center" vertical="center"/>
    </xf>
    <xf numFmtId="186" fontId="14" fillId="2" borderId="179" xfId="0" applyNumberFormat="1" applyFont="1" applyFill="1" applyBorder="1" applyAlignment="1">
      <alignment horizontal="center" vertical="center"/>
    </xf>
    <xf numFmtId="0" fontId="67" fillId="2" borderId="0" xfId="0" applyFont="1" applyFill="1" applyAlignment="1">
      <alignment horizontal="center" vertical="center"/>
    </xf>
    <xf numFmtId="186" fontId="14" fillId="2" borderId="177" xfId="0" applyNumberFormat="1" applyFont="1" applyFill="1" applyBorder="1" applyAlignment="1">
      <alignment horizontal="center" vertical="center"/>
    </xf>
    <xf numFmtId="187" fontId="12" fillId="2" borderId="172" xfId="0" applyNumberFormat="1" applyFont="1" applyFill="1" applyBorder="1" applyAlignment="1">
      <alignment horizontal="center"/>
    </xf>
    <xf numFmtId="41" fontId="61" fillId="2" borderId="3" xfId="0" applyNumberFormat="1" applyFont="1" applyFill="1" applyBorder="1" applyAlignment="1">
      <alignment horizontal="center" vertical="center"/>
    </xf>
    <xf numFmtId="187" fontId="12" fillId="2" borderId="135" xfId="0" applyNumberFormat="1" applyFont="1" applyFill="1" applyBorder="1" applyAlignment="1">
      <alignment horizontal="center"/>
    </xf>
    <xf numFmtId="188" fontId="12" fillId="2" borderId="11" xfId="0" applyNumberFormat="1" applyFont="1" applyFill="1" applyBorder="1" applyAlignment="1">
      <alignment horizontal="center"/>
    </xf>
    <xf numFmtId="188" fontId="12" fillId="2" borderId="134" xfId="0" applyNumberFormat="1" applyFont="1" applyFill="1" applyBorder="1" applyAlignment="1">
      <alignment horizontal="center"/>
    </xf>
    <xf numFmtId="187" fontId="12" fillId="0" borderId="79" xfId="0" applyNumberFormat="1" applyFont="1" applyBorder="1" applyAlignment="1">
      <alignment horizontal="center"/>
    </xf>
    <xf numFmtId="41" fontId="85" fillId="7" borderId="3" xfId="0" applyNumberFormat="1" applyFont="1" applyFill="1" applyBorder="1" applyAlignment="1">
      <alignment horizontal="center" vertical="center"/>
    </xf>
    <xf numFmtId="188" fontId="12" fillId="0" borderId="79" xfId="0" applyNumberFormat="1" applyFont="1" applyBorder="1" applyAlignment="1">
      <alignment horizontal="center"/>
    </xf>
    <xf numFmtId="189" fontId="12" fillId="3" borderId="136" xfId="0" quotePrefix="1" applyNumberFormat="1" applyFont="1" applyFill="1" applyBorder="1" applyAlignment="1"/>
    <xf numFmtId="186" fontId="12" fillId="0" borderId="180" xfId="0" applyNumberFormat="1" applyFont="1" applyBorder="1" applyAlignment="1">
      <alignment horizontal="center"/>
    </xf>
    <xf numFmtId="186" fontId="12" fillId="0" borderId="125" xfId="0" applyNumberFormat="1" applyFont="1" applyBorder="1" applyAlignment="1">
      <alignment horizontal="center"/>
    </xf>
    <xf numFmtId="186" fontId="12" fillId="0" borderId="136" xfId="0" applyNumberFormat="1" applyFont="1" applyBorder="1" applyAlignment="1">
      <alignment horizontal="center"/>
    </xf>
    <xf numFmtId="186" fontId="12" fillId="0" borderId="147" xfId="0" applyNumberFormat="1" applyFont="1" applyBorder="1" applyAlignment="1">
      <alignment horizontal="center"/>
    </xf>
    <xf numFmtId="186" fontId="12" fillId="0" borderId="178" xfId="0" applyNumberFormat="1" applyFont="1" applyBorder="1" applyAlignment="1">
      <alignment horizontal="center"/>
    </xf>
    <xf numFmtId="177" fontId="12" fillId="8" borderId="3" xfId="0" applyNumberFormat="1" applyFont="1" applyFill="1" applyBorder="1" applyAlignment="1">
      <alignment horizontal="center" vertical="center"/>
    </xf>
    <xf numFmtId="176" fontId="14" fillId="9" borderId="175" xfId="0" applyNumberFormat="1" applyFont="1" applyFill="1" applyBorder="1" applyAlignment="1">
      <alignment horizontal="center" vertical="center"/>
    </xf>
    <xf numFmtId="41" fontId="61" fillId="7" borderId="135" xfId="0" applyNumberFormat="1" applyFont="1" applyFill="1" applyBorder="1" applyAlignment="1">
      <alignment horizontal="center" vertical="center"/>
    </xf>
    <xf numFmtId="188" fontId="12" fillId="0" borderId="119" xfId="0" applyNumberFormat="1" applyFont="1" applyBorder="1" applyAlignment="1">
      <alignment horizontal="center"/>
    </xf>
    <xf numFmtId="189" fontId="12" fillId="3" borderId="3" xfId="0" applyNumberFormat="1" applyFont="1" applyFill="1" applyBorder="1">
      <alignment vertical="center"/>
    </xf>
    <xf numFmtId="0" fontId="12" fillId="3" borderId="3" xfId="0" quotePrefix="1" applyFont="1" applyFill="1" applyBorder="1">
      <alignment vertical="center"/>
    </xf>
    <xf numFmtId="189" fontId="12" fillId="0" borderId="137" xfId="0" quotePrefix="1" applyNumberFormat="1" applyFont="1" applyBorder="1" applyAlignment="1"/>
    <xf numFmtId="0" fontId="12" fillId="0" borderId="3" xfId="0" quotePrefix="1" applyFont="1" applyBorder="1">
      <alignment vertical="center"/>
    </xf>
    <xf numFmtId="188" fontId="12" fillId="2" borderId="135" xfId="0" applyNumberFormat="1" applyFont="1" applyFill="1" applyBorder="1" applyAlignment="1">
      <alignment horizontal="center"/>
    </xf>
    <xf numFmtId="2" fontId="12" fillId="2" borderId="138" xfId="0" quotePrefix="1" applyNumberFormat="1" applyFont="1" applyFill="1" applyBorder="1">
      <alignment vertical="center"/>
    </xf>
    <xf numFmtId="2" fontId="12" fillId="2" borderId="3" xfId="0" quotePrefix="1" applyNumberFormat="1" applyFont="1" applyFill="1" applyBorder="1">
      <alignment vertical="center"/>
    </xf>
    <xf numFmtId="2" fontId="12" fillId="2" borderId="7" xfId="0" quotePrefix="1" applyNumberFormat="1" applyFont="1" applyFill="1" applyBorder="1">
      <alignment vertical="center"/>
    </xf>
    <xf numFmtId="41" fontId="61" fillId="2" borderId="135" xfId="0" applyNumberFormat="1" applyFont="1" applyFill="1" applyBorder="1" applyAlignment="1">
      <alignment horizontal="center" vertical="center"/>
    </xf>
    <xf numFmtId="186" fontId="12" fillId="2" borderId="79" xfId="0" applyNumberFormat="1" applyFont="1" applyFill="1" applyBorder="1" applyAlignment="1">
      <alignment horizontal="center" vertical="center"/>
    </xf>
    <xf numFmtId="186" fontId="14" fillId="2" borderId="119" xfId="0" applyNumberFormat="1" applyFont="1" applyFill="1" applyBorder="1" applyAlignment="1">
      <alignment horizontal="center" vertical="center"/>
    </xf>
    <xf numFmtId="188" fontId="12" fillId="2" borderId="87" xfId="0" applyNumberFormat="1" applyFont="1" applyFill="1" applyBorder="1" applyAlignment="1">
      <alignment horizontal="center"/>
    </xf>
    <xf numFmtId="41" fontId="12" fillId="2" borderId="135" xfId="0" applyNumberFormat="1" applyFont="1" applyFill="1" applyBorder="1" applyAlignment="1">
      <alignment horizontal="center" vertical="center"/>
    </xf>
    <xf numFmtId="188" fontId="12" fillId="0" borderId="87" xfId="0" applyNumberFormat="1" applyFont="1" applyBorder="1" applyAlignment="1">
      <alignment horizontal="center"/>
    </xf>
    <xf numFmtId="186" fontId="12" fillId="8" borderId="7" xfId="0" applyNumberFormat="1" applyFont="1" applyFill="1" applyBorder="1" applyAlignment="1">
      <alignment horizontal="center" vertical="center"/>
    </xf>
    <xf numFmtId="186" fontId="14" fillId="5" borderId="179" xfId="0" applyNumberFormat="1" applyFont="1" applyFill="1" applyBorder="1" applyAlignment="1">
      <alignment horizontal="center" vertical="center"/>
    </xf>
    <xf numFmtId="189" fontId="12" fillId="0" borderId="137" xfId="0" applyNumberFormat="1" applyFont="1" applyBorder="1">
      <alignment vertical="center"/>
    </xf>
    <xf numFmtId="188" fontId="12" fillId="0" borderId="135" xfId="0" applyNumberFormat="1" applyFont="1" applyBorder="1" applyAlignment="1">
      <alignment horizontal="center" vertical="center"/>
    </xf>
    <xf numFmtId="188" fontId="12" fillId="0" borderId="11" xfId="0" applyNumberFormat="1" applyFont="1" applyBorder="1" applyAlignment="1">
      <alignment horizontal="center" vertical="center"/>
    </xf>
    <xf numFmtId="188" fontId="12" fillId="0" borderId="134" xfId="0" applyNumberFormat="1" applyFont="1" applyBorder="1" applyAlignment="1">
      <alignment horizontal="center" vertical="center"/>
    </xf>
    <xf numFmtId="188" fontId="12" fillId="0" borderId="119" xfId="0" applyNumberFormat="1" applyFont="1" applyBorder="1" applyAlignment="1">
      <alignment horizontal="center" vertical="center"/>
    </xf>
    <xf numFmtId="189" fontId="12" fillId="2" borderId="137" xfId="0" applyNumberFormat="1" applyFont="1" applyFill="1" applyBorder="1">
      <alignment vertical="center"/>
    </xf>
    <xf numFmtId="188" fontId="12" fillId="2" borderId="135" xfId="0" applyNumberFormat="1" applyFont="1" applyFill="1" applyBorder="1" applyAlignment="1">
      <alignment horizontal="center" vertical="center"/>
    </xf>
    <xf numFmtId="188" fontId="12" fillId="2" borderId="11" xfId="0" applyNumberFormat="1" applyFont="1" applyFill="1" applyBorder="1" applyAlignment="1">
      <alignment horizontal="center" vertical="center"/>
    </xf>
    <xf numFmtId="188" fontId="12" fillId="2" borderId="134" xfId="0" applyNumberFormat="1" applyFont="1" applyFill="1" applyBorder="1" applyAlignment="1">
      <alignment horizontal="center" vertical="center"/>
    </xf>
    <xf numFmtId="188" fontId="12" fillId="2" borderId="119" xfId="0" applyNumberFormat="1" applyFont="1" applyFill="1" applyBorder="1" applyAlignment="1">
      <alignment horizontal="center" vertical="center"/>
    </xf>
    <xf numFmtId="189" fontId="12" fillId="0" borderId="3" xfId="0" applyNumberFormat="1" applyFont="1" applyBorder="1">
      <alignment vertical="center"/>
    </xf>
    <xf numFmtId="176" fontId="12" fillId="7" borderId="87" xfId="0" applyNumberFormat="1" applyFont="1" applyFill="1" applyBorder="1" applyAlignment="1">
      <alignment horizontal="center" vertical="center"/>
    </xf>
    <xf numFmtId="176" fontId="12" fillId="7" borderId="135" xfId="0" applyNumberFormat="1" applyFont="1" applyFill="1" applyBorder="1" applyAlignment="1">
      <alignment horizontal="center" vertical="center"/>
    </xf>
    <xf numFmtId="0" fontId="86" fillId="0" borderId="3" xfId="0" applyFont="1" applyBorder="1">
      <alignment vertical="center"/>
    </xf>
    <xf numFmtId="189" fontId="86" fillId="0" borderId="137" xfId="0" applyNumberFormat="1" applyFont="1" applyBorder="1" applyAlignment="1"/>
    <xf numFmtId="187" fontId="86" fillId="0" borderId="144" xfId="0" applyNumberFormat="1" applyFont="1" applyBorder="1" applyAlignment="1">
      <alignment horizontal="center"/>
    </xf>
    <xf numFmtId="187" fontId="86" fillId="0" borderId="103" xfId="0" applyNumberFormat="1" applyFont="1" applyBorder="1" applyAlignment="1">
      <alignment horizontal="center"/>
    </xf>
    <xf numFmtId="187" fontId="78" fillId="0" borderId="103" xfId="0" applyNumberFormat="1" applyFont="1" applyBorder="1" applyAlignment="1">
      <alignment horizontal="center"/>
    </xf>
    <xf numFmtId="187" fontId="86" fillId="0" borderId="139" xfId="0" applyNumberFormat="1" applyFont="1" applyBorder="1" applyAlignment="1">
      <alignment horizontal="center"/>
    </xf>
    <xf numFmtId="187" fontId="86" fillId="0" borderId="182" xfId="0" applyNumberFormat="1" applyFont="1" applyBorder="1" applyAlignment="1">
      <alignment horizontal="center"/>
    </xf>
    <xf numFmtId="187" fontId="86" fillId="0" borderId="172" xfId="0" applyNumberFormat="1" applyFont="1" applyBorder="1" applyAlignment="1">
      <alignment horizontal="center"/>
    </xf>
    <xf numFmtId="176" fontId="86" fillId="7" borderId="79" xfId="0" applyNumberFormat="1" applyFont="1" applyFill="1" applyBorder="1" applyAlignment="1">
      <alignment horizontal="center" vertical="center"/>
    </xf>
    <xf numFmtId="176" fontId="86" fillId="7" borderId="3" xfId="0" applyNumberFormat="1" applyFont="1" applyFill="1" applyBorder="1" applyAlignment="1">
      <alignment horizontal="center" vertical="center"/>
    </xf>
    <xf numFmtId="176" fontId="86" fillId="9" borderId="134" xfId="0" applyNumberFormat="1" applyFont="1" applyFill="1" applyBorder="1" applyAlignment="1">
      <alignment horizontal="center" vertical="center"/>
    </xf>
    <xf numFmtId="186" fontId="86" fillId="8" borderId="138" xfId="0" applyNumberFormat="1" applyFont="1" applyFill="1" applyBorder="1" applyAlignment="1">
      <alignment horizontal="center" vertical="center"/>
    </xf>
    <xf numFmtId="186" fontId="86" fillId="8" borderId="3" xfId="0" applyNumberFormat="1" applyFont="1" applyFill="1" applyBorder="1" applyAlignment="1">
      <alignment horizontal="center" vertical="center"/>
    </xf>
    <xf numFmtId="186" fontId="86" fillId="5" borderId="134" xfId="0" applyNumberFormat="1" applyFont="1" applyFill="1" applyBorder="1" applyAlignment="1">
      <alignment horizontal="center" vertical="center"/>
    </xf>
    <xf numFmtId="176" fontId="86" fillId="7" borderId="138" xfId="0" applyNumberFormat="1" applyFont="1" applyFill="1" applyBorder="1" applyAlignment="1">
      <alignment horizontal="center" vertical="center"/>
    </xf>
    <xf numFmtId="186" fontId="86" fillId="8" borderId="79" xfId="0" applyNumberFormat="1" applyFont="1" applyFill="1" applyBorder="1" applyAlignment="1">
      <alignment horizontal="center" vertical="center"/>
    </xf>
    <xf numFmtId="186" fontId="86" fillId="5" borderId="119" xfId="0" applyNumberFormat="1" applyFont="1" applyFill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187" fontId="86" fillId="0" borderId="140" xfId="0" applyNumberFormat="1" applyFont="1" applyBorder="1" applyAlignment="1">
      <alignment horizontal="center"/>
    </xf>
    <xf numFmtId="187" fontId="86" fillId="0" borderId="3" xfId="0" applyNumberFormat="1" applyFont="1" applyBorder="1" applyAlignment="1">
      <alignment horizontal="center"/>
    </xf>
    <xf numFmtId="187" fontId="78" fillId="0" borderId="3" xfId="0" applyNumberFormat="1" applyFont="1" applyBorder="1" applyAlignment="1">
      <alignment horizontal="center"/>
    </xf>
    <xf numFmtId="187" fontId="86" fillId="0" borderId="137" xfId="0" applyNumberFormat="1" applyFont="1" applyBorder="1" applyAlignment="1">
      <alignment horizontal="center"/>
    </xf>
    <xf numFmtId="187" fontId="86" fillId="0" borderId="9" xfId="0" applyNumberFormat="1" applyFont="1" applyBorder="1" applyAlignment="1">
      <alignment horizontal="center"/>
    </xf>
    <xf numFmtId="187" fontId="86" fillId="0" borderId="118" xfId="0" applyNumberFormat="1" applyFont="1" applyBorder="1" applyAlignment="1">
      <alignment horizontal="center"/>
    </xf>
    <xf numFmtId="176" fontId="88" fillId="7" borderId="79" xfId="0" applyNumberFormat="1" applyFont="1" applyFill="1" applyBorder="1" applyAlignment="1">
      <alignment horizontal="center" vertical="center"/>
    </xf>
    <xf numFmtId="187" fontId="86" fillId="0" borderId="138" xfId="0" applyNumberFormat="1" applyFont="1" applyBorder="1" applyAlignment="1">
      <alignment horizontal="center"/>
    </xf>
    <xf numFmtId="187" fontId="86" fillId="0" borderId="7" xfId="0" applyNumberFormat="1" applyFont="1" applyBorder="1" applyAlignment="1">
      <alignment horizontal="center"/>
    </xf>
    <xf numFmtId="176" fontId="88" fillId="7" borderId="3" xfId="0" applyNumberFormat="1" applyFont="1" applyFill="1" applyBorder="1" applyAlignment="1">
      <alignment horizontal="center" vertical="center"/>
    </xf>
    <xf numFmtId="0" fontId="14" fillId="3" borderId="135" xfId="0" applyFont="1" applyFill="1" applyBorder="1" applyAlignment="1">
      <alignment horizontal="center" vertical="center" wrapText="1"/>
    </xf>
    <xf numFmtId="187" fontId="22" fillId="2" borderId="11" xfId="0" applyNumberFormat="1" applyFont="1" applyFill="1" applyBorder="1" applyAlignment="1">
      <alignment horizontal="center"/>
    </xf>
    <xf numFmtId="187" fontId="22" fillId="2" borderId="134" xfId="0" applyNumberFormat="1" applyFont="1" applyFill="1" applyBorder="1" applyAlignment="1">
      <alignment horizontal="center"/>
    </xf>
    <xf numFmtId="187" fontId="22" fillId="2" borderId="3" xfId="0" applyNumberFormat="1" applyFont="1" applyFill="1" applyBorder="1" applyAlignment="1">
      <alignment horizontal="center"/>
    </xf>
    <xf numFmtId="187" fontId="22" fillId="2" borderId="7" xfId="0" applyNumberFormat="1" applyFont="1" applyFill="1" applyBorder="1" applyAlignment="1">
      <alignment horizontal="center"/>
    </xf>
    <xf numFmtId="176" fontId="58" fillId="2" borderId="119" xfId="0" applyNumberFormat="1" applyFont="1" applyFill="1" applyBorder="1" applyAlignment="1">
      <alignment horizontal="center" vertical="center"/>
    </xf>
    <xf numFmtId="0" fontId="14" fillId="0" borderId="151" xfId="0" applyFont="1" applyBorder="1" applyAlignment="1">
      <alignment horizontal="center" vertical="center"/>
    </xf>
    <xf numFmtId="0" fontId="12" fillId="3" borderId="9" xfId="0" applyFont="1" applyFill="1" applyBorder="1">
      <alignment vertical="center"/>
    </xf>
    <xf numFmtId="188" fontId="12" fillId="0" borderId="182" xfId="0" applyNumberFormat="1" applyFont="1" applyBorder="1" applyAlignment="1">
      <alignment horizontal="center"/>
    </xf>
    <xf numFmtId="0" fontId="14" fillId="2" borderId="151" xfId="0" applyFont="1" applyFill="1" applyBorder="1" applyAlignment="1">
      <alignment horizontal="center" vertical="center"/>
    </xf>
    <xf numFmtId="0" fontId="12" fillId="2" borderId="3" xfId="0" applyFont="1" applyFill="1" applyBorder="1">
      <alignment vertical="center"/>
    </xf>
    <xf numFmtId="188" fontId="12" fillId="2" borderId="140" xfId="0" applyNumberFormat="1" applyFont="1" applyFill="1" applyBorder="1" applyAlignment="1">
      <alignment horizontal="center"/>
    </xf>
    <xf numFmtId="188" fontId="12" fillId="2" borderId="9" xfId="0" applyNumberFormat="1" applyFont="1" applyFill="1" applyBorder="1" applyAlignment="1">
      <alignment horizontal="center"/>
    </xf>
    <xf numFmtId="188" fontId="12" fillId="2" borderId="141" xfId="0" applyNumberFormat="1" applyFont="1" applyFill="1" applyBorder="1" applyAlignment="1">
      <alignment horizontal="center"/>
    </xf>
    <xf numFmtId="188" fontId="12" fillId="2" borderId="118" xfId="0" applyNumberFormat="1" applyFont="1" applyFill="1" applyBorder="1" applyAlignment="1">
      <alignment horizontal="center"/>
    </xf>
    <xf numFmtId="176" fontId="12" fillId="2" borderId="79" xfId="0" applyNumberFormat="1" applyFont="1" applyFill="1" applyBorder="1" applyAlignment="1">
      <alignment horizontal="center" vertical="center"/>
    </xf>
    <xf numFmtId="176" fontId="12" fillId="2" borderId="3" xfId="0" applyNumberFormat="1" applyFont="1" applyFill="1" applyBorder="1" applyAlignment="1">
      <alignment horizontal="center" vertical="center"/>
    </xf>
    <xf numFmtId="176" fontId="12" fillId="2" borderId="87" xfId="0" applyNumberFormat="1" applyFont="1" applyFill="1" applyBorder="1" applyAlignment="1">
      <alignment horizontal="center" vertical="center"/>
    </xf>
    <xf numFmtId="176" fontId="12" fillId="2" borderId="11" xfId="0" applyNumberFormat="1" applyFont="1" applyFill="1" applyBorder="1" applyAlignment="1">
      <alignment horizontal="center" vertical="center"/>
    </xf>
    <xf numFmtId="207" fontId="14" fillId="7" borderId="105" xfId="0" applyNumberFormat="1" applyFont="1" applyFill="1" applyBorder="1" applyAlignment="1">
      <alignment horizontal="center" vertical="center"/>
    </xf>
    <xf numFmtId="0" fontId="14" fillId="0" borderId="101" xfId="0" applyFont="1" applyBorder="1" applyAlignment="1">
      <alignment horizontal="center" vertical="center"/>
    </xf>
    <xf numFmtId="0" fontId="61" fillId="0" borderId="99" xfId="0" applyFont="1" applyBorder="1">
      <alignment vertical="center"/>
    </xf>
    <xf numFmtId="0" fontId="61" fillId="0" borderId="100" xfId="0" applyFont="1" applyBorder="1">
      <alignment vertical="center"/>
    </xf>
    <xf numFmtId="188" fontId="12" fillId="0" borderId="183" xfId="0" applyNumberFormat="1" applyFont="1" applyBorder="1" applyAlignment="1">
      <alignment horizontal="center"/>
    </xf>
    <xf numFmtId="176" fontId="14" fillId="7" borderId="79" xfId="0" applyNumberFormat="1" applyFont="1" applyFill="1" applyBorder="1" applyAlignment="1">
      <alignment horizontal="center" vertical="center"/>
    </xf>
    <xf numFmtId="176" fontId="14" fillId="7" borderId="3" xfId="0" applyNumberFormat="1" applyFont="1" applyFill="1" applyBorder="1" applyAlignment="1">
      <alignment horizontal="center" vertical="center"/>
    </xf>
    <xf numFmtId="176" fontId="14" fillId="7" borderId="138" xfId="0" applyNumberFormat="1" applyFont="1" applyFill="1" applyBorder="1" applyAlignment="1">
      <alignment horizontal="center" vertical="center"/>
    </xf>
    <xf numFmtId="186" fontId="12" fillId="8" borderId="101" xfId="0" applyNumberFormat="1" applyFont="1" applyFill="1" applyBorder="1" applyAlignment="1">
      <alignment horizontal="center" vertical="center"/>
    </xf>
    <xf numFmtId="186" fontId="12" fillId="8" borderId="99" xfId="0" applyNumberFormat="1" applyFont="1" applyFill="1" applyBorder="1" applyAlignment="1">
      <alignment horizontal="center" vertical="center"/>
    </xf>
    <xf numFmtId="0" fontId="14" fillId="0" borderId="175" xfId="0" applyFont="1" applyBorder="1" applyAlignment="1">
      <alignment horizontal="center" vertical="center"/>
    </xf>
    <xf numFmtId="0" fontId="12" fillId="0" borderId="99" xfId="0" applyFont="1" applyBorder="1">
      <alignment vertical="center"/>
    </xf>
    <xf numFmtId="0" fontId="24" fillId="0" borderId="100" xfId="0" applyFont="1" applyBorder="1">
      <alignment vertical="center"/>
    </xf>
    <xf numFmtId="176" fontId="14" fillId="7" borderId="127" xfId="0" applyNumberFormat="1" applyFont="1" applyFill="1" applyBorder="1" applyAlignment="1">
      <alignment horizontal="center" vertical="center"/>
    </xf>
    <xf numFmtId="186" fontId="12" fillId="8" borderId="140" xfId="0" applyNumberFormat="1" applyFont="1" applyFill="1" applyBorder="1" applyAlignment="1">
      <alignment horizontal="center" vertical="center"/>
    </xf>
    <xf numFmtId="186" fontId="12" fillId="8" borderId="127" xfId="0" applyNumberFormat="1" applyFont="1" applyFill="1" applyBorder="1" applyAlignment="1">
      <alignment horizontal="center" vertical="center"/>
    </xf>
    <xf numFmtId="188" fontId="24" fillId="0" borderId="184" xfId="0" applyNumberFormat="1" applyFont="1" applyBorder="1" applyAlignment="1">
      <alignment horizontal="center" vertical="center"/>
    </xf>
    <xf numFmtId="186" fontId="14" fillId="8" borderId="175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right" vertical="center"/>
    </xf>
    <xf numFmtId="180" fontId="67" fillId="0" borderId="0" xfId="0" applyNumberFormat="1" applyFont="1" applyAlignment="1">
      <alignment horizontal="center" vertical="center"/>
    </xf>
    <xf numFmtId="186" fontId="67" fillId="0" borderId="0" xfId="0" applyNumberFormat="1" applyFont="1" applyAlignment="1">
      <alignment horizontal="center" vertical="center"/>
    </xf>
    <xf numFmtId="2" fontId="67" fillId="0" borderId="0" xfId="0" applyNumberFormat="1" applyFont="1" applyAlignment="1">
      <alignment horizontal="center" vertical="center"/>
    </xf>
    <xf numFmtId="0" fontId="17" fillId="3" borderId="28" xfId="0" applyFont="1" applyFill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8" xfId="0" applyFont="1" applyBorder="1" applyAlignment="1">
      <alignment horizontal="left" vertical="center" wrapText="1"/>
    </xf>
    <xf numFmtId="0" fontId="9" fillId="3" borderId="28" xfId="0" quotePrefix="1" applyFont="1" applyFill="1" applyBorder="1">
      <alignment vertical="center"/>
    </xf>
    <xf numFmtId="41" fontId="31" fillId="3" borderId="28" xfId="0" applyNumberFormat="1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 wrapText="1"/>
    </xf>
    <xf numFmtId="0" fontId="17" fillId="3" borderId="48" xfId="0" quotePrefix="1" applyFont="1" applyFill="1" applyBorder="1">
      <alignment vertical="center"/>
    </xf>
    <xf numFmtId="0" fontId="17" fillId="3" borderId="48" xfId="0" quotePrefix="1" applyFont="1" applyFill="1" applyBorder="1" applyAlignment="1">
      <alignment vertical="center" wrapText="1"/>
    </xf>
    <xf numFmtId="41" fontId="90" fillId="3" borderId="28" xfId="0" applyNumberFormat="1" applyFont="1" applyFill="1" applyBorder="1" applyAlignment="1">
      <alignment horizontal="center" vertical="center"/>
    </xf>
    <xf numFmtId="0" fontId="17" fillId="3" borderId="28" xfId="0" quotePrefix="1" applyFont="1" applyFill="1" applyBorder="1" applyAlignment="1">
      <alignment vertical="center" wrapText="1"/>
    </xf>
    <xf numFmtId="204" fontId="90" fillId="3" borderId="28" xfId="0" applyNumberFormat="1" applyFont="1" applyFill="1" applyBorder="1" applyAlignment="1">
      <alignment horizontal="left" vertical="center" shrinkToFit="1"/>
    </xf>
    <xf numFmtId="0" fontId="17" fillId="3" borderId="28" xfId="0" quotePrefix="1" applyFont="1" applyFill="1" applyBorder="1">
      <alignment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86" fontId="21" fillId="3" borderId="0" xfId="0" applyNumberFormat="1" applyFont="1" applyFill="1">
      <alignment vertical="center"/>
    </xf>
    <xf numFmtId="41" fontId="10" fillId="4" borderId="5" xfId="0" applyNumberFormat="1" applyFont="1" applyFill="1" applyBorder="1" applyAlignment="1">
      <alignment horizontal="left" vertical="center"/>
    </xf>
    <xf numFmtId="183" fontId="10" fillId="0" borderId="0" xfId="0" applyNumberFormat="1" applyFont="1">
      <alignment vertical="center"/>
    </xf>
    <xf numFmtId="183" fontId="21" fillId="0" borderId="0" xfId="0" applyNumberFormat="1" applyFont="1">
      <alignment vertical="center"/>
    </xf>
    <xf numFmtId="41" fontId="11" fillId="23" borderId="78" xfId="0" applyNumberFormat="1" applyFont="1" applyFill="1" applyBorder="1">
      <alignment vertical="center"/>
    </xf>
    <xf numFmtId="41" fontId="11" fillId="23" borderId="77" xfId="0" applyNumberFormat="1" applyFont="1" applyFill="1" applyBorder="1">
      <alignment vertical="center"/>
    </xf>
    <xf numFmtId="41" fontId="11" fillId="23" borderId="49" xfId="0" applyNumberFormat="1" applyFont="1" applyFill="1" applyBorder="1">
      <alignment vertical="center"/>
    </xf>
    <xf numFmtId="41" fontId="14" fillId="23" borderId="78" xfId="0" applyNumberFormat="1" applyFont="1" applyFill="1" applyBorder="1">
      <alignment vertical="center"/>
    </xf>
    <xf numFmtId="41" fontId="14" fillId="23" borderId="77" xfId="0" applyNumberFormat="1" applyFont="1" applyFill="1" applyBorder="1">
      <alignment vertical="center"/>
    </xf>
    <xf numFmtId="41" fontId="14" fillId="23" borderId="49" xfId="0" applyNumberFormat="1" applyFont="1" applyFill="1" applyBorder="1">
      <alignment vertical="center"/>
    </xf>
    <xf numFmtId="41" fontId="12" fillId="2" borderId="69" xfId="0" applyNumberFormat="1" applyFont="1" applyFill="1" applyBorder="1">
      <alignment vertical="center"/>
    </xf>
    <xf numFmtId="41" fontId="12" fillId="2" borderId="55" xfId="0" applyNumberFormat="1" applyFont="1" applyFill="1" applyBorder="1">
      <alignment vertical="center"/>
    </xf>
    <xf numFmtId="41" fontId="12" fillId="2" borderId="1" xfId="0" applyNumberFormat="1" applyFont="1" applyFill="1" applyBorder="1">
      <alignment vertical="center"/>
    </xf>
    <xf numFmtId="183" fontId="10" fillId="2" borderId="47" xfId="0" applyNumberFormat="1" applyFont="1" applyFill="1" applyBorder="1">
      <alignment vertical="center"/>
    </xf>
    <xf numFmtId="0" fontId="11" fillId="4" borderId="41" xfId="0" applyFont="1" applyFill="1" applyBorder="1" applyAlignment="1">
      <alignment horizontal="center" vertical="center"/>
    </xf>
    <xf numFmtId="0" fontId="11" fillId="4" borderId="112" xfId="0" applyFont="1" applyFill="1" applyBorder="1" applyAlignment="1">
      <alignment horizontal="center" vertical="center"/>
    </xf>
    <xf numFmtId="0" fontId="11" fillId="4" borderId="41" xfId="0" applyFont="1" applyFill="1" applyBorder="1" applyAlignment="1">
      <alignment horizontal="left" vertical="center"/>
    </xf>
    <xf numFmtId="41" fontId="11" fillId="4" borderId="148" xfId="0" applyNumberFormat="1" applyFont="1" applyFill="1" applyBorder="1" applyAlignment="1">
      <alignment horizontal="center" vertical="center" wrapText="1"/>
    </xf>
    <xf numFmtId="41" fontId="10" fillId="2" borderId="55" xfId="0" applyNumberFormat="1" applyFont="1" applyFill="1" applyBorder="1">
      <alignment vertical="center"/>
    </xf>
    <xf numFmtId="41" fontId="10" fillId="2" borderId="1" xfId="0" applyNumberFormat="1" applyFont="1" applyFill="1" applyBorder="1">
      <alignment vertical="center"/>
    </xf>
    <xf numFmtId="41" fontId="10" fillId="2" borderId="69" xfId="0" applyNumberFormat="1" applyFont="1" applyFill="1" applyBorder="1">
      <alignment vertical="center"/>
    </xf>
    <xf numFmtId="41" fontId="10" fillId="2" borderId="21" xfId="0" applyNumberFormat="1" applyFont="1" applyFill="1" applyBorder="1">
      <alignment vertical="center"/>
    </xf>
    <xf numFmtId="183" fontId="10" fillId="2" borderId="56" xfId="0" applyNumberFormat="1" applyFont="1" applyFill="1" applyBorder="1">
      <alignment vertical="center"/>
    </xf>
    <xf numFmtId="183" fontId="10" fillId="2" borderId="5" xfId="0" applyNumberFormat="1" applyFont="1" applyFill="1" applyBorder="1">
      <alignment vertical="center"/>
    </xf>
    <xf numFmtId="41" fontId="10" fillId="3" borderId="109" xfId="0" applyNumberFormat="1" applyFont="1" applyFill="1" applyBorder="1" applyAlignment="1">
      <alignment horizontal="center" vertical="center"/>
    </xf>
    <xf numFmtId="41" fontId="10" fillId="3" borderId="112" xfId="0" applyNumberFormat="1" applyFont="1" applyFill="1" applyBorder="1" applyAlignment="1">
      <alignment horizontal="center" vertical="center"/>
    </xf>
    <xf numFmtId="41" fontId="10" fillId="3" borderId="32" xfId="0" applyNumberFormat="1" applyFont="1" applyFill="1" applyBorder="1" applyAlignment="1">
      <alignment horizontal="center" vertical="center"/>
    </xf>
    <xf numFmtId="41" fontId="10" fillId="3" borderId="36" xfId="0" applyNumberFormat="1" applyFont="1" applyFill="1" applyBorder="1" applyAlignment="1">
      <alignment horizontal="center" vertical="center"/>
    </xf>
    <xf numFmtId="41" fontId="10" fillId="2" borderId="109" xfId="0" applyNumberFormat="1" applyFont="1" applyFill="1" applyBorder="1" applyAlignment="1">
      <alignment horizontal="center" vertical="center"/>
    </xf>
    <xf numFmtId="41" fontId="10" fillId="2" borderId="112" xfId="0" applyNumberFormat="1" applyFont="1" applyFill="1" applyBorder="1" applyAlignment="1">
      <alignment horizontal="center" vertical="center"/>
    </xf>
    <xf numFmtId="41" fontId="10" fillId="2" borderId="32" xfId="0" applyNumberFormat="1" applyFont="1" applyFill="1" applyBorder="1" applyAlignment="1">
      <alignment horizontal="center" vertical="center"/>
    </xf>
    <xf numFmtId="41" fontId="10" fillId="2" borderId="36" xfId="0" applyNumberFormat="1" applyFont="1" applyFill="1" applyBorder="1" applyAlignment="1">
      <alignment horizontal="center" vertical="center"/>
    </xf>
    <xf numFmtId="41" fontId="66" fillId="23" borderId="19" xfId="0" applyNumberFormat="1" applyFont="1" applyFill="1" applyBorder="1">
      <alignment vertical="center"/>
    </xf>
    <xf numFmtId="41" fontId="76" fillId="3" borderId="28" xfId="0" applyNumberFormat="1" applyFont="1" applyFill="1" applyBorder="1">
      <alignment vertical="center"/>
    </xf>
    <xf numFmtId="0" fontId="77" fillId="0" borderId="0" xfId="0" applyFont="1">
      <alignment vertical="center"/>
    </xf>
    <xf numFmtId="0" fontId="92" fillId="4" borderId="17" xfId="0" applyFont="1" applyFill="1" applyBorder="1" applyAlignment="1">
      <alignment horizontal="left" vertical="center"/>
    </xf>
    <xf numFmtId="41" fontId="92" fillId="3" borderId="18" xfId="0" applyNumberFormat="1" applyFont="1" applyFill="1" applyBorder="1">
      <alignment vertical="center"/>
    </xf>
    <xf numFmtId="192" fontId="92" fillId="4" borderId="19" xfId="0" applyNumberFormat="1" applyFont="1" applyFill="1" applyBorder="1">
      <alignment vertical="center"/>
    </xf>
    <xf numFmtId="0" fontId="92" fillId="4" borderId="35" xfId="0" applyFont="1" applyFill="1" applyBorder="1" applyAlignment="1">
      <alignment horizontal="left" vertical="center"/>
    </xf>
    <xf numFmtId="41" fontId="92" fillId="3" borderId="5" xfId="0" applyNumberFormat="1" applyFont="1" applyFill="1" applyBorder="1">
      <alignment vertical="center"/>
    </xf>
    <xf numFmtId="192" fontId="92" fillId="4" borderId="47" xfId="0" applyNumberFormat="1" applyFont="1" applyFill="1" applyBorder="1">
      <alignment vertical="center"/>
    </xf>
    <xf numFmtId="0" fontId="92" fillId="4" borderId="64" xfId="0" applyFont="1" applyFill="1" applyBorder="1" applyAlignment="1">
      <alignment horizontal="left" vertical="center"/>
    </xf>
    <xf numFmtId="41" fontId="76" fillId="3" borderId="61" xfId="0" applyNumberFormat="1" applyFont="1" applyFill="1" applyBorder="1">
      <alignment vertical="center"/>
    </xf>
    <xf numFmtId="192" fontId="92" fillId="4" borderId="34" xfId="0" applyNumberFormat="1" applyFont="1" applyFill="1" applyBorder="1">
      <alignment vertical="center"/>
    </xf>
    <xf numFmtId="41" fontId="76" fillId="3" borderId="18" xfId="0" applyNumberFormat="1" applyFont="1" applyFill="1" applyBorder="1">
      <alignment vertical="center"/>
    </xf>
    <xf numFmtId="192" fontId="92" fillId="18" borderId="51" xfId="0" applyNumberFormat="1" applyFont="1" applyFill="1" applyBorder="1" applyAlignment="1">
      <alignment horizontal="left" vertical="center"/>
    </xf>
    <xf numFmtId="192" fontId="92" fillId="18" borderId="53" xfId="0" applyNumberFormat="1" applyFont="1" applyFill="1" applyBorder="1">
      <alignment vertical="center"/>
    </xf>
    <xf numFmtId="192" fontId="92" fillId="18" borderId="86" xfId="0" applyNumberFormat="1" applyFont="1" applyFill="1" applyBorder="1" applyAlignment="1">
      <alignment horizontal="left" vertical="center"/>
    </xf>
    <xf numFmtId="192" fontId="92" fillId="18" borderId="54" xfId="0" applyNumberFormat="1" applyFont="1" applyFill="1" applyBorder="1">
      <alignment vertical="center"/>
    </xf>
    <xf numFmtId="192" fontId="92" fillId="18" borderId="78" xfId="0" applyNumberFormat="1" applyFont="1" applyFill="1" applyBorder="1" applyAlignment="1">
      <alignment horizontal="left" vertical="center"/>
    </xf>
    <xf numFmtId="192" fontId="92" fillId="18" borderId="49" xfId="0" applyNumberFormat="1" applyFont="1" applyFill="1" applyBorder="1">
      <alignment vertical="center"/>
    </xf>
    <xf numFmtId="0" fontId="92" fillId="4" borderId="5" xfId="0" applyFont="1" applyFill="1" applyBorder="1" applyAlignment="1">
      <alignment horizontal="left" vertical="center"/>
    </xf>
    <xf numFmtId="41" fontId="92" fillId="4" borderId="5" xfId="0" applyNumberFormat="1" applyFont="1" applyFill="1" applyBorder="1">
      <alignment vertical="center"/>
    </xf>
    <xf numFmtId="192" fontId="92" fillId="4" borderId="5" xfId="0" applyNumberFormat="1" applyFont="1" applyFill="1" applyBorder="1">
      <alignment vertical="center"/>
    </xf>
    <xf numFmtId="0" fontId="92" fillId="3" borderId="0" xfId="0" applyFont="1" applyFill="1" applyAlignment="1">
      <alignment horizontal="left" vertical="center"/>
    </xf>
    <xf numFmtId="192" fontId="92" fillId="3" borderId="6" xfId="0" applyNumberFormat="1" applyFont="1" applyFill="1" applyBorder="1">
      <alignment vertical="center"/>
    </xf>
    <xf numFmtId="0" fontId="92" fillId="4" borderId="28" xfId="0" applyFont="1" applyFill="1" applyBorder="1" applyAlignment="1">
      <alignment horizontal="left" vertical="center"/>
    </xf>
    <xf numFmtId="192" fontId="92" fillId="4" borderId="28" xfId="0" applyNumberFormat="1" applyFont="1" applyFill="1" applyBorder="1">
      <alignment vertical="center"/>
    </xf>
    <xf numFmtId="190" fontId="93" fillId="2" borderId="0" xfId="0" applyNumberFormat="1" applyFont="1" applyFill="1">
      <alignment vertical="center"/>
    </xf>
    <xf numFmtId="185" fontId="92" fillId="18" borderId="52" xfId="0" applyNumberFormat="1" applyFont="1" applyFill="1" applyBorder="1">
      <alignment vertical="center"/>
    </xf>
    <xf numFmtId="185" fontId="92" fillId="18" borderId="11" xfId="0" applyNumberFormat="1" applyFont="1" applyFill="1" applyBorder="1">
      <alignment vertical="center"/>
    </xf>
    <xf numFmtId="185" fontId="92" fillId="18" borderId="77" xfId="0" applyNumberFormat="1" applyFont="1" applyFill="1" applyBorder="1">
      <alignment vertical="center"/>
    </xf>
    <xf numFmtId="0" fontId="77" fillId="2" borderId="0" xfId="0" applyFont="1" applyFill="1" applyAlignment="1">
      <alignment horizontal="center" vertical="center"/>
    </xf>
    <xf numFmtId="0" fontId="92" fillId="4" borderId="58" xfId="0" applyFont="1" applyFill="1" applyBorder="1">
      <alignment vertical="center"/>
    </xf>
    <xf numFmtId="197" fontId="92" fillId="4" borderId="27" xfId="0" applyNumberFormat="1" applyFont="1" applyFill="1" applyBorder="1" applyAlignment="1">
      <alignment horizontal="center" vertical="center"/>
    </xf>
    <xf numFmtId="0" fontId="92" fillId="4" borderId="60" xfId="0" applyFont="1" applyFill="1" applyBorder="1" applyAlignment="1">
      <alignment horizontal="center" vertical="center"/>
    </xf>
    <xf numFmtId="0" fontId="92" fillId="4" borderId="13" xfId="0" applyFont="1" applyFill="1" applyBorder="1" applyAlignment="1">
      <alignment horizontal="left" vertical="center"/>
    </xf>
    <xf numFmtId="9" fontId="94" fillId="3" borderId="59" xfId="0" applyNumberFormat="1" applyFont="1" applyFill="1" applyBorder="1">
      <alignment vertical="center"/>
    </xf>
    <xf numFmtId="9" fontId="92" fillId="4" borderId="46" xfId="0" applyNumberFormat="1" applyFont="1" applyFill="1" applyBorder="1">
      <alignment vertical="center"/>
    </xf>
    <xf numFmtId="9" fontId="94" fillId="3" borderId="0" xfId="0" applyNumberFormat="1" applyFont="1" applyFill="1">
      <alignment vertical="center"/>
    </xf>
    <xf numFmtId="9" fontId="92" fillId="3" borderId="0" xfId="0" applyNumberFormat="1" applyFont="1" applyFill="1">
      <alignment vertical="center"/>
    </xf>
    <xf numFmtId="192" fontId="92" fillId="26" borderId="17" xfId="0" applyNumberFormat="1" applyFont="1" applyFill="1" applyBorder="1" applyAlignment="1">
      <alignment horizontal="left" vertical="center"/>
    </xf>
    <xf numFmtId="43" fontId="92" fillId="26" borderId="18" xfId="0" applyNumberFormat="1" applyFont="1" applyFill="1" applyBorder="1">
      <alignment vertical="center"/>
    </xf>
    <xf numFmtId="41" fontId="92" fillId="26" borderId="18" xfId="0" applyNumberFormat="1" applyFont="1" applyFill="1" applyBorder="1">
      <alignment vertical="center"/>
    </xf>
    <xf numFmtId="192" fontId="92" fillId="26" borderId="19" xfId="0" applyNumberFormat="1" applyFont="1" applyFill="1" applyBorder="1">
      <alignment vertical="center"/>
    </xf>
    <xf numFmtId="192" fontId="92" fillId="3" borderId="50" xfId="0" applyNumberFormat="1" applyFont="1" applyFill="1" applyBorder="1" applyAlignment="1">
      <alignment horizontal="left" vertical="center"/>
    </xf>
    <xf numFmtId="185" fontId="92" fillId="3" borderId="50" xfId="0" applyNumberFormat="1" applyFont="1" applyFill="1" applyBorder="1">
      <alignment vertical="center"/>
    </xf>
    <xf numFmtId="192" fontId="92" fillId="3" borderId="50" xfId="0" applyNumberFormat="1" applyFont="1" applyFill="1" applyBorder="1">
      <alignment vertical="center"/>
    </xf>
    <xf numFmtId="9" fontId="95" fillId="3" borderId="0" xfId="0" applyNumberFormat="1" applyFont="1" applyFill="1">
      <alignment vertical="center"/>
    </xf>
    <xf numFmtId="183" fontId="22" fillId="0" borderId="0" xfId="0" applyNumberFormat="1" applyFont="1">
      <alignment vertical="center"/>
    </xf>
    <xf numFmtId="183" fontId="22" fillId="0" borderId="0" xfId="0" applyNumberFormat="1" applyFont="1" applyAlignment="1">
      <alignment horizontal="right" vertical="center"/>
    </xf>
    <xf numFmtId="0" fontId="20" fillId="3" borderId="0" xfId="0" applyFont="1" applyFill="1" applyAlignment="1">
      <alignment horizontal="left" vertical="center"/>
    </xf>
    <xf numFmtId="0" fontId="30" fillId="3" borderId="0" xfId="0" applyFont="1" applyFill="1" applyAlignment="1">
      <alignment horizontal="center" vertical="center"/>
    </xf>
    <xf numFmtId="183" fontId="10" fillId="3" borderId="56" xfId="0" applyNumberFormat="1" applyFont="1" applyFill="1" applyBorder="1">
      <alignment vertical="center"/>
    </xf>
    <xf numFmtId="183" fontId="10" fillId="3" borderId="5" xfId="0" applyNumberFormat="1" applyFont="1" applyFill="1" applyBorder="1">
      <alignment vertical="center"/>
    </xf>
    <xf numFmtId="183" fontId="10" fillId="3" borderId="47" xfId="0" applyNumberFormat="1" applyFont="1" applyFill="1" applyBorder="1">
      <alignment vertical="center"/>
    </xf>
    <xf numFmtId="0" fontId="12" fillId="4" borderId="0" xfId="0" applyFont="1" applyFill="1" applyAlignment="1">
      <alignment horizontal="left" vertical="center"/>
    </xf>
    <xf numFmtId="41" fontId="10" fillId="0" borderId="10" xfId="0" applyNumberFormat="1" applyFont="1" applyBorder="1">
      <alignment vertical="center"/>
    </xf>
    <xf numFmtId="185" fontId="11" fillId="4" borderId="29" xfId="0" applyNumberFormat="1" applyFont="1" applyFill="1" applyBorder="1">
      <alignment vertical="center"/>
    </xf>
    <xf numFmtId="185" fontId="14" fillId="4" borderId="29" xfId="0" applyNumberFormat="1" applyFont="1" applyFill="1" applyBorder="1">
      <alignment vertical="center"/>
    </xf>
    <xf numFmtId="0" fontId="14" fillId="4" borderId="13" xfId="0" applyFont="1" applyFill="1" applyBorder="1">
      <alignment vertical="center"/>
    </xf>
    <xf numFmtId="190" fontId="10" fillId="4" borderId="27" xfId="0" applyNumberFormat="1" applyFont="1" applyFill="1" applyBorder="1">
      <alignment vertical="center"/>
    </xf>
    <xf numFmtId="41" fontId="11" fillId="4" borderId="108" xfId="0" applyNumberFormat="1" applyFont="1" applyFill="1" applyBorder="1">
      <alignment vertical="center"/>
    </xf>
    <xf numFmtId="41" fontId="11" fillId="0" borderId="0" xfId="0" applyNumberFormat="1" applyFont="1">
      <alignment vertical="center"/>
    </xf>
    <xf numFmtId="41" fontId="14" fillId="0" borderId="0" xfId="0" applyNumberFormat="1" applyFont="1">
      <alignment vertical="center"/>
    </xf>
    <xf numFmtId="0" fontId="96" fillId="0" borderId="0" xfId="0" applyFont="1">
      <alignment vertical="center"/>
    </xf>
    <xf numFmtId="41" fontId="97" fillId="0" borderId="0" xfId="0" applyNumberFormat="1" applyFont="1">
      <alignment vertical="center"/>
    </xf>
    <xf numFmtId="41" fontId="96" fillId="0" borderId="0" xfId="0" applyNumberFormat="1" applyFont="1">
      <alignment vertical="center"/>
    </xf>
    <xf numFmtId="0" fontId="98" fillId="0" borderId="0" xfId="0" applyFont="1">
      <alignment vertical="center"/>
    </xf>
    <xf numFmtId="0" fontId="99" fillId="0" borderId="0" xfId="0" applyFont="1">
      <alignment vertical="center"/>
    </xf>
    <xf numFmtId="0" fontId="96" fillId="0" borderId="0" xfId="0" applyFont="1" applyAlignment="1">
      <alignment horizontal="left" vertical="center"/>
    </xf>
    <xf numFmtId="0" fontId="96" fillId="0" borderId="0" xfId="0" applyFont="1" applyAlignment="1">
      <alignment horizontal="left" vertical="center" indent="1"/>
    </xf>
    <xf numFmtId="179" fontId="10" fillId="3" borderId="55" xfId="0" applyNumberFormat="1" applyFont="1" applyFill="1" applyBorder="1" applyAlignment="1">
      <alignment horizontal="center" vertical="center"/>
    </xf>
    <xf numFmtId="179" fontId="10" fillId="3" borderId="1" xfId="0" applyNumberFormat="1" applyFont="1" applyFill="1" applyBorder="1" applyAlignment="1">
      <alignment horizontal="center" vertical="center"/>
    </xf>
    <xf numFmtId="179" fontId="10" fillId="3" borderId="8" xfId="0" applyNumberFormat="1" applyFont="1" applyFill="1" applyBorder="1" applyAlignment="1">
      <alignment horizontal="center" vertical="center"/>
    </xf>
    <xf numFmtId="179" fontId="10" fillId="3" borderId="69" xfId="0" applyNumberFormat="1" applyFont="1" applyFill="1" applyBorder="1" applyAlignment="1">
      <alignment horizontal="center" vertical="center"/>
    </xf>
    <xf numFmtId="179" fontId="10" fillId="4" borderId="31" xfId="0" applyNumberFormat="1" applyFont="1" applyFill="1" applyBorder="1" applyAlignment="1">
      <alignment horizontal="center" vertical="center"/>
    </xf>
    <xf numFmtId="41" fontId="11" fillId="4" borderId="50" xfId="0" applyNumberFormat="1" applyFont="1" applyFill="1" applyBorder="1" applyAlignment="1">
      <alignment horizontal="center" vertical="center"/>
    </xf>
    <xf numFmtId="41" fontId="11" fillId="4" borderId="26" xfId="0" applyNumberFormat="1" applyFont="1" applyFill="1" applyBorder="1" applyAlignment="1">
      <alignment horizontal="center" vertical="center"/>
    </xf>
    <xf numFmtId="41" fontId="11" fillId="4" borderId="27" xfId="0" applyNumberFormat="1" applyFont="1" applyFill="1" applyBorder="1" applyAlignment="1">
      <alignment horizontal="center" vertical="center"/>
    </xf>
    <xf numFmtId="0" fontId="11" fillId="10" borderId="58" xfId="0" applyFont="1" applyFill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/>
    </xf>
    <xf numFmtId="0" fontId="11" fillId="10" borderId="65" xfId="0" applyFont="1" applyFill="1" applyBorder="1" applyAlignment="1">
      <alignment horizontal="center" vertical="center"/>
    </xf>
    <xf numFmtId="0" fontId="11" fillId="10" borderId="60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41" fontId="10" fillId="4" borderId="5" xfId="0" applyNumberFormat="1" applyFont="1" applyFill="1" applyBorder="1" applyAlignment="1">
      <alignment horizontal="center" vertical="center"/>
    </xf>
    <xf numFmtId="179" fontId="10" fillId="3" borderId="35" xfId="0" applyNumberFormat="1" applyFont="1" applyFill="1" applyBorder="1" applyAlignment="1">
      <alignment horizontal="center" vertical="center"/>
    </xf>
    <xf numFmtId="179" fontId="10" fillId="3" borderId="5" xfId="0" applyNumberFormat="1" applyFont="1" applyFill="1" applyBorder="1" applyAlignment="1">
      <alignment horizontal="center" vertical="center"/>
    </xf>
    <xf numFmtId="179" fontId="10" fillId="3" borderId="42" xfId="0" applyNumberFormat="1" applyFont="1" applyFill="1" applyBorder="1" applyAlignment="1">
      <alignment horizontal="center" vertical="center"/>
    </xf>
    <xf numFmtId="179" fontId="10" fillId="3" borderId="47" xfId="0" applyNumberFormat="1" applyFont="1" applyFill="1" applyBorder="1" applyAlignment="1">
      <alignment horizontal="center" vertical="center"/>
    </xf>
    <xf numFmtId="179" fontId="10" fillId="4" borderId="44" xfId="0" applyNumberFormat="1" applyFont="1" applyFill="1" applyBorder="1" applyAlignment="1">
      <alignment horizontal="center" vertical="center"/>
    </xf>
    <xf numFmtId="179" fontId="10" fillId="3" borderId="64" xfId="0" applyNumberFormat="1" applyFont="1" applyFill="1" applyBorder="1" applyAlignment="1">
      <alignment horizontal="center" vertical="center"/>
    </xf>
    <xf numFmtId="179" fontId="10" fillId="3" borderId="61" xfId="0" applyNumberFormat="1" applyFont="1" applyFill="1" applyBorder="1" applyAlignment="1">
      <alignment horizontal="center" vertical="center"/>
    </xf>
    <xf numFmtId="179" fontId="10" fillId="3" borderId="63" xfId="0" applyNumberFormat="1" applyFont="1" applyFill="1" applyBorder="1" applyAlignment="1">
      <alignment horizontal="center" vertical="center"/>
    </xf>
    <xf numFmtId="179" fontId="10" fillId="3" borderId="34" xfId="0" applyNumberFormat="1" applyFont="1" applyFill="1" applyBorder="1" applyAlignment="1">
      <alignment horizontal="center" vertical="center"/>
    </xf>
    <xf numFmtId="179" fontId="10" fillId="4" borderId="57" xfId="0" applyNumberFormat="1" applyFont="1" applyFill="1" applyBorder="1" applyAlignment="1">
      <alignment horizontal="center" vertical="center"/>
    </xf>
    <xf numFmtId="41" fontId="10" fillId="4" borderId="61" xfId="0" applyNumberFormat="1" applyFont="1" applyFill="1" applyBorder="1">
      <alignment vertical="center"/>
    </xf>
    <xf numFmtId="41" fontId="10" fillId="4" borderId="59" xfId="0" applyNumberFormat="1" applyFont="1" applyFill="1" applyBorder="1">
      <alignment vertical="center"/>
    </xf>
    <xf numFmtId="41" fontId="10" fillId="10" borderId="1" xfId="0" applyNumberFormat="1" applyFont="1" applyFill="1" applyBorder="1">
      <alignment vertical="center"/>
    </xf>
    <xf numFmtId="41" fontId="10" fillId="10" borderId="69" xfId="0" applyNumberFormat="1" applyFont="1" applyFill="1" applyBorder="1">
      <alignment vertical="center"/>
    </xf>
    <xf numFmtId="41" fontId="10" fillId="10" borderId="21" xfId="0" applyNumberFormat="1" applyFont="1" applyFill="1" applyBorder="1">
      <alignment vertical="center"/>
    </xf>
    <xf numFmtId="41" fontId="12" fillId="10" borderId="55" xfId="0" applyNumberFormat="1" applyFont="1" applyFill="1" applyBorder="1">
      <alignment vertical="center"/>
    </xf>
    <xf numFmtId="41" fontId="12" fillId="10" borderId="1" xfId="0" applyNumberFormat="1" applyFont="1" applyFill="1" applyBorder="1">
      <alignment vertical="center"/>
    </xf>
    <xf numFmtId="41" fontId="12" fillId="10" borderId="69" xfId="0" applyNumberFormat="1" applyFont="1" applyFill="1" applyBorder="1">
      <alignment vertical="center"/>
    </xf>
    <xf numFmtId="183" fontId="10" fillId="10" borderId="56" xfId="0" applyNumberFormat="1" applyFont="1" applyFill="1" applyBorder="1">
      <alignment vertical="center"/>
    </xf>
    <xf numFmtId="0" fontId="96" fillId="3" borderId="0" xfId="0" applyFont="1" applyFill="1">
      <alignment vertical="center"/>
    </xf>
    <xf numFmtId="0" fontId="100" fillId="0" borderId="0" xfId="0" applyFont="1" applyAlignment="1">
      <alignment horizontal="left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Continuous" vertical="center"/>
    </xf>
    <xf numFmtId="0" fontId="10" fillId="4" borderId="19" xfId="0" applyFont="1" applyFill="1" applyBorder="1" applyAlignment="1">
      <alignment horizontal="center" vertical="center"/>
    </xf>
    <xf numFmtId="41" fontId="10" fillId="10" borderId="10" xfId="0" applyNumberFormat="1" applyFont="1" applyFill="1" applyBorder="1">
      <alignment vertical="center"/>
    </xf>
    <xf numFmtId="41" fontId="10" fillId="4" borderId="21" xfId="0" applyNumberFormat="1" applyFont="1" applyFill="1" applyBorder="1">
      <alignment vertical="center"/>
    </xf>
    <xf numFmtId="41" fontId="10" fillId="4" borderId="38" xfId="0" applyNumberFormat="1" applyFont="1" applyFill="1" applyBorder="1">
      <alignment vertical="center"/>
    </xf>
    <xf numFmtId="0" fontId="11" fillId="4" borderId="40" xfId="0" applyFont="1" applyFill="1" applyBorder="1">
      <alignment vertical="center"/>
    </xf>
    <xf numFmtId="41" fontId="11" fillId="0" borderId="0" xfId="0" applyNumberFormat="1" applyFont="1" applyAlignment="1">
      <alignment horizontal="center" vertical="center" wrapText="1"/>
    </xf>
    <xf numFmtId="41" fontId="10" fillId="2" borderId="10" xfId="0" applyNumberFormat="1" applyFont="1" applyFill="1" applyBorder="1">
      <alignment vertical="center"/>
    </xf>
    <xf numFmtId="192" fontId="10" fillId="4" borderId="69" xfId="0" applyNumberFormat="1" applyFont="1" applyFill="1" applyBorder="1">
      <alignment vertical="center"/>
    </xf>
    <xf numFmtId="41" fontId="100" fillId="4" borderId="15" xfId="0" applyNumberFormat="1" applyFont="1" applyFill="1" applyBorder="1" applyAlignment="1">
      <alignment horizontal="left" vertical="center"/>
    </xf>
    <xf numFmtId="0" fontId="101" fillId="4" borderId="19" xfId="0" applyFont="1" applyFill="1" applyBorder="1" applyAlignment="1">
      <alignment horizontal="center" vertical="center"/>
    </xf>
    <xf numFmtId="41" fontId="103" fillId="4" borderId="67" xfId="0" applyNumberFormat="1" applyFont="1" applyFill="1" applyBorder="1">
      <alignment vertical="center"/>
    </xf>
    <xf numFmtId="41" fontId="103" fillId="4" borderId="18" xfId="0" applyNumberFormat="1" applyFont="1" applyFill="1" applyBorder="1">
      <alignment vertical="center"/>
    </xf>
    <xf numFmtId="41" fontId="103" fillId="4" borderId="20" xfId="0" applyNumberFormat="1" applyFont="1" applyFill="1" applyBorder="1">
      <alignment vertical="center"/>
    </xf>
    <xf numFmtId="41" fontId="103" fillId="4" borderId="17" xfId="0" applyNumberFormat="1" applyFont="1" applyFill="1" applyBorder="1">
      <alignment vertical="center"/>
    </xf>
    <xf numFmtId="41" fontId="103" fillId="4" borderId="1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96" fillId="0" borderId="28" xfId="0" applyFont="1" applyBorder="1" applyAlignment="1">
      <alignment horizontal="center" vertical="center"/>
    </xf>
    <xf numFmtId="0" fontId="96" fillId="4" borderId="28" xfId="0" applyFont="1" applyFill="1" applyBorder="1" applyAlignment="1">
      <alignment horizontal="center" vertical="center"/>
    </xf>
    <xf numFmtId="0" fontId="104" fillId="4" borderId="28" xfId="0" applyFont="1" applyFill="1" applyBorder="1" applyAlignment="1">
      <alignment horizontal="left" vertical="center" shrinkToFit="1"/>
    </xf>
    <xf numFmtId="182" fontId="96" fillId="0" borderId="28" xfId="0" applyNumberFormat="1" applyFont="1" applyBorder="1" applyAlignment="1">
      <alignment horizontal="center" vertical="center"/>
    </xf>
    <xf numFmtId="182" fontId="104" fillId="4" borderId="28" xfId="0" applyNumberFormat="1" applyFont="1" applyFill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182" fontId="104" fillId="0" borderId="0" xfId="0" applyNumberFormat="1" applyFont="1" applyAlignment="1">
      <alignment horizontal="center" vertical="center"/>
    </xf>
    <xf numFmtId="180" fontId="104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0" fontId="96" fillId="4" borderId="109" xfId="0" applyFont="1" applyFill="1" applyBorder="1" applyAlignment="1">
      <alignment horizontal="center" vertical="center"/>
    </xf>
    <xf numFmtId="0" fontId="96" fillId="4" borderId="112" xfId="0" applyFont="1" applyFill="1" applyBorder="1" applyAlignment="1">
      <alignment horizontal="center" vertical="center"/>
    </xf>
    <xf numFmtId="0" fontId="104" fillId="4" borderId="112" xfId="0" applyFont="1" applyFill="1" applyBorder="1" applyAlignment="1">
      <alignment horizontal="center" vertical="center"/>
    </xf>
    <xf numFmtId="0" fontId="104" fillId="4" borderId="32" xfId="0" applyFont="1" applyFill="1" applyBorder="1" applyAlignment="1">
      <alignment horizontal="center" vertical="center"/>
    </xf>
    <xf numFmtId="182" fontId="104" fillId="4" borderId="33" xfId="0" applyNumberFormat="1" applyFont="1" applyFill="1" applyBorder="1" applyAlignment="1">
      <alignment horizontal="center" vertical="center"/>
    </xf>
    <xf numFmtId="0" fontId="100" fillId="4" borderId="13" xfId="0" applyFont="1" applyFill="1" applyBorder="1" applyAlignment="1">
      <alignment horizontal="center" vertical="center"/>
    </xf>
    <xf numFmtId="0" fontId="100" fillId="4" borderId="77" xfId="0" applyFont="1" applyFill="1" applyBorder="1" applyAlignment="1">
      <alignment horizontal="center" vertical="center"/>
    </xf>
    <xf numFmtId="180" fontId="101" fillId="4" borderId="77" xfId="0" applyNumberFormat="1" applyFont="1" applyFill="1" applyBorder="1" applyAlignment="1">
      <alignment horizontal="center" vertical="center"/>
    </xf>
    <xf numFmtId="180" fontId="101" fillId="4" borderId="49" xfId="0" applyNumberFormat="1" applyFont="1" applyFill="1" applyBorder="1" applyAlignment="1">
      <alignment horizontal="center" vertical="center"/>
    </xf>
    <xf numFmtId="180" fontId="101" fillId="27" borderId="77" xfId="0" applyNumberFormat="1" applyFont="1" applyFill="1" applyBorder="1" applyAlignment="1">
      <alignment horizontal="center" vertical="center"/>
    </xf>
    <xf numFmtId="0" fontId="100" fillId="3" borderId="0" xfId="0" applyFont="1" applyFill="1" applyAlignment="1">
      <alignment horizontal="left" vertical="center"/>
    </xf>
    <xf numFmtId="0" fontId="100" fillId="4" borderId="17" xfId="0" applyFont="1" applyFill="1" applyBorder="1" applyAlignment="1">
      <alignment horizontal="center" vertical="center"/>
    </xf>
    <xf numFmtId="0" fontId="100" fillId="4" borderId="18" xfId="0" applyFont="1" applyFill="1" applyBorder="1">
      <alignment vertical="center"/>
    </xf>
    <xf numFmtId="0" fontId="100" fillId="2" borderId="0" xfId="0" applyFont="1" applyFill="1" applyAlignment="1">
      <alignment horizontal="left" vertical="center"/>
    </xf>
    <xf numFmtId="0" fontId="10" fillId="0" borderId="78" xfId="0" applyFont="1" applyBorder="1">
      <alignment vertical="center"/>
    </xf>
    <xf numFmtId="193" fontId="12" fillId="0" borderId="77" xfId="0" applyNumberFormat="1" applyFont="1" applyBorder="1">
      <alignment vertical="center"/>
    </xf>
    <xf numFmtId="193" fontId="86" fillId="0" borderId="77" xfId="0" applyNumberFormat="1" applyFont="1" applyBorder="1">
      <alignment vertical="center"/>
    </xf>
    <xf numFmtId="193" fontId="86" fillId="0" borderId="49" xfId="0" applyNumberFormat="1" applyFont="1" applyBorder="1">
      <alignment vertical="center"/>
    </xf>
    <xf numFmtId="0" fontId="10" fillId="4" borderId="78" xfId="0" applyFont="1" applyFill="1" applyBorder="1">
      <alignment vertical="center"/>
    </xf>
    <xf numFmtId="0" fontId="10" fillId="4" borderId="35" xfId="0" applyFont="1" applyFill="1" applyBorder="1">
      <alignment vertical="center"/>
    </xf>
    <xf numFmtId="41" fontId="12" fillId="0" borderId="5" xfId="0" applyNumberFormat="1" applyFont="1" applyBorder="1">
      <alignment vertical="center"/>
    </xf>
    <xf numFmtId="41" fontId="86" fillId="0" borderId="5" xfId="0" applyNumberFormat="1" applyFont="1" applyBorder="1">
      <alignment vertical="center"/>
    </xf>
    <xf numFmtId="41" fontId="86" fillId="0" borderId="47" xfId="0" applyNumberFormat="1" applyFont="1" applyBorder="1">
      <alignment vertical="center"/>
    </xf>
    <xf numFmtId="0" fontId="100" fillId="4" borderId="17" xfId="0" applyFont="1" applyFill="1" applyBorder="1">
      <alignment vertical="center"/>
    </xf>
    <xf numFmtId="41" fontId="86" fillId="26" borderId="18" xfId="0" applyNumberFormat="1" applyFont="1" applyFill="1" applyBorder="1">
      <alignment vertical="center"/>
    </xf>
    <xf numFmtId="0" fontId="86" fillId="26" borderId="18" xfId="0" applyFont="1" applyFill="1" applyBorder="1">
      <alignment vertical="center"/>
    </xf>
    <xf numFmtId="0" fontId="86" fillId="26" borderId="19" xfId="0" applyFont="1" applyFill="1" applyBorder="1">
      <alignment vertical="center"/>
    </xf>
    <xf numFmtId="0" fontId="10" fillId="4" borderId="55" xfId="0" applyFont="1" applyFill="1" applyBorder="1">
      <alignment vertical="center"/>
    </xf>
    <xf numFmtId="41" fontId="86" fillId="0" borderId="1" xfId="0" applyNumberFormat="1" applyFont="1" applyBorder="1">
      <alignment vertical="center"/>
    </xf>
    <xf numFmtId="41" fontId="86" fillId="0" borderId="69" xfId="0" applyNumberFormat="1" applyFont="1" applyBorder="1">
      <alignment vertical="center"/>
    </xf>
    <xf numFmtId="0" fontId="78" fillId="4" borderId="18" xfId="0" applyFont="1" applyFill="1" applyBorder="1" applyAlignment="1">
      <alignment horizontal="center" vertical="center" wrapText="1"/>
    </xf>
    <xf numFmtId="0" fontId="86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41" fontId="86" fillId="0" borderId="8" xfId="0" applyNumberFormat="1" applyFont="1" applyBorder="1">
      <alignment vertical="center"/>
    </xf>
    <xf numFmtId="41" fontId="86" fillId="26" borderId="20" xfId="0" applyNumberFormat="1" applyFont="1" applyFill="1" applyBorder="1">
      <alignment vertical="center"/>
    </xf>
    <xf numFmtId="41" fontId="12" fillId="0" borderId="42" xfId="0" applyNumberFormat="1" applyFont="1" applyBorder="1">
      <alignment vertical="center"/>
    </xf>
    <xf numFmtId="193" fontId="12" fillId="0" borderId="43" xfId="0" applyNumberFormat="1" applyFont="1" applyBorder="1">
      <alignment vertical="center"/>
    </xf>
    <xf numFmtId="0" fontId="78" fillId="4" borderId="17" xfId="0" applyFont="1" applyFill="1" applyBorder="1" applyAlignment="1">
      <alignment horizontal="center" vertical="center" wrapText="1"/>
    </xf>
    <xf numFmtId="41" fontId="86" fillId="0" borderId="55" xfId="0" applyNumberFormat="1" applyFont="1" applyBorder="1">
      <alignment vertical="center"/>
    </xf>
    <xf numFmtId="41" fontId="86" fillId="26" borderId="17" xfId="0" applyNumberFormat="1" applyFont="1" applyFill="1" applyBorder="1">
      <alignment vertical="center"/>
    </xf>
    <xf numFmtId="41" fontId="10" fillId="0" borderId="35" xfId="0" applyNumberFormat="1" applyFont="1" applyBorder="1">
      <alignment vertical="center"/>
    </xf>
    <xf numFmtId="0" fontId="10" fillId="10" borderId="29" xfId="0" applyFont="1" applyFill="1" applyBorder="1" applyAlignment="1">
      <alignment horizontal="center" vertical="center"/>
    </xf>
    <xf numFmtId="0" fontId="10" fillId="0" borderId="73" xfId="0" applyFont="1" applyBorder="1">
      <alignment vertical="center"/>
    </xf>
    <xf numFmtId="0" fontId="10" fillId="0" borderId="91" xfId="0" applyFont="1" applyBorder="1">
      <alignment vertical="center"/>
    </xf>
    <xf numFmtId="0" fontId="57" fillId="0" borderId="91" xfId="0" applyFont="1" applyBorder="1">
      <alignment vertical="center"/>
    </xf>
    <xf numFmtId="0" fontId="62" fillId="3" borderId="28" xfId="0" applyFont="1" applyFill="1" applyBorder="1" applyAlignment="1">
      <alignment horizontal="center" vertical="center"/>
    </xf>
    <xf numFmtId="9" fontId="96" fillId="0" borderId="28" xfId="0" applyNumberFormat="1" applyFont="1" applyBorder="1">
      <alignment vertical="center"/>
    </xf>
    <xf numFmtId="0" fontId="62" fillId="0" borderId="28" xfId="0" applyFont="1" applyBorder="1" applyAlignment="1">
      <alignment horizontal="center" vertical="center"/>
    </xf>
    <xf numFmtId="183" fontId="62" fillId="0" borderId="28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41" fontId="11" fillId="4" borderId="43" xfId="0" applyNumberFormat="1" applyFont="1" applyFill="1" applyBorder="1">
      <alignment vertical="center"/>
    </xf>
    <xf numFmtId="41" fontId="14" fillId="4" borderId="43" xfId="0" applyNumberFormat="1" applyFont="1" applyFill="1" applyBorder="1">
      <alignment vertical="center"/>
    </xf>
    <xf numFmtId="41" fontId="10" fillId="4" borderId="21" xfId="0" applyNumberFormat="1" applyFont="1" applyFill="1" applyBorder="1" applyAlignment="1">
      <alignment horizontal="left" vertical="center"/>
    </xf>
    <xf numFmtId="41" fontId="99" fillId="26" borderId="8" xfId="0" applyNumberFormat="1" applyFont="1" applyFill="1" applyBorder="1">
      <alignment vertical="center"/>
    </xf>
    <xf numFmtId="41" fontId="99" fillId="26" borderId="55" xfId="0" applyNumberFormat="1" applyFont="1" applyFill="1" applyBorder="1">
      <alignment vertical="center"/>
    </xf>
    <xf numFmtId="41" fontId="99" fillId="26" borderId="1" xfId="0" applyNumberFormat="1" applyFont="1" applyFill="1" applyBorder="1">
      <alignment vertical="center"/>
    </xf>
    <xf numFmtId="41" fontId="99" fillId="26" borderId="69" xfId="0" applyNumberFormat="1" applyFont="1" applyFill="1" applyBorder="1">
      <alignment vertical="center"/>
    </xf>
    <xf numFmtId="41" fontId="99" fillId="26" borderId="10" xfId="0" applyNumberFormat="1" applyFont="1" applyFill="1" applyBorder="1">
      <alignment vertical="center"/>
    </xf>
    <xf numFmtId="41" fontId="99" fillId="0" borderId="109" xfId="0" applyNumberFormat="1" applyFont="1" applyBorder="1">
      <alignment vertical="center"/>
    </xf>
    <xf numFmtId="41" fontId="99" fillId="0" borderId="112" xfId="0" applyNumberFormat="1" applyFont="1" applyBorder="1">
      <alignment vertical="center"/>
    </xf>
    <xf numFmtId="41" fontId="99" fillId="0" borderId="41" xfId="0" applyNumberFormat="1" applyFont="1" applyBorder="1">
      <alignment vertical="center"/>
    </xf>
    <xf numFmtId="41" fontId="99" fillId="0" borderId="32" xfId="0" applyNumberFormat="1" applyFont="1" applyBorder="1">
      <alignment vertical="center"/>
    </xf>
    <xf numFmtId="41" fontId="99" fillId="0" borderId="113" xfId="0" applyNumberFormat="1" applyFont="1" applyBorder="1">
      <alignment vertical="center"/>
    </xf>
    <xf numFmtId="0" fontId="99" fillId="26" borderId="55" xfId="0" applyFont="1" applyFill="1" applyBorder="1">
      <alignment vertical="center"/>
    </xf>
    <xf numFmtId="0" fontId="99" fillId="26" borderId="13" xfId="0" applyFont="1" applyFill="1" applyBorder="1">
      <alignment vertical="center"/>
    </xf>
    <xf numFmtId="41" fontId="99" fillId="26" borderId="68" xfId="0" applyNumberFormat="1" applyFont="1" applyFill="1" applyBorder="1">
      <alignment vertical="center"/>
    </xf>
    <xf numFmtId="41" fontId="99" fillId="26" borderId="13" xfId="0" applyNumberFormat="1" applyFont="1" applyFill="1" applyBorder="1">
      <alignment vertical="center"/>
    </xf>
    <xf numFmtId="41" fontId="99" fillId="26" borderId="59" xfId="0" applyNumberFormat="1" applyFont="1" applyFill="1" applyBorder="1">
      <alignment vertical="center"/>
    </xf>
    <xf numFmtId="41" fontId="99" fillId="26" borderId="46" xfId="0" applyNumberFormat="1" applyFont="1" applyFill="1" applyBorder="1">
      <alignment vertical="center"/>
    </xf>
    <xf numFmtId="41" fontId="99" fillId="26" borderId="66" xfId="0" applyNumberFormat="1" applyFont="1" applyFill="1" applyBorder="1">
      <alignment vertical="center"/>
    </xf>
    <xf numFmtId="41" fontId="10" fillId="4" borderId="36" xfId="0" applyNumberFormat="1" applyFont="1" applyFill="1" applyBorder="1" applyAlignment="1">
      <alignment horizontal="left" vertical="center"/>
    </xf>
    <xf numFmtId="41" fontId="10" fillId="4" borderId="73" xfId="0" applyNumberFormat="1" applyFont="1" applyFill="1" applyBorder="1" applyAlignment="1">
      <alignment horizontal="left" vertical="center"/>
    </xf>
    <xf numFmtId="1" fontId="10" fillId="0" borderId="31" xfId="0" applyNumberFormat="1" applyFont="1" applyBorder="1">
      <alignment vertical="center"/>
    </xf>
    <xf numFmtId="41" fontId="101" fillId="4" borderId="29" xfId="0" applyNumberFormat="1" applyFont="1" applyFill="1" applyBorder="1">
      <alignment vertical="center"/>
    </xf>
    <xf numFmtId="180" fontId="10" fillId="4" borderId="32" xfId="0" applyNumberFormat="1" applyFont="1" applyFill="1" applyBorder="1" applyAlignment="1">
      <alignment horizontal="center" vertical="center"/>
    </xf>
    <xf numFmtId="41" fontId="10" fillId="4" borderId="47" xfId="0" applyNumberFormat="1" applyFont="1" applyFill="1" applyBorder="1">
      <alignment vertical="center"/>
    </xf>
    <xf numFmtId="41" fontId="99" fillId="26" borderId="92" xfId="0" applyNumberFormat="1" applyFont="1" applyFill="1" applyBorder="1">
      <alignment vertical="center"/>
    </xf>
    <xf numFmtId="41" fontId="10" fillId="4" borderId="80" xfId="0" applyNumberFormat="1" applyFont="1" applyFill="1" applyBorder="1" applyAlignment="1">
      <alignment horizontal="left" vertical="center"/>
    </xf>
    <xf numFmtId="41" fontId="99" fillId="26" borderId="65" xfId="0" applyNumberFormat="1" applyFont="1" applyFill="1" applyBorder="1">
      <alignment vertical="center"/>
    </xf>
    <xf numFmtId="41" fontId="99" fillId="26" borderId="58" xfId="0" applyNumberFormat="1" applyFont="1" applyFill="1" applyBorder="1">
      <alignment vertical="center"/>
    </xf>
    <xf numFmtId="41" fontId="99" fillId="26" borderId="27" xfId="0" applyNumberFormat="1" applyFont="1" applyFill="1" applyBorder="1">
      <alignment vertical="center"/>
    </xf>
    <xf numFmtId="41" fontId="99" fillId="26" borderId="60" xfId="0" applyNumberFormat="1" applyFont="1" applyFill="1" applyBorder="1">
      <alignment vertical="center"/>
    </xf>
    <xf numFmtId="41" fontId="99" fillId="26" borderId="26" xfId="0" applyNumberFormat="1" applyFont="1" applyFill="1" applyBorder="1">
      <alignment vertical="center"/>
    </xf>
    <xf numFmtId="1" fontId="10" fillId="0" borderId="14" xfId="0" applyNumberFormat="1" applyFont="1" applyBorder="1">
      <alignment vertical="center"/>
    </xf>
    <xf numFmtId="41" fontId="10" fillId="4" borderId="46" xfId="0" applyNumberFormat="1" applyFont="1" applyFill="1" applyBorder="1">
      <alignment vertical="center"/>
    </xf>
    <xf numFmtId="0" fontId="99" fillId="26" borderId="58" xfId="0" applyFont="1" applyFill="1" applyBorder="1">
      <alignment vertical="center"/>
    </xf>
    <xf numFmtId="1" fontId="10" fillId="0" borderId="29" xfId="0" applyNumberFormat="1" applyFont="1" applyBorder="1">
      <alignment vertical="center"/>
    </xf>
    <xf numFmtId="41" fontId="10" fillId="0" borderId="148" xfId="0" applyNumberFormat="1" applyFont="1" applyBorder="1">
      <alignment vertical="center"/>
    </xf>
    <xf numFmtId="41" fontId="10" fillId="10" borderId="8" xfId="0" applyNumberFormat="1" applyFont="1" applyFill="1" applyBorder="1">
      <alignment vertical="center"/>
    </xf>
    <xf numFmtId="41" fontId="12" fillId="10" borderId="10" xfId="0" applyNumberFormat="1" applyFont="1" applyFill="1" applyBorder="1">
      <alignment vertical="center"/>
    </xf>
    <xf numFmtId="41" fontId="10" fillId="10" borderId="55" xfId="0" applyNumberFormat="1" applyFont="1" applyFill="1" applyBorder="1">
      <alignment vertical="center"/>
    </xf>
    <xf numFmtId="41" fontId="12" fillId="10" borderId="8" xfId="0" applyNumberFormat="1" applyFont="1" applyFill="1" applyBorder="1">
      <alignment vertical="center"/>
    </xf>
    <xf numFmtId="180" fontId="10" fillId="0" borderId="0" xfId="0" applyNumberFormat="1" applyFont="1" applyAlignment="1">
      <alignment horizontal="left" vertical="center"/>
    </xf>
    <xf numFmtId="186" fontId="105" fillId="0" borderId="4" xfId="0" applyNumberFormat="1" applyFont="1" applyBorder="1" applyAlignment="1"/>
    <xf numFmtId="0" fontId="10" fillId="0" borderId="28" xfId="0" applyFont="1" applyBorder="1" applyAlignment="1">
      <alignment horizontal="center" vertical="center"/>
    </xf>
    <xf numFmtId="0" fontId="10" fillId="0" borderId="28" xfId="0" applyFont="1" applyBorder="1">
      <alignment vertical="center"/>
    </xf>
    <xf numFmtId="182" fontId="10" fillId="0" borderId="55" xfId="0" applyNumberFormat="1" applyFont="1" applyBorder="1">
      <alignment vertical="center"/>
    </xf>
    <xf numFmtId="182" fontId="10" fillId="0" borderId="1" xfId="0" applyNumberFormat="1" applyFont="1" applyBorder="1">
      <alignment vertical="center"/>
    </xf>
    <xf numFmtId="182" fontId="10" fillId="0" borderId="69" xfId="0" applyNumberFormat="1" applyFont="1" applyBorder="1">
      <alignment vertical="center"/>
    </xf>
    <xf numFmtId="182" fontId="10" fillId="0" borderId="21" xfId="0" applyNumberFormat="1" applyFont="1" applyBorder="1">
      <alignment vertical="center"/>
    </xf>
    <xf numFmtId="182" fontId="12" fillId="0" borderId="55" xfId="0" applyNumberFormat="1" applyFont="1" applyBorder="1">
      <alignment vertical="center"/>
    </xf>
    <xf numFmtId="182" fontId="12" fillId="0" borderId="1" xfId="0" applyNumberFormat="1" applyFont="1" applyBorder="1">
      <alignment vertical="center"/>
    </xf>
    <xf numFmtId="182" fontId="12" fillId="0" borderId="69" xfId="0" applyNumberFormat="1" applyFont="1" applyBorder="1">
      <alignment vertical="center"/>
    </xf>
    <xf numFmtId="182" fontId="11" fillId="4" borderId="31" xfId="0" applyNumberFormat="1" applyFont="1" applyFill="1" applyBorder="1">
      <alignment vertical="center"/>
    </xf>
    <xf numFmtId="182" fontId="10" fillId="0" borderId="5" xfId="0" applyNumberFormat="1" applyFont="1" applyBorder="1">
      <alignment vertical="center"/>
    </xf>
    <xf numFmtId="182" fontId="10" fillId="0" borderId="47" xfId="0" applyNumberFormat="1" applyFont="1" applyBorder="1">
      <alignment vertical="center"/>
    </xf>
    <xf numFmtId="182" fontId="10" fillId="0" borderId="56" xfId="0" applyNumberFormat="1" applyFont="1" applyBorder="1">
      <alignment vertical="center"/>
    </xf>
    <xf numFmtId="182" fontId="11" fillId="4" borderId="78" xfId="0" applyNumberFormat="1" applyFont="1" applyFill="1" applyBorder="1">
      <alignment vertical="center"/>
    </xf>
    <xf numFmtId="182" fontId="11" fillId="4" borderId="77" xfId="0" applyNumberFormat="1" applyFont="1" applyFill="1" applyBorder="1">
      <alignment vertical="center"/>
    </xf>
    <xf numFmtId="182" fontId="11" fillId="4" borderId="49" xfId="0" applyNumberFormat="1" applyFont="1" applyFill="1" applyBorder="1">
      <alignment vertical="center"/>
    </xf>
    <xf numFmtId="182" fontId="14" fillId="4" borderId="78" xfId="0" applyNumberFormat="1" applyFont="1" applyFill="1" applyBorder="1">
      <alignment vertical="center"/>
    </xf>
    <xf numFmtId="182" fontId="14" fillId="4" borderId="77" xfId="0" applyNumberFormat="1" applyFont="1" applyFill="1" applyBorder="1">
      <alignment vertical="center"/>
    </xf>
    <xf numFmtId="182" fontId="14" fillId="4" borderId="49" xfId="0" applyNumberFormat="1" applyFont="1" applyFill="1" applyBorder="1">
      <alignment vertical="center"/>
    </xf>
    <xf numFmtId="182" fontId="11" fillId="4" borderId="75" xfId="0" applyNumberFormat="1" applyFont="1" applyFill="1" applyBorder="1">
      <alignment vertical="center"/>
    </xf>
    <xf numFmtId="182" fontId="10" fillId="0" borderId="58" xfId="0" applyNumberFormat="1" applyFont="1" applyBorder="1">
      <alignment vertical="center"/>
    </xf>
    <xf numFmtId="182" fontId="10" fillId="0" borderId="27" xfId="0" applyNumberFormat="1" applyFont="1" applyBorder="1">
      <alignment vertical="center"/>
    </xf>
    <xf numFmtId="182" fontId="10" fillId="0" borderId="60" xfId="0" applyNumberFormat="1" applyFont="1" applyBorder="1">
      <alignment vertical="center"/>
    </xf>
    <xf numFmtId="182" fontId="10" fillId="0" borderId="80" xfId="0" applyNumberFormat="1" applyFont="1" applyBorder="1">
      <alignment vertical="center"/>
    </xf>
    <xf numFmtId="182" fontId="12" fillId="0" borderId="58" xfId="0" applyNumberFormat="1" applyFont="1" applyBorder="1">
      <alignment vertical="center"/>
    </xf>
    <xf numFmtId="182" fontId="12" fillId="0" borderId="27" xfId="0" applyNumberFormat="1" applyFont="1" applyBorder="1">
      <alignment vertical="center"/>
    </xf>
    <xf numFmtId="182" fontId="12" fillId="0" borderId="60" xfId="0" applyNumberFormat="1" applyFont="1" applyBorder="1">
      <alignment vertical="center"/>
    </xf>
    <xf numFmtId="182" fontId="10" fillId="0" borderId="13" xfId="0" applyNumberFormat="1" applyFont="1" applyBorder="1">
      <alignment vertical="center"/>
    </xf>
    <xf numFmtId="182" fontId="10" fillId="0" borderId="59" xfId="0" applyNumberFormat="1" applyFont="1" applyBorder="1">
      <alignment vertical="center"/>
    </xf>
    <xf numFmtId="182" fontId="10" fillId="0" borderId="46" xfId="0" applyNumberFormat="1" applyFont="1" applyBorder="1">
      <alignment vertical="center"/>
    </xf>
    <xf numFmtId="182" fontId="10" fillId="0" borderId="66" xfId="0" applyNumberFormat="1" applyFont="1" applyBorder="1">
      <alignment vertical="center"/>
    </xf>
    <xf numFmtId="182" fontId="11" fillId="4" borderId="59" xfId="0" applyNumberFormat="1" applyFont="1" applyFill="1" applyBorder="1">
      <alignment vertical="center"/>
    </xf>
    <xf numFmtId="182" fontId="11" fillId="4" borderId="46" xfId="0" applyNumberFormat="1" applyFont="1" applyFill="1" applyBorder="1">
      <alignment vertical="center"/>
    </xf>
    <xf numFmtId="182" fontId="11" fillId="4" borderId="13" xfId="0" applyNumberFormat="1" applyFont="1" applyFill="1" applyBorder="1">
      <alignment vertical="center"/>
    </xf>
    <xf numFmtId="182" fontId="14" fillId="4" borderId="13" xfId="0" applyNumberFormat="1" applyFont="1" applyFill="1" applyBorder="1">
      <alignment vertical="center"/>
    </xf>
    <xf numFmtId="182" fontId="14" fillId="4" borderId="59" xfId="0" applyNumberFormat="1" applyFont="1" applyFill="1" applyBorder="1">
      <alignment vertical="center"/>
    </xf>
    <xf numFmtId="182" fontId="14" fillId="4" borderId="46" xfId="0" applyNumberFormat="1" applyFont="1" applyFill="1" applyBorder="1">
      <alignment vertical="center"/>
    </xf>
    <xf numFmtId="213" fontId="10" fillId="0" borderId="1" xfId="0" applyNumberFormat="1" applyFont="1" applyBorder="1">
      <alignment vertical="center"/>
    </xf>
    <xf numFmtId="213" fontId="10" fillId="0" borderId="69" xfId="0" applyNumberFormat="1" applyFont="1" applyBorder="1">
      <alignment vertical="center"/>
    </xf>
    <xf numFmtId="213" fontId="10" fillId="0" borderId="21" xfId="0" applyNumberFormat="1" applyFont="1" applyBorder="1">
      <alignment vertical="center"/>
    </xf>
    <xf numFmtId="213" fontId="12" fillId="0" borderId="55" xfId="0" applyNumberFormat="1" applyFont="1" applyBorder="1">
      <alignment vertical="center"/>
    </xf>
    <xf numFmtId="213" fontId="12" fillId="0" borderId="1" xfId="0" applyNumberFormat="1" applyFont="1" applyBorder="1">
      <alignment vertical="center"/>
    </xf>
    <xf numFmtId="213" fontId="12" fillId="0" borderId="69" xfId="0" applyNumberFormat="1" applyFont="1" applyBorder="1">
      <alignment vertical="center"/>
    </xf>
    <xf numFmtId="213" fontId="11" fillId="4" borderId="31" xfId="0" applyNumberFormat="1" applyFont="1" applyFill="1" applyBorder="1">
      <alignment vertical="center"/>
    </xf>
    <xf numFmtId="213" fontId="10" fillId="0" borderId="47" xfId="0" applyNumberFormat="1" applyFont="1" applyBorder="1">
      <alignment vertical="center"/>
    </xf>
    <xf numFmtId="213" fontId="10" fillId="0" borderId="56" xfId="0" applyNumberFormat="1" applyFont="1" applyBorder="1">
      <alignment vertical="center"/>
    </xf>
    <xf numFmtId="213" fontId="10" fillId="0" borderId="5" xfId="0" applyNumberFormat="1" applyFont="1" applyBorder="1">
      <alignment vertical="center"/>
    </xf>
    <xf numFmtId="213" fontId="102" fillId="4" borderId="18" xfId="0" applyNumberFormat="1" applyFont="1" applyFill="1" applyBorder="1">
      <alignment vertical="center"/>
    </xf>
    <xf numFmtId="213" fontId="102" fillId="4" borderId="19" xfId="0" applyNumberFormat="1" applyFont="1" applyFill="1" applyBorder="1">
      <alignment vertical="center"/>
    </xf>
    <xf numFmtId="213" fontId="102" fillId="4" borderId="67" xfId="0" applyNumberFormat="1" applyFont="1" applyFill="1" applyBorder="1">
      <alignment vertical="center"/>
    </xf>
    <xf numFmtId="213" fontId="102" fillId="4" borderId="20" xfId="0" applyNumberFormat="1" applyFont="1" applyFill="1" applyBorder="1">
      <alignment vertical="center"/>
    </xf>
    <xf numFmtId="213" fontId="102" fillId="4" borderId="17" xfId="0" applyNumberFormat="1" applyFont="1" applyFill="1" applyBorder="1">
      <alignment vertical="center"/>
    </xf>
    <xf numFmtId="213" fontId="101" fillId="4" borderId="29" xfId="0" applyNumberFormat="1" applyFont="1" applyFill="1" applyBorder="1">
      <alignment vertical="center"/>
    </xf>
    <xf numFmtId="182" fontId="10" fillId="0" borderId="0" xfId="0" applyNumberFormat="1" applyFont="1">
      <alignment vertical="center"/>
    </xf>
    <xf numFmtId="182" fontId="10" fillId="0" borderId="8" xfId="0" applyNumberFormat="1" applyFont="1" applyBorder="1">
      <alignment vertical="center"/>
    </xf>
    <xf numFmtId="182" fontId="12" fillId="0" borderId="10" xfId="0" applyNumberFormat="1" applyFont="1" applyBorder="1">
      <alignment vertical="center"/>
    </xf>
    <xf numFmtId="182" fontId="10" fillId="0" borderId="10" xfId="0" applyNumberFormat="1" applyFont="1" applyBorder="1">
      <alignment vertical="center"/>
    </xf>
    <xf numFmtId="182" fontId="10" fillId="0" borderId="24" xfId="0" applyNumberFormat="1" applyFont="1" applyBorder="1">
      <alignment vertical="center"/>
    </xf>
    <xf numFmtId="182" fontId="11" fillId="4" borderId="76" xfId="0" applyNumberFormat="1" applyFont="1" applyFill="1" applyBorder="1">
      <alignment vertical="center"/>
    </xf>
    <xf numFmtId="182" fontId="11" fillId="4" borderId="43" xfId="0" applyNumberFormat="1" applyFont="1" applyFill="1" applyBorder="1">
      <alignment vertical="center"/>
    </xf>
    <xf numFmtId="182" fontId="14" fillId="4" borderId="76" xfId="0" applyNumberFormat="1" applyFont="1" applyFill="1" applyBorder="1">
      <alignment vertical="center"/>
    </xf>
    <xf numFmtId="182" fontId="10" fillId="3" borderId="58" xfId="0" applyNumberFormat="1" applyFont="1" applyFill="1" applyBorder="1" applyAlignment="1">
      <alignment horizontal="right" vertical="center"/>
    </xf>
    <xf numFmtId="182" fontId="10" fillId="3" borderId="27" xfId="0" applyNumberFormat="1" applyFont="1" applyFill="1" applyBorder="1" applyAlignment="1">
      <alignment horizontal="right" vertical="center"/>
    </xf>
    <xf numFmtId="182" fontId="10" fillId="3" borderId="65" xfId="0" applyNumberFormat="1" applyFont="1" applyFill="1" applyBorder="1" applyAlignment="1">
      <alignment horizontal="right" vertical="center"/>
    </xf>
    <xf numFmtId="182" fontId="10" fillId="3" borderId="60" xfId="0" applyNumberFormat="1" applyFont="1" applyFill="1" applyBorder="1" applyAlignment="1">
      <alignment horizontal="right" vertical="center"/>
    </xf>
    <xf numFmtId="182" fontId="10" fillId="4" borderId="14" xfId="0" applyNumberFormat="1" applyFont="1" applyFill="1" applyBorder="1" applyAlignment="1">
      <alignment horizontal="right" vertical="center"/>
    </xf>
    <xf numFmtId="182" fontId="11" fillId="4" borderId="17" xfId="0" applyNumberFormat="1" applyFont="1" applyFill="1" applyBorder="1" applyAlignment="1">
      <alignment horizontal="right" vertical="center"/>
    </xf>
    <xf numFmtId="182" fontId="11" fillId="4" borderId="18" xfId="0" applyNumberFormat="1" applyFont="1" applyFill="1" applyBorder="1" applyAlignment="1">
      <alignment horizontal="right" vertical="center"/>
    </xf>
    <xf numFmtId="182" fontId="11" fillId="4" borderId="20" xfId="0" applyNumberFormat="1" applyFont="1" applyFill="1" applyBorder="1" applyAlignment="1">
      <alignment horizontal="right" vertical="center"/>
    </xf>
    <xf numFmtId="182" fontId="11" fillId="4" borderId="19" xfId="0" applyNumberFormat="1" applyFont="1" applyFill="1" applyBorder="1" applyAlignment="1">
      <alignment horizontal="right" vertical="center"/>
    </xf>
    <xf numFmtId="182" fontId="11" fillId="4" borderId="29" xfId="0" applyNumberFormat="1" applyFont="1" applyFill="1" applyBorder="1" applyAlignment="1">
      <alignment horizontal="right" vertical="center"/>
    </xf>
    <xf numFmtId="213" fontId="10" fillId="26" borderId="55" xfId="0" applyNumberFormat="1" applyFont="1" applyFill="1" applyBorder="1" applyAlignment="1">
      <alignment horizontal="right" vertical="center"/>
    </xf>
    <xf numFmtId="213" fontId="10" fillId="26" borderId="1" xfId="0" applyNumberFormat="1" applyFont="1" applyFill="1" applyBorder="1" applyAlignment="1">
      <alignment horizontal="right" vertical="center"/>
    </xf>
    <xf numFmtId="213" fontId="10" fillId="26" borderId="8" xfId="0" applyNumberFormat="1" applyFont="1" applyFill="1" applyBorder="1" applyAlignment="1">
      <alignment horizontal="right" vertical="center"/>
    </xf>
    <xf numFmtId="213" fontId="10" fillId="26" borderId="69" xfId="0" applyNumberFormat="1" applyFont="1" applyFill="1" applyBorder="1" applyAlignment="1">
      <alignment horizontal="right" vertical="center"/>
    </xf>
    <xf numFmtId="213" fontId="10" fillId="4" borderId="31" xfId="0" applyNumberFormat="1" applyFont="1" applyFill="1" applyBorder="1" applyAlignment="1">
      <alignment horizontal="right" vertical="center"/>
    </xf>
    <xf numFmtId="41" fontId="57" fillId="0" borderId="28" xfId="0" applyNumberFormat="1" applyFont="1" applyBorder="1">
      <alignment vertical="center"/>
    </xf>
    <xf numFmtId="41" fontId="30" fillId="3" borderId="5" xfId="0" applyNumberFormat="1" applyFont="1" applyFill="1" applyBorder="1" applyAlignment="1">
      <alignment horizontal="center" vertical="center"/>
    </xf>
    <xf numFmtId="185" fontId="57" fillId="0" borderId="5" xfId="0" applyNumberFormat="1" applyFont="1" applyBorder="1">
      <alignment vertical="center"/>
    </xf>
    <xf numFmtId="0" fontId="15" fillId="3" borderId="28" xfId="0" applyFont="1" applyFill="1" applyBorder="1" applyAlignment="1">
      <alignment horizontal="center" vertical="center"/>
    </xf>
    <xf numFmtId="43" fontId="92" fillId="3" borderId="18" xfId="0" applyNumberFormat="1" applyFont="1" applyFill="1" applyBorder="1">
      <alignment vertical="center"/>
    </xf>
    <xf numFmtId="0" fontId="92" fillId="3" borderId="28" xfId="0" applyFont="1" applyFill="1" applyBorder="1">
      <alignment vertical="center"/>
    </xf>
    <xf numFmtId="41" fontId="93" fillId="3" borderId="28" xfId="0" applyNumberFormat="1" applyFont="1" applyFill="1" applyBorder="1">
      <alignment vertical="center"/>
    </xf>
    <xf numFmtId="192" fontId="93" fillId="3" borderId="28" xfId="0" applyNumberFormat="1" applyFont="1" applyFill="1" applyBorder="1">
      <alignment vertical="center"/>
    </xf>
    <xf numFmtId="0" fontId="108" fillId="3" borderId="0" xfId="0" applyFont="1" applyFill="1">
      <alignment vertical="center"/>
    </xf>
    <xf numFmtId="0" fontId="109" fillId="3" borderId="0" xfId="0" applyFont="1" applyFill="1">
      <alignment vertical="center"/>
    </xf>
    <xf numFmtId="41" fontId="108" fillId="3" borderId="0" xfId="0" applyNumberFormat="1" applyFont="1" applyFill="1">
      <alignment vertical="center"/>
    </xf>
    <xf numFmtId="0" fontId="110" fillId="3" borderId="0" xfId="0" applyFont="1" applyFill="1">
      <alignment vertical="center"/>
    </xf>
    <xf numFmtId="0" fontId="111" fillId="3" borderId="0" xfId="0" applyFont="1" applyFill="1">
      <alignment vertical="center"/>
    </xf>
    <xf numFmtId="0" fontId="111" fillId="3" borderId="28" xfId="0" applyFont="1" applyFill="1" applyBorder="1" applyAlignment="1">
      <alignment horizontal="center" vertical="center"/>
    </xf>
    <xf numFmtId="0" fontId="111" fillId="3" borderId="28" xfId="0" applyFont="1" applyFill="1" applyBorder="1" applyAlignment="1">
      <alignment vertical="center" wrapText="1"/>
    </xf>
    <xf numFmtId="0" fontId="111" fillId="3" borderId="28" xfId="0" quotePrefix="1" applyFont="1" applyFill="1" applyBorder="1">
      <alignment vertical="center"/>
    </xf>
    <xf numFmtId="192" fontId="111" fillId="3" borderId="28" xfId="0" applyNumberFormat="1" applyFont="1" applyFill="1" applyBorder="1">
      <alignment vertical="center"/>
    </xf>
    <xf numFmtId="0" fontId="111" fillId="3" borderId="5" xfId="0" applyFont="1" applyFill="1" applyBorder="1" applyAlignment="1">
      <alignment vertical="center" wrapText="1"/>
    </xf>
    <xf numFmtId="0" fontId="111" fillId="3" borderId="28" xfId="0" applyFont="1" applyFill="1" applyBorder="1" applyAlignment="1">
      <alignment horizontal="left" vertical="center"/>
    </xf>
    <xf numFmtId="0" fontId="111" fillId="3" borderId="5" xfId="0" applyFont="1" applyFill="1" applyBorder="1" applyAlignment="1">
      <alignment horizontal="left" vertical="center"/>
    </xf>
    <xf numFmtId="192" fontId="111" fillId="3" borderId="28" xfId="0" quotePrefix="1" applyNumberFormat="1" applyFont="1" applyFill="1" applyBorder="1">
      <alignment vertical="center"/>
    </xf>
    <xf numFmtId="192" fontId="110" fillId="13" borderId="28" xfId="0" applyNumberFormat="1" applyFont="1" applyFill="1" applyBorder="1">
      <alignment vertical="center"/>
    </xf>
    <xf numFmtId="192" fontId="113" fillId="3" borderId="0" xfId="0" applyNumberFormat="1" applyFont="1" applyFill="1">
      <alignment vertical="center"/>
    </xf>
    <xf numFmtId="0" fontId="108" fillId="3" borderId="0" xfId="0" applyFont="1" applyFill="1" applyAlignment="1">
      <alignment horizontal="center" vertical="center"/>
    </xf>
    <xf numFmtId="0" fontId="108" fillId="3" borderId="0" xfId="0" applyFont="1" applyFill="1" applyAlignment="1">
      <alignment horizontal="left" vertical="center"/>
    </xf>
    <xf numFmtId="0" fontId="108" fillId="3" borderId="0" xfId="0" quotePrefix="1" applyFont="1" applyFill="1" applyAlignment="1">
      <alignment horizontal="left" vertical="center"/>
    </xf>
    <xf numFmtId="192" fontId="108" fillId="3" borderId="0" xfId="0" applyNumberFormat="1" applyFont="1" applyFill="1" applyAlignment="1">
      <alignment horizontal="left" vertical="center"/>
    </xf>
    <xf numFmtId="0" fontId="108" fillId="0" borderId="0" xfId="0" applyFont="1">
      <alignment vertical="center"/>
    </xf>
    <xf numFmtId="0" fontId="108" fillId="0" borderId="0" xfId="0" applyFont="1" applyAlignment="1">
      <alignment horizontal="center" vertical="center"/>
    </xf>
    <xf numFmtId="0" fontId="110" fillId="4" borderId="77" xfId="0" applyFont="1" applyFill="1" applyBorder="1" applyAlignment="1">
      <alignment horizontal="center" vertical="center"/>
    </xf>
    <xf numFmtId="0" fontId="110" fillId="4" borderId="43" xfId="0" applyFont="1" applyFill="1" applyBorder="1" applyAlignment="1">
      <alignment horizontal="center" vertical="center"/>
    </xf>
    <xf numFmtId="0" fontId="91" fillId="3" borderId="42" xfId="0" quotePrefix="1" applyFont="1" applyFill="1" applyBorder="1">
      <alignment vertical="center"/>
    </xf>
    <xf numFmtId="0" fontId="91" fillId="3" borderId="42" xfId="0" quotePrefix="1" applyFont="1" applyFill="1" applyBorder="1" applyAlignment="1">
      <alignment horizontal="left" vertical="center" wrapText="1"/>
    </xf>
    <xf numFmtId="0" fontId="91" fillId="3" borderId="5" xfId="0" applyFont="1" applyFill="1" applyBorder="1" applyAlignment="1">
      <alignment horizontal="center" vertical="center" wrapText="1"/>
    </xf>
    <xf numFmtId="0" fontId="91" fillId="3" borderId="48" xfId="0" quotePrefix="1" applyFont="1" applyFill="1" applyBorder="1">
      <alignment vertical="center"/>
    </xf>
    <xf numFmtId="0" fontId="91" fillId="3" borderId="28" xfId="0" applyFont="1" applyFill="1" applyBorder="1" applyAlignment="1">
      <alignment horizontal="center" vertical="center" wrapText="1"/>
    </xf>
    <xf numFmtId="0" fontId="91" fillId="3" borderId="8" xfId="0" applyFont="1" applyFill="1" applyBorder="1" applyAlignment="1">
      <alignment vertical="center" wrapText="1"/>
    </xf>
    <xf numFmtId="0" fontId="91" fillId="3" borderId="61" xfId="0" applyFont="1" applyFill="1" applyBorder="1" applyAlignment="1">
      <alignment vertical="center" wrapText="1"/>
    </xf>
    <xf numFmtId="0" fontId="91" fillId="3" borderId="1" xfId="0" applyFont="1" applyFill="1" applyBorder="1" applyAlignment="1">
      <alignment vertical="center" wrapText="1"/>
    </xf>
    <xf numFmtId="0" fontId="82" fillId="3" borderId="48" xfId="0" quotePrefix="1" applyFont="1" applyFill="1" applyBorder="1">
      <alignment vertical="center"/>
    </xf>
    <xf numFmtId="0" fontId="91" fillId="3" borderId="1" xfId="0" applyFont="1" applyFill="1" applyBorder="1">
      <alignment vertical="center"/>
    </xf>
    <xf numFmtId="0" fontId="91" fillId="3" borderId="63" xfId="0" applyFont="1" applyFill="1" applyBorder="1" applyAlignment="1">
      <alignment horizontal="left" vertical="center"/>
    </xf>
    <xf numFmtId="0" fontId="91" fillId="3" borderId="8" xfId="0" applyFont="1" applyFill="1" applyBorder="1" applyAlignment="1">
      <alignment horizontal="left" vertical="center"/>
    </xf>
    <xf numFmtId="41" fontId="106" fillId="3" borderId="28" xfId="0" applyNumberFormat="1" applyFont="1" applyFill="1" applyBorder="1">
      <alignment vertical="center"/>
    </xf>
    <xf numFmtId="0" fontId="91" fillId="0" borderId="0" xfId="0" applyFont="1" applyAlignment="1">
      <alignment horizontal="center" vertical="center"/>
    </xf>
    <xf numFmtId="0" fontId="115" fillId="0" borderId="0" xfId="0" applyFont="1" applyAlignment="1">
      <alignment horizontal="left" vertical="center"/>
    </xf>
    <xf numFmtId="0" fontId="114" fillId="0" borderId="0" xfId="0" applyFont="1">
      <alignment vertical="center"/>
    </xf>
    <xf numFmtId="0" fontId="114" fillId="0" borderId="0" xfId="0" applyFont="1" applyAlignment="1">
      <alignment horizontal="center" vertical="center"/>
    </xf>
    <xf numFmtId="41" fontId="91" fillId="0" borderId="0" xfId="0" applyNumberFormat="1" applyFont="1">
      <alignment vertical="center"/>
    </xf>
    <xf numFmtId="41" fontId="82" fillId="0" borderId="0" xfId="0" applyNumberFormat="1" applyFont="1">
      <alignment vertical="center"/>
    </xf>
    <xf numFmtId="41" fontId="116" fillId="0" borderId="0" xfId="0" applyNumberFormat="1" applyFont="1">
      <alignment vertical="center"/>
    </xf>
    <xf numFmtId="0" fontId="82" fillId="0" borderId="0" xfId="0" applyFont="1">
      <alignment vertical="center"/>
    </xf>
    <xf numFmtId="0" fontId="116" fillId="0" borderId="0" xfId="0" applyFont="1">
      <alignment vertical="center"/>
    </xf>
    <xf numFmtId="0" fontId="91" fillId="0" borderId="0" xfId="0" applyFont="1" applyAlignment="1">
      <alignment horizontal="right" vertical="center"/>
    </xf>
    <xf numFmtId="0" fontId="109" fillId="0" borderId="0" xfId="0" applyFont="1">
      <alignment vertical="center"/>
    </xf>
    <xf numFmtId="0" fontId="114" fillId="4" borderId="17" xfId="0" applyFont="1" applyFill="1" applyBorder="1" applyAlignment="1">
      <alignment horizontal="center" vertical="center"/>
    </xf>
    <xf numFmtId="0" fontId="114" fillId="4" borderId="19" xfId="0" applyFont="1" applyFill="1" applyBorder="1" applyAlignment="1">
      <alignment horizontal="center" vertical="center"/>
    </xf>
    <xf numFmtId="0" fontId="114" fillId="4" borderId="29" xfId="0" applyFont="1" applyFill="1" applyBorder="1" applyAlignment="1">
      <alignment horizontal="center" vertical="center" wrapText="1"/>
    </xf>
    <xf numFmtId="41" fontId="91" fillId="3" borderId="58" xfId="0" applyNumberFormat="1" applyFont="1" applyFill="1" applyBorder="1">
      <alignment vertical="center"/>
    </xf>
    <xf numFmtId="41" fontId="91" fillId="3" borderId="27" xfId="0" applyNumberFormat="1" applyFont="1" applyFill="1" applyBorder="1">
      <alignment vertical="center"/>
    </xf>
    <xf numFmtId="41" fontId="91" fillId="3" borderId="60" xfId="0" applyNumberFormat="1" applyFont="1" applyFill="1" applyBorder="1">
      <alignment vertical="center"/>
    </xf>
    <xf numFmtId="41" fontId="114" fillId="4" borderId="14" xfId="0" applyNumberFormat="1" applyFont="1" applyFill="1" applyBorder="1">
      <alignment vertical="center"/>
    </xf>
    <xf numFmtId="41" fontId="114" fillId="3" borderId="0" xfId="0" applyNumberFormat="1" applyFont="1" applyFill="1">
      <alignment vertical="center"/>
    </xf>
    <xf numFmtId="190" fontId="82" fillId="4" borderId="47" xfId="0" applyNumberFormat="1" applyFont="1" applyFill="1" applyBorder="1" applyAlignment="1">
      <alignment horizontal="center" vertical="center"/>
    </xf>
    <xf numFmtId="41" fontId="91" fillId="3" borderId="35" xfId="0" applyNumberFormat="1" applyFont="1" applyFill="1" applyBorder="1">
      <alignment vertical="center"/>
    </xf>
    <xf numFmtId="41" fontId="91" fillId="3" borderId="5" xfId="0" applyNumberFormat="1" applyFont="1" applyFill="1" applyBorder="1">
      <alignment vertical="center"/>
    </xf>
    <xf numFmtId="41" fontId="91" fillId="3" borderId="47" xfId="0" applyNumberFormat="1" applyFont="1" applyFill="1" applyBorder="1">
      <alignment vertical="center"/>
    </xf>
    <xf numFmtId="41" fontId="114" fillId="4" borderId="44" xfId="0" applyNumberFormat="1" applyFont="1" applyFill="1" applyBorder="1">
      <alignment vertical="center"/>
    </xf>
    <xf numFmtId="190" fontId="82" fillId="4" borderId="69" xfId="0" applyNumberFormat="1" applyFont="1" applyFill="1" applyBorder="1" applyAlignment="1">
      <alignment horizontal="center" vertical="center"/>
    </xf>
    <xf numFmtId="41" fontId="91" fillId="3" borderId="55" xfId="0" applyNumberFormat="1" applyFont="1" applyFill="1" applyBorder="1">
      <alignment vertical="center"/>
    </xf>
    <xf numFmtId="41" fontId="91" fillId="3" borderId="1" xfId="0" applyNumberFormat="1" applyFont="1" applyFill="1" applyBorder="1">
      <alignment vertical="center"/>
    </xf>
    <xf numFmtId="41" fontId="91" fillId="3" borderId="69" xfId="0" applyNumberFormat="1" applyFont="1" applyFill="1" applyBorder="1">
      <alignment vertical="center"/>
    </xf>
    <xf numFmtId="41" fontId="91" fillId="3" borderId="8" xfId="0" applyNumberFormat="1" applyFont="1" applyFill="1" applyBorder="1">
      <alignment vertical="center"/>
    </xf>
    <xf numFmtId="41" fontId="114" fillId="4" borderId="31" xfId="0" applyNumberFormat="1" applyFont="1" applyFill="1" applyBorder="1">
      <alignment vertical="center"/>
    </xf>
    <xf numFmtId="41" fontId="91" fillId="3" borderId="42" xfId="0" applyNumberFormat="1" applyFont="1" applyFill="1" applyBorder="1">
      <alignment vertical="center"/>
    </xf>
    <xf numFmtId="0" fontId="106" fillId="4" borderId="42" xfId="0" applyFont="1" applyFill="1" applyBorder="1">
      <alignment vertical="center"/>
    </xf>
    <xf numFmtId="0" fontId="106" fillId="4" borderId="6" xfId="0" applyFont="1" applyFill="1" applyBorder="1">
      <alignment vertical="center"/>
    </xf>
    <xf numFmtId="0" fontId="106" fillId="4" borderId="62" xfId="0" applyFont="1" applyFill="1" applyBorder="1">
      <alignment vertical="center"/>
    </xf>
    <xf numFmtId="190" fontId="106" fillId="4" borderId="33" xfId="0" applyNumberFormat="1" applyFont="1" applyFill="1" applyBorder="1" applyAlignment="1">
      <alignment horizontal="center" vertical="center"/>
    </xf>
    <xf numFmtId="41" fontId="114" fillId="3" borderId="12" xfId="0" applyNumberFormat="1" applyFont="1" applyFill="1" applyBorder="1">
      <alignment vertical="center"/>
    </xf>
    <xf numFmtId="41" fontId="114" fillId="3" borderId="28" xfId="0" applyNumberFormat="1" applyFont="1" applyFill="1" applyBorder="1">
      <alignment vertical="center"/>
    </xf>
    <xf numFmtId="41" fontId="114" fillId="3" borderId="33" xfId="0" applyNumberFormat="1" applyFont="1" applyFill="1" applyBorder="1">
      <alignment vertical="center"/>
    </xf>
    <xf numFmtId="41" fontId="114" fillId="3" borderId="48" xfId="0" applyNumberFormat="1" applyFont="1" applyFill="1" applyBorder="1">
      <alignment vertical="center"/>
    </xf>
    <xf numFmtId="41" fontId="114" fillId="4" borderId="30" xfId="0" applyNumberFormat="1" applyFont="1" applyFill="1" applyBorder="1">
      <alignment vertical="center"/>
    </xf>
    <xf numFmtId="41" fontId="106" fillId="0" borderId="0" xfId="0" applyNumberFormat="1" applyFont="1">
      <alignment vertical="center"/>
    </xf>
    <xf numFmtId="178" fontId="91" fillId="0" borderId="0" xfId="0" applyNumberFormat="1" applyFont="1">
      <alignment vertical="center"/>
    </xf>
    <xf numFmtId="0" fontId="118" fillId="0" borderId="0" xfId="0" applyFont="1">
      <alignment vertical="center"/>
    </xf>
    <xf numFmtId="190" fontId="82" fillId="4" borderId="54" xfId="0" applyNumberFormat="1" applyFont="1" applyFill="1" applyBorder="1" applyAlignment="1">
      <alignment horizontal="center" vertical="center"/>
    </xf>
    <xf numFmtId="41" fontId="91" fillId="3" borderId="86" xfId="0" applyNumberFormat="1" applyFont="1" applyFill="1" applyBorder="1">
      <alignment vertical="center"/>
    </xf>
    <xf numFmtId="41" fontId="91" fillId="3" borderId="11" xfId="0" applyNumberFormat="1" applyFont="1" applyFill="1" applyBorder="1">
      <alignment vertical="center"/>
    </xf>
    <xf numFmtId="41" fontId="91" fillId="3" borderId="54" xfId="0" applyNumberFormat="1" applyFont="1" applyFill="1" applyBorder="1">
      <alignment vertical="center"/>
    </xf>
    <xf numFmtId="41" fontId="91" fillId="3" borderId="119" xfId="0" applyNumberFormat="1" applyFont="1" applyFill="1" applyBorder="1">
      <alignment vertical="center"/>
    </xf>
    <xf numFmtId="41" fontId="114" fillId="4" borderId="94" xfId="0" applyNumberFormat="1" applyFont="1" applyFill="1" applyBorder="1">
      <alignment vertical="center"/>
    </xf>
    <xf numFmtId="41" fontId="82" fillId="4" borderId="9" xfId="0" applyNumberFormat="1" applyFont="1" applyFill="1" applyBorder="1">
      <alignment vertical="center"/>
    </xf>
    <xf numFmtId="190" fontId="82" fillId="4" borderId="89" xfId="0" applyNumberFormat="1" applyFont="1" applyFill="1" applyBorder="1" applyAlignment="1">
      <alignment horizontal="center" vertical="center"/>
    </xf>
    <xf numFmtId="41" fontId="91" fillId="3" borderId="9" xfId="0" applyNumberFormat="1" applyFont="1" applyFill="1" applyBorder="1">
      <alignment vertical="center"/>
    </xf>
    <xf numFmtId="41" fontId="91" fillId="3" borderId="89" xfId="0" applyNumberFormat="1" applyFont="1" applyFill="1" applyBorder="1">
      <alignment vertical="center"/>
    </xf>
    <xf numFmtId="41" fontId="91" fillId="3" borderId="118" xfId="0" applyNumberFormat="1" applyFont="1" applyFill="1" applyBorder="1">
      <alignment vertical="center"/>
    </xf>
    <xf numFmtId="41" fontId="114" fillId="4" borderId="106" xfId="0" applyNumberFormat="1" applyFont="1" applyFill="1" applyBorder="1">
      <alignment vertical="center"/>
    </xf>
    <xf numFmtId="41" fontId="82" fillId="4" borderId="61" xfId="0" applyNumberFormat="1" applyFont="1" applyFill="1" applyBorder="1">
      <alignment vertical="center"/>
    </xf>
    <xf numFmtId="41" fontId="82" fillId="4" borderId="61" xfId="0" applyNumberFormat="1" applyFont="1" applyFill="1" applyBorder="1" applyAlignment="1">
      <alignment vertical="top"/>
    </xf>
    <xf numFmtId="190" fontId="82" fillId="4" borderId="34" xfId="0" applyNumberFormat="1" applyFont="1" applyFill="1" applyBorder="1" applyAlignment="1">
      <alignment horizontal="center" vertical="center"/>
    </xf>
    <xf numFmtId="41" fontId="91" fillId="3" borderId="61" xfId="0" applyNumberFormat="1" applyFont="1" applyFill="1" applyBorder="1">
      <alignment vertical="center"/>
    </xf>
    <xf numFmtId="41" fontId="91" fillId="3" borderId="34" xfId="0" applyNumberFormat="1" applyFont="1" applyFill="1" applyBorder="1">
      <alignment vertical="center"/>
    </xf>
    <xf numFmtId="41" fontId="91" fillId="3" borderId="63" xfId="0" applyNumberFormat="1" applyFont="1" applyFill="1" applyBorder="1">
      <alignment vertical="center"/>
    </xf>
    <xf numFmtId="41" fontId="114" fillId="4" borderId="57" xfId="0" applyNumberFormat="1" applyFont="1" applyFill="1" applyBorder="1">
      <alignment vertical="center"/>
    </xf>
    <xf numFmtId="41" fontId="82" fillId="4" borderId="1" xfId="0" applyNumberFormat="1" applyFont="1" applyFill="1" applyBorder="1" applyAlignment="1">
      <alignment vertical="top"/>
    </xf>
    <xf numFmtId="41" fontId="82" fillId="4" borderId="11" xfId="0" applyNumberFormat="1" applyFont="1" applyFill="1" applyBorder="1" applyAlignment="1">
      <alignment vertical="top"/>
    </xf>
    <xf numFmtId="41" fontId="82" fillId="4" borderId="132" xfId="0" applyNumberFormat="1" applyFont="1" applyFill="1" applyBorder="1">
      <alignment vertical="center"/>
    </xf>
    <xf numFmtId="190" fontId="82" fillId="4" borderId="129" xfId="0" applyNumberFormat="1" applyFont="1" applyFill="1" applyBorder="1" applyAlignment="1">
      <alignment horizontal="center" vertical="center"/>
    </xf>
    <xf numFmtId="41" fontId="91" fillId="3" borderId="128" xfId="0" applyNumberFormat="1" applyFont="1" applyFill="1" applyBorder="1">
      <alignment vertical="center"/>
    </xf>
    <xf numFmtId="41" fontId="91" fillId="3" borderId="4" xfId="0" applyNumberFormat="1" applyFont="1" applyFill="1" applyBorder="1">
      <alignment vertical="center"/>
    </xf>
    <xf numFmtId="41" fontId="91" fillId="3" borderId="129" xfId="0" applyNumberFormat="1" applyFont="1" applyFill="1" applyBorder="1">
      <alignment vertical="center"/>
    </xf>
    <xf numFmtId="41" fontId="114" fillId="4" borderId="133" xfId="0" applyNumberFormat="1" applyFont="1" applyFill="1" applyBorder="1">
      <alignment vertical="center"/>
    </xf>
    <xf numFmtId="41" fontId="82" fillId="4" borderId="42" xfId="0" applyNumberFormat="1" applyFont="1" applyFill="1" applyBorder="1">
      <alignment vertical="center"/>
    </xf>
    <xf numFmtId="41" fontId="91" fillId="3" borderId="56" xfId="0" applyNumberFormat="1" applyFont="1" applyFill="1" applyBorder="1">
      <alignment vertical="center"/>
    </xf>
    <xf numFmtId="41" fontId="82" fillId="4" borderId="0" xfId="0" applyNumberFormat="1" applyFont="1" applyFill="1">
      <alignment vertical="center"/>
    </xf>
    <xf numFmtId="41" fontId="91" fillId="3" borderId="10" xfId="0" applyNumberFormat="1" applyFont="1" applyFill="1" applyBorder="1">
      <alignment vertical="center"/>
    </xf>
    <xf numFmtId="41" fontId="82" fillId="4" borderId="5" xfId="0" applyNumberFormat="1" applyFont="1" applyFill="1" applyBorder="1" applyAlignment="1">
      <alignment vertical="top"/>
    </xf>
    <xf numFmtId="190" fontId="82" fillId="4" borderId="48" xfId="0" applyNumberFormat="1" applyFont="1" applyFill="1" applyBorder="1" applyAlignment="1">
      <alignment horizontal="center" vertical="center"/>
    </xf>
    <xf numFmtId="41" fontId="114" fillId="3" borderId="62" xfId="0" applyNumberFormat="1" applyFont="1" applyFill="1" applyBorder="1">
      <alignment vertical="center"/>
    </xf>
    <xf numFmtId="41" fontId="82" fillId="4" borderId="28" xfId="0" applyNumberFormat="1" applyFont="1" applyFill="1" applyBorder="1">
      <alignment vertical="center"/>
    </xf>
    <xf numFmtId="0" fontId="114" fillId="4" borderId="28" xfId="0" applyFont="1" applyFill="1" applyBorder="1" applyAlignment="1">
      <alignment horizontal="center" vertical="center" wrapText="1"/>
    </xf>
    <xf numFmtId="190" fontId="114" fillId="4" borderId="19" xfId="0" applyNumberFormat="1" applyFont="1" applyFill="1" applyBorder="1" applyAlignment="1">
      <alignment horizontal="center" vertical="center"/>
    </xf>
    <xf numFmtId="41" fontId="114" fillId="4" borderId="17" xfId="0" applyNumberFormat="1" applyFont="1" applyFill="1" applyBorder="1">
      <alignment vertical="center"/>
    </xf>
    <xf numFmtId="41" fontId="114" fillId="4" borderId="18" xfId="0" applyNumberFormat="1" applyFont="1" applyFill="1" applyBorder="1">
      <alignment vertical="center"/>
    </xf>
    <xf numFmtId="41" fontId="114" fillId="4" borderId="19" xfId="0" applyNumberFormat="1" applyFont="1" applyFill="1" applyBorder="1">
      <alignment vertical="center"/>
    </xf>
    <xf numFmtId="41" fontId="114" fillId="4" borderId="20" xfId="0" applyNumberFormat="1" applyFont="1" applyFill="1" applyBorder="1">
      <alignment vertical="center"/>
    </xf>
    <xf numFmtId="41" fontId="114" fillId="4" borderId="67" xfId="0" applyNumberFormat="1" applyFont="1" applyFill="1" applyBorder="1">
      <alignment vertical="center"/>
    </xf>
    <xf numFmtId="41" fontId="110" fillId="4" borderId="29" xfId="0" applyNumberFormat="1" applyFont="1" applyFill="1" applyBorder="1">
      <alignment vertical="center"/>
    </xf>
    <xf numFmtId="0" fontId="119" fillId="0" borderId="0" xfId="0" applyFont="1">
      <alignment vertical="center"/>
    </xf>
    <xf numFmtId="0" fontId="119" fillId="0" borderId="0" xfId="0" applyFont="1" applyAlignment="1">
      <alignment horizontal="center" vertical="center"/>
    </xf>
    <xf numFmtId="41" fontId="118" fillId="0" borderId="0" xfId="0" applyNumberFormat="1" applyFont="1">
      <alignment vertical="center"/>
    </xf>
    <xf numFmtId="41" fontId="91" fillId="3" borderId="0" xfId="0" applyNumberFormat="1" applyFont="1" applyFill="1">
      <alignment vertical="center"/>
    </xf>
    <xf numFmtId="9" fontId="91" fillId="0" borderId="0" xfId="0" applyNumberFormat="1" applyFont="1" applyAlignment="1">
      <alignment horizontal="right" vertical="center"/>
    </xf>
    <xf numFmtId="41" fontId="82" fillId="4" borderId="27" xfId="0" applyNumberFormat="1" applyFont="1" applyFill="1" applyBorder="1" applyAlignment="1">
      <alignment horizontal="left" vertical="center"/>
    </xf>
    <xf numFmtId="41" fontId="82" fillId="4" borderId="8" xfId="0" applyNumberFormat="1" applyFont="1" applyFill="1" applyBorder="1" applyAlignment="1">
      <alignment horizontal="left" vertical="center"/>
    </xf>
    <xf numFmtId="192" fontId="82" fillId="4" borderId="69" xfId="0" applyNumberFormat="1" applyFont="1" applyFill="1" applyBorder="1" applyAlignment="1">
      <alignment horizontal="center" vertical="center"/>
    </xf>
    <xf numFmtId="0" fontId="91" fillId="3" borderId="0" xfId="0" applyFont="1" applyFill="1">
      <alignment vertical="center"/>
    </xf>
    <xf numFmtId="41" fontId="114" fillId="4" borderId="12" xfId="0" applyNumberFormat="1" applyFont="1" applyFill="1" applyBorder="1">
      <alignment vertical="center"/>
    </xf>
    <xf numFmtId="41" fontId="114" fillId="4" borderId="28" xfId="0" applyNumberFormat="1" applyFont="1" applyFill="1" applyBorder="1">
      <alignment vertical="center"/>
    </xf>
    <xf numFmtId="41" fontId="114" fillId="4" borderId="33" xfId="0" applyNumberFormat="1" applyFont="1" applyFill="1" applyBorder="1">
      <alignment vertical="center"/>
    </xf>
    <xf numFmtId="41" fontId="82" fillId="4" borderId="4" xfId="0" applyNumberFormat="1" applyFont="1" applyFill="1" applyBorder="1">
      <alignment vertical="center"/>
    </xf>
    <xf numFmtId="41" fontId="82" fillId="4" borderId="8" xfId="0" applyNumberFormat="1" applyFont="1" applyFill="1" applyBorder="1" applyAlignment="1">
      <alignment vertical="top"/>
    </xf>
    <xf numFmtId="190" fontId="82" fillId="4" borderId="33" xfId="0" applyNumberFormat="1" applyFont="1" applyFill="1" applyBorder="1" applyAlignment="1">
      <alignment horizontal="center" vertical="center"/>
    </xf>
    <xf numFmtId="41" fontId="114" fillId="4" borderId="48" xfId="0" applyNumberFormat="1" applyFont="1" applyFill="1" applyBorder="1">
      <alignment vertical="center"/>
    </xf>
    <xf numFmtId="189" fontId="106" fillId="4" borderId="39" xfId="0" applyNumberFormat="1" applyFont="1" applyFill="1" applyBorder="1" applyAlignment="1">
      <alignment horizontal="center" vertical="center"/>
    </xf>
    <xf numFmtId="192" fontId="82" fillId="4" borderId="33" xfId="0" applyNumberFormat="1" applyFont="1" applyFill="1" applyBorder="1" applyAlignment="1">
      <alignment horizontal="center" vertical="center"/>
    </xf>
    <xf numFmtId="41" fontId="114" fillId="4" borderId="62" xfId="0" applyNumberFormat="1" applyFont="1" applyFill="1" applyBorder="1">
      <alignment vertical="center"/>
    </xf>
    <xf numFmtId="189" fontId="106" fillId="4" borderId="40" xfId="0" applyNumberFormat="1" applyFont="1" applyFill="1" applyBorder="1" applyAlignment="1">
      <alignment horizontal="center" vertical="center"/>
    </xf>
    <xf numFmtId="190" fontId="82" fillId="4" borderId="8" xfId="0" applyNumberFormat="1" applyFont="1" applyFill="1" applyBorder="1" applyAlignment="1">
      <alignment horizontal="center" vertical="center"/>
    </xf>
    <xf numFmtId="41" fontId="114" fillId="4" borderId="49" xfId="0" applyNumberFormat="1" applyFont="1" applyFill="1" applyBorder="1">
      <alignment vertical="center"/>
    </xf>
    <xf numFmtId="41" fontId="114" fillId="4" borderId="59" xfId="0" applyNumberFormat="1" applyFont="1" applyFill="1" applyBorder="1">
      <alignment vertical="center"/>
    </xf>
    <xf numFmtId="41" fontId="114" fillId="4" borderId="66" xfId="0" applyNumberFormat="1" applyFont="1" applyFill="1" applyBorder="1">
      <alignment vertical="center"/>
    </xf>
    <xf numFmtId="41" fontId="114" fillId="4" borderId="46" xfId="0" applyNumberFormat="1" applyFont="1" applyFill="1" applyBorder="1">
      <alignment vertical="center"/>
    </xf>
    <xf numFmtId="41" fontId="114" fillId="4" borderId="108" xfId="0" applyNumberFormat="1" applyFont="1" applyFill="1" applyBorder="1">
      <alignment vertical="center"/>
    </xf>
    <xf numFmtId="190" fontId="106" fillId="4" borderId="20" xfId="0" applyNumberFormat="1" applyFont="1" applyFill="1" applyBorder="1" applyAlignment="1">
      <alignment horizontal="center" vertical="center"/>
    </xf>
    <xf numFmtId="0" fontId="82" fillId="3" borderId="0" xfId="0" applyFont="1" applyFill="1">
      <alignment vertical="center"/>
    </xf>
    <xf numFmtId="0" fontId="106" fillId="3" borderId="0" xfId="0" applyFont="1" applyFill="1" applyAlignment="1">
      <alignment horizontal="center" vertical="center"/>
    </xf>
    <xf numFmtId="41" fontId="106" fillId="3" borderId="0" xfId="0" applyNumberFormat="1" applyFont="1" applyFill="1">
      <alignment vertical="center"/>
    </xf>
    <xf numFmtId="0" fontId="109" fillId="0" borderId="0" xfId="0" applyFont="1" applyAlignment="1">
      <alignment horizontal="left" vertical="center"/>
    </xf>
    <xf numFmtId="185" fontId="82" fillId="4" borderId="60" xfId="0" applyNumberFormat="1" applyFont="1" applyFill="1" applyBorder="1" applyAlignment="1">
      <alignment horizontal="center" vertical="center"/>
    </xf>
    <xf numFmtId="41" fontId="91" fillId="3" borderId="80" xfId="0" applyNumberFormat="1" applyFont="1" applyFill="1" applyBorder="1">
      <alignment vertical="center"/>
    </xf>
    <xf numFmtId="41" fontId="91" fillId="4" borderId="60" xfId="0" applyNumberFormat="1" applyFont="1" applyFill="1" applyBorder="1">
      <alignment vertical="center"/>
    </xf>
    <xf numFmtId="41" fontId="82" fillId="3" borderId="1" xfId="0" applyNumberFormat="1" applyFont="1" applyFill="1" applyBorder="1">
      <alignment vertical="center"/>
    </xf>
    <xf numFmtId="41" fontId="82" fillId="3" borderId="69" xfId="0" applyNumberFormat="1" applyFont="1" applyFill="1" applyBorder="1">
      <alignment vertical="center"/>
    </xf>
    <xf numFmtId="41" fontId="82" fillId="3" borderId="21" xfId="0" applyNumberFormat="1" applyFont="1" applyFill="1" applyBorder="1">
      <alignment vertical="center"/>
    </xf>
    <xf numFmtId="41" fontId="91" fillId="3" borderId="24" xfId="0" applyNumberFormat="1" applyFont="1" applyFill="1" applyBorder="1">
      <alignment vertical="center"/>
    </xf>
    <xf numFmtId="41" fontId="91" fillId="3" borderId="123" xfId="0" applyNumberFormat="1" applyFont="1" applyFill="1" applyBorder="1">
      <alignment vertical="center"/>
    </xf>
    <xf numFmtId="41" fontId="91" fillId="4" borderId="69" xfId="0" applyNumberFormat="1" applyFont="1" applyFill="1" applyBorder="1">
      <alignment vertical="center"/>
    </xf>
    <xf numFmtId="41" fontId="91" fillId="3" borderId="38" xfId="0" applyNumberFormat="1" applyFont="1" applyFill="1" applyBorder="1">
      <alignment vertical="center"/>
    </xf>
    <xf numFmtId="41" fontId="91" fillId="3" borderId="110" xfId="0" applyNumberFormat="1" applyFont="1" applyFill="1" applyBorder="1">
      <alignment vertical="center"/>
    </xf>
    <xf numFmtId="41" fontId="114" fillId="4" borderId="6" xfId="0" applyNumberFormat="1" applyFont="1" applyFill="1" applyBorder="1">
      <alignment vertical="center"/>
    </xf>
    <xf numFmtId="41" fontId="114" fillId="4" borderId="83" xfId="0" applyNumberFormat="1" applyFont="1" applyFill="1" applyBorder="1">
      <alignment vertical="center"/>
    </xf>
    <xf numFmtId="41" fontId="91" fillId="0" borderId="1" xfId="0" applyNumberFormat="1" applyFont="1" applyBorder="1">
      <alignment vertical="center"/>
    </xf>
    <xf numFmtId="41" fontId="91" fillId="0" borderId="69" xfId="0" applyNumberFormat="1" applyFont="1" applyBorder="1">
      <alignment vertical="center"/>
    </xf>
    <xf numFmtId="41" fontId="91" fillId="4" borderId="31" xfId="0" applyNumberFormat="1" applyFont="1" applyFill="1" applyBorder="1">
      <alignment vertical="center"/>
    </xf>
    <xf numFmtId="41" fontId="114" fillId="4" borderId="69" xfId="0" applyNumberFormat="1" applyFont="1" applyFill="1" applyBorder="1">
      <alignment vertical="center"/>
    </xf>
    <xf numFmtId="41" fontId="91" fillId="0" borderId="23" xfId="0" applyNumberFormat="1" applyFont="1" applyBorder="1">
      <alignment vertical="center"/>
    </xf>
    <xf numFmtId="41" fontId="91" fillId="0" borderId="3" xfId="0" applyNumberFormat="1" applyFont="1" applyBorder="1">
      <alignment vertical="center"/>
    </xf>
    <xf numFmtId="41" fontId="91" fillId="4" borderId="1" xfId="0" applyNumberFormat="1" applyFont="1" applyFill="1" applyBorder="1">
      <alignment vertical="center"/>
    </xf>
    <xf numFmtId="41" fontId="114" fillId="4" borderId="34" xfId="0" applyNumberFormat="1" applyFont="1" applyFill="1" applyBorder="1">
      <alignment vertical="center"/>
    </xf>
    <xf numFmtId="41" fontId="91" fillId="3" borderId="28" xfId="0" applyNumberFormat="1" applyFont="1" applyFill="1" applyBorder="1">
      <alignment vertical="center"/>
    </xf>
    <xf numFmtId="41" fontId="91" fillId="3" borderId="33" xfId="0" applyNumberFormat="1" applyFont="1" applyFill="1" applyBorder="1">
      <alignment vertical="center"/>
    </xf>
    <xf numFmtId="41" fontId="91" fillId="3" borderId="107" xfId="0" applyNumberFormat="1" applyFont="1" applyFill="1" applyBorder="1">
      <alignment vertical="center"/>
    </xf>
    <xf numFmtId="41" fontId="91" fillId="3" borderId="62" xfId="0" applyNumberFormat="1" applyFont="1" applyFill="1" applyBorder="1">
      <alignment vertical="center"/>
    </xf>
    <xf numFmtId="0" fontId="106" fillId="4" borderId="39" xfId="0" applyFont="1" applyFill="1" applyBorder="1" applyAlignment="1">
      <alignment horizontal="center" vertical="center"/>
    </xf>
    <xf numFmtId="9" fontId="106" fillId="4" borderId="68" xfId="0" applyNumberFormat="1" applyFont="1" applyFill="1" applyBorder="1" applyAlignment="1">
      <alignment vertical="center" wrapText="1"/>
    </xf>
    <xf numFmtId="9" fontId="106" fillId="4" borderId="91" xfId="0" applyNumberFormat="1" applyFont="1" applyFill="1" applyBorder="1" applyAlignment="1">
      <alignment vertical="center" wrapText="1"/>
    </xf>
    <xf numFmtId="41" fontId="110" fillId="4" borderId="17" xfId="0" applyNumberFormat="1" applyFont="1" applyFill="1" applyBorder="1">
      <alignment vertical="center"/>
    </xf>
    <xf numFmtId="41" fontId="110" fillId="4" borderId="18" xfId="0" applyNumberFormat="1" applyFont="1" applyFill="1" applyBorder="1">
      <alignment vertical="center"/>
    </xf>
    <xf numFmtId="41" fontId="110" fillId="4" borderId="19" xfId="0" applyNumberFormat="1" applyFont="1" applyFill="1" applyBorder="1">
      <alignment vertical="center"/>
    </xf>
    <xf numFmtId="0" fontId="82" fillId="4" borderId="80" xfId="0" applyFont="1" applyFill="1" applyBorder="1" applyAlignment="1">
      <alignment horizontal="center" vertical="center"/>
    </xf>
    <xf numFmtId="0" fontId="82" fillId="4" borderId="50" xfId="0" applyFont="1" applyFill="1" applyBorder="1">
      <alignment vertical="center"/>
    </xf>
    <xf numFmtId="0" fontId="82" fillId="4" borderId="26" xfId="0" applyFont="1" applyFill="1" applyBorder="1">
      <alignment vertical="center"/>
    </xf>
    <xf numFmtId="41" fontId="91" fillId="4" borderId="27" xfId="0" applyNumberFormat="1" applyFont="1" applyFill="1" applyBorder="1">
      <alignment vertical="center"/>
    </xf>
    <xf numFmtId="41" fontId="91" fillId="4" borderId="80" xfId="0" applyNumberFormat="1" applyFont="1" applyFill="1" applyBorder="1">
      <alignment vertical="center"/>
    </xf>
    <xf numFmtId="41" fontId="91" fillId="4" borderId="65" xfId="0" applyNumberFormat="1" applyFont="1" applyFill="1" applyBorder="1">
      <alignment vertical="center"/>
    </xf>
    <xf numFmtId="41" fontId="114" fillId="4" borderId="45" xfId="0" applyNumberFormat="1" applyFont="1" applyFill="1" applyBorder="1">
      <alignment vertical="center"/>
    </xf>
    <xf numFmtId="41" fontId="114" fillId="4" borderId="29" xfId="0" applyNumberFormat="1" applyFont="1" applyFill="1" applyBorder="1">
      <alignment vertical="center"/>
    </xf>
    <xf numFmtId="41" fontId="91" fillId="4" borderId="17" xfId="0" applyNumberFormat="1" applyFont="1" applyFill="1" applyBorder="1">
      <alignment vertical="center"/>
    </xf>
    <xf numFmtId="41" fontId="91" fillId="4" borderId="18" xfId="0" applyNumberFormat="1" applyFont="1" applyFill="1" applyBorder="1">
      <alignment vertical="center"/>
    </xf>
    <xf numFmtId="41" fontId="91" fillId="4" borderId="19" xfId="0" applyNumberFormat="1" applyFont="1" applyFill="1" applyBorder="1">
      <alignment vertical="center"/>
    </xf>
    <xf numFmtId="41" fontId="91" fillId="4" borderId="20" xfId="0" applyNumberFormat="1" applyFont="1" applyFill="1" applyBorder="1">
      <alignment vertical="center"/>
    </xf>
    <xf numFmtId="0" fontId="91" fillId="4" borderId="29" xfId="0" applyFont="1" applyFill="1" applyBorder="1">
      <alignment vertical="center"/>
    </xf>
    <xf numFmtId="0" fontId="91" fillId="4" borderId="18" xfId="0" applyFont="1" applyFill="1" applyBorder="1" applyAlignment="1">
      <alignment horizontal="center" vertical="center"/>
    </xf>
    <xf numFmtId="0" fontId="114" fillId="4" borderId="19" xfId="0" applyFont="1" applyFill="1" applyBorder="1" applyAlignment="1">
      <alignment horizontal="center" vertical="center" wrapText="1"/>
    </xf>
    <xf numFmtId="9" fontId="91" fillId="4" borderId="27" xfId="0" applyNumberFormat="1" applyFont="1" applyFill="1" applyBorder="1" applyAlignment="1">
      <alignment horizontal="center" vertical="center"/>
    </xf>
    <xf numFmtId="41" fontId="91" fillId="0" borderId="27" xfId="0" applyNumberFormat="1" applyFont="1" applyBorder="1">
      <alignment vertical="center"/>
    </xf>
    <xf numFmtId="41" fontId="91" fillId="0" borderId="60" xfId="0" applyNumberFormat="1" applyFont="1" applyBorder="1">
      <alignment vertical="center"/>
    </xf>
    <xf numFmtId="9" fontId="91" fillId="4" borderId="5" xfId="0" applyNumberFormat="1" applyFont="1" applyFill="1" applyBorder="1" applyAlignment="1">
      <alignment horizontal="center" vertical="center"/>
    </xf>
    <xf numFmtId="9" fontId="91" fillId="4" borderId="59" xfId="0" applyNumberFormat="1" applyFont="1" applyFill="1" applyBorder="1" applyAlignment="1">
      <alignment horizontal="center" vertical="center"/>
    </xf>
    <xf numFmtId="9" fontId="91" fillId="4" borderId="1" xfId="0" applyNumberFormat="1" applyFont="1" applyFill="1" applyBorder="1" applyAlignment="1">
      <alignment horizontal="center" vertical="center"/>
    </xf>
    <xf numFmtId="9" fontId="91" fillId="4" borderId="18" xfId="0" applyNumberFormat="1" applyFont="1" applyFill="1" applyBorder="1" applyAlignment="1">
      <alignment horizontal="center" vertical="center"/>
    </xf>
    <xf numFmtId="0" fontId="91" fillId="0" borderId="28" xfId="0" applyFont="1" applyBorder="1" applyAlignment="1">
      <alignment horizontal="center" vertical="center"/>
    </xf>
    <xf numFmtId="9" fontId="91" fillId="4" borderId="112" xfId="0" applyNumberFormat="1" applyFont="1" applyFill="1" applyBorder="1" applyAlignment="1">
      <alignment horizontal="center" vertical="center"/>
    </xf>
    <xf numFmtId="41" fontId="91" fillId="0" borderId="112" xfId="0" applyNumberFormat="1" applyFont="1" applyBorder="1">
      <alignment vertical="center"/>
    </xf>
    <xf numFmtId="0" fontId="91" fillId="4" borderId="59" xfId="0" applyFont="1" applyFill="1" applyBorder="1" applyAlignment="1">
      <alignment horizontal="center" vertical="center"/>
    </xf>
    <xf numFmtId="9" fontId="91" fillId="4" borderId="190" xfId="0" applyNumberFormat="1" applyFont="1" applyFill="1" applyBorder="1" applyAlignment="1">
      <alignment horizontal="center" vertical="center"/>
    </xf>
    <xf numFmtId="9" fontId="91" fillId="4" borderId="191" xfId="0" applyNumberFormat="1" applyFont="1" applyFill="1" applyBorder="1" applyAlignment="1">
      <alignment horizontal="center" vertical="center"/>
    </xf>
    <xf numFmtId="0" fontId="114" fillId="4" borderId="13" xfId="0" applyFont="1" applyFill="1" applyBorder="1">
      <alignment vertical="center"/>
    </xf>
    <xf numFmtId="0" fontId="114" fillId="4" borderId="17" xfId="0" applyFont="1" applyFill="1" applyBorder="1">
      <alignment vertical="center"/>
    </xf>
    <xf numFmtId="193" fontId="91" fillId="0" borderId="0" xfId="0" applyNumberFormat="1" applyFont="1">
      <alignment vertical="center"/>
    </xf>
    <xf numFmtId="185" fontId="91" fillId="0" borderId="0" xfId="0" applyNumberFormat="1" applyFont="1">
      <alignment vertical="center"/>
    </xf>
    <xf numFmtId="0" fontId="120" fillId="0" borderId="0" xfId="0" applyFont="1" applyAlignment="1">
      <alignment horizontal="center" vertical="center"/>
    </xf>
    <xf numFmtId="189" fontId="91" fillId="0" borderId="0" xfId="0" applyNumberFormat="1" applyFont="1" applyAlignment="1">
      <alignment horizontal="center" vertical="center"/>
    </xf>
    <xf numFmtId="41" fontId="119" fillId="0" borderId="0" xfId="0" applyNumberFormat="1" applyFont="1">
      <alignment vertical="center"/>
    </xf>
    <xf numFmtId="0" fontId="114" fillId="4" borderId="20" xfId="0" applyFont="1" applyFill="1" applyBorder="1" applyAlignment="1">
      <alignment horizontal="center" vertical="center" wrapText="1"/>
    </xf>
    <xf numFmtId="193" fontId="114" fillId="4" borderId="18" xfId="0" applyNumberFormat="1" applyFont="1" applyFill="1" applyBorder="1" applyAlignment="1">
      <alignment horizontal="center" vertical="center"/>
    </xf>
    <xf numFmtId="185" fontId="114" fillId="4" borderId="19" xfId="0" applyNumberFormat="1" applyFont="1" applyFill="1" applyBorder="1" applyAlignment="1">
      <alignment horizontal="center" vertical="center"/>
    </xf>
    <xf numFmtId="9" fontId="91" fillId="4" borderId="65" xfId="0" applyNumberFormat="1" applyFont="1" applyFill="1" applyBorder="1">
      <alignment vertical="center"/>
    </xf>
    <xf numFmtId="193" fontId="91" fillId="4" borderId="60" xfId="0" applyNumberFormat="1" applyFont="1" applyFill="1" applyBorder="1">
      <alignment vertical="center"/>
    </xf>
    <xf numFmtId="41" fontId="82" fillId="3" borderId="50" xfId="0" applyNumberFormat="1" applyFont="1" applyFill="1" applyBorder="1">
      <alignment vertical="center"/>
    </xf>
    <xf numFmtId="41" fontId="82" fillId="3" borderId="27" xfId="0" applyNumberFormat="1" applyFont="1" applyFill="1" applyBorder="1">
      <alignment vertical="center"/>
    </xf>
    <xf numFmtId="41" fontId="82" fillId="3" borderId="60" xfId="0" applyNumberFormat="1" applyFont="1" applyFill="1" applyBorder="1">
      <alignment vertical="center"/>
    </xf>
    <xf numFmtId="185" fontId="91" fillId="3" borderId="65" xfId="0" applyNumberFormat="1" applyFont="1" applyFill="1" applyBorder="1">
      <alignment vertical="center"/>
    </xf>
    <xf numFmtId="41" fontId="91" fillId="3" borderId="26" xfId="0" applyNumberFormat="1" applyFont="1" applyFill="1" applyBorder="1">
      <alignment vertical="center"/>
    </xf>
    <xf numFmtId="38" fontId="82" fillId="0" borderId="0" xfId="0" applyNumberFormat="1" applyFont="1">
      <alignment vertical="center"/>
    </xf>
    <xf numFmtId="0" fontId="82" fillId="0" borderId="0" xfId="0" applyFont="1" applyAlignment="1">
      <alignment horizontal="center" vertical="center"/>
    </xf>
    <xf numFmtId="196" fontId="91" fillId="4" borderId="27" xfId="0" applyNumberFormat="1" applyFont="1" applyFill="1" applyBorder="1">
      <alignment vertical="center"/>
    </xf>
    <xf numFmtId="41" fontId="91" fillId="4" borderId="5" xfId="0" applyNumberFormat="1" applyFont="1" applyFill="1" applyBorder="1">
      <alignment vertical="center"/>
    </xf>
    <xf numFmtId="9" fontId="91" fillId="4" borderId="42" xfId="0" applyNumberFormat="1" applyFont="1" applyFill="1" applyBorder="1">
      <alignment vertical="center"/>
    </xf>
    <xf numFmtId="196" fontId="91" fillId="4" borderId="5" xfId="0" applyNumberFormat="1" applyFont="1" applyFill="1" applyBorder="1">
      <alignment vertical="center"/>
    </xf>
    <xf numFmtId="185" fontId="91" fillId="4" borderId="47" xfId="0" applyNumberFormat="1" applyFont="1" applyFill="1" applyBorder="1">
      <alignment vertical="center"/>
    </xf>
    <xf numFmtId="41" fontId="82" fillId="3" borderId="107" xfId="0" applyNumberFormat="1" applyFont="1" applyFill="1" applyBorder="1">
      <alignment vertical="center"/>
    </xf>
    <xf numFmtId="41" fontId="82" fillId="3" borderId="5" xfId="0" applyNumberFormat="1" applyFont="1" applyFill="1" applyBorder="1">
      <alignment vertical="center"/>
    </xf>
    <xf numFmtId="41" fontId="82" fillId="3" borderId="47" xfId="0" applyNumberFormat="1" applyFont="1" applyFill="1" applyBorder="1">
      <alignment vertical="center"/>
    </xf>
    <xf numFmtId="9" fontId="91" fillId="4" borderId="8" xfId="0" applyNumberFormat="1" applyFont="1" applyFill="1" applyBorder="1">
      <alignment vertical="center"/>
    </xf>
    <xf numFmtId="196" fontId="91" fillId="4" borderId="1" xfId="0" applyNumberFormat="1" applyFont="1" applyFill="1" applyBorder="1">
      <alignment vertical="center"/>
    </xf>
    <xf numFmtId="193" fontId="91" fillId="4" borderId="34" xfId="0" applyNumberFormat="1" applyFont="1" applyFill="1" applyBorder="1">
      <alignment vertical="center"/>
    </xf>
    <xf numFmtId="41" fontId="91" fillId="3" borderId="21" xfId="0" applyNumberFormat="1" applyFont="1" applyFill="1" applyBorder="1">
      <alignment vertical="center"/>
    </xf>
    <xf numFmtId="9" fontId="91" fillId="4" borderId="1" xfId="0" applyNumberFormat="1" applyFont="1" applyFill="1" applyBorder="1">
      <alignment vertical="center"/>
    </xf>
    <xf numFmtId="185" fontId="91" fillId="4" borderId="69" xfId="0" applyNumberFormat="1" applyFont="1" applyFill="1" applyBorder="1">
      <alignment vertical="center"/>
    </xf>
    <xf numFmtId="9" fontId="91" fillId="4" borderId="5" xfId="0" applyNumberFormat="1" applyFont="1" applyFill="1" applyBorder="1">
      <alignment vertical="center"/>
    </xf>
    <xf numFmtId="0" fontId="114" fillId="4" borderId="6" xfId="0" applyFont="1" applyFill="1" applyBorder="1">
      <alignment vertical="center"/>
    </xf>
    <xf numFmtId="0" fontId="114" fillId="4" borderId="62" xfId="0" applyFont="1" applyFill="1" applyBorder="1">
      <alignment vertical="center"/>
    </xf>
    <xf numFmtId="9" fontId="114" fillId="4" borderId="28" xfId="0" applyNumberFormat="1" applyFont="1" applyFill="1" applyBorder="1">
      <alignment vertical="center"/>
    </xf>
    <xf numFmtId="196" fontId="114" fillId="4" borderId="28" xfId="0" applyNumberFormat="1" applyFont="1" applyFill="1" applyBorder="1">
      <alignment vertical="center"/>
    </xf>
    <xf numFmtId="185" fontId="114" fillId="4" borderId="33" xfId="0" applyNumberFormat="1" applyFont="1" applyFill="1" applyBorder="1">
      <alignment vertical="center"/>
    </xf>
    <xf numFmtId="41" fontId="106" fillId="4" borderId="6" xfId="0" applyNumberFormat="1" applyFont="1" applyFill="1" applyBorder="1">
      <alignment vertical="center"/>
    </xf>
    <xf numFmtId="41" fontId="106" fillId="4" borderId="28" xfId="0" applyNumberFormat="1" applyFont="1" applyFill="1" applyBorder="1">
      <alignment vertical="center"/>
    </xf>
    <xf numFmtId="41" fontId="106" fillId="4" borderId="33" xfId="0" applyNumberFormat="1" applyFont="1" applyFill="1" applyBorder="1">
      <alignment vertical="center"/>
    </xf>
    <xf numFmtId="41" fontId="114" fillId="4" borderId="39" xfId="0" applyNumberFormat="1" applyFont="1" applyFill="1" applyBorder="1">
      <alignment vertical="center"/>
    </xf>
    <xf numFmtId="41" fontId="91" fillId="4" borderId="61" xfId="0" applyNumberFormat="1" applyFont="1" applyFill="1" applyBorder="1">
      <alignment vertical="center"/>
    </xf>
    <xf numFmtId="9" fontId="91" fillId="4" borderId="61" xfId="0" applyNumberFormat="1" applyFont="1" applyFill="1" applyBorder="1">
      <alignment vertical="center"/>
    </xf>
    <xf numFmtId="196" fontId="91" fillId="4" borderId="61" xfId="0" applyNumberFormat="1" applyFont="1" applyFill="1" applyBorder="1">
      <alignment vertical="center"/>
    </xf>
    <xf numFmtId="185" fontId="91" fillId="4" borderId="34" xfId="0" applyNumberFormat="1" applyFont="1" applyFill="1" applyBorder="1">
      <alignment vertical="center"/>
    </xf>
    <xf numFmtId="41" fontId="82" fillId="3" borderId="85" xfId="0" applyNumberFormat="1" applyFont="1" applyFill="1" applyBorder="1">
      <alignment vertical="center"/>
    </xf>
    <xf numFmtId="41" fontId="82" fillId="3" borderId="61" xfId="0" applyNumberFormat="1" applyFont="1" applyFill="1" applyBorder="1">
      <alignment vertical="center"/>
    </xf>
    <xf numFmtId="41" fontId="82" fillId="3" borderId="34" xfId="0" applyNumberFormat="1" applyFont="1" applyFill="1" applyBorder="1">
      <alignment vertical="center"/>
    </xf>
    <xf numFmtId="41" fontId="91" fillId="3" borderId="37" xfId="0" applyNumberFormat="1" applyFont="1" applyFill="1" applyBorder="1">
      <alignment vertical="center"/>
    </xf>
    <xf numFmtId="41" fontId="91" fillId="3" borderId="85" xfId="0" applyNumberFormat="1" applyFont="1" applyFill="1" applyBorder="1">
      <alignment vertical="center"/>
    </xf>
    <xf numFmtId="41" fontId="91" fillId="3" borderId="71" xfId="0" applyNumberFormat="1" applyFont="1" applyFill="1" applyBorder="1">
      <alignment vertical="center"/>
    </xf>
    <xf numFmtId="38" fontId="118" fillId="0" borderId="0" xfId="0" applyNumberFormat="1" applyFont="1">
      <alignment vertical="center"/>
    </xf>
    <xf numFmtId="41" fontId="91" fillId="4" borderId="11" xfId="0" applyNumberFormat="1" applyFont="1" applyFill="1" applyBorder="1">
      <alignment vertical="center"/>
    </xf>
    <xf numFmtId="9" fontId="91" fillId="4" borderId="11" xfId="0" applyNumberFormat="1" applyFont="1" applyFill="1" applyBorder="1">
      <alignment vertical="center"/>
    </xf>
    <xf numFmtId="41" fontId="82" fillId="3" borderId="115" xfId="0" applyNumberFormat="1" applyFont="1" applyFill="1" applyBorder="1">
      <alignment vertical="center"/>
    </xf>
    <xf numFmtId="41" fontId="82" fillId="3" borderId="11" xfId="0" applyNumberFormat="1" applyFont="1" applyFill="1" applyBorder="1">
      <alignment vertical="center"/>
    </xf>
    <xf numFmtId="41" fontId="82" fillId="3" borderId="54" xfId="0" applyNumberFormat="1" applyFont="1" applyFill="1" applyBorder="1">
      <alignment vertical="center"/>
    </xf>
    <xf numFmtId="41" fontId="91" fillId="3" borderId="87" xfId="0" applyNumberFormat="1" applyFont="1" applyFill="1" applyBorder="1">
      <alignment vertical="center"/>
    </xf>
    <xf numFmtId="41" fontId="122" fillId="4" borderId="1" xfId="0" applyNumberFormat="1" applyFont="1" applyFill="1" applyBorder="1">
      <alignment vertical="center"/>
    </xf>
    <xf numFmtId="41" fontId="91" fillId="4" borderId="9" xfId="0" applyNumberFormat="1" applyFont="1" applyFill="1" applyBorder="1">
      <alignment vertical="center"/>
    </xf>
    <xf numFmtId="9" fontId="91" fillId="4" borderId="9" xfId="0" applyNumberFormat="1" applyFont="1" applyFill="1" applyBorder="1">
      <alignment vertical="center"/>
    </xf>
    <xf numFmtId="41" fontId="82" fillId="3" borderId="114" xfId="0" applyNumberFormat="1" applyFont="1" applyFill="1" applyBorder="1">
      <alignment vertical="center"/>
    </xf>
    <xf numFmtId="41" fontId="82" fillId="3" borderId="9" xfId="0" applyNumberFormat="1" applyFont="1" applyFill="1" applyBorder="1">
      <alignment vertical="center"/>
    </xf>
    <xf numFmtId="41" fontId="82" fillId="3" borderId="89" xfId="0" applyNumberFormat="1" applyFont="1" applyFill="1" applyBorder="1">
      <alignment vertical="center"/>
    </xf>
    <xf numFmtId="41" fontId="91" fillId="3" borderId="122" xfId="0" applyNumberFormat="1" applyFont="1" applyFill="1" applyBorder="1">
      <alignment vertical="center"/>
    </xf>
    <xf numFmtId="41" fontId="91" fillId="3" borderId="90" xfId="0" applyNumberFormat="1" applyFont="1" applyFill="1" applyBorder="1">
      <alignment vertical="center"/>
    </xf>
    <xf numFmtId="41" fontId="82" fillId="3" borderId="55" xfId="0" applyNumberFormat="1" applyFont="1" applyFill="1" applyBorder="1">
      <alignment vertical="center"/>
    </xf>
    <xf numFmtId="41" fontId="82" fillId="3" borderId="6" xfId="0" applyNumberFormat="1" applyFont="1" applyFill="1" applyBorder="1">
      <alignment vertical="center"/>
    </xf>
    <xf numFmtId="41" fontId="82" fillId="3" borderId="28" xfId="0" applyNumberFormat="1" applyFont="1" applyFill="1" applyBorder="1">
      <alignment vertical="center"/>
    </xf>
    <xf numFmtId="41" fontId="82" fillId="3" borderId="33" xfId="0" applyNumberFormat="1" applyFont="1" applyFill="1" applyBorder="1">
      <alignment vertical="center"/>
    </xf>
    <xf numFmtId="0" fontId="114" fillId="4" borderId="1" xfId="0" applyFont="1" applyFill="1" applyBorder="1">
      <alignment vertical="center"/>
    </xf>
    <xf numFmtId="41" fontId="91" fillId="4" borderId="1" xfId="0" applyNumberFormat="1" applyFont="1" applyFill="1" applyBorder="1" applyAlignment="1">
      <alignment horizontal="center" vertical="center"/>
    </xf>
    <xf numFmtId="9" fontId="91" fillId="4" borderId="1" xfId="0" applyNumberFormat="1" applyFont="1" applyFill="1" applyBorder="1" applyAlignment="1">
      <alignment horizontal="right" vertical="center"/>
    </xf>
    <xf numFmtId="185" fontId="91" fillId="4" borderId="69" xfId="0" applyNumberFormat="1" applyFont="1" applyFill="1" applyBorder="1" applyAlignment="1">
      <alignment horizontal="right" vertical="center"/>
    </xf>
    <xf numFmtId="41" fontId="82" fillId="3" borderId="10" xfId="0" applyNumberFormat="1" applyFont="1" applyFill="1" applyBorder="1">
      <alignment vertical="center"/>
    </xf>
    <xf numFmtId="0" fontId="114" fillId="4" borderId="78" xfId="0" applyFont="1" applyFill="1" applyBorder="1" applyAlignment="1">
      <alignment horizontal="center" vertical="center"/>
    </xf>
    <xf numFmtId="41" fontId="91" fillId="4" borderId="77" xfId="0" applyNumberFormat="1" applyFont="1" applyFill="1" applyBorder="1">
      <alignment vertical="center"/>
    </xf>
    <xf numFmtId="41" fontId="82" fillId="3" borderId="77" xfId="0" applyNumberFormat="1" applyFont="1" applyFill="1" applyBorder="1">
      <alignment vertical="center"/>
    </xf>
    <xf numFmtId="41" fontId="82" fillId="3" borderId="49" xfId="0" applyNumberFormat="1" applyFont="1" applyFill="1" applyBorder="1">
      <alignment vertical="center"/>
    </xf>
    <xf numFmtId="41" fontId="91" fillId="3" borderId="77" xfId="0" applyNumberFormat="1" applyFont="1" applyFill="1" applyBorder="1">
      <alignment vertical="center"/>
    </xf>
    <xf numFmtId="41" fontId="91" fillId="3" borderId="49" xfId="0" applyNumberFormat="1" applyFont="1" applyFill="1" applyBorder="1">
      <alignment vertical="center"/>
    </xf>
    <xf numFmtId="41" fontId="91" fillId="3" borderId="76" xfId="0" applyNumberFormat="1" applyFont="1" applyFill="1" applyBorder="1">
      <alignment vertical="center"/>
    </xf>
    <xf numFmtId="41" fontId="114" fillId="4" borderId="75" xfId="0" applyNumberFormat="1" applyFont="1" applyFill="1" applyBorder="1">
      <alignment vertical="center"/>
    </xf>
    <xf numFmtId="41" fontId="106" fillId="4" borderId="15" xfId="0" applyNumberFormat="1" applyFont="1" applyFill="1" applyBorder="1">
      <alignment vertical="center"/>
    </xf>
    <xf numFmtId="41" fontId="106" fillId="4" borderId="18" xfId="0" applyNumberFormat="1" applyFont="1" applyFill="1" applyBorder="1">
      <alignment vertical="center"/>
    </xf>
    <xf numFmtId="41" fontId="106" fillId="4" borderId="19" xfId="0" applyNumberFormat="1" applyFont="1" applyFill="1" applyBorder="1">
      <alignment vertical="center"/>
    </xf>
    <xf numFmtId="41" fontId="106" fillId="4" borderId="67" xfId="0" applyNumberFormat="1" applyFont="1" applyFill="1" applyBorder="1">
      <alignment vertical="center"/>
    </xf>
    <xf numFmtId="41" fontId="114" fillId="4" borderId="15" xfId="0" applyNumberFormat="1" applyFont="1" applyFill="1" applyBorder="1">
      <alignment vertical="center"/>
    </xf>
    <xf numFmtId="193" fontId="119" fillId="0" borderId="0" xfId="0" applyNumberFormat="1" applyFont="1">
      <alignment vertical="center"/>
    </xf>
    <xf numFmtId="185" fontId="119" fillId="0" borderId="0" xfId="0" applyNumberFormat="1" applyFont="1">
      <alignment vertical="center"/>
    </xf>
    <xf numFmtId="193" fontId="118" fillId="0" borderId="0" xfId="0" applyNumberFormat="1" applyFont="1">
      <alignment vertical="center"/>
    </xf>
    <xf numFmtId="9" fontId="118" fillId="0" borderId="0" xfId="0" applyNumberFormat="1" applyFont="1">
      <alignment vertical="center"/>
    </xf>
    <xf numFmtId="178" fontId="82" fillId="0" borderId="0" xfId="0" applyNumberFormat="1" applyFont="1">
      <alignment vertical="center"/>
    </xf>
    <xf numFmtId="0" fontId="82" fillId="0" borderId="0" xfId="0" applyFont="1" applyAlignment="1">
      <alignment horizontal="right" vertical="center"/>
    </xf>
    <xf numFmtId="9" fontId="82" fillId="2" borderId="0" xfId="0" applyNumberFormat="1" applyFont="1" applyFill="1" applyAlignment="1">
      <alignment horizontal="center" vertical="center"/>
    </xf>
    <xf numFmtId="193" fontId="119" fillId="0" borderId="0" xfId="0" applyNumberFormat="1" applyFont="1" applyAlignment="1">
      <alignment horizontal="center" vertical="center"/>
    </xf>
    <xf numFmtId="185" fontId="119" fillId="0" borderId="0" xfId="0" applyNumberFormat="1" applyFont="1" applyAlignment="1">
      <alignment horizontal="center" vertical="center"/>
    </xf>
    <xf numFmtId="193" fontId="123" fillId="0" borderId="0" xfId="0" applyNumberFormat="1" applyFont="1" applyAlignment="1">
      <alignment horizontal="center" vertical="center"/>
    </xf>
    <xf numFmtId="185" fontId="123" fillId="0" borderId="0" xfId="0" applyNumberFormat="1" applyFont="1" applyAlignment="1">
      <alignment horizontal="center" vertical="center"/>
    </xf>
    <xf numFmtId="185" fontId="114" fillId="4" borderId="20" xfId="0" applyNumberFormat="1" applyFont="1" applyFill="1" applyBorder="1" applyAlignment="1">
      <alignment horizontal="center" vertical="center"/>
    </xf>
    <xf numFmtId="193" fontId="91" fillId="4" borderId="27" xfId="0" applyNumberFormat="1" applyFont="1" applyFill="1" applyBorder="1">
      <alignment vertical="center"/>
    </xf>
    <xf numFmtId="193" fontId="91" fillId="4" borderId="65" xfId="0" applyNumberFormat="1" applyFont="1" applyFill="1" applyBorder="1">
      <alignment vertical="center"/>
    </xf>
    <xf numFmtId="179" fontId="82" fillId="3" borderId="58" xfId="0" applyNumberFormat="1" applyFont="1" applyFill="1" applyBorder="1">
      <alignment vertical="center"/>
    </xf>
    <xf numFmtId="41" fontId="82" fillId="3" borderId="26" xfId="0" applyNumberFormat="1" applyFont="1" applyFill="1" applyBorder="1">
      <alignment vertical="center"/>
    </xf>
    <xf numFmtId="193" fontId="91" fillId="4" borderId="5" xfId="0" applyNumberFormat="1" applyFont="1" applyFill="1" applyBorder="1">
      <alignment vertical="center"/>
    </xf>
    <xf numFmtId="41" fontId="82" fillId="3" borderId="38" xfId="0" applyNumberFormat="1" applyFont="1" applyFill="1" applyBorder="1">
      <alignment vertical="center"/>
    </xf>
    <xf numFmtId="193" fontId="91" fillId="4" borderId="1" xfId="0" applyNumberFormat="1" applyFont="1" applyFill="1" applyBorder="1">
      <alignment vertical="center"/>
    </xf>
    <xf numFmtId="193" fontId="91" fillId="4" borderId="8" xfId="0" applyNumberFormat="1" applyFont="1" applyFill="1" applyBorder="1">
      <alignment vertical="center"/>
    </xf>
    <xf numFmtId="9" fontId="91" fillId="4" borderId="42" xfId="0" applyNumberFormat="1" applyFont="1" applyFill="1" applyBorder="1" applyAlignment="1">
      <alignment horizontal="right" vertical="center"/>
    </xf>
    <xf numFmtId="193" fontId="91" fillId="4" borderId="5" xfId="0" applyNumberFormat="1" applyFont="1" applyFill="1" applyBorder="1" applyAlignment="1">
      <alignment horizontal="right" vertical="center"/>
    </xf>
    <xf numFmtId="41" fontId="82" fillId="3" borderId="35" xfId="0" applyNumberFormat="1" applyFont="1" applyFill="1" applyBorder="1">
      <alignment vertical="center"/>
    </xf>
    <xf numFmtId="41" fontId="82" fillId="3" borderId="56" xfId="0" applyNumberFormat="1" applyFont="1" applyFill="1" applyBorder="1">
      <alignment vertical="center"/>
    </xf>
    <xf numFmtId="9" fontId="114" fillId="4" borderId="48" xfId="0" applyNumberFormat="1" applyFont="1" applyFill="1" applyBorder="1" applyAlignment="1">
      <alignment horizontal="right" vertical="center"/>
    </xf>
    <xf numFmtId="193" fontId="114" fillId="4" borderId="28" xfId="0" applyNumberFormat="1" applyFont="1" applyFill="1" applyBorder="1" applyAlignment="1">
      <alignment horizontal="right" vertical="center"/>
    </xf>
    <xf numFmtId="41" fontId="106" fillId="4" borderId="12" xfId="0" applyNumberFormat="1" applyFont="1" applyFill="1" applyBorder="1">
      <alignment vertical="center"/>
    </xf>
    <xf numFmtId="41" fontId="106" fillId="4" borderId="62" xfId="0" applyNumberFormat="1" applyFont="1" applyFill="1" applyBorder="1">
      <alignment vertical="center"/>
    </xf>
    <xf numFmtId="193" fontId="91" fillId="4" borderId="61" xfId="0" applyNumberFormat="1" applyFont="1" applyFill="1" applyBorder="1">
      <alignment vertical="center"/>
    </xf>
    <xf numFmtId="41" fontId="82" fillId="3" borderId="37" xfId="0" applyNumberFormat="1" applyFont="1" applyFill="1" applyBorder="1">
      <alignment vertical="center"/>
    </xf>
    <xf numFmtId="193" fontId="91" fillId="4" borderId="11" xfId="0" applyNumberFormat="1" applyFont="1" applyFill="1" applyBorder="1">
      <alignment vertical="center"/>
    </xf>
    <xf numFmtId="41" fontId="82" fillId="3" borderId="123" xfId="0" applyNumberFormat="1" applyFont="1" applyFill="1" applyBorder="1">
      <alignment vertical="center"/>
    </xf>
    <xf numFmtId="193" fontId="91" fillId="4" borderId="9" xfId="0" applyNumberFormat="1" applyFont="1" applyFill="1" applyBorder="1">
      <alignment vertical="center"/>
    </xf>
    <xf numFmtId="41" fontId="82" fillId="3" borderId="122" xfId="0" applyNumberFormat="1" applyFont="1" applyFill="1" applyBorder="1">
      <alignment vertical="center"/>
    </xf>
    <xf numFmtId="41" fontId="82" fillId="4" borderId="118" xfId="0" applyNumberFormat="1" applyFont="1" applyFill="1" applyBorder="1">
      <alignment vertical="center"/>
    </xf>
    <xf numFmtId="41" fontId="91" fillId="3" borderId="72" xfId="0" applyNumberFormat="1" applyFont="1" applyFill="1" applyBorder="1">
      <alignment vertical="center"/>
    </xf>
    <xf numFmtId="41" fontId="82" fillId="3" borderId="39" xfId="0" applyNumberFormat="1" applyFont="1" applyFill="1" applyBorder="1">
      <alignment vertical="center"/>
    </xf>
    <xf numFmtId="41" fontId="106" fillId="4" borderId="78" xfId="0" applyNumberFormat="1" applyFont="1" applyFill="1" applyBorder="1">
      <alignment vertical="center"/>
    </xf>
    <xf numFmtId="41" fontId="106" fillId="4" borderId="77" xfId="0" applyNumberFormat="1" applyFont="1" applyFill="1" applyBorder="1">
      <alignment vertical="center"/>
    </xf>
    <xf numFmtId="41" fontId="106" fillId="4" borderId="49" xfId="0" applyNumberFormat="1" applyFont="1" applyFill="1" applyBorder="1">
      <alignment vertical="center"/>
    </xf>
    <xf numFmtId="0" fontId="106" fillId="3" borderId="0" xfId="0" applyFont="1" applyFill="1">
      <alignment vertical="center"/>
    </xf>
    <xf numFmtId="41" fontId="82" fillId="3" borderId="8" xfId="0" applyNumberFormat="1" applyFont="1" applyFill="1" applyBorder="1">
      <alignment vertical="center"/>
    </xf>
    <xf numFmtId="185" fontId="91" fillId="3" borderId="69" xfId="0" applyNumberFormat="1" applyFont="1" applyFill="1" applyBorder="1">
      <alignment vertical="center"/>
    </xf>
    <xf numFmtId="193" fontId="106" fillId="3" borderId="0" xfId="0" applyNumberFormat="1" applyFont="1" applyFill="1">
      <alignment vertical="center"/>
    </xf>
    <xf numFmtId="41" fontId="82" fillId="3" borderId="78" xfId="0" applyNumberFormat="1" applyFont="1" applyFill="1" applyBorder="1">
      <alignment vertical="center"/>
    </xf>
    <xf numFmtId="41" fontId="82" fillId="3" borderId="43" xfId="0" applyNumberFormat="1" applyFont="1" applyFill="1" applyBorder="1">
      <alignment vertical="center"/>
    </xf>
    <xf numFmtId="41" fontId="91" fillId="3" borderId="78" xfId="0" applyNumberFormat="1" applyFont="1" applyFill="1" applyBorder="1">
      <alignment vertical="center"/>
    </xf>
    <xf numFmtId="41" fontId="106" fillId="4" borderId="17" xfId="0" applyNumberFormat="1" applyFont="1" applyFill="1" applyBorder="1">
      <alignment vertical="center"/>
    </xf>
    <xf numFmtId="41" fontId="106" fillId="4" borderId="20" xfId="0" applyNumberFormat="1" applyFont="1" applyFill="1" applyBorder="1">
      <alignment vertical="center"/>
    </xf>
    <xf numFmtId="9" fontId="106" fillId="3" borderId="0" xfId="0" applyNumberFormat="1" applyFont="1" applyFill="1">
      <alignment vertical="center"/>
    </xf>
    <xf numFmtId="180" fontId="106" fillId="8" borderId="58" xfId="0" applyNumberFormat="1" applyFont="1" applyFill="1" applyBorder="1">
      <alignment vertical="center"/>
    </xf>
    <xf numFmtId="180" fontId="106" fillId="8" borderId="112" xfId="0" applyNumberFormat="1" applyFont="1" applyFill="1" applyBorder="1">
      <alignment vertical="center"/>
    </xf>
    <xf numFmtId="180" fontId="106" fillId="8" borderId="32" xfId="0" applyNumberFormat="1" applyFont="1" applyFill="1" applyBorder="1">
      <alignment vertical="center"/>
    </xf>
    <xf numFmtId="180" fontId="106" fillId="8" borderId="113" xfId="0" applyNumberFormat="1" applyFont="1" applyFill="1" applyBorder="1">
      <alignment vertical="center"/>
    </xf>
    <xf numFmtId="180" fontId="114" fillId="8" borderId="41" xfId="0" applyNumberFormat="1" applyFont="1" applyFill="1" applyBorder="1">
      <alignment vertical="center"/>
    </xf>
    <xf numFmtId="180" fontId="114" fillId="8" borderId="109" xfId="0" applyNumberFormat="1" applyFont="1" applyFill="1" applyBorder="1">
      <alignment vertical="center"/>
    </xf>
    <xf numFmtId="180" fontId="114" fillId="8" borderId="112" xfId="0" applyNumberFormat="1" applyFont="1" applyFill="1" applyBorder="1">
      <alignment vertical="center"/>
    </xf>
    <xf numFmtId="180" fontId="114" fillId="8" borderId="32" xfId="0" applyNumberFormat="1" applyFont="1" applyFill="1" applyBorder="1">
      <alignment vertical="center"/>
    </xf>
    <xf numFmtId="180" fontId="114" fillId="8" borderId="84" xfId="0" applyNumberFormat="1" applyFont="1" applyFill="1" applyBorder="1">
      <alignment vertical="center"/>
    </xf>
    <xf numFmtId="180" fontId="106" fillId="8" borderId="78" xfId="0" applyNumberFormat="1" applyFont="1" applyFill="1" applyBorder="1">
      <alignment vertical="center"/>
    </xf>
    <xf numFmtId="180" fontId="106" fillId="8" borderId="77" xfId="0" applyNumberFormat="1" applyFont="1" applyFill="1" applyBorder="1">
      <alignment vertical="center"/>
    </xf>
    <xf numFmtId="180" fontId="106" fillId="8" borderId="49" xfId="0" applyNumberFormat="1" applyFont="1" applyFill="1" applyBorder="1">
      <alignment vertical="center"/>
    </xf>
    <xf numFmtId="180" fontId="106" fillId="8" borderId="76" xfId="0" applyNumberFormat="1" applyFont="1" applyFill="1" applyBorder="1">
      <alignment vertical="center"/>
    </xf>
    <xf numFmtId="180" fontId="114" fillId="8" borderId="43" xfId="0" applyNumberFormat="1" applyFont="1" applyFill="1" applyBorder="1">
      <alignment vertical="center"/>
    </xf>
    <xf numFmtId="180" fontId="114" fillId="8" borderId="78" xfId="0" applyNumberFormat="1" applyFont="1" applyFill="1" applyBorder="1">
      <alignment vertical="center"/>
    </xf>
    <xf numFmtId="180" fontId="114" fillId="8" borderId="77" xfId="0" applyNumberFormat="1" applyFont="1" applyFill="1" applyBorder="1">
      <alignment vertical="center"/>
    </xf>
    <xf numFmtId="180" fontId="114" fillId="8" borderId="49" xfId="0" applyNumberFormat="1" applyFont="1" applyFill="1" applyBorder="1">
      <alignment vertical="center"/>
    </xf>
    <xf numFmtId="180" fontId="114" fillId="8" borderId="70" xfId="0" applyNumberFormat="1" applyFont="1" applyFill="1" applyBorder="1">
      <alignment vertical="center"/>
    </xf>
    <xf numFmtId="41" fontId="119" fillId="3" borderId="0" xfId="0" applyNumberFormat="1" applyFont="1" applyFill="1">
      <alignment vertical="center"/>
    </xf>
    <xf numFmtId="9" fontId="119" fillId="0" borderId="0" xfId="0" applyNumberFormat="1" applyFont="1" applyAlignment="1">
      <alignment horizontal="center" vertical="center"/>
    </xf>
    <xf numFmtId="193" fontId="82" fillId="3" borderId="0" xfId="0" applyNumberFormat="1" applyFont="1" applyFill="1">
      <alignment vertical="center"/>
    </xf>
    <xf numFmtId="193" fontId="118" fillId="3" borderId="0" xfId="0" applyNumberFormat="1" applyFont="1" applyFill="1">
      <alignment vertical="center"/>
    </xf>
    <xf numFmtId="0" fontId="91" fillId="3" borderId="0" xfId="0" applyFont="1" applyFill="1" applyAlignment="1">
      <alignment horizontal="right" vertical="center"/>
    </xf>
    <xf numFmtId="0" fontId="106" fillId="4" borderId="17" xfId="0" applyFont="1" applyFill="1" applyBorder="1" applyAlignment="1">
      <alignment horizontal="center" vertical="center"/>
    </xf>
    <xf numFmtId="0" fontId="106" fillId="4" borderId="18" xfId="0" applyFont="1" applyFill="1" applyBorder="1" applyAlignment="1">
      <alignment horizontal="center" vertical="center"/>
    </xf>
    <xf numFmtId="0" fontId="106" fillId="4" borderId="19" xfId="0" applyFont="1" applyFill="1" applyBorder="1" applyAlignment="1">
      <alignment horizontal="center" vertical="center"/>
    </xf>
    <xf numFmtId="185" fontId="91" fillId="4" borderId="27" xfId="0" applyNumberFormat="1" applyFont="1" applyFill="1" applyBorder="1">
      <alignment vertical="center"/>
    </xf>
    <xf numFmtId="185" fontId="91" fillId="4" borderId="60" xfId="0" applyNumberFormat="1" applyFont="1" applyFill="1" applyBorder="1">
      <alignment vertical="center"/>
    </xf>
    <xf numFmtId="191" fontId="82" fillId="3" borderId="58" xfId="0" applyNumberFormat="1" applyFont="1" applyFill="1" applyBorder="1">
      <alignment vertical="center"/>
    </xf>
    <xf numFmtId="191" fontId="82" fillId="3" borderId="27" xfId="0" applyNumberFormat="1" applyFont="1" applyFill="1" applyBorder="1">
      <alignment vertical="center"/>
    </xf>
    <xf numFmtId="191" fontId="82" fillId="3" borderId="60" xfId="0" applyNumberFormat="1" applyFont="1" applyFill="1" applyBorder="1">
      <alignment vertical="center"/>
    </xf>
    <xf numFmtId="191" fontId="91" fillId="3" borderId="60" xfId="0" applyNumberFormat="1" applyFont="1" applyFill="1" applyBorder="1">
      <alignment vertical="center"/>
    </xf>
    <xf numFmtId="191" fontId="91" fillId="3" borderId="58" xfId="0" applyNumberFormat="1" applyFont="1" applyFill="1" applyBorder="1">
      <alignment vertical="center"/>
    </xf>
    <xf numFmtId="191" fontId="91" fillId="3" borderId="27" xfId="0" applyNumberFormat="1" applyFont="1" applyFill="1" applyBorder="1">
      <alignment vertical="center"/>
    </xf>
    <xf numFmtId="193" fontId="114" fillId="4" borderId="14" xfId="0" applyNumberFormat="1" applyFont="1" applyFill="1" applyBorder="1">
      <alignment vertical="center"/>
    </xf>
    <xf numFmtId="185" fontId="91" fillId="4" borderId="5" xfId="0" applyNumberFormat="1" applyFont="1" applyFill="1" applyBorder="1">
      <alignment vertical="center"/>
    </xf>
    <xf numFmtId="191" fontId="82" fillId="3" borderId="5" xfId="0" applyNumberFormat="1" applyFont="1" applyFill="1" applyBorder="1">
      <alignment vertical="center"/>
    </xf>
    <xf numFmtId="191" fontId="82" fillId="3" borderId="47" xfId="0" applyNumberFormat="1" applyFont="1" applyFill="1" applyBorder="1">
      <alignment vertical="center"/>
    </xf>
    <xf numFmtId="191" fontId="91" fillId="3" borderId="47" xfId="0" applyNumberFormat="1" applyFont="1" applyFill="1" applyBorder="1">
      <alignment vertical="center"/>
    </xf>
    <xf numFmtId="191" fontId="91" fillId="3" borderId="5" xfId="0" applyNumberFormat="1" applyFont="1" applyFill="1" applyBorder="1">
      <alignment vertical="center"/>
    </xf>
    <xf numFmtId="193" fontId="114" fillId="4" borderId="44" xfId="0" applyNumberFormat="1" applyFont="1" applyFill="1" applyBorder="1">
      <alignment vertical="center"/>
    </xf>
    <xf numFmtId="185" fontId="91" fillId="4" borderId="1" xfId="0" applyNumberFormat="1" applyFont="1" applyFill="1" applyBorder="1">
      <alignment vertical="center"/>
    </xf>
    <xf numFmtId="191" fontId="82" fillId="3" borderId="55" xfId="0" applyNumberFormat="1" applyFont="1" applyFill="1" applyBorder="1">
      <alignment vertical="center"/>
    </xf>
    <xf numFmtId="191" fontId="82" fillId="3" borderId="1" xfId="0" applyNumberFormat="1" applyFont="1" applyFill="1" applyBorder="1">
      <alignment vertical="center"/>
    </xf>
    <xf numFmtId="191" fontId="82" fillId="3" borderId="69" xfId="0" applyNumberFormat="1" applyFont="1" applyFill="1" applyBorder="1">
      <alignment vertical="center"/>
    </xf>
    <xf numFmtId="191" fontId="91" fillId="3" borderId="69" xfId="0" applyNumberFormat="1" applyFont="1" applyFill="1" applyBorder="1">
      <alignment vertical="center"/>
    </xf>
    <xf numFmtId="191" fontId="91" fillId="3" borderId="55" xfId="0" applyNumberFormat="1" applyFont="1" applyFill="1" applyBorder="1">
      <alignment vertical="center"/>
    </xf>
    <xf numFmtId="191" fontId="91" fillId="3" borderId="1" xfId="0" applyNumberFormat="1" applyFont="1" applyFill="1" applyBorder="1">
      <alignment vertical="center"/>
    </xf>
    <xf numFmtId="191" fontId="114" fillId="4" borderId="31" xfId="0" applyNumberFormat="1" applyFont="1" applyFill="1" applyBorder="1">
      <alignment vertical="center"/>
    </xf>
    <xf numFmtId="193" fontId="82" fillId="3" borderId="55" xfId="0" applyNumberFormat="1" applyFont="1" applyFill="1" applyBorder="1">
      <alignment vertical="center"/>
    </xf>
    <xf numFmtId="193" fontId="82" fillId="3" borderId="1" xfId="0" applyNumberFormat="1" applyFont="1" applyFill="1" applyBorder="1">
      <alignment vertical="center"/>
    </xf>
    <xf numFmtId="193" fontId="82" fillId="3" borderId="69" xfId="0" applyNumberFormat="1" applyFont="1" applyFill="1" applyBorder="1">
      <alignment vertical="center"/>
    </xf>
    <xf numFmtId="193" fontId="91" fillId="3" borderId="69" xfId="0" applyNumberFormat="1" applyFont="1" applyFill="1" applyBorder="1">
      <alignment vertical="center"/>
    </xf>
    <xf numFmtId="193" fontId="91" fillId="3" borderId="55" xfId="0" applyNumberFormat="1" applyFont="1" applyFill="1" applyBorder="1">
      <alignment vertical="center"/>
    </xf>
    <xf numFmtId="193" fontId="91" fillId="3" borderId="1" xfId="0" applyNumberFormat="1" applyFont="1" applyFill="1" applyBorder="1">
      <alignment vertical="center"/>
    </xf>
    <xf numFmtId="193" fontId="114" fillId="4" borderId="31" xfId="0" applyNumberFormat="1" applyFont="1" applyFill="1" applyBorder="1">
      <alignment vertical="center"/>
    </xf>
    <xf numFmtId="185" fontId="91" fillId="4" borderId="1" xfId="0" applyNumberFormat="1" applyFont="1" applyFill="1" applyBorder="1" applyAlignment="1">
      <alignment horizontal="right" vertical="center"/>
    </xf>
    <xf numFmtId="0" fontId="114" fillId="4" borderId="85" xfId="0" applyFont="1" applyFill="1" applyBorder="1">
      <alignment vertical="center"/>
    </xf>
    <xf numFmtId="41" fontId="114" fillId="4" borderId="28" xfId="0" applyNumberFormat="1" applyFont="1" applyFill="1" applyBorder="1" applyAlignment="1">
      <alignment horizontal="right" vertical="center"/>
    </xf>
    <xf numFmtId="185" fontId="114" fillId="4" borderId="28" xfId="0" applyNumberFormat="1" applyFont="1" applyFill="1" applyBorder="1" applyAlignment="1">
      <alignment horizontal="right" vertical="center"/>
    </xf>
    <xf numFmtId="191" fontId="106" fillId="4" borderId="12" xfId="0" applyNumberFormat="1" applyFont="1" applyFill="1" applyBorder="1">
      <alignment vertical="center"/>
    </xf>
    <xf numFmtId="191" fontId="106" fillId="4" borderId="28" xfId="0" applyNumberFormat="1" applyFont="1" applyFill="1" applyBorder="1">
      <alignment vertical="center"/>
    </xf>
    <xf numFmtId="191" fontId="106" fillId="4" borderId="33" xfId="0" applyNumberFormat="1" applyFont="1" applyFill="1" applyBorder="1">
      <alignment vertical="center"/>
    </xf>
    <xf numFmtId="191" fontId="114" fillId="4" borderId="33" xfId="0" applyNumberFormat="1" applyFont="1" applyFill="1" applyBorder="1">
      <alignment vertical="center"/>
    </xf>
    <xf numFmtId="191" fontId="114" fillId="4" borderId="12" xfId="0" applyNumberFormat="1" applyFont="1" applyFill="1" applyBorder="1">
      <alignment vertical="center"/>
    </xf>
    <xf numFmtId="191" fontId="114" fillId="4" borderId="28" xfId="0" applyNumberFormat="1" applyFont="1" applyFill="1" applyBorder="1">
      <alignment vertical="center"/>
    </xf>
    <xf numFmtId="193" fontId="114" fillId="4" borderId="30" xfId="0" applyNumberFormat="1" applyFont="1" applyFill="1" applyBorder="1">
      <alignment vertical="center"/>
    </xf>
    <xf numFmtId="191" fontId="82" fillId="3" borderId="85" xfId="0" applyNumberFormat="1" applyFont="1" applyFill="1" applyBorder="1">
      <alignment vertical="center"/>
    </xf>
    <xf numFmtId="191" fontId="82" fillId="3" borderId="61" xfId="0" applyNumberFormat="1" applyFont="1" applyFill="1" applyBorder="1">
      <alignment vertical="center"/>
    </xf>
    <xf numFmtId="191" fontId="82" fillId="3" borderId="34" xfId="0" applyNumberFormat="1" applyFont="1" applyFill="1" applyBorder="1">
      <alignment vertical="center"/>
    </xf>
    <xf numFmtId="191" fontId="91" fillId="3" borderId="63" xfId="0" applyNumberFormat="1" applyFont="1" applyFill="1" applyBorder="1">
      <alignment vertical="center"/>
    </xf>
    <xf numFmtId="191" fontId="91" fillId="3" borderId="37" xfId="0" applyNumberFormat="1" applyFont="1" applyFill="1" applyBorder="1">
      <alignment vertical="center"/>
    </xf>
    <xf numFmtId="191" fontId="91" fillId="3" borderId="61" xfId="0" applyNumberFormat="1" applyFont="1" applyFill="1" applyBorder="1">
      <alignment vertical="center"/>
    </xf>
    <xf numFmtId="191" fontId="91" fillId="3" borderId="34" xfId="0" applyNumberFormat="1" applyFont="1" applyFill="1" applyBorder="1">
      <alignment vertical="center"/>
    </xf>
    <xf numFmtId="191" fontId="91" fillId="3" borderId="85" xfId="0" applyNumberFormat="1" applyFont="1" applyFill="1" applyBorder="1">
      <alignment vertical="center"/>
    </xf>
    <xf numFmtId="191" fontId="91" fillId="3" borderId="71" xfId="0" applyNumberFormat="1" applyFont="1" applyFill="1" applyBorder="1">
      <alignment vertical="center"/>
    </xf>
    <xf numFmtId="193" fontId="114" fillId="4" borderId="57" xfId="0" applyNumberFormat="1" applyFont="1" applyFill="1" applyBorder="1">
      <alignment vertical="center"/>
    </xf>
    <xf numFmtId="191" fontId="91" fillId="3" borderId="8" xfId="0" applyNumberFormat="1" applyFont="1" applyFill="1" applyBorder="1">
      <alignment vertical="center"/>
    </xf>
    <xf numFmtId="191" fontId="91" fillId="3" borderId="21" xfId="0" applyNumberFormat="1" applyFont="1" applyFill="1" applyBorder="1">
      <alignment vertical="center"/>
    </xf>
    <xf numFmtId="191" fontId="91" fillId="3" borderId="10" xfId="0" applyNumberFormat="1" applyFont="1" applyFill="1" applyBorder="1">
      <alignment vertical="center"/>
    </xf>
    <xf numFmtId="191" fontId="82" fillId="3" borderId="115" xfId="0" applyNumberFormat="1" applyFont="1" applyFill="1" applyBorder="1">
      <alignment vertical="center"/>
    </xf>
    <xf numFmtId="191" fontId="82" fillId="3" borderId="11" xfId="0" applyNumberFormat="1" applyFont="1" applyFill="1" applyBorder="1">
      <alignment vertical="center"/>
    </xf>
    <xf numFmtId="191" fontId="82" fillId="3" borderId="54" xfId="0" applyNumberFormat="1" applyFont="1" applyFill="1" applyBorder="1">
      <alignment vertical="center"/>
    </xf>
    <xf numFmtId="191" fontId="91" fillId="3" borderId="119" xfId="0" applyNumberFormat="1" applyFont="1" applyFill="1" applyBorder="1">
      <alignment vertical="center"/>
    </xf>
    <xf numFmtId="191" fontId="91" fillId="3" borderId="123" xfId="0" applyNumberFormat="1" applyFont="1" applyFill="1" applyBorder="1">
      <alignment vertical="center"/>
    </xf>
    <xf numFmtId="191" fontId="91" fillId="3" borderId="11" xfId="0" applyNumberFormat="1" applyFont="1" applyFill="1" applyBorder="1">
      <alignment vertical="center"/>
    </xf>
    <xf numFmtId="191" fontId="91" fillId="3" borderId="54" xfId="0" applyNumberFormat="1" applyFont="1" applyFill="1" applyBorder="1">
      <alignment vertical="center"/>
    </xf>
    <xf numFmtId="191" fontId="91" fillId="3" borderId="87" xfId="0" applyNumberFormat="1" applyFont="1" applyFill="1" applyBorder="1">
      <alignment vertical="center"/>
    </xf>
    <xf numFmtId="193" fontId="114" fillId="4" borderId="94" xfId="0" applyNumberFormat="1" applyFont="1" applyFill="1" applyBorder="1">
      <alignment vertical="center"/>
    </xf>
    <xf numFmtId="191" fontId="82" fillId="3" borderId="114" xfId="0" applyNumberFormat="1" applyFont="1" applyFill="1" applyBorder="1">
      <alignment vertical="center"/>
    </xf>
    <xf numFmtId="191" fontId="82" fillId="3" borderId="9" xfId="0" applyNumberFormat="1" applyFont="1" applyFill="1" applyBorder="1">
      <alignment vertical="center"/>
    </xf>
    <xf numFmtId="191" fontId="82" fillId="3" borderId="89" xfId="0" applyNumberFormat="1" applyFont="1" applyFill="1" applyBorder="1">
      <alignment vertical="center"/>
    </xf>
    <xf numFmtId="191" fontId="91" fillId="3" borderId="118" xfId="0" applyNumberFormat="1" applyFont="1" applyFill="1" applyBorder="1">
      <alignment vertical="center"/>
    </xf>
    <xf numFmtId="191" fontId="91" fillId="3" borderId="122" xfId="0" applyNumberFormat="1" applyFont="1" applyFill="1" applyBorder="1">
      <alignment vertical="center"/>
    </xf>
    <xf numFmtId="191" fontId="91" fillId="3" borderId="9" xfId="0" applyNumberFormat="1" applyFont="1" applyFill="1" applyBorder="1">
      <alignment vertical="center"/>
    </xf>
    <xf numFmtId="191" fontId="91" fillId="3" borderId="89" xfId="0" applyNumberFormat="1" applyFont="1" applyFill="1" applyBorder="1">
      <alignment vertical="center"/>
    </xf>
    <xf numFmtId="191" fontId="91" fillId="3" borderId="90" xfId="0" applyNumberFormat="1" applyFont="1" applyFill="1" applyBorder="1">
      <alignment vertical="center"/>
    </xf>
    <xf numFmtId="193" fontId="114" fillId="4" borderId="106" xfId="0" applyNumberFormat="1" applyFont="1" applyFill="1" applyBorder="1">
      <alignment vertical="center"/>
    </xf>
    <xf numFmtId="0" fontId="82" fillId="3" borderId="0" xfId="0" applyFont="1" applyFill="1" applyAlignment="1">
      <alignment vertical="center" wrapText="1"/>
    </xf>
    <xf numFmtId="191" fontId="91" fillId="3" borderId="72" xfId="0" applyNumberFormat="1" applyFont="1" applyFill="1" applyBorder="1">
      <alignment vertical="center"/>
    </xf>
    <xf numFmtId="0" fontId="82" fillId="3" borderId="0" xfId="0" applyFont="1" applyFill="1" applyAlignment="1">
      <alignment horizontal="left" vertical="center"/>
    </xf>
    <xf numFmtId="0" fontId="82" fillId="3" borderId="0" xfId="0" applyFont="1" applyFill="1" applyAlignment="1">
      <alignment horizontal="right" vertical="center"/>
    </xf>
    <xf numFmtId="191" fontId="82" fillId="3" borderId="107" xfId="0" applyNumberFormat="1" applyFont="1" applyFill="1" applyBorder="1">
      <alignment vertical="center"/>
    </xf>
    <xf numFmtId="191" fontId="91" fillId="3" borderId="42" xfId="0" applyNumberFormat="1" applyFont="1" applyFill="1" applyBorder="1">
      <alignment vertical="center"/>
    </xf>
    <xf numFmtId="191" fontId="91" fillId="3" borderId="38" xfId="0" applyNumberFormat="1" applyFont="1" applyFill="1" applyBorder="1">
      <alignment vertical="center"/>
    </xf>
    <xf numFmtId="191" fontId="91" fillId="3" borderId="56" xfId="0" applyNumberFormat="1" applyFont="1" applyFill="1" applyBorder="1">
      <alignment vertical="center"/>
    </xf>
    <xf numFmtId="0" fontId="106" fillId="3" borderId="0" xfId="0" applyFont="1" applyFill="1" applyAlignment="1">
      <alignment horizontal="right" vertical="center"/>
    </xf>
    <xf numFmtId="185" fontId="91" fillId="4" borderId="28" xfId="0" applyNumberFormat="1" applyFont="1" applyFill="1" applyBorder="1" applyAlignment="1">
      <alignment horizontal="right" vertical="center"/>
    </xf>
    <xf numFmtId="185" fontId="91" fillId="4" borderId="33" xfId="0" applyNumberFormat="1" applyFont="1" applyFill="1" applyBorder="1" applyAlignment="1">
      <alignment horizontal="right" vertical="center"/>
    </xf>
    <xf numFmtId="191" fontId="114" fillId="4" borderId="48" xfId="0" applyNumberFormat="1" applyFont="1" applyFill="1" applyBorder="1">
      <alignment vertical="center"/>
    </xf>
    <xf numFmtId="191" fontId="114" fillId="4" borderId="62" xfId="0" applyNumberFormat="1" applyFont="1" applyFill="1" applyBorder="1">
      <alignment vertical="center"/>
    </xf>
    <xf numFmtId="191" fontId="114" fillId="4" borderId="30" xfId="0" applyNumberFormat="1" applyFont="1" applyFill="1" applyBorder="1">
      <alignment vertical="center"/>
    </xf>
    <xf numFmtId="0" fontId="114" fillId="4" borderId="37" xfId="0" applyFont="1" applyFill="1" applyBorder="1" applyAlignment="1">
      <alignment horizontal="center" vertical="center"/>
    </xf>
    <xf numFmtId="193" fontId="106" fillId="4" borderId="17" xfId="0" applyNumberFormat="1" applyFont="1" applyFill="1" applyBorder="1">
      <alignment vertical="center"/>
    </xf>
    <xf numFmtId="193" fontId="106" fillId="4" borderId="18" xfId="0" applyNumberFormat="1" applyFont="1" applyFill="1" applyBorder="1">
      <alignment vertical="center"/>
    </xf>
    <xf numFmtId="193" fontId="106" fillId="4" borderId="19" xfId="0" applyNumberFormat="1" applyFont="1" applyFill="1" applyBorder="1">
      <alignment vertical="center"/>
    </xf>
    <xf numFmtId="193" fontId="106" fillId="4" borderId="67" xfId="0" applyNumberFormat="1" applyFont="1" applyFill="1" applyBorder="1">
      <alignment vertical="center"/>
    </xf>
    <xf numFmtId="193" fontId="114" fillId="4" borderId="20" xfId="0" applyNumberFormat="1" applyFont="1" applyFill="1" applyBorder="1">
      <alignment vertical="center"/>
    </xf>
    <xf numFmtId="193" fontId="114" fillId="4" borderId="17" xfId="0" applyNumberFormat="1" applyFont="1" applyFill="1" applyBorder="1">
      <alignment vertical="center"/>
    </xf>
    <xf numFmtId="193" fontId="114" fillId="4" borderId="18" xfId="0" applyNumberFormat="1" applyFont="1" applyFill="1" applyBorder="1">
      <alignment vertical="center"/>
    </xf>
    <xf numFmtId="193" fontId="114" fillId="4" borderId="19" xfId="0" applyNumberFormat="1" applyFont="1" applyFill="1" applyBorder="1">
      <alignment vertical="center"/>
    </xf>
    <xf numFmtId="191" fontId="114" fillId="4" borderId="16" xfId="0" applyNumberFormat="1" applyFont="1" applyFill="1" applyBorder="1">
      <alignment vertical="center"/>
    </xf>
    <xf numFmtId="206" fontId="106" fillId="4" borderId="58" xfId="0" applyNumberFormat="1" applyFont="1" applyFill="1" applyBorder="1">
      <alignment vertical="center"/>
    </xf>
    <xf numFmtId="191" fontId="106" fillId="4" borderId="112" xfId="0" applyNumberFormat="1" applyFont="1" applyFill="1" applyBorder="1">
      <alignment vertical="center"/>
    </xf>
    <xf numFmtId="191" fontId="106" fillId="4" borderId="32" xfId="0" applyNumberFormat="1" applyFont="1" applyFill="1" applyBorder="1">
      <alignment vertical="center"/>
    </xf>
    <xf numFmtId="191" fontId="106" fillId="4" borderId="113" xfId="0" applyNumberFormat="1" applyFont="1" applyFill="1" applyBorder="1">
      <alignment vertical="center"/>
    </xf>
    <xf numFmtId="191" fontId="114" fillId="4" borderId="41" xfId="0" applyNumberFormat="1" applyFont="1" applyFill="1" applyBorder="1">
      <alignment vertical="center"/>
    </xf>
    <xf numFmtId="191" fontId="114" fillId="4" borderId="109" xfId="0" applyNumberFormat="1" applyFont="1" applyFill="1" applyBorder="1">
      <alignment vertical="center"/>
    </xf>
    <xf numFmtId="191" fontId="114" fillId="4" borderId="112" xfId="0" applyNumberFormat="1" applyFont="1" applyFill="1" applyBorder="1">
      <alignment vertical="center"/>
    </xf>
    <xf numFmtId="191" fontId="114" fillId="4" borderId="32" xfId="0" applyNumberFormat="1" applyFont="1" applyFill="1" applyBorder="1">
      <alignment vertical="center"/>
    </xf>
    <xf numFmtId="191" fontId="114" fillId="4" borderId="84" xfId="0" applyNumberFormat="1" applyFont="1" applyFill="1" applyBorder="1">
      <alignment vertical="center"/>
    </xf>
    <xf numFmtId="206" fontId="106" fillId="4" borderId="78" xfId="0" applyNumberFormat="1" applyFont="1" applyFill="1" applyBorder="1">
      <alignment vertical="center"/>
    </xf>
    <xf numFmtId="191" fontId="106" fillId="4" borderId="77" xfId="0" applyNumberFormat="1" applyFont="1" applyFill="1" applyBorder="1">
      <alignment vertical="center"/>
    </xf>
    <xf numFmtId="191" fontId="106" fillId="4" borderId="49" xfId="0" applyNumberFormat="1" applyFont="1" applyFill="1" applyBorder="1">
      <alignment vertical="center"/>
    </xf>
    <xf numFmtId="191" fontId="106" fillId="4" borderId="76" xfId="0" applyNumberFormat="1" applyFont="1" applyFill="1" applyBorder="1">
      <alignment vertical="center"/>
    </xf>
    <xf numFmtId="191" fontId="114" fillId="4" borderId="43" xfId="0" applyNumberFormat="1" applyFont="1" applyFill="1" applyBorder="1">
      <alignment vertical="center"/>
    </xf>
    <xf numFmtId="191" fontId="114" fillId="4" borderId="78" xfId="0" applyNumberFormat="1" applyFont="1" applyFill="1" applyBorder="1">
      <alignment vertical="center"/>
    </xf>
    <xf numFmtId="191" fontId="114" fillId="4" borderId="77" xfId="0" applyNumberFormat="1" applyFont="1" applyFill="1" applyBorder="1">
      <alignment vertical="center"/>
    </xf>
    <xf numFmtId="191" fontId="114" fillId="4" borderId="49" xfId="0" applyNumberFormat="1" applyFont="1" applyFill="1" applyBorder="1">
      <alignment vertical="center"/>
    </xf>
    <xf numFmtId="191" fontId="114" fillId="4" borderId="70" xfId="0" applyNumberFormat="1" applyFont="1" applyFill="1" applyBorder="1">
      <alignment vertical="center"/>
    </xf>
    <xf numFmtId="0" fontId="114" fillId="3" borderId="0" xfId="0" applyFont="1" applyFill="1" applyAlignment="1">
      <alignment horizontal="center" vertical="center"/>
    </xf>
    <xf numFmtId="193" fontId="125" fillId="3" borderId="0" xfId="0" applyNumberFormat="1" applyFont="1" applyFill="1">
      <alignment vertical="center"/>
    </xf>
    <xf numFmtId="193" fontId="114" fillId="3" borderId="0" xfId="0" applyNumberFormat="1" applyFont="1" applyFill="1">
      <alignment vertical="center"/>
    </xf>
    <xf numFmtId="0" fontId="114" fillId="4" borderId="20" xfId="0" applyFont="1" applyFill="1" applyBorder="1" applyAlignment="1">
      <alignment horizontal="centerContinuous" vertical="center"/>
    </xf>
    <xf numFmtId="0" fontId="114" fillId="4" borderId="67" xfId="0" applyFont="1" applyFill="1" applyBorder="1" applyAlignment="1">
      <alignment horizontal="centerContinuous" vertical="center"/>
    </xf>
    <xf numFmtId="185" fontId="114" fillId="4" borderId="19" xfId="0" applyNumberFormat="1" applyFont="1" applyFill="1" applyBorder="1" applyAlignment="1">
      <alignment horizontal="center" vertical="center" wrapText="1"/>
    </xf>
    <xf numFmtId="0" fontId="91" fillId="4" borderId="27" xfId="0" applyFont="1" applyFill="1" applyBorder="1" applyAlignment="1">
      <alignment horizontal="center" vertical="center"/>
    </xf>
    <xf numFmtId="0" fontId="91" fillId="4" borderId="26" xfId="0" applyFont="1" applyFill="1" applyBorder="1" applyAlignment="1">
      <alignment horizontal="center" vertical="center"/>
    </xf>
    <xf numFmtId="185" fontId="91" fillId="4" borderId="60" xfId="0" applyNumberFormat="1" applyFont="1" applyFill="1" applyBorder="1" applyAlignment="1">
      <alignment horizontal="center" vertical="center"/>
    </xf>
    <xf numFmtId="198" fontId="82" fillId="3" borderId="58" xfId="0" applyNumberFormat="1" applyFont="1" applyFill="1" applyBorder="1">
      <alignment vertical="center"/>
    </xf>
    <xf numFmtId="198" fontId="82" fillId="3" borderId="27" xfId="0" applyNumberFormat="1" applyFont="1" applyFill="1" applyBorder="1">
      <alignment vertical="center"/>
    </xf>
    <xf numFmtId="198" fontId="82" fillId="3" borderId="60" xfId="0" applyNumberFormat="1" applyFont="1" applyFill="1" applyBorder="1">
      <alignment vertical="center"/>
    </xf>
    <xf numFmtId="198" fontId="82" fillId="3" borderId="80" xfId="0" applyNumberFormat="1" applyFont="1" applyFill="1" applyBorder="1">
      <alignment vertical="center"/>
    </xf>
    <xf numFmtId="198" fontId="91" fillId="3" borderId="26" xfId="0" applyNumberFormat="1" applyFont="1" applyFill="1" applyBorder="1">
      <alignment vertical="center"/>
    </xf>
    <xf numFmtId="198" fontId="91" fillId="3" borderId="80" xfId="0" applyNumberFormat="1" applyFont="1" applyFill="1" applyBorder="1">
      <alignment vertical="center"/>
    </xf>
    <xf numFmtId="198" fontId="91" fillId="3" borderId="27" xfId="0" applyNumberFormat="1" applyFont="1" applyFill="1" applyBorder="1">
      <alignment vertical="center"/>
    </xf>
    <xf numFmtId="195" fontId="91" fillId="4" borderId="14" xfId="0" applyNumberFormat="1" applyFont="1" applyFill="1" applyBorder="1">
      <alignment vertical="center"/>
    </xf>
    <xf numFmtId="0" fontId="91" fillId="4" borderId="1" xfId="0" applyFont="1" applyFill="1" applyBorder="1">
      <alignment vertical="center"/>
    </xf>
    <xf numFmtId="0" fontId="91" fillId="4" borderId="8" xfId="0" applyFont="1" applyFill="1" applyBorder="1">
      <alignment vertical="center"/>
    </xf>
    <xf numFmtId="0" fontId="91" fillId="4" borderId="10" xfId="0" applyFont="1" applyFill="1" applyBorder="1">
      <alignment vertical="center"/>
    </xf>
    <xf numFmtId="185" fontId="91" fillId="4" borderId="69" xfId="0" applyNumberFormat="1" applyFont="1" applyFill="1" applyBorder="1" applyAlignment="1">
      <alignment horizontal="center" vertical="center"/>
    </xf>
    <xf numFmtId="198" fontId="82" fillId="3" borderId="55" xfId="0" applyNumberFormat="1" applyFont="1" applyFill="1" applyBorder="1">
      <alignment vertical="center"/>
    </xf>
    <xf numFmtId="198" fontId="82" fillId="3" borderId="1" xfId="0" applyNumberFormat="1" applyFont="1" applyFill="1" applyBorder="1">
      <alignment vertical="center"/>
    </xf>
    <xf numFmtId="198" fontId="82" fillId="3" borderId="69" xfId="0" applyNumberFormat="1" applyFont="1" applyFill="1" applyBorder="1">
      <alignment vertical="center"/>
    </xf>
    <xf numFmtId="198" fontId="82" fillId="3" borderId="21" xfId="0" applyNumberFormat="1" applyFont="1" applyFill="1" applyBorder="1">
      <alignment vertical="center"/>
    </xf>
    <xf numFmtId="198" fontId="91" fillId="3" borderId="24" xfId="0" applyNumberFormat="1" applyFont="1" applyFill="1" applyBorder="1">
      <alignment vertical="center"/>
    </xf>
    <xf numFmtId="198" fontId="91" fillId="3" borderId="21" xfId="0" applyNumberFormat="1" applyFont="1" applyFill="1" applyBorder="1">
      <alignment vertical="center"/>
    </xf>
    <xf numFmtId="198" fontId="91" fillId="3" borderId="1" xfId="0" applyNumberFormat="1" applyFont="1" applyFill="1" applyBorder="1">
      <alignment vertical="center"/>
    </xf>
    <xf numFmtId="195" fontId="91" fillId="4" borderId="31" xfId="0" applyNumberFormat="1" applyFont="1" applyFill="1" applyBorder="1">
      <alignment vertical="center"/>
    </xf>
    <xf numFmtId="0" fontId="114" fillId="4" borderId="9" xfId="0" applyFont="1" applyFill="1" applyBorder="1">
      <alignment vertical="center"/>
    </xf>
    <xf numFmtId="0" fontId="114" fillId="4" borderId="118" xfId="0" applyFont="1" applyFill="1" applyBorder="1">
      <alignment vertical="center"/>
    </xf>
    <xf numFmtId="0" fontId="114" fillId="4" borderId="90" xfId="0" applyFont="1" applyFill="1" applyBorder="1">
      <alignment vertical="center"/>
    </xf>
    <xf numFmtId="185" fontId="91" fillId="4" borderId="89" xfId="0" applyNumberFormat="1" applyFont="1" applyFill="1" applyBorder="1" applyAlignment="1">
      <alignment horizontal="center" vertical="center"/>
    </xf>
    <xf numFmtId="198" fontId="106" fillId="3" borderId="88" xfId="0" applyNumberFormat="1" applyFont="1" applyFill="1" applyBorder="1">
      <alignment vertical="center"/>
    </xf>
    <xf numFmtId="198" fontId="106" fillId="3" borderId="9" xfId="0" applyNumberFormat="1" applyFont="1" applyFill="1" applyBorder="1">
      <alignment vertical="center"/>
    </xf>
    <xf numFmtId="198" fontId="106" fillId="3" borderId="89" xfId="0" applyNumberFormat="1" applyFont="1" applyFill="1" applyBorder="1">
      <alignment vertical="center"/>
    </xf>
    <xf numFmtId="198" fontId="106" fillId="3" borderId="122" xfId="0" applyNumberFormat="1" applyFont="1" applyFill="1" applyBorder="1">
      <alignment vertical="center"/>
    </xf>
    <xf numFmtId="198" fontId="114" fillId="3" borderId="116" xfId="0" applyNumberFormat="1" applyFont="1" applyFill="1" applyBorder="1">
      <alignment vertical="center"/>
    </xf>
    <xf numFmtId="198" fontId="114" fillId="3" borderId="122" xfId="0" applyNumberFormat="1" applyFont="1" applyFill="1" applyBorder="1">
      <alignment vertical="center"/>
    </xf>
    <xf numFmtId="198" fontId="114" fillId="3" borderId="9" xfId="0" applyNumberFormat="1" applyFont="1" applyFill="1" applyBorder="1">
      <alignment vertical="center"/>
    </xf>
    <xf numFmtId="195" fontId="114" fillId="4" borderId="106" xfId="0" applyNumberFormat="1" applyFont="1" applyFill="1" applyBorder="1">
      <alignment vertical="center"/>
    </xf>
    <xf numFmtId="0" fontId="91" fillId="4" borderId="11" xfId="0" applyFont="1" applyFill="1" applyBorder="1" applyAlignment="1">
      <alignment horizontal="center" vertical="center"/>
    </xf>
    <xf numFmtId="0" fontId="91" fillId="4" borderId="119" xfId="0" applyFont="1" applyFill="1" applyBorder="1" applyAlignment="1">
      <alignment horizontal="center" vertical="center"/>
    </xf>
    <xf numFmtId="0" fontId="91" fillId="4" borderId="87" xfId="0" applyFont="1" applyFill="1" applyBorder="1" applyAlignment="1">
      <alignment horizontal="center" vertical="center"/>
    </xf>
    <xf numFmtId="185" fontId="91" fillId="4" borderId="54" xfId="0" applyNumberFormat="1" applyFont="1" applyFill="1" applyBorder="1" applyAlignment="1">
      <alignment horizontal="center" vertical="center"/>
    </xf>
    <xf numFmtId="198" fontId="82" fillId="3" borderId="86" xfId="0" applyNumberFormat="1" applyFont="1" applyFill="1" applyBorder="1">
      <alignment vertical="center"/>
    </xf>
    <xf numFmtId="198" fontId="82" fillId="3" borderId="11" xfId="0" applyNumberFormat="1" applyFont="1" applyFill="1" applyBorder="1">
      <alignment vertical="center"/>
    </xf>
    <xf numFmtId="198" fontId="82" fillId="3" borderId="54" xfId="0" applyNumberFormat="1" applyFont="1" applyFill="1" applyBorder="1">
      <alignment vertical="center"/>
    </xf>
    <xf numFmtId="198" fontId="82" fillId="3" borderId="123" xfId="0" applyNumberFormat="1" applyFont="1" applyFill="1" applyBorder="1">
      <alignment vertical="center"/>
    </xf>
    <xf numFmtId="198" fontId="91" fillId="3" borderId="120" xfId="0" applyNumberFormat="1" applyFont="1" applyFill="1" applyBorder="1">
      <alignment vertical="center"/>
    </xf>
    <xf numFmtId="198" fontId="91" fillId="3" borderId="123" xfId="0" applyNumberFormat="1" applyFont="1" applyFill="1" applyBorder="1">
      <alignment vertical="center"/>
    </xf>
    <xf numFmtId="198" fontId="91" fillId="3" borderId="11" xfId="0" applyNumberFormat="1" applyFont="1" applyFill="1" applyBorder="1">
      <alignment vertical="center"/>
    </xf>
    <xf numFmtId="195" fontId="91" fillId="4" borderId="94" xfId="0" applyNumberFormat="1" applyFont="1" applyFill="1" applyBorder="1">
      <alignment vertical="center"/>
    </xf>
    <xf numFmtId="41" fontId="114" fillId="4" borderId="1" xfId="0" applyNumberFormat="1" applyFont="1" applyFill="1" applyBorder="1">
      <alignment vertical="center"/>
    </xf>
    <xf numFmtId="41" fontId="114" fillId="4" borderId="42" xfId="0" applyNumberFormat="1" applyFont="1" applyFill="1" applyBorder="1">
      <alignment vertical="center"/>
    </xf>
    <xf numFmtId="41" fontId="114" fillId="4" borderId="56" xfId="0" applyNumberFormat="1" applyFont="1" applyFill="1" applyBorder="1">
      <alignment vertical="center"/>
    </xf>
    <xf numFmtId="198" fontId="106" fillId="3" borderId="55" xfId="0" applyNumberFormat="1" applyFont="1" applyFill="1" applyBorder="1">
      <alignment vertical="center"/>
    </xf>
    <xf numFmtId="198" fontId="106" fillId="3" borderId="1" xfId="0" applyNumberFormat="1" applyFont="1" applyFill="1" applyBorder="1">
      <alignment vertical="center"/>
    </xf>
    <xf numFmtId="198" fontId="106" fillId="3" borderId="69" xfId="0" applyNumberFormat="1" applyFont="1" applyFill="1" applyBorder="1">
      <alignment vertical="center"/>
    </xf>
    <xf numFmtId="198" fontId="106" fillId="3" borderId="21" xfId="0" applyNumberFormat="1" applyFont="1" applyFill="1" applyBorder="1">
      <alignment vertical="center"/>
    </xf>
    <xf numFmtId="198" fontId="114" fillId="3" borderId="24" xfId="0" applyNumberFormat="1" applyFont="1" applyFill="1" applyBorder="1">
      <alignment vertical="center"/>
    </xf>
    <xf numFmtId="198" fontId="114" fillId="3" borderId="21" xfId="0" applyNumberFormat="1" applyFont="1" applyFill="1" applyBorder="1">
      <alignment vertical="center"/>
    </xf>
    <xf numFmtId="198" fontId="114" fillId="3" borderId="1" xfId="0" applyNumberFormat="1" applyFont="1" applyFill="1" applyBorder="1">
      <alignment vertical="center"/>
    </xf>
    <xf numFmtId="195" fontId="114" fillId="4" borderId="31" xfId="0" applyNumberFormat="1" applyFont="1" applyFill="1" applyBorder="1">
      <alignment vertical="center"/>
    </xf>
    <xf numFmtId="0" fontId="114" fillId="4" borderId="42" xfId="0" applyFont="1" applyFill="1" applyBorder="1">
      <alignment vertical="center"/>
    </xf>
    <xf numFmtId="185" fontId="114" fillId="4" borderId="33" xfId="0" applyNumberFormat="1" applyFont="1" applyFill="1" applyBorder="1" applyAlignment="1">
      <alignment horizontal="center" vertical="center"/>
    </xf>
    <xf numFmtId="198" fontId="106" fillId="4" borderId="12" xfId="0" applyNumberFormat="1" applyFont="1" applyFill="1" applyBorder="1">
      <alignment vertical="center"/>
    </xf>
    <xf numFmtId="198" fontId="106" fillId="4" borderId="28" xfId="0" applyNumberFormat="1" applyFont="1" applyFill="1" applyBorder="1">
      <alignment vertical="center"/>
    </xf>
    <xf numFmtId="198" fontId="106" fillId="4" borderId="33" xfId="0" applyNumberFormat="1" applyFont="1" applyFill="1" applyBorder="1">
      <alignment vertical="center"/>
    </xf>
    <xf numFmtId="198" fontId="106" fillId="4" borderId="39" xfId="0" applyNumberFormat="1" applyFont="1" applyFill="1" applyBorder="1">
      <alignment vertical="center"/>
    </xf>
    <xf numFmtId="198" fontId="114" fillId="4" borderId="83" xfId="0" applyNumberFormat="1" applyFont="1" applyFill="1" applyBorder="1">
      <alignment vertical="center"/>
    </xf>
    <xf numFmtId="198" fontId="114" fillId="4" borderId="39" xfId="0" applyNumberFormat="1" applyFont="1" applyFill="1" applyBorder="1">
      <alignment vertical="center"/>
    </xf>
    <xf numFmtId="198" fontId="114" fillId="4" borderId="28" xfId="0" applyNumberFormat="1" applyFont="1" applyFill="1" applyBorder="1">
      <alignment vertical="center"/>
    </xf>
    <xf numFmtId="195" fontId="114" fillId="4" borderId="30" xfId="0" applyNumberFormat="1" applyFont="1" applyFill="1" applyBorder="1">
      <alignment vertical="center"/>
    </xf>
    <xf numFmtId="41" fontId="114" fillId="4" borderId="65" xfId="0" applyNumberFormat="1" applyFont="1" applyFill="1" applyBorder="1">
      <alignment vertical="center"/>
    </xf>
    <xf numFmtId="41" fontId="114" fillId="4" borderId="26" xfId="0" applyNumberFormat="1" applyFont="1" applyFill="1" applyBorder="1">
      <alignment vertical="center"/>
    </xf>
    <xf numFmtId="198" fontId="82" fillId="0" borderId="58" xfId="0" applyNumberFormat="1" applyFont="1" applyBorder="1">
      <alignment vertical="center"/>
    </xf>
    <xf numFmtId="198" fontId="82" fillId="0" borderId="27" xfId="0" applyNumberFormat="1" applyFont="1" applyBorder="1">
      <alignment vertical="center"/>
    </xf>
    <xf numFmtId="198" fontId="82" fillId="0" borderId="60" xfId="0" applyNumberFormat="1" applyFont="1" applyBorder="1">
      <alignment vertical="center"/>
    </xf>
    <xf numFmtId="198" fontId="82" fillId="0" borderId="80" xfId="0" applyNumberFormat="1" applyFont="1" applyBorder="1">
      <alignment vertical="center"/>
    </xf>
    <xf numFmtId="198" fontId="91" fillId="0" borderId="25" xfId="0" applyNumberFormat="1" applyFont="1" applyBorder="1">
      <alignment vertical="center"/>
    </xf>
    <xf numFmtId="198" fontId="91" fillId="0" borderId="80" xfId="0" applyNumberFormat="1" applyFont="1" applyBorder="1">
      <alignment vertical="center"/>
    </xf>
    <xf numFmtId="198" fontId="91" fillId="0" borderId="27" xfId="0" applyNumberFormat="1" applyFont="1" applyBorder="1">
      <alignment vertical="center"/>
    </xf>
    <xf numFmtId="41" fontId="114" fillId="4" borderId="8" xfId="0" applyNumberFormat="1" applyFont="1" applyFill="1" applyBorder="1">
      <alignment vertical="center"/>
    </xf>
    <xf numFmtId="41" fontId="114" fillId="4" borderId="10" xfId="0" applyNumberFormat="1" applyFont="1" applyFill="1" applyBorder="1">
      <alignment vertical="center"/>
    </xf>
    <xf numFmtId="198" fontId="82" fillId="0" borderId="55" xfId="0" applyNumberFormat="1" applyFont="1" applyBorder="1">
      <alignment vertical="center"/>
    </xf>
    <xf numFmtId="198" fontId="82" fillId="0" borderId="1" xfId="0" applyNumberFormat="1" applyFont="1" applyBorder="1">
      <alignment vertical="center"/>
    </xf>
    <xf numFmtId="198" fontId="82" fillId="0" borderId="69" xfId="0" applyNumberFormat="1" applyFont="1" applyBorder="1">
      <alignment vertical="center"/>
    </xf>
    <xf numFmtId="198" fontId="82" fillId="0" borderId="21" xfId="0" applyNumberFormat="1" applyFont="1" applyBorder="1">
      <alignment vertical="center"/>
    </xf>
    <xf numFmtId="198" fontId="91" fillId="0" borderId="24" xfId="0" applyNumberFormat="1" applyFont="1" applyBorder="1">
      <alignment vertical="center"/>
    </xf>
    <xf numFmtId="198" fontId="91" fillId="0" borderId="21" xfId="0" applyNumberFormat="1" applyFont="1" applyBorder="1">
      <alignment vertical="center"/>
    </xf>
    <xf numFmtId="198" fontId="91" fillId="0" borderId="1" xfId="0" applyNumberFormat="1" applyFont="1" applyBorder="1">
      <alignment vertical="center"/>
    </xf>
    <xf numFmtId="41" fontId="114" fillId="4" borderId="68" xfId="0" applyNumberFormat="1" applyFont="1" applyFill="1" applyBorder="1">
      <alignment vertical="center"/>
    </xf>
    <xf numFmtId="185" fontId="91" fillId="4" borderId="46" xfId="0" applyNumberFormat="1" applyFont="1" applyFill="1" applyBorder="1" applyAlignment="1">
      <alignment horizontal="center" vertical="center"/>
    </xf>
    <xf numFmtId="198" fontId="106" fillId="0" borderId="13" xfId="0" applyNumberFormat="1" applyFont="1" applyBorder="1">
      <alignment vertical="center"/>
    </xf>
    <xf numFmtId="198" fontId="106" fillId="0" borderId="59" xfId="0" applyNumberFormat="1" applyFont="1" applyBorder="1">
      <alignment vertical="center"/>
    </xf>
    <xf numFmtId="198" fontId="106" fillId="0" borderId="46" xfId="0" applyNumberFormat="1" applyFont="1" applyBorder="1">
      <alignment vertical="center"/>
    </xf>
    <xf numFmtId="198" fontId="106" fillId="0" borderId="73" xfId="0" applyNumberFormat="1" applyFont="1" applyBorder="1">
      <alignment vertical="center"/>
    </xf>
    <xf numFmtId="198" fontId="114" fillId="0" borderId="92" xfId="0" applyNumberFormat="1" applyFont="1" applyBorder="1">
      <alignment vertical="center"/>
    </xf>
    <xf numFmtId="198" fontId="114" fillId="0" borderId="73" xfId="0" applyNumberFormat="1" applyFont="1" applyBorder="1">
      <alignment vertical="center"/>
    </xf>
    <xf numFmtId="198" fontId="114" fillId="0" borderId="59" xfId="0" applyNumberFormat="1" applyFont="1" applyBorder="1">
      <alignment vertical="center"/>
    </xf>
    <xf numFmtId="195" fontId="114" fillId="4" borderId="108" xfId="0" applyNumberFormat="1" applyFont="1" applyFill="1" applyBorder="1">
      <alignment vertical="center"/>
    </xf>
    <xf numFmtId="0" fontId="106" fillId="0" borderId="0" xfId="0" applyFont="1">
      <alignment vertical="center"/>
    </xf>
    <xf numFmtId="198" fontId="106" fillId="3" borderId="13" xfId="0" applyNumberFormat="1" applyFont="1" applyFill="1" applyBorder="1">
      <alignment vertical="center"/>
    </xf>
    <xf numFmtId="198" fontId="106" fillId="3" borderId="59" xfId="0" applyNumberFormat="1" applyFont="1" applyFill="1" applyBorder="1">
      <alignment vertical="center"/>
    </xf>
    <xf numFmtId="198" fontId="106" fillId="3" borderId="46" xfId="0" applyNumberFormat="1" applyFont="1" applyFill="1" applyBorder="1">
      <alignment vertical="center"/>
    </xf>
    <xf numFmtId="198" fontId="106" fillId="3" borderId="73" xfId="0" applyNumberFormat="1" applyFont="1" applyFill="1" applyBorder="1">
      <alignment vertical="center"/>
    </xf>
    <xf numFmtId="198" fontId="114" fillId="3" borderId="92" xfId="0" applyNumberFormat="1" applyFont="1" applyFill="1" applyBorder="1">
      <alignment vertical="center"/>
    </xf>
    <xf numFmtId="198" fontId="114" fillId="3" borderId="73" xfId="0" applyNumberFormat="1" applyFont="1" applyFill="1" applyBorder="1">
      <alignment vertical="center"/>
    </xf>
    <xf numFmtId="198" fontId="114" fillId="3" borderId="59" xfId="0" applyNumberFormat="1" applyFont="1" applyFill="1" applyBorder="1">
      <alignment vertical="center"/>
    </xf>
    <xf numFmtId="193" fontId="114" fillId="0" borderId="0" xfId="0" applyNumberFormat="1" applyFont="1">
      <alignment vertical="center"/>
    </xf>
    <xf numFmtId="0" fontId="91" fillId="0" borderId="0" xfId="0" applyFont="1" applyAlignment="1">
      <alignment horizontal="left" vertical="center"/>
    </xf>
    <xf numFmtId="9" fontId="119" fillId="3" borderId="0" xfId="0" applyNumberFormat="1" applyFont="1" applyFill="1" applyAlignment="1">
      <alignment horizontal="center" vertical="center"/>
    </xf>
    <xf numFmtId="0" fontId="114" fillId="4" borderId="18" xfId="0" applyFont="1" applyFill="1" applyBorder="1" applyAlignment="1">
      <alignment horizontal="center" vertical="center" wrapText="1"/>
    </xf>
    <xf numFmtId="9" fontId="91" fillId="4" borderId="27" xfId="0" applyNumberFormat="1" applyFont="1" applyFill="1" applyBorder="1" applyAlignment="1">
      <alignment horizontal="right" vertical="center"/>
    </xf>
    <xf numFmtId="41" fontId="91" fillId="4" borderId="42" xfId="0" applyNumberFormat="1" applyFont="1" applyFill="1" applyBorder="1">
      <alignment vertical="center"/>
    </xf>
    <xf numFmtId="9" fontId="91" fillId="4" borderId="5" xfId="0" applyNumberFormat="1" applyFont="1" applyFill="1" applyBorder="1" applyAlignment="1">
      <alignment horizontal="right" vertical="center"/>
    </xf>
    <xf numFmtId="185" fontId="91" fillId="4" borderId="47" xfId="0" applyNumberFormat="1" applyFont="1" applyFill="1" applyBorder="1" applyAlignment="1">
      <alignment horizontal="center" vertical="center"/>
    </xf>
    <xf numFmtId="185" fontId="91" fillId="3" borderId="35" xfId="0" applyNumberFormat="1" applyFont="1" applyFill="1" applyBorder="1">
      <alignment vertical="center"/>
    </xf>
    <xf numFmtId="185" fontId="82" fillId="3" borderId="5" xfId="0" applyNumberFormat="1" applyFont="1" applyFill="1" applyBorder="1">
      <alignment vertical="center"/>
    </xf>
    <xf numFmtId="185" fontId="91" fillId="3" borderId="47" xfId="0" applyNumberFormat="1" applyFont="1" applyFill="1" applyBorder="1">
      <alignment vertical="center"/>
    </xf>
    <xf numFmtId="41" fontId="91" fillId="4" borderId="8" xfId="0" applyNumberFormat="1" applyFont="1" applyFill="1" applyBorder="1">
      <alignment vertical="center"/>
    </xf>
    <xf numFmtId="194" fontId="91" fillId="3" borderId="55" xfId="0" applyNumberFormat="1" applyFont="1" applyFill="1" applyBorder="1">
      <alignment vertical="center"/>
    </xf>
    <xf numFmtId="194" fontId="91" fillId="3" borderId="1" xfId="0" applyNumberFormat="1" applyFont="1" applyFill="1" applyBorder="1">
      <alignment vertical="center"/>
    </xf>
    <xf numFmtId="194" fontId="91" fillId="3" borderId="69" xfId="0" applyNumberFormat="1" applyFont="1" applyFill="1" applyBorder="1">
      <alignment vertical="center"/>
    </xf>
    <xf numFmtId="191" fontId="91" fillId="0" borderId="55" xfId="0" applyNumberFormat="1" applyFont="1" applyBorder="1">
      <alignment vertical="center"/>
    </xf>
    <xf numFmtId="191" fontId="91" fillId="0" borderId="1" xfId="0" applyNumberFormat="1" applyFont="1" applyBorder="1">
      <alignment vertical="center"/>
    </xf>
    <xf numFmtId="191" fontId="91" fillId="0" borderId="69" xfId="0" applyNumberFormat="1" applyFont="1" applyBorder="1">
      <alignment vertical="center"/>
    </xf>
    <xf numFmtId="0" fontId="114" fillId="4" borderId="56" xfId="0" applyFont="1" applyFill="1" applyBorder="1">
      <alignment vertical="center"/>
    </xf>
    <xf numFmtId="41" fontId="91" fillId="4" borderId="72" xfId="0" applyNumberFormat="1" applyFont="1" applyFill="1" applyBorder="1">
      <alignment vertical="center"/>
    </xf>
    <xf numFmtId="194" fontId="91" fillId="3" borderId="64" xfId="0" applyNumberFormat="1" applyFont="1" applyFill="1" applyBorder="1">
      <alignment vertical="center"/>
    </xf>
    <xf numFmtId="194" fontId="91" fillId="3" borderId="61" xfId="0" applyNumberFormat="1" applyFont="1" applyFill="1" applyBorder="1">
      <alignment vertical="center"/>
    </xf>
    <xf numFmtId="194" fontId="91" fillId="3" borderId="34" xfId="0" applyNumberFormat="1" applyFont="1" applyFill="1" applyBorder="1">
      <alignment vertical="center"/>
    </xf>
    <xf numFmtId="191" fontId="114" fillId="4" borderId="57" xfId="0" applyNumberFormat="1" applyFont="1" applyFill="1" applyBorder="1">
      <alignment vertical="center"/>
    </xf>
    <xf numFmtId="41" fontId="91" fillId="4" borderId="10" xfId="0" applyNumberFormat="1" applyFont="1" applyFill="1" applyBorder="1">
      <alignment vertical="center"/>
    </xf>
    <xf numFmtId="41" fontId="91" fillId="4" borderId="119" xfId="0" applyNumberFormat="1" applyFont="1" applyFill="1" applyBorder="1">
      <alignment vertical="center"/>
    </xf>
    <xf numFmtId="9" fontId="91" fillId="4" borderId="11" xfId="0" applyNumberFormat="1" applyFont="1" applyFill="1" applyBorder="1" applyAlignment="1">
      <alignment horizontal="right" vertical="center"/>
    </xf>
    <xf numFmtId="194" fontId="91" fillId="3" borderId="86" xfId="0" applyNumberFormat="1" applyFont="1" applyFill="1" applyBorder="1">
      <alignment vertical="center"/>
    </xf>
    <xf numFmtId="194" fontId="91" fillId="3" borderId="11" xfId="0" applyNumberFormat="1" applyFont="1" applyFill="1" applyBorder="1">
      <alignment vertical="center"/>
    </xf>
    <xf numFmtId="194" fontId="91" fillId="3" borderId="54" xfId="0" applyNumberFormat="1" applyFont="1" applyFill="1" applyBorder="1">
      <alignment vertical="center"/>
    </xf>
    <xf numFmtId="191" fontId="114" fillId="4" borderId="94" xfId="0" applyNumberFormat="1" applyFont="1" applyFill="1" applyBorder="1">
      <alignment vertical="center"/>
    </xf>
    <xf numFmtId="41" fontId="91" fillId="4" borderId="118" xfId="0" applyNumberFormat="1" applyFont="1" applyFill="1" applyBorder="1">
      <alignment vertical="center"/>
    </xf>
    <xf numFmtId="9" fontId="91" fillId="4" borderId="9" xfId="0" applyNumberFormat="1" applyFont="1" applyFill="1" applyBorder="1" applyAlignment="1">
      <alignment horizontal="right" vertical="center"/>
    </xf>
    <xf numFmtId="194" fontId="91" fillId="3" borderId="88" xfId="0" applyNumberFormat="1" applyFont="1" applyFill="1" applyBorder="1">
      <alignment vertical="center"/>
    </xf>
    <xf numFmtId="194" fontId="91" fillId="3" borderId="9" xfId="0" applyNumberFormat="1" applyFont="1" applyFill="1" applyBorder="1">
      <alignment vertical="center"/>
    </xf>
    <xf numFmtId="194" fontId="91" fillId="3" borderId="89" xfId="0" applyNumberFormat="1" applyFont="1" applyFill="1" applyBorder="1">
      <alignment vertical="center"/>
    </xf>
    <xf numFmtId="191" fontId="114" fillId="4" borderId="106" xfId="0" applyNumberFormat="1" applyFont="1" applyFill="1" applyBorder="1">
      <alignment vertical="center"/>
    </xf>
    <xf numFmtId="41" fontId="91" fillId="4" borderId="9" xfId="0" applyNumberFormat="1" applyFont="1" applyFill="1" applyBorder="1" applyAlignment="1">
      <alignment horizontal="left" vertical="center"/>
    </xf>
    <xf numFmtId="41" fontId="91" fillId="4" borderId="1" xfId="0" applyNumberFormat="1" applyFont="1" applyFill="1" applyBorder="1" applyAlignment="1">
      <alignment horizontal="right" vertical="center"/>
    </xf>
    <xf numFmtId="9" fontId="91" fillId="4" borderId="61" xfId="0" applyNumberFormat="1" applyFont="1" applyFill="1" applyBorder="1" applyAlignment="1">
      <alignment horizontal="right" vertical="center"/>
    </xf>
    <xf numFmtId="41" fontId="91" fillId="4" borderId="87" xfId="0" applyNumberFormat="1" applyFont="1" applyFill="1" applyBorder="1">
      <alignment vertical="center"/>
    </xf>
    <xf numFmtId="194" fontId="91" fillId="3" borderId="35" xfId="0" applyNumberFormat="1" applyFont="1" applyFill="1" applyBorder="1">
      <alignment vertical="center"/>
    </xf>
    <xf numFmtId="41" fontId="91" fillId="4" borderId="48" xfId="0" applyNumberFormat="1" applyFont="1" applyFill="1" applyBorder="1">
      <alignment vertical="center"/>
    </xf>
    <xf numFmtId="191" fontId="106" fillId="4" borderId="94" xfId="0" applyNumberFormat="1" applyFont="1" applyFill="1" applyBorder="1">
      <alignment vertical="center"/>
    </xf>
    <xf numFmtId="194" fontId="91" fillId="3" borderId="1" xfId="0" applyNumberFormat="1" applyFont="1" applyFill="1" applyBorder="1" applyAlignment="1">
      <alignment horizontal="right" vertical="center"/>
    </xf>
    <xf numFmtId="194" fontId="91" fillId="3" borderId="69" xfId="0" applyNumberFormat="1" applyFont="1" applyFill="1" applyBorder="1" applyAlignment="1">
      <alignment horizontal="right" vertical="center"/>
    </xf>
    <xf numFmtId="194" fontId="91" fillId="3" borderId="55" xfId="0" applyNumberFormat="1" applyFont="1" applyFill="1" applyBorder="1" applyAlignment="1">
      <alignment horizontal="right" vertical="center"/>
    </xf>
    <xf numFmtId="191" fontId="106" fillId="4" borderId="31" xfId="0" applyNumberFormat="1" applyFont="1" applyFill="1" applyBorder="1">
      <alignment vertical="center"/>
    </xf>
    <xf numFmtId="9" fontId="91" fillId="4" borderId="28" xfId="0" applyNumberFormat="1" applyFont="1" applyFill="1" applyBorder="1" applyAlignment="1">
      <alignment horizontal="right" vertical="center"/>
    </xf>
    <xf numFmtId="194" fontId="91" fillId="3" borderId="12" xfId="0" applyNumberFormat="1" applyFont="1" applyFill="1" applyBorder="1">
      <alignment vertical="center"/>
    </xf>
    <xf numFmtId="194" fontId="91" fillId="3" borderId="33" xfId="0" applyNumberFormat="1" applyFont="1" applyFill="1" applyBorder="1">
      <alignment vertical="center"/>
    </xf>
    <xf numFmtId="0" fontId="114" fillId="4" borderId="55" xfId="0" applyFont="1" applyFill="1" applyBorder="1">
      <alignment vertical="center"/>
    </xf>
    <xf numFmtId="0" fontId="114" fillId="4" borderId="35" xfId="0" applyFont="1" applyFill="1" applyBorder="1">
      <alignment vertical="center"/>
    </xf>
    <xf numFmtId="185" fontId="91" fillId="4" borderId="59" xfId="0" applyNumberFormat="1" applyFont="1" applyFill="1" applyBorder="1" applyAlignment="1">
      <alignment horizontal="right" vertical="center"/>
    </xf>
    <xf numFmtId="9" fontId="91" fillId="4" borderId="59" xfId="0" applyNumberFormat="1" applyFont="1" applyFill="1" applyBorder="1" applyAlignment="1">
      <alignment horizontal="right" vertical="center"/>
    </xf>
    <xf numFmtId="185" fontId="91" fillId="4" borderId="46" xfId="0" applyNumberFormat="1" applyFont="1" applyFill="1" applyBorder="1" applyAlignment="1">
      <alignment horizontal="right" vertical="center"/>
    </xf>
    <xf numFmtId="41" fontId="114" fillId="3" borderId="35" xfId="0" applyNumberFormat="1" applyFont="1" applyFill="1" applyBorder="1">
      <alignment vertical="center"/>
    </xf>
    <xf numFmtId="41" fontId="114" fillId="3" borderId="5" xfId="0" applyNumberFormat="1" applyFont="1" applyFill="1" applyBorder="1">
      <alignment vertical="center"/>
    </xf>
    <xf numFmtId="41" fontId="114" fillId="3" borderId="47" xfId="0" applyNumberFormat="1" applyFont="1" applyFill="1" applyBorder="1">
      <alignment vertical="center"/>
    </xf>
    <xf numFmtId="0" fontId="110" fillId="0" borderId="0" xfId="0" applyFont="1">
      <alignment vertical="center"/>
    </xf>
    <xf numFmtId="0" fontId="91" fillId="4" borderId="58" xfId="0" applyFont="1" applyFill="1" applyBorder="1" applyAlignment="1">
      <alignment horizontal="center" vertical="center"/>
    </xf>
    <xf numFmtId="185" fontId="91" fillId="3" borderId="27" xfId="0" applyNumberFormat="1" applyFont="1" applyFill="1" applyBorder="1">
      <alignment vertical="center"/>
    </xf>
    <xf numFmtId="185" fontId="91" fillId="3" borderId="60" xfId="0" applyNumberFormat="1" applyFont="1" applyFill="1" applyBorder="1">
      <alignment vertical="center"/>
    </xf>
    <xf numFmtId="185" fontId="91" fillId="3" borderId="58" xfId="0" applyNumberFormat="1" applyFont="1" applyFill="1" applyBorder="1">
      <alignment vertical="center"/>
    </xf>
    <xf numFmtId="185" fontId="114" fillId="4" borderId="14" xfId="0" applyNumberFormat="1" applyFont="1" applyFill="1" applyBorder="1">
      <alignment vertical="center"/>
    </xf>
    <xf numFmtId="0" fontId="91" fillId="4" borderId="55" xfId="0" applyFont="1" applyFill="1" applyBorder="1" applyAlignment="1">
      <alignment horizontal="center" vertical="center"/>
    </xf>
    <xf numFmtId="185" fontId="91" fillId="3" borderId="1" xfId="0" applyNumberFormat="1" applyFont="1" applyFill="1" applyBorder="1">
      <alignment vertical="center"/>
    </xf>
    <xf numFmtId="185" fontId="91" fillId="3" borderId="55" xfId="0" applyNumberFormat="1" applyFont="1" applyFill="1" applyBorder="1">
      <alignment vertical="center"/>
    </xf>
    <xf numFmtId="185" fontId="114" fillId="4" borderId="31" xfId="0" applyNumberFormat="1" applyFont="1" applyFill="1" applyBorder="1">
      <alignment vertical="center"/>
    </xf>
    <xf numFmtId="185" fontId="114" fillId="4" borderId="78" xfId="0" applyNumberFormat="1" applyFont="1" applyFill="1" applyBorder="1">
      <alignment vertical="center"/>
    </xf>
    <xf numFmtId="185" fontId="114" fillId="4" borderId="77" xfId="0" applyNumberFormat="1" applyFont="1" applyFill="1" applyBorder="1">
      <alignment vertical="center"/>
    </xf>
    <xf numFmtId="185" fontId="114" fillId="4" borderId="49" xfId="0" applyNumberFormat="1" applyFont="1" applyFill="1" applyBorder="1">
      <alignment vertical="center"/>
    </xf>
    <xf numFmtId="185" fontId="114" fillId="4" borderId="75" xfId="0" applyNumberFormat="1" applyFont="1" applyFill="1" applyBorder="1">
      <alignment vertical="center"/>
    </xf>
    <xf numFmtId="9" fontId="91" fillId="3" borderId="0" xfId="0" applyNumberFormat="1" applyFont="1" applyFill="1" applyAlignment="1">
      <alignment horizontal="left" vertical="center"/>
    </xf>
    <xf numFmtId="193" fontId="91" fillId="3" borderId="0" xfId="0" applyNumberFormat="1" applyFont="1" applyFill="1">
      <alignment vertical="center"/>
    </xf>
    <xf numFmtId="0" fontId="110" fillId="0" borderId="0" xfId="0" applyFont="1" applyAlignment="1">
      <alignment horizontal="left" vertical="center"/>
    </xf>
    <xf numFmtId="185" fontId="114" fillId="0" borderId="0" xfId="0" applyNumberFormat="1" applyFont="1">
      <alignment vertical="center"/>
    </xf>
    <xf numFmtId="180" fontId="82" fillId="0" borderId="0" xfId="0" applyNumberFormat="1" applyFont="1">
      <alignment vertical="center"/>
    </xf>
    <xf numFmtId="180" fontId="91" fillId="3" borderId="27" xfId="0" applyNumberFormat="1" applyFont="1" applyFill="1" applyBorder="1">
      <alignment vertical="center"/>
    </xf>
    <xf numFmtId="180" fontId="91" fillId="3" borderId="60" xfId="0" applyNumberFormat="1" applyFont="1" applyFill="1" applyBorder="1">
      <alignment vertical="center"/>
    </xf>
    <xf numFmtId="180" fontId="91" fillId="3" borderId="58" xfId="0" applyNumberFormat="1" applyFont="1" applyFill="1" applyBorder="1">
      <alignment vertical="center"/>
    </xf>
    <xf numFmtId="180" fontId="114" fillId="4" borderId="14" xfId="0" applyNumberFormat="1" applyFont="1" applyFill="1" applyBorder="1">
      <alignment vertical="center"/>
    </xf>
    <xf numFmtId="180" fontId="91" fillId="3" borderId="1" xfId="0" applyNumberFormat="1" applyFont="1" applyFill="1" applyBorder="1">
      <alignment vertical="center"/>
    </xf>
    <xf numFmtId="180" fontId="91" fillId="3" borderId="69" xfId="0" applyNumberFormat="1" applyFont="1" applyFill="1" applyBorder="1">
      <alignment vertical="center"/>
    </xf>
    <xf numFmtId="180" fontId="91" fillId="3" borderId="55" xfId="0" applyNumberFormat="1" applyFont="1" applyFill="1" applyBorder="1">
      <alignment vertical="center"/>
    </xf>
    <xf numFmtId="180" fontId="114" fillId="4" borderId="31" xfId="0" applyNumberFormat="1" applyFont="1" applyFill="1" applyBorder="1">
      <alignment vertical="center"/>
    </xf>
    <xf numFmtId="180" fontId="114" fillId="4" borderId="78" xfId="0" applyNumberFormat="1" applyFont="1" applyFill="1" applyBorder="1">
      <alignment vertical="center"/>
    </xf>
    <xf numFmtId="180" fontId="114" fillId="4" borderId="77" xfId="0" applyNumberFormat="1" applyFont="1" applyFill="1" applyBorder="1">
      <alignment vertical="center"/>
    </xf>
    <xf numFmtId="180" fontId="114" fillId="4" borderId="49" xfId="0" applyNumberFormat="1" applyFont="1" applyFill="1" applyBorder="1">
      <alignment vertical="center"/>
    </xf>
    <xf numFmtId="180" fontId="114" fillId="4" borderId="75" xfId="0" applyNumberFormat="1" applyFont="1" applyFill="1" applyBorder="1">
      <alignment vertical="center"/>
    </xf>
    <xf numFmtId="2" fontId="91" fillId="0" borderId="0" xfId="0" applyNumberFormat="1" applyFont="1">
      <alignment vertical="center"/>
    </xf>
    <xf numFmtId="193" fontId="114" fillId="4" borderId="67" xfId="0" applyNumberFormat="1" applyFont="1" applyFill="1" applyBorder="1" applyAlignment="1">
      <alignment horizontal="center" vertical="center" wrapText="1"/>
    </xf>
    <xf numFmtId="41" fontId="91" fillId="4" borderId="61" xfId="0" applyNumberFormat="1" applyFont="1" applyFill="1" applyBorder="1" applyAlignment="1">
      <alignment horizontal="right" vertical="center"/>
    </xf>
    <xf numFmtId="41" fontId="91" fillId="0" borderId="58" xfId="0" applyNumberFormat="1" applyFont="1" applyBorder="1">
      <alignment vertical="center"/>
    </xf>
    <xf numFmtId="193" fontId="91" fillId="4" borderId="56" xfId="0" applyNumberFormat="1" applyFont="1" applyFill="1" applyBorder="1">
      <alignment vertical="center"/>
    </xf>
    <xf numFmtId="41" fontId="82" fillId="4" borderId="72" xfId="0" applyNumberFormat="1" applyFont="1" applyFill="1" applyBorder="1">
      <alignment vertical="center"/>
    </xf>
    <xf numFmtId="41" fontId="82" fillId="3" borderId="24" xfId="0" applyNumberFormat="1" applyFont="1" applyFill="1" applyBorder="1">
      <alignment vertical="center"/>
    </xf>
    <xf numFmtId="41" fontId="106" fillId="4" borderId="31" xfId="0" applyNumberFormat="1" applyFont="1" applyFill="1" applyBorder="1">
      <alignment vertical="center"/>
    </xf>
    <xf numFmtId="0" fontId="91" fillId="4" borderId="28" xfId="0" applyFont="1" applyFill="1" applyBorder="1">
      <alignment vertical="center"/>
    </xf>
    <xf numFmtId="185" fontId="82" fillId="4" borderId="61" xfId="0" applyNumberFormat="1" applyFont="1" applyFill="1" applyBorder="1">
      <alignment vertical="center"/>
    </xf>
    <xf numFmtId="41" fontId="82" fillId="3" borderId="64" xfId="0" applyNumberFormat="1" applyFont="1" applyFill="1" applyBorder="1">
      <alignment vertical="center"/>
    </xf>
    <xf numFmtId="41" fontId="106" fillId="4" borderId="57" xfId="0" applyNumberFormat="1" applyFont="1" applyFill="1" applyBorder="1">
      <alignment vertical="center"/>
    </xf>
    <xf numFmtId="185" fontId="82" fillId="4" borderId="1" xfId="0" applyNumberFormat="1" applyFont="1" applyFill="1" applyBorder="1">
      <alignment vertical="center"/>
    </xf>
    <xf numFmtId="41" fontId="82" fillId="4" borderId="10" xfId="0" applyNumberFormat="1" applyFont="1" applyFill="1" applyBorder="1">
      <alignment vertical="center"/>
    </xf>
    <xf numFmtId="185" fontId="82" fillId="4" borderId="11" xfId="0" applyNumberFormat="1" applyFont="1" applyFill="1" applyBorder="1">
      <alignment vertical="center"/>
    </xf>
    <xf numFmtId="41" fontId="82" fillId="3" borderId="86" xfId="0" applyNumberFormat="1" applyFont="1" applyFill="1" applyBorder="1">
      <alignment vertical="center"/>
    </xf>
    <xf numFmtId="41" fontId="106" fillId="4" borderId="94" xfId="0" applyNumberFormat="1" applyFont="1" applyFill="1" applyBorder="1">
      <alignment vertical="center"/>
    </xf>
    <xf numFmtId="185" fontId="82" fillId="4" borderId="9" xfId="0" applyNumberFormat="1" applyFont="1" applyFill="1" applyBorder="1">
      <alignment vertical="center"/>
    </xf>
    <xf numFmtId="41" fontId="82" fillId="3" borderId="88" xfId="0" applyNumberFormat="1" applyFont="1" applyFill="1" applyBorder="1">
      <alignment vertical="center"/>
    </xf>
    <xf numFmtId="41" fontId="106" fillId="4" borderId="106" xfId="0" applyNumberFormat="1" applyFont="1" applyFill="1" applyBorder="1">
      <alignment vertical="center"/>
    </xf>
    <xf numFmtId="185" fontId="82" fillId="4" borderId="5" xfId="0" applyNumberFormat="1" applyFont="1" applyFill="1" applyBorder="1">
      <alignment vertical="center"/>
    </xf>
    <xf numFmtId="41" fontId="106" fillId="4" borderId="44" xfId="0" applyNumberFormat="1" applyFont="1" applyFill="1" applyBorder="1">
      <alignment vertical="center"/>
    </xf>
    <xf numFmtId="41" fontId="82" fillId="3" borderId="71" xfId="0" applyNumberFormat="1" applyFont="1" applyFill="1" applyBorder="1">
      <alignment vertical="center"/>
    </xf>
    <xf numFmtId="41" fontId="82" fillId="3" borderId="23" xfId="0" applyNumberFormat="1" applyFont="1" applyFill="1" applyBorder="1">
      <alignment vertical="center"/>
    </xf>
    <xf numFmtId="41" fontId="82" fillId="3" borderId="3" xfId="0" applyNumberFormat="1" applyFont="1" applyFill="1" applyBorder="1">
      <alignment vertical="center"/>
    </xf>
    <xf numFmtId="41" fontId="82" fillId="3" borderId="22" xfId="0" applyNumberFormat="1" applyFont="1" applyFill="1" applyBorder="1">
      <alignment vertical="center"/>
    </xf>
    <xf numFmtId="41" fontId="82" fillId="3" borderId="117" xfId="0" applyNumberFormat="1" applyFont="1" applyFill="1" applyBorder="1">
      <alignment vertical="center"/>
    </xf>
    <xf numFmtId="0" fontId="106" fillId="4" borderId="28" xfId="0" applyFont="1" applyFill="1" applyBorder="1">
      <alignment vertical="center"/>
    </xf>
    <xf numFmtId="41" fontId="106" fillId="4" borderId="39" xfId="0" applyNumberFormat="1" applyFont="1" applyFill="1" applyBorder="1">
      <alignment vertical="center"/>
    </xf>
    <xf numFmtId="41" fontId="106" fillId="4" borderId="83" xfId="0" applyNumberFormat="1" applyFont="1" applyFill="1" applyBorder="1">
      <alignment vertical="center"/>
    </xf>
    <xf numFmtId="41" fontId="106" fillId="4" borderId="30" xfId="0" applyNumberFormat="1" applyFont="1" applyFill="1" applyBorder="1">
      <alignment vertical="center"/>
    </xf>
    <xf numFmtId="41" fontId="114" fillId="4" borderId="5" xfId="0" applyNumberFormat="1" applyFont="1" applyFill="1" applyBorder="1">
      <alignment vertical="center"/>
    </xf>
    <xf numFmtId="41" fontId="114" fillId="4" borderId="16" xfId="0" applyNumberFormat="1" applyFont="1" applyFill="1" applyBorder="1">
      <alignment vertical="center"/>
    </xf>
    <xf numFmtId="0" fontId="82" fillId="0" borderId="0" xfId="0" applyFont="1" applyAlignment="1">
      <alignment horizontal="left" vertical="center"/>
    </xf>
    <xf numFmtId="193" fontId="82" fillId="0" borderId="0" xfId="0" applyNumberFormat="1" applyFont="1">
      <alignment vertical="center"/>
    </xf>
    <xf numFmtId="0" fontId="123" fillId="0" borderId="0" xfId="0" applyFont="1" applyAlignment="1">
      <alignment horizontal="center" vertical="center"/>
    </xf>
    <xf numFmtId="9" fontId="123" fillId="0" borderId="0" xfId="0" applyNumberFormat="1" applyFont="1" applyAlignment="1">
      <alignment horizontal="center" vertical="center"/>
    </xf>
    <xf numFmtId="193" fontId="118" fillId="3" borderId="0" xfId="0" applyNumberFormat="1" applyFont="1" applyFill="1" applyAlignment="1">
      <alignment horizontal="left" vertical="center"/>
    </xf>
    <xf numFmtId="0" fontId="91" fillId="4" borderId="1" xfId="0" applyFont="1" applyFill="1" applyBorder="1" applyAlignment="1">
      <alignment horizontal="left" vertical="center"/>
    </xf>
    <xf numFmtId="41" fontId="91" fillId="4" borderId="5" xfId="0" applyNumberFormat="1" applyFont="1" applyFill="1" applyBorder="1" applyAlignment="1">
      <alignment horizontal="right" vertical="center"/>
    </xf>
    <xf numFmtId="185" fontId="82" fillId="4" borderId="10" xfId="0" applyNumberFormat="1" applyFont="1" applyFill="1" applyBorder="1">
      <alignment vertical="center"/>
    </xf>
    <xf numFmtId="185" fontId="82" fillId="4" borderId="72" xfId="0" applyNumberFormat="1" applyFont="1" applyFill="1" applyBorder="1">
      <alignment vertical="center"/>
    </xf>
    <xf numFmtId="41" fontId="91" fillId="4" borderId="11" xfId="0" applyNumberFormat="1" applyFont="1" applyFill="1" applyBorder="1" applyAlignment="1">
      <alignment horizontal="right" vertical="center"/>
    </xf>
    <xf numFmtId="185" fontId="82" fillId="4" borderId="87" xfId="0" applyNumberFormat="1" applyFont="1" applyFill="1" applyBorder="1">
      <alignment vertical="center"/>
    </xf>
    <xf numFmtId="41" fontId="91" fillId="4" borderId="9" xfId="0" applyNumberFormat="1" applyFont="1" applyFill="1" applyBorder="1" applyAlignment="1">
      <alignment horizontal="right" vertical="center"/>
    </xf>
    <xf numFmtId="185" fontId="82" fillId="4" borderId="90" xfId="0" applyNumberFormat="1" applyFont="1" applyFill="1" applyBorder="1">
      <alignment vertical="center"/>
    </xf>
    <xf numFmtId="185" fontId="82" fillId="4" borderId="56" xfId="0" applyNumberFormat="1" applyFont="1" applyFill="1" applyBorder="1">
      <alignment vertical="center"/>
    </xf>
    <xf numFmtId="41" fontId="82" fillId="3" borderId="118" xfId="0" applyNumberFormat="1" applyFont="1" applyFill="1" applyBorder="1">
      <alignment vertical="center"/>
    </xf>
    <xf numFmtId="41" fontId="82" fillId="3" borderId="119" xfId="0" applyNumberFormat="1" applyFont="1" applyFill="1" applyBorder="1">
      <alignment vertical="center"/>
    </xf>
    <xf numFmtId="41" fontId="82" fillId="3" borderId="42" xfId="0" applyNumberFormat="1" applyFont="1" applyFill="1" applyBorder="1">
      <alignment vertical="center"/>
    </xf>
    <xf numFmtId="0" fontId="114" fillId="4" borderId="8" xfId="0" applyFont="1" applyFill="1" applyBorder="1">
      <alignment vertical="center"/>
    </xf>
    <xf numFmtId="185" fontId="106" fillId="4" borderId="28" xfId="0" applyNumberFormat="1" applyFont="1" applyFill="1" applyBorder="1">
      <alignment vertical="center"/>
    </xf>
    <xf numFmtId="41" fontId="106" fillId="4" borderId="48" xfId="0" applyNumberFormat="1" applyFont="1" applyFill="1" applyBorder="1">
      <alignment vertical="center"/>
    </xf>
    <xf numFmtId="41" fontId="91" fillId="3" borderId="17" xfId="0" applyNumberFormat="1" applyFont="1" applyFill="1" applyBorder="1">
      <alignment vertical="center"/>
    </xf>
    <xf numFmtId="41" fontId="91" fillId="3" borderId="18" xfId="0" applyNumberFormat="1" applyFont="1" applyFill="1" applyBorder="1">
      <alignment vertical="center"/>
    </xf>
    <xf numFmtId="41" fontId="91" fillId="3" borderId="19" xfId="0" applyNumberFormat="1" applyFont="1" applyFill="1" applyBorder="1">
      <alignment vertical="center"/>
    </xf>
    <xf numFmtId="192" fontId="114" fillId="3" borderId="0" xfId="0" applyNumberFormat="1" applyFont="1" applyFill="1" applyAlignment="1">
      <alignment horizontal="center" vertical="center"/>
    </xf>
    <xf numFmtId="0" fontId="109" fillId="0" borderId="91" xfId="0" applyFont="1" applyBorder="1" applyAlignment="1">
      <alignment horizontal="left" vertical="center"/>
    </xf>
    <xf numFmtId="0" fontId="114" fillId="3" borderId="91" xfId="0" applyFont="1" applyFill="1" applyBorder="1" applyAlignment="1">
      <alignment horizontal="center" vertical="center"/>
    </xf>
    <xf numFmtId="41" fontId="114" fillId="3" borderId="91" xfId="0" applyNumberFormat="1" applyFont="1" applyFill="1" applyBorder="1">
      <alignment vertical="center"/>
    </xf>
    <xf numFmtId="192" fontId="114" fillId="3" borderId="91" xfId="0" applyNumberFormat="1" applyFont="1" applyFill="1" applyBorder="1" applyAlignment="1">
      <alignment horizontal="center" vertical="center"/>
    </xf>
    <xf numFmtId="41" fontId="106" fillId="4" borderId="75" xfId="0" applyNumberFormat="1" applyFont="1" applyFill="1" applyBorder="1">
      <alignment vertical="center"/>
    </xf>
    <xf numFmtId="41" fontId="82" fillId="3" borderId="59" xfId="0" applyNumberFormat="1" applyFont="1" applyFill="1" applyBorder="1">
      <alignment vertical="center"/>
    </xf>
    <xf numFmtId="41" fontId="82" fillId="3" borderId="46" xfId="0" applyNumberFormat="1" applyFont="1" applyFill="1" applyBorder="1">
      <alignment vertical="center"/>
    </xf>
    <xf numFmtId="41" fontId="82" fillId="3" borderId="13" xfId="0" applyNumberFormat="1" applyFont="1" applyFill="1" applyBorder="1">
      <alignment vertical="center"/>
    </xf>
    <xf numFmtId="41" fontId="106" fillId="4" borderId="108" xfId="0" applyNumberFormat="1" applyFont="1" applyFill="1" applyBorder="1">
      <alignment vertical="center"/>
    </xf>
    <xf numFmtId="41" fontId="106" fillId="4" borderId="29" xfId="0" applyNumberFormat="1" applyFont="1" applyFill="1" applyBorder="1">
      <alignment vertical="center"/>
    </xf>
    <xf numFmtId="0" fontId="119" fillId="3" borderId="0" xfId="0" applyFont="1" applyFill="1">
      <alignment vertical="center"/>
    </xf>
    <xf numFmtId="43" fontId="119" fillId="3" borderId="0" xfId="0" applyNumberFormat="1" applyFont="1" applyFill="1">
      <alignment vertical="center"/>
    </xf>
    <xf numFmtId="9" fontId="113" fillId="3" borderId="0" xfId="0" applyNumberFormat="1" applyFont="1" applyFill="1">
      <alignment vertical="center"/>
    </xf>
    <xf numFmtId="41" fontId="82" fillId="3" borderId="58" xfId="0" applyNumberFormat="1" applyFont="1" applyFill="1" applyBorder="1">
      <alignment vertical="center"/>
    </xf>
    <xf numFmtId="0" fontId="91" fillId="4" borderId="21" xfId="0" applyFont="1" applyFill="1" applyBorder="1">
      <alignment vertical="center"/>
    </xf>
    <xf numFmtId="192" fontId="114" fillId="4" borderId="61" xfId="0" applyNumberFormat="1" applyFont="1" applyFill="1" applyBorder="1" applyAlignment="1">
      <alignment horizontal="center" vertical="center"/>
    </xf>
    <xf numFmtId="192" fontId="114" fillId="4" borderId="63" xfId="0" applyNumberFormat="1" applyFont="1" applyFill="1" applyBorder="1" applyAlignment="1">
      <alignment horizontal="center" vertical="center"/>
    </xf>
    <xf numFmtId="41" fontId="114" fillId="4" borderId="34" xfId="0" applyNumberFormat="1" applyFont="1" applyFill="1" applyBorder="1" applyAlignment="1">
      <alignment horizontal="right" vertical="center"/>
    </xf>
    <xf numFmtId="41" fontId="82" fillId="4" borderId="63" xfId="0" applyNumberFormat="1" applyFont="1" applyFill="1" applyBorder="1">
      <alignment vertical="center"/>
    </xf>
    <xf numFmtId="192" fontId="91" fillId="4" borderId="61" xfId="0" applyNumberFormat="1" applyFont="1" applyFill="1" applyBorder="1">
      <alignment vertical="center"/>
    </xf>
    <xf numFmtId="192" fontId="91" fillId="4" borderId="63" xfId="0" applyNumberFormat="1" applyFont="1" applyFill="1" applyBorder="1">
      <alignment vertical="center"/>
    </xf>
    <xf numFmtId="41" fontId="91" fillId="4" borderId="34" xfId="0" applyNumberFormat="1" applyFont="1" applyFill="1" applyBorder="1">
      <alignment vertical="center"/>
    </xf>
    <xf numFmtId="192" fontId="91" fillId="4" borderId="1" xfId="0" applyNumberFormat="1" applyFont="1" applyFill="1" applyBorder="1">
      <alignment vertical="center"/>
    </xf>
    <xf numFmtId="192" fontId="91" fillId="4" borderId="8" xfId="0" applyNumberFormat="1" applyFont="1" applyFill="1" applyBorder="1">
      <alignment vertical="center"/>
    </xf>
    <xf numFmtId="0" fontId="114" fillId="4" borderId="38" xfId="0" applyFont="1" applyFill="1" applyBorder="1" applyAlignment="1">
      <alignment horizontal="center" vertical="center"/>
    </xf>
    <xf numFmtId="41" fontId="106" fillId="4" borderId="76" xfId="0" applyNumberFormat="1" applyFont="1" applyFill="1" applyBorder="1">
      <alignment vertical="center"/>
    </xf>
    <xf numFmtId="192" fontId="91" fillId="4" borderId="77" xfId="0" applyNumberFormat="1" applyFont="1" applyFill="1" applyBorder="1">
      <alignment vertical="center"/>
    </xf>
    <xf numFmtId="192" fontId="91" fillId="4" borderId="43" xfId="0" applyNumberFormat="1" applyFont="1" applyFill="1" applyBorder="1">
      <alignment vertical="center"/>
    </xf>
    <xf numFmtId="41" fontId="114" fillId="3" borderId="78" xfId="0" applyNumberFormat="1" applyFont="1" applyFill="1" applyBorder="1">
      <alignment vertical="center"/>
    </xf>
    <xf numFmtId="41" fontId="114" fillId="3" borderId="49" xfId="0" applyNumberFormat="1" applyFont="1" applyFill="1" applyBorder="1">
      <alignment vertical="center"/>
    </xf>
    <xf numFmtId="41" fontId="106" fillId="3" borderId="78" xfId="0" applyNumberFormat="1" applyFont="1" applyFill="1" applyBorder="1">
      <alignment vertical="center"/>
    </xf>
    <xf numFmtId="41" fontId="106" fillId="3" borderId="77" xfId="0" applyNumberFormat="1" applyFont="1" applyFill="1" applyBorder="1">
      <alignment vertical="center"/>
    </xf>
    <xf numFmtId="41" fontId="106" fillId="3" borderId="49" xfId="0" applyNumberFormat="1" applyFont="1" applyFill="1" applyBorder="1">
      <alignment vertical="center"/>
    </xf>
    <xf numFmtId="41" fontId="114" fillId="4" borderId="19" xfId="0" applyNumberFormat="1" applyFont="1" applyFill="1" applyBorder="1" applyAlignment="1">
      <alignment horizontal="right" vertical="center"/>
    </xf>
    <xf numFmtId="0" fontId="114" fillId="3" borderId="50" xfId="0" applyFont="1" applyFill="1" applyBorder="1" applyAlignment="1">
      <alignment horizontal="center" vertical="center"/>
    </xf>
    <xf numFmtId="0" fontId="91" fillId="3" borderId="50" xfId="0" applyFont="1" applyFill="1" applyBorder="1" applyAlignment="1">
      <alignment horizontal="center" vertical="center"/>
    </xf>
    <xf numFmtId="0" fontId="114" fillId="3" borderId="50" xfId="0" applyFont="1" applyFill="1" applyBorder="1" applyAlignment="1">
      <alignment horizontal="right" vertical="center"/>
    </xf>
    <xf numFmtId="41" fontId="106" fillId="3" borderId="50" xfId="0" applyNumberFormat="1" applyFont="1" applyFill="1" applyBorder="1">
      <alignment vertical="center"/>
    </xf>
    <xf numFmtId="41" fontId="114" fillId="3" borderId="50" xfId="0" applyNumberFormat="1" applyFont="1" applyFill="1" applyBorder="1">
      <alignment vertical="center"/>
    </xf>
    <xf numFmtId="41" fontId="82" fillId="4" borderId="65" xfId="0" applyNumberFormat="1" applyFont="1" applyFill="1" applyBorder="1">
      <alignment vertical="center"/>
    </xf>
    <xf numFmtId="0" fontId="114" fillId="4" borderId="21" xfId="0" applyFont="1" applyFill="1" applyBorder="1" applyAlignment="1">
      <alignment horizontal="center" vertical="center"/>
    </xf>
    <xf numFmtId="41" fontId="82" fillId="3" borderId="72" xfId="0" applyNumberFormat="1" applyFont="1" applyFill="1" applyBorder="1">
      <alignment vertical="center"/>
    </xf>
    <xf numFmtId="190" fontId="91" fillId="4" borderId="8" xfId="0" applyNumberFormat="1" applyFont="1" applyFill="1" applyBorder="1">
      <alignment vertical="center"/>
    </xf>
    <xf numFmtId="41" fontId="91" fillId="4" borderId="49" xfId="0" applyNumberFormat="1" applyFont="1" applyFill="1" applyBorder="1">
      <alignment vertical="center"/>
    </xf>
    <xf numFmtId="41" fontId="82" fillId="4" borderId="78" xfId="0" applyNumberFormat="1" applyFont="1" applyFill="1" applyBorder="1">
      <alignment vertical="center"/>
    </xf>
    <xf numFmtId="41" fontId="82" fillId="4" borderId="77" xfId="0" applyNumberFormat="1" applyFont="1" applyFill="1" applyBorder="1">
      <alignment vertical="center"/>
    </xf>
    <xf numFmtId="41" fontId="82" fillId="4" borderId="49" xfId="0" applyNumberFormat="1" applyFont="1" applyFill="1" applyBorder="1">
      <alignment vertical="center"/>
    </xf>
    <xf numFmtId="41" fontId="82" fillId="4" borderId="76" xfId="0" applyNumberFormat="1" applyFont="1" applyFill="1" applyBorder="1">
      <alignment vertical="center"/>
    </xf>
    <xf numFmtId="0" fontId="91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right" vertical="center"/>
    </xf>
    <xf numFmtId="0" fontId="109" fillId="3" borderId="0" xfId="0" applyFont="1" applyFill="1" applyAlignment="1">
      <alignment horizontal="left" vertical="center"/>
    </xf>
    <xf numFmtId="9" fontId="113" fillId="0" borderId="0" xfId="0" applyNumberFormat="1" applyFont="1">
      <alignment vertical="center"/>
    </xf>
    <xf numFmtId="41" fontId="108" fillId="0" borderId="0" xfId="0" applyNumberFormat="1" applyFont="1">
      <alignment vertical="center"/>
    </xf>
    <xf numFmtId="183" fontId="119" fillId="0" borderId="0" xfId="0" applyNumberFormat="1" applyFont="1">
      <alignment vertical="center"/>
    </xf>
    <xf numFmtId="0" fontId="91" fillId="4" borderId="15" xfId="0" applyFont="1" applyFill="1" applyBorder="1" applyAlignment="1">
      <alignment horizontal="centerContinuous" vertical="center"/>
    </xf>
    <xf numFmtId="41" fontId="114" fillId="3" borderId="18" xfId="0" applyNumberFormat="1" applyFont="1" applyFill="1" applyBorder="1" applyAlignment="1">
      <alignment horizontal="right" vertical="center"/>
    </xf>
    <xf numFmtId="41" fontId="114" fillId="3" borderId="19" xfId="0" applyNumberFormat="1" applyFont="1" applyFill="1" applyBorder="1" applyAlignment="1">
      <alignment horizontal="right" vertical="center"/>
    </xf>
    <xf numFmtId="41" fontId="114" fillId="3" borderId="67" xfId="0" applyNumberFormat="1" applyFont="1" applyFill="1" applyBorder="1" applyAlignment="1">
      <alignment horizontal="right" vertical="center"/>
    </xf>
    <xf numFmtId="41" fontId="114" fillId="3" borderId="20" xfId="0" applyNumberFormat="1" applyFont="1" applyFill="1" applyBorder="1" applyAlignment="1">
      <alignment horizontal="right" vertical="center"/>
    </xf>
    <xf numFmtId="41" fontId="114" fillId="4" borderId="27" xfId="0" applyNumberFormat="1" applyFont="1" applyFill="1" applyBorder="1" applyAlignment="1">
      <alignment horizontal="left" vertical="center"/>
    </xf>
    <xf numFmtId="0" fontId="114" fillId="4" borderId="27" xfId="0" applyFont="1" applyFill="1" applyBorder="1" applyAlignment="1">
      <alignment horizontal="center" vertical="center" wrapText="1"/>
    </xf>
    <xf numFmtId="41" fontId="82" fillId="0" borderId="58" xfId="0" applyNumberFormat="1" applyFont="1" applyBorder="1" applyAlignment="1">
      <alignment horizontal="right" vertical="center"/>
    </xf>
    <xf numFmtId="41" fontId="82" fillId="0" borderId="27" xfId="0" applyNumberFormat="1" applyFont="1" applyBorder="1" applyAlignment="1">
      <alignment horizontal="right" vertical="center"/>
    </xf>
    <xf numFmtId="41" fontId="82" fillId="0" borderId="60" xfId="0" applyNumberFormat="1" applyFont="1" applyBorder="1" applyAlignment="1">
      <alignment horizontal="right" vertical="center"/>
    </xf>
    <xf numFmtId="41" fontId="82" fillId="0" borderId="26" xfId="0" applyNumberFormat="1" applyFont="1" applyBorder="1" applyAlignment="1">
      <alignment horizontal="right" vertical="center"/>
    </xf>
    <xf numFmtId="41" fontId="82" fillId="0" borderId="65" xfId="0" applyNumberFormat="1" applyFont="1" applyBorder="1" applyAlignment="1">
      <alignment horizontal="right" vertical="center"/>
    </xf>
    <xf numFmtId="41" fontId="91" fillId="0" borderId="14" xfId="0" applyNumberFormat="1" applyFont="1" applyBorder="1" applyAlignment="1">
      <alignment horizontal="right" vertical="center"/>
    </xf>
    <xf numFmtId="41" fontId="91" fillId="4" borderId="37" xfId="0" applyNumberFormat="1" applyFont="1" applyFill="1" applyBorder="1">
      <alignment vertical="center"/>
    </xf>
    <xf numFmtId="41" fontId="91" fillId="4" borderId="57" xfId="0" applyNumberFormat="1" applyFont="1" applyFill="1" applyBorder="1">
      <alignment vertical="center"/>
    </xf>
    <xf numFmtId="41" fontId="82" fillId="3" borderId="63" xfId="0" applyNumberFormat="1" applyFont="1" applyFill="1" applyBorder="1" applyAlignment="1">
      <alignment horizontal="right" vertical="center"/>
    </xf>
    <xf numFmtId="41" fontId="91" fillId="0" borderId="57" xfId="0" applyNumberFormat="1" applyFont="1" applyBorder="1" applyAlignment="1">
      <alignment horizontal="right" vertical="center"/>
    </xf>
    <xf numFmtId="41" fontId="91" fillId="4" borderId="21" xfId="0" applyNumberFormat="1" applyFont="1" applyFill="1" applyBorder="1">
      <alignment vertical="center"/>
    </xf>
    <xf numFmtId="41" fontId="82" fillId="3" borderId="8" xfId="0" applyNumberFormat="1" applyFont="1" applyFill="1" applyBorder="1" applyAlignment="1">
      <alignment horizontal="right" vertical="center"/>
    </xf>
    <xf numFmtId="41" fontId="82" fillId="3" borderId="69" xfId="0" applyNumberFormat="1" applyFont="1" applyFill="1" applyBorder="1" applyAlignment="1">
      <alignment horizontal="right" vertical="center"/>
    </xf>
    <xf numFmtId="41" fontId="91" fillId="0" borderId="31" xfId="0" applyNumberFormat="1" applyFont="1" applyBorder="1" applyAlignment="1">
      <alignment horizontal="right" vertical="center"/>
    </xf>
    <xf numFmtId="41" fontId="91" fillId="4" borderId="122" xfId="0" applyNumberFormat="1" applyFont="1" applyFill="1" applyBorder="1">
      <alignment vertical="center"/>
    </xf>
    <xf numFmtId="192" fontId="91" fillId="4" borderId="9" xfId="0" applyNumberFormat="1" applyFont="1" applyFill="1" applyBorder="1">
      <alignment vertical="center"/>
    </xf>
    <xf numFmtId="190" fontId="91" fillId="4" borderId="118" xfId="0" applyNumberFormat="1" applyFont="1" applyFill="1" applyBorder="1">
      <alignment vertical="center"/>
    </xf>
    <xf numFmtId="41" fontId="82" fillId="3" borderId="118" xfId="0" applyNumberFormat="1" applyFont="1" applyFill="1" applyBorder="1" applyAlignment="1">
      <alignment horizontal="right" vertical="center"/>
    </xf>
    <xf numFmtId="41" fontId="82" fillId="3" borderId="89" xfId="0" applyNumberFormat="1" applyFont="1" applyFill="1" applyBorder="1" applyAlignment="1">
      <alignment horizontal="right" vertical="center"/>
    </xf>
    <xf numFmtId="41" fontId="91" fillId="0" borderId="106" xfId="0" applyNumberFormat="1" applyFont="1" applyBorder="1" applyAlignment="1">
      <alignment horizontal="right" vertical="center"/>
    </xf>
    <xf numFmtId="41" fontId="91" fillId="4" borderId="185" xfId="0" applyNumberFormat="1" applyFont="1" applyFill="1" applyBorder="1">
      <alignment vertical="center"/>
    </xf>
    <xf numFmtId="192" fontId="91" fillId="4" borderId="159" xfId="0" applyNumberFormat="1" applyFont="1" applyFill="1" applyBorder="1">
      <alignment vertical="center"/>
    </xf>
    <xf numFmtId="190" fontId="91" fillId="4" borderId="160" xfId="0" applyNumberFormat="1" applyFont="1" applyFill="1" applyBorder="1">
      <alignment vertical="center"/>
    </xf>
    <xf numFmtId="41" fontId="82" fillId="3" borderId="150" xfId="0" applyNumberFormat="1" applyFont="1" applyFill="1" applyBorder="1" applyAlignment="1">
      <alignment horizontal="right" vertical="center"/>
    </xf>
    <xf numFmtId="41" fontId="82" fillId="3" borderId="161" xfId="0" applyNumberFormat="1" applyFont="1" applyFill="1" applyBorder="1" applyAlignment="1">
      <alignment horizontal="right" vertical="center"/>
    </xf>
    <xf numFmtId="41" fontId="82" fillId="3" borderId="188" xfId="0" applyNumberFormat="1" applyFont="1" applyFill="1" applyBorder="1" applyAlignment="1">
      <alignment horizontal="right" vertical="center"/>
    </xf>
    <xf numFmtId="41" fontId="91" fillId="0" borderId="187" xfId="0" applyNumberFormat="1" applyFont="1" applyBorder="1" applyAlignment="1">
      <alignment horizontal="right" vertical="center"/>
    </xf>
    <xf numFmtId="41" fontId="114" fillId="4" borderId="73" xfId="0" applyNumberFormat="1" applyFont="1" applyFill="1" applyBorder="1" applyAlignment="1">
      <alignment horizontal="center" vertical="center"/>
    </xf>
    <xf numFmtId="41" fontId="91" fillId="4" borderId="59" xfId="0" applyNumberFormat="1" applyFont="1" applyFill="1" applyBorder="1">
      <alignment vertical="center"/>
    </xf>
    <xf numFmtId="41" fontId="91" fillId="4" borderId="68" xfId="0" applyNumberFormat="1" applyFont="1" applyFill="1" applyBorder="1">
      <alignment vertical="center"/>
    </xf>
    <xf numFmtId="41" fontId="106" fillId="4" borderId="13" xfId="0" applyNumberFormat="1" applyFont="1" applyFill="1" applyBorder="1">
      <alignment vertical="center"/>
    </xf>
    <xf numFmtId="41" fontId="106" fillId="4" borderId="59" xfId="0" applyNumberFormat="1" applyFont="1" applyFill="1" applyBorder="1">
      <alignment vertical="center"/>
    </xf>
    <xf numFmtId="41" fontId="106" fillId="4" borderId="46" xfId="0" applyNumberFormat="1" applyFont="1" applyFill="1" applyBorder="1">
      <alignment vertical="center"/>
    </xf>
    <xf numFmtId="180" fontId="91" fillId="0" borderId="0" xfId="0" applyNumberFormat="1" applyFont="1" applyAlignment="1">
      <alignment horizontal="left" vertical="center"/>
    </xf>
    <xf numFmtId="0" fontId="91" fillId="3" borderId="91" xfId="0" applyFont="1" applyFill="1" applyBorder="1" applyAlignment="1">
      <alignment horizontal="center" vertical="center"/>
    </xf>
    <xf numFmtId="0" fontId="114" fillId="3" borderId="91" xfId="0" applyFont="1" applyFill="1" applyBorder="1" applyAlignment="1">
      <alignment horizontal="right" vertical="center"/>
    </xf>
    <xf numFmtId="41" fontId="106" fillId="3" borderId="91" xfId="0" applyNumberFormat="1" applyFont="1" applyFill="1" applyBorder="1">
      <alignment vertical="center"/>
    </xf>
    <xf numFmtId="0" fontId="110" fillId="4" borderId="16" xfId="0" applyFont="1" applyFill="1" applyBorder="1">
      <alignment vertical="center"/>
    </xf>
    <xf numFmtId="41" fontId="126" fillId="3" borderId="0" xfId="0" applyNumberFormat="1" applyFont="1" applyFill="1">
      <alignment vertical="center"/>
    </xf>
    <xf numFmtId="183" fontId="91" fillId="0" borderId="0" xfId="0" applyNumberFormat="1" applyFont="1">
      <alignment vertical="center"/>
    </xf>
    <xf numFmtId="185" fontId="82" fillId="3" borderId="69" xfId="0" applyNumberFormat="1" applyFont="1" applyFill="1" applyBorder="1">
      <alignment vertical="center"/>
    </xf>
    <xf numFmtId="183" fontId="82" fillId="3" borderId="1" xfId="0" applyNumberFormat="1" applyFont="1" applyFill="1" applyBorder="1">
      <alignment vertical="center"/>
    </xf>
    <xf numFmtId="183" fontId="82" fillId="3" borderId="69" xfId="0" applyNumberFormat="1" applyFont="1" applyFill="1" applyBorder="1">
      <alignment vertical="center"/>
    </xf>
    <xf numFmtId="183" fontId="82" fillId="3" borderId="55" xfId="0" applyNumberFormat="1" applyFont="1" applyFill="1" applyBorder="1">
      <alignment vertical="center"/>
    </xf>
    <xf numFmtId="0" fontId="114" fillId="4" borderId="73" xfId="0" applyFont="1" applyFill="1" applyBorder="1" applyAlignment="1">
      <alignment horizontal="center" vertical="center"/>
    </xf>
    <xf numFmtId="9" fontId="116" fillId="0" borderId="0" xfId="0" applyNumberFormat="1" applyFont="1">
      <alignment vertical="center"/>
    </xf>
    <xf numFmtId="41" fontId="91" fillId="3" borderId="50" xfId="0" applyNumberFormat="1" applyFont="1" applyFill="1" applyBorder="1">
      <alignment vertical="center"/>
    </xf>
    <xf numFmtId="41" fontId="106" fillId="13" borderId="12" xfId="0" applyNumberFormat="1" applyFont="1" applyFill="1" applyBorder="1">
      <alignment vertical="center"/>
    </xf>
    <xf numFmtId="41" fontId="106" fillId="13" borderId="28" xfId="0" applyNumberFormat="1" applyFont="1" applyFill="1" applyBorder="1">
      <alignment vertical="center"/>
    </xf>
    <xf numFmtId="41" fontId="106" fillId="13" borderId="33" xfId="0" applyNumberFormat="1" applyFont="1" applyFill="1" applyBorder="1">
      <alignment vertical="center"/>
    </xf>
    <xf numFmtId="183" fontId="91" fillId="3" borderId="69" xfId="0" applyNumberFormat="1" applyFont="1" applyFill="1" applyBorder="1">
      <alignment vertical="center"/>
    </xf>
    <xf numFmtId="41" fontId="114" fillId="4" borderId="40" xfId="0" applyNumberFormat="1" applyFont="1" applyFill="1" applyBorder="1">
      <alignment vertical="center"/>
    </xf>
    <xf numFmtId="0" fontId="114" fillId="4" borderId="16" xfId="0" applyFont="1" applyFill="1" applyBorder="1">
      <alignment vertical="center"/>
    </xf>
    <xf numFmtId="0" fontId="120" fillId="0" borderId="0" xfId="0" applyFont="1">
      <alignment vertical="center"/>
    </xf>
    <xf numFmtId="0" fontId="114" fillId="3" borderId="0" xfId="0" applyFont="1" applyFill="1">
      <alignment vertical="center"/>
    </xf>
    <xf numFmtId="0" fontId="120" fillId="3" borderId="0" xfId="0" applyFont="1" applyFill="1">
      <alignment vertical="center"/>
    </xf>
    <xf numFmtId="0" fontId="82" fillId="3" borderId="0" xfId="0" applyFont="1" applyFill="1" applyAlignment="1">
      <alignment horizontal="center" vertical="center"/>
    </xf>
    <xf numFmtId="41" fontId="91" fillId="3" borderId="0" xfId="0" applyNumberFormat="1" applyFont="1" applyFill="1" applyAlignment="1">
      <alignment horizontal="center" vertical="center"/>
    </xf>
    <xf numFmtId="0" fontId="114" fillId="4" borderId="60" xfId="0" applyFont="1" applyFill="1" applyBorder="1" applyAlignment="1">
      <alignment horizontal="center" vertical="center"/>
    </xf>
    <xf numFmtId="0" fontId="114" fillId="4" borderId="14" xfId="0" applyFont="1" applyFill="1" applyBorder="1" applyAlignment="1">
      <alignment horizontal="center" vertical="center" wrapText="1"/>
    </xf>
    <xf numFmtId="190" fontId="91" fillId="4" borderId="27" xfId="0" applyNumberFormat="1" applyFont="1" applyFill="1" applyBorder="1">
      <alignment vertical="center"/>
    </xf>
    <xf numFmtId="190" fontId="91" fillId="4" borderId="1" xfId="0" applyNumberFormat="1" applyFont="1" applyFill="1" applyBorder="1">
      <alignment vertical="center"/>
    </xf>
    <xf numFmtId="190" fontId="91" fillId="4" borderId="69" xfId="0" applyNumberFormat="1" applyFont="1" applyFill="1" applyBorder="1">
      <alignment vertical="center"/>
    </xf>
    <xf numFmtId="183" fontId="91" fillId="3" borderId="10" xfId="0" applyNumberFormat="1" applyFont="1" applyFill="1" applyBorder="1">
      <alignment vertical="center"/>
    </xf>
    <xf numFmtId="183" fontId="91" fillId="3" borderId="1" xfId="0" applyNumberFormat="1" applyFont="1" applyFill="1" applyBorder="1">
      <alignment vertical="center"/>
    </xf>
    <xf numFmtId="190" fontId="91" fillId="4" borderId="19" xfId="0" applyNumberFormat="1" applyFont="1" applyFill="1" applyBorder="1">
      <alignment vertical="center"/>
    </xf>
    <xf numFmtId="183" fontId="91" fillId="3" borderId="18" xfId="0" applyNumberFormat="1" applyFont="1" applyFill="1" applyBorder="1">
      <alignment vertical="center"/>
    </xf>
    <xf numFmtId="183" fontId="91" fillId="3" borderId="19" xfId="0" applyNumberFormat="1" applyFont="1" applyFill="1" applyBorder="1">
      <alignment vertical="center"/>
    </xf>
    <xf numFmtId="183" fontId="91" fillId="3" borderId="67" xfId="0" applyNumberFormat="1" applyFont="1" applyFill="1" applyBorder="1">
      <alignment vertical="center"/>
    </xf>
    <xf numFmtId="0" fontId="114" fillId="4" borderId="19" xfId="0" applyFont="1" applyFill="1" applyBorder="1">
      <alignment vertical="center"/>
    </xf>
    <xf numFmtId="43" fontId="91" fillId="3" borderId="0" xfId="0" applyNumberFormat="1" applyFont="1" applyFill="1" applyAlignment="1">
      <alignment horizontal="center" vertical="center"/>
    </xf>
    <xf numFmtId="177" fontId="91" fillId="3" borderId="0" xfId="0" applyNumberFormat="1" applyFont="1" applyFill="1" applyAlignment="1">
      <alignment horizontal="center" vertical="center"/>
    </xf>
    <xf numFmtId="41" fontId="114" fillId="3" borderId="0" xfId="0" applyNumberFormat="1" applyFont="1" applyFill="1" applyAlignment="1">
      <alignment horizontal="center" vertical="center"/>
    </xf>
    <xf numFmtId="41" fontId="114" fillId="3" borderId="0" xfId="0" applyNumberFormat="1" applyFont="1" applyFill="1" applyAlignment="1">
      <alignment horizontal="right" vertical="center"/>
    </xf>
    <xf numFmtId="0" fontId="112" fillId="3" borderId="0" xfId="0" applyFont="1" applyFill="1" applyAlignment="1">
      <alignment horizontal="center" vertical="center"/>
    </xf>
    <xf numFmtId="41" fontId="112" fillId="3" borderId="0" xfId="0" applyNumberFormat="1" applyFont="1" applyFill="1">
      <alignment vertical="center"/>
    </xf>
    <xf numFmtId="41" fontId="108" fillId="0" borderId="0" xfId="0" applyNumberFormat="1" applyFont="1" applyAlignment="1">
      <alignment horizontal="center" vertical="center"/>
    </xf>
    <xf numFmtId="9" fontId="119" fillId="0" borderId="0" xfId="0" applyNumberFormat="1" applyFont="1">
      <alignment vertical="center"/>
    </xf>
    <xf numFmtId="41" fontId="91" fillId="4" borderId="50" xfId="0" applyNumberFormat="1" applyFont="1" applyFill="1" applyBorder="1" applyAlignment="1">
      <alignment horizontal="left" vertical="center"/>
    </xf>
    <xf numFmtId="41" fontId="91" fillId="4" borderId="27" xfId="0" applyNumberFormat="1" applyFont="1" applyFill="1" applyBorder="1" applyAlignment="1">
      <alignment horizontal="center" vertical="center"/>
    </xf>
    <xf numFmtId="41" fontId="91" fillId="4" borderId="60" xfId="0" applyNumberFormat="1" applyFont="1" applyFill="1" applyBorder="1" applyAlignment="1">
      <alignment horizontal="center" vertical="center"/>
    </xf>
    <xf numFmtId="41" fontId="82" fillId="3" borderId="25" xfId="0" applyNumberFormat="1" applyFont="1" applyFill="1" applyBorder="1">
      <alignment vertical="center"/>
    </xf>
    <xf numFmtId="41" fontId="91" fillId="4" borderId="14" xfId="0" applyNumberFormat="1" applyFont="1" applyFill="1" applyBorder="1">
      <alignment vertical="center"/>
    </xf>
    <xf numFmtId="41" fontId="91" fillId="4" borderId="0" xfId="0" applyNumberFormat="1" applyFont="1" applyFill="1" applyAlignment="1">
      <alignment horizontal="left" vertical="center"/>
    </xf>
    <xf numFmtId="41" fontId="91" fillId="4" borderId="69" xfId="0" applyNumberFormat="1" applyFont="1" applyFill="1" applyBorder="1" applyAlignment="1">
      <alignment horizontal="center" vertical="center"/>
    </xf>
    <xf numFmtId="183" fontId="91" fillId="4" borderId="31" xfId="0" applyNumberFormat="1" applyFont="1" applyFill="1" applyBorder="1">
      <alignment vertical="center"/>
    </xf>
    <xf numFmtId="41" fontId="114" fillId="4" borderId="62" xfId="0" applyNumberFormat="1" applyFont="1" applyFill="1" applyBorder="1" applyAlignment="1">
      <alignment horizontal="left" vertical="center"/>
    </xf>
    <xf numFmtId="41" fontId="114" fillId="4" borderId="61" xfId="0" applyNumberFormat="1" applyFont="1" applyFill="1" applyBorder="1" applyAlignment="1">
      <alignment horizontal="center" vertical="center"/>
    </xf>
    <xf numFmtId="41" fontId="114" fillId="4" borderId="63" xfId="0" applyNumberFormat="1" applyFont="1" applyFill="1" applyBorder="1" applyAlignment="1">
      <alignment horizontal="center" vertical="center"/>
    </xf>
    <xf numFmtId="41" fontId="106" fillId="4" borderId="72" xfId="0" applyNumberFormat="1" applyFont="1" applyFill="1" applyBorder="1">
      <alignment vertical="center"/>
    </xf>
    <xf numFmtId="41" fontId="106" fillId="4" borderId="64" xfId="0" applyNumberFormat="1" applyFont="1" applyFill="1" applyBorder="1">
      <alignment vertical="center"/>
    </xf>
    <xf numFmtId="41" fontId="106" fillId="4" borderId="71" xfId="0" applyNumberFormat="1" applyFont="1" applyFill="1" applyBorder="1">
      <alignment vertical="center"/>
    </xf>
    <xf numFmtId="41" fontId="106" fillId="4" borderId="85" xfId="0" applyNumberFormat="1" applyFont="1" applyFill="1" applyBorder="1">
      <alignment vertical="center"/>
    </xf>
    <xf numFmtId="41" fontId="91" fillId="4" borderId="61" xfId="0" applyNumberFormat="1" applyFont="1" applyFill="1" applyBorder="1" applyAlignment="1">
      <alignment horizontal="center" vertical="center"/>
    </xf>
    <xf numFmtId="41" fontId="91" fillId="4" borderId="34" xfId="0" applyNumberFormat="1" applyFont="1" applyFill="1" applyBorder="1" applyAlignment="1">
      <alignment horizontal="center" vertical="center"/>
    </xf>
    <xf numFmtId="41" fontId="114" fillId="4" borderId="6" xfId="0" applyNumberFormat="1" applyFont="1" applyFill="1" applyBorder="1" applyAlignment="1">
      <alignment horizontal="left" vertical="center"/>
    </xf>
    <xf numFmtId="41" fontId="91" fillId="4" borderId="28" xfId="0" applyNumberFormat="1" applyFont="1" applyFill="1" applyBorder="1" applyAlignment="1">
      <alignment horizontal="center" vertical="center"/>
    </xf>
    <xf numFmtId="41" fontId="91" fillId="4" borderId="48" xfId="0" applyNumberFormat="1" applyFont="1" applyFill="1" applyBorder="1" applyAlignment="1">
      <alignment horizontal="center" vertical="center"/>
    </xf>
    <xf numFmtId="41" fontId="91" fillId="4" borderId="33" xfId="0" applyNumberFormat="1" applyFont="1" applyFill="1" applyBorder="1" applyAlignment="1">
      <alignment horizontal="center" vertical="center"/>
    </xf>
    <xf numFmtId="41" fontId="106" fillId="4" borderId="16" xfId="0" applyNumberFormat="1" applyFont="1" applyFill="1" applyBorder="1">
      <alignment vertical="center"/>
    </xf>
    <xf numFmtId="41" fontId="106" fillId="4" borderId="45" xfId="0" applyNumberFormat="1" applyFont="1" applyFill="1" applyBorder="1">
      <alignment vertical="center"/>
    </xf>
    <xf numFmtId="0" fontId="106" fillId="4" borderId="55" xfId="0" applyFont="1" applyFill="1" applyBorder="1">
      <alignment vertical="center"/>
    </xf>
    <xf numFmtId="0" fontId="82" fillId="4" borderId="8" xfId="0" applyFont="1" applyFill="1" applyBorder="1" applyAlignment="1">
      <alignment horizontal="center" vertical="center"/>
    </xf>
    <xf numFmtId="190" fontId="91" fillId="4" borderId="69" xfId="0" applyNumberFormat="1" applyFont="1" applyFill="1" applyBorder="1" applyAlignment="1">
      <alignment horizontal="center" vertical="center"/>
    </xf>
    <xf numFmtId="41" fontId="82" fillId="0" borderId="1" xfId="0" applyNumberFormat="1" applyFont="1" applyBorder="1">
      <alignment vertical="center"/>
    </xf>
    <xf numFmtId="41" fontId="82" fillId="4" borderId="69" xfId="0" applyNumberFormat="1" applyFont="1" applyFill="1" applyBorder="1">
      <alignment vertical="center"/>
    </xf>
    <xf numFmtId="0" fontId="106" fillId="4" borderId="13" xfId="0" applyFont="1" applyFill="1" applyBorder="1">
      <alignment vertical="center"/>
    </xf>
    <xf numFmtId="0" fontId="82" fillId="4" borderId="0" xfId="0" applyFont="1" applyFill="1" applyAlignment="1">
      <alignment horizontal="left" vertical="center"/>
    </xf>
    <xf numFmtId="185" fontId="106" fillId="4" borderId="29" xfId="0" applyNumberFormat="1" applyFont="1" applyFill="1" applyBorder="1">
      <alignment vertical="center"/>
    </xf>
    <xf numFmtId="0" fontId="110" fillId="26" borderId="186" xfId="0" applyFont="1" applyFill="1" applyBorder="1" applyAlignment="1">
      <alignment horizontal="center" vertical="center"/>
    </xf>
    <xf numFmtId="0" fontId="91" fillId="0" borderId="186" xfId="0" applyFont="1" applyBorder="1">
      <alignment vertical="center"/>
    </xf>
    <xf numFmtId="178" fontId="91" fillId="0" borderId="186" xfId="0" applyNumberFormat="1" applyFont="1" applyBorder="1">
      <alignment vertical="center"/>
    </xf>
    <xf numFmtId="41" fontId="129" fillId="0" borderId="0" xfId="0" applyNumberFormat="1" applyFont="1">
      <alignment vertical="center"/>
    </xf>
    <xf numFmtId="0" fontId="129" fillId="0" borderId="0" xfId="0" applyFont="1">
      <alignment vertical="center"/>
    </xf>
    <xf numFmtId="41" fontId="114" fillId="4" borderId="18" xfId="0" applyNumberFormat="1" applyFont="1" applyFill="1" applyBorder="1" applyAlignment="1">
      <alignment horizontal="center" vertical="center"/>
    </xf>
    <xf numFmtId="41" fontId="114" fillId="4" borderId="20" xfId="0" applyNumberFormat="1" applyFont="1" applyFill="1" applyBorder="1" applyAlignment="1">
      <alignment horizontal="center" vertical="center"/>
    </xf>
    <xf numFmtId="182" fontId="91" fillId="3" borderId="58" xfId="0" applyNumberFormat="1" applyFont="1" applyFill="1" applyBorder="1" applyAlignment="1">
      <alignment horizontal="right" vertical="center"/>
    </xf>
    <xf numFmtId="182" fontId="91" fillId="3" borderId="27" xfId="0" applyNumberFormat="1" applyFont="1" applyFill="1" applyBorder="1" applyAlignment="1">
      <alignment horizontal="right" vertical="center"/>
    </xf>
    <xf numFmtId="182" fontId="91" fillId="3" borderId="60" xfId="0" applyNumberFormat="1" applyFont="1" applyFill="1" applyBorder="1" applyAlignment="1">
      <alignment horizontal="right" vertical="center"/>
    </xf>
    <xf numFmtId="182" fontId="91" fillId="4" borderId="14" xfId="0" applyNumberFormat="1" applyFont="1" applyFill="1" applyBorder="1" applyAlignment="1">
      <alignment horizontal="right" vertical="center"/>
    </xf>
    <xf numFmtId="182" fontId="91" fillId="3" borderId="55" xfId="0" applyNumberFormat="1" applyFont="1" applyFill="1" applyBorder="1" applyAlignment="1">
      <alignment horizontal="right" vertical="center"/>
    </xf>
    <xf numFmtId="182" fontId="91" fillId="3" borderId="1" xfId="0" applyNumberFormat="1" applyFont="1" applyFill="1" applyBorder="1" applyAlignment="1">
      <alignment horizontal="right" vertical="center"/>
    </xf>
    <xf numFmtId="182" fontId="91" fillId="3" borderId="69" xfId="0" applyNumberFormat="1" applyFont="1" applyFill="1" applyBorder="1" applyAlignment="1">
      <alignment horizontal="right" vertical="center"/>
    </xf>
    <xf numFmtId="182" fontId="91" fillId="4" borderId="31" xfId="0" applyNumberFormat="1" applyFont="1" applyFill="1" applyBorder="1" applyAlignment="1">
      <alignment horizontal="right" vertical="center"/>
    </xf>
    <xf numFmtId="192" fontId="91" fillId="3" borderId="0" xfId="0" applyNumberFormat="1" applyFont="1" applyFill="1">
      <alignment vertical="center"/>
    </xf>
    <xf numFmtId="0" fontId="114" fillId="4" borderId="41" xfId="0" applyFont="1" applyFill="1" applyBorder="1" applyAlignment="1">
      <alignment horizontal="left" vertical="center"/>
    </xf>
    <xf numFmtId="0" fontId="114" fillId="4" borderId="112" xfId="0" applyFont="1" applyFill="1" applyBorder="1" applyAlignment="1">
      <alignment horizontal="center" vertical="center" wrapText="1"/>
    </xf>
    <xf numFmtId="0" fontId="114" fillId="4" borderId="41" xfId="0" applyFont="1" applyFill="1" applyBorder="1" applyAlignment="1">
      <alignment horizontal="center" vertical="center"/>
    </xf>
    <xf numFmtId="41" fontId="91" fillId="2" borderId="109" xfId="0" applyNumberFormat="1" applyFont="1" applyFill="1" applyBorder="1" applyAlignment="1">
      <alignment horizontal="center" vertical="center"/>
    </xf>
    <xf numFmtId="41" fontId="91" fillId="2" borderId="112" xfId="0" applyNumberFormat="1" applyFont="1" applyFill="1" applyBorder="1" applyAlignment="1">
      <alignment horizontal="center" vertical="center"/>
    </xf>
    <xf numFmtId="41" fontId="91" fillId="2" borderId="32" xfId="0" applyNumberFormat="1" applyFont="1" applyFill="1" applyBorder="1" applyAlignment="1">
      <alignment horizontal="center" vertical="center"/>
    </xf>
    <xf numFmtId="41" fontId="114" fillId="4" borderId="148" xfId="0" applyNumberFormat="1" applyFont="1" applyFill="1" applyBorder="1" applyAlignment="1">
      <alignment horizontal="center" vertical="center" wrapText="1"/>
    </xf>
    <xf numFmtId="41" fontId="82" fillId="2" borderId="55" xfId="0" applyNumberFormat="1" applyFont="1" applyFill="1" applyBorder="1">
      <alignment vertical="center"/>
    </xf>
    <xf numFmtId="41" fontId="82" fillId="2" borderId="1" xfId="0" applyNumberFormat="1" applyFont="1" applyFill="1" applyBorder="1">
      <alignment vertical="center"/>
    </xf>
    <xf numFmtId="41" fontId="82" fillId="2" borderId="69" xfId="0" applyNumberFormat="1" applyFont="1" applyFill="1" applyBorder="1">
      <alignment vertical="center"/>
    </xf>
    <xf numFmtId="190" fontId="91" fillId="4" borderId="47" xfId="0" applyNumberFormat="1" applyFont="1" applyFill="1" applyBorder="1">
      <alignment vertical="center"/>
    </xf>
    <xf numFmtId="183" fontId="91" fillId="2" borderId="56" xfId="0" applyNumberFormat="1" applyFont="1" applyFill="1" applyBorder="1">
      <alignment vertical="center"/>
    </xf>
    <xf numFmtId="183" fontId="91" fillId="2" borderId="5" xfId="0" applyNumberFormat="1" applyFont="1" applyFill="1" applyBorder="1">
      <alignment vertical="center"/>
    </xf>
    <xf numFmtId="183" fontId="91" fillId="2" borderId="47" xfId="0" applyNumberFormat="1" applyFont="1" applyFill="1" applyBorder="1">
      <alignment vertical="center"/>
    </xf>
    <xf numFmtId="0" fontId="114" fillId="4" borderId="74" xfId="0" applyFont="1" applyFill="1" applyBorder="1">
      <alignment vertical="center"/>
    </xf>
    <xf numFmtId="1" fontId="91" fillId="4" borderId="70" xfId="0" applyNumberFormat="1" applyFont="1" applyFill="1" applyBorder="1">
      <alignment vertical="center"/>
    </xf>
    <xf numFmtId="183" fontId="118" fillId="0" borderId="0" xfId="0" applyNumberFormat="1" applyFont="1">
      <alignment vertical="center"/>
    </xf>
    <xf numFmtId="183" fontId="118" fillId="0" borderId="0" xfId="0" applyNumberFormat="1" applyFont="1" applyAlignment="1">
      <alignment horizontal="right" vertical="center"/>
    </xf>
    <xf numFmtId="41" fontId="127" fillId="3" borderId="0" xfId="0" applyNumberFormat="1" applyFont="1" applyFill="1" applyAlignment="1">
      <alignment horizontal="center" vertical="center"/>
    </xf>
    <xf numFmtId="0" fontId="91" fillId="4" borderId="109" xfId="0" applyFont="1" applyFill="1" applyBorder="1" applyAlignment="1">
      <alignment horizontal="center" vertical="center"/>
    </xf>
    <xf numFmtId="0" fontId="91" fillId="4" borderId="112" xfId="0" applyFont="1" applyFill="1" applyBorder="1" applyAlignment="1">
      <alignment horizontal="center" vertical="center"/>
    </xf>
    <xf numFmtId="0" fontId="91" fillId="4" borderId="32" xfId="0" applyFont="1" applyFill="1" applyBorder="1" applyAlignment="1">
      <alignment horizontal="center" vertical="center"/>
    </xf>
    <xf numFmtId="0" fontId="91" fillId="4" borderId="28" xfId="0" applyFont="1" applyFill="1" applyBorder="1" applyAlignment="1">
      <alignment horizontal="center" vertical="center" shrinkToFit="1"/>
    </xf>
    <xf numFmtId="0" fontId="91" fillId="4" borderId="28" xfId="0" applyFont="1" applyFill="1" applyBorder="1" applyAlignment="1">
      <alignment horizontal="left" vertical="center" shrinkToFit="1"/>
    </xf>
    <xf numFmtId="182" fontId="91" fillId="4" borderId="33" xfId="0" applyNumberFormat="1" applyFont="1" applyFill="1" applyBorder="1" applyAlignment="1">
      <alignment horizontal="center" vertical="center"/>
    </xf>
    <xf numFmtId="182" fontId="91" fillId="0" borderId="28" xfId="0" applyNumberFormat="1" applyFont="1" applyBorder="1" applyAlignment="1">
      <alignment horizontal="right" vertical="center"/>
    </xf>
    <xf numFmtId="182" fontId="91" fillId="28" borderId="28" xfId="0" applyNumberFormat="1" applyFont="1" applyFill="1" applyBorder="1" applyAlignment="1">
      <alignment horizontal="right" vertical="center"/>
    </xf>
    <xf numFmtId="0" fontId="91" fillId="4" borderId="28" xfId="0" applyFont="1" applyFill="1" applyBorder="1" applyAlignment="1">
      <alignment horizontal="center" vertical="center"/>
    </xf>
    <xf numFmtId="0" fontId="114" fillId="4" borderId="77" xfId="0" applyFont="1" applyFill="1" applyBorder="1" applyAlignment="1">
      <alignment horizontal="center" vertical="center"/>
    </xf>
    <xf numFmtId="0" fontId="91" fillId="4" borderId="77" xfId="0" applyFont="1" applyFill="1" applyBorder="1" applyAlignment="1">
      <alignment horizontal="center" vertical="center"/>
    </xf>
    <xf numFmtId="180" fontId="114" fillId="4" borderId="49" xfId="0" applyNumberFormat="1" applyFont="1" applyFill="1" applyBorder="1" applyAlignment="1">
      <alignment horizontal="center" vertical="center"/>
    </xf>
    <xf numFmtId="0" fontId="114" fillId="0" borderId="0" xfId="0" applyFont="1" applyAlignment="1">
      <alignment horizontal="left" vertical="center"/>
    </xf>
    <xf numFmtId="0" fontId="106" fillId="4" borderId="18" xfId="0" applyFont="1" applyFill="1" applyBorder="1" applyAlignment="1">
      <alignment horizontal="center" vertical="center" wrapText="1"/>
    </xf>
    <xf numFmtId="0" fontId="91" fillId="4" borderId="55" xfId="0" applyFont="1" applyFill="1" applyBorder="1">
      <alignment vertical="center"/>
    </xf>
    <xf numFmtId="41" fontId="106" fillId="26" borderId="18" xfId="0" applyNumberFormat="1" applyFont="1" applyFill="1" applyBorder="1">
      <alignment vertical="center"/>
    </xf>
    <xf numFmtId="0" fontId="91" fillId="4" borderId="35" xfId="0" applyFont="1" applyFill="1" applyBorder="1">
      <alignment vertical="center"/>
    </xf>
    <xf numFmtId="41" fontId="82" fillId="0" borderId="5" xfId="0" applyNumberFormat="1" applyFont="1" applyBorder="1">
      <alignment vertical="center"/>
    </xf>
    <xf numFmtId="0" fontId="91" fillId="4" borderId="78" xfId="0" applyFont="1" applyFill="1" applyBorder="1">
      <alignment vertical="center"/>
    </xf>
    <xf numFmtId="193" fontId="82" fillId="4" borderId="77" xfId="0" applyNumberFormat="1" applyFont="1" applyFill="1" applyBorder="1">
      <alignment vertical="center"/>
    </xf>
    <xf numFmtId="193" fontId="82" fillId="0" borderId="77" xfId="0" applyNumberFormat="1" applyFont="1" applyBorder="1">
      <alignment vertical="center"/>
    </xf>
    <xf numFmtId="193" fontId="82" fillId="0" borderId="43" xfId="0" applyNumberFormat="1" applyFont="1" applyBorder="1">
      <alignment vertical="center"/>
    </xf>
    <xf numFmtId="0" fontId="115" fillId="0" borderId="0" xfId="0" applyFont="1">
      <alignment vertical="center"/>
    </xf>
    <xf numFmtId="180" fontId="91" fillId="0" borderId="0" xfId="0" applyNumberFormat="1" applyFont="1" applyAlignment="1">
      <alignment horizontal="center" vertical="center"/>
    </xf>
    <xf numFmtId="180" fontId="130" fillId="0" borderId="0" xfId="0" applyNumberFormat="1" applyFont="1" applyAlignment="1">
      <alignment horizontal="left" vertical="center"/>
    </xf>
    <xf numFmtId="41" fontId="91" fillId="0" borderId="77" xfId="0" applyNumberFormat="1" applyFont="1" applyBorder="1">
      <alignment vertical="center"/>
    </xf>
    <xf numFmtId="41" fontId="91" fillId="0" borderId="43" xfId="0" applyNumberFormat="1" applyFont="1" applyBorder="1">
      <alignment vertical="center"/>
    </xf>
    <xf numFmtId="41" fontId="82" fillId="0" borderId="78" xfId="0" applyNumberFormat="1" applyFont="1" applyBorder="1">
      <alignment vertical="center"/>
    </xf>
    <xf numFmtId="41" fontId="82" fillId="0" borderId="77" xfId="0" applyNumberFormat="1" applyFont="1" applyBorder="1">
      <alignment vertical="center"/>
    </xf>
    <xf numFmtId="41" fontId="82" fillId="0" borderId="49" xfId="0" applyNumberFormat="1" applyFont="1" applyBorder="1">
      <alignment vertical="center"/>
    </xf>
    <xf numFmtId="180" fontId="82" fillId="0" borderId="0" xfId="0" applyNumberFormat="1" applyFont="1" applyAlignment="1">
      <alignment horizontal="center" vertical="center"/>
    </xf>
    <xf numFmtId="9" fontId="82" fillId="0" borderId="0" xfId="0" applyNumberFormat="1" applyFont="1">
      <alignment vertical="center"/>
    </xf>
    <xf numFmtId="41" fontId="82" fillId="0" borderId="109" xfId="0" applyNumberFormat="1" applyFont="1" applyBorder="1">
      <alignment vertical="center"/>
    </xf>
    <xf numFmtId="41" fontId="82" fillId="0" borderId="112" xfId="0" applyNumberFormat="1" applyFont="1" applyBorder="1">
      <alignment vertical="center"/>
    </xf>
    <xf numFmtId="41" fontId="82" fillId="0" borderId="32" xfId="0" applyNumberFormat="1" applyFont="1" applyBorder="1">
      <alignment vertical="center"/>
    </xf>
    <xf numFmtId="41" fontId="82" fillId="0" borderId="41" xfId="0" applyNumberFormat="1" applyFont="1" applyBorder="1">
      <alignment vertical="center"/>
    </xf>
    <xf numFmtId="41" fontId="114" fillId="4" borderId="32" xfId="0" applyNumberFormat="1" applyFont="1" applyFill="1" applyBorder="1">
      <alignment vertical="center"/>
    </xf>
    <xf numFmtId="41" fontId="82" fillId="0" borderId="12" xfId="0" applyNumberFormat="1" applyFont="1" applyBorder="1">
      <alignment vertical="center"/>
    </xf>
    <xf numFmtId="41" fontId="82" fillId="0" borderId="28" xfId="0" applyNumberFormat="1" applyFont="1" applyBorder="1">
      <alignment vertical="center"/>
    </xf>
    <xf numFmtId="41" fontId="82" fillId="0" borderId="33" xfId="0" applyNumberFormat="1" applyFont="1" applyBorder="1">
      <alignment vertical="center"/>
    </xf>
    <xf numFmtId="41" fontId="82" fillId="0" borderId="48" xfId="0" applyNumberFormat="1" applyFont="1" applyBorder="1">
      <alignment vertical="center"/>
    </xf>
    <xf numFmtId="41" fontId="82" fillId="0" borderId="43" xfId="0" applyNumberFormat="1" applyFont="1" applyBorder="1">
      <alignment vertical="center"/>
    </xf>
    <xf numFmtId="0" fontId="127" fillId="3" borderId="0" xfId="0" applyFont="1" applyFill="1" applyAlignment="1">
      <alignment horizontal="center" vertical="center"/>
    </xf>
    <xf numFmtId="0" fontId="131" fillId="0" borderId="0" xfId="0" applyFont="1">
      <alignment vertical="center"/>
    </xf>
    <xf numFmtId="41" fontId="130" fillId="0" borderId="0" xfId="0" applyNumberFormat="1" applyFont="1" applyAlignment="1">
      <alignment horizontal="left" vertical="center"/>
    </xf>
    <xf numFmtId="9" fontId="116" fillId="3" borderId="0" xfId="0" applyNumberFormat="1" applyFont="1" applyFill="1">
      <alignment vertical="center"/>
    </xf>
    <xf numFmtId="180" fontId="114" fillId="4" borderId="18" xfId="0" applyNumberFormat="1" applyFont="1" applyFill="1" applyBorder="1" applyAlignment="1">
      <alignment horizontal="center" vertical="center"/>
    </xf>
    <xf numFmtId="180" fontId="106" fillId="4" borderId="20" xfId="0" applyNumberFormat="1" applyFont="1" applyFill="1" applyBorder="1" applyAlignment="1">
      <alignment horizontal="center" vertical="center"/>
    </xf>
    <xf numFmtId="180" fontId="106" fillId="4" borderId="18" xfId="0" applyNumberFormat="1" applyFont="1" applyFill="1" applyBorder="1" applyAlignment="1">
      <alignment horizontal="center" vertical="center"/>
    </xf>
    <xf numFmtId="0" fontId="114" fillId="4" borderId="32" xfId="0" applyFont="1" applyFill="1" applyBorder="1" applyAlignment="1">
      <alignment horizontal="center" vertical="center"/>
    </xf>
    <xf numFmtId="190" fontId="91" fillId="4" borderId="50" xfId="0" applyNumberFormat="1" applyFont="1" applyFill="1" applyBorder="1" applyAlignment="1">
      <alignment horizontal="center" vertical="center"/>
    </xf>
    <xf numFmtId="185" fontId="82" fillId="3" borderId="80" xfId="0" applyNumberFormat="1" applyFont="1" applyFill="1" applyBorder="1">
      <alignment vertical="center"/>
    </xf>
    <xf numFmtId="185" fontId="82" fillId="3" borderId="27" xfId="0" applyNumberFormat="1" applyFont="1" applyFill="1" applyBorder="1">
      <alignment vertical="center"/>
    </xf>
    <xf numFmtId="185" fontId="82" fillId="3" borderId="60" xfId="0" applyNumberFormat="1" applyFont="1" applyFill="1" applyBorder="1">
      <alignment vertical="center"/>
    </xf>
    <xf numFmtId="185" fontId="82" fillId="3" borderId="58" xfId="0" applyNumberFormat="1" applyFont="1" applyFill="1" applyBorder="1">
      <alignment vertical="center"/>
    </xf>
    <xf numFmtId="41" fontId="82" fillId="4" borderId="26" xfId="0" applyNumberFormat="1" applyFont="1" applyFill="1" applyBorder="1">
      <alignment vertical="center"/>
    </xf>
    <xf numFmtId="41" fontId="114" fillId="4" borderId="60" xfId="0" applyNumberFormat="1" applyFont="1" applyFill="1" applyBorder="1">
      <alignment vertical="center"/>
    </xf>
    <xf numFmtId="190" fontId="91" fillId="4" borderId="107" xfId="0" applyNumberFormat="1" applyFont="1" applyFill="1" applyBorder="1" applyAlignment="1">
      <alignment horizontal="center" vertical="center"/>
    </xf>
    <xf numFmtId="185" fontId="82" fillId="3" borderId="21" xfId="0" applyNumberFormat="1" applyFont="1" applyFill="1" applyBorder="1">
      <alignment vertical="center"/>
    </xf>
    <xf numFmtId="185" fontId="82" fillId="3" borderId="1" xfId="0" applyNumberFormat="1" applyFont="1" applyFill="1" applyBorder="1">
      <alignment vertical="center"/>
    </xf>
    <xf numFmtId="185" fontId="82" fillId="3" borderId="47" xfId="0" applyNumberFormat="1" applyFont="1" applyFill="1" applyBorder="1">
      <alignment vertical="center"/>
    </xf>
    <xf numFmtId="41" fontId="114" fillId="4" borderId="47" xfId="0" applyNumberFormat="1" applyFont="1" applyFill="1" applyBorder="1">
      <alignment vertical="center"/>
    </xf>
    <xf numFmtId="0" fontId="82" fillId="4" borderId="42" xfId="0" applyFont="1" applyFill="1" applyBorder="1">
      <alignment vertical="center"/>
    </xf>
    <xf numFmtId="180" fontId="82" fillId="4" borderId="6" xfId="0" applyNumberFormat="1" applyFont="1" applyFill="1" applyBorder="1" applyAlignment="1">
      <alignment horizontal="center" vertical="center"/>
    </xf>
    <xf numFmtId="9" fontId="82" fillId="4" borderId="28" xfId="0" applyNumberFormat="1" applyFont="1" applyFill="1" applyBorder="1" applyAlignment="1">
      <alignment horizontal="center" vertical="center"/>
    </xf>
    <xf numFmtId="190" fontId="82" fillId="4" borderId="6" xfId="0" applyNumberFormat="1" applyFont="1" applyFill="1" applyBorder="1" applyAlignment="1">
      <alignment horizontal="center" vertical="center"/>
    </xf>
    <xf numFmtId="41" fontId="106" fillId="3" borderId="39" xfId="0" applyNumberFormat="1" applyFont="1" applyFill="1" applyBorder="1">
      <alignment vertical="center"/>
    </xf>
    <xf numFmtId="41" fontId="106" fillId="3" borderId="33" xfId="0" applyNumberFormat="1" applyFont="1" applyFill="1" applyBorder="1">
      <alignment vertical="center"/>
    </xf>
    <xf numFmtId="41" fontId="106" fillId="3" borderId="12" xfId="0" applyNumberFormat="1" applyFont="1" applyFill="1" applyBorder="1">
      <alignment vertical="center"/>
    </xf>
    <xf numFmtId="190" fontId="91" fillId="4" borderId="0" xfId="0" applyNumberFormat="1" applyFont="1" applyFill="1" applyAlignment="1">
      <alignment horizontal="center" vertical="center"/>
    </xf>
    <xf numFmtId="41" fontId="91" fillId="3" borderId="63" xfId="0" applyNumberFormat="1" applyFont="1" applyFill="1" applyBorder="1" applyAlignment="1">
      <alignment horizontal="left" vertical="center" indent="1"/>
    </xf>
    <xf numFmtId="41" fontId="82" fillId="3" borderId="37" xfId="0" applyNumberFormat="1" applyFont="1" applyFill="1" applyBorder="1" applyAlignment="1">
      <alignment horizontal="left" vertical="center" indent="1"/>
    </xf>
    <xf numFmtId="41" fontId="82" fillId="3" borderId="61" xfId="0" applyNumberFormat="1" applyFont="1" applyFill="1" applyBorder="1" applyAlignment="1">
      <alignment horizontal="left" vertical="center" indent="1"/>
    </xf>
    <xf numFmtId="41" fontId="82" fillId="3" borderId="34" xfId="0" applyNumberFormat="1" applyFont="1" applyFill="1" applyBorder="1" applyAlignment="1">
      <alignment horizontal="left" vertical="center" indent="1"/>
    </xf>
    <xf numFmtId="41" fontId="82" fillId="3" borderId="64" xfId="0" applyNumberFormat="1" applyFont="1" applyFill="1" applyBorder="1" applyAlignment="1">
      <alignment horizontal="left" vertical="center" indent="1"/>
    </xf>
    <xf numFmtId="41" fontId="91" fillId="3" borderId="55" xfId="0" applyNumberFormat="1" applyFont="1" applyFill="1" applyBorder="1" applyAlignment="1">
      <alignment horizontal="left" vertical="center" indent="1"/>
    </xf>
    <xf numFmtId="41" fontId="91" fillId="3" borderId="69" xfId="0" applyNumberFormat="1" applyFont="1" applyFill="1" applyBorder="1" applyAlignment="1">
      <alignment horizontal="left" vertical="center" indent="1"/>
    </xf>
    <xf numFmtId="41" fontId="91" fillId="3" borderId="1" xfId="0" applyNumberFormat="1" applyFont="1" applyFill="1" applyBorder="1" applyAlignment="1">
      <alignment horizontal="left" vertical="center" indent="1"/>
    </xf>
    <xf numFmtId="41" fontId="91" fillId="3" borderId="8" xfId="0" applyNumberFormat="1" applyFont="1" applyFill="1" applyBorder="1" applyAlignment="1">
      <alignment horizontal="left" vertical="center" indent="1"/>
    </xf>
    <xf numFmtId="41" fontId="82" fillId="3" borderId="38" xfId="0" applyNumberFormat="1" applyFont="1" applyFill="1" applyBorder="1" applyAlignment="1">
      <alignment horizontal="left" vertical="center" indent="1"/>
    </xf>
    <xf numFmtId="41" fontId="82" fillId="3" borderId="1" xfId="0" applyNumberFormat="1" applyFont="1" applyFill="1" applyBorder="1" applyAlignment="1">
      <alignment horizontal="left" vertical="center" indent="1"/>
    </xf>
    <xf numFmtId="41" fontId="82" fillId="3" borderId="69" xfId="0" applyNumberFormat="1" applyFont="1" applyFill="1" applyBorder="1" applyAlignment="1">
      <alignment horizontal="left" vertical="center" indent="1"/>
    </xf>
    <xf numFmtId="41" fontId="82" fillId="3" borderId="55" xfId="0" applyNumberFormat="1" applyFont="1" applyFill="1" applyBorder="1" applyAlignment="1">
      <alignment horizontal="left" vertical="center" indent="1"/>
    </xf>
    <xf numFmtId="180" fontId="82" fillId="4" borderId="0" xfId="0" applyNumberFormat="1" applyFont="1" applyFill="1" applyAlignment="1">
      <alignment horizontal="center" vertical="center"/>
    </xf>
    <xf numFmtId="9" fontId="82" fillId="4" borderId="77" xfId="0" applyNumberFormat="1" applyFont="1" applyFill="1" applyBorder="1" applyAlignment="1">
      <alignment horizontal="center" vertical="center"/>
    </xf>
    <xf numFmtId="190" fontId="82" fillId="4" borderId="74" xfId="0" applyNumberFormat="1" applyFont="1" applyFill="1" applyBorder="1" applyAlignment="1">
      <alignment horizontal="center" vertical="center"/>
    </xf>
    <xf numFmtId="183" fontId="114" fillId="3" borderId="76" xfId="0" applyNumberFormat="1" applyFont="1" applyFill="1" applyBorder="1">
      <alignment vertical="center"/>
    </xf>
    <xf numFmtId="183" fontId="114" fillId="3" borderId="77" xfId="0" applyNumberFormat="1" applyFont="1" applyFill="1" applyBorder="1">
      <alignment vertical="center"/>
    </xf>
    <xf numFmtId="183" fontId="106" fillId="3" borderId="40" xfId="0" applyNumberFormat="1" applyFont="1" applyFill="1" applyBorder="1">
      <alignment vertical="center"/>
    </xf>
    <xf numFmtId="183" fontId="106" fillId="3" borderId="77" xfId="0" applyNumberFormat="1" applyFont="1" applyFill="1" applyBorder="1">
      <alignment vertical="center"/>
    </xf>
    <xf numFmtId="183" fontId="106" fillId="3" borderId="49" xfId="0" applyNumberFormat="1" applyFont="1" applyFill="1" applyBorder="1">
      <alignment vertical="center"/>
    </xf>
    <xf numFmtId="183" fontId="106" fillId="3" borderId="78" xfId="0" applyNumberFormat="1" applyFont="1" applyFill="1" applyBorder="1">
      <alignment vertical="center"/>
    </xf>
    <xf numFmtId="0" fontId="114" fillId="4" borderId="73" xfId="0" applyFont="1" applyFill="1" applyBorder="1" applyAlignment="1">
      <alignment horizontal="left" vertical="center" indent="1"/>
    </xf>
    <xf numFmtId="180" fontId="82" fillId="3" borderId="0" xfId="0" applyNumberFormat="1" applyFont="1" applyFill="1" applyAlignment="1">
      <alignment horizontal="center" vertical="center"/>
    </xf>
    <xf numFmtId="180" fontId="117" fillId="3" borderId="0" xfId="0" applyNumberFormat="1" applyFont="1" applyFill="1" applyAlignment="1">
      <alignment horizontal="left" vertical="center"/>
    </xf>
    <xf numFmtId="185" fontId="117" fillId="3" borderId="0" xfId="0" applyNumberFormat="1" applyFont="1" applyFill="1" applyAlignment="1">
      <alignment horizontal="left" vertical="center"/>
    </xf>
    <xf numFmtId="185" fontId="91" fillId="3" borderId="0" xfId="0" applyNumberFormat="1" applyFont="1" applyFill="1">
      <alignment vertical="center"/>
    </xf>
    <xf numFmtId="3" fontId="91" fillId="3" borderId="0" xfId="0" applyNumberFormat="1" applyFont="1" applyFill="1">
      <alignment vertical="center"/>
    </xf>
    <xf numFmtId="43" fontId="82" fillId="3" borderId="0" xfId="0" applyNumberFormat="1" applyFont="1" applyFill="1">
      <alignment vertical="center"/>
    </xf>
    <xf numFmtId="209" fontId="82" fillId="3" borderId="0" xfId="0" applyNumberFormat="1" applyFont="1" applyFill="1">
      <alignment vertical="center"/>
    </xf>
    <xf numFmtId="199" fontId="91" fillId="0" borderId="0" xfId="0" applyNumberFormat="1" applyFont="1">
      <alignment vertical="center"/>
    </xf>
    <xf numFmtId="180" fontId="106" fillId="0" borderId="0" xfId="0" applyNumberFormat="1" applyFont="1" applyAlignment="1">
      <alignment horizontal="center" vertical="center"/>
    </xf>
    <xf numFmtId="180" fontId="132" fillId="0" borderId="0" xfId="0" applyNumberFormat="1" applyFont="1" applyAlignment="1">
      <alignment horizontal="left" vertical="center"/>
    </xf>
    <xf numFmtId="185" fontId="82" fillId="0" borderId="0" xfId="0" applyNumberFormat="1" applyFont="1">
      <alignment vertical="center"/>
    </xf>
    <xf numFmtId="0" fontId="91" fillId="4" borderId="61" xfId="0" applyFont="1" applyFill="1" applyBorder="1" applyAlignment="1">
      <alignment horizontal="center" vertical="center"/>
    </xf>
    <xf numFmtId="190" fontId="82" fillId="4" borderId="49" xfId="0" applyNumberFormat="1" applyFont="1" applyFill="1" applyBorder="1" applyAlignment="1">
      <alignment horizontal="center" vertical="center"/>
    </xf>
    <xf numFmtId="3" fontId="91" fillId="0" borderId="0" xfId="0" applyNumberFormat="1" applyFont="1">
      <alignment vertical="center"/>
    </xf>
    <xf numFmtId="9" fontId="91" fillId="0" borderId="0" xfId="0" applyNumberFormat="1" applyFont="1">
      <alignment vertical="center"/>
    </xf>
    <xf numFmtId="180" fontId="114" fillId="4" borderId="27" xfId="0" applyNumberFormat="1" applyFont="1" applyFill="1" applyBorder="1" applyAlignment="1">
      <alignment horizontal="center" vertical="center"/>
    </xf>
    <xf numFmtId="180" fontId="114" fillId="4" borderId="65" xfId="0" applyNumberFormat="1" applyFont="1" applyFill="1" applyBorder="1" applyAlignment="1">
      <alignment horizontal="center" vertical="center"/>
    </xf>
    <xf numFmtId="0" fontId="82" fillId="4" borderId="112" xfId="0" applyFont="1" applyFill="1" applyBorder="1" applyAlignment="1">
      <alignment horizontal="center" vertical="center"/>
    </xf>
    <xf numFmtId="0" fontId="82" fillId="4" borderId="41" xfId="0" applyFont="1" applyFill="1" applyBorder="1" applyAlignment="1">
      <alignment horizontal="left" vertical="center"/>
    </xf>
    <xf numFmtId="9" fontId="106" fillId="4" borderId="112" xfId="0" applyNumberFormat="1" applyFont="1" applyFill="1" applyBorder="1" applyAlignment="1">
      <alignment horizontal="center" vertical="center"/>
    </xf>
    <xf numFmtId="41" fontId="114" fillId="4" borderId="32" xfId="0" applyNumberFormat="1" applyFont="1" applyFill="1" applyBorder="1" applyAlignment="1">
      <alignment horizontal="center" vertical="center"/>
    </xf>
    <xf numFmtId="0" fontId="82" fillId="4" borderId="61" xfId="0" applyFont="1" applyFill="1" applyBorder="1" applyAlignment="1">
      <alignment horizontal="center" vertical="center"/>
    </xf>
    <xf numFmtId="41" fontId="91" fillId="3" borderId="61" xfId="0" applyNumberFormat="1" applyFont="1" applyFill="1" applyBorder="1" applyAlignment="1">
      <alignment horizontal="center" vertical="center"/>
    </xf>
    <xf numFmtId="41" fontId="91" fillId="3" borderId="71" xfId="0" applyNumberFormat="1" applyFont="1" applyFill="1" applyBorder="1" applyAlignment="1">
      <alignment horizontal="center" vertical="center"/>
    </xf>
    <xf numFmtId="41" fontId="91" fillId="3" borderId="85" xfId="0" applyNumberFormat="1" applyFont="1" applyFill="1" applyBorder="1" applyAlignment="1">
      <alignment horizontal="center" vertical="center"/>
    </xf>
    <xf numFmtId="0" fontId="82" fillId="4" borderId="50" xfId="0" applyFont="1" applyFill="1" applyBorder="1" applyAlignment="1">
      <alignment horizontal="center" vertical="center"/>
    </xf>
    <xf numFmtId="180" fontId="106" fillId="4" borderId="50" xfId="0" applyNumberFormat="1" applyFont="1" applyFill="1" applyBorder="1" applyAlignment="1">
      <alignment horizontal="center" vertical="center"/>
    </xf>
    <xf numFmtId="41" fontId="114" fillId="3" borderId="27" xfId="0" applyNumberFormat="1" applyFont="1" applyFill="1" applyBorder="1" applyAlignment="1">
      <alignment horizontal="center" vertical="center"/>
    </xf>
    <xf numFmtId="41" fontId="114" fillId="3" borderId="25" xfId="0" applyNumberFormat="1" applyFont="1" applyFill="1" applyBorder="1" applyAlignment="1">
      <alignment horizontal="center" vertical="center"/>
    </xf>
    <xf numFmtId="41" fontId="114" fillId="3" borderId="50" xfId="0" applyNumberFormat="1" applyFont="1" applyFill="1" applyBorder="1" applyAlignment="1">
      <alignment horizontal="center" vertical="center"/>
    </xf>
    <xf numFmtId="41" fontId="114" fillId="4" borderId="60" xfId="0" applyNumberFormat="1" applyFont="1" applyFill="1" applyBorder="1" applyAlignment="1">
      <alignment horizontal="center" vertical="center"/>
    </xf>
    <xf numFmtId="180" fontId="114" fillId="4" borderId="18" xfId="0" applyNumberFormat="1" applyFont="1" applyFill="1" applyBorder="1" applyAlignment="1">
      <alignment horizontal="left" vertical="center"/>
    </xf>
    <xf numFmtId="41" fontId="114" fillId="0" borderId="0" xfId="0" applyNumberFormat="1" applyFont="1">
      <alignment vertical="center"/>
    </xf>
    <xf numFmtId="0" fontId="114" fillId="4" borderId="15" xfId="0" applyFont="1" applyFill="1" applyBorder="1" applyAlignment="1">
      <alignment horizontal="left" vertical="center" indent="1"/>
    </xf>
    <xf numFmtId="180" fontId="114" fillId="4" borderId="19" xfId="0" applyNumberFormat="1" applyFont="1" applyFill="1" applyBorder="1" applyAlignment="1">
      <alignment horizontal="left" vertical="center"/>
    </xf>
    <xf numFmtId="180" fontId="114" fillId="4" borderId="45" xfId="0" applyNumberFormat="1" applyFont="1" applyFill="1" applyBorder="1">
      <alignment vertical="center"/>
    </xf>
    <xf numFmtId="41" fontId="82" fillId="4" borderId="17" xfId="0" applyNumberFormat="1" applyFont="1" applyFill="1" applyBorder="1">
      <alignment vertical="center"/>
    </xf>
    <xf numFmtId="41" fontId="82" fillId="4" borderId="18" xfId="0" applyNumberFormat="1" applyFont="1" applyFill="1" applyBorder="1">
      <alignment vertical="center"/>
    </xf>
    <xf numFmtId="41" fontId="82" fillId="4" borderId="19" xfId="0" applyNumberFormat="1" applyFont="1" applyFill="1" applyBorder="1">
      <alignment vertical="center"/>
    </xf>
    <xf numFmtId="180" fontId="91" fillId="0" borderId="0" xfId="0" applyNumberFormat="1" applyFont="1">
      <alignment vertical="center"/>
    </xf>
    <xf numFmtId="180" fontId="133" fillId="0" borderId="0" xfId="0" applyNumberFormat="1" applyFont="1" applyAlignment="1">
      <alignment horizontal="left" vertical="center"/>
    </xf>
    <xf numFmtId="9" fontId="118" fillId="3" borderId="0" xfId="0" applyNumberFormat="1" applyFont="1" applyFill="1">
      <alignment vertical="center"/>
    </xf>
    <xf numFmtId="10" fontId="91" fillId="0" borderId="0" xfId="0" applyNumberFormat="1" applyFont="1">
      <alignment vertical="center"/>
    </xf>
    <xf numFmtId="10" fontId="118" fillId="0" borderId="0" xfId="0" applyNumberFormat="1" applyFont="1">
      <alignment vertical="center"/>
    </xf>
    <xf numFmtId="43" fontId="91" fillId="3" borderId="0" xfId="0" applyNumberFormat="1" applyFont="1" applyFill="1">
      <alignment vertical="center"/>
    </xf>
    <xf numFmtId="43" fontId="91" fillId="0" borderId="0" xfId="0" applyNumberFormat="1" applyFont="1">
      <alignment vertical="center"/>
    </xf>
    <xf numFmtId="41" fontId="82" fillId="3" borderId="12" xfId="0" applyNumberFormat="1" applyFont="1" applyFill="1" applyBorder="1">
      <alignment vertical="center"/>
    </xf>
    <xf numFmtId="41" fontId="114" fillId="4" borderId="35" xfId="0" applyNumberFormat="1" applyFont="1" applyFill="1" applyBorder="1">
      <alignment vertical="center"/>
    </xf>
    <xf numFmtId="0" fontId="106" fillId="4" borderId="20" xfId="0" applyFont="1" applyFill="1" applyBorder="1">
      <alignment vertical="center"/>
    </xf>
    <xf numFmtId="0" fontId="106" fillId="4" borderId="67" xfId="0" applyFont="1" applyFill="1" applyBorder="1">
      <alignment vertical="center"/>
    </xf>
    <xf numFmtId="0" fontId="106" fillId="4" borderId="29" xfId="0" applyFont="1" applyFill="1" applyBorder="1" applyAlignment="1">
      <alignment horizontal="center" vertical="center" wrapText="1"/>
    </xf>
    <xf numFmtId="9" fontId="82" fillId="4" borderId="47" xfId="0" applyNumberFormat="1" applyFont="1" applyFill="1" applyBorder="1">
      <alignment vertical="center"/>
    </xf>
    <xf numFmtId="9" fontId="82" fillId="4" borderId="33" xfId="0" applyNumberFormat="1" applyFont="1" applyFill="1" applyBorder="1">
      <alignment vertical="center"/>
    </xf>
    <xf numFmtId="9" fontId="82" fillId="4" borderId="34" xfId="0" applyNumberFormat="1" applyFont="1" applyFill="1" applyBorder="1">
      <alignment vertical="center"/>
    </xf>
    <xf numFmtId="0" fontId="114" fillId="4" borderId="18" xfId="0" applyFont="1" applyFill="1" applyBorder="1">
      <alignment vertical="center"/>
    </xf>
    <xf numFmtId="9" fontId="114" fillId="4" borderId="20" xfId="0" applyNumberFormat="1" applyFont="1" applyFill="1" applyBorder="1">
      <alignment vertical="center"/>
    </xf>
    <xf numFmtId="9" fontId="82" fillId="4" borderId="34" xfId="0" applyNumberFormat="1" applyFont="1" applyFill="1" applyBorder="1" applyAlignment="1">
      <alignment horizontal="right" vertical="center"/>
    </xf>
    <xf numFmtId="0" fontId="91" fillId="4" borderId="18" xfId="0" applyFont="1" applyFill="1" applyBorder="1">
      <alignment vertical="center"/>
    </xf>
    <xf numFmtId="41" fontId="106" fillId="4" borderId="14" xfId="0" applyNumberFormat="1" applyFont="1" applyFill="1" applyBorder="1">
      <alignment vertical="center"/>
    </xf>
    <xf numFmtId="9" fontId="82" fillId="0" borderId="0" xfId="0" applyNumberFormat="1" applyFont="1" applyAlignment="1">
      <alignment horizontal="center" vertical="center"/>
    </xf>
    <xf numFmtId="190" fontId="82" fillId="4" borderId="47" xfId="0" applyNumberFormat="1" applyFont="1" applyFill="1" applyBorder="1">
      <alignment vertical="center"/>
    </xf>
    <xf numFmtId="190" fontId="82" fillId="4" borderId="33" xfId="0" applyNumberFormat="1" applyFont="1" applyFill="1" applyBorder="1">
      <alignment vertical="center"/>
    </xf>
    <xf numFmtId="190" fontId="82" fillId="4" borderId="34" xfId="0" applyNumberFormat="1" applyFont="1" applyFill="1" applyBorder="1">
      <alignment vertical="center"/>
    </xf>
    <xf numFmtId="190" fontId="106" fillId="4" borderId="20" xfId="0" applyNumberFormat="1" applyFont="1" applyFill="1" applyBorder="1">
      <alignment vertical="center"/>
    </xf>
    <xf numFmtId="190" fontId="82" fillId="4" borderId="34" xfId="0" applyNumberFormat="1" applyFont="1" applyFill="1" applyBorder="1" applyAlignment="1">
      <alignment horizontal="right" vertical="center"/>
    </xf>
    <xf numFmtId="196" fontId="91" fillId="0" borderId="0" xfId="0" applyNumberFormat="1" applyFont="1">
      <alignment vertical="center"/>
    </xf>
    <xf numFmtId="41" fontId="134" fillId="0" borderId="0" xfId="0" applyNumberFormat="1" applyFont="1">
      <alignment vertical="center"/>
    </xf>
    <xf numFmtId="180" fontId="131" fillId="0" borderId="0" xfId="0" applyNumberFormat="1" applyFont="1" applyAlignment="1">
      <alignment horizontal="center" vertical="center"/>
    </xf>
    <xf numFmtId="10" fontId="91" fillId="3" borderId="0" xfId="0" applyNumberFormat="1" applyFont="1" applyFill="1">
      <alignment vertical="center"/>
    </xf>
    <xf numFmtId="10" fontId="116" fillId="3" borderId="0" xfId="0" applyNumberFormat="1" applyFont="1" applyFill="1">
      <alignment vertical="center"/>
    </xf>
    <xf numFmtId="185" fontId="91" fillId="0" borderId="0" xfId="0" applyNumberFormat="1" applyFont="1" applyAlignment="1">
      <alignment horizontal="center" vertical="center"/>
    </xf>
    <xf numFmtId="41" fontId="82" fillId="4" borderId="48" xfId="0" applyNumberFormat="1" applyFont="1" applyFill="1" applyBorder="1" applyAlignment="1">
      <alignment horizontal="left" vertical="center"/>
    </xf>
    <xf numFmtId="185" fontId="91" fillId="3" borderId="55" xfId="0" applyNumberFormat="1" applyFont="1" applyFill="1" applyBorder="1" applyAlignment="1">
      <alignment horizontal="left" vertical="center" indent="1"/>
    </xf>
    <xf numFmtId="185" fontId="91" fillId="3" borderId="1" xfId="0" applyNumberFormat="1" applyFont="1" applyFill="1" applyBorder="1" applyAlignment="1">
      <alignment horizontal="left" vertical="center" indent="1"/>
    </xf>
    <xf numFmtId="185" fontId="91" fillId="3" borderId="10" xfId="0" applyNumberFormat="1" applyFont="1" applyFill="1" applyBorder="1" applyAlignment="1">
      <alignment horizontal="left" vertical="center" indent="1"/>
    </xf>
    <xf numFmtId="185" fontId="91" fillId="3" borderId="69" xfId="0" applyNumberFormat="1" applyFont="1" applyFill="1" applyBorder="1" applyAlignment="1">
      <alignment horizontal="left" vertical="center" indent="1"/>
    </xf>
    <xf numFmtId="185" fontId="82" fillId="3" borderId="55" xfId="0" applyNumberFormat="1" applyFont="1" applyFill="1" applyBorder="1" applyAlignment="1">
      <alignment horizontal="left" vertical="center" indent="1"/>
    </xf>
    <xf numFmtId="185" fontId="82" fillId="3" borderId="1" xfId="0" applyNumberFormat="1" applyFont="1" applyFill="1" applyBorder="1" applyAlignment="1">
      <alignment horizontal="left" vertical="center" indent="1"/>
    </xf>
    <xf numFmtId="185" fontId="82" fillId="3" borderId="69" xfId="0" applyNumberFormat="1" applyFont="1" applyFill="1" applyBorder="1" applyAlignment="1">
      <alignment horizontal="left" vertical="center" indent="1"/>
    </xf>
    <xf numFmtId="185" fontId="91" fillId="3" borderId="56" xfId="0" applyNumberFormat="1" applyFont="1" applyFill="1" applyBorder="1" applyAlignment="1">
      <alignment horizontal="left" vertical="center" indent="1"/>
    </xf>
    <xf numFmtId="185" fontId="82" fillId="3" borderId="35" xfId="0" applyNumberFormat="1" applyFont="1" applyFill="1" applyBorder="1" applyAlignment="1">
      <alignment horizontal="left" vertical="center" indent="1"/>
    </xf>
    <xf numFmtId="185" fontId="82" fillId="3" borderId="5" xfId="0" applyNumberFormat="1" applyFont="1" applyFill="1" applyBorder="1" applyAlignment="1">
      <alignment horizontal="left" vertical="center" indent="1"/>
    </xf>
    <xf numFmtId="185" fontId="82" fillId="3" borderId="47" xfId="0" applyNumberFormat="1" applyFont="1" applyFill="1" applyBorder="1" applyAlignment="1">
      <alignment horizontal="left" vertical="center" indent="1"/>
    </xf>
    <xf numFmtId="41" fontId="114" fillId="4" borderId="85" xfId="0" applyNumberFormat="1" applyFont="1" applyFill="1" applyBorder="1" applyAlignment="1">
      <alignment horizontal="left" vertical="center" indent="1"/>
    </xf>
    <xf numFmtId="185" fontId="114" fillId="3" borderId="10" xfId="0" applyNumberFormat="1" applyFont="1" applyFill="1" applyBorder="1">
      <alignment vertical="center"/>
    </xf>
    <xf numFmtId="185" fontId="106" fillId="3" borderId="55" xfId="0" applyNumberFormat="1" applyFont="1" applyFill="1" applyBorder="1">
      <alignment vertical="center"/>
    </xf>
    <xf numFmtId="185" fontId="106" fillId="3" borderId="1" xfId="0" applyNumberFormat="1" applyFont="1" applyFill="1" applyBorder="1">
      <alignment vertical="center"/>
    </xf>
    <xf numFmtId="185" fontId="106" fillId="3" borderId="69" xfId="0" applyNumberFormat="1" applyFont="1" applyFill="1" applyBorder="1">
      <alignment vertical="center"/>
    </xf>
    <xf numFmtId="0" fontId="118" fillId="3" borderId="0" xfId="0" applyFont="1" applyFill="1">
      <alignment vertical="center"/>
    </xf>
    <xf numFmtId="9" fontId="91" fillId="4" borderId="18" xfId="0" applyNumberFormat="1" applyFont="1" applyFill="1" applyBorder="1" applyAlignment="1">
      <alignment horizontal="right" vertical="center"/>
    </xf>
    <xf numFmtId="9" fontId="82" fillId="4" borderId="17" xfId="0" applyNumberFormat="1" applyFont="1" applyFill="1" applyBorder="1" applyAlignment="1">
      <alignment horizontal="right" vertical="center"/>
    </xf>
    <xf numFmtId="9" fontId="82" fillId="4" borderId="18" xfId="0" applyNumberFormat="1" applyFont="1" applyFill="1" applyBorder="1" applyAlignment="1">
      <alignment horizontal="right" vertical="center"/>
    </xf>
    <xf numFmtId="9" fontId="82" fillId="4" borderId="19" xfId="0" applyNumberFormat="1" applyFont="1" applyFill="1" applyBorder="1" applyAlignment="1">
      <alignment horizontal="right" vertical="center"/>
    </xf>
    <xf numFmtId="180" fontId="106" fillId="4" borderId="60" xfId="0" applyNumberFormat="1" applyFont="1" applyFill="1" applyBorder="1" applyAlignment="1">
      <alignment horizontal="center" vertical="center"/>
    </xf>
    <xf numFmtId="0" fontId="118" fillId="3" borderId="0" xfId="0" applyFont="1" applyFill="1" applyAlignment="1">
      <alignment horizontal="center" vertical="center"/>
    </xf>
    <xf numFmtId="0" fontId="82" fillId="4" borderId="53" xfId="0" applyFont="1" applyFill="1" applyBorder="1">
      <alignment vertical="center"/>
    </xf>
    <xf numFmtId="41" fontId="91" fillId="3" borderId="52" xfId="0" applyNumberFormat="1" applyFont="1" applyFill="1" applyBorder="1" applyAlignment="1">
      <alignment vertical="center" shrinkToFit="1"/>
    </xf>
    <xf numFmtId="41" fontId="82" fillId="3" borderId="51" xfId="0" applyNumberFormat="1" applyFont="1" applyFill="1" applyBorder="1" applyAlignment="1">
      <alignment vertical="center" shrinkToFit="1"/>
    </xf>
    <xf numFmtId="41" fontId="82" fillId="3" borderId="52" xfId="0" applyNumberFormat="1" applyFont="1" applyFill="1" applyBorder="1" applyAlignment="1">
      <alignment vertical="center" shrinkToFit="1"/>
    </xf>
    <xf numFmtId="41" fontId="82" fillId="3" borderId="53" xfId="0" applyNumberFormat="1" applyFont="1" applyFill="1" applyBorder="1" applyAlignment="1">
      <alignment vertical="center" shrinkToFit="1"/>
    </xf>
    <xf numFmtId="41" fontId="82" fillId="3" borderId="82" xfId="0" applyNumberFormat="1" applyFont="1" applyFill="1" applyBorder="1" applyAlignment="1">
      <alignment vertical="center" shrinkToFit="1"/>
    </xf>
    <xf numFmtId="41" fontId="106" fillId="4" borderId="53" xfId="0" applyNumberFormat="1" applyFont="1" applyFill="1" applyBorder="1">
      <alignment vertical="center"/>
    </xf>
    <xf numFmtId="0" fontId="108" fillId="3" borderId="0" xfId="0" applyFont="1" applyFill="1" applyAlignment="1"/>
    <xf numFmtId="49" fontId="135" fillId="4" borderId="1" xfId="0" applyNumberFormat="1" applyFont="1" applyFill="1" applyBorder="1" applyAlignment="1"/>
    <xf numFmtId="0" fontId="82" fillId="4" borderId="22" xfId="0" applyFont="1" applyFill="1" applyBorder="1">
      <alignment vertical="center"/>
    </xf>
    <xf numFmtId="41" fontId="91" fillId="3" borderId="23" xfId="0" applyNumberFormat="1" applyFont="1" applyFill="1" applyBorder="1" applyAlignment="1">
      <alignment vertical="center" shrinkToFit="1"/>
    </xf>
    <xf numFmtId="41" fontId="91" fillId="3" borderId="3" xfId="0" applyNumberFormat="1" applyFont="1" applyFill="1" applyBorder="1" applyAlignment="1">
      <alignment vertical="center" shrinkToFit="1"/>
    </xf>
    <xf numFmtId="41" fontId="91" fillId="3" borderId="22" xfId="0" applyNumberFormat="1" applyFont="1" applyFill="1" applyBorder="1" applyAlignment="1">
      <alignment vertical="center" shrinkToFit="1"/>
    </xf>
    <xf numFmtId="41" fontId="82" fillId="3" borderId="23" xfId="0" applyNumberFormat="1" applyFont="1" applyFill="1" applyBorder="1" applyAlignment="1">
      <alignment vertical="center" shrinkToFit="1"/>
    </xf>
    <xf numFmtId="41" fontId="82" fillId="3" borderId="3" xfId="0" applyNumberFormat="1" applyFont="1" applyFill="1" applyBorder="1" applyAlignment="1">
      <alignment vertical="center" shrinkToFit="1"/>
    </xf>
    <xf numFmtId="41" fontId="82" fillId="3" borderId="22" xfId="0" applyNumberFormat="1" applyFont="1" applyFill="1" applyBorder="1" applyAlignment="1">
      <alignment vertical="center" shrinkToFit="1"/>
    </xf>
    <xf numFmtId="41" fontId="82" fillId="3" borderId="7" xfId="0" applyNumberFormat="1" applyFont="1" applyFill="1" applyBorder="1" applyAlignment="1">
      <alignment vertical="center" shrinkToFit="1"/>
    </xf>
    <xf numFmtId="41" fontId="106" fillId="4" borderId="22" xfId="0" applyNumberFormat="1" applyFont="1" applyFill="1" applyBorder="1">
      <alignment vertical="center"/>
    </xf>
    <xf numFmtId="41" fontId="91" fillId="3" borderId="7" xfId="0" applyNumberFormat="1" applyFont="1" applyFill="1" applyBorder="1" applyAlignment="1">
      <alignment vertical="center" shrinkToFit="1"/>
    </xf>
    <xf numFmtId="41" fontId="82" fillId="3" borderId="79" xfId="0" applyNumberFormat="1" applyFont="1" applyFill="1" applyBorder="1" applyAlignment="1">
      <alignment vertical="center" shrinkToFit="1"/>
    </xf>
    <xf numFmtId="43" fontId="119" fillId="0" borderId="0" xfId="0" applyNumberFormat="1" applyFont="1">
      <alignment vertical="center"/>
    </xf>
    <xf numFmtId="49" fontId="135" fillId="4" borderId="59" xfId="0" applyNumberFormat="1" applyFont="1" applyFill="1" applyBorder="1" applyAlignment="1"/>
    <xf numFmtId="0" fontId="82" fillId="4" borderId="93" xfId="0" applyFont="1" applyFill="1" applyBorder="1">
      <alignment vertical="center"/>
    </xf>
    <xf numFmtId="41" fontId="82" fillId="3" borderId="93" xfId="0" applyNumberFormat="1" applyFont="1" applyFill="1" applyBorder="1" applyAlignment="1">
      <alignment vertical="center" shrinkToFit="1"/>
    </xf>
    <xf numFmtId="41" fontId="82" fillId="3" borderId="160" xfId="0" applyNumberFormat="1" applyFont="1" applyFill="1" applyBorder="1" applyAlignment="1">
      <alignment vertical="center" shrinkToFit="1"/>
    </xf>
    <xf numFmtId="41" fontId="106" fillId="4" borderId="93" xfId="0" applyNumberFormat="1" applyFont="1" applyFill="1" applyBorder="1">
      <alignment vertical="center"/>
    </xf>
    <xf numFmtId="0" fontId="106" fillId="4" borderId="73" xfId="0" applyFont="1" applyFill="1" applyBorder="1">
      <alignment vertical="center"/>
    </xf>
    <xf numFmtId="41" fontId="114" fillId="4" borderId="18" xfId="0" applyNumberFormat="1" applyFont="1" applyFill="1" applyBorder="1" applyAlignment="1">
      <alignment vertical="center" shrinkToFit="1"/>
    </xf>
    <xf numFmtId="41" fontId="114" fillId="4" borderId="19" xfId="0" applyNumberFormat="1" applyFont="1" applyFill="1" applyBorder="1" applyAlignment="1">
      <alignment vertical="center" shrinkToFit="1"/>
    </xf>
    <xf numFmtId="41" fontId="106" fillId="4" borderId="17" xfId="0" applyNumberFormat="1" applyFont="1" applyFill="1" applyBorder="1" applyAlignment="1">
      <alignment vertical="center" shrinkToFit="1"/>
    </xf>
    <xf numFmtId="41" fontId="106" fillId="4" borderId="18" xfId="0" applyNumberFormat="1" applyFont="1" applyFill="1" applyBorder="1" applyAlignment="1">
      <alignment vertical="center" shrinkToFit="1"/>
    </xf>
    <xf numFmtId="41" fontId="106" fillId="4" borderId="19" xfId="0" applyNumberFormat="1" applyFont="1" applyFill="1" applyBorder="1" applyAlignment="1">
      <alignment vertical="center" shrinkToFit="1"/>
    </xf>
    <xf numFmtId="41" fontId="106" fillId="4" borderId="20" xfId="0" applyNumberFormat="1" applyFont="1" applyFill="1" applyBorder="1" applyAlignment="1">
      <alignment vertical="center" shrinkToFit="1"/>
    </xf>
    <xf numFmtId="9" fontId="91" fillId="4" borderId="18" xfId="0" applyNumberFormat="1" applyFont="1" applyFill="1" applyBorder="1" applyAlignment="1">
      <alignment vertical="center" shrinkToFit="1"/>
    </xf>
    <xf numFmtId="9" fontId="82" fillId="4" borderId="17" xfId="0" applyNumberFormat="1" applyFont="1" applyFill="1" applyBorder="1" applyAlignment="1">
      <alignment vertical="center" shrinkToFit="1"/>
    </xf>
    <xf numFmtId="9" fontId="82" fillId="4" borderId="18" xfId="0" applyNumberFormat="1" applyFont="1" applyFill="1" applyBorder="1" applyAlignment="1">
      <alignment vertical="center" shrinkToFit="1"/>
    </xf>
    <xf numFmtId="9" fontId="82" fillId="4" borderId="19" xfId="0" applyNumberFormat="1" applyFont="1" applyFill="1" applyBorder="1" applyAlignment="1">
      <alignment vertical="center" shrinkToFit="1"/>
    </xf>
    <xf numFmtId="178" fontId="82" fillId="0" borderId="0" xfId="0" applyNumberFormat="1" applyFont="1" applyAlignment="1">
      <alignment horizontal="left" vertical="center" indent="1"/>
    </xf>
    <xf numFmtId="185" fontId="116" fillId="0" borderId="0" xfId="0" applyNumberFormat="1" applyFont="1" applyAlignment="1">
      <alignment vertical="center" shrinkToFit="1"/>
    </xf>
    <xf numFmtId="185" fontId="118" fillId="0" borderId="0" xfId="0" applyNumberFormat="1" applyFont="1" applyAlignment="1">
      <alignment vertical="center" shrinkToFit="1"/>
    </xf>
    <xf numFmtId="0" fontId="106" fillId="4" borderId="32" xfId="0" applyFont="1" applyFill="1" applyBorder="1" applyAlignment="1">
      <alignment horizontal="center" vertical="center"/>
    </xf>
    <xf numFmtId="41" fontId="82" fillId="4" borderId="82" xfId="0" applyNumberFormat="1" applyFont="1" applyFill="1" applyBorder="1" applyAlignment="1">
      <alignment horizontal="left" vertical="center"/>
    </xf>
    <xf numFmtId="41" fontId="91" fillId="3" borderId="51" xfId="0" applyNumberFormat="1" applyFont="1" applyFill="1" applyBorder="1">
      <alignment vertical="center"/>
    </xf>
    <xf numFmtId="41" fontId="91" fillId="3" borderId="52" xfId="0" applyNumberFormat="1" applyFont="1" applyFill="1" applyBorder="1">
      <alignment vertical="center"/>
    </xf>
    <xf numFmtId="41" fontId="91" fillId="3" borderId="53" xfId="0" applyNumberFormat="1" applyFont="1" applyFill="1" applyBorder="1">
      <alignment vertical="center"/>
    </xf>
    <xf numFmtId="41" fontId="106" fillId="4" borderId="54" xfId="0" applyNumberFormat="1" applyFont="1" applyFill="1" applyBorder="1">
      <alignment vertical="center"/>
    </xf>
    <xf numFmtId="0" fontId="106" fillId="4" borderId="15" xfId="0" applyFont="1" applyFill="1" applyBorder="1">
      <alignment vertical="center"/>
    </xf>
    <xf numFmtId="191" fontId="91" fillId="0" borderId="0" xfId="0" applyNumberFormat="1" applyFont="1">
      <alignment vertical="center"/>
    </xf>
    <xf numFmtId="41" fontId="84" fillId="21" borderId="31" xfId="0" applyNumberFormat="1" applyFont="1" applyFill="1" applyBorder="1">
      <alignment vertical="center"/>
    </xf>
    <xf numFmtId="185" fontId="114" fillId="3" borderId="0" xfId="0" applyNumberFormat="1" applyFont="1" applyFill="1">
      <alignment vertical="center"/>
    </xf>
    <xf numFmtId="185" fontId="91" fillId="3" borderId="58" xfId="0" applyNumberFormat="1" applyFont="1" applyFill="1" applyBorder="1" applyAlignment="1">
      <alignment horizontal="center" vertical="center"/>
    </xf>
    <xf numFmtId="185" fontId="91" fillId="3" borderId="27" xfId="0" applyNumberFormat="1" applyFont="1" applyFill="1" applyBorder="1" applyAlignment="1">
      <alignment horizontal="center" vertical="center"/>
    </xf>
    <xf numFmtId="185" fontId="91" fillId="3" borderId="60" xfId="0" applyNumberFormat="1" applyFont="1" applyFill="1" applyBorder="1" applyAlignment="1">
      <alignment horizontal="center" vertical="center"/>
    </xf>
    <xf numFmtId="185" fontId="82" fillId="3" borderId="58" xfId="0" applyNumberFormat="1" applyFont="1" applyFill="1" applyBorder="1" applyAlignment="1">
      <alignment horizontal="center" vertical="center"/>
    </xf>
    <xf numFmtId="185" fontId="91" fillId="3" borderId="65" xfId="0" applyNumberFormat="1" applyFont="1" applyFill="1" applyBorder="1" applyAlignment="1">
      <alignment horizontal="center" vertical="center"/>
    </xf>
    <xf numFmtId="185" fontId="116" fillId="3" borderId="60" xfId="0" applyNumberFormat="1" applyFont="1" applyFill="1" applyBorder="1" applyAlignment="1">
      <alignment horizontal="center" vertical="center"/>
    </xf>
    <xf numFmtId="0" fontId="91" fillId="4" borderId="14" xfId="0" applyFont="1" applyFill="1" applyBorder="1">
      <alignment vertical="center"/>
    </xf>
    <xf numFmtId="0" fontId="91" fillId="4" borderId="31" xfId="0" applyFont="1" applyFill="1" applyBorder="1">
      <alignment vertical="center"/>
    </xf>
    <xf numFmtId="41" fontId="91" fillId="4" borderId="91" xfId="0" applyNumberFormat="1" applyFont="1" applyFill="1" applyBorder="1">
      <alignment vertical="center"/>
    </xf>
    <xf numFmtId="185" fontId="91" fillId="3" borderId="13" xfId="0" applyNumberFormat="1" applyFont="1" applyFill="1" applyBorder="1">
      <alignment vertical="center"/>
    </xf>
    <xf numFmtId="185" fontId="91" fillId="3" borderId="59" xfId="0" applyNumberFormat="1" applyFont="1" applyFill="1" applyBorder="1">
      <alignment vertical="center"/>
    </xf>
    <xf numFmtId="185" fontId="91" fillId="3" borderId="46" xfId="0" applyNumberFormat="1" applyFont="1" applyFill="1" applyBorder="1">
      <alignment vertical="center"/>
    </xf>
    <xf numFmtId="185" fontId="91" fillId="3" borderId="68" xfId="0" applyNumberFormat="1" applyFont="1" applyFill="1" applyBorder="1">
      <alignment vertical="center"/>
    </xf>
    <xf numFmtId="0" fontId="91" fillId="4" borderId="108" xfId="0" applyFont="1" applyFill="1" applyBorder="1">
      <alignment vertical="center"/>
    </xf>
    <xf numFmtId="0" fontId="91" fillId="4" borderId="16" xfId="0" applyFont="1" applyFill="1" applyBorder="1">
      <alignment vertical="center"/>
    </xf>
    <xf numFmtId="183" fontId="114" fillId="4" borderId="17" xfId="0" applyNumberFormat="1" applyFont="1" applyFill="1" applyBorder="1">
      <alignment vertical="center"/>
    </xf>
    <xf numFmtId="183" fontId="114" fillId="4" borderId="18" xfId="0" applyNumberFormat="1" applyFont="1" applyFill="1" applyBorder="1">
      <alignment vertical="center"/>
    </xf>
    <xf numFmtId="183" fontId="114" fillId="4" borderId="19" xfId="0" applyNumberFormat="1" applyFont="1" applyFill="1" applyBorder="1">
      <alignment vertical="center"/>
    </xf>
    <xf numFmtId="183" fontId="114" fillId="4" borderId="20" xfId="0" applyNumberFormat="1" applyFont="1" applyFill="1" applyBorder="1">
      <alignment vertical="center"/>
    </xf>
    <xf numFmtId="41" fontId="114" fillId="0" borderId="0" xfId="0" applyNumberFormat="1" applyFont="1" applyAlignment="1">
      <alignment horizontal="center" vertical="center"/>
    </xf>
    <xf numFmtId="183" fontId="114" fillId="0" borderId="0" xfId="0" applyNumberFormat="1" applyFont="1">
      <alignment vertical="center"/>
    </xf>
    <xf numFmtId="0" fontId="114" fillId="0" borderId="0" xfId="0" applyFont="1" applyAlignment="1">
      <alignment horizontal="right" vertical="center"/>
    </xf>
    <xf numFmtId="41" fontId="114" fillId="4" borderId="80" xfId="0" applyNumberFormat="1" applyFont="1" applyFill="1" applyBorder="1" applyAlignment="1">
      <alignment horizontal="left" vertical="center"/>
    </xf>
    <xf numFmtId="41" fontId="114" fillId="4" borderId="50" xfId="0" applyNumberFormat="1" applyFont="1" applyFill="1" applyBorder="1" applyAlignment="1">
      <alignment horizontal="center" vertical="center"/>
    </xf>
    <xf numFmtId="0" fontId="136" fillId="4" borderId="1" xfId="0" applyFont="1" applyFill="1" applyBorder="1">
      <alignment vertical="center"/>
    </xf>
    <xf numFmtId="0" fontId="136" fillId="4" borderId="24" xfId="0" applyFont="1" applyFill="1" applyBorder="1">
      <alignment vertical="center"/>
    </xf>
    <xf numFmtId="0" fontId="91" fillId="4" borderId="31" xfId="0" applyFont="1" applyFill="1" applyBorder="1" applyAlignment="1">
      <alignment horizontal="center" vertical="center"/>
    </xf>
    <xf numFmtId="0" fontId="91" fillId="4" borderId="24" xfId="0" applyFont="1" applyFill="1" applyBorder="1">
      <alignment vertical="center"/>
    </xf>
    <xf numFmtId="41" fontId="114" fillId="4" borderId="21" xfId="0" applyNumberFormat="1" applyFont="1" applyFill="1" applyBorder="1" applyAlignment="1">
      <alignment horizontal="left" vertical="center"/>
    </xf>
    <xf numFmtId="41" fontId="91" fillId="4" borderId="91" xfId="0" applyNumberFormat="1" applyFont="1" applyFill="1" applyBorder="1" applyAlignment="1">
      <alignment horizontal="left" vertical="center"/>
    </xf>
    <xf numFmtId="0" fontId="91" fillId="4" borderId="59" xfId="0" applyFont="1" applyFill="1" applyBorder="1">
      <alignment vertical="center"/>
    </xf>
    <xf numFmtId="0" fontId="91" fillId="4" borderId="92" xfId="0" applyFont="1" applyFill="1" applyBorder="1">
      <alignment vertical="center"/>
    </xf>
    <xf numFmtId="41" fontId="91" fillId="3" borderId="59" xfId="0" applyNumberFormat="1" applyFont="1" applyFill="1" applyBorder="1" applyAlignment="1">
      <alignment horizontal="left" vertical="center" indent="1"/>
    </xf>
    <xf numFmtId="41" fontId="91" fillId="3" borderId="46" xfId="0" applyNumberFormat="1" applyFont="1" applyFill="1" applyBorder="1" applyAlignment="1">
      <alignment horizontal="left" vertical="center" indent="1"/>
    </xf>
    <xf numFmtId="41" fontId="91" fillId="3" borderId="13" xfId="0" applyNumberFormat="1" applyFont="1" applyFill="1" applyBorder="1" applyAlignment="1">
      <alignment horizontal="left" vertical="center" indent="1"/>
    </xf>
    <xf numFmtId="185" fontId="106" fillId="4" borderId="18" xfId="0" applyNumberFormat="1" applyFont="1" applyFill="1" applyBorder="1">
      <alignment vertical="center"/>
    </xf>
    <xf numFmtId="185" fontId="137" fillId="0" borderId="0" xfId="0" applyNumberFormat="1" applyFont="1">
      <alignment vertical="center"/>
    </xf>
    <xf numFmtId="184" fontId="119" fillId="0" borderId="0" xfId="0" applyNumberFormat="1" applyFont="1" applyAlignment="1"/>
    <xf numFmtId="41" fontId="106" fillId="4" borderId="45" xfId="0" applyNumberFormat="1" applyFont="1" applyFill="1" applyBorder="1" applyAlignment="1">
      <alignment horizontal="center" vertical="center"/>
    </xf>
    <xf numFmtId="41" fontId="106" fillId="4" borderId="32" xfId="0" applyNumberFormat="1" applyFont="1" applyFill="1" applyBorder="1" applyAlignment="1">
      <alignment horizontal="center" vertical="center"/>
    </xf>
    <xf numFmtId="41" fontId="114" fillId="3" borderId="0" xfId="0" applyNumberFormat="1" applyFont="1" applyFill="1" applyAlignment="1">
      <alignment horizontal="left" vertical="center"/>
    </xf>
    <xf numFmtId="41" fontId="106" fillId="3" borderId="0" xfId="0" applyNumberFormat="1" applyFont="1" applyFill="1" applyAlignment="1">
      <alignment vertical="center" shrinkToFit="1"/>
    </xf>
    <xf numFmtId="41" fontId="109" fillId="0" borderId="0" xfId="0" applyNumberFormat="1" applyFont="1">
      <alignment vertical="center"/>
    </xf>
    <xf numFmtId="41" fontId="82" fillId="0" borderId="0" xfId="0" applyNumberFormat="1" applyFont="1" applyAlignment="1">
      <alignment horizontal="right" vertical="center"/>
    </xf>
    <xf numFmtId="41" fontId="106" fillId="4" borderId="19" xfId="0" applyNumberFormat="1" applyFont="1" applyFill="1" applyBorder="1" applyAlignment="1">
      <alignment horizontal="center" vertical="center"/>
    </xf>
    <xf numFmtId="41" fontId="106" fillId="4" borderId="60" xfId="0" applyNumberFormat="1" applyFont="1" applyFill="1" applyBorder="1" applyAlignment="1">
      <alignment horizontal="center" vertical="center"/>
    </xf>
    <xf numFmtId="41" fontId="82" fillId="4" borderId="53" xfId="0" applyNumberFormat="1" applyFont="1" applyFill="1" applyBorder="1" applyAlignment="1">
      <alignment horizontal="center" vertical="center"/>
    </xf>
    <xf numFmtId="41" fontId="82" fillId="4" borderId="54" xfId="0" applyNumberFormat="1" applyFont="1" applyFill="1" applyBorder="1" applyAlignment="1">
      <alignment horizontal="center" vertical="center"/>
    </xf>
    <xf numFmtId="41" fontId="114" fillId="4" borderId="17" xfId="0" applyNumberFormat="1" applyFont="1" applyFill="1" applyBorder="1" applyAlignment="1">
      <alignment vertical="center" shrinkToFit="1"/>
    </xf>
    <xf numFmtId="41" fontId="106" fillId="0" borderId="17" xfId="0" applyNumberFormat="1" applyFont="1" applyBorder="1" applyAlignment="1">
      <alignment vertical="center" shrinkToFit="1"/>
    </xf>
    <xf numFmtId="41" fontId="106" fillId="0" borderId="18" xfId="0" applyNumberFormat="1" applyFont="1" applyBorder="1" applyAlignment="1">
      <alignment vertical="center" shrinkToFit="1"/>
    </xf>
    <xf numFmtId="41" fontId="106" fillId="0" borderId="19" xfId="0" applyNumberFormat="1" applyFont="1" applyBorder="1" applyAlignment="1">
      <alignment vertical="center" shrinkToFit="1"/>
    </xf>
    <xf numFmtId="41" fontId="91" fillId="0" borderId="0" xfId="0" applyNumberFormat="1" applyFont="1" applyAlignment="1">
      <alignment horizontal="right" vertical="center"/>
    </xf>
    <xf numFmtId="191" fontId="82" fillId="4" borderId="28" xfId="0" applyNumberFormat="1" applyFont="1" applyFill="1" applyBorder="1" applyAlignment="1">
      <alignment vertical="center" shrinkToFit="1"/>
    </xf>
    <xf numFmtId="41" fontId="91" fillId="3" borderId="60" xfId="0" applyNumberFormat="1" applyFont="1" applyFill="1" applyBorder="1" applyAlignment="1">
      <alignment horizontal="right" vertical="center"/>
    </xf>
    <xf numFmtId="41" fontId="91" fillId="0" borderId="50" xfId="0" applyNumberFormat="1" applyFont="1" applyBorder="1" applyAlignment="1">
      <alignment horizontal="right" vertical="center"/>
    </xf>
    <xf numFmtId="41" fontId="91" fillId="0" borderId="65" xfId="0" applyNumberFormat="1" applyFont="1" applyBorder="1" applyAlignment="1">
      <alignment horizontal="right" vertical="center"/>
    </xf>
    <xf numFmtId="41" fontId="91" fillId="0" borderId="60" xfId="0" applyNumberFormat="1" applyFont="1" applyBorder="1" applyAlignment="1">
      <alignment horizontal="right" vertical="center"/>
    </xf>
    <xf numFmtId="41" fontId="91" fillId="0" borderId="80" xfId="0" applyNumberFormat="1" applyFont="1" applyBorder="1" applyAlignment="1">
      <alignment horizontal="right" vertical="center"/>
    </xf>
    <xf numFmtId="41" fontId="91" fillId="4" borderId="21" xfId="0" applyNumberFormat="1" applyFont="1" applyFill="1" applyBorder="1" applyAlignment="1">
      <alignment horizontal="left" vertical="center" indent="1"/>
    </xf>
    <xf numFmtId="41" fontId="91" fillId="3" borderId="69" xfId="0" applyNumberFormat="1" applyFont="1" applyFill="1" applyBorder="1" applyAlignment="1">
      <alignment horizontal="right" vertical="center"/>
    </xf>
    <xf numFmtId="9" fontId="138" fillId="0" borderId="0" xfId="0" applyNumberFormat="1" applyFont="1">
      <alignment vertical="center"/>
    </xf>
    <xf numFmtId="41" fontId="91" fillId="4" borderId="38" xfId="0" applyNumberFormat="1" applyFont="1" applyFill="1" applyBorder="1" applyAlignment="1">
      <alignment horizontal="left" vertical="center" indent="1"/>
    </xf>
    <xf numFmtId="9" fontId="91" fillId="3" borderId="42" xfId="0" applyNumberFormat="1" applyFont="1" applyFill="1" applyBorder="1">
      <alignment vertical="center"/>
    </xf>
    <xf numFmtId="9" fontId="91" fillId="3" borderId="47" xfId="0" applyNumberFormat="1" applyFont="1" applyFill="1" applyBorder="1">
      <alignment vertical="center"/>
    </xf>
    <xf numFmtId="182" fontId="91" fillId="3" borderId="63" xfId="0" applyNumberFormat="1" applyFont="1" applyFill="1" applyBorder="1">
      <alignment vertical="center"/>
    </xf>
    <xf numFmtId="182" fontId="91" fillId="3" borderId="34" xfId="0" applyNumberFormat="1" applyFont="1" applyFill="1" applyBorder="1">
      <alignment vertical="center"/>
    </xf>
    <xf numFmtId="182" fontId="91" fillId="0" borderId="0" xfId="0" applyNumberFormat="1" applyFont="1">
      <alignment vertical="center"/>
    </xf>
    <xf numFmtId="182" fontId="91" fillId="3" borderId="8" xfId="0" applyNumberFormat="1" applyFont="1" applyFill="1" applyBorder="1">
      <alignment vertical="center"/>
    </xf>
    <xf numFmtId="182" fontId="91" fillId="3" borderId="69" xfId="0" applyNumberFormat="1" applyFont="1" applyFill="1" applyBorder="1">
      <alignment vertical="center"/>
    </xf>
    <xf numFmtId="41" fontId="91" fillId="4" borderId="39" xfId="0" applyNumberFormat="1" applyFont="1" applyFill="1" applyBorder="1" applyAlignment="1">
      <alignment vertical="center" wrapText="1"/>
    </xf>
    <xf numFmtId="182" fontId="91" fillId="3" borderId="39" xfId="0" applyNumberFormat="1" applyFont="1" applyFill="1" applyBorder="1">
      <alignment vertical="center"/>
    </xf>
    <xf numFmtId="182" fontId="91" fillId="3" borderId="6" xfId="0" applyNumberFormat="1" applyFont="1" applyFill="1" applyBorder="1">
      <alignment vertical="center"/>
    </xf>
    <xf numFmtId="182" fontId="91" fillId="3" borderId="48" xfId="0" applyNumberFormat="1" applyFont="1" applyFill="1" applyBorder="1">
      <alignment vertical="center"/>
    </xf>
    <xf numFmtId="182" fontId="91" fillId="3" borderId="33" xfId="0" applyNumberFormat="1" applyFont="1" applyFill="1" applyBorder="1">
      <alignment vertical="center"/>
    </xf>
    <xf numFmtId="41" fontId="114" fillId="4" borderId="30" xfId="0" applyNumberFormat="1" applyFont="1" applyFill="1" applyBorder="1" applyAlignment="1">
      <alignment horizontal="right" vertical="center"/>
    </xf>
    <xf numFmtId="182" fontId="91" fillId="3" borderId="37" xfId="0" applyNumberFormat="1" applyFont="1" applyFill="1" applyBorder="1">
      <alignment vertical="center"/>
    </xf>
    <xf numFmtId="182" fontId="91" fillId="3" borderId="85" xfId="0" applyNumberFormat="1" applyFont="1" applyFill="1" applyBorder="1">
      <alignment vertical="center"/>
    </xf>
    <xf numFmtId="182" fontId="114" fillId="4" borderId="110" xfId="0" applyNumberFormat="1" applyFont="1" applyFill="1" applyBorder="1">
      <alignment vertical="center"/>
    </xf>
    <xf numFmtId="182" fontId="114" fillId="3" borderId="40" xfId="0" applyNumberFormat="1" applyFont="1" applyFill="1" applyBorder="1">
      <alignment vertical="center"/>
    </xf>
    <xf numFmtId="182" fontId="114" fillId="3" borderId="74" xfId="0" applyNumberFormat="1" applyFont="1" applyFill="1" applyBorder="1">
      <alignment vertical="center"/>
    </xf>
    <xf numFmtId="182" fontId="114" fillId="3" borderId="43" xfId="0" applyNumberFormat="1" applyFont="1" applyFill="1" applyBorder="1">
      <alignment vertical="center"/>
    </xf>
    <xf numFmtId="182" fontId="114" fillId="3" borderId="49" xfId="0" applyNumberFormat="1" applyFont="1" applyFill="1" applyBorder="1">
      <alignment vertical="center"/>
    </xf>
    <xf numFmtId="41" fontId="91" fillId="4" borderId="80" xfId="0" applyNumberFormat="1" applyFont="1" applyFill="1" applyBorder="1" applyAlignment="1">
      <alignment horizontal="left" vertical="center" shrinkToFit="1"/>
    </xf>
    <xf numFmtId="182" fontId="91" fillId="3" borderId="65" xfId="0" applyNumberFormat="1" applyFont="1" applyFill="1" applyBorder="1">
      <alignment vertical="center"/>
    </xf>
    <xf numFmtId="182" fontId="91" fillId="3" borderId="60" xfId="0" applyNumberFormat="1" applyFont="1" applyFill="1" applyBorder="1">
      <alignment vertical="center"/>
    </xf>
    <xf numFmtId="182" fontId="91" fillId="3" borderId="50" xfId="0" applyNumberFormat="1" applyFont="1" applyFill="1" applyBorder="1">
      <alignment vertical="center"/>
    </xf>
    <xf numFmtId="182" fontId="82" fillId="3" borderId="60" xfId="0" applyNumberFormat="1" applyFont="1" applyFill="1" applyBorder="1">
      <alignment vertical="center"/>
    </xf>
    <xf numFmtId="182" fontId="82" fillId="3" borderId="80" xfId="0" applyNumberFormat="1" applyFont="1" applyFill="1" applyBorder="1">
      <alignment vertical="center"/>
    </xf>
    <xf numFmtId="182" fontId="82" fillId="3" borderId="65" xfId="0" applyNumberFormat="1" applyFont="1" applyFill="1" applyBorder="1">
      <alignment vertical="center"/>
    </xf>
    <xf numFmtId="182" fontId="106" fillId="4" borderId="25" xfId="0" applyNumberFormat="1" applyFont="1" applyFill="1" applyBorder="1">
      <alignment vertical="center"/>
    </xf>
    <xf numFmtId="41" fontId="91" fillId="4" borderId="38" xfId="0" applyNumberFormat="1" applyFont="1" applyFill="1" applyBorder="1" applyAlignment="1">
      <alignment horizontal="left" vertical="center" shrinkToFit="1"/>
    </xf>
    <xf numFmtId="182" fontId="91" fillId="3" borderId="38" xfId="0" applyNumberFormat="1" applyFont="1" applyFill="1" applyBorder="1">
      <alignment vertical="center"/>
    </xf>
    <xf numFmtId="182" fontId="91" fillId="3" borderId="42" xfId="0" applyNumberFormat="1" applyFont="1" applyFill="1" applyBorder="1">
      <alignment vertical="center"/>
    </xf>
    <xf numFmtId="182" fontId="91" fillId="3" borderId="47" xfId="0" applyNumberFormat="1" applyFont="1" applyFill="1" applyBorder="1">
      <alignment vertical="center"/>
    </xf>
    <xf numFmtId="182" fontId="91" fillId="3" borderId="107" xfId="0" applyNumberFormat="1" applyFont="1" applyFill="1" applyBorder="1">
      <alignment vertical="center"/>
    </xf>
    <xf numFmtId="41" fontId="91" fillId="4" borderId="73" xfId="0" applyNumberFormat="1" applyFont="1" applyFill="1" applyBorder="1" applyAlignment="1">
      <alignment horizontal="left" vertical="center" shrinkToFit="1"/>
    </xf>
    <xf numFmtId="182" fontId="114" fillId="3" borderId="73" xfId="0" applyNumberFormat="1" applyFont="1" applyFill="1" applyBorder="1">
      <alignment vertical="center"/>
    </xf>
    <xf numFmtId="182" fontId="114" fillId="3" borderId="68" xfId="0" applyNumberFormat="1" applyFont="1" applyFill="1" applyBorder="1">
      <alignment vertical="center"/>
    </xf>
    <xf numFmtId="182" fontId="114" fillId="3" borderId="46" xfId="0" applyNumberFormat="1" applyFont="1" applyFill="1" applyBorder="1">
      <alignment vertical="center"/>
    </xf>
    <xf numFmtId="182" fontId="114" fillId="3" borderId="91" xfId="0" applyNumberFormat="1" applyFont="1" applyFill="1" applyBorder="1">
      <alignment vertical="center"/>
    </xf>
    <xf numFmtId="182" fontId="114" fillId="4" borderId="92" xfId="0" applyNumberFormat="1" applyFont="1" applyFill="1" applyBorder="1">
      <alignment vertical="center"/>
    </xf>
    <xf numFmtId="185" fontId="91" fillId="3" borderId="24" xfId="0" applyNumberFormat="1" applyFont="1" applyFill="1" applyBorder="1">
      <alignment vertical="center"/>
    </xf>
    <xf numFmtId="9" fontId="91" fillId="0" borderId="80" xfId="0" applyNumberFormat="1" applyFont="1" applyBorder="1">
      <alignment vertical="center"/>
    </xf>
    <xf numFmtId="9" fontId="91" fillId="0" borderId="65" xfId="0" applyNumberFormat="1" applyFont="1" applyBorder="1">
      <alignment vertical="center"/>
    </xf>
    <xf numFmtId="9" fontId="91" fillId="0" borderId="60" xfId="0" applyNumberFormat="1" applyFont="1" applyBorder="1">
      <alignment vertical="center"/>
    </xf>
    <xf numFmtId="9" fontId="91" fillId="0" borderId="50" xfId="0" applyNumberFormat="1" applyFont="1" applyBorder="1">
      <alignment vertical="center"/>
    </xf>
    <xf numFmtId="9" fontId="114" fillId="4" borderId="25" xfId="0" applyNumberFormat="1" applyFont="1" applyFill="1" applyBorder="1">
      <alignment vertical="center"/>
    </xf>
    <xf numFmtId="9" fontId="91" fillId="0" borderId="21" xfId="0" applyNumberFormat="1" applyFont="1" applyBorder="1">
      <alignment vertical="center"/>
    </xf>
    <xf numFmtId="9" fontId="91" fillId="0" borderId="8" xfId="0" applyNumberFormat="1" applyFont="1" applyBorder="1">
      <alignment vertical="center"/>
    </xf>
    <xf numFmtId="9" fontId="91" fillId="0" borderId="69" xfId="0" applyNumberFormat="1" applyFont="1" applyBorder="1">
      <alignment vertical="center"/>
    </xf>
    <xf numFmtId="9" fontId="114" fillId="4" borderId="24" xfId="0" applyNumberFormat="1" applyFont="1" applyFill="1" applyBorder="1">
      <alignment vertical="center"/>
    </xf>
    <xf numFmtId="0" fontId="91" fillId="4" borderId="38" xfId="0" applyFont="1" applyFill="1" applyBorder="1" applyAlignment="1">
      <alignment horizontal="center" vertical="center"/>
    </xf>
    <xf numFmtId="9" fontId="82" fillId="0" borderId="35" xfId="0" applyNumberFormat="1" applyFont="1" applyBorder="1">
      <alignment vertical="center"/>
    </xf>
    <xf numFmtId="9" fontId="82" fillId="0" borderId="5" xfId="0" applyNumberFormat="1" applyFont="1" applyBorder="1">
      <alignment vertical="center"/>
    </xf>
    <xf numFmtId="9" fontId="82" fillId="0" borderId="47" xfId="0" applyNumberFormat="1" applyFont="1" applyBorder="1">
      <alignment vertical="center"/>
    </xf>
    <xf numFmtId="9" fontId="82" fillId="0" borderId="56" xfId="0" applyNumberFormat="1" applyFont="1" applyBorder="1">
      <alignment vertical="center"/>
    </xf>
    <xf numFmtId="9" fontId="82" fillId="0" borderId="42" xfId="0" applyNumberFormat="1" applyFont="1" applyBorder="1">
      <alignment vertical="center"/>
    </xf>
    <xf numFmtId="9" fontId="91" fillId="0" borderId="44" xfId="0" applyNumberFormat="1" applyFont="1" applyBorder="1">
      <alignment vertical="center"/>
    </xf>
    <xf numFmtId="181" fontId="109" fillId="3" borderId="0" xfId="0" applyNumberFormat="1" applyFont="1" applyFill="1">
      <alignment vertical="center"/>
    </xf>
    <xf numFmtId="181" fontId="91" fillId="3" borderId="0" xfId="0" applyNumberFormat="1" applyFont="1" applyFill="1" applyAlignment="1">
      <alignment vertical="center" shrinkToFit="1"/>
    </xf>
    <xf numFmtId="41" fontId="116" fillId="3" borderId="0" xfId="0" applyNumberFormat="1" applyFont="1" applyFill="1">
      <alignment vertical="center"/>
    </xf>
    <xf numFmtId="181" fontId="91" fillId="3" borderId="0" xfId="0" applyNumberFormat="1" applyFont="1" applyFill="1" applyAlignment="1">
      <alignment horizontal="left" vertical="center" shrinkToFit="1"/>
    </xf>
    <xf numFmtId="181" fontId="91" fillId="3" borderId="0" xfId="0" applyNumberFormat="1" applyFont="1" applyFill="1">
      <alignment vertical="center"/>
    </xf>
    <xf numFmtId="38" fontId="106" fillId="4" borderId="60" xfId="0" applyNumberFormat="1" applyFont="1" applyFill="1" applyBorder="1" applyAlignment="1">
      <alignment horizontal="center" vertical="center"/>
    </xf>
    <xf numFmtId="38" fontId="106" fillId="4" borderId="26" xfId="0" applyNumberFormat="1" applyFont="1" applyFill="1" applyBorder="1" applyAlignment="1">
      <alignment horizontal="center" vertical="center"/>
    </xf>
    <xf numFmtId="38" fontId="114" fillId="4" borderId="27" xfId="0" applyNumberFormat="1" applyFont="1" applyFill="1" applyBorder="1" applyAlignment="1">
      <alignment horizontal="center" vertical="center"/>
    </xf>
    <xf numFmtId="38" fontId="114" fillId="4" borderId="65" xfId="0" applyNumberFormat="1" applyFont="1" applyFill="1" applyBorder="1" applyAlignment="1">
      <alignment horizontal="center" vertical="center"/>
    </xf>
    <xf numFmtId="38" fontId="114" fillId="4" borderId="58" xfId="0" applyNumberFormat="1" applyFont="1" applyFill="1" applyBorder="1" applyAlignment="1">
      <alignment horizontal="center" vertical="center"/>
    </xf>
    <xf numFmtId="38" fontId="114" fillId="4" borderId="60" xfId="0" applyNumberFormat="1" applyFont="1" applyFill="1" applyBorder="1" applyAlignment="1">
      <alignment horizontal="center" vertical="center"/>
    </xf>
    <xf numFmtId="38" fontId="114" fillId="4" borderId="25" xfId="0" applyNumberFormat="1" applyFont="1" applyFill="1" applyBorder="1" applyAlignment="1">
      <alignment horizontal="center" vertical="center"/>
    </xf>
    <xf numFmtId="38" fontId="91" fillId="3" borderId="0" xfId="0" applyNumberFormat="1" applyFont="1" applyFill="1" applyAlignment="1">
      <alignment horizontal="left" vertical="center" shrinkToFit="1"/>
    </xf>
    <xf numFmtId="38" fontId="91" fillId="3" borderId="0" xfId="0" applyNumberFormat="1" applyFont="1" applyFill="1">
      <alignment vertical="center"/>
    </xf>
    <xf numFmtId="38" fontId="122" fillId="4" borderId="80" xfId="0" applyNumberFormat="1" applyFont="1" applyFill="1" applyBorder="1">
      <alignment vertical="center"/>
    </xf>
    <xf numFmtId="38" fontId="106" fillId="3" borderId="60" xfId="0" applyNumberFormat="1" applyFont="1" applyFill="1" applyBorder="1">
      <alignment vertical="center"/>
    </xf>
    <xf numFmtId="38" fontId="106" fillId="3" borderId="26" xfId="0" applyNumberFormat="1" applyFont="1" applyFill="1" applyBorder="1">
      <alignment vertical="center"/>
    </xf>
    <xf numFmtId="38" fontId="114" fillId="3" borderId="27" xfId="0" applyNumberFormat="1" applyFont="1" applyFill="1" applyBorder="1">
      <alignment vertical="center"/>
    </xf>
    <xf numFmtId="38" fontId="114" fillId="3" borderId="65" xfId="0" applyNumberFormat="1" applyFont="1" applyFill="1" applyBorder="1">
      <alignment vertical="center"/>
    </xf>
    <xf numFmtId="38" fontId="114" fillId="3" borderId="58" xfId="0" applyNumberFormat="1" applyFont="1" applyFill="1" applyBorder="1">
      <alignment vertical="center"/>
    </xf>
    <xf numFmtId="38" fontId="114" fillId="3" borderId="60" xfId="0" applyNumberFormat="1" applyFont="1" applyFill="1" applyBorder="1">
      <alignment vertical="center"/>
    </xf>
    <xf numFmtId="38" fontId="114" fillId="4" borderId="25" xfId="0" applyNumberFormat="1" applyFont="1" applyFill="1" applyBorder="1">
      <alignment vertical="center"/>
    </xf>
    <xf numFmtId="38" fontId="124" fillId="3" borderId="0" xfId="0" applyNumberFormat="1" applyFont="1" applyFill="1" applyAlignment="1">
      <alignment horizontal="left" vertical="center" shrinkToFit="1"/>
    </xf>
    <xf numFmtId="38" fontId="124" fillId="3" borderId="0" xfId="0" applyNumberFormat="1" applyFont="1" applyFill="1">
      <alignment vertical="center"/>
    </xf>
    <xf numFmtId="38" fontId="82" fillId="4" borderId="38" xfId="0" applyNumberFormat="1" applyFont="1" applyFill="1" applyBorder="1">
      <alignment vertical="center"/>
    </xf>
    <xf numFmtId="41" fontId="82" fillId="4" borderId="107" xfId="0" applyNumberFormat="1" applyFont="1" applyFill="1" applyBorder="1" applyAlignment="1">
      <alignment vertical="center" shrinkToFit="1"/>
    </xf>
    <xf numFmtId="38" fontId="82" fillId="3" borderId="47" xfId="0" applyNumberFormat="1" applyFont="1" applyFill="1" applyBorder="1">
      <alignment vertical="center"/>
    </xf>
    <xf numFmtId="38" fontId="91" fillId="3" borderId="5" xfId="0" applyNumberFormat="1" applyFont="1" applyFill="1" applyBorder="1">
      <alignment vertical="center"/>
    </xf>
    <xf numFmtId="38" fontId="91" fillId="3" borderId="42" xfId="0" applyNumberFormat="1" applyFont="1" applyFill="1" applyBorder="1">
      <alignment vertical="center"/>
    </xf>
    <xf numFmtId="38" fontId="91" fillId="3" borderId="35" xfId="0" applyNumberFormat="1" applyFont="1" applyFill="1" applyBorder="1">
      <alignment vertical="center"/>
    </xf>
    <xf numFmtId="38" fontId="91" fillId="3" borderId="47" xfId="0" applyNumberFormat="1" applyFont="1" applyFill="1" applyBorder="1">
      <alignment vertical="center"/>
    </xf>
    <xf numFmtId="38" fontId="91" fillId="4" borderId="110" xfId="0" applyNumberFormat="1" applyFont="1" applyFill="1" applyBorder="1">
      <alignment vertical="center"/>
    </xf>
    <xf numFmtId="38" fontId="82" fillId="4" borderId="55" xfId="0" applyNumberFormat="1" applyFont="1" applyFill="1" applyBorder="1" applyAlignment="1">
      <alignment vertical="center" shrinkToFit="1"/>
    </xf>
    <xf numFmtId="41" fontId="82" fillId="4" borderId="8" xfId="0" applyNumberFormat="1" applyFont="1" applyFill="1" applyBorder="1" applyAlignment="1">
      <alignment vertical="center" shrinkToFit="1"/>
    </xf>
    <xf numFmtId="38" fontId="82" fillId="3" borderId="34" xfId="0" applyNumberFormat="1" applyFont="1" applyFill="1" applyBorder="1">
      <alignment vertical="center"/>
    </xf>
    <xf numFmtId="38" fontId="82" fillId="3" borderId="72" xfId="0" applyNumberFormat="1" applyFont="1" applyFill="1" applyBorder="1">
      <alignment vertical="center"/>
    </xf>
    <xf numFmtId="38" fontId="91" fillId="3" borderId="61" xfId="0" applyNumberFormat="1" applyFont="1" applyFill="1" applyBorder="1">
      <alignment vertical="center"/>
    </xf>
    <xf numFmtId="38" fontId="91" fillId="3" borderId="63" xfId="0" applyNumberFormat="1" applyFont="1" applyFill="1" applyBorder="1">
      <alignment vertical="center"/>
    </xf>
    <xf numFmtId="38" fontId="91" fillId="3" borderId="64" xfId="0" applyNumberFormat="1" applyFont="1" applyFill="1" applyBorder="1">
      <alignment vertical="center"/>
    </xf>
    <xf numFmtId="38" fontId="91" fillId="3" borderId="34" xfId="0" applyNumberFormat="1" applyFont="1" applyFill="1" applyBorder="1">
      <alignment vertical="center"/>
    </xf>
    <xf numFmtId="38" fontId="91" fillId="4" borderId="71" xfId="0" applyNumberFormat="1" applyFont="1" applyFill="1" applyBorder="1">
      <alignment vertical="center"/>
    </xf>
    <xf numFmtId="38" fontId="82" fillId="4" borderId="55" xfId="0" applyNumberFormat="1" applyFont="1" applyFill="1" applyBorder="1">
      <alignment vertical="center"/>
    </xf>
    <xf numFmtId="41" fontId="82" fillId="4" borderId="42" xfId="0" applyNumberFormat="1" applyFont="1" applyFill="1" applyBorder="1" applyAlignment="1">
      <alignment vertical="center" shrinkToFit="1"/>
    </xf>
    <xf numFmtId="38" fontId="82" fillId="3" borderId="56" xfId="0" applyNumberFormat="1" applyFont="1" applyFill="1" applyBorder="1">
      <alignment vertical="center"/>
    </xf>
    <xf numFmtId="38" fontId="106" fillId="4" borderId="21" xfId="0" applyNumberFormat="1" applyFont="1" applyFill="1" applyBorder="1">
      <alignment vertical="center"/>
    </xf>
    <xf numFmtId="41" fontId="114" fillId="4" borderId="71" xfId="0" applyNumberFormat="1" applyFont="1" applyFill="1" applyBorder="1" applyAlignment="1">
      <alignment horizontal="center" vertical="center" shrinkToFit="1"/>
    </xf>
    <xf numFmtId="38" fontId="106" fillId="3" borderId="69" xfId="0" applyNumberFormat="1" applyFont="1" applyFill="1" applyBorder="1">
      <alignment vertical="center"/>
    </xf>
    <xf numFmtId="38" fontId="106" fillId="3" borderId="10" xfId="0" applyNumberFormat="1" applyFont="1" applyFill="1" applyBorder="1">
      <alignment vertical="center"/>
    </xf>
    <xf numFmtId="38" fontId="114" fillId="3" borderId="1" xfId="0" applyNumberFormat="1" applyFont="1" applyFill="1" applyBorder="1">
      <alignment vertical="center"/>
    </xf>
    <xf numFmtId="38" fontId="114" fillId="3" borderId="8" xfId="0" applyNumberFormat="1" applyFont="1" applyFill="1" applyBorder="1">
      <alignment vertical="center"/>
    </xf>
    <xf numFmtId="38" fontId="114" fillId="3" borderId="55" xfId="0" applyNumberFormat="1" applyFont="1" applyFill="1" applyBorder="1">
      <alignment vertical="center"/>
    </xf>
    <xf numFmtId="38" fontId="114" fillId="3" borderId="69" xfId="0" applyNumberFormat="1" applyFont="1" applyFill="1" applyBorder="1">
      <alignment vertical="center"/>
    </xf>
    <xf numFmtId="38" fontId="114" fillId="4" borderId="24" xfId="0" applyNumberFormat="1" applyFont="1" applyFill="1" applyBorder="1">
      <alignment vertical="center"/>
    </xf>
    <xf numFmtId="38" fontId="114" fillId="3" borderId="0" xfId="0" applyNumberFormat="1" applyFont="1" applyFill="1" applyAlignment="1">
      <alignment horizontal="left" vertical="center" shrinkToFit="1"/>
    </xf>
    <xf numFmtId="38" fontId="114" fillId="3" borderId="0" xfId="0" applyNumberFormat="1" applyFont="1" applyFill="1">
      <alignment vertical="center"/>
    </xf>
    <xf numFmtId="38" fontId="82" fillId="4" borderId="64" xfId="0" applyNumberFormat="1" applyFont="1" applyFill="1" applyBorder="1">
      <alignment vertical="center"/>
    </xf>
    <xf numFmtId="41" fontId="82" fillId="4" borderId="34" xfId="0" applyNumberFormat="1" applyFont="1" applyFill="1" applyBorder="1" applyAlignment="1">
      <alignment vertical="center" shrinkToFit="1"/>
    </xf>
    <xf numFmtId="41" fontId="82" fillId="4" borderId="69" xfId="0" applyNumberFormat="1" applyFont="1" applyFill="1" applyBorder="1" applyAlignment="1">
      <alignment vertical="center" shrinkToFit="1"/>
    </xf>
    <xf numFmtId="181" fontId="114" fillId="4" borderId="71" xfId="0" applyNumberFormat="1" applyFont="1" applyFill="1" applyBorder="1" applyAlignment="1">
      <alignment horizontal="center" vertical="center" shrinkToFit="1"/>
    </xf>
    <xf numFmtId="38" fontId="106" fillId="3" borderId="34" xfId="0" applyNumberFormat="1" applyFont="1" applyFill="1" applyBorder="1">
      <alignment vertical="center"/>
    </xf>
    <xf numFmtId="38" fontId="106" fillId="3" borderId="72" xfId="0" applyNumberFormat="1" applyFont="1" applyFill="1" applyBorder="1">
      <alignment vertical="center"/>
    </xf>
    <xf numFmtId="38" fontId="114" fillId="3" borderId="61" xfId="0" applyNumberFormat="1" applyFont="1" applyFill="1" applyBorder="1">
      <alignment vertical="center"/>
    </xf>
    <xf numFmtId="38" fontId="114" fillId="3" borderId="63" xfId="0" applyNumberFormat="1" applyFont="1" applyFill="1" applyBorder="1">
      <alignment vertical="center"/>
    </xf>
    <xf numFmtId="38" fontId="114" fillId="3" borderId="64" xfId="0" applyNumberFormat="1" applyFont="1" applyFill="1" applyBorder="1">
      <alignment vertical="center"/>
    </xf>
    <xf numFmtId="38" fontId="114" fillId="3" borderId="34" xfId="0" applyNumberFormat="1" applyFont="1" applyFill="1" applyBorder="1">
      <alignment vertical="center"/>
    </xf>
    <xf numFmtId="38" fontId="114" fillId="4" borderId="71" xfId="0" applyNumberFormat="1" applyFont="1" applyFill="1" applyBorder="1">
      <alignment vertical="center"/>
    </xf>
    <xf numFmtId="38" fontId="106" fillId="4" borderId="15" xfId="0" applyNumberFormat="1" applyFont="1" applyFill="1" applyBorder="1" applyAlignment="1">
      <alignment horizontal="center" vertical="center"/>
    </xf>
    <xf numFmtId="38" fontId="106" fillId="4" borderId="45" xfId="0" applyNumberFormat="1" applyFont="1" applyFill="1" applyBorder="1" applyAlignment="1">
      <alignment horizontal="center" vertical="center" shrinkToFit="1"/>
    </xf>
    <xf numFmtId="38" fontId="106" fillId="4" borderId="17" xfId="0" applyNumberFormat="1" applyFont="1" applyFill="1" applyBorder="1">
      <alignment vertical="center"/>
    </xf>
    <xf numFmtId="38" fontId="106" fillId="4" borderId="20" xfId="0" applyNumberFormat="1" applyFont="1" applyFill="1" applyBorder="1">
      <alignment vertical="center"/>
    </xf>
    <xf numFmtId="38" fontId="106" fillId="4" borderId="67" xfId="0" applyNumberFormat="1" applyFont="1" applyFill="1" applyBorder="1">
      <alignment vertical="center"/>
    </xf>
    <xf numFmtId="38" fontId="106" fillId="4" borderId="18" xfId="0" applyNumberFormat="1" applyFont="1" applyFill="1" applyBorder="1">
      <alignment vertical="center"/>
    </xf>
    <xf numFmtId="38" fontId="106" fillId="4" borderId="19" xfId="0" applyNumberFormat="1" applyFont="1" applyFill="1" applyBorder="1">
      <alignment vertical="center"/>
    </xf>
    <xf numFmtId="38" fontId="106" fillId="4" borderId="16" xfId="0" applyNumberFormat="1" applyFont="1" applyFill="1" applyBorder="1">
      <alignment vertical="center"/>
    </xf>
    <xf numFmtId="181" fontId="132" fillId="3" borderId="0" xfId="0" applyNumberFormat="1" applyFont="1" applyFill="1">
      <alignment vertical="center"/>
    </xf>
    <xf numFmtId="181" fontId="132" fillId="3" borderId="0" xfId="0" applyNumberFormat="1" applyFont="1" applyFill="1" applyAlignment="1">
      <alignment vertical="center" shrinkToFit="1"/>
    </xf>
    <xf numFmtId="41" fontId="122" fillId="3" borderId="0" xfId="0" applyNumberFormat="1" applyFont="1" applyFill="1">
      <alignment vertical="center"/>
    </xf>
    <xf numFmtId="41" fontId="132" fillId="3" borderId="0" xfId="0" applyNumberFormat="1" applyFont="1" applyFill="1">
      <alignment vertical="center"/>
    </xf>
    <xf numFmtId="181" fontId="124" fillId="3" borderId="0" xfId="0" applyNumberFormat="1" applyFont="1" applyFill="1" applyAlignment="1">
      <alignment horizontal="left" vertical="center" shrinkToFit="1"/>
    </xf>
    <xf numFmtId="181" fontId="124" fillId="3" borderId="0" xfId="0" applyNumberFormat="1" applyFont="1" applyFill="1">
      <alignment vertical="center"/>
    </xf>
    <xf numFmtId="181" fontId="91" fillId="3" borderId="0" xfId="0" applyNumberFormat="1" applyFont="1" applyFill="1" applyAlignment="1">
      <alignment horizontal="right" vertical="center" shrinkToFit="1"/>
    </xf>
    <xf numFmtId="3" fontId="114" fillId="3" borderId="0" xfId="0" applyNumberFormat="1" applyFont="1" applyFill="1">
      <alignment vertical="center"/>
    </xf>
    <xf numFmtId="181" fontId="114" fillId="3" borderId="0" xfId="0" applyNumberFormat="1" applyFont="1" applyFill="1">
      <alignment vertical="center"/>
    </xf>
    <xf numFmtId="41" fontId="82" fillId="10" borderId="19" xfId="0" applyNumberFormat="1" applyFont="1" applyFill="1" applyBorder="1">
      <alignment vertical="center"/>
    </xf>
    <xf numFmtId="41" fontId="82" fillId="10" borderId="17" xfId="0" applyNumberFormat="1" applyFont="1" applyFill="1" applyBorder="1">
      <alignment vertical="center"/>
    </xf>
    <xf numFmtId="41" fontId="91" fillId="10" borderId="18" xfId="0" applyNumberFormat="1" applyFont="1" applyFill="1" applyBorder="1">
      <alignment vertical="center"/>
    </xf>
    <xf numFmtId="41" fontId="91" fillId="10" borderId="19" xfId="0" applyNumberFormat="1" applyFont="1" applyFill="1" applyBorder="1">
      <alignment vertical="center"/>
    </xf>
    <xf numFmtId="41" fontId="91" fillId="10" borderId="17" xfId="0" applyNumberFormat="1" applyFont="1" applyFill="1" applyBorder="1">
      <alignment vertical="center"/>
    </xf>
    <xf numFmtId="41" fontId="91" fillId="4" borderId="29" xfId="0" applyNumberFormat="1" applyFont="1" applyFill="1" applyBorder="1" applyAlignment="1">
      <alignment vertical="center" shrinkToFit="1"/>
    </xf>
    <xf numFmtId="41" fontId="82" fillId="4" borderId="89" xfId="0" applyNumberFormat="1" applyFont="1" applyFill="1" applyBorder="1">
      <alignment vertical="center"/>
    </xf>
    <xf numFmtId="41" fontId="82" fillId="0" borderId="88" xfId="0" applyNumberFormat="1" applyFont="1" applyBorder="1">
      <alignment vertical="center"/>
    </xf>
    <xf numFmtId="41" fontId="82" fillId="0" borderId="89" xfId="0" applyNumberFormat="1" applyFont="1" applyBorder="1">
      <alignment vertical="center"/>
    </xf>
    <xf numFmtId="41" fontId="82" fillId="0" borderId="9" xfId="0" applyNumberFormat="1" applyFont="1" applyBorder="1">
      <alignment vertical="center"/>
    </xf>
    <xf numFmtId="41" fontId="82" fillId="4" borderId="106" xfId="0" applyNumberFormat="1" applyFont="1" applyFill="1" applyBorder="1" applyAlignment="1">
      <alignment vertical="center" shrinkToFit="1"/>
    </xf>
    <xf numFmtId="3" fontId="119" fillId="3" borderId="0" xfId="0" applyNumberFormat="1" applyFont="1" applyFill="1">
      <alignment vertical="center"/>
    </xf>
    <xf numFmtId="41" fontId="91" fillId="4" borderId="22" xfId="0" applyNumberFormat="1" applyFont="1" applyFill="1" applyBorder="1">
      <alignment vertical="center"/>
    </xf>
    <xf numFmtId="41" fontId="91" fillId="3" borderId="3" xfId="0" applyNumberFormat="1" applyFont="1" applyFill="1" applyBorder="1">
      <alignment vertical="center"/>
    </xf>
    <xf numFmtId="41" fontId="91" fillId="3" borderId="22" xfId="0" applyNumberFormat="1" applyFont="1" applyFill="1" applyBorder="1">
      <alignment vertical="center"/>
    </xf>
    <xf numFmtId="41" fontId="91" fillId="3" borderId="23" xfId="0" applyNumberFormat="1" applyFont="1" applyFill="1" applyBorder="1">
      <alignment vertical="center"/>
    </xf>
    <xf numFmtId="41" fontId="82" fillId="0" borderId="22" xfId="0" applyNumberFormat="1" applyFont="1" applyBorder="1">
      <alignment vertical="center"/>
    </xf>
    <xf numFmtId="41" fontId="91" fillId="0" borderId="22" xfId="0" applyNumberFormat="1" applyFont="1" applyBorder="1">
      <alignment vertical="center"/>
    </xf>
    <xf numFmtId="41" fontId="91" fillId="3" borderId="121" xfId="0" applyNumberFormat="1" applyFont="1" applyFill="1" applyBorder="1">
      <alignment vertical="center"/>
    </xf>
    <xf numFmtId="41" fontId="82" fillId="0" borderId="23" xfId="0" applyNumberFormat="1" applyFont="1" applyBorder="1">
      <alignment vertical="center"/>
    </xf>
    <xf numFmtId="41" fontId="82" fillId="0" borderId="121" xfId="0" applyNumberFormat="1" applyFont="1" applyBorder="1">
      <alignment vertical="center"/>
    </xf>
    <xf numFmtId="41" fontId="91" fillId="0" borderId="126" xfId="0" applyNumberFormat="1" applyFont="1" applyBorder="1">
      <alignment vertical="center"/>
    </xf>
    <xf numFmtId="41" fontId="91" fillId="0" borderId="79" xfId="0" applyNumberFormat="1" applyFont="1" applyBorder="1">
      <alignment vertical="center"/>
    </xf>
    <xf numFmtId="41" fontId="82" fillId="0" borderId="86" xfId="0" applyNumberFormat="1" applyFont="1" applyBorder="1">
      <alignment vertical="center"/>
    </xf>
    <xf numFmtId="41" fontId="82" fillId="0" borderId="54" xfId="0" applyNumberFormat="1" applyFont="1" applyBorder="1">
      <alignment vertical="center"/>
    </xf>
    <xf numFmtId="41" fontId="82" fillId="4" borderId="91" xfId="0" applyNumberFormat="1" applyFont="1" applyFill="1" applyBorder="1">
      <alignment vertical="center"/>
    </xf>
    <xf numFmtId="181" fontId="114" fillId="4" borderId="70" xfId="0" applyNumberFormat="1" applyFont="1" applyFill="1" applyBorder="1" applyAlignment="1">
      <alignment horizontal="center" vertical="center" shrinkToFit="1"/>
    </xf>
    <xf numFmtId="41" fontId="106" fillId="0" borderId="78" xfId="0" applyNumberFormat="1" applyFont="1" applyBorder="1">
      <alignment vertical="center"/>
    </xf>
    <xf numFmtId="41" fontId="106" fillId="0" borderId="49" xfId="0" applyNumberFormat="1" applyFont="1" applyBorder="1">
      <alignment vertical="center"/>
    </xf>
    <xf numFmtId="41" fontId="106" fillId="0" borderId="40" xfId="0" applyNumberFormat="1" applyFont="1" applyBorder="1">
      <alignment vertical="center"/>
    </xf>
    <xf numFmtId="41" fontId="114" fillId="0" borderId="77" xfId="0" applyNumberFormat="1" applyFont="1" applyBorder="1">
      <alignment vertical="center"/>
    </xf>
    <xf numFmtId="41" fontId="114" fillId="0" borderId="76" xfId="0" applyNumberFormat="1" applyFont="1" applyBorder="1">
      <alignment vertical="center"/>
    </xf>
    <xf numFmtId="41" fontId="114" fillId="0" borderId="49" xfId="0" applyNumberFormat="1" applyFont="1" applyBorder="1">
      <alignment vertical="center"/>
    </xf>
    <xf numFmtId="41" fontId="114" fillId="4" borderId="75" xfId="0" applyNumberFormat="1" applyFont="1" applyFill="1" applyBorder="1" applyAlignment="1">
      <alignment vertical="center" shrinkToFit="1"/>
    </xf>
    <xf numFmtId="41" fontId="82" fillId="3" borderId="90" xfId="0" applyNumberFormat="1" applyFont="1" applyFill="1" applyBorder="1">
      <alignment vertical="center"/>
    </xf>
    <xf numFmtId="181" fontId="124" fillId="4" borderId="21" xfId="0" applyNumberFormat="1" applyFont="1" applyFill="1" applyBorder="1">
      <alignment vertical="center"/>
    </xf>
    <xf numFmtId="41" fontId="91" fillId="4" borderId="22" xfId="0" applyNumberFormat="1" applyFont="1" applyFill="1" applyBorder="1" applyAlignment="1">
      <alignment vertical="center" shrinkToFit="1"/>
    </xf>
    <xf numFmtId="181" fontId="136" fillId="4" borderId="21" xfId="0" applyNumberFormat="1" applyFont="1" applyFill="1" applyBorder="1">
      <alignment vertical="center"/>
    </xf>
    <xf numFmtId="185" fontId="82" fillId="3" borderId="23" xfId="0" applyNumberFormat="1" applyFont="1" applyFill="1" applyBorder="1">
      <alignment vertical="center"/>
    </xf>
    <xf numFmtId="185" fontId="82" fillId="3" borderId="89" xfId="0" applyNumberFormat="1" applyFont="1" applyFill="1" applyBorder="1">
      <alignment vertical="center"/>
    </xf>
    <xf numFmtId="41" fontId="82" fillId="4" borderId="130" xfId="0" applyNumberFormat="1" applyFont="1" applyFill="1" applyBorder="1" applyAlignment="1">
      <alignment vertical="center" shrinkToFit="1"/>
    </xf>
    <xf numFmtId="41" fontId="82" fillId="0" borderId="11" xfId="0" applyNumberFormat="1" applyFont="1" applyBorder="1">
      <alignment vertical="center"/>
    </xf>
    <xf numFmtId="41" fontId="82" fillId="0" borderId="120" xfId="0" applyNumberFormat="1" applyFont="1" applyBorder="1">
      <alignment vertical="center"/>
    </xf>
    <xf numFmtId="41" fontId="91" fillId="4" borderId="129" xfId="0" applyNumberFormat="1" applyFont="1" applyFill="1" applyBorder="1" applyAlignment="1">
      <alignment vertical="center" shrinkToFit="1"/>
    </xf>
    <xf numFmtId="41" fontId="114" fillId="0" borderId="78" xfId="0" applyNumberFormat="1" applyFont="1" applyBorder="1">
      <alignment vertical="center"/>
    </xf>
    <xf numFmtId="181" fontId="114" fillId="4" borderId="15" xfId="0" applyNumberFormat="1" applyFont="1" applyFill="1" applyBorder="1" applyAlignment="1">
      <alignment horizontal="center" vertical="center"/>
    </xf>
    <xf numFmtId="181" fontId="114" fillId="4" borderId="16" xfId="0" applyNumberFormat="1" applyFont="1" applyFill="1" applyBorder="1" applyAlignment="1">
      <alignment horizontal="center" vertical="center"/>
    </xf>
    <xf numFmtId="41" fontId="82" fillId="0" borderId="60" xfId="0" applyNumberFormat="1" applyFont="1" applyBorder="1">
      <alignment vertical="center"/>
    </xf>
    <xf numFmtId="0" fontId="138" fillId="3" borderId="0" xfId="0" applyFont="1" applyFill="1">
      <alignment vertical="center"/>
    </xf>
    <xf numFmtId="0" fontId="138" fillId="3" borderId="0" xfId="0" applyFont="1" applyFill="1" applyAlignment="1">
      <alignment horizontal="center" vertical="center"/>
    </xf>
    <xf numFmtId="0" fontId="112" fillId="3" borderId="0" xfId="0" applyFont="1" applyFill="1" applyAlignment="1">
      <alignment horizontal="left" vertical="top"/>
    </xf>
    <xf numFmtId="186" fontId="141" fillId="3" borderId="0" xfId="0" applyNumberFormat="1" applyFont="1" applyFill="1">
      <alignment vertical="center"/>
    </xf>
    <xf numFmtId="186" fontId="141" fillId="3" borderId="0" xfId="0" applyNumberFormat="1" applyFont="1" applyFill="1" applyAlignment="1">
      <alignment horizontal="center" vertical="center"/>
    </xf>
    <xf numFmtId="41" fontId="91" fillId="4" borderId="55" xfId="0" applyNumberFormat="1" applyFont="1" applyFill="1" applyBorder="1" applyAlignment="1">
      <alignment horizontal="center" vertical="center"/>
    </xf>
    <xf numFmtId="180" fontId="91" fillId="4" borderId="1" xfId="0" applyNumberFormat="1" applyFont="1" applyFill="1" applyBorder="1" applyAlignment="1">
      <alignment horizontal="center" vertical="center"/>
    </xf>
    <xf numFmtId="41" fontId="91" fillId="4" borderId="64" xfId="0" applyNumberFormat="1" applyFont="1" applyFill="1" applyBorder="1" applyAlignment="1">
      <alignment horizontal="center" vertical="center"/>
    </xf>
    <xf numFmtId="41" fontId="91" fillId="4" borderId="12" xfId="0" applyNumberFormat="1" applyFont="1" applyFill="1" applyBorder="1" applyAlignment="1">
      <alignment horizontal="center" vertical="center"/>
    </xf>
    <xf numFmtId="41" fontId="91" fillId="4" borderId="62" xfId="0" applyNumberFormat="1" applyFont="1" applyFill="1" applyBorder="1" applyAlignment="1">
      <alignment horizontal="center" vertical="center"/>
    </xf>
    <xf numFmtId="41" fontId="91" fillId="4" borderId="30" xfId="0" applyNumberFormat="1" applyFont="1" applyFill="1" applyBorder="1" applyAlignment="1">
      <alignment horizontal="center" vertical="center"/>
    </xf>
    <xf numFmtId="41" fontId="82" fillId="4" borderId="0" xfId="0" applyNumberFormat="1" applyFont="1" applyFill="1" applyAlignment="1">
      <alignment horizontal="center" vertical="center"/>
    </xf>
    <xf numFmtId="41" fontId="114" fillId="13" borderId="19" xfId="0" applyNumberFormat="1" applyFont="1" applyFill="1" applyBorder="1">
      <alignment vertical="center"/>
    </xf>
    <xf numFmtId="41" fontId="114" fillId="13" borderId="15" xfId="0" applyNumberFormat="1" applyFont="1" applyFill="1" applyBorder="1">
      <alignment vertical="center"/>
    </xf>
    <xf numFmtId="41" fontId="114" fillId="13" borderId="45" xfId="0" applyNumberFormat="1" applyFont="1" applyFill="1" applyBorder="1">
      <alignment vertical="center"/>
    </xf>
    <xf numFmtId="41" fontId="114" fillId="13" borderId="18" xfId="0" applyNumberFormat="1" applyFont="1" applyFill="1" applyBorder="1">
      <alignment vertical="center"/>
    </xf>
    <xf numFmtId="41" fontId="114" fillId="13" borderId="19" xfId="0" applyNumberFormat="1" applyFont="1" applyFill="1" applyBorder="1" applyAlignment="1">
      <alignment horizontal="center" vertical="center"/>
    </xf>
    <xf numFmtId="41" fontId="114" fillId="13" borderId="17" xfId="0" applyNumberFormat="1" applyFont="1" applyFill="1" applyBorder="1">
      <alignment vertical="center"/>
    </xf>
    <xf numFmtId="41" fontId="114" fillId="13" borderId="67" xfId="0" applyNumberFormat="1" applyFont="1" applyFill="1" applyBorder="1">
      <alignment vertical="center"/>
    </xf>
    <xf numFmtId="41" fontId="114" fillId="13" borderId="29" xfId="0" applyNumberFormat="1" applyFont="1" applyFill="1" applyBorder="1">
      <alignment vertical="center"/>
    </xf>
    <xf numFmtId="41" fontId="142" fillId="3" borderId="0" xfId="0" applyNumberFormat="1" applyFont="1" applyFill="1" applyAlignment="1">
      <alignment horizontal="center" vertical="center"/>
    </xf>
    <xf numFmtId="41" fontId="142" fillId="3" borderId="0" xfId="0" applyNumberFormat="1" applyFont="1" applyFill="1">
      <alignment vertical="center"/>
    </xf>
    <xf numFmtId="0" fontId="134" fillId="3" borderId="0" xfId="0" applyFont="1" applyFill="1">
      <alignment vertical="center"/>
    </xf>
    <xf numFmtId="186" fontId="138" fillId="3" borderId="0" xfId="0" applyNumberFormat="1" applyFont="1" applyFill="1">
      <alignment vertical="center"/>
    </xf>
    <xf numFmtId="185" fontId="91" fillId="4" borderId="34" xfId="0" applyNumberFormat="1" applyFont="1" applyFill="1" applyBorder="1" applyAlignment="1">
      <alignment horizontal="center" vertical="center"/>
    </xf>
    <xf numFmtId="41" fontId="91" fillId="4" borderId="76" xfId="0" applyNumberFormat="1" applyFont="1" applyFill="1" applyBorder="1" applyAlignment="1">
      <alignment horizontal="left" vertical="center"/>
    </xf>
    <xf numFmtId="185" fontId="91" fillId="4" borderId="33" xfId="0" applyNumberFormat="1" applyFont="1" applyFill="1" applyBorder="1" applyAlignment="1">
      <alignment horizontal="center" vertical="center"/>
    </xf>
    <xf numFmtId="185" fontId="82" fillId="4" borderId="69" xfId="0" applyNumberFormat="1" applyFont="1" applyFill="1" applyBorder="1" applyAlignment="1">
      <alignment horizontal="center" vertical="center"/>
    </xf>
    <xf numFmtId="41" fontId="106" fillId="13" borderId="19" xfId="0" applyNumberFormat="1" applyFont="1" applyFill="1" applyBorder="1">
      <alignment vertical="center"/>
    </xf>
    <xf numFmtId="41" fontId="106" fillId="13" borderId="15" xfId="0" applyNumberFormat="1" applyFont="1" applyFill="1" applyBorder="1">
      <alignment vertical="center"/>
    </xf>
    <xf numFmtId="41" fontId="106" fillId="13" borderId="45" xfId="0" applyNumberFormat="1" applyFont="1" applyFill="1" applyBorder="1">
      <alignment vertical="center"/>
    </xf>
    <xf numFmtId="41" fontId="106" fillId="13" borderId="18" xfId="0" applyNumberFormat="1" applyFont="1" applyFill="1" applyBorder="1">
      <alignment vertical="center"/>
    </xf>
    <xf numFmtId="41" fontId="106" fillId="13" borderId="19" xfId="0" applyNumberFormat="1" applyFont="1" applyFill="1" applyBorder="1" applyAlignment="1">
      <alignment horizontal="center" vertical="center"/>
    </xf>
    <xf numFmtId="41" fontId="106" fillId="13" borderId="17" xfId="0" applyNumberFormat="1" applyFont="1" applyFill="1" applyBorder="1">
      <alignment vertical="center"/>
    </xf>
    <xf numFmtId="41" fontId="121" fillId="13" borderId="29" xfId="0" applyNumberFormat="1" applyFont="1" applyFill="1" applyBorder="1">
      <alignment vertical="center"/>
    </xf>
    <xf numFmtId="41" fontId="106" fillId="3" borderId="45" xfId="0" applyNumberFormat="1" applyFont="1" applyFill="1" applyBorder="1" applyAlignment="1">
      <alignment horizontal="center" vertical="center"/>
    </xf>
    <xf numFmtId="41" fontId="106" fillId="3" borderId="45" xfId="0" applyNumberFormat="1" applyFont="1" applyFill="1" applyBorder="1">
      <alignment vertical="center"/>
    </xf>
    <xf numFmtId="41" fontId="121" fillId="3" borderId="45" xfId="0" applyNumberFormat="1" applyFont="1" applyFill="1" applyBorder="1">
      <alignment vertical="center"/>
    </xf>
    <xf numFmtId="41" fontId="114" fillId="10" borderId="19" xfId="0" applyNumberFormat="1" applyFont="1" applyFill="1" applyBorder="1">
      <alignment vertical="center"/>
    </xf>
    <xf numFmtId="41" fontId="114" fillId="10" borderId="15" xfId="0" applyNumberFormat="1" applyFont="1" applyFill="1" applyBorder="1">
      <alignment vertical="center"/>
    </xf>
    <xf numFmtId="41" fontId="114" fillId="10" borderId="45" xfId="0" applyNumberFormat="1" applyFont="1" applyFill="1" applyBorder="1">
      <alignment vertical="center"/>
    </xf>
    <xf numFmtId="41" fontId="114" fillId="10" borderId="18" xfId="0" applyNumberFormat="1" applyFont="1" applyFill="1" applyBorder="1">
      <alignment vertical="center"/>
    </xf>
    <xf numFmtId="41" fontId="114" fillId="10" borderId="19" xfId="0" applyNumberFormat="1" applyFont="1" applyFill="1" applyBorder="1" applyAlignment="1">
      <alignment horizontal="center" vertical="center"/>
    </xf>
    <xf numFmtId="41" fontId="114" fillId="10" borderId="17" xfId="0" applyNumberFormat="1" applyFont="1" applyFill="1" applyBorder="1">
      <alignment vertical="center"/>
    </xf>
    <xf numFmtId="41" fontId="114" fillId="10" borderId="29" xfId="0" applyNumberFormat="1" applyFont="1" applyFill="1" applyBorder="1">
      <alignment vertical="center"/>
    </xf>
    <xf numFmtId="0" fontId="110" fillId="3" borderId="0" xfId="0" applyFont="1" applyFill="1" applyAlignment="1">
      <alignment horizontal="left" vertical="center"/>
    </xf>
    <xf numFmtId="9" fontId="91" fillId="0" borderId="0" xfId="0" applyNumberFormat="1" applyFont="1" applyAlignment="1">
      <alignment horizontal="center" vertical="center"/>
    </xf>
    <xf numFmtId="182" fontId="91" fillId="2" borderId="28" xfId="0" applyNumberFormat="1" applyFont="1" applyFill="1" applyBorder="1">
      <alignment vertical="center"/>
    </xf>
    <xf numFmtId="182" fontId="91" fillId="0" borderId="28" xfId="0" applyNumberFormat="1" applyFont="1" applyBorder="1">
      <alignment vertical="center"/>
    </xf>
    <xf numFmtId="0" fontId="134" fillId="0" borderId="0" xfId="0" applyFont="1">
      <alignment vertical="center"/>
    </xf>
    <xf numFmtId="9" fontId="114" fillId="4" borderId="28" xfId="0" applyNumberFormat="1" applyFont="1" applyFill="1" applyBorder="1" applyAlignment="1">
      <alignment horizontal="center" vertical="center" wrapText="1"/>
    </xf>
    <xf numFmtId="193" fontId="114" fillId="4" borderId="28" xfId="0" applyNumberFormat="1" applyFont="1" applyFill="1" applyBorder="1" applyAlignment="1">
      <alignment horizontal="center" vertical="center" wrapText="1"/>
    </xf>
    <xf numFmtId="196" fontId="114" fillId="4" borderId="61" xfId="0" applyNumberFormat="1" applyFont="1" applyFill="1" applyBorder="1" applyAlignment="1">
      <alignment horizontal="center" vertical="center" wrapText="1"/>
    </xf>
    <xf numFmtId="180" fontId="114" fillId="4" borderId="61" xfId="0" applyNumberFormat="1" applyFont="1" applyFill="1" applyBorder="1" applyAlignment="1">
      <alignment horizontal="center" vertical="center" wrapText="1"/>
    </xf>
    <xf numFmtId="41" fontId="114" fillId="4" borderId="28" xfId="0" applyNumberFormat="1" applyFont="1" applyFill="1" applyBorder="1" applyAlignment="1">
      <alignment horizontal="center" vertical="center" wrapText="1"/>
    </xf>
    <xf numFmtId="212" fontId="114" fillId="4" borderId="61" xfId="0" applyNumberFormat="1" applyFont="1" applyFill="1" applyBorder="1" applyAlignment="1">
      <alignment horizontal="center" vertical="center" wrapText="1"/>
    </xf>
    <xf numFmtId="211" fontId="91" fillId="0" borderId="28" xfId="0" applyNumberFormat="1" applyFont="1" applyBorder="1">
      <alignment vertical="center"/>
    </xf>
    <xf numFmtId="9" fontId="91" fillId="0" borderId="28" xfId="0" applyNumberFormat="1" applyFont="1" applyBorder="1" applyAlignment="1">
      <alignment horizontal="center" vertical="center"/>
    </xf>
    <xf numFmtId="180" fontId="91" fillId="0" borderId="28" xfId="0" applyNumberFormat="1" applyFont="1" applyBorder="1">
      <alignment vertical="center"/>
    </xf>
    <xf numFmtId="41" fontId="91" fillId="0" borderId="28" xfId="0" applyNumberFormat="1" applyFont="1" applyBorder="1">
      <alignment vertical="center"/>
    </xf>
    <xf numFmtId="210" fontId="91" fillId="0" borderId="28" xfId="0" applyNumberFormat="1" applyFont="1" applyBorder="1">
      <alignment vertical="center"/>
    </xf>
    <xf numFmtId="212" fontId="91" fillId="0" borderId="28" xfId="0" applyNumberFormat="1" applyFont="1" applyBorder="1">
      <alignment vertical="center"/>
    </xf>
    <xf numFmtId="0" fontId="91" fillId="2" borderId="28" xfId="0" applyFont="1" applyFill="1" applyBorder="1">
      <alignment vertical="center"/>
    </xf>
    <xf numFmtId="9" fontId="91" fillId="2" borderId="28" xfId="0" applyNumberFormat="1" applyFont="1" applyFill="1" applyBorder="1" applyAlignment="1">
      <alignment horizontal="center" vertical="center"/>
    </xf>
    <xf numFmtId="210" fontId="91" fillId="2" borderId="28" xfId="0" applyNumberFormat="1" applyFont="1" applyFill="1" applyBorder="1">
      <alignment vertical="center"/>
    </xf>
    <xf numFmtId="212" fontId="91" fillId="2" borderId="28" xfId="0" applyNumberFormat="1" applyFont="1" applyFill="1" applyBorder="1">
      <alignment vertical="center"/>
    </xf>
    <xf numFmtId="180" fontId="91" fillId="2" borderId="28" xfId="0" applyNumberFormat="1" applyFont="1" applyFill="1" applyBorder="1">
      <alignment vertical="center"/>
    </xf>
    <xf numFmtId="211" fontId="91" fillId="2" borderId="28" xfId="0" applyNumberFormat="1" applyFont="1" applyFill="1" applyBorder="1">
      <alignment vertical="center"/>
    </xf>
    <xf numFmtId="41" fontId="106" fillId="4" borderId="46" xfId="0" applyNumberFormat="1" applyFont="1" applyFill="1" applyBorder="1" applyAlignment="1">
      <alignment horizontal="center" vertical="center"/>
    </xf>
    <xf numFmtId="41" fontId="84" fillId="29" borderId="29" xfId="0" applyNumberFormat="1" applyFont="1" applyFill="1" applyBorder="1" applyAlignment="1">
      <alignment horizontal="right" vertical="center"/>
    </xf>
    <xf numFmtId="41" fontId="84" fillId="29" borderId="29" xfId="0" applyNumberFormat="1" applyFont="1" applyFill="1" applyBorder="1" applyAlignment="1">
      <alignment horizontal="center" vertical="center"/>
    </xf>
    <xf numFmtId="9" fontId="84" fillId="29" borderId="29" xfId="0" applyNumberFormat="1" applyFont="1" applyFill="1" applyBorder="1" applyAlignment="1">
      <alignment horizontal="center" vertical="center"/>
    </xf>
    <xf numFmtId="41" fontId="106" fillId="4" borderId="15" xfId="0" applyNumberFormat="1" applyFont="1" applyFill="1" applyBorder="1" applyAlignment="1">
      <alignment horizontal="center" vertical="center"/>
    </xf>
    <xf numFmtId="10" fontId="145" fillId="3" borderId="50" xfId="0" applyNumberFormat="1" applyFont="1" applyFill="1" applyBorder="1" applyAlignment="1">
      <alignment horizontal="right" vertical="center"/>
    </xf>
    <xf numFmtId="190" fontId="114" fillId="4" borderId="63" xfId="0" applyNumberFormat="1" applyFont="1" applyFill="1" applyBorder="1">
      <alignment vertical="center"/>
    </xf>
    <xf numFmtId="190" fontId="114" fillId="4" borderId="8" xfId="0" applyNumberFormat="1" applyFont="1" applyFill="1" applyBorder="1">
      <alignment vertical="center"/>
    </xf>
    <xf numFmtId="41" fontId="106" fillId="2" borderId="67" xfId="0" applyNumberFormat="1" applyFont="1" applyFill="1" applyBorder="1">
      <alignment vertical="center"/>
    </xf>
    <xf numFmtId="41" fontId="106" fillId="2" borderId="18" xfId="0" applyNumberFormat="1" applyFont="1" applyFill="1" applyBorder="1">
      <alignment vertical="center"/>
    </xf>
    <xf numFmtId="41" fontId="106" fillId="2" borderId="19" xfId="0" applyNumberFormat="1" applyFont="1" applyFill="1" applyBorder="1">
      <alignment vertical="center"/>
    </xf>
    <xf numFmtId="41" fontId="106" fillId="2" borderId="17" xfId="0" applyNumberFormat="1" applyFont="1" applyFill="1" applyBorder="1">
      <alignment vertical="center"/>
    </xf>
    <xf numFmtId="41" fontId="106" fillId="2" borderId="20" xfId="0" applyNumberFormat="1" applyFont="1" applyFill="1" applyBorder="1">
      <alignment vertical="center"/>
    </xf>
    <xf numFmtId="0" fontId="128" fillId="0" borderId="0" xfId="0" applyFont="1">
      <alignment vertical="center"/>
    </xf>
    <xf numFmtId="178" fontId="110" fillId="12" borderId="28" xfId="0" applyNumberFormat="1" applyFont="1" applyFill="1" applyBorder="1">
      <alignment vertical="center"/>
    </xf>
    <xf numFmtId="192" fontId="110" fillId="12" borderId="28" xfId="0" applyNumberFormat="1" applyFont="1" applyFill="1" applyBorder="1">
      <alignment vertical="center"/>
    </xf>
    <xf numFmtId="9" fontId="146" fillId="12" borderId="28" xfId="0" applyNumberFormat="1" applyFont="1" applyFill="1" applyBorder="1">
      <alignment vertical="center"/>
    </xf>
    <xf numFmtId="41" fontId="114" fillId="4" borderId="29" xfId="0" applyNumberFormat="1" applyFont="1" applyFill="1" applyBorder="1" applyAlignment="1">
      <alignment horizontal="center" vertical="center" wrapText="1"/>
    </xf>
    <xf numFmtId="214" fontId="110" fillId="4" borderId="29" xfId="0" applyNumberFormat="1" applyFont="1" applyFill="1" applyBorder="1">
      <alignment vertical="center"/>
    </xf>
    <xf numFmtId="41" fontId="106" fillId="3" borderId="0" xfId="0" applyNumberFormat="1" applyFont="1" applyFill="1" applyAlignment="1">
      <alignment horizontal="right" vertical="center"/>
    </xf>
    <xf numFmtId="41" fontId="91" fillId="0" borderId="12" xfId="0" applyNumberFormat="1" applyFont="1" applyBorder="1">
      <alignment vertical="center"/>
    </xf>
    <xf numFmtId="41" fontId="91" fillId="0" borderId="33" xfId="0" applyNumberFormat="1" applyFont="1" applyBorder="1">
      <alignment vertical="center"/>
    </xf>
    <xf numFmtId="41" fontId="91" fillId="0" borderId="62" xfId="0" applyNumberFormat="1" applyFont="1" applyBorder="1">
      <alignment vertical="center"/>
    </xf>
    <xf numFmtId="182" fontId="114" fillId="12" borderId="12" xfId="0" applyNumberFormat="1" applyFont="1" applyFill="1" applyBorder="1">
      <alignment vertical="center"/>
    </xf>
    <xf numFmtId="182" fontId="114" fillId="12" borderId="78" xfId="0" applyNumberFormat="1" applyFont="1" applyFill="1" applyBorder="1">
      <alignment vertical="center"/>
    </xf>
    <xf numFmtId="9" fontId="106" fillId="12" borderId="84" xfId="0" applyNumberFormat="1" applyFont="1" applyFill="1" applyBorder="1" applyAlignment="1">
      <alignment horizontal="center" vertical="center"/>
    </xf>
    <xf numFmtId="9" fontId="106" fillId="12" borderId="14" xfId="0" applyNumberFormat="1" applyFont="1" applyFill="1" applyBorder="1">
      <alignment vertical="center"/>
    </xf>
    <xf numFmtId="9" fontId="106" fillId="12" borderId="31" xfId="0" applyNumberFormat="1" applyFont="1" applyFill="1" applyBorder="1">
      <alignment vertical="center"/>
    </xf>
    <xf numFmtId="180" fontId="106" fillId="12" borderId="108" xfId="0" applyNumberFormat="1" applyFont="1" applyFill="1" applyBorder="1">
      <alignment vertical="center"/>
    </xf>
    <xf numFmtId="9" fontId="91" fillId="3" borderId="0" xfId="0" applyNumberFormat="1" applyFont="1" applyFill="1">
      <alignment vertical="center"/>
    </xf>
    <xf numFmtId="9" fontId="82" fillId="0" borderId="0" xfId="0" applyNumberFormat="1" applyFont="1" applyAlignment="1">
      <alignment horizontal="right" vertical="center"/>
    </xf>
    <xf numFmtId="41" fontId="82" fillId="0" borderId="31" xfId="0" applyNumberFormat="1" applyFont="1" applyBorder="1">
      <alignment vertical="center"/>
    </xf>
    <xf numFmtId="41" fontId="106" fillId="26" borderId="19" xfId="0" applyNumberFormat="1" applyFont="1" applyFill="1" applyBorder="1">
      <alignment vertical="center"/>
    </xf>
    <xf numFmtId="41" fontId="91" fillId="0" borderId="44" xfId="0" applyNumberFormat="1" applyFont="1" applyBorder="1">
      <alignment vertical="center"/>
    </xf>
    <xf numFmtId="0" fontId="91" fillId="0" borderId="75" xfId="0" applyFont="1" applyBorder="1">
      <alignment vertical="center"/>
    </xf>
    <xf numFmtId="0" fontId="147" fillId="0" borderId="0" xfId="0" applyFont="1">
      <alignment vertical="center"/>
    </xf>
    <xf numFmtId="180" fontId="147" fillId="0" borderId="0" xfId="0" applyNumberFormat="1" applyFont="1" applyAlignment="1">
      <alignment horizontal="center" vertical="center"/>
    </xf>
    <xf numFmtId="180" fontId="148" fillId="0" borderId="0" xfId="0" applyNumberFormat="1" applyFont="1" applyAlignment="1">
      <alignment horizontal="left" vertical="center"/>
    </xf>
    <xf numFmtId="41" fontId="149" fillId="0" borderId="0" xfId="0" applyNumberFormat="1" applyFont="1">
      <alignment vertical="center"/>
    </xf>
    <xf numFmtId="41" fontId="147" fillId="0" borderId="0" xfId="0" applyNumberFormat="1" applyFont="1">
      <alignment vertical="center"/>
    </xf>
    <xf numFmtId="0" fontId="150" fillId="0" borderId="0" xfId="0" applyFont="1">
      <alignment vertical="center"/>
    </xf>
    <xf numFmtId="0" fontId="151" fillId="0" borderId="0" xfId="0" applyFont="1">
      <alignment vertical="center"/>
    </xf>
    <xf numFmtId="180" fontId="152" fillId="0" borderId="0" xfId="0" applyNumberFormat="1" applyFont="1" applyAlignment="1">
      <alignment horizontal="center" vertical="center"/>
    </xf>
    <xf numFmtId="180" fontId="153" fillId="0" borderId="0" xfId="0" applyNumberFormat="1" applyFont="1" applyAlignment="1">
      <alignment horizontal="left" vertical="center"/>
    </xf>
    <xf numFmtId="41" fontId="153" fillId="0" borderId="0" xfId="0" applyNumberFormat="1" applyFont="1" applyAlignment="1">
      <alignment horizontal="left" vertical="center"/>
    </xf>
    <xf numFmtId="9" fontId="154" fillId="3" borderId="0" xfId="0" applyNumberFormat="1" applyFont="1" applyFill="1">
      <alignment vertical="center"/>
    </xf>
    <xf numFmtId="0" fontId="155" fillId="0" borderId="0" xfId="0" applyFont="1">
      <alignment vertical="center"/>
    </xf>
    <xf numFmtId="9" fontId="120" fillId="0" borderId="0" xfId="0" applyNumberFormat="1" applyFont="1" applyAlignment="1">
      <alignment horizontal="right" vertical="center"/>
    </xf>
    <xf numFmtId="180" fontId="111" fillId="0" borderId="0" xfId="0" applyNumberFormat="1" applyFont="1" applyAlignment="1">
      <alignment horizontal="center" vertical="center"/>
    </xf>
    <xf numFmtId="180" fontId="156" fillId="0" borderId="0" xfId="0" applyNumberFormat="1" applyFont="1" applyAlignment="1">
      <alignment horizontal="left" vertical="center"/>
    </xf>
    <xf numFmtId="41" fontId="156" fillId="0" borderId="0" xfId="0" applyNumberFormat="1" applyFont="1" applyAlignment="1">
      <alignment horizontal="left" vertical="center"/>
    </xf>
    <xf numFmtId="9" fontId="129" fillId="3" borderId="0" xfId="0" applyNumberFormat="1" applyFont="1" applyFill="1">
      <alignment vertical="center"/>
    </xf>
    <xf numFmtId="9" fontId="108" fillId="0" borderId="0" xfId="0" applyNumberFormat="1" applyFont="1" applyAlignment="1">
      <alignment horizontal="right" vertical="center"/>
    </xf>
    <xf numFmtId="0" fontId="113" fillId="0" borderId="0" xfId="0" applyFont="1">
      <alignment vertical="center"/>
    </xf>
    <xf numFmtId="0" fontId="157" fillId="0" borderId="0" xfId="0" applyFont="1">
      <alignment vertical="center"/>
    </xf>
    <xf numFmtId="0" fontId="112" fillId="0" borderId="0" xfId="0" applyFont="1">
      <alignment vertical="center"/>
    </xf>
    <xf numFmtId="180" fontId="110" fillId="4" borderId="18" xfId="0" applyNumberFormat="1" applyFont="1" applyFill="1" applyBorder="1" applyAlignment="1">
      <alignment horizontal="center" vertical="center"/>
    </xf>
    <xf numFmtId="180" fontId="112" fillId="4" borderId="18" xfId="0" applyNumberFormat="1" applyFont="1" applyFill="1" applyBorder="1" applyAlignment="1">
      <alignment horizontal="center" vertical="center"/>
    </xf>
    <xf numFmtId="180" fontId="112" fillId="4" borderId="45" xfId="0" applyNumberFormat="1" applyFont="1" applyFill="1" applyBorder="1" applyAlignment="1">
      <alignment horizontal="center" vertical="center"/>
    </xf>
    <xf numFmtId="0" fontId="110" fillId="4" borderId="17" xfId="0" applyFont="1" applyFill="1" applyBorder="1" applyAlignment="1">
      <alignment horizontal="center" vertical="center"/>
    </xf>
    <xf numFmtId="0" fontId="110" fillId="4" borderId="67" xfId="0" applyFont="1" applyFill="1" applyBorder="1" applyAlignment="1">
      <alignment horizontal="center" vertical="center"/>
    </xf>
    <xf numFmtId="0" fontId="110" fillId="4" borderId="19" xfId="0" applyFont="1" applyFill="1" applyBorder="1" applyAlignment="1">
      <alignment horizontal="center" vertical="center"/>
    </xf>
    <xf numFmtId="0" fontId="110" fillId="4" borderId="18" xfId="0" applyFont="1" applyFill="1" applyBorder="1" applyAlignment="1">
      <alignment horizontal="center" vertical="center"/>
    </xf>
    <xf numFmtId="0" fontId="110" fillId="4" borderId="113" xfId="0" applyFont="1" applyFill="1" applyBorder="1" applyAlignment="1">
      <alignment horizontal="center" vertical="center"/>
    </xf>
    <xf numFmtId="0" fontId="110" fillId="4" borderId="32" xfId="0" applyFont="1" applyFill="1" applyBorder="1" applyAlignment="1">
      <alignment horizontal="center" vertical="center"/>
    </xf>
    <xf numFmtId="0" fontId="112" fillId="4" borderId="15" xfId="0" applyFont="1" applyFill="1" applyBorder="1">
      <alignment vertical="center"/>
    </xf>
    <xf numFmtId="180" fontId="112" fillId="4" borderId="18" xfId="0" applyNumberFormat="1" applyFont="1" applyFill="1" applyBorder="1" applyAlignment="1">
      <alignment vertical="top"/>
    </xf>
    <xf numFmtId="180" fontId="111" fillId="4" borderId="45" xfId="0" applyNumberFormat="1" applyFont="1" applyFill="1" applyBorder="1" applyAlignment="1">
      <alignment horizontal="center" vertical="center"/>
    </xf>
    <xf numFmtId="9" fontId="108" fillId="4" borderId="18" xfId="0" applyNumberFormat="1" applyFont="1" applyFill="1" applyBorder="1" applyAlignment="1">
      <alignment horizontal="center" vertical="center"/>
    </xf>
    <xf numFmtId="190" fontId="108" fillId="4" borderId="45" xfId="0" applyNumberFormat="1" applyFont="1" applyFill="1" applyBorder="1" applyAlignment="1">
      <alignment horizontal="center" vertical="center"/>
    </xf>
    <xf numFmtId="185" fontId="108" fillId="3" borderId="17" xfId="0" applyNumberFormat="1" applyFont="1" applyFill="1" applyBorder="1">
      <alignment vertical="center"/>
    </xf>
    <xf numFmtId="185" fontId="108" fillId="3" borderId="18" xfId="0" applyNumberFormat="1" applyFont="1" applyFill="1" applyBorder="1">
      <alignment vertical="center"/>
    </xf>
    <xf numFmtId="185" fontId="108" fillId="0" borderId="19" xfId="0" applyNumberFormat="1" applyFont="1" applyBorder="1">
      <alignment vertical="center"/>
    </xf>
    <xf numFmtId="185" fontId="108" fillId="3" borderId="67" xfId="0" applyNumberFormat="1" applyFont="1" applyFill="1" applyBorder="1">
      <alignment vertical="center"/>
    </xf>
    <xf numFmtId="185" fontId="108" fillId="3" borderId="20" xfId="0" applyNumberFormat="1" applyFont="1" applyFill="1" applyBorder="1">
      <alignment vertical="center"/>
    </xf>
    <xf numFmtId="185" fontId="111" fillId="3" borderId="17" xfId="0" applyNumberFormat="1" applyFont="1" applyFill="1" applyBorder="1">
      <alignment vertical="center"/>
    </xf>
    <xf numFmtId="185" fontId="111" fillId="3" borderId="18" xfId="0" applyNumberFormat="1" applyFont="1" applyFill="1" applyBorder="1">
      <alignment vertical="center"/>
    </xf>
    <xf numFmtId="185" fontId="111" fillId="3" borderId="19" xfId="0" applyNumberFormat="1" applyFont="1" applyFill="1" applyBorder="1">
      <alignment vertical="center"/>
    </xf>
    <xf numFmtId="41" fontId="111" fillId="4" borderId="67" xfId="0" applyNumberFormat="1" applyFont="1" applyFill="1" applyBorder="1">
      <alignment vertical="center"/>
    </xf>
    <xf numFmtId="0" fontId="112" fillId="0" borderId="50" xfId="0" applyFont="1" applyBorder="1">
      <alignment vertical="center"/>
    </xf>
    <xf numFmtId="180" fontId="111" fillId="0" borderId="50" xfId="0" applyNumberFormat="1" applyFont="1" applyBorder="1" applyAlignment="1">
      <alignment vertical="top"/>
    </xf>
    <xf numFmtId="180" fontId="156" fillId="0" borderId="50" xfId="0" applyNumberFormat="1" applyFont="1" applyBorder="1" applyAlignment="1">
      <alignment horizontal="left" vertical="center"/>
    </xf>
    <xf numFmtId="41" fontId="156" fillId="0" borderId="50" xfId="0" applyNumberFormat="1" applyFont="1" applyBorder="1" applyAlignment="1">
      <alignment horizontal="left" vertical="center"/>
    </xf>
    <xf numFmtId="9" fontId="129" fillId="0" borderId="50" xfId="0" applyNumberFormat="1" applyFont="1" applyBorder="1">
      <alignment vertical="center"/>
    </xf>
    <xf numFmtId="9" fontId="108" fillId="0" borderId="50" xfId="0" applyNumberFormat="1" applyFont="1" applyBorder="1" applyAlignment="1">
      <alignment horizontal="right" vertical="center"/>
    </xf>
    <xf numFmtId="180" fontId="111" fillId="0" borderId="0" xfId="0" applyNumberFormat="1" applyFont="1" applyAlignment="1">
      <alignment vertical="top"/>
    </xf>
    <xf numFmtId="9" fontId="129" fillId="0" borderId="0" xfId="0" applyNumberFormat="1" applyFont="1">
      <alignment vertical="center"/>
    </xf>
    <xf numFmtId="180" fontId="112" fillId="4" borderId="65" xfId="0" applyNumberFormat="1" applyFont="1" applyFill="1" applyBorder="1" applyAlignment="1">
      <alignment horizontal="center" vertical="center"/>
    </xf>
    <xf numFmtId="180" fontId="112" fillId="4" borderId="27" xfId="0" applyNumberFormat="1" applyFont="1" applyFill="1" applyBorder="1" applyAlignment="1">
      <alignment horizontal="center" vertical="center"/>
    </xf>
    <xf numFmtId="180" fontId="112" fillId="4" borderId="50" xfId="0" applyNumberFormat="1" applyFont="1" applyFill="1" applyBorder="1" applyAlignment="1">
      <alignment horizontal="center" vertical="center"/>
    </xf>
    <xf numFmtId="0" fontId="110" fillId="4" borderId="58" xfId="0" applyFont="1" applyFill="1" applyBorder="1" applyAlignment="1">
      <alignment horizontal="center" vertical="center"/>
    </xf>
    <xf numFmtId="0" fontId="110" fillId="4" borderId="26" xfId="0" applyFont="1" applyFill="1" applyBorder="1" applyAlignment="1">
      <alignment horizontal="center" vertical="center"/>
    </xf>
    <xf numFmtId="0" fontId="110" fillId="4" borderId="60" xfId="0" applyFont="1" applyFill="1" applyBorder="1" applyAlignment="1">
      <alignment horizontal="center" vertical="center"/>
    </xf>
    <xf numFmtId="0" fontId="110" fillId="4" borderId="27" xfId="0" applyFont="1" applyFill="1" applyBorder="1" applyAlignment="1">
      <alignment horizontal="center" vertical="center"/>
    </xf>
    <xf numFmtId="0" fontId="110" fillId="4" borderId="80" xfId="0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/>
    </xf>
    <xf numFmtId="0" fontId="108" fillId="4" borderId="80" xfId="0" applyFont="1" applyFill="1" applyBorder="1" applyAlignment="1">
      <alignment horizontal="center" vertical="center"/>
    </xf>
    <xf numFmtId="9" fontId="108" fillId="4" borderId="27" xfId="0" applyNumberFormat="1" applyFont="1" applyFill="1" applyBorder="1" applyAlignment="1">
      <alignment horizontal="center" vertical="center"/>
    </xf>
    <xf numFmtId="190" fontId="108" fillId="4" borderId="50" xfId="0" applyNumberFormat="1" applyFont="1" applyFill="1" applyBorder="1" applyAlignment="1">
      <alignment horizontal="center" vertical="center"/>
    </xf>
    <xf numFmtId="185" fontId="108" fillId="3" borderId="58" xfId="0" applyNumberFormat="1" applyFont="1" applyFill="1" applyBorder="1">
      <alignment vertical="center"/>
    </xf>
    <xf numFmtId="185" fontId="108" fillId="3" borderId="26" xfId="0" applyNumberFormat="1" applyFont="1" applyFill="1" applyBorder="1">
      <alignment vertical="center"/>
    </xf>
    <xf numFmtId="185" fontId="108" fillId="3" borderId="60" xfId="0" applyNumberFormat="1" applyFont="1" applyFill="1" applyBorder="1">
      <alignment vertical="center"/>
    </xf>
    <xf numFmtId="185" fontId="108" fillId="3" borderId="27" xfId="0" applyNumberFormat="1" applyFont="1" applyFill="1" applyBorder="1">
      <alignment vertical="center"/>
    </xf>
    <xf numFmtId="185" fontId="108" fillId="3" borderId="65" xfId="0" applyNumberFormat="1" applyFont="1" applyFill="1" applyBorder="1">
      <alignment vertical="center"/>
    </xf>
    <xf numFmtId="185" fontId="111" fillId="3" borderId="80" xfId="0" applyNumberFormat="1" applyFont="1" applyFill="1" applyBorder="1">
      <alignment vertical="center"/>
    </xf>
    <xf numFmtId="185" fontId="111" fillId="3" borderId="27" xfId="0" applyNumberFormat="1" applyFont="1" applyFill="1" applyBorder="1">
      <alignment vertical="center"/>
    </xf>
    <xf numFmtId="185" fontId="111" fillId="3" borderId="60" xfId="0" applyNumberFormat="1" applyFont="1" applyFill="1" applyBorder="1">
      <alignment vertical="center"/>
    </xf>
    <xf numFmtId="185" fontId="111" fillId="3" borderId="58" xfId="0" applyNumberFormat="1" applyFont="1" applyFill="1" applyBorder="1">
      <alignment vertical="center"/>
    </xf>
    <xf numFmtId="41" fontId="111" fillId="4" borderId="26" xfId="0" applyNumberFormat="1" applyFont="1" applyFill="1" applyBorder="1">
      <alignment vertical="center"/>
    </xf>
    <xf numFmtId="41" fontId="110" fillId="4" borderId="60" xfId="0" applyNumberFormat="1" applyFont="1" applyFill="1" applyBorder="1">
      <alignment vertical="center"/>
    </xf>
    <xf numFmtId="9" fontId="157" fillId="0" borderId="0" xfId="0" applyNumberFormat="1" applyFont="1">
      <alignment vertical="center"/>
    </xf>
    <xf numFmtId="41" fontId="157" fillId="0" borderId="0" xfId="0" applyNumberFormat="1" applyFont="1">
      <alignment vertical="center"/>
    </xf>
    <xf numFmtId="0" fontId="108" fillId="4" borderId="73" xfId="0" applyFont="1" applyFill="1" applyBorder="1" applyAlignment="1">
      <alignment horizontal="center" vertical="center"/>
    </xf>
    <xf numFmtId="9" fontId="108" fillId="4" borderId="59" xfId="0" applyNumberFormat="1" applyFont="1" applyFill="1" applyBorder="1" applyAlignment="1">
      <alignment horizontal="center" vertical="center"/>
    </xf>
    <xf numFmtId="190" fontId="108" fillId="4" borderId="91" xfId="0" applyNumberFormat="1" applyFont="1" applyFill="1" applyBorder="1" applyAlignment="1">
      <alignment horizontal="center" vertical="center"/>
    </xf>
    <xf numFmtId="185" fontId="108" fillId="3" borderId="13" xfId="0" applyNumberFormat="1" applyFont="1" applyFill="1" applyBorder="1">
      <alignment vertical="center"/>
    </xf>
    <xf numFmtId="185" fontId="108" fillId="3" borderId="66" xfId="0" applyNumberFormat="1" applyFont="1" applyFill="1" applyBorder="1">
      <alignment vertical="center"/>
    </xf>
    <xf numFmtId="185" fontId="108" fillId="3" borderId="46" xfId="0" applyNumberFormat="1" applyFont="1" applyFill="1" applyBorder="1">
      <alignment vertical="center"/>
    </xf>
    <xf numFmtId="185" fontId="108" fillId="3" borderId="59" xfId="0" applyNumberFormat="1" applyFont="1" applyFill="1" applyBorder="1">
      <alignment vertical="center"/>
    </xf>
    <xf numFmtId="185" fontId="108" fillId="3" borderId="68" xfId="0" applyNumberFormat="1" applyFont="1" applyFill="1" applyBorder="1">
      <alignment vertical="center"/>
    </xf>
    <xf numFmtId="185" fontId="111" fillId="3" borderId="73" xfId="0" applyNumberFormat="1" applyFont="1" applyFill="1" applyBorder="1">
      <alignment vertical="center"/>
    </xf>
    <xf numFmtId="185" fontId="111" fillId="3" borderId="59" xfId="0" applyNumberFormat="1" applyFont="1" applyFill="1" applyBorder="1">
      <alignment vertical="center"/>
    </xf>
    <xf numFmtId="185" fontId="111" fillId="3" borderId="46" xfId="0" applyNumberFormat="1" applyFont="1" applyFill="1" applyBorder="1">
      <alignment vertical="center"/>
    </xf>
    <xf numFmtId="185" fontId="111" fillId="3" borderId="13" xfId="0" applyNumberFormat="1" applyFont="1" applyFill="1" applyBorder="1">
      <alignment vertical="center"/>
    </xf>
    <xf numFmtId="41" fontId="111" fillId="4" borderId="66" xfId="0" applyNumberFormat="1" applyFont="1" applyFill="1" applyBorder="1">
      <alignment vertical="center"/>
    </xf>
    <xf numFmtId="41" fontId="110" fillId="4" borderId="46" xfId="0" applyNumberFormat="1" applyFont="1" applyFill="1" applyBorder="1">
      <alignment vertical="center"/>
    </xf>
    <xf numFmtId="0" fontId="110" fillId="4" borderId="73" xfId="0" applyFont="1" applyFill="1" applyBorder="1" applyAlignment="1">
      <alignment horizontal="left" vertical="center" indent="1"/>
    </xf>
    <xf numFmtId="41" fontId="110" fillId="4" borderId="67" xfId="0" applyNumberFormat="1" applyFont="1" applyFill="1" applyBorder="1">
      <alignment vertical="center"/>
    </xf>
    <xf numFmtId="41" fontId="110" fillId="4" borderId="20" xfId="0" applyNumberFormat="1" applyFont="1" applyFill="1" applyBorder="1">
      <alignment vertical="center"/>
    </xf>
    <xf numFmtId="41" fontId="112" fillId="4" borderId="17" xfId="0" applyNumberFormat="1" applyFont="1" applyFill="1" applyBorder="1">
      <alignment vertical="center"/>
    </xf>
    <xf numFmtId="41" fontId="112" fillId="4" borderId="18" xfId="0" applyNumberFormat="1" applyFont="1" applyFill="1" applyBorder="1">
      <alignment vertical="center"/>
    </xf>
    <xf numFmtId="41" fontId="112" fillId="4" borderId="19" xfId="0" applyNumberFormat="1" applyFont="1" applyFill="1" applyBorder="1">
      <alignment vertical="center"/>
    </xf>
    <xf numFmtId="41" fontId="112" fillId="4" borderId="67" xfId="0" applyNumberFormat="1" applyFont="1" applyFill="1" applyBorder="1">
      <alignment vertical="center"/>
    </xf>
    <xf numFmtId="41" fontId="113" fillId="0" borderId="0" xfId="0" applyNumberFormat="1" applyFont="1">
      <alignment vertical="center"/>
    </xf>
    <xf numFmtId="180" fontId="111" fillId="3" borderId="0" xfId="0" applyNumberFormat="1" applyFont="1" applyFill="1" applyAlignment="1">
      <alignment horizontal="center" vertical="center"/>
    </xf>
    <xf numFmtId="180" fontId="158" fillId="3" borderId="0" xfId="0" applyNumberFormat="1" applyFont="1" applyFill="1" applyAlignment="1">
      <alignment horizontal="left" vertical="center"/>
    </xf>
    <xf numFmtId="177" fontId="130" fillId="0" borderId="0" xfId="0" applyNumberFormat="1" applyFont="1" applyAlignment="1">
      <alignment horizontal="right" vertical="center"/>
    </xf>
    <xf numFmtId="9" fontId="108" fillId="3" borderId="0" xfId="0" applyNumberFormat="1" applyFont="1" applyFill="1">
      <alignment vertical="center"/>
    </xf>
    <xf numFmtId="185" fontId="108" fillId="3" borderId="0" xfId="0" applyNumberFormat="1" applyFont="1" applyFill="1">
      <alignment vertical="center"/>
    </xf>
    <xf numFmtId="3" fontId="108" fillId="3" borderId="0" xfId="0" applyNumberFormat="1" applyFont="1" applyFill="1">
      <alignment vertical="center"/>
    </xf>
    <xf numFmtId="43" fontId="111" fillId="3" borderId="0" xfId="0" applyNumberFormat="1" applyFont="1" applyFill="1">
      <alignment vertical="center"/>
    </xf>
    <xf numFmtId="209" fontId="111" fillId="3" borderId="0" xfId="0" applyNumberFormat="1" applyFont="1" applyFill="1">
      <alignment vertical="center"/>
    </xf>
    <xf numFmtId="199" fontId="108" fillId="0" borderId="0" xfId="0" applyNumberFormat="1" applyFont="1">
      <alignment vertical="center"/>
    </xf>
    <xf numFmtId="180" fontId="112" fillId="0" borderId="0" xfId="0" applyNumberFormat="1" applyFont="1" applyAlignment="1">
      <alignment horizontal="center" vertical="center"/>
    </xf>
    <xf numFmtId="180" fontId="159" fillId="0" borderId="0" xfId="0" applyNumberFormat="1" applyFont="1" applyAlignment="1">
      <alignment horizontal="left" vertical="center"/>
    </xf>
    <xf numFmtId="9" fontId="130" fillId="0" borderId="0" xfId="0" applyNumberFormat="1" applyFont="1" applyAlignment="1">
      <alignment horizontal="right" vertical="center"/>
    </xf>
    <xf numFmtId="178" fontId="108" fillId="0" borderId="0" xfId="0" applyNumberFormat="1" applyFont="1">
      <alignment vertical="center"/>
    </xf>
    <xf numFmtId="185" fontId="108" fillId="0" borderId="0" xfId="0" applyNumberFormat="1" applyFont="1">
      <alignment vertical="center"/>
    </xf>
    <xf numFmtId="185" fontId="111" fillId="0" borderId="0" xfId="0" applyNumberFormat="1" applyFont="1">
      <alignment vertical="center"/>
    </xf>
    <xf numFmtId="185" fontId="113" fillId="0" borderId="0" xfId="0" applyNumberFormat="1" applyFont="1">
      <alignment vertical="center"/>
    </xf>
    <xf numFmtId="180" fontId="110" fillId="4" borderId="17" xfId="0" applyNumberFormat="1" applyFont="1" applyFill="1" applyBorder="1" applyAlignment="1">
      <alignment horizontal="center" vertical="center"/>
    </xf>
    <xf numFmtId="180" fontId="112" fillId="4" borderId="19" xfId="0" applyNumberFormat="1" applyFont="1" applyFill="1" applyBorder="1" applyAlignment="1">
      <alignment horizontal="center" vertical="center"/>
    </xf>
    <xf numFmtId="0" fontId="110" fillId="4" borderId="20" xfId="0" applyFont="1" applyFill="1" applyBorder="1" applyAlignment="1">
      <alignment horizontal="center" vertical="center"/>
    </xf>
    <xf numFmtId="0" fontId="108" fillId="4" borderId="1" xfId="0" applyFont="1" applyFill="1" applyBorder="1" applyAlignment="1">
      <alignment horizontal="center" vertical="center"/>
    </xf>
    <xf numFmtId="9" fontId="108" fillId="4" borderId="1" xfId="0" applyNumberFormat="1" applyFont="1" applyFill="1" applyBorder="1" applyAlignment="1">
      <alignment horizontal="center" vertical="center"/>
    </xf>
    <xf numFmtId="190" fontId="108" fillId="4" borderId="69" xfId="0" applyNumberFormat="1" applyFont="1" applyFill="1" applyBorder="1" applyAlignment="1">
      <alignment horizontal="center" vertical="center"/>
    </xf>
    <xf numFmtId="185" fontId="108" fillId="3" borderId="10" xfId="0" applyNumberFormat="1" applyFont="1" applyFill="1" applyBorder="1">
      <alignment vertical="center"/>
    </xf>
    <xf numFmtId="185" fontId="108" fillId="3" borderId="1" xfId="0" applyNumberFormat="1" applyFont="1" applyFill="1" applyBorder="1">
      <alignment vertical="center"/>
    </xf>
    <xf numFmtId="185" fontId="108" fillId="3" borderId="8" xfId="0" applyNumberFormat="1" applyFont="1" applyFill="1" applyBorder="1">
      <alignment vertical="center"/>
    </xf>
    <xf numFmtId="185" fontId="108" fillId="3" borderId="55" xfId="0" applyNumberFormat="1" applyFont="1" applyFill="1" applyBorder="1">
      <alignment vertical="center"/>
    </xf>
    <xf numFmtId="185" fontId="108" fillId="3" borderId="69" xfId="0" applyNumberFormat="1" applyFont="1" applyFill="1" applyBorder="1">
      <alignment vertical="center"/>
    </xf>
    <xf numFmtId="185" fontId="111" fillId="3" borderId="10" xfId="0" applyNumberFormat="1" applyFont="1" applyFill="1" applyBorder="1">
      <alignment vertical="center"/>
    </xf>
    <xf numFmtId="185" fontId="111" fillId="3" borderId="1" xfId="0" applyNumberFormat="1" applyFont="1" applyFill="1" applyBorder="1">
      <alignment vertical="center"/>
    </xf>
    <xf numFmtId="185" fontId="111" fillId="3" borderId="8" xfId="0" applyNumberFormat="1" applyFont="1" applyFill="1" applyBorder="1">
      <alignment vertical="center"/>
    </xf>
    <xf numFmtId="185" fontId="111" fillId="3" borderId="55" xfId="0" applyNumberFormat="1" applyFont="1" applyFill="1" applyBorder="1">
      <alignment vertical="center"/>
    </xf>
    <xf numFmtId="185" fontId="111" fillId="3" borderId="69" xfId="0" applyNumberFormat="1" applyFont="1" applyFill="1" applyBorder="1">
      <alignment vertical="center"/>
    </xf>
    <xf numFmtId="41" fontId="111" fillId="4" borderId="10" xfId="0" applyNumberFormat="1" applyFont="1" applyFill="1" applyBorder="1">
      <alignment vertical="center"/>
    </xf>
    <xf numFmtId="41" fontId="110" fillId="4" borderId="69" xfId="0" applyNumberFormat="1" applyFont="1" applyFill="1" applyBorder="1">
      <alignment vertical="center"/>
    </xf>
    <xf numFmtId="0" fontId="108" fillId="4" borderId="5" xfId="0" applyFont="1" applyFill="1" applyBorder="1" applyAlignment="1">
      <alignment horizontal="center" vertical="center"/>
    </xf>
    <xf numFmtId="9" fontId="108" fillId="4" borderId="5" xfId="0" applyNumberFormat="1" applyFont="1" applyFill="1" applyBorder="1" applyAlignment="1">
      <alignment horizontal="center" vertical="center"/>
    </xf>
    <xf numFmtId="190" fontId="108" fillId="4" borderId="47" xfId="0" applyNumberFormat="1" applyFont="1" applyFill="1" applyBorder="1" applyAlignment="1">
      <alignment horizontal="center" vertical="center"/>
    </xf>
    <xf numFmtId="185" fontId="108" fillId="3" borderId="56" xfId="0" applyNumberFormat="1" applyFont="1" applyFill="1" applyBorder="1">
      <alignment vertical="center"/>
    </xf>
    <xf numFmtId="185" fontId="108" fillId="3" borderId="5" xfId="0" applyNumberFormat="1" applyFont="1" applyFill="1" applyBorder="1">
      <alignment vertical="center"/>
    </xf>
    <xf numFmtId="185" fontId="108" fillId="3" borderId="42" xfId="0" applyNumberFormat="1" applyFont="1" applyFill="1" applyBorder="1">
      <alignment vertical="center"/>
    </xf>
    <xf numFmtId="185" fontId="108" fillId="3" borderId="35" xfId="0" applyNumberFormat="1" applyFont="1" applyFill="1" applyBorder="1">
      <alignment vertical="center"/>
    </xf>
    <xf numFmtId="185" fontId="108" fillId="3" borderId="47" xfId="0" applyNumberFormat="1" applyFont="1" applyFill="1" applyBorder="1">
      <alignment vertical="center"/>
    </xf>
    <xf numFmtId="185" fontId="111" fillId="3" borderId="56" xfId="0" applyNumberFormat="1" applyFont="1" applyFill="1" applyBorder="1">
      <alignment vertical="center"/>
    </xf>
    <xf numFmtId="185" fontId="111" fillId="3" borderId="5" xfId="0" applyNumberFormat="1" applyFont="1" applyFill="1" applyBorder="1">
      <alignment vertical="center"/>
    </xf>
    <xf numFmtId="185" fontId="111" fillId="3" borderId="42" xfId="0" applyNumberFormat="1" applyFont="1" applyFill="1" applyBorder="1">
      <alignment vertical="center"/>
    </xf>
    <xf numFmtId="185" fontId="111" fillId="3" borderId="35" xfId="0" applyNumberFormat="1" applyFont="1" applyFill="1" applyBorder="1">
      <alignment vertical="center"/>
    </xf>
    <xf numFmtId="185" fontId="111" fillId="3" borderId="47" xfId="0" applyNumberFormat="1" applyFont="1" applyFill="1" applyBorder="1">
      <alignment vertical="center"/>
    </xf>
    <xf numFmtId="41" fontId="111" fillId="4" borderId="56" xfId="0" applyNumberFormat="1" applyFont="1" applyFill="1" applyBorder="1">
      <alignment vertical="center"/>
    </xf>
    <xf numFmtId="41" fontId="110" fillId="4" borderId="47" xfId="0" applyNumberFormat="1" applyFont="1" applyFill="1" applyBorder="1">
      <alignment vertical="center"/>
    </xf>
    <xf numFmtId="0" fontId="110" fillId="4" borderId="28" xfId="0" applyFont="1" applyFill="1" applyBorder="1" applyAlignment="1">
      <alignment horizontal="center" vertical="center"/>
    </xf>
    <xf numFmtId="9" fontId="110" fillId="4" borderId="28" xfId="0" applyNumberFormat="1" applyFont="1" applyFill="1" applyBorder="1" applyAlignment="1">
      <alignment horizontal="center" vertical="center"/>
    </xf>
    <xf numFmtId="190" fontId="110" fillId="4" borderId="33" xfId="0" applyNumberFormat="1" applyFont="1" applyFill="1" applyBorder="1" applyAlignment="1">
      <alignment horizontal="center" vertical="center"/>
    </xf>
    <xf numFmtId="185" fontId="110" fillId="3" borderId="62" xfId="0" applyNumberFormat="1" applyFont="1" applyFill="1" applyBorder="1">
      <alignment vertical="center"/>
    </xf>
    <xf numFmtId="185" fontId="110" fillId="3" borderId="28" xfId="0" applyNumberFormat="1" applyFont="1" applyFill="1" applyBorder="1">
      <alignment vertical="center"/>
    </xf>
    <xf numFmtId="185" fontId="110" fillId="3" borderId="48" xfId="0" applyNumberFormat="1" applyFont="1" applyFill="1" applyBorder="1">
      <alignment vertical="center"/>
    </xf>
    <xf numFmtId="185" fontId="110" fillId="3" borderId="12" xfId="0" applyNumberFormat="1" applyFont="1" applyFill="1" applyBorder="1">
      <alignment vertical="center"/>
    </xf>
    <xf numFmtId="185" fontId="110" fillId="3" borderId="33" xfId="0" applyNumberFormat="1" applyFont="1" applyFill="1" applyBorder="1">
      <alignment vertical="center"/>
    </xf>
    <xf numFmtId="185" fontId="112" fillId="3" borderId="62" xfId="0" applyNumberFormat="1" applyFont="1" applyFill="1" applyBorder="1">
      <alignment vertical="center"/>
    </xf>
    <xf numFmtId="185" fontId="112" fillId="3" borderId="28" xfId="0" applyNumberFormat="1" applyFont="1" applyFill="1" applyBorder="1">
      <alignment vertical="center"/>
    </xf>
    <xf numFmtId="185" fontId="112" fillId="3" borderId="48" xfId="0" applyNumberFormat="1" applyFont="1" applyFill="1" applyBorder="1">
      <alignment vertical="center"/>
    </xf>
    <xf numFmtId="185" fontId="112" fillId="3" borderId="12" xfId="0" applyNumberFormat="1" applyFont="1" applyFill="1" applyBorder="1">
      <alignment vertical="center"/>
    </xf>
    <xf numFmtId="185" fontId="112" fillId="3" borderId="33" xfId="0" applyNumberFormat="1" applyFont="1" applyFill="1" applyBorder="1">
      <alignment vertical="center"/>
    </xf>
    <xf numFmtId="41" fontId="112" fillId="4" borderId="62" xfId="0" applyNumberFormat="1" applyFont="1" applyFill="1" applyBorder="1">
      <alignment vertical="center"/>
    </xf>
    <xf numFmtId="41" fontId="110" fillId="4" borderId="33" xfId="0" applyNumberFormat="1" applyFont="1" applyFill="1" applyBorder="1">
      <alignment vertical="center"/>
    </xf>
    <xf numFmtId="180" fontId="111" fillId="4" borderId="64" xfId="0" applyNumberFormat="1" applyFont="1" applyFill="1" applyBorder="1" applyAlignment="1">
      <alignment horizontal="center" vertical="top"/>
    </xf>
    <xf numFmtId="0" fontId="110" fillId="4" borderId="61" xfId="0" applyFont="1" applyFill="1" applyBorder="1" applyAlignment="1">
      <alignment horizontal="center" vertical="center"/>
    </xf>
    <xf numFmtId="9" fontId="110" fillId="4" borderId="61" xfId="0" applyNumberFormat="1" applyFont="1" applyFill="1" applyBorder="1" applyAlignment="1">
      <alignment horizontal="center" vertical="center"/>
    </xf>
    <xf numFmtId="190" fontId="110" fillId="4" borderId="34" xfId="0" applyNumberFormat="1" applyFont="1" applyFill="1" applyBorder="1" applyAlignment="1">
      <alignment horizontal="center" vertical="center"/>
    </xf>
    <xf numFmtId="185" fontId="110" fillId="3" borderId="72" xfId="0" applyNumberFormat="1" applyFont="1" applyFill="1" applyBorder="1">
      <alignment vertical="center"/>
    </xf>
    <xf numFmtId="185" fontId="110" fillId="3" borderId="61" xfId="0" applyNumberFormat="1" applyFont="1" applyFill="1" applyBorder="1">
      <alignment vertical="center"/>
    </xf>
    <xf numFmtId="185" fontId="110" fillId="0" borderId="63" xfId="0" applyNumberFormat="1" applyFont="1" applyBorder="1">
      <alignment vertical="center"/>
    </xf>
    <xf numFmtId="185" fontId="110" fillId="3" borderId="64" xfId="0" applyNumberFormat="1" applyFont="1" applyFill="1" applyBorder="1">
      <alignment vertical="center"/>
    </xf>
    <xf numFmtId="185" fontId="110" fillId="3" borderId="34" xfId="0" applyNumberFormat="1" applyFont="1" applyFill="1" applyBorder="1">
      <alignment vertical="center"/>
    </xf>
    <xf numFmtId="185" fontId="112" fillId="3" borderId="72" xfId="0" applyNumberFormat="1" applyFont="1" applyFill="1" applyBorder="1">
      <alignment vertical="center"/>
    </xf>
    <xf numFmtId="185" fontId="112" fillId="3" borderId="61" xfId="0" applyNumberFormat="1" applyFont="1" applyFill="1" applyBorder="1">
      <alignment vertical="center"/>
    </xf>
    <xf numFmtId="185" fontId="112" fillId="3" borderId="63" xfId="0" applyNumberFormat="1" applyFont="1" applyFill="1" applyBorder="1">
      <alignment vertical="center"/>
    </xf>
    <xf numFmtId="185" fontId="112" fillId="3" borderId="64" xfId="0" applyNumberFormat="1" applyFont="1" applyFill="1" applyBorder="1">
      <alignment vertical="center"/>
    </xf>
    <xf numFmtId="185" fontId="112" fillId="3" borderId="34" xfId="0" applyNumberFormat="1" applyFont="1" applyFill="1" applyBorder="1">
      <alignment vertical="center"/>
    </xf>
    <xf numFmtId="41" fontId="112" fillId="4" borderId="72" xfId="0" applyNumberFormat="1" applyFont="1" applyFill="1" applyBorder="1">
      <alignment vertical="center"/>
    </xf>
    <xf numFmtId="41" fontId="110" fillId="4" borderId="34" xfId="0" applyNumberFormat="1" applyFont="1" applyFill="1" applyBorder="1">
      <alignment vertical="center"/>
    </xf>
    <xf numFmtId="180" fontId="111" fillId="4" borderId="17" xfId="0" applyNumberFormat="1" applyFont="1" applyFill="1" applyBorder="1" applyAlignment="1">
      <alignment vertical="top"/>
    </xf>
    <xf numFmtId="9" fontId="110" fillId="4" borderId="18" xfId="0" applyNumberFormat="1" applyFont="1" applyFill="1" applyBorder="1" applyAlignment="1">
      <alignment horizontal="center" vertical="center"/>
    </xf>
    <xf numFmtId="190" fontId="110" fillId="4" borderId="19" xfId="0" applyNumberFormat="1" applyFont="1" applyFill="1" applyBorder="1" applyAlignment="1">
      <alignment horizontal="center" vertical="center"/>
    </xf>
    <xf numFmtId="185" fontId="110" fillId="2" borderId="67" xfId="0" applyNumberFormat="1" applyFont="1" applyFill="1" applyBorder="1">
      <alignment vertical="center"/>
    </xf>
    <xf numFmtId="185" fontId="110" fillId="2" borderId="18" xfId="0" applyNumberFormat="1" applyFont="1" applyFill="1" applyBorder="1">
      <alignment vertical="center"/>
    </xf>
    <xf numFmtId="41" fontId="110" fillId="2" borderId="20" xfId="0" applyNumberFormat="1" applyFont="1" applyFill="1" applyBorder="1">
      <alignment vertical="center"/>
    </xf>
    <xf numFmtId="41" fontId="110" fillId="2" borderId="17" xfId="0" applyNumberFormat="1" applyFont="1" applyFill="1" applyBorder="1">
      <alignment vertical="center"/>
    </xf>
    <xf numFmtId="41" fontId="110" fillId="2" borderId="18" xfId="0" applyNumberFormat="1" applyFont="1" applyFill="1" applyBorder="1">
      <alignment vertical="center"/>
    </xf>
    <xf numFmtId="41" fontId="110" fillId="2" borderId="19" xfId="0" applyNumberFormat="1" applyFont="1" applyFill="1" applyBorder="1">
      <alignment vertical="center"/>
    </xf>
    <xf numFmtId="41" fontId="112" fillId="2" borderId="67" xfId="0" applyNumberFormat="1" applyFont="1" applyFill="1" applyBorder="1">
      <alignment vertical="center"/>
    </xf>
    <xf numFmtId="41" fontId="112" fillId="2" borderId="18" xfId="0" applyNumberFormat="1" applyFont="1" applyFill="1" applyBorder="1">
      <alignment vertical="center"/>
    </xf>
    <xf numFmtId="41" fontId="112" fillId="2" borderId="20" xfId="0" applyNumberFormat="1" applyFont="1" applyFill="1" applyBorder="1">
      <alignment vertical="center"/>
    </xf>
    <xf numFmtId="41" fontId="112" fillId="2" borderId="17" xfId="0" applyNumberFormat="1" applyFont="1" applyFill="1" applyBorder="1">
      <alignment vertical="center"/>
    </xf>
    <xf numFmtId="41" fontId="112" fillId="2" borderId="19" xfId="0" applyNumberFormat="1" applyFont="1" applyFill="1" applyBorder="1">
      <alignment vertical="center"/>
    </xf>
    <xf numFmtId="0" fontId="112" fillId="0" borderId="0" xfId="0" applyFont="1" applyAlignment="1">
      <alignment horizontal="center" vertical="top"/>
    </xf>
    <xf numFmtId="0" fontId="110" fillId="0" borderId="0" xfId="0" applyFont="1" applyAlignment="1">
      <alignment horizontal="center" vertical="center"/>
    </xf>
    <xf numFmtId="9" fontId="110" fillId="0" borderId="0" xfId="0" applyNumberFormat="1" applyFont="1" applyAlignment="1">
      <alignment horizontal="center" vertical="center"/>
    </xf>
    <xf numFmtId="190" fontId="110" fillId="0" borderId="0" xfId="0" applyNumberFormat="1" applyFont="1" applyAlignment="1">
      <alignment horizontal="center" vertical="center"/>
    </xf>
    <xf numFmtId="185" fontId="110" fillId="0" borderId="0" xfId="0" applyNumberFormat="1" applyFont="1">
      <alignment vertical="center"/>
    </xf>
    <xf numFmtId="41" fontId="110" fillId="0" borderId="0" xfId="0" applyNumberFormat="1" applyFont="1">
      <alignment vertical="center"/>
    </xf>
    <xf numFmtId="41" fontId="112" fillId="0" borderId="0" xfId="0" applyNumberFormat="1" applyFont="1">
      <alignment vertical="center"/>
    </xf>
    <xf numFmtId="0" fontId="131" fillId="0" borderId="0" xfId="0" applyFont="1" applyAlignment="1">
      <alignment horizontal="left" vertical="top"/>
    </xf>
    <xf numFmtId="0" fontId="131" fillId="0" borderId="107" xfId="0" applyFont="1" applyBorder="1" applyAlignment="1">
      <alignment horizontal="left" vertical="top"/>
    </xf>
    <xf numFmtId="180" fontId="111" fillId="0" borderId="107" xfId="0" applyNumberFormat="1" applyFont="1" applyBorder="1" applyAlignment="1">
      <alignment vertical="top"/>
    </xf>
    <xf numFmtId="0" fontId="110" fillId="0" borderId="107" xfId="0" applyFont="1" applyBorder="1" applyAlignment="1">
      <alignment horizontal="center" vertical="center"/>
    </xf>
    <xf numFmtId="9" fontId="110" fillId="0" borderId="107" xfId="0" applyNumberFormat="1" applyFont="1" applyBorder="1" applyAlignment="1">
      <alignment horizontal="center" vertical="center"/>
    </xf>
    <xf numFmtId="190" fontId="110" fillId="0" borderId="107" xfId="0" applyNumberFormat="1" applyFont="1" applyBorder="1" applyAlignment="1">
      <alignment horizontal="center" vertical="center"/>
    </xf>
    <xf numFmtId="185" fontId="110" fillId="0" borderId="107" xfId="0" applyNumberFormat="1" applyFont="1" applyBorder="1">
      <alignment vertical="center"/>
    </xf>
    <xf numFmtId="41" fontId="110" fillId="0" borderId="107" xfId="0" applyNumberFormat="1" applyFont="1" applyBorder="1">
      <alignment vertical="center"/>
    </xf>
    <xf numFmtId="41" fontId="112" fillId="0" borderId="107" xfId="0" applyNumberFormat="1" applyFont="1" applyBorder="1">
      <alignment vertical="center"/>
    </xf>
    <xf numFmtId="0" fontId="152" fillId="0" borderId="0" xfId="0" applyFont="1" applyAlignment="1">
      <alignment horizontal="left" vertical="center" indent="1"/>
    </xf>
    <xf numFmtId="180" fontId="108" fillId="0" borderId="0" xfId="0" applyNumberFormat="1" applyFont="1" applyAlignment="1">
      <alignment horizontal="center" vertical="center"/>
    </xf>
    <xf numFmtId="183" fontId="152" fillId="0" borderId="0" xfId="0" applyNumberFormat="1" applyFont="1" applyAlignment="1">
      <alignment horizontal="left" vertical="center" indent="1"/>
    </xf>
    <xf numFmtId="183" fontId="154" fillId="0" borderId="0" xfId="0" applyNumberFormat="1" applyFont="1" applyAlignment="1">
      <alignment horizontal="left" vertical="center" indent="1"/>
    </xf>
    <xf numFmtId="3" fontId="108" fillId="0" borderId="0" xfId="0" applyNumberFormat="1" applyFont="1">
      <alignment vertical="center"/>
    </xf>
    <xf numFmtId="9" fontId="108" fillId="0" borderId="0" xfId="0" applyNumberFormat="1" applyFont="1">
      <alignment vertical="center"/>
    </xf>
    <xf numFmtId="0" fontId="112" fillId="4" borderId="13" xfId="0" applyFont="1" applyFill="1" applyBorder="1" applyAlignment="1">
      <alignment vertical="top"/>
    </xf>
    <xf numFmtId="0" fontId="108" fillId="4" borderId="68" xfId="0" applyFont="1" applyFill="1" applyBorder="1" applyAlignment="1">
      <alignment horizontal="center" vertical="center"/>
    </xf>
    <xf numFmtId="0" fontId="112" fillId="0" borderId="50" xfId="0" applyFont="1" applyBorder="1" applyAlignment="1">
      <alignment vertical="top"/>
    </xf>
    <xf numFmtId="0" fontId="108" fillId="0" borderId="50" xfId="0" applyFont="1" applyBorder="1" applyAlignment="1">
      <alignment horizontal="center" vertical="center"/>
    </xf>
    <xf numFmtId="9" fontId="108" fillId="0" borderId="50" xfId="0" applyNumberFormat="1" applyFont="1" applyBorder="1" applyAlignment="1">
      <alignment horizontal="center" vertical="center"/>
    </xf>
    <xf numFmtId="190" fontId="108" fillId="0" borderId="50" xfId="0" applyNumberFormat="1" applyFont="1" applyBorder="1" applyAlignment="1">
      <alignment horizontal="center" vertical="center"/>
    </xf>
    <xf numFmtId="185" fontId="108" fillId="0" borderId="50" xfId="0" applyNumberFormat="1" applyFont="1" applyBorder="1">
      <alignment vertical="center"/>
    </xf>
    <xf numFmtId="185" fontId="111" fillId="0" borderId="50" xfId="0" applyNumberFormat="1" applyFont="1" applyBorder="1">
      <alignment vertical="center"/>
    </xf>
    <xf numFmtId="41" fontId="111" fillId="0" borderId="50" xfId="0" applyNumberFormat="1" applyFont="1" applyBorder="1">
      <alignment vertical="center"/>
    </xf>
    <xf numFmtId="41" fontId="110" fillId="0" borderId="50" xfId="0" applyNumberFormat="1" applyFont="1" applyBorder="1">
      <alignment vertical="center"/>
    </xf>
    <xf numFmtId="0" fontId="131" fillId="0" borderId="0" xfId="0" applyFont="1" applyAlignment="1">
      <alignment vertical="top"/>
    </xf>
    <xf numFmtId="9" fontId="108" fillId="0" borderId="0" xfId="0" applyNumberFormat="1" applyFont="1" applyAlignment="1">
      <alignment horizontal="center" vertical="center"/>
    </xf>
    <xf numFmtId="190" fontId="108" fillId="0" borderId="0" xfId="0" applyNumberFormat="1" applyFont="1" applyAlignment="1">
      <alignment horizontal="center" vertical="center"/>
    </xf>
    <xf numFmtId="41" fontId="111" fillId="0" borderId="0" xfId="0" applyNumberFormat="1" applyFont="1">
      <alignment vertical="center"/>
    </xf>
    <xf numFmtId="180" fontId="110" fillId="4" borderId="67" xfId="0" applyNumberFormat="1" applyFont="1" applyFill="1" applyBorder="1" applyAlignment="1">
      <alignment horizontal="center" vertical="center"/>
    </xf>
    <xf numFmtId="0" fontId="108" fillId="4" borderId="20" xfId="0" applyFont="1" applyFill="1" applyBorder="1" applyAlignment="1">
      <alignment horizontal="center" vertical="center"/>
    </xf>
    <xf numFmtId="41" fontId="111" fillId="4" borderId="17" xfId="0" applyNumberFormat="1" applyFont="1" applyFill="1" applyBorder="1">
      <alignment vertical="center"/>
    </xf>
    <xf numFmtId="0" fontId="112" fillId="4" borderId="14" xfId="0" applyFont="1" applyFill="1" applyBorder="1" applyAlignment="1">
      <alignment horizontal="center" vertical="top"/>
    </xf>
    <xf numFmtId="180" fontId="111" fillId="4" borderId="26" xfId="0" applyNumberFormat="1" applyFont="1" applyFill="1" applyBorder="1" applyAlignment="1">
      <alignment horizontal="center" vertical="top"/>
    </xf>
    <xf numFmtId="0" fontId="108" fillId="4" borderId="65" xfId="0" applyFont="1" applyFill="1" applyBorder="1" applyAlignment="1">
      <alignment horizontal="center" vertical="center"/>
    </xf>
    <xf numFmtId="185" fontId="108" fillId="0" borderId="60" xfId="0" applyNumberFormat="1" applyFont="1" applyBorder="1">
      <alignment vertical="center"/>
    </xf>
    <xf numFmtId="0" fontId="112" fillId="4" borderId="108" xfId="0" applyFont="1" applyFill="1" applyBorder="1" applyAlignment="1">
      <alignment vertical="top"/>
    </xf>
    <xf numFmtId="180" fontId="111" fillId="4" borderId="10" xfId="0" applyNumberFormat="1" applyFont="1" applyFill="1" applyBorder="1" applyAlignment="1">
      <alignment vertical="top"/>
    </xf>
    <xf numFmtId="0" fontId="108" fillId="4" borderId="8" xfId="0" applyFont="1" applyFill="1" applyBorder="1" applyAlignment="1">
      <alignment horizontal="center" vertical="center"/>
    </xf>
    <xf numFmtId="190" fontId="108" fillId="4" borderId="24" xfId="0" applyNumberFormat="1" applyFont="1" applyFill="1" applyBorder="1" applyAlignment="1">
      <alignment horizontal="center" vertical="center"/>
    </xf>
    <xf numFmtId="185" fontId="108" fillId="0" borderId="69" xfId="0" applyNumberFormat="1" applyFont="1" applyBorder="1">
      <alignment vertical="center"/>
    </xf>
    <xf numFmtId="0" fontId="112" fillId="4" borderId="73" xfId="0" applyFont="1" applyFill="1" applyBorder="1" applyAlignment="1">
      <alignment horizontal="center" vertical="top"/>
    </xf>
    <xf numFmtId="180" fontId="111" fillId="4" borderId="15" xfId="0" applyNumberFormat="1" applyFont="1" applyFill="1" applyBorder="1" applyAlignment="1">
      <alignment horizontal="center" vertical="top"/>
    </xf>
    <xf numFmtId="0" fontId="108" fillId="4" borderId="45" xfId="0" applyFont="1" applyFill="1" applyBorder="1" applyAlignment="1">
      <alignment horizontal="center" vertical="center"/>
    </xf>
    <xf numFmtId="9" fontId="108" fillId="4" borderId="45" xfId="0" applyNumberFormat="1" applyFont="1" applyFill="1" applyBorder="1" applyAlignment="1">
      <alignment horizontal="center" vertical="center"/>
    </xf>
    <xf numFmtId="190" fontId="108" fillId="4" borderId="16" xfId="0" applyNumberFormat="1" applyFont="1" applyFill="1" applyBorder="1" applyAlignment="1">
      <alignment horizontal="center" vertical="center"/>
    </xf>
    <xf numFmtId="185" fontId="108" fillId="2" borderId="17" xfId="0" applyNumberFormat="1" applyFont="1" applyFill="1" applyBorder="1">
      <alignment vertical="center"/>
    </xf>
    <xf numFmtId="185" fontId="108" fillId="2" borderId="18" xfId="0" applyNumberFormat="1" applyFont="1" applyFill="1" applyBorder="1">
      <alignment vertical="center"/>
    </xf>
    <xf numFmtId="185" fontId="108" fillId="2" borderId="19" xfId="0" applyNumberFormat="1" applyFont="1" applyFill="1" applyBorder="1">
      <alignment vertical="center"/>
    </xf>
    <xf numFmtId="185" fontId="108" fillId="2" borderId="67" xfId="0" applyNumberFormat="1" applyFont="1" applyFill="1" applyBorder="1">
      <alignment vertical="center"/>
    </xf>
    <xf numFmtId="185" fontId="108" fillId="2" borderId="20" xfId="0" applyNumberFormat="1" applyFont="1" applyFill="1" applyBorder="1">
      <alignment vertical="center"/>
    </xf>
    <xf numFmtId="185" fontId="111" fillId="2" borderId="17" xfId="0" applyNumberFormat="1" applyFont="1" applyFill="1" applyBorder="1">
      <alignment vertical="center"/>
    </xf>
    <xf numFmtId="185" fontId="111" fillId="2" borderId="18" xfId="0" applyNumberFormat="1" applyFont="1" applyFill="1" applyBorder="1">
      <alignment vertical="center"/>
    </xf>
    <xf numFmtId="185" fontId="111" fillId="2" borderId="19" xfId="0" applyNumberFormat="1" applyFont="1" applyFill="1" applyBorder="1">
      <alignment vertical="center"/>
    </xf>
    <xf numFmtId="0" fontId="156" fillId="0" borderId="0" xfId="0" applyFont="1" applyAlignment="1">
      <alignment horizontal="left" vertical="center"/>
    </xf>
    <xf numFmtId="193" fontId="108" fillId="3" borderId="0" xfId="0" applyNumberFormat="1" applyFont="1" applyFill="1">
      <alignment vertical="center"/>
    </xf>
    <xf numFmtId="183" fontId="129" fillId="0" borderId="0" xfId="0" applyNumberFormat="1" applyFont="1">
      <alignment vertical="center"/>
    </xf>
    <xf numFmtId="183" fontId="108" fillId="0" borderId="0" xfId="0" applyNumberFormat="1" applyFont="1">
      <alignment vertical="center"/>
    </xf>
    <xf numFmtId="183" fontId="108" fillId="3" borderId="0" xfId="0" applyNumberFormat="1" applyFont="1" applyFill="1">
      <alignment vertical="center"/>
    </xf>
    <xf numFmtId="43" fontId="157" fillId="0" borderId="0" xfId="0" applyNumberFormat="1" applyFont="1">
      <alignment vertical="center"/>
    </xf>
    <xf numFmtId="41" fontId="110" fillId="4" borderId="58" xfId="0" applyNumberFormat="1" applyFont="1" applyFill="1" applyBorder="1">
      <alignment vertical="center"/>
    </xf>
    <xf numFmtId="41" fontId="111" fillId="4" borderId="58" xfId="0" applyNumberFormat="1" applyFont="1" applyFill="1" applyBorder="1">
      <alignment vertical="center"/>
    </xf>
    <xf numFmtId="41" fontId="110" fillId="4" borderId="13" xfId="0" applyNumberFormat="1" applyFont="1" applyFill="1" applyBorder="1">
      <alignment vertical="center"/>
    </xf>
    <xf numFmtId="41" fontId="111" fillId="4" borderId="13" xfId="0" applyNumberFormat="1" applyFont="1" applyFill="1" applyBorder="1">
      <alignment vertical="center"/>
    </xf>
    <xf numFmtId="0" fontId="109" fillId="0" borderId="0" xfId="0" applyFont="1" applyAlignment="1">
      <alignment horizontal="left" vertical="center" indent="1"/>
    </xf>
    <xf numFmtId="0" fontId="112" fillId="4" borderId="12" xfId="0" applyFont="1" applyFill="1" applyBorder="1" applyAlignment="1">
      <alignment horizontal="center" vertical="top"/>
    </xf>
    <xf numFmtId="180" fontId="111" fillId="4" borderId="28" xfId="0" applyNumberFormat="1" applyFont="1" applyFill="1" applyBorder="1" applyAlignment="1">
      <alignment horizontal="center" vertical="top"/>
    </xf>
    <xf numFmtId="183" fontId="108" fillId="4" borderId="32" xfId="0" applyNumberFormat="1" applyFont="1" applyFill="1" applyBorder="1" applyAlignment="1">
      <alignment horizontal="center" vertical="center"/>
    </xf>
    <xf numFmtId="185" fontId="108" fillId="3" borderId="62" xfId="0" applyNumberFormat="1" applyFont="1" applyFill="1" applyBorder="1">
      <alignment vertical="center"/>
    </xf>
    <xf numFmtId="185" fontId="108" fillId="3" borderId="28" xfId="0" applyNumberFormat="1" applyFont="1" applyFill="1" applyBorder="1">
      <alignment vertical="center"/>
    </xf>
    <xf numFmtId="41" fontId="108" fillId="0" borderId="32" xfId="0" applyNumberFormat="1" applyFont="1" applyBorder="1">
      <alignment vertical="center"/>
    </xf>
    <xf numFmtId="41" fontId="108" fillId="3" borderId="62" xfId="0" applyNumberFormat="1" applyFont="1" applyFill="1" applyBorder="1">
      <alignment vertical="center"/>
    </xf>
    <xf numFmtId="41" fontId="108" fillId="3" borderId="28" xfId="0" applyNumberFormat="1" applyFont="1" applyFill="1" applyBorder="1">
      <alignment vertical="center"/>
    </xf>
    <xf numFmtId="41" fontId="108" fillId="3" borderId="32" xfId="0" applyNumberFormat="1" applyFont="1" applyFill="1" applyBorder="1">
      <alignment vertical="center"/>
    </xf>
    <xf numFmtId="41" fontId="111" fillId="3" borderId="62" xfId="0" applyNumberFormat="1" applyFont="1" applyFill="1" applyBorder="1">
      <alignment vertical="center"/>
    </xf>
    <xf numFmtId="41" fontId="111" fillId="3" borderId="28" xfId="0" applyNumberFormat="1" applyFont="1" applyFill="1" applyBorder="1">
      <alignment vertical="center"/>
    </xf>
    <xf numFmtId="41" fontId="111" fillId="3" borderId="32" xfId="0" applyNumberFormat="1" applyFont="1" applyFill="1" applyBorder="1">
      <alignment vertical="center"/>
    </xf>
    <xf numFmtId="190" fontId="108" fillId="4" borderId="33" xfId="0" applyNumberFormat="1" applyFont="1" applyFill="1" applyBorder="1" applyAlignment="1">
      <alignment horizontal="center" vertical="center"/>
    </xf>
    <xf numFmtId="41" fontId="108" fillId="0" borderId="33" xfId="0" applyNumberFormat="1" applyFont="1" applyBorder="1">
      <alignment vertical="center"/>
    </xf>
    <xf numFmtId="41" fontId="108" fillId="3" borderId="33" xfId="0" applyNumberFormat="1" applyFont="1" applyFill="1" applyBorder="1">
      <alignment vertical="center"/>
    </xf>
    <xf numFmtId="41" fontId="111" fillId="3" borderId="33" xfId="0" applyNumberFormat="1" applyFont="1" applyFill="1" applyBorder="1">
      <alignment vertical="center"/>
    </xf>
    <xf numFmtId="41" fontId="110" fillId="4" borderId="59" xfId="0" applyNumberFormat="1" applyFont="1" applyFill="1" applyBorder="1">
      <alignment vertical="center"/>
    </xf>
    <xf numFmtId="41" fontId="110" fillId="4" borderId="66" xfId="0" applyNumberFormat="1" applyFont="1" applyFill="1" applyBorder="1">
      <alignment vertical="center"/>
    </xf>
    <xf numFmtId="41" fontId="110" fillId="4" borderId="68" xfId="0" applyNumberFormat="1" applyFont="1" applyFill="1" applyBorder="1">
      <alignment vertical="center"/>
    </xf>
    <xf numFmtId="41" fontId="112" fillId="4" borderId="13" xfId="0" applyNumberFormat="1" applyFont="1" applyFill="1" applyBorder="1">
      <alignment vertical="center"/>
    </xf>
    <xf numFmtId="41" fontId="112" fillId="4" borderId="59" xfId="0" applyNumberFormat="1" applyFont="1" applyFill="1" applyBorder="1">
      <alignment vertical="center"/>
    </xf>
    <xf numFmtId="41" fontId="112" fillId="4" borderId="46" xfId="0" applyNumberFormat="1" applyFont="1" applyFill="1" applyBorder="1">
      <alignment vertical="center"/>
    </xf>
    <xf numFmtId="182" fontId="114" fillId="12" borderId="64" xfId="0" applyNumberFormat="1" applyFont="1" applyFill="1" applyBorder="1">
      <alignment vertical="center"/>
    </xf>
    <xf numFmtId="182" fontId="114" fillId="12" borderId="55" xfId="0" applyNumberFormat="1" applyFont="1" applyFill="1" applyBorder="1">
      <alignment vertical="center"/>
    </xf>
    <xf numFmtId="9" fontId="114" fillId="12" borderId="35" xfId="0" applyNumberFormat="1" applyFont="1" applyFill="1" applyBorder="1">
      <alignment vertical="center"/>
    </xf>
    <xf numFmtId="182" fontId="114" fillId="12" borderId="35" xfId="0" applyNumberFormat="1" applyFont="1" applyFill="1" applyBorder="1">
      <alignment vertical="center"/>
    </xf>
    <xf numFmtId="182" fontId="91" fillId="3" borderId="28" xfId="0" applyNumberFormat="1" applyFont="1" applyFill="1" applyBorder="1" applyAlignment="1">
      <alignment horizontal="right" vertical="center"/>
    </xf>
    <xf numFmtId="182" fontId="91" fillId="10" borderId="28" xfId="0" applyNumberFormat="1" applyFont="1" applyFill="1" applyBorder="1" applyAlignment="1">
      <alignment horizontal="right" vertical="center"/>
    </xf>
    <xf numFmtId="43" fontId="114" fillId="3" borderId="0" xfId="0" applyNumberFormat="1" applyFont="1" applyFill="1" applyAlignment="1">
      <alignment horizontal="center" vertical="center"/>
    </xf>
    <xf numFmtId="41" fontId="91" fillId="3" borderId="0" xfId="0" applyNumberFormat="1" applyFont="1" applyFill="1" applyAlignment="1">
      <alignment horizontal="right" vertical="center"/>
    </xf>
    <xf numFmtId="181" fontId="91" fillId="3" borderId="0" xfId="0" applyNumberFormat="1" applyFont="1" applyFill="1" applyAlignment="1">
      <alignment horizontal="left" vertical="center" indent="2" shrinkToFit="1"/>
    </xf>
    <xf numFmtId="41" fontId="91" fillId="4" borderId="5" xfId="0" applyNumberFormat="1" applyFont="1" applyFill="1" applyBorder="1" applyAlignment="1">
      <alignment horizontal="center" vertical="center"/>
    </xf>
    <xf numFmtId="178" fontId="91" fillId="3" borderId="0" xfId="0" applyNumberFormat="1" applyFont="1" applyFill="1">
      <alignment vertical="center"/>
    </xf>
    <xf numFmtId="183" fontId="91" fillId="3" borderId="0" xfId="0" applyNumberFormat="1" applyFont="1" applyFill="1">
      <alignment vertical="center"/>
    </xf>
    <xf numFmtId="41" fontId="125" fillId="3" borderId="50" xfId="0" applyNumberFormat="1" applyFont="1" applyFill="1" applyBorder="1" applyAlignment="1">
      <alignment horizontal="center" vertical="center"/>
    </xf>
    <xf numFmtId="41" fontId="15" fillId="4" borderId="1" xfId="0" applyNumberFormat="1" applyFont="1" applyFill="1" applyBorder="1">
      <alignment vertical="center"/>
    </xf>
    <xf numFmtId="9" fontId="106" fillId="12" borderId="109" xfId="0" applyNumberFormat="1" applyFont="1" applyFill="1" applyBorder="1" applyAlignment="1">
      <alignment horizontal="center" vertical="center" wrapText="1"/>
    </xf>
    <xf numFmtId="41" fontId="14" fillId="0" borderId="0" xfId="0" applyNumberFormat="1" applyFont="1" applyAlignment="1">
      <alignment horizontal="center" vertical="center"/>
    </xf>
    <xf numFmtId="10" fontId="106" fillId="12" borderId="71" xfId="0" applyNumberFormat="1" applyFont="1" applyFill="1" applyBorder="1" applyAlignment="1">
      <alignment horizontal="right" vertical="center"/>
    </xf>
    <xf numFmtId="10" fontId="106" fillId="12" borderId="24" xfId="0" applyNumberFormat="1" applyFont="1" applyFill="1" applyBorder="1" applyAlignment="1">
      <alignment horizontal="right" vertical="center"/>
    </xf>
    <xf numFmtId="10" fontId="106" fillId="12" borderId="110" xfId="0" applyNumberFormat="1" applyFont="1" applyFill="1" applyBorder="1" applyAlignment="1">
      <alignment horizontal="right" vertical="center"/>
    </xf>
    <xf numFmtId="10" fontId="106" fillId="12" borderId="83" xfId="0" applyNumberFormat="1" applyFont="1" applyFill="1" applyBorder="1" applyAlignment="1">
      <alignment horizontal="right" vertical="center"/>
    </xf>
    <xf numFmtId="10" fontId="106" fillId="12" borderId="70" xfId="0" applyNumberFormat="1" applyFont="1" applyFill="1" applyBorder="1" applyAlignment="1">
      <alignment horizontal="right" vertical="center"/>
    </xf>
    <xf numFmtId="10" fontId="106" fillId="12" borderId="25" xfId="0" applyNumberFormat="1" applyFont="1" applyFill="1" applyBorder="1">
      <alignment vertical="center"/>
    </xf>
    <xf numFmtId="10" fontId="106" fillId="12" borderId="24" xfId="0" applyNumberFormat="1" applyFont="1" applyFill="1" applyBorder="1">
      <alignment vertical="center"/>
    </xf>
    <xf numFmtId="10" fontId="106" fillId="12" borderId="92" xfId="0" applyNumberFormat="1" applyFont="1" applyFill="1" applyBorder="1">
      <alignment vertical="center"/>
    </xf>
    <xf numFmtId="191" fontId="82" fillId="0" borderId="0" xfId="0" applyNumberFormat="1" applyFont="1">
      <alignment vertical="center"/>
    </xf>
    <xf numFmtId="191" fontId="82" fillId="0" borderId="1" xfId="0" applyNumberFormat="1" applyFont="1" applyBorder="1">
      <alignment vertical="center"/>
    </xf>
    <xf numFmtId="191" fontId="82" fillId="0" borderId="69" xfId="0" applyNumberFormat="1" applyFont="1" applyBorder="1">
      <alignment vertical="center"/>
    </xf>
    <xf numFmtId="191" fontId="82" fillId="0" borderId="114" xfId="0" applyNumberFormat="1" applyFont="1" applyBorder="1">
      <alignment vertical="center"/>
    </xf>
    <xf numFmtId="191" fontId="82" fillId="0" borderId="9" xfId="0" applyNumberFormat="1" applyFont="1" applyBorder="1">
      <alignment vertical="center"/>
    </xf>
    <xf numFmtId="191" fontId="82" fillId="0" borderId="89" xfId="0" applyNumberFormat="1" applyFont="1" applyBorder="1">
      <alignment vertical="center"/>
    </xf>
    <xf numFmtId="194" fontId="91" fillId="0" borderId="55" xfId="0" applyNumberFormat="1" applyFont="1" applyBorder="1">
      <alignment vertical="center"/>
    </xf>
    <xf numFmtId="194" fontId="91" fillId="0" borderId="1" xfId="0" applyNumberFormat="1" applyFont="1" applyBorder="1">
      <alignment vertical="center"/>
    </xf>
    <xf numFmtId="194" fontId="91" fillId="0" borderId="69" xfId="0" applyNumberFormat="1" applyFont="1" applyBorder="1">
      <alignment vertical="center"/>
    </xf>
    <xf numFmtId="185" fontId="114" fillId="4" borderId="14" xfId="0" applyNumberFormat="1" applyFont="1" applyFill="1" applyBorder="1" applyAlignment="1">
      <alignment horizontal="center" vertical="center" wrapText="1"/>
    </xf>
    <xf numFmtId="185" fontId="114" fillId="4" borderId="14" xfId="0" applyNumberFormat="1" applyFont="1" applyFill="1" applyBorder="1" applyAlignment="1">
      <alignment horizontal="center" vertical="center"/>
    </xf>
    <xf numFmtId="185" fontId="114" fillId="4" borderId="108" xfId="0" applyNumberFormat="1" applyFont="1" applyFill="1" applyBorder="1">
      <alignment vertical="center"/>
    </xf>
    <xf numFmtId="41" fontId="114" fillId="4" borderId="14" xfId="0" applyNumberFormat="1" applyFont="1" applyFill="1" applyBorder="1" applyAlignment="1">
      <alignment horizontal="right" vertical="center"/>
    </xf>
    <xf numFmtId="41" fontId="114" fillId="4" borderId="31" xfId="0" applyNumberFormat="1" applyFont="1" applyFill="1" applyBorder="1" applyAlignment="1">
      <alignment horizontal="right" vertical="center"/>
    </xf>
    <xf numFmtId="9" fontId="114" fillId="4" borderId="44" xfId="0" applyNumberFormat="1" applyFont="1" applyFill="1" applyBorder="1">
      <alignment vertical="center"/>
    </xf>
    <xf numFmtId="182" fontId="114" fillId="4" borderId="57" xfId="0" applyNumberFormat="1" applyFont="1" applyFill="1" applyBorder="1">
      <alignment vertical="center"/>
    </xf>
    <xf numFmtId="182" fontId="114" fillId="4" borderId="31" xfId="0" applyNumberFormat="1" applyFont="1" applyFill="1" applyBorder="1">
      <alignment vertical="center"/>
    </xf>
    <xf numFmtId="182" fontId="114" fillId="4" borderId="75" xfId="0" applyNumberFormat="1" applyFont="1" applyFill="1" applyBorder="1">
      <alignment vertical="center"/>
    </xf>
    <xf numFmtId="41" fontId="82" fillId="4" borderId="93" xfId="0" applyNumberFormat="1" applyFont="1" applyFill="1" applyBorder="1" applyAlignment="1">
      <alignment horizontal="left" vertical="center"/>
    </xf>
    <xf numFmtId="41" fontId="91" fillId="3" borderId="159" xfId="0" applyNumberFormat="1" applyFont="1" applyFill="1" applyBorder="1">
      <alignment vertical="center"/>
    </xf>
    <xf numFmtId="41" fontId="91" fillId="3" borderId="93" xfId="0" applyNumberFormat="1" applyFont="1" applyFill="1" applyBorder="1">
      <alignment vertical="center"/>
    </xf>
    <xf numFmtId="41" fontId="91" fillId="3" borderId="150" xfId="0" applyNumberFormat="1" applyFont="1" applyFill="1" applyBorder="1">
      <alignment vertical="center"/>
    </xf>
    <xf numFmtId="182" fontId="91" fillId="3" borderId="48" xfId="0" applyNumberFormat="1" applyFont="1" applyFill="1" applyBorder="1" applyAlignment="1">
      <alignment horizontal="right" vertical="center"/>
    </xf>
    <xf numFmtId="182" fontId="91" fillId="10" borderId="48" xfId="0" applyNumberFormat="1" applyFont="1" applyFill="1" applyBorder="1" applyAlignment="1">
      <alignment horizontal="right" vertical="center"/>
    </xf>
    <xf numFmtId="38" fontId="114" fillId="4" borderId="29" xfId="0" applyNumberFormat="1" applyFont="1" applyFill="1" applyBorder="1" applyAlignment="1">
      <alignment horizontal="center" vertical="center"/>
    </xf>
    <xf numFmtId="38" fontId="114" fillId="4" borderId="30" xfId="0" applyNumberFormat="1" applyFont="1" applyFill="1" applyBorder="1" applyAlignment="1">
      <alignment horizontal="center" vertical="center"/>
    </xf>
    <xf numFmtId="185" fontId="114" fillId="4" borderId="18" xfId="0" applyNumberFormat="1" applyFont="1" applyFill="1" applyBorder="1" applyAlignment="1">
      <alignment horizontal="center" vertical="center"/>
    </xf>
    <xf numFmtId="182" fontId="91" fillId="3" borderId="5" xfId="0" applyNumberFormat="1" applyFont="1" applyFill="1" applyBorder="1" applyAlignment="1">
      <alignment horizontal="right" vertical="center"/>
    </xf>
    <xf numFmtId="182" fontId="91" fillId="3" borderId="42" xfId="0" applyNumberFormat="1" applyFont="1" applyFill="1" applyBorder="1" applyAlignment="1">
      <alignment horizontal="right" vertical="center"/>
    </xf>
    <xf numFmtId="38" fontId="114" fillId="4" borderId="44" xfId="0" applyNumberFormat="1" applyFont="1" applyFill="1" applyBorder="1" applyAlignment="1">
      <alignment horizontal="center" vertical="center"/>
    </xf>
    <xf numFmtId="43" fontId="114" fillId="4" borderId="18" xfId="0" applyNumberFormat="1" applyFont="1" applyFill="1" applyBorder="1" applyAlignment="1">
      <alignment horizontal="center" vertical="center"/>
    </xf>
    <xf numFmtId="43" fontId="114" fillId="4" borderId="20" xfId="0" applyNumberFormat="1" applyFont="1" applyFill="1" applyBorder="1" applyAlignment="1">
      <alignment horizontal="center" vertical="center"/>
    </xf>
    <xf numFmtId="9" fontId="91" fillId="3" borderId="112" xfId="0" applyNumberFormat="1" applyFont="1" applyFill="1" applyBorder="1" applyAlignment="1">
      <alignment horizontal="center" vertical="center"/>
    </xf>
    <xf numFmtId="9" fontId="114" fillId="3" borderId="77" xfId="0" applyNumberFormat="1" applyFont="1" applyFill="1" applyBorder="1" applyAlignment="1">
      <alignment horizontal="center" vertical="center"/>
    </xf>
    <xf numFmtId="9" fontId="91" fillId="3" borderId="41" xfId="0" applyNumberFormat="1" applyFont="1" applyFill="1" applyBorder="1" applyAlignment="1">
      <alignment horizontal="center" vertical="center"/>
    </xf>
    <xf numFmtId="9" fontId="114" fillId="3" borderId="43" xfId="0" applyNumberFormat="1" applyFont="1" applyFill="1" applyBorder="1" applyAlignment="1">
      <alignment horizontal="center" vertical="center"/>
    </xf>
    <xf numFmtId="3" fontId="134" fillId="3" borderId="0" xfId="0" applyNumberFormat="1" applyFont="1" applyFill="1">
      <alignment vertical="center"/>
    </xf>
    <xf numFmtId="193" fontId="91" fillId="4" borderId="69" xfId="0" applyNumberFormat="1" applyFont="1" applyFill="1" applyBorder="1">
      <alignment vertical="center"/>
    </xf>
    <xf numFmtId="185" fontId="91" fillId="3" borderId="8" xfId="0" applyNumberFormat="1" applyFont="1" applyFill="1" applyBorder="1">
      <alignment vertical="center"/>
    </xf>
    <xf numFmtId="179" fontId="82" fillId="3" borderId="21" xfId="0" applyNumberFormat="1" applyFont="1" applyFill="1" applyBorder="1">
      <alignment vertical="center"/>
    </xf>
    <xf numFmtId="190" fontId="82" fillId="4" borderId="19" xfId="0" applyNumberFormat="1" applyFont="1" applyFill="1" applyBorder="1">
      <alignment vertical="center"/>
    </xf>
    <xf numFmtId="0" fontId="82" fillId="4" borderId="67" xfId="0" applyFont="1" applyFill="1" applyBorder="1" applyAlignment="1">
      <alignment horizontal="center" vertical="center"/>
    </xf>
    <xf numFmtId="215" fontId="91" fillId="3" borderId="55" xfId="0" applyNumberFormat="1" applyFont="1" applyFill="1" applyBorder="1">
      <alignment vertical="center"/>
    </xf>
    <xf numFmtId="215" fontId="91" fillId="3" borderId="1" xfId="0" applyNumberFormat="1" applyFont="1" applyFill="1" applyBorder="1">
      <alignment vertical="center"/>
    </xf>
    <xf numFmtId="215" fontId="91" fillId="3" borderId="69" xfId="0" applyNumberFormat="1" applyFont="1" applyFill="1" applyBorder="1">
      <alignment vertical="center"/>
    </xf>
    <xf numFmtId="215" fontId="91" fillId="3" borderId="8" xfId="0" applyNumberFormat="1" applyFont="1" applyFill="1" applyBorder="1">
      <alignment vertical="center"/>
    </xf>
    <xf numFmtId="41" fontId="82" fillId="4" borderId="68" xfId="0" applyNumberFormat="1" applyFont="1" applyFill="1" applyBorder="1" applyAlignment="1">
      <alignment vertical="center" wrapText="1"/>
    </xf>
    <xf numFmtId="41" fontId="82" fillId="4" borderId="91" xfId="0" applyNumberFormat="1" applyFont="1" applyFill="1" applyBorder="1" applyAlignment="1">
      <alignment vertical="center" wrapText="1"/>
    </xf>
    <xf numFmtId="9" fontId="82" fillId="4" borderId="19" xfId="0" applyNumberFormat="1" applyFont="1" applyFill="1" applyBorder="1">
      <alignment vertical="center"/>
    </xf>
    <xf numFmtId="9" fontId="82" fillId="4" borderId="46" xfId="0" applyNumberFormat="1" applyFont="1" applyFill="1" applyBorder="1">
      <alignment vertical="center"/>
    </xf>
    <xf numFmtId="41" fontId="82" fillId="4" borderId="18" xfId="0" applyNumberFormat="1" applyFont="1" applyFill="1" applyBorder="1" applyAlignment="1">
      <alignment horizontal="center" vertical="center"/>
    </xf>
    <xf numFmtId="41" fontId="91" fillId="4" borderId="26" xfId="0" applyNumberFormat="1" applyFont="1" applyFill="1" applyBorder="1">
      <alignment vertical="center"/>
    </xf>
    <xf numFmtId="190" fontId="82" fillId="4" borderId="107" xfId="0" applyNumberFormat="1" applyFont="1" applyFill="1" applyBorder="1" applyAlignment="1">
      <alignment horizontal="center" vertical="center"/>
    </xf>
    <xf numFmtId="190" fontId="82" fillId="4" borderId="0" xfId="0" applyNumberFormat="1" applyFont="1" applyFill="1" applyAlignment="1">
      <alignment horizontal="center" vertical="center"/>
    </xf>
    <xf numFmtId="190" fontId="15" fillId="4" borderId="0" xfId="0" applyNumberFormat="1" applyFont="1" applyFill="1">
      <alignment vertical="center"/>
    </xf>
    <xf numFmtId="190" fontId="106" fillId="4" borderId="6" xfId="0" applyNumberFormat="1" applyFont="1" applyFill="1" applyBorder="1" applyAlignment="1">
      <alignment horizontal="center" vertical="center"/>
    </xf>
    <xf numFmtId="190" fontId="82" fillId="4" borderId="115" xfId="0" applyNumberFormat="1" applyFont="1" applyFill="1" applyBorder="1" applyAlignment="1">
      <alignment horizontal="center" vertical="center"/>
    </xf>
    <xf numFmtId="190" fontId="82" fillId="4" borderId="114" xfId="0" applyNumberFormat="1" applyFont="1" applyFill="1" applyBorder="1" applyAlignment="1">
      <alignment horizontal="center" vertical="center"/>
    </xf>
    <xf numFmtId="190" fontId="82" fillId="4" borderId="85" xfId="0" applyNumberFormat="1" applyFont="1" applyFill="1" applyBorder="1" applyAlignment="1">
      <alignment horizontal="center" vertical="center"/>
    </xf>
    <xf numFmtId="190" fontId="82" fillId="4" borderId="131" xfId="0" applyNumberFormat="1" applyFont="1" applyFill="1" applyBorder="1" applyAlignment="1">
      <alignment horizontal="center" vertical="center"/>
    </xf>
    <xf numFmtId="190" fontId="114" fillId="4" borderId="45" xfId="0" applyNumberFormat="1" applyFont="1" applyFill="1" applyBorder="1" applyAlignment="1">
      <alignment horizontal="center" vertical="center"/>
    </xf>
    <xf numFmtId="190" fontId="82" fillId="4" borderId="50" xfId="0" applyNumberFormat="1" applyFont="1" applyFill="1" applyBorder="1" applyAlignment="1">
      <alignment horizontal="center" vertical="center"/>
    </xf>
    <xf numFmtId="192" fontId="82" fillId="4" borderId="0" xfId="0" applyNumberFormat="1" applyFont="1" applyFill="1" applyAlignment="1">
      <alignment horizontal="center" vertical="center"/>
    </xf>
    <xf numFmtId="192" fontId="82" fillId="4" borderId="6" xfId="0" applyNumberFormat="1" applyFont="1" applyFill="1" applyBorder="1" applyAlignment="1">
      <alignment horizontal="center" vertical="center"/>
    </xf>
    <xf numFmtId="190" fontId="106" fillId="4" borderId="45" xfId="0" applyNumberFormat="1" applyFont="1" applyFill="1" applyBorder="1" applyAlignment="1">
      <alignment horizontal="center" vertical="center"/>
    </xf>
    <xf numFmtId="185" fontId="82" fillId="4" borderId="0" xfId="0" applyNumberFormat="1" applyFont="1" applyFill="1" applyAlignment="1">
      <alignment horizontal="center" vertical="center"/>
    </xf>
    <xf numFmtId="0" fontId="82" fillId="4" borderId="45" xfId="0" applyFont="1" applyFill="1" applyBorder="1" applyAlignment="1">
      <alignment horizontal="center" vertical="center"/>
    </xf>
    <xf numFmtId="190" fontId="82" fillId="4" borderId="71" xfId="0" applyNumberFormat="1" applyFont="1" applyFill="1" applyBorder="1" applyAlignment="1">
      <alignment horizontal="center" vertical="center"/>
    </xf>
    <xf numFmtId="190" fontId="82" fillId="4" borderId="58" xfId="0" applyNumberFormat="1" applyFont="1" applyFill="1" applyBorder="1" applyAlignment="1">
      <alignment horizontal="center" vertical="center"/>
    </xf>
    <xf numFmtId="190" fontId="15" fillId="4" borderId="55" xfId="0" applyNumberFormat="1" applyFont="1" applyFill="1" applyBorder="1">
      <alignment vertical="center"/>
    </xf>
    <xf numFmtId="190" fontId="82" fillId="4" borderId="26" xfId="0" applyNumberFormat="1" applyFont="1" applyFill="1" applyBorder="1" applyAlignment="1">
      <alignment horizontal="center" vertical="center"/>
    </xf>
    <xf numFmtId="190" fontId="15" fillId="4" borderId="10" xfId="0" applyNumberFormat="1" applyFont="1" applyFill="1" applyBorder="1">
      <alignment vertical="center"/>
    </xf>
    <xf numFmtId="41" fontId="114" fillId="4" borderId="71" xfId="0" applyNumberFormat="1" applyFont="1" applyFill="1" applyBorder="1" applyAlignment="1">
      <alignment horizontal="right" vertical="center"/>
    </xf>
    <xf numFmtId="190" fontId="15" fillId="4" borderId="1" xfId="0" applyNumberFormat="1" applyFont="1" applyFill="1" applyBorder="1">
      <alignment vertical="center"/>
    </xf>
    <xf numFmtId="190" fontId="82" fillId="4" borderId="64" xfId="0" applyNumberFormat="1" applyFont="1" applyFill="1" applyBorder="1" applyAlignment="1">
      <alignment horizontal="center" vertical="center"/>
    </xf>
    <xf numFmtId="190" fontId="82" fillId="4" borderId="35" xfId="0" applyNumberFormat="1" applyFont="1" applyFill="1" applyBorder="1" applyAlignment="1">
      <alignment horizontal="center" vertical="center"/>
    </xf>
    <xf numFmtId="190" fontId="106" fillId="4" borderId="12" xfId="0" applyNumberFormat="1" applyFont="1" applyFill="1" applyBorder="1" applyAlignment="1">
      <alignment horizontal="center" vertical="center"/>
    </xf>
    <xf numFmtId="190" fontId="82" fillId="4" borderId="55" xfId="0" applyNumberFormat="1" applyFont="1" applyFill="1" applyBorder="1" applyAlignment="1">
      <alignment horizontal="center" vertical="center"/>
    </xf>
    <xf numFmtId="190" fontId="82" fillId="4" borderId="86" xfId="0" applyNumberFormat="1" applyFont="1" applyFill="1" applyBorder="1" applyAlignment="1">
      <alignment horizontal="center" vertical="center"/>
    </xf>
    <xf numFmtId="190" fontId="82" fillId="4" borderId="88" xfId="0" applyNumberFormat="1" applyFont="1" applyFill="1" applyBorder="1" applyAlignment="1">
      <alignment horizontal="center" vertical="center"/>
    </xf>
    <xf numFmtId="190" fontId="82" fillId="4" borderId="128" xfId="0" applyNumberFormat="1" applyFont="1" applyFill="1" applyBorder="1" applyAlignment="1">
      <alignment horizontal="center" vertical="center"/>
    </xf>
    <xf numFmtId="190" fontId="82" fillId="4" borderId="72" xfId="0" applyNumberFormat="1" applyFont="1" applyFill="1" applyBorder="1" applyAlignment="1">
      <alignment horizontal="center" vertical="center"/>
    </xf>
    <xf numFmtId="190" fontId="82" fillId="4" borderId="56" xfId="0" applyNumberFormat="1" applyFont="1" applyFill="1" applyBorder="1" applyAlignment="1">
      <alignment horizontal="center" vertical="center"/>
    </xf>
    <xf numFmtId="190" fontId="106" fillId="4" borderId="62" xfId="0" applyNumberFormat="1" applyFont="1" applyFill="1" applyBorder="1" applyAlignment="1">
      <alignment horizontal="center" vertical="center"/>
    </xf>
    <xf numFmtId="190" fontId="82" fillId="4" borderId="10" xfId="0" applyNumberFormat="1" applyFont="1" applyFill="1" applyBorder="1" applyAlignment="1">
      <alignment horizontal="center" vertical="center"/>
    </xf>
    <xf numFmtId="190" fontId="82" fillId="4" borderId="87" xfId="0" applyNumberFormat="1" applyFont="1" applyFill="1" applyBorder="1" applyAlignment="1">
      <alignment horizontal="center" vertical="center"/>
    </xf>
    <xf numFmtId="190" fontId="82" fillId="4" borderId="90" xfId="0" applyNumberFormat="1" applyFont="1" applyFill="1" applyBorder="1" applyAlignment="1">
      <alignment horizontal="center" vertical="center"/>
    </xf>
    <xf numFmtId="190" fontId="82" fillId="4" borderId="149" xfId="0" applyNumberFormat="1" applyFont="1" applyFill="1" applyBorder="1" applyAlignment="1">
      <alignment horizontal="center" vertical="center"/>
    </xf>
    <xf numFmtId="190" fontId="82" fillId="4" borderId="27" xfId="0" applyNumberFormat="1" applyFont="1" applyFill="1" applyBorder="1" applyAlignment="1">
      <alignment horizontal="center" vertical="center"/>
    </xf>
    <xf numFmtId="190" fontId="82" fillId="4" borderId="61" xfId="0" applyNumberFormat="1" applyFont="1" applyFill="1" applyBorder="1" applyAlignment="1">
      <alignment horizontal="center" vertical="center"/>
    </xf>
    <xf numFmtId="190" fontId="82" fillId="4" borderId="5" xfId="0" applyNumberFormat="1" applyFont="1" applyFill="1" applyBorder="1" applyAlignment="1">
      <alignment horizontal="center" vertical="center"/>
    </xf>
    <xf numFmtId="190" fontId="106" fillId="4" borderId="28" xfId="0" applyNumberFormat="1" applyFont="1" applyFill="1" applyBorder="1" applyAlignment="1">
      <alignment horizontal="center" vertical="center"/>
    </xf>
    <xf numFmtId="190" fontId="82" fillId="4" borderId="1" xfId="0" applyNumberFormat="1" applyFont="1" applyFill="1" applyBorder="1" applyAlignment="1">
      <alignment horizontal="center" vertical="center"/>
    </xf>
    <xf numFmtId="190" fontId="82" fillId="4" borderId="11" xfId="0" applyNumberFormat="1" applyFont="1" applyFill="1" applyBorder="1" applyAlignment="1">
      <alignment horizontal="center" vertical="center"/>
    </xf>
    <xf numFmtId="190" fontId="82" fillId="4" borderId="9" xfId="0" applyNumberFormat="1" applyFont="1" applyFill="1" applyBorder="1" applyAlignment="1">
      <alignment horizontal="center" vertical="center"/>
    </xf>
    <xf numFmtId="190" fontId="82" fillId="4" borderId="4" xfId="0" applyNumberFormat="1" applyFont="1" applyFill="1" applyBorder="1" applyAlignment="1">
      <alignment horizontal="center" vertical="center"/>
    </xf>
    <xf numFmtId="0" fontId="31" fillId="4" borderId="18" xfId="0" applyFont="1" applyFill="1" applyBorder="1" applyAlignment="1">
      <alignment horizontal="center" vertical="center"/>
    </xf>
    <xf numFmtId="41" fontId="82" fillId="0" borderId="24" xfId="0" applyNumberFormat="1" applyFont="1" applyBorder="1">
      <alignment vertical="center"/>
    </xf>
    <xf numFmtId="185" fontId="106" fillId="4" borderId="16" xfId="0" applyNumberFormat="1" applyFont="1" applyFill="1" applyBorder="1">
      <alignment vertical="center"/>
    </xf>
    <xf numFmtId="41" fontId="82" fillId="0" borderId="21" xfId="0" applyNumberFormat="1" applyFont="1" applyBorder="1">
      <alignment vertical="center"/>
    </xf>
    <xf numFmtId="185" fontId="106" fillId="4" borderId="15" xfId="0" applyNumberFormat="1" applyFont="1" applyFill="1" applyBorder="1">
      <alignment vertical="center"/>
    </xf>
    <xf numFmtId="41" fontId="91" fillId="4" borderId="59" xfId="0" applyNumberFormat="1" applyFont="1" applyFill="1" applyBorder="1" applyAlignment="1">
      <alignment horizontal="left" vertical="center"/>
    </xf>
    <xf numFmtId="41" fontId="106" fillId="4" borderId="73" xfId="0" applyNumberFormat="1" applyFont="1" applyFill="1" applyBorder="1">
      <alignment vertical="center"/>
    </xf>
    <xf numFmtId="41" fontId="114" fillId="4" borderId="92" xfId="0" applyNumberFormat="1" applyFont="1" applyFill="1" applyBorder="1">
      <alignment vertical="center"/>
    </xf>
    <xf numFmtId="41" fontId="106" fillId="4" borderId="66" xfId="0" applyNumberFormat="1" applyFont="1" applyFill="1" applyBorder="1">
      <alignment vertical="center"/>
    </xf>
    <xf numFmtId="41" fontId="91" fillId="4" borderId="129" xfId="0" applyNumberFormat="1" applyFont="1" applyFill="1" applyBorder="1">
      <alignment vertical="center"/>
    </xf>
    <xf numFmtId="41" fontId="82" fillId="4" borderId="133" xfId="0" applyNumberFormat="1" applyFont="1" applyFill="1" applyBorder="1" applyAlignment="1">
      <alignment vertical="center" shrinkToFit="1"/>
    </xf>
    <xf numFmtId="0" fontId="114" fillId="4" borderId="0" xfId="0" applyFont="1" applyFill="1" applyAlignment="1">
      <alignment horizontal="center" vertical="center"/>
    </xf>
    <xf numFmtId="41" fontId="127" fillId="4" borderId="18" xfId="0" applyNumberFormat="1" applyFont="1" applyFill="1" applyBorder="1">
      <alignment vertical="center"/>
    </xf>
    <xf numFmtId="41" fontId="127" fillId="4" borderId="19" xfId="0" applyNumberFormat="1" applyFont="1" applyFill="1" applyBorder="1">
      <alignment vertical="center"/>
    </xf>
    <xf numFmtId="41" fontId="127" fillId="4" borderId="67" xfId="0" applyNumberFormat="1" applyFont="1" applyFill="1" applyBorder="1">
      <alignment vertical="center"/>
    </xf>
    <xf numFmtId="41" fontId="127" fillId="4" borderId="17" xfId="0" applyNumberFormat="1" applyFont="1" applyFill="1" applyBorder="1">
      <alignment vertical="center"/>
    </xf>
    <xf numFmtId="0" fontId="114" fillId="2" borderId="0" xfId="0" applyFont="1" applyFill="1" applyAlignment="1">
      <alignment horizontal="center" vertical="center"/>
    </xf>
    <xf numFmtId="41" fontId="116" fillId="2" borderId="0" xfId="0" applyNumberFormat="1" applyFont="1" applyFill="1" applyAlignment="1">
      <alignment horizontal="right" vertical="center"/>
    </xf>
    <xf numFmtId="9" fontId="116" fillId="2" borderId="0" xfId="0" applyNumberFormat="1" applyFont="1" applyFill="1" applyAlignment="1">
      <alignment horizontal="right" vertical="center"/>
    </xf>
    <xf numFmtId="0" fontId="106" fillId="3" borderId="91" xfId="0" applyFont="1" applyFill="1" applyBorder="1">
      <alignment vertical="center"/>
    </xf>
    <xf numFmtId="180" fontId="114" fillId="3" borderId="91" xfId="0" applyNumberFormat="1" applyFont="1" applyFill="1" applyBorder="1" applyAlignment="1">
      <alignment horizontal="center" vertical="center"/>
    </xf>
    <xf numFmtId="0" fontId="109" fillId="4" borderId="15" xfId="0" applyFont="1" applyFill="1" applyBorder="1">
      <alignment vertical="center"/>
    </xf>
    <xf numFmtId="180" fontId="91" fillId="4" borderId="45" xfId="0" applyNumberFormat="1" applyFont="1" applyFill="1" applyBorder="1" applyAlignment="1">
      <alignment horizontal="center" vertical="center"/>
    </xf>
    <xf numFmtId="41" fontId="82" fillId="4" borderId="20" xfId="0" applyNumberFormat="1" applyFont="1" applyFill="1" applyBorder="1" applyAlignment="1">
      <alignment horizontal="left" vertical="center"/>
    </xf>
    <xf numFmtId="41" fontId="91" fillId="3" borderId="16" xfId="0" applyNumberFormat="1" applyFont="1" applyFill="1" applyBorder="1">
      <alignment vertical="center"/>
    </xf>
    <xf numFmtId="41" fontId="82" fillId="3" borderId="17" xfId="0" applyNumberFormat="1" applyFont="1" applyFill="1" applyBorder="1">
      <alignment vertical="center"/>
    </xf>
    <xf numFmtId="41" fontId="82" fillId="3" borderId="18" xfId="0" applyNumberFormat="1" applyFont="1" applyFill="1" applyBorder="1">
      <alignment vertical="center"/>
    </xf>
    <xf numFmtId="41" fontId="82" fillId="3" borderId="19" xfId="0" applyNumberFormat="1" applyFont="1" applyFill="1" applyBorder="1">
      <alignment vertical="center"/>
    </xf>
    <xf numFmtId="41" fontId="106" fillId="3" borderId="29" xfId="0" applyNumberFormat="1" applyFont="1" applyFill="1" applyBorder="1">
      <alignment vertical="center"/>
    </xf>
    <xf numFmtId="41" fontId="91" fillId="3" borderId="79" xfId="0" applyNumberFormat="1" applyFont="1" applyFill="1" applyBorder="1">
      <alignment vertical="center"/>
    </xf>
    <xf numFmtId="41" fontId="82" fillId="3" borderId="4" xfId="0" applyNumberFormat="1" applyFont="1" applyFill="1" applyBorder="1">
      <alignment vertical="center"/>
    </xf>
    <xf numFmtId="41" fontId="82" fillId="3" borderId="129" xfId="0" applyNumberFormat="1" applyFont="1" applyFill="1" applyBorder="1">
      <alignment vertical="center"/>
    </xf>
    <xf numFmtId="182" fontId="118" fillId="2" borderId="40" xfId="0" applyNumberFormat="1" applyFont="1" applyFill="1" applyBorder="1" applyAlignment="1">
      <alignment horizontal="right" vertical="center"/>
    </xf>
    <xf numFmtId="41" fontId="82" fillId="3" borderId="193" xfId="0" applyNumberFormat="1" applyFont="1" applyFill="1" applyBorder="1">
      <alignment vertical="center"/>
    </xf>
    <xf numFmtId="41" fontId="91" fillId="3" borderId="149" xfId="0" applyNumberFormat="1" applyFont="1" applyFill="1" applyBorder="1">
      <alignment vertical="center"/>
    </xf>
    <xf numFmtId="9" fontId="114" fillId="4" borderId="16" xfId="0" applyNumberFormat="1" applyFont="1" applyFill="1" applyBorder="1">
      <alignment vertical="center"/>
    </xf>
    <xf numFmtId="0" fontId="91" fillId="4" borderId="29" xfId="0" applyFont="1" applyFill="1" applyBorder="1" applyAlignment="1">
      <alignment horizontal="left" vertical="center" indent="1"/>
    </xf>
    <xf numFmtId="9" fontId="91" fillId="4" borderId="3" xfId="0" applyNumberFormat="1" applyFont="1" applyFill="1" applyBorder="1">
      <alignment vertical="center"/>
    </xf>
    <xf numFmtId="193" fontId="91" fillId="4" borderId="3" xfId="0" applyNumberFormat="1" applyFont="1" applyFill="1" applyBorder="1">
      <alignment vertical="center"/>
    </xf>
    <xf numFmtId="41" fontId="91" fillId="4" borderId="63" xfId="0" applyNumberFormat="1" applyFont="1" applyFill="1" applyBorder="1">
      <alignment vertical="center"/>
    </xf>
    <xf numFmtId="180" fontId="116" fillId="0" borderId="0" xfId="0" applyNumberFormat="1" applyFont="1">
      <alignment vertical="center"/>
    </xf>
    <xf numFmtId="192" fontId="108" fillId="0" borderId="0" xfId="0" applyNumberFormat="1" applyFont="1">
      <alignment vertical="center"/>
    </xf>
    <xf numFmtId="41" fontId="91" fillId="3" borderId="84" xfId="0" applyNumberFormat="1" applyFont="1" applyFill="1" applyBorder="1" applyAlignment="1">
      <alignment horizontal="center" vertical="center"/>
    </xf>
    <xf numFmtId="41" fontId="91" fillId="3" borderId="111" xfId="0" applyNumberFormat="1" applyFont="1" applyFill="1" applyBorder="1" applyAlignment="1">
      <alignment horizontal="center" vertical="center"/>
    </xf>
    <xf numFmtId="41" fontId="91" fillId="3" borderId="112" xfId="0" applyNumberFormat="1" applyFont="1" applyFill="1" applyBorder="1" applyAlignment="1">
      <alignment horizontal="center" vertical="center"/>
    </xf>
    <xf numFmtId="9" fontId="116" fillId="3" borderId="0" xfId="0" applyNumberFormat="1" applyFont="1" applyFill="1" applyAlignment="1">
      <alignment horizontal="right" vertical="center"/>
    </xf>
    <xf numFmtId="41" fontId="106" fillId="4" borderId="16" xfId="0" applyNumberFormat="1" applyFont="1" applyFill="1" applyBorder="1" applyAlignment="1">
      <alignment horizontal="center" vertical="center"/>
    </xf>
    <xf numFmtId="41" fontId="82" fillId="4" borderId="194" xfId="0" applyNumberFormat="1" applyFont="1" applyFill="1" applyBorder="1">
      <alignment vertical="center"/>
    </xf>
    <xf numFmtId="41" fontId="82" fillId="4" borderId="123" xfId="0" applyNumberFormat="1" applyFont="1" applyFill="1" applyBorder="1">
      <alignment vertical="center"/>
    </xf>
    <xf numFmtId="182" fontId="118" fillId="0" borderId="0" xfId="0" applyNumberFormat="1" applyFont="1" applyAlignment="1">
      <alignment horizontal="right" vertical="center"/>
    </xf>
    <xf numFmtId="182" fontId="118" fillId="0" borderId="0" xfId="0" applyNumberFormat="1" applyFont="1">
      <alignment vertical="center"/>
    </xf>
    <xf numFmtId="0" fontId="91" fillId="4" borderId="37" xfId="0" applyFont="1" applyFill="1" applyBorder="1" applyAlignment="1">
      <alignment horizontal="center" vertical="center"/>
    </xf>
    <xf numFmtId="182" fontId="82" fillId="0" borderId="34" xfId="0" applyNumberFormat="1" applyFont="1" applyBorder="1">
      <alignment vertical="center"/>
    </xf>
    <xf numFmtId="182" fontId="82" fillId="0" borderId="72" xfId="0" applyNumberFormat="1" applyFont="1" applyBorder="1">
      <alignment vertical="center"/>
    </xf>
    <xf numFmtId="182" fontId="82" fillId="0" borderId="61" xfId="0" applyNumberFormat="1" applyFont="1" applyBorder="1">
      <alignment vertical="center"/>
    </xf>
    <xf numFmtId="182" fontId="82" fillId="0" borderId="63" xfId="0" applyNumberFormat="1" applyFont="1" applyBorder="1">
      <alignment vertical="center"/>
    </xf>
    <xf numFmtId="182" fontId="82" fillId="0" borderId="64" xfId="0" applyNumberFormat="1" applyFont="1" applyBorder="1">
      <alignment vertical="center"/>
    </xf>
    <xf numFmtId="182" fontId="91" fillId="0" borderId="57" xfId="0" applyNumberFormat="1" applyFont="1" applyBorder="1">
      <alignment vertical="center"/>
    </xf>
    <xf numFmtId="0" fontId="127" fillId="2" borderId="36" xfId="0" applyFont="1" applyFill="1" applyBorder="1" applyAlignment="1">
      <alignment horizontal="center" vertical="center"/>
    </xf>
    <xf numFmtId="41" fontId="11" fillId="26" borderId="17" xfId="0" applyNumberFormat="1" applyFont="1" applyFill="1" applyBorder="1" applyAlignment="1"/>
    <xf numFmtId="41" fontId="11" fillId="26" borderId="18" xfId="0" applyNumberFormat="1" applyFont="1" applyFill="1" applyBorder="1" applyAlignment="1"/>
    <xf numFmtId="41" fontId="11" fillId="26" borderId="20" xfId="0" applyNumberFormat="1" applyFont="1" applyFill="1" applyBorder="1" applyAlignment="1"/>
    <xf numFmtId="180" fontId="114" fillId="3" borderId="19" xfId="0" applyNumberFormat="1" applyFont="1" applyFill="1" applyBorder="1">
      <alignment vertical="center"/>
    </xf>
    <xf numFmtId="180" fontId="114" fillId="3" borderId="45" xfId="0" applyNumberFormat="1" applyFont="1" applyFill="1" applyBorder="1">
      <alignment vertical="center"/>
    </xf>
    <xf numFmtId="180" fontId="114" fillId="3" borderId="20" xfId="0" applyNumberFormat="1" applyFont="1" applyFill="1" applyBorder="1">
      <alignment vertical="center"/>
    </xf>
    <xf numFmtId="180" fontId="114" fillId="3" borderId="15" xfId="0" applyNumberFormat="1" applyFont="1" applyFill="1" applyBorder="1">
      <alignment vertical="center"/>
    </xf>
    <xf numFmtId="0" fontId="125" fillId="3" borderId="0" xfId="0" applyFont="1" applyFill="1" applyAlignment="1">
      <alignment horizontal="center" vertical="center"/>
    </xf>
    <xf numFmtId="205" fontId="119" fillId="0" borderId="0" xfId="0" applyNumberFormat="1" applyFont="1" applyAlignment="1">
      <alignment horizontal="center" vertical="center"/>
    </xf>
    <xf numFmtId="185" fontId="91" fillId="3" borderId="0" xfId="0" applyNumberFormat="1" applyFont="1" applyFill="1" applyAlignment="1">
      <alignment horizontal="left" vertical="center" indent="1"/>
    </xf>
    <xf numFmtId="41" fontId="82" fillId="4" borderId="194" xfId="0" applyNumberFormat="1" applyFont="1" applyFill="1" applyBorder="1" applyAlignment="1">
      <alignment horizontal="left" vertical="center"/>
    </xf>
    <xf numFmtId="41" fontId="82" fillId="4" borderId="195" xfId="0" applyNumberFormat="1" applyFont="1" applyFill="1" applyBorder="1" applyAlignment="1">
      <alignment horizontal="left" vertical="center"/>
    </xf>
    <xf numFmtId="41" fontId="82" fillId="4" borderId="121" xfId="0" applyNumberFormat="1" applyFont="1" applyFill="1" applyBorder="1" applyAlignment="1">
      <alignment horizontal="left" vertical="center"/>
    </xf>
    <xf numFmtId="41" fontId="82" fillId="4" borderId="117" xfId="0" applyNumberFormat="1" applyFont="1" applyFill="1" applyBorder="1" applyAlignment="1">
      <alignment horizontal="left" vertical="center"/>
    </xf>
    <xf numFmtId="190" fontId="82" fillId="4" borderId="60" xfId="0" applyNumberFormat="1" applyFont="1" applyFill="1" applyBorder="1" applyAlignment="1">
      <alignment horizontal="center" vertical="center"/>
    </xf>
    <xf numFmtId="183" fontId="108" fillId="3" borderId="0" xfId="0" applyNumberFormat="1" applyFont="1" applyFill="1" applyAlignment="1"/>
    <xf numFmtId="0" fontId="160" fillId="3" borderId="0" xfId="0" applyFont="1" applyFill="1">
      <alignment vertical="center"/>
    </xf>
    <xf numFmtId="0" fontId="127" fillId="3" borderId="0" xfId="0" applyFont="1" applyFill="1">
      <alignment vertical="center"/>
    </xf>
    <xf numFmtId="41" fontId="127" fillId="4" borderId="38" xfId="0" applyNumberFormat="1" applyFont="1" applyFill="1" applyBorder="1" applyAlignment="1">
      <alignment horizontal="left" vertical="center" indent="1"/>
    </xf>
    <xf numFmtId="41" fontId="91" fillId="3" borderId="8" xfId="0" applyNumberFormat="1" applyFont="1" applyFill="1" applyBorder="1" applyAlignment="1">
      <alignment horizontal="right" vertical="center"/>
    </xf>
    <xf numFmtId="41" fontId="91" fillId="3" borderId="21" xfId="0" applyNumberFormat="1" applyFont="1" applyFill="1" applyBorder="1" applyAlignment="1">
      <alignment horizontal="right" vertical="center"/>
    </xf>
    <xf numFmtId="9" fontId="91" fillId="3" borderId="107" xfId="0" applyNumberFormat="1" applyFont="1" applyFill="1" applyBorder="1">
      <alignment vertical="center"/>
    </xf>
    <xf numFmtId="9" fontId="91" fillId="3" borderId="38" xfId="0" applyNumberFormat="1" applyFont="1" applyFill="1" applyBorder="1">
      <alignment vertical="center"/>
    </xf>
    <xf numFmtId="182" fontId="91" fillId="3" borderId="0" xfId="0" applyNumberFormat="1" applyFont="1" applyFill="1">
      <alignment vertical="center"/>
    </xf>
    <xf numFmtId="182" fontId="91" fillId="3" borderId="21" xfId="0" applyNumberFormat="1" applyFont="1" applyFill="1" applyBorder="1">
      <alignment vertical="center"/>
    </xf>
    <xf numFmtId="182" fontId="106" fillId="3" borderId="39" xfId="0" applyNumberFormat="1" applyFont="1" applyFill="1" applyBorder="1">
      <alignment vertical="center"/>
    </xf>
    <xf numFmtId="182" fontId="106" fillId="3" borderId="6" xfId="0" applyNumberFormat="1" applyFont="1" applyFill="1" applyBorder="1">
      <alignment vertical="center"/>
    </xf>
    <xf numFmtId="182" fontId="106" fillId="3" borderId="48" xfId="0" applyNumberFormat="1" applyFont="1" applyFill="1" applyBorder="1">
      <alignment vertical="center"/>
    </xf>
    <xf numFmtId="182" fontId="106" fillId="3" borderId="33" xfId="0" applyNumberFormat="1" applyFont="1" applyFill="1" applyBorder="1">
      <alignment vertical="center"/>
    </xf>
    <xf numFmtId="182" fontId="106" fillId="4" borderId="30" xfId="0" applyNumberFormat="1" applyFont="1" applyFill="1" applyBorder="1">
      <alignment vertical="center"/>
    </xf>
    <xf numFmtId="41" fontId="82" fillId="3" borderId="81" xfId="0" applyNumberFormat="1" applyFont="1" applyFill="1" applyBorder="1" applyAlignment="1">
      <alignment vertical="center" shrinkToFit="1"/>
    </xf>
    <xf numFmtId="42" fontId="82" fillId="4" borderId="89" xfId="0" applyNumberFormat="1" applyFont="1" applyFill="1" applyBorder="1">
      <alignment vertical="center"/>
    </xf>
    <xf numFmtId="192" fontId="82" fillId="2" borderId="0" xfId="0" applyNumberFormat="1" applyFont="1" applyFill="1" applyAlignment="1">
      <alignment horizontal="center" vertical="center"/>
    </xf>
    <xf numFmtId="192" fontId="82" fillId="4" borderId="47" xfId="0" applyNumberFormat="1" applyFont="1" applyFill="1" applyBorder="1" applyAlignment="1">
      <alignment horizontal="center" vertical="center"/>
    </xf>
    <xf numFmtId="192" fontId="82" fillId="2" borderId="107" xfId="0" applyNumberFormat="1" applyFont="1" applyFill="1" applyBorder="1" applyAlignment="1">
      <alignment horizontal="center" vertical="center"/>
    </xf>
    <xf numFmtId="178" fontId="108" fillId="3" borderId="0" xfId="0" applyNumberFormat="1" applyFont="1" applyFill="1" applyAlignment="1"/>
    <xf numFmtId="43" fontId="125" fillId="3" borderId="0" xfId="0" applyNumberFormat="1" applyFont="1" applyFill="1" applyAlignment="1">
      <alignment horizontal="center" vertical="center"/>
    </xf>
    <xf numFmtId="41" fontId="125" fillId="3" borderId="0" xfId="0" applyNumberFormat="1" applyFont="1" applyFill="1" applyAlignment="1">
      <alignment horizontal="center" vertical="center"/>
    </xf>
    <xf numFmtId="181" fontId="119" fillId="3" borderId="0" xfId="0" applyNumberFormat="1" applyFont="1" applyFill="1" applyAlignment="1">
      <alignment horizontal="left" vertical="center" shrinkToFit="1"/>
    </xf>
    <xf numFmtId="181" fontId="119" fillId="3" borderId="0" xfId="0" applyNumberFormat="1" applyFont="1" applyFill="1">
      <alignment vertical="center"/>
    </xf>
    <xf numFmtId="181" fontId="139" fillId="3" borderId="0" xfId="0" applyNumberFormat="1" applyFont="1" applyFill="1">
      <alignment vertical="center"/>
    </xf>
    <xf numFmtId="183" fontId="162" fillId="3" borderId="0" xfId="0" applyNumberFormat="1" applyFont="1" applyFill="1">
      <alignment vertical="center"/>
    </xf>
    <xf numFmtId="41" fontId="82" fillId="0" borderId="10" xfId="0" applyNumberFormat="1" applyFont="1" applyBorder="1">
      <alignment vertical="center"/>
    </xf>
    <xf numFmtId="41" fontId="82" fillId="3" borderId="91" xfId="0" applyNumberFormat="1" applyFont="1" applyFill="1" applyBorder="1">
      <alignment vertical="center"/>
    </xf>
    <xf numFmtId="41" fontId="15" fillId="3" borderId="58" xfId="0" applyNumberFormat="1" applyFont="1" applyFill="1" applyBorder="1">
      <alignment vertical="center"/>
    </xf>
    <xf numFmtId="41" fontId="15" fillId="3" borderId="27" xfId="0" applyNumberFormat="1" applyFont="1" applyFill="1" applyBorder="1">
      <alignment vertical="center"/>
    </xf>
    <xf numFmtId="41" fontId="15" fillId="3" borderId="60" xfId="0" applyNumberFormat="1" applyFont="1" applyFill="1" applyBorder="1">
      <alignment vertical="center"/>
    </xf>
    <xf numFmtId="41" fontId="15" fillId="3" borderId="26" xfId="0" applyNumberFormat="1" applyFont="1" applyFill="1" applyBorder="1">
      <alignment vertical="center"/>
    </xf>
    <xf numFmtId="41" fontId="15" fillId="3" borderId="55" xfId="0" applyNumberFormat="1" applyFont="1" applyFill="1" applyBorder="1">
      <alignment vertical="center"/>
    </xf>
    <xf numFmtId="41" fontId="15" fillId="3" borderId="1" xfId="0" applyNumberFormat="1" applyFont="1" applyFill="1" applyBorder="1">
      <alignment vertical="center"/>
    </xf>
    <xf numFmtId="41" fontId="15" fillId="3" borderId="69" xfId="0" applyNumberFormat="1" applyFont="1" applyFill="1" applyBorder="1">
      <alignment vertical="center"/>
    </xf>
    <xf numFmtId="41" fontId="15" fillId="3" borderId="10" xfId="0" applyNumberFormat="1" applyFont="1" applyFill="1" applyBorder="1">
      <alignment vertical="center"/>
    </xf>
    <xf numFmtId="41" fontId="15" fillId="3" borderId="8" xfId="0" applyNumberFormat="1" applyFont="1" applyFill="1" applyBorder="1">
      <alignment vertical="center"/>
    </xf>
    <xf numFmtId="41" fontId="15" fillId="3" borderId="86" xfId="0" applyNumberFormat="1" applyFont="1" applyFill="1" applyBorder="1">
      <alignment vertical="center"/>
    </xf>
    <xf numFmtId="41" fontId="15" fillId="3" borderId="11" xfId="0" applyNumberFormat="1" applyFont="1" applyFill="1" applyBorder="1">
      <alignment vertical="center"/>
    </xf>
    <xf numFmtId="41" fontId="15" fillId="3" borderId="54" xfId="0" applyNumberFormat="1" applyFont="1" applyFill="1" applyBorder="1">
      <alignment vertical="center"/>
    </xf>
    <xf numFmtId="41" fontId="82" fillId="3" borderId="200" xfId="0" applyNumberFormat="1" applyFont="1" applyFill="1" applyBorder="1">
      <alignment vertical="center"/>
    </xf>
    <xf numFmtId="41" fontId="106" fillId="3" borderId="48" xfId="0" applyNumberFormat="1" applyFont="1" applyFill="1" applyBorder="1">
      <alignment vertical="center"/>
    </xf>
    <xf numFmtId="41" fontId="82" fillId="3" borderId="128" xfId="0" applyNumberFormat="1" applyFont="1" applyFill="1" applyBorder="1">
      <alignment vertical="center"/>
    </xf>
    <xf numFmtId="41" fontId="106" fillId="4" borderId="133" xfId="0" applyNumberFormat="1" applyFont="1" applyFill="1" applyBorder="1">
      <alignment vertical="center"/>
    </xf>
    <xf numFmtId="41" fontId="82" fillId="3" borderId="48" xfId="0" applyNumberFormat="1" applyFont="1" applyFill="1" applyBorder="1">
      <alignment vertical="center"/>
    </xf>
    <xf numFmtId="41" fontId="82" fillId="3" borderId="62" xfId="0" applyNumberFormat="1" applyFont="1" applyFill="1" applyBorder="1">
      <alignment vertical="center"/>
    </xf>
    <xf numFmtId="41" fontId="106" fillId="3" borderId="62" xfId="0" applyNumberFormat="1" applyFont="1" applyFill="1" applyBorder="1">
      <alignment vertical="center"/>
    </xf>
    <xf numFmtId="41" fontId="112" fillId="4" borderId="29" xfId="0" applyNumberFormat="1" applyFont="1" applyFill="1" applyBorder="1">
      <alignment vertical="center"/>
    </xf>
    <xf numFmtId="41" fontId="82" fillId="3" borderId="196" xfId="0" applyNumberFormat="1" applyFont="1" applyFill="1" applyBorder="1">
      <alignment vertical="center"/>
    </xf>
    <xf numFmtId="41" fontId="82" fillId="4" borderId="58" xfId="0" applyNumberFormat="1" applyFont="1" applyFill="1" applyBorder="1">
      <alignment vertical="center"/>
    </xf>
    <xf numFmtId="41" fontId="82" fillId="4" borderId="60" xfId="0" applyNumberFormat="1" applyFont="1" applyFill="1" applyBorder="1">
      <alignment vertical="center"/>
    </xf>
    <xf numFmtId="41" fontId="82" fillId="4" borderId="20" xfId="0" applyNumberFormat="1" applyFont="1" applyFill="1" applyBorder="1">
      <alignment vertical="center"/>
    </xf>
    <xf numFmtId="0" fontId="82" fillId="4" borderId="29" xfId="0" applyFont="1" applyFill="1" applyBorder="1">
      <alignment vertical="center"/>
    </xf>
    <xf numFmtId="0" fontId="106" fillId="4" borderId="19" xfId="0" applyFont="1" applyFill="1" applyBorder="1" applyAlignment="1">
      <alignment horizontal="center" vertical="center" wrapText="1"/>
    </xf>
    <xf numFmtId="41" fontId="82" fillId="0" borderId="27" xfId="0" applyNumberFormat="1" applyFont="1" applyBorder="1">
      <alignment vertical="center"/>
    </xf>
    <xf numFmtId="41" fontId="82" fillId="0" borderId="18" xfId="0" applyNumberFormat="1" applyFont="1" applyBorder="1">
      <alignment vertical="center"/>
    </xf>
    <xf numFmtId="9" fontId="82" fillId="0" borderId="28" xfId="0" applyNumberFormat="1" applyFont="1" applyBorder="1">
      <alignment vertical="center"/>
    </xf>
    <xf numFmtId="41" fontId="82" fillId="0" borderId="190" xfId="0" applyNumberFormat="1" applyFont="1" applyBorder="1">
      <alignment vertical="center"/>
    </xf>
    <xf numFmtId="41" fontId="82" fillId="0" borderId="191" xfId="0" applyNumberFormat="1" applyFont="1" applyBorder="1">
      <alignment vertical="center"/>
    </xf>
    <xf numFmtId="41" fontId="15" fillId="3" borderId="88" xfId="0" applyNumberFormat="1" applyFont="1" applyFill="1" applyBorder="1">
      <alignment vertical="center"/>
    </xf>
    <xf numFmtId="41" fontId="15" fillId="3" borderId="9" xfId="0" applyNumberFormat="1" applyFont="1" applyFill="1" applyBorder="1">
      <alignment vertical="center"/>
    </xf>
    <xf numFmtId="41" fontId="15" fillId="3" borderId="89" xfId="0" applyNumberFormat="1" applyFont="1" applyFill="1" applyBorder="1">
      <alignment vertical="center"/>
    </xf>
    <xf numFmtId="41" fontId="15" fillId="3" borderId="118" xfId="0" applyNumberFormat="1" applyFont="1" applyFill="1" applyBorder="1">
      <alignment vertical="center"/>
    </xf>
    <xf numFmtId="41" fontId="15" fillId="3" borderId="119" xfId="0" applyNumberFormat="1" applyFont="1" applyFill="1" applyBorder="1">
      <alignment vertical="center"/>
    </xf>
    <xf numFmtId="41" fontId="15" fillId="3" borderId="64" xfId="0" applyNumberFormat="1" applyFont="1" applyFill="1" applyBorder="1">
      <alignment vertical="center"/>
    </xf>
    <xf numFmtId="41" fontId="15" fillId="3" borderId="202" xfId="0" applyNumberFormat="1" applyFont="1" applyFill="1" applyBorder="1">
      <alignment vertical="center"/>
    </xf>
    <xf numFmtId="41" fontId="15" fillId="3" borderId="203" xfId="0" applyNumberFormat="1" applyFont="1" applyFill="1" applyBorder="1">
      <alignment vertical="center"/>
    </xf>
    <xf numFmtId="41" fontId="15" fillId="3" borderId="204" xfId="0" applyNumberFormat="1" applyFont="1" applyFill="1" applyBorder="1">
      <alignment vertical="center"/>
    </xf>
    <xf numFmtId="41" fontId="15" fillId="3" borderId="86" xfId="0" applyNumberFormat="1" applyFont="1" applyFill="1" applyBorder="1" applyAlignment="1">
      <alignment horizontal="center" vertical="center"/>
    </xf>
    <xf numFmtId="41" fontId="15" fillId="3" borderId="11" xfId="0" applyNumberFormat="1" applyFont="1" applyFill="1" applyBorder="1" applyAlignment="1">
      <alignment horizontal="center" vertical="center"/>
    </xf>
    <xf numFmtId="41" fontId="15" fillId="3" borderId="119" xfId="0" applyNumberFormat="1" applyFont="1" applyFill="1" applyBorder="1" applyAlignment="1">
      <alignment horizontal="center" vertical="center"/>
    </xf>
    <xf numFmtId="41" fontId="15" fillId="3" borderId="54" xfId="0" applyNumberFormat="1" applyFont="1" applyFill="1" applyBorder="1" applyAlignment="1">
      <alignment horizontal="center" vertical="center"/>
    </xf>
    <xf numFmtId="0" fontId="91" fillId="4" borderId="15" xfId="0" applyFont="1" applyFill="1" applyBorder="1" applyAlignment="1">
      <alignment horizontal="center" vertical="center"/>
    </xf>
    <xf numFmtId="0" fontId="91" fillId="4" borderId="67" xfId="0" applyFont="1" applyFill="1" applyBorder="1" applyAlignment="1">
      <alignment horizontal="center" vertical="center"/>
    </xf>
    <xf numFmtId="0" fontId="91" fillId="4" borderId="19" xfId="0" applyFont="1" applyFill="1" applyBorder="1" applyAlignment="1">
      <alignment horizontal="center" vertical="center"/>
    </xf>
    <xf numFmtId="0" fontId="114" fillId="4" borderId="50" xfId="0" applyFont="1" applyFill="1" applyBorder="1" applyAlignment="1">
      <alignment horizontal="center" vertical="center"/>
    </xf>
    <xf numFmtId="41" fontId="82" fillId="3" borderId="197" xfId="0" applyNumberFormat="1" applyFont="1" applyFill="1" applyBorder="1" applyAlignment="1">
      <alignment horizontal="right" vertical="center"/>
    </xf>
    <xf numFmtId="41" fontId="82" fillId="3" borderId="0" xfId="0" applyNumberFormat="1" applyFont="1" applyFill="1" applyAlignment="1">
      <alignment horizontal="right" vertical="center"/>
    </xf>
    <xf numFmtId="41" fontId="82" fillId="3" borderId="114" xfId="0" applyNumberFormat="1" applyFont="1" applyFill="1" applyBorder="1" applyAlignment="1">
      <alignment horizontal="right" vertical="center"/>
    </xf>
    <xf numFmtId="41" fontId="82" fillId="3" borderId="198" xfId="0" applyNumberFormat="1" applyFont="1" applyFill="1" applyBorder="1" applyAlignment="1">
      <alignment horizontal="right" vertical="center"/>
    </xf>
    <xf numFmtId="41" fontId="82" fillId="3" borderId="202" xfId="0" applyNumberFormat="1" applyFont="1" applyFill="1" applyBorder="1" applyAlignment="1">
      <alignment horizontal="right" vertical="center"/>
    </xf>
    <xf numFmtId="41" fontId="82" fillId="3" borderId="204" xfId="0" applyNumberFormat="1" applyFont="1" applyFill="1" applyBorder="1" applyAlignment="1">
      <alignment horizontal="right" vertical="center"/>
    </xf>
    <xf numFmtId="41" fontId="82" fillId="3" borderId="21" xfId="0" applyNumberFormat="1" applyFont="1" applyFill="1" applyBorder="1" applyAlignment="1">
      <alignment horizontal="right" vertical="center"/>
    </xf>
    <xf numFmtId="41" fontId="82" fillId="3" borderId="122" xfId="0" applyNumberFormat="1" applyFont="1" applyFill="1" applyBorder="1" applyAlignment="1">
      <alignment horizontal="right" vertical="center"/>
    </xf>
    <xf numFmtId="0" fontId="114" fillId="4" borderId="29" xfId="0" applyFont="1" applyFill="1" applyBorder="1" applyAlignment="1">
      <alignment horizontal="center" vertical="center"/>
    </xf>
    <xf numFmtId="180" fontId="114" fillId="2" borderId="49" xfId="0" applyNumberFormat="1" applyFont="1" applyFill="1" applyBorder="1" applyAlignment="1">
      <alignment horizontal="center" vertical="center"/>
    </xf>
    <xf numFmtId="180" fontId="114" fillId="2" borderId="77" xfId="0" applyNumberFormat="1" applyFont="1" applyFill="1" applyBorder="1" applyAlignment="1">
      <alignment horizontal="center" vertical="center"/>
    </xf>
    <xf numFmtId="41" fontId="91" fillId="0" borderId="78" xfId="0" applyNumberFormat="1" applyFont="1" applyBorder="1">
      <alignment vertical="center"/>
    </xf>
    <xf numFmtId="41" fontId="91" fillId="0" borderId="49" xfId="0" applyNumberFormat="1" applyFont="1" applyBorder="1">
      <alignment vertical="center"/>
    </xf>
    <xf numFmtId="41" fontId="91" fillId="0" borderId="76" xfId="0" applyNumberFormat="1" applyFont="1" applyBorder="1">
      <alignment vertical="center"/>
    </xf>
    <xf numFmtId="41" fontId="91" fillId="0" borderId="109" xfId="0" applyNumberFormat="1" applyFont="1" applyBorder="1">
      <alignment vertical="center"/>
    </xf>
    <xf numFmtId="41" fontId="91" fillId="0" borderId="32" xfId="0" applyNumberFormat="1" applyFont="1" applyBorder="1">
      <alignment vertical="center"/>
    </xf>
    <xf numFmtId="41" fontId="91" fillId="0" borderId="113" xfId="0" applyNumberFormat="1" applyFont="1" applyBorder="1">
      <alignment vertical="center"/>
    </xf>
    <xf numFmtId="185" fontId="91" fillId="3" borderId="26" xfId="0" applyNumberFormat="1" applyFont="1" applyFill="1" applyBorder="1">
      <alignment vertical="center"/>
    </xf>
    <xf numFmtId="179" fontId="91" fillId="3" borderId="55" xfId="0" applyNumberFormat="1" applyFont="1" applyFill="1" applyBorder="1">
      <alignment vertical="center"/>
    </xf>
    <xf numFmtId="185" fontId="91" fillId="3" borderId="10" xfId="0" applyNumberFormat="1" applyFont="1" applyFill="1" applyBorder="1">
      <alignment vertical="center"/>
    </xf>
    <xf numFmtId="179" fontId="91" fillId="3" borderId="64" xfId="0" applyNumberFormat="1" applyFont="1" applyFill="1" applyBorder="1">
      <alignment vertical="center"/>
    </xf>
    <xf numFmtId="185" fontId="91" fillId="3" borderId="72" xfId="0" applyNumberFormat="1" applyFont="1" applyFill="1" applyBorder="1">
      <alignment vertical="center"/>
    </xf>
    <xf numFmtId="41" fontId="91" fillId="3" borderId="64" xfId="0" applyNumberFormat="1" applyFont="1" applyFill="1" applyBorder="1" applyAlignment="1">
      <alignment horizontal="left" vertical="center" indent="1"/>
    </xf>
    <xf numFmtId="41" fontId="91" fillId="3" borderId="72" xfId="0" applyNumberFormat="1" applyFont="1" applyFill="1" applyBorder="1" applyAlignment="1">
      <alignment horizontal="left" vertical="center" indent="1"/>
    </xf>
    <xf numFmtId="41" fontId="91" fillId="3" borderId="34" xfId="0" applyNumberFormat="1" applyFont="1" applyFill="1" applyBorder="1" applyAlignment="1">
      <alignment horizontal="left" vertical="center" indent="1"/>
    </xf>
    <xf numFmtId="41" fontId="91" fillId="3" borderId="61" xfId="0" applyNumberFormat="1" applyFont="1" applyFill="1" applyBorder="1" applyAlignment="1">
      <alignment horizontal="left" vertical="center" indent="1"/>
    </xf>
    <xf numFmtId="41" fontId="91" fillId="3" borderId="10" xfId="0" applyNumberFormat="1" applyFont="1" applyFill="1" applyBorder="1" applyAlignment="1">
      <alignment horizontal="left" vertical="center" indent="1"/>
    </xf>
    <xf numFmtId="41" fontId="91" fillId="3" borderId="35" xfId="0" applyNumberFormat="1" applyFont="1" applyFill="1" applyBorder="1" applyAlignment="1">
      <alignment horizontal="left" vertical="center" indent="1"/>
    </xf>
    <xf numFmtId="183" fontId="114" fillId="3" borderId="78" xfId="0" applyNumberFormat="1" applyFont="1" applyFill="1" applyBorder="1">
      <alignment vertical="center"/>
    </xf>
    <xf numFmtId="183" fontId="114" fillId="3" borderId="49" xfId="0" applyNumberFormat="1" applyFont="1" applyFill="1" applyBorder="1">
      <alignment vertical="center"/>
    </xf>
    <xf numFmtId="41" fontId="91" fillId="0" borderId="34" xfId="0" applyNumberFormat="1" applyFont="1" applyBorder="1">
      <alignment vertical="center"/>
    </xf>
    <xf numFmtId="41" fontId="91" fillId="0" borderId="69" xfId="0" applyNumberFormat="1" applyFont="1" applyBorder="1" applyAlignment="1">
      <alignment horizontal="left" vertical="center" indent="1"/>
    </xf>
    <xf numFmtId="183" fontId="114" fillId="0" borderId="49" xfId="0" applyNumberFormat="1" applyFont="1" applyBorder="1">
      <alignment vertical="center"/>
    </xf>
    <xf numFmtId="41" fontId="91" fillId="3" borderId="36" xfId="0" applyNumberFormat="1" applyFont="1" applyFill="1" applyBorder="1" applyAlignment="1">
      <alignment horizontal="center" vertical="center"/>
    </xf>
    <xf numFmtId="41" fontId="91" fillId="3" borderId="37" xfId="0" applyNumberFormat="1" applyFont="1" applyFill="1" applyBorder="1" applyAlignment="1">
      <alignment horizontal="center" vertical="center"/>
    </xf>
    <xf numFmtId="41" fontId="114" fillId="3" borderId="80" xfId="0" applyNumberFormat="1" applyFont="1" applyFill="1" applyBorder="1" applyAlignment="1">
      <alignment horizontal="center" vertical="center"/>
    </xf>
    <xf numFmtId="185" fontId="114" fillId="4" borderId="17" xfId="0" applyNumberFormat="1" applyFont="1" applyFill="1" applyBorder="1" applyAlignment="1">
      <alignment horizontal="center" vertical="center"/>
    </xf>
    <xf numFmtId="185" fontId="91" fillId="3" borderId="86" xfId="0" applyNumberFormat="1" applyFont="1" applyFill="1" applyBorder="1">
      <alignment vertical="center"/>
    </xf>
    <xf numFmtId="179" fontId="91" fillId="3" borderId="45" xfId="0" applyNumberFormat="1" applyFont="1" applyFill="1" applyBorder="1">
      <alignment vertical="center"/>
    </xf>
    <xf numFmtId="41" fontId="91" fillId="3" borderId="15" xfId="0" applyNumberFormat="1" applyFont="1" applyFill="1" applyBorder="1">
      <alignment vertical="center"/>
    </xf>
    <xf numFmtId="179" fontId="114" fillId="4" borderId="91" xfId="0" applyNumberFormat="1" applyFont="1" applyFill="1" applyBorder="1">
      <alignment vertical="center"/>
    </xf>
    <xf numFmtId="41" fontId="114" fillId="4" borderId="73" xfId="0" applyNumberFormat="1" applyFont="1" applyFill="1" applyBorder="1">
      <alignment vertical="center"/>
    </xf>
    <xf numFmtId="179" fontId="91" fillId="3" borderId="0" xfId="0" applyNumberFormat="1" applyFont="1" applyFill="1">
      <alignment vertical="center"/>
    </xf>
    <xf numFmtId="179" fontId="91" fillId="3" borderId="85" xfId="0" applyNumberFormat="1" applyFont="1" applyFill="1" applyBorder="1">
      <alignment vertical="center"/>
    </xf>
    <xf numFmtId="41" fontId="91" fillId="0" borderId="61" xfId="0" applyNumberFormat="1" applyFont="1" applyBorder="1">
      <alignment vertical="center"/>
    </xf>
    <xf numFmtId="41" fontId="91" fillId="0" borderId="85" xfId="0" applyNumberFormat="1" applyFont="1" applyBorder="1">
      <alignment vertical="center"/>
    </xf>
    <xf numFmtId="208" fontId="91" fillId="0" borderId="0" xfId="0" applyNumberFormat="1" applyFont="1">
      <alignment vertical="center"/>
    </xf>
    <xf numFmtId="41" fontId="91" fillId="3" borderId="39" xfId="0" applyNumberFormat="1" applyFont="1" applyFill="1" applyBorder="1">
      <alignment vertical="center"/>
    </xf>
    <xf numFmtId="185" fontId="91" fillId="3" borderId="35" xfId="0" applyNumberFormat="1" applyFont="1" applyFill="1" applyBorder="1" applyAlignment="1">
      <alignment horizontal="left" vertical="center" indent="1"/>
    </xf>
    <xf numFmtId="185" fontId="91" fillId="3" borderId="5" xfId="0" applyNumberFormat="1" applyFont="1" applyFill="1" applyBorder="1" applyAlignment="1">
      <alignment horizontal="left" vertical="center" indent="1"/>
    </xf>
    <xf numFmtId="185" fontId="91" fillId="3" borderId="47" xfId="0" applyNumberFormat="1" applyFont="1" applyFill="1" applyBorder="1" applyAlignment="1">
      <alignment horizontal="left" vertical="center" indent="1"/>
    </xf>
    <xf numFmtId="183" fontId="91" fillId="3" borderId="12" xfId="0" applyNumberFormat="1" applyFont="1" applyFill="1" applyBorder="1" applyAlignment="1">
      <alignment vertical="center" shrinkToFit="1"/>
    </xf>
    <xf numFmtId="183" fontId="91" fillId="3" borderId="28" xfId="0" applyNumberFormat="1" applyFont="1" applyFill="1" applyBorder="1" applyAlignment="1">
      <alignment vertical="center" shrinkToFit="1"/>
    </xf>
    <xf numFmtId="183" fontId="91" fillId="3" borderId="33" xfId="0" applyNumberFormat="1" applyFont="1" applyFill="1" applyBorder="1" applyAlignment="1">
      <alignment vertical="center" shrinkToFit="1"/>
    </xf>
    <xf numFmtId="183" fontId="114" fillId="3" borderId="55" xfId="0" applyNumberFormat="1" applyFont="1" applyFill="1" applyBorder="1">
      <alignment vertical="center"/>
    </xf>
    <xf numFmtId="185" fontId="114" fillId="3" borderId="1" xfId="0" applyNumberFormat="1" applyFont="1" applyFill="1" applyBorder="1">
      <alignment vertical="center"/>
    </xf>
    <xf numFmtId="185" fontId="114" fillId="3" borderId="69" xfId="0" applyNumberFormat="1" applyFont="1" applyFill="1" applyBorder="1">
      <alignment vertical="center"/>
    </xf>
    <xf numFmtId="9" fontId="91" fillId="4" borderId="19" xfId="0" applyNumberFormat="1" applyFont="1" applyFill="1" applyBorder="1" applyAlignment="1">
      <alignment horizontal="right" vertical="center"/>
    </xf>
    <xf numFmtId="9" fontId="91" fillId="4" borderId="17" xfId="0" applyNumberFormat="1" applyFont="1" applyFill="1" applyBorder="1" applyAlignment="1">
      <alignment horizontal="right" vertical="center"/>
    </xf>
    <xf numFmtId="41" fontId="91" fillId="2" borderId="0" xfId="0" applyNumberFormat="1" applyFont="1" applyFill="1" applyAlignment="1">
      <alignment horizontal="right" vertical="center"/>
    </xf>
    <xf numFmtId="9" fontId="91" fillId="2" borderId="0" xfId="0" applyNumberFormat="1" applyFont="1" applyFill="1" applyAlignment="1">
      <alignment horizontal="right" vertical="center"/>
    </xf>
    <xf numFmtId="178" fontId="91" fillId="3" borderId="0" xfId="0" applyNumberFormat="1" applyFont="1" applyFill="1" applyAlignment="1">
      <alignment horizontal="right" vertical="center"/>
    </xf>
    <xf numFmtId="9" fontId="91" fillId="3" borderId="0" xfId="0" applyNumberFormat="1" applyFont="1" applyFill="1" applyAlignment="1">
      <alignment horizontal="right" vertical="center"/>
    </xf>
    <xf numFmtId="41" fontId="91" fillId="3" borderId="51" xfId="0" applyNumberFormat="1" applyFont="1" applyFill="1" applyBorder="1" applyAlignment="1">
      <alignment vertical="center" shrinkToFit="1"/>
    </xf>
    <xf numFmtId="41" fontId="91" fillId="3" borderId="53" xfId="0" applyNumberFormat="1" applyFont="1" applyFill="1" applyBorder="1" applyAlignment="1">
      <alignment vertical="center" shrinkToFit="1"/>
    </xf>
    <xf numFmtId="41" fontId="114" fillId="4" borderId="20" xfId="0" applyNumberFormat="1" applyFont="1" applyFill="1" applyBorder="1" applyAlignment="1">
      <alignment vertical="center" shrinkToFit="1"/>
    </xf>
    <xf numFmtId="9" fontId="91" fillId="4" borderId="17" xfId="0" applyNumberFormat="1" applyFont="1" applyFill="1" applyBorder="1" applyAlignment="1">
      <alignment vertical="center" shrinkToFit="1"/>
    </xf>
    <xf numFmtId="9" fontId="91" fillId="4" borderId="19" xfId="0" applyNumberFormat="1" applyFont="1" applyFill="1" applyBorder="1" applyAlignment="1">
      <alignment vertical="center" shrinkToFit="1"/>
    </xf>
    <xf numFmtId="43" fontId="91" fillId="0" borderId="0" xfId="0" applyNumberFormat="1" applyFont="1" applyAlignment="1">
      <alignment vertical="center" shrinkToFit="1"/>
    </xf>
    <xf numFmtId="9" fontId="91" fillId="0" borderId="0" xfId="0" applyNumberFormat="1" applyFont="1" applyAlignment="1">
      <alignment vertical="center" shrinkToFit="1"/>
    </xf>
    <xf numFmtId="185" fontId="91" fillId="0" borderId="0" xfId="0" applyNumberFormat="1" applyFont="1" applyAlignment="1">
      <alignment vertical="center" shrinkToFit="1"/>
    </xf>
    <xf numFmtId="41" fontId="91" fillId="3" borderId="81" xfId="0" applyNumberFormat="1" applyFont="1" applyFill="1" applyBorder="1">
      <alignment vertical="center"/>
    </xf>
    <xf numFmtId="41" fontId="91" fillId="3" borderId="161" xfId="0" applyNumberFormat="1" applyFont="1" applyFill="1" applyBorder="1">
      <alignment vertical="center"/>
    </xf>
    <xf numFmtId="41" fontId="91" fillId="3" borderId="67" xfId="0" applyNumberFormat="1" applyFont="1" applyFill="1" applyBorder="1">
      <alignment vertical="center"/>
    </xf>
    <xf numFmtId="180" fontId="136" fillId="0" borderId="0" xfId="0" applyNumberFormat="1" applyFont="1" applyAlignment="1">
      <alignment horizontal="left" vertical="center"/>
    </xf>
    <xf numFmtId="180" fontId="114" fillId="0" borderId="0" xfId="0" applyNumberFormat="1" applyFont="1" applyAlignment="1">
      <alignment horizontal="center" vertical="center"/>
    </xf>
    <xf numFmtId="180" fontId="124" fillId="0" borderId="0" xfId="0" applyNumberFormat="1" applyFont="1" applyAlignment="1">
      <alignment horizontal="left" vertical="center"/>
    </xf>
    <xf numFmtId="41" fontId="114" fillId="3" borderId="0" xfId="0" applyNumberFormat="1" applyFont="1" applyFill="1" applyAlignment="1">
      <alignment vertical="center" shrinkToFit="1"/>
    </xf>
    <xf numFmtId="41" fontId="91" fillId="0" borderId="0" xfId="0" applyNumberFormat="1" applyFont="1" applyAlignment="1">
      <alignment horizontal="center" vertical="center"/>
    </xf>
    <xf numFmtId="41" fontId="114" fillId="0" borderId="17" xfId="0" applyNumberFormat="1" applyFont="1" applyBorder="1" applyAlignment="1">
      <alignment vertical="center" shrinkToFit="1"/>
    </xf>
    <xf numFmtId="41" fontId="114" fillId="0" borderId="18" xfId="0" applyNumberFormat="1" applyFont="1" applyBorder="1" applyAlignment="1">
      <alignment vertical="center" shrinkToFit="1"/>
    </xf>
    <xf numFmtId="41" fontId="114" fillId="0" borderId="20" xfId="0" applyNumberFormat="1" applyFont="1" applyBorder="1" applyAlignment="1">
      <alignment vertical="center" shrinkToFit="1"/>
    </xf>
    <xf numFmtId="41" fontId="136" fillId="0" borderId="0" xfId="0" applyNumberFormat="1" applyFont="1" applyAlignment="1">
      <alignment horizontal="left" vertical="center"/>
    </xf>
    <xf numFmtId="41" fontId="91" fillId="0" borderId="80" xfId="0" applyNumberFormat="1" applyFont="1" applyBorder="1">
      <alignment vertical="center"/>
    </xf>
    <xf numFmtId="41" fontId="91" fillId="0" borderId="25" xfId="0" applyNumberFormat="1" applyFont="1" applyBorder="1">
      <alignment vertical="center"/>
    </xf>
    <xf numFmtId="41" fontId="91" fillId="0" borderId="50" xfId="0" applyNumberFormat="1" applyFont="1" applyBorder="1">
      <alignment vertical="center"/>
    </xf>
    <xf numFmtId="41" fontId="91" fillId="3" borderId="65" xfId="0" applyNumberFormat="1" applyFont="1" applyFill="1" applyBorder="1">
      <alignment vertical="center"/>
    </xf>
    <xf numFmtId="9" fontId="91" fillId="3" borderId="5" xfId="0" applyNumberFormat="1" applyFont="1" applyFill="1" applyBorder="1">
      <alignment vertical="center"/>
    </xf>
    <xf numFmtId="9" fontId="91" fillId="3" borderId="110" xfId="0" applyNumberFormat="1" applyFont="1" applyFill="1" applyBorder="1">
      <alignment vertical="center"/>
    </xf>
    <xf numFmtId="182" fontId="91" fillId="3" borderId="61" xfId="0" applyNumberFormat="1" applyFont="1" applyFill="1" applyBorder="1">
      <alignment vertical="center"/>
    </xf>
    <xf numFmtId="182" fontId="91" fillId="3" borderId="71" xfId="0" applyNumberFormat="1" applyFont="1" applyFill="1" applyBorder="1">
      <alignment vertical="center"/>
    </xf>
    <xf numFmtId="182" fontId="91" fillId="3" borderId="1" xfId="0" applyNumberFormat="1" applyFont="1" applyFill="1" applyBorder="1">
      <alignment vertical="center"/>
    </xf>
    <xf numFmtId="182" fontId="91" fillId="3" borderId="24" xfId="0" applyNumberFormat="1" applyFont="1" applyFill="1" applyBorder="1">
      <alignment vertical="center"/>
    </xf>
    <xf numFmtId="182" fontId="91" fillId="3" borderId="28" xfId="0" applyNumberFormat="1" applyFont="1" applyFill="1" applyBorder="1">
      <alignment vertical="center"/>
    </xf>
    <xf numFmtId="182" fontId="91" fillId="3" borderId="83" xfId="0" applyNumberFormat="1" applyFont="1" applyFill="1" applyBorder="1">
      <alignment vertical="center"/>
    </xf>
    <xf numFmtId="182" fontId="114" fillId="3" borderId="38" xfId="0" applyNumberFormat="1" applyFont="1" applyFill="1" applyBorder="1">
      <alignment vertical="center"/>
    </xf>
    <xf numFmtId="182" fontId="114" fillId="3" borderId="5" xfId="0" applyNumberFormat="1" applyFont="1" applyFill="1" applyBorder="1">
      <alignment vertical="center"/>
    </xf>
    <xf numFmtId="182" fontId="114" fillId="3" borderId="110" xfId="0" applyNumberFormat="1" applyFont="1" applyFill="1" applyBorder="1">
      <alignment vertical="center"/>
    </xf>
    <xf numFmtId="182" fontId="114" fillId="3" borderId="107" xfId="0" applyNumberFormat="1" applyFont="1" applyFill="1" applyBorder="1">
      <alignment vertical="center"/>
    </xf>
    <xf numFmtId="182" fontId="114" fillId="3" borderId="42" xfId="0" applyNumberFormat="1" applyFont="1" applyFill="1" applyBorder="1">
      <alignment vertical="center"/>
    </xf>
    <xf numFmtId="182" fontId="114" fillId="3" borderId="39" xfId="0" applyNumberFormat="1" applyFont="1" applyFill="1" applyBorder="1">
      <alignment vertical="center"/>
    </xf>
    <xf numFmtId="182" fontId="114" fillId="3" borderId="28" xfId="0" applyNumberFormat="1" applyFont="1" applyFill="1" applyBorder="1">
      <alignment vertical="center"/>
    </xf>
    <xf numFmtId="182" fontId="114" fillId="3" borderId="83" xfId="0" applyNumberFormat="1" applyFont="1" applyFill="1" applyBorder="1">
      <alignment vertical="center"/>
    </xf>
    <xf numFmtId="182" fontId="114" fillId="3" borderId="6" xfId="0" applyNumberFormat="1" applyFont="1" applyFill="1" applyBorder="1">
      <alignment vertical="center"/>
    </xf>
    <xf numFmtId="182" fontId="114" fillId="3" borderId="48" xfId="0" applyNumberFormat="1" applyFont="1" applyFill="1" applyBorder="1">
      <alignment vertical="center"/>
    </xf>
    <xf numFmtId="182" fontId="114" fillId="3" borderId="77" xfId="0" applyNumberFormat="1" applyFont="1" applyFill="1" applyBorder="1">
      <alignment vertical="center"/>
    </xf>
    <xf numFmtId="182" fontId="114" fillId="3" borderId="70" xfId="0" applyNumberFormat="1" applyFont="1" applyFill="1" applyBorder="1">
      <alignment vertical="center"/>
    </xf>
    <xf numFmtId="182" fontId="91" fillId="3" borderId="80" xfId="0" applyNumberFormat="1" applyFont="1" applyFill="1" applyBorder="1">
      <alignment vertical="center"/>
    </xf>
    <xf numFmtId="9" fontId="91" fillId="0" borderId="35" xfId="0" applyNumberFormat="1" applyFont="1" applyBorder="1">
      <alignment vertical="center"/>
    </xf>
    <xf numFmtId="9" fontId="91" fillId="0" borderId="5" xfId="0" applyNumberFormat="1" applyFont="1" applyBorder="1">
      <alignment vertical="center"/>
    </xf>
    <xf numFmtId="9" fontId="91" fillId="0" borderId="47" xfId="0" applyNumberFormat="1" applyFont="1" applyBorder="1">
      <alignment vertical="center"/>
    </xf>
    <xf numFmtId="9" fontId="91" fillId="0" borderId="56" xfId="0" applyNumberFormat="1" applyFont="1" applyBorder="1">
      <alignment vertical="center"/>
    </xf>
    <xf numFmtId="182" fontId="91" fillId="0" borderId="64" xfId="0" applyNumberFormat="1" applyFont="1" applyBorder="1">
      <alignment vertical="center"/>
    </xf>
    <xf numFmtId="182" fontId="91" fillId="0" borderId="61" xfId="0" applyNumberFormat="1" applyFont="1" applyBorder="1">
      <alignment vertical="center"/>
    </xf>
    <xf numFmtId="182" fontId="91" fillId="0" borderId="34" xfId="0" applyNumberFormat="1" applyFont="1" applyBorder="1">
      <alignment vertical="center"/>
    </xf>
    <xf numFmtId="182" fontId="91" fillId="0" borderId="72" xfId="0" applyNumberFormat="1" applyFont="1" applyBorder="1">
      <alignment vertical="center"/>
    </xf>
    <xf numFmtId="182" fontId="91" fillId="2" borderId="112" xfId="0" applyNumberFormat="1" applyFont="1" applyFill="1" applyBorder="1">
      <alignment vertical="center"/>
    </xf>
    <xf numFmtId="182" fontId="91" fillId="2" borderId="32" xfId="0" applyNumberFormat="1" applyFont="1" applyFill="1" applyBorder="1">
      <alignment vertical="center"/>
    </xf>
    <xf numFmtId="182" fontId="91" fillId="2" borderId="113" xfId="0" applyNumberFormat="1" applyFont="1" applyFill="1" applyBorder="1">
      <alignment vertical="center"/>
    </xf>
    <xf numFmtId="182" fontId="91" fillId="2" borderId="77" xfId="0" applyNumberFormat="1" applyFont="1" applyFill="1" applyBorder="1">
      <alignment vertical="center"/>
    </xf>
    <xf numFmtId="182" fontId="91" fillId="2" borderId="49" xfId="0" applyNumberFormat="1" applyFont="1" applyFill="1" applyBorder="1">
      <alignment vertical="center"/>
    </xf>
    <xf numFmtId="182" fontId="91" fillId="2" borderId="76" xfId="0" applyNumberFormat="1" applyFont="1" applyFill="1" applyBorder="1">
      <alignment vertical="center"/>
    </xf>
    <xf numFmtId="41" fontId="106" fillId="13" borderId="29" xfId="0" applyNumberFormat="1" applyFont="1" applyFill="1" applyBorder="1">
      <alignment vertical="center"/>
    </xf>
    <xf numFmtId="41" fontId="91" fillId="3" borderId="117" xfId="0" applyNumberFormat="1" applyFont="1" applyFill="1" applyBorder="1" applyAlignment="1">
      <alignment vertical="center" shrinkToFit="1"/>
    </xf>
    <xf numFmtId="41" fontId="91" fillId="3" borderId="161" xfId="0" applyNumberFormat="1" applyFont="1" applyFill="1" applyBorder="1" applyAlignment="1">
      <alignment vertical="center" shrinkToFit="1"/>
    </xf>
    <xf numFmtId="41" fontId="91" fillId="3" borderId="150" xfId="0" applyNumberFormat="1" applyFont="1" applyFill="1" applyBorder="1" applyAlignment="1">
      <alignment vertical="center" shrinkToFit="1"/>
    </xf>
    <xf numFmtId="41" fontId="82" fillId="4" borderId="196" xfId="0" applyNumberFormat="1" applyFont="1" applyFill="1" applyBorder="1">
      <alignment vertical="center"/>
    </xf>
    <xf numFmtId="41" fontId="82" fillId="4" borderId="62" xfId="0" applyNumberFormat="1" applyFont="1" applyFill="1" applyBorder="1">
      <alignment vertical="center"/>
    </xf>
    <xf numFmtId="41" fontId="91" fillId="4" borderId="196" xfId="0" applyNumberFormat="1" applyFont="1" applyFill="1" applyBorder="1">
      <alignment vertical="center"/>
    </xf>
    <xf numFmtId="41" fontId="91" fillId="4" borderId="203" xfId="0" applyNumberFormat="1" applyFont="1" applyFill="1" applyBorder="1">
      <alignment vertical="center"/>
    </xf>
    <xf numFmtId="41" fontId="82" fillId="3" borderId="203" xfId="0" applyNumberFormat="1" applyFont="1" applyFill="1" applyBorder="1">
      <alignment vertical="center"/>
    </xf>
    <xf numFmtId="41" fontId="82" fillId="3" borderId="204" xfId="0" applyNumberFormat="1" applyFont="1" applyFill="1" applyBorder="1">
      <alignment vertical="center"/>
    </xf>
    <xf numFmtId="41" fontId="82" fillId="3" borderId="198" xfId="0" applyNumberFormat="1" applyFont="1" applyFill="1" applyBorder="1">
      <alignment vertical="center"/>
    </xf>
    <xf numFmtId="41" fontId="91" fillId="4" borderId="56" xfId="0" applyNumberFormat="1" applyFont="1" applyFill="1" applyBorder="1">
      <alignment vertical="center"/>
    </xf>
    <xf numFmtId="41" fontId="106" fillId="4" borderId="40" xfId="0" applyNumberFormat="1" applyFont="1" applyFill="1" applyBorder="1">
      <alignment vertical="center"/>
    </xf>
    <xf numFmtId="0" fontId="106" fillId="4" borderId="67" xfId="0" applyFont="1" applyFill="1" applyBorder="1" applyAlignment="1">
      <alignment horizontal="center" vertical="center"/>
    </xf>
    <xf numFmtId="193" fontId="114" fillId="4" borderId="18" xfId="0" applyNumberFormat="1" applyFont="1" applyFill="1" applyBorder="1" applyAlignment="1">
      <alignment horizontal="center" vertical="center" wrapText="1"/>
    </xf>
    <xf numFmtId="192" fontId="82" fillId="4" borderId="27" xfId="0" applyNumberFormat="1" applyFont="1" applyFill="1" applyBorder="1">
      <alignment vertical="center"/>
    </xf>
    <xf numFmtId="192" fontId="82" fillId="4" borderId="1" xfId="0" applyNumberFormat="1" applyFont="1" applyFill="1" applyBorder="1">
      <alignment vertical="center"/>
    </xf>
    <xf numFmtId="192" fontId="82" fillId="4" borderId="5" xfId="0" applyNumberFormat="1" applyFont="1" applyFill="1" applyBorder="1">
      <alignment vertical="center"/>
    </xf>
    <xf numFmtId="192" fontId="82" fillId="4" borderId="203" xfId="0" applyNumberFormat="1" applyFont="1" applyFill="1" applyBorder="1">
      <alignment vertical="center"/>
    </xf>
    <xf numFmtId="0" fontId="114" fillId="4" borderId="196" xfId="0" applyFont="1" applyFill="1" applyBorder="1">
      <alignment vertical="center"/>
    </xf>
    <xf numFmtId="192" fontId="106" fillId="4" borderId="196" xfId="0" applyNumberFormat="1" applyFont="1" applyFill="1" applyBorder="1" applyAlignment="1">
      <alignment horizontal="center" vertical="center"/>
    </xf>
    <xf numFmtId="192" fontId="114" fillId="4" borderId="18" xfId="0" applyNumberFormat="1" applyFont="1" applyFill="1" applyBorder="1" applyAlignment="1">
      <alignment horizontal="center" vertical="center"/>
    </xf>
    <xf numFmtId="192" fontId="82" fillId="4" borderId="11" xfId="0" applyNumberFormat="1" applyFont="1" applyFill="1" applyBorder="1">
      <alignment vertical="center"/>
    </xf>
    <xf numFmtId="192" fontId="82" fillId="4" borderId="9" xfId="0" applyNumberFormat="1" applyFont="1" applyFill="1" applyBorder="1">
      <alignment vertical="center"/>
    </xf>
    <xf numFmtId="0" fontId="106" fillId="4" borderId="196" xfId="0" applyFont="1" applyFill="1" applyBorder="1" applyAlignment="1">
      <alignment horizontal="center" vertical="center"/>
    </xf>
    <xf numFmtId="192" fontId="91" fillId="4" borderId="1" xfId="0" applyNumberFormat="1" applyFont="1" applyFill="1" applyBorder="1" applyAlignment="1">
      <alignment horizontal="right" vertical="center"/>
    </xf>
    <xf numFmtId="41" fontId="91" fillId="0" borderId="0" xfId="1" applyFont="1" applyAlignment="1">
      <alignment horizontal="right" vertical="center"/>
    </xf>
    <xf numFmtId="41" fontId="114" fillId="4" borderId="17" xfId="1" applyFont="1" applyFill="1" applyBorder="1" applyAlignment="1">
      <alignment horizontal="center" vertical="center"/>
    </xf>
    <xf numFmtId="41" fontId="114" fillId="4" borderId="18" xfId="1" applyFont="1" applyFill="1" applyBorder="1" applyAlignment="1">
      <alignment horizontal="center" vertical="center"/>
    </xf>
    <xf numFmtId="41" fontId="114" fillId="4" borderId="19" xfId="1" applyFont="1" applyFill="1" applyBorder="1" applyAlignment="1">
      <alignment horizontal="center" vertical="center"/>
    </xf>
    <xf numFmtId="41" fontId="118" fillId="3" borderId="0" xfId="1" applyFont="1" applyFill="1" applyAlignment="1">
      <alignment horizontal="left" vertical="center"/>
    </xf>
    <xf numFmtId="41" fontId="114" fillId="0" borderId="55" xfId="1" applyFont="1" applyBorder="1" applyAlignment="1">
      <alignment horizontal="center" vertical="center"/>
    </xf>
    <xf numFmtId="41" fontId="114" fillId="0" borderId="1" xfId="1" applyFont="1" applyBorder="1" applyAlignment="1">
      <alignment horizontal="center" vertical="center"/>
    </xf>
    <xf numFmtId="41" fontId="114" fillId="0" borderId="69" xfId="1" applyFont="1" applyBorder="1" applyAlignment="1">
      <alignment horizontal="center" vertical="center"/>
    </xf>
    <xf numFmtId="41" fontId="114" fillId="4" borderId="67" xfId="1" applyFont="1" applyFill="1" applyBorder="1" applyAlignment="1">
      <alignment horizontal="center" vertical="center"/>
    </xf>
    <xf numFmtId="41" fontId="91" fillId="0" borderId="0" xfId="1" applyFont="1" applyAlignment="1">
      <alignment vertical="center"/>
    </xf>
    <xf numFmtId="41" fontId="114" fillId="4" borderId="29" xfId="1" applyFont="1" applyFill="1" applyBorder="1" applyAlignment="1">
      <alignment horizontal="center" vertical="center"/>
    </xf>
    <xf numFmtId="41" fontId="91" fillId="4" borderId="26" xfId="1" applyFont="1" applyFill="1" applyBorder="1" applyAlignment="1">
      <alignment vertical="center"/>
    </xf>
    <xf numFmtId="41" fontId="91" fillId="0" borderId="58" xfId="1" applyFont="1" applyBorder="1" applyAlignment="1">
      <alignment vertical="center"/>
    </xf>
    <xf numFmtId="41" fontId="91" fillId="0" borderId="27" xfId="1" applyFont="1" applyBorder="1" applyAlignment="1">
      <alignment vertical="center"/>
    </xf>
    <xf numFmtId="41" fontId="91" fillId="0" borderId="60" xfId="1" applyFont="1" applyBorder="1" applyAlignment="1">
      <alignment vertical="center"/>
    </xf>
    <xf numFmtId="41" fontId="114" fillId="4" borderId="14" xfId="1" applyFont="1" applyFill="1" applyBorder="1" applyAlignment="1">
      <alignment vertical="center"/>
    </xf>
    <xf numFmtId="41" fontId="91" fillId="4" borderId="10" xfId="1" applyFont="1" applyFill="1" applyBorder="1" applyAlignment="1">
      <alignment vertical="center"/>
    </xf>
    <xf numFmtId="41" fontId="91" fillId="0" borderId="55" xfId="1" applyFont="1" applyBorder="1" applyAlignment="1">
      <alignment vertical="center"/>
    </xf>
    <xf numFmtId="41" fontId="91" fillId="0" borderId="1" xfId="1" applyFont="1" applyBorder="1" applyAlignment="1">
      <alignment vertical="center"/>
    </xf>
    <xf numFmtId="41" fontId="91" fillId="0" borderId="69" xfId="1" applyFont="1" applyBorder="1" applyAlignment="1">
      <alignment vertical="center"/>
    </xf>
    <xf numFmtId="41" fontId="114" fillId="4" borderId="31" xfId="1" applyFont="1" applyFill="1" applyBorder="1" applyAlignment="1">
      <alignment vertical="center"/>
    </xf>
    <xf numFmtId="41" fontId="91" fillId="4" borderId="56" xfId="1" applyFont="1" applyFill="1" applyBorder="1" applyAlignment="1">
      <alignment vertical="center"/>
    </xf>
    <xf numFmtId="41" fontId="91" fillId="0" borderId="35" xfId="1" applyFont="1" applyBorder="1" applyAlignment="1">
      <alignment vertical="center"/>
    </xf>
    <xf numFmtId="41" fontId="91" fillId="0" borderId="5" xfId="1" applyFont="1" applyBorder="1" applyAlignment="1">
      <alignment vertical="center"/>
    </xf>
    <xf numFmtId="41" fontId="91" fillId="0" borderId="47" xfId="1" applyFont="1" applyBorder="1" applyAlignment="1">
      <alignment vertical="center"/>
    </xf>
    <xf numFmtId="41" fontId="114" fillId="4" borderId="44" xfId="1" applyFont="1" applyFill="1" applyBorder="1" applyAlignment="1">
      <alignment vertical="center"/>
    </xf>
    <xf numFmtId="41" fontId="82" fillId="4" borderId="72" xfId="1" applyFont="1" applyFill="1" applyBorder="1" applyAlignment="1">
      <alignment vertical="center"/>
    </xf>
    <xf numFmtId="41" fontId="82" fillId="3" borderId="55" xfId="1" applyFont="1" applyFill="1" applyBorder="1" applyAlignment="1">
      <alignment vertical="center"/>
    </xf>
    <xf numFmtId="41" fontId="82" fillId="3" borderId="1" xfId="1" applyFont="1" applyFill="1" applyBorder="1" applyAlignment="1">
      <alignment vertical="center"/>
    </xf>
    <xf numFmtId="41" fontId="82" fillId="3" borderId="69" xfId="1" applyFont="1" applyFill="1" applyBorder="1" applyAlignment="1">
      <alignment vertical="center"/>
    </xf>
    <xf numFmtId="41" fontId="82" fillId="3" borderId="21" xfId="1" applyFont="1" applyFill="1" applyBorder="1" applyAlignment="1">
      <alignment vertical="center"/>
    </xf>
    <xf numFmtId="41" fontId="82" fillId="3" borderId="24" xfId="1" applyFont="1" applyFill="1" applyBorder="1" applyAlignment="1">
      <alignment vertical="center"/>
    </xf>
    <xf numFmtId="41" fontId="106" fillId="4" borderId="31" xfId="1" applyFont="1" applyFill="1" applyBorder="1" applyAlignment="1">
      <alignment vertical="center"/>
    </xf>
    <xf numFmtId="41" fontId="91" fillId="4" borderId="28" xfId="1" applyFont="1" applyFill="1" applyBorder="1" applyAlignment="1">
      <alignment vertical="center"/>
    </xf>
    <xf numFmtId="41" fontId="114" fillId="4" borderId="12" xfId="1" applyFont="1" applyFill="1" applyBorder="1" applyAlignment="1">
      <alignment vertical="center"/>
    </xf>
    <xf numFmtId="41" fontId="114" fillId="4" borderId="28" xfId="1" applyFont="1" applyFill="1" applyBorder="1" applyAlignment="1">
      <alignment vertical="center"/>
    </xf>
    <xf numFmtId="41" fontId="114" fillId="4" borderId="33" xfId="1" applyFont="1" applyFill="1" applyBorder="1" applyAlignment="1">
      <alignment vertical="center"/>
    </xf>
    <xf numFmtId="41" fontId="114" fillId="4" borderId="30" xfId="1" applyFont="1" applyFill="1" applyBorder="1" applyAlignment="1">
      <alignment vertical="center"/>
    </xf>
    <xf numFmtId="41" fontId="82" fillId="3" borderId="64" xfId="1" applyFont="1" applyFill="1" applyBorder="1" applyAlignment="1">
      <alignment vertical="center"/>
    </xf>
    <xf numFmtId="41" fontId="82" fillId="3" borderId="203" xfId="1" applyFont="1" applyFill="1" applyBorder="1" applyAlignment="1">
      <alignment vertical="center"/>
    </xf>
    <xf numFmtId="41" fontId="82" fillId="3" borderId="204" xfId="1" applyFont="1" applyFill="1" applyBorder="1" applyAlignment="1">
      <alignment vertical="center"/>
    </xf>
    <xf numFmtId="41" fontId="106" fillId="4" borderId="57" xfId="1" applyFont="1" applyFill="1" applyBorder="1" applyAlignment="1">
      <alignment vertical="center"/>
    </xf>
    <xf numFmtId="41" fontId="82" fillId="4" borderId="10" xfId="1" applyFont="1" applyFill="1" applyBorder="1" applyAlignment="1">
      <alignment vertical="center"/>
    </xf>
    <xf numFmtId="41" fontId="82" fillId="4" borderId="24" xfId="1" applyFont="1" applyFill="1" applyBorder="1" applyAlignment="1">
      <alignment vertical="center"/>
    </xf>
    <xf numFmtId="41" fontId="106" fillId="4" borderId="28" xfId="1" applyFont="1" applyFill="1" applyBorder="1" applyAlignment="1">
      <alignment vertical="center"/>
    </xf>
    <xf numFmtId="41" fontId="106" fillId="4" borderId="64" xfId="1" applyFont="1" applyFill="1" applyBorder="1" applyAlignment="1">
      <alignment vertical="center"/>
    </xf>
    <xf numFmtId="41" fontId="106" fillId="4" borderId="203" xfId="1" applyFont="1" applyFill="1" applyBorder="1" applyAlignment="1">
      <alignment vertical="center"/>
    </xf>
    <xf numFmtId="41" fontId="106" fillId="4" borderId="204" xfId="1" applyFont="1" applyFill="1" applyBorder="1" applyAlignment="1">
      <alignment vertical="center"/>
    </xf>
    <xf numFmtId="41" fontId="106" fillId="4" borderId="198" xfId="1" applyFont="1" applyFill="1" applyBorder="1" applyAlignment="1">
      <alignment vertical="center"/>
    </xf>
    <xf numFmtId="41" fontId="106" fillId="4" borderId="199" xfId="1" applyFont="1" applyFill="1" applyBorder="1" applyAlignment="1">
      <alignment vertical="center"/>
    </xf>
    <xf numFmtId="41" fontId="114" fillId="4" borderId="67" xfId="1" applyFont="1" applyFill="1" applyBorder="1" applyAlignment="1">
      <alignment vertical="center"/>
    </xf>
    <xf numFmtId="41" fontId="114" fillId="4" borderId="15" xfId="1" applyFont="1" applyFill="1" applyBorder="1" applyAlignment="1">
      <alignment vertical="center"/>
    </xf>
    <xf numFmtId="41" fontId="114" fillId="4" borderId="18" xfId="1" applyFont="1" applyFill="1" applyBorder="1" applyAlignment="1">
      <alignment vertical="center"/>
    </xf>
    <xf numFmtId="41" fontId="114" fillId="4" borderId="16" xfId="1" applyFont="1" applyFill="1" applyBorder="1" applyAlignment="1">
      <alignment vertical="center"/>
    </xf>
    <xf numFmtId="41" fontId="114" fillId="4" borderId="20" xfId="1" applyFont="1" applyFill="1" applyBorder="1" applyAlignment="1">
      <alignment vertical="center"/>
    </xf>
    <xf numFmtId="41" fontId="114" fillId="4" borderId="29" xfId="1" applyFont="1" applyFill="1" applyBorder="1" applyAlignment="1">
      <alignment vertical="center"/>
    </xf>
    <xf numFmtId="41" fontId="82" fillId="0" borderId="0" xfId="1" applyFont="1" applyAlignment="1">
      <alignment vertical="center"/>
    </xf>
    <xf numFmtId="41" fontId="82" fillId="3" borderId="0" xfId="1" applyFont="1" applyFill="1" applyAlignment="1">
      <alignment vertical="center"/>
    </xf>
    <xf numFmtId="41" fontId="118" fillId="0" borderId="0" xfId="1" applyFont="1" applyAlignment="1">
      <alignment vertical="center"/>
    </xf>
    <xf numFmtId="41" fontId="114" fillId="4" borderId="31" xfId="1" applyFont="1" applyFill="1" applyBorder="1" applyAlignment="1">
      <alignment horizontal="right" vertical="center"/>
    </xf>
    <xf numFmtId="41" fontId="82" fillId="3" borderId="61" xfId="1" applyFont="1" applyFill="1" applyBorder="1" applyAlignment="1">
      <alignment vertical="center"/>
    </xf>
    <xf numFmtId="41" fontId="82" fillId="3" borderId="34" xfId="1" applyFont="1" applyFill="1" applyBorder="1" applyAlignment="1">
      <alignment vertical="center"/>
    </xf>
    <xf numFmtId="41" fontId="82" fillId="4" borderId="87" xfId="1" applyFont="1" applyFill="1" applyBorder="1" applyAlignment="1">
      <alignment vertical="center"/>
    </xf>
    <xf numFmtId="41" fontId="82" fillId="3" borderId="86" xfId="1" applyFont="1" applyFill="1" applyBorder="1" applyAlignment="1">
      <alignment vertical="center"/>
    </xf>
    <xf numFmtId="41" fontId="82" fillId="3" borderId="11" xfId="1" applyFont="1" applyFill="1" applyBorder="1" applyAlignment="1">
      <alignment vertical="center"/>
    </xf>
    <xf numFmtId="41" fontId="82" fillId="3" borderId="54" xfId="1" applyFont="1" applyFill="1" applyBorder="1" applyAlignment="1">
      <alignment vertical="center"/>
    </xf>
    <xf numFmtId="41" fontId="106" fillId="4" borderId="94" xfId="1" applyFont="1" applyFill="1" applyBorder="1" applyAlignment="1">
      <alignment vertical="center"/>
    </xf>
    <xf numFmtId="41" fontId="82" fillId="4" borderId="90" xfId="1" applyFont="1" applyFill="1" applyBorder="1" applyAlignment="1">
      <alignment vertical="center"/>
    </xf>
    <xf numFmtId="41" fontId="82" fillId="3" borderId="88" xfId="1" applyFont="1" applyFill="1" applyBorder="1" applyAlignment="1">
      <alignment vertical="center"/>
    </xf>
    <xf numFmtId="41" fontId="82" fillId="3" borderId="9" xfId="1" applyFont="1" applyFill="1" applyBorder="1" applyAlignment="1">
      <alignment vertical="center"/>
    </xf>
    <xf numFmtId="41" fontId="82" fillId="3" borderId="89" xfId="1" applyFont="1" applyFill="1" applyBorder="1" applyAlignment="1">
      <alignment vertical="center"/>
    </xf>
    <xf numFmtId="41" fontId="106" fillId="4" borderId="106" xfId="1" applyFont="1" applyFill="1" applyBorder="1" applyAlignment="1">
      <alignment vertical="center"/>
    </xf>
    <xf numFmtId="41" fontId="82" fillId="4" borderId="56" xfId="1" applyFont="1" applyFill="1" applyBorder="1" applyAlignment="1">
      <alignment vertical="center"/>
    </xf>
    <xf numFmtId="41" fontId="82" fillId="3" borderId="35" xfId="1" applyFont="1" applyFill="1" applyBorder="1" applyAlignment="1">
      <alignment vertical="center"/>
    </xf>
    <xf numFmtId="41" fontId="82" fillId="3" borderId="5" xfId="1" applyFont="1" applyFill="1" applyBorder="1" applyAlignment="1">
      <alignment vertical="center"/>
    </xf>
    <xf numFmtId="41" fontId="82" fillId="3" borderId="47" xfId="1" applyFont="1" applyFill="1" applyBorder="1" applyAlignment="1">
      <alignment vertical="center"/>
    </xf>
    <xf numFmtId="41" fontId="106" fillId="4" borderId="44" xfId="1" applyFont="1" applyFill="1" applyBorder="1" applyAlignment="1">
      <alignment vertical="center"/>
    </xf>
    <xf numFmtId="41" fontId="82" fillId="4" borderId="9" xfId="1" applyFont="1" applyFill="1" applyBorder="1" applyAlignment="1">
      <alignment vertical="center"/>
    </xf>
    <xf numFmtId="41" fontId="82" fillId="3" borderId="118" xfId="1" applyFont="1" applyFill="1" applyBorder="1" applyAlignment="1">
      <alignment vertical="center"/>
    </xf>
    <xf numFmtId="41" fontId="82" fillId="4" borderId="1" xfId="1" applyFont="1" applyFill="1" applyBorder="1" applyAlignment="1">
      <alignment vertical="center"/>
    </xf>
    <xf numFmtId="41" fontId="82" fillId="3" borderId="8" xfId="1" applyFont="1" applyFill="1" applyBorder="1" applyAlignment="1">
      <alignment vertical="center"/>
    </xf>
    <xf numFmtId="41" fontId="82" fillId="4" borderId="11" xfId="1" applyFont="1" applyFill="1" applyBorder="1" applyAlignment="1">
      <alignment vertical="center"/>
    </xf>
    <xf numFmtId="41" fontId="106" fillId="4" borderId="12" xfId="1" applyFont="1" applyFill="1" applyBorder="1" applyAlignment="1">
      <alignment vertical="center"/>
    </xf>
    <xf numFmtId="41" fontId="106" fillId="4" borderId="33" xfId="1" applyFont="1" applyFill="1" applyBorder="1" applyAlignment="1">
      <alignment vertical="center"/>
    </xf>
    <xf numFmtId="41" fontId="106" fillId="4" borderId="48" xfId="1" applyFont="1" applyFill="1" applyBorder="1" applyAlignment="1">
      <alignment vertical="center"/>
    </xf>
    <xf numFmtId="41" fontId="106" fillId="4" borderId="30" xfId="1" applyFont="1" applyFill="1" applyBorder="1" applyAlignment="1">
      <alignment vertical="center"/>
    </xf>
    <xf numFmtId="41" fontId="114" fillId="3" borderId="55" xfId="1" applyFont="1" applyFill="1" applyBorder="1" applyAlignment="1">
      <alignment vertical="center"/>
    </xf>
    <xf numFmtId="41" fontId="114" fillId="3" borderId="1" xfId="1" applyFont="1" applyFill="1" applyBorder="1" applyAlignment="1">
      <alignment vertical="center"/>
    </xf>
    <xf numFmtId="41" fontId="114" fillId="3" borderId="69" xfId="1" applyFont="1" applyFill="1" applyBorder="1" applyAlignment="1">
      <alignment vertical="center"/>
    </xf>
    <xf numFmtId="41" fontId="91" fillId="3" borderId="17" xfId="1" applyFont="1" applyFill="1" applyBorder="1" applyAlignment="1">
      <alignment vertical="center"/>
    </xf>
    <xf numFmtId="41" fontId="91" fillId="3" borderId="18" xfId="1" applyFont="1" applyFill="1" applyBorder="1" applyAlignment="1">
      <alignment vertical="center"/>
    </xf>
    <xf numFmtId="41" fontId="91" fillId="3" borderId="19" xfId="1" applyFont="1" applyFill="1" applyBorder="1" applyAlignment="1">
      <alignment vertical="center"/>
    </xf>
    <xf numFmtId="41" fontId="114" fillId="3" borderId="0" xfId="1" applyFont="1" applyFill="1" applyAlignment="1">
      <alignment vertical="center"/>
    </xf>
    <xf numFmtId="41" fontId="127" fillId="3" borderId="0" xfId="1" applyFont="1" applyFill="1" applyAlignment="1">
      <alignment vertical="center"/>
    </xf>
    <xf numFmtId="41" fontId="114" fillId="3" borderId="91" xfId="1" applyFont="1" applyFill="1" applyBorder="1" applyAlignment="1">
      <alignment vertical="center"/>
    </xf>
    <xf numFmtId="41" fontId="114" fillId="4" borderId="15" xfId="1" applyFont="1" applyFill="1" applyBorder="1" applyAlignment="1">
      <alignment horizontal="center" vertical="center"/>
    </xf>
    <xf numFmtId="41" fontId="106" fillId="4" borderId="40" xfId="1" applyFont="1" applyFill="1" applyBorder="1" applyAlignment="1">
      <alignment vertical="center"/>
    </xf>
    <xf numFmtId="41" fontId="106" fillId="4" borderId="73" xfId="1" applyFont="1" applyFill="1" applyBorder="1" applyAlignment="1">
      <alignment vertical="center"/>
    </xf>
    <xf numFmtId="41" fontId="106" fillId="4" borderId="15" xfId="1" applyFont="1" applyFill="1" applyBorder="1" applyAlignment="1">
      <alignment vertical="center"/>
    </xf>
    <xf numFmtId="41" fontId="119" fillId="3" borderId="0" xfId="1" applyFont="1" applyFill="1" applyAlignment="1">
      <alignment vertical="center"/>
    </xf>
    <xf numFmtId="41" fontId="114" fillId="4" borderId="40" xfId="1" applyFont="1" applyFill="1" applyBorder="1" applyAlignment="1">
      <alignment vertical="center"/>
    </xf>
    <xf numFmtId="41" fontId="91" fillId="3" borderId="77" xfId="1" applyFont="1" applyFill="1" applyBorder="1" applyAlignment="1">
      <alignment vertical="center"/>
    </xf>
    <xf numFmtId="41" fontId="91" fillId="3" borderId="49" xfId="1" applyFont="1" applyFill="1" applyBorder="1" applyAlignment="1">
      <alignment vertical="center"/>
    </xf>
    <xf numFmtId="41" fontId="91" fillId="3" borderId="78" xfId="1" applyFont="1" applyFill="1" applyBorder="1" applyAlignment="1">
      <alignment vertical="center"/>
    </xf>
    <xf numFmtId="41" fontId="114" fillId="4" borderId="75" xfId="1" applyFont="1" applyFill="1" applyBorder="1" applyAlignment="1">
      <alignment vertical="center"/>
    </xf>
    <xf numFmtId="41" fontId="114" fillId="4" borderId="73" xfId="1" applyFont="1" applyFill="1" applyBorder="1" applyAlignment="1">
      <alignment vertical="center"/>
    </xf>
    <xf numFmtId="41" fontId="114" fillId="4" borderId="17" xfId="1" applyFont="1" applyFill="1" applyBorder="1" applyAlignment="1">
      <alignment vertical="center"/>
    </xf>
    <xf numFmtId="41" fontId="114" fillId="4" borderId="19" xfId="1" applyFont="1" applyFill="1" applyBorder="1" applyAlignment="1">
      <alignment vertical="center"/>
    </xf>
    <xf numFmtId="183" fontId="82" fillId="0" borderId="0" xfId="0" applyNumberFormat="1" applyFont="1">
      <alignment vertical="center"/>
    </xf>
    <xf numFmtId="41" fontId="106" fillId="3" borderId="17" xfId="0" applyNumberFormat="1" applyFont="1" applyFill="1" applyBorder="1" applyAlignment="1">
      <alignment horizontal="right" vertical="center"/>
    </xf>
    <xf numFmtId="41" fontId="106" fillId="3" borderId="18" xfId="0" applyNumberFormat="1" applyFont="1" applyFill="1" applyBorder="1" applyAlignment="1">
      <alignment horizontal="right" vertical="center"/>
    </xf>
    <xf numFmtId="41" fontId="106" fillId="3" borderId="19" xfId="0" applyNumberFormat="1" applyFont="1" applyFill="1" applyBorder="1" applyAlignment="1">
      <alignment horizontal="right" vertical="center"/>
    </xf>
    <xf numFmtId="41" fontId="106" fillId="3" borderId="67" xfId="0" applyNumberFormat="1" applyFont="1" applyFill="1" applyBorder="1" applyAlignment="1">
      <alignment horizontal="right" vertical="center"/>
    </xf>
    <xf numFmtId="41" fontId="106" fillId="2" borderId="13" xfId="0" applyNumberFormat="1" applyFont="1" applyFill="1" applyBorder="1">
      <alignment vertical="center"/>
    </xf>
    <xf numFmtId="41" fontId="106" fillId="2" borderId="59" xfId="0" applyNumberFormat="1" applyFont="1" applyFill="1" applyBorder="1">
      <alignment vertical="center"/>
    </xf>
    <xf numFmtId="41" fontId="106" fillId="2" borderId="46" xfId="0" applyNumberFormat="1" applyFont="1" applyFill="1" applyBorder="1">
      <alignment vertical="center"/>
    </xf>
    <xf numFmtId="185" fontId="82" fillId="3" borderId="55" xfId="0" applyNumberFormat="1" applyFont="1" applyFill="1" applyBorder="1">
      <alignment vertical="center"/>
    </xf>
    <xf numFmtId="183" fontId="82" fillId="3" borderId="10" xfId="0" applyNumberFormat="1" applyFont="1" applyFill="1" applyBorder="1">
      <alignment vertical="center"/>
    </xf>
    <xf numFmtId="183" fontId="82" fillId="3" borderId="8" xfId="0" applyNumberFormat="1" applyFont="1" applyFill="1" applyBorder="1">
      <alignment vertical="center"/>
    </xf>
    <xf numFmtId="183" fontId="82" fillId="3" borderId="45" xfId="0" applyNumberFormat="1" applyFont="1" applyFill="1" applyBorder="1">
      <alignment vertical="center"/>
    </xf>
    <xf numFmtId="183" fontId="82" fillId="3" borderId="18" xfId="0" applyNumberFormat="1" applyFont="1" applyFill="1" applyBorder="1">
      <alignment vertical="center"/>
    </xf>
    <xf numFmtId="183" fontId="82" fillId="3" borderId="20" xfId="0" applyNumberFormat="1" applyFont="1" applyFill="1" applyBorder="1">
      <alignment vertical="center"/>
    </xf>
    <xf numFmtId="183" fontId="82" fillId="3" borderId="17" xfId="0" applyNumberFormat="1" applyFont="1" applyFill="1" applyBorder="1">
      <alignment vertical="center"/>
    </xf>
    <xf numFmtId="41" fontId="106" fillId="4" borderId="43" xfId="0" applyNumberFormat="1" applyFont="1" applyFill="1" applyBorder="1">
      <alignment vertical="center"/>
    </xf>
    <xf numFmtId="183" fontId="82" fillId="0" borderId="1" xfId="0" applyNumberFormat="1" applyFont="1" applyBorder="1">
      <alignment vertical="center"/>
    </xf>
    <xf numFmtId="41" fontId="82" fillId="0" borderId="85" xfId="0" applyNumberFormat="1" applyFont="1" applyBorder="1">
      <alignment vertical="center"/>
    </xf>
    <xf numFmtId="41" fontId="82" fillId="0" borderId="61" xfId="0" applyNumberFormat="1" applyFont="1" applyBorder="1">
      <alignment vertical="center"/>
    </xf>
    <xf numFmtId="183" fontId="82" fillId="0" borderId="35" xfId="0" applyNumberFormat="1" applyFont="1" applyBorder="1">
      <alignment vertical="center"/>
    </xf>
    <xf numFmtId="183" fontId="82" fillId="0" borderId="56" xfId="0" applyNumberFormat="1" applyFont="1" applyBorder="1">
      <alignment vertical="center"/>
    </xf>
    <xf numFmtId="183" fontId="82" fillId="0" borderId="110" xfId="0" applyNumberFormat="1" applyFont="1" applyBorder="1">
      <alignment vertical="center"/>
    </xf>
    <xf numFmtId="41" fontId="106" fillId="4" borderId="107" xfId="0" applyNumberFormat="1" applyFont="1" applyFill="1" applyBorder="1">
      <alignment vertical="center"/>
    </xf>
    <xf numFmtId="0" fontId="106" fillId="4" borderId="16" xfId="0" applyFont="1" applyFill="1" applyBorder="1" applyAlignment="1">
      <alignment horizontal="center" vertical="center"/>
    </xf>
    <xf numFmtId="41" fontId="106" fillId="4" borderId="15" xfId="0" applyNumberFormat="1" applyFont="1" applyFill="1" applyBorder="1" applyAlignment="1">
      <alignment vertical="center" shrinkToFit="1"/>
    </xf>
    <xf numFmtId="41" fontId="106" fillId="4" borderId="16" xfId="0" applyNumberFormat="1" applyFont="1" applyFill="1" applyBorder="1" applyAlignment="1">
      <alignment vertical="center" shrinkToFit="1"/>
    </xf>
    <xf numFmtId="0" fontId="82" fillId="0" borderId="186" xfId="0" applyFont="1" applyBorder="1">
      <alignment vertical="center"/>
    </xf>
    <xf numFmtId="182" fontId="82" fillId="3" borderId="58" xfId="0" applyNumberFormat="1" applyFont="1" applyFill="1" applyBorder="1" applyAlignment="1">
      <alignment horizontal="right" vertical="center"/>
    </xf>
    <xf numFmtId="182" fontId="82" fillId="3" borderId="27" xfId="0" applyNumberFormat="1" applyFont="1" applyFill="1" applyBorder="1" applyAlignment="1">
      <alignment horizontal="right" vertical="center"/>
    </xf>
    <xf numFmtId="182" fontId="82" fillId="3" borderId="65" xfId="0" applyNumberFormat="1" applyFont="1" applyFill="1" applyBorder="1" applyAlignment="1">
      <alignment horizontal="right" vertical="center"/>
    </xf>
    <xf numFmtId="182" fontId="82" fillId="3" borderId="55" xfId="0" applyNumberFormat="1" applyFont="1" applyFill="1" applyBorder="1" applyAlignment="1">
      <alignment horizontal="right" vertical="center"/>
    </xf>
    <xf numFmtId="182" fontId="82" fillId="3" borderId="1" xfId="0" applyNumberFormat="1" applyFont="1" applyFill="1" applyBorder="1" applyAlignment="1">
      <alignment horizontal="right" vertical="center"/>
    </xf>
    <xf numFmtId="182" fontId="82" fillId="3" borderId="8" xfId="0" applyNumberFormat="1" applyFont="1" applyFill="1" applyBorder="1" applyAlignment="1">
      <alignment horizontal="right" vertical="center"/>
    </xf>
    <xf numFmtId="41" fontId="82" fillId="2" borderId="109" xfId="0" applyNumberFormat="1" applyFont="1" applyFill="1" applyBorder="1" applyAlignment="1">
      <alignment horizontal="center" vertical="center"/>
    </xf>
    <xf numFmtId="41" fontId="82" fillId="2" borderId="112" xfId="0" applyNumberFormat="1" applyFont="1" applyFill="1" applyBorder="1" applyAlignment="1">
      <alignment horizontal="center" vertical="center"/>
    </xf>
    <xf numFmtId="41" fontId="82" fillId="2" borderId="32" xfId="0" applyNumberFormat="1" applyFont="1" applyFill="1" applyBorder="1" applyAlignment="1">
      <alignment horizontal="center" vertical="center"/>
    </xf>
    <xf numFmtId="41" fontId="82" fillId="2" borderId="36" xfId="0" applyNumberFormat="1" applyFont="1" applyFill="1" applyBorder="1" applyAlignment="1">
      <alignment horizontal="center" vertical="center"/>
    </xf>
    <xf numFmtId="41" fontId="82" fillId="2" borderId="21" xfId="0" applyNumberFormat="1" applyFont="1" applyFill="1" applyBorder="1">
      <alignment vertical="center"/>
    </xf>
    <xf numFmtId="183" fontId="82" fillId="2" borderId="56" xfId="0" applyNumberFormat="1" applyFont="1" applyFill="1" applyBorder="1">
      <alignment vertical="center"/>
    </xf>
    <xf numFmtId="183" fontId="82" fillId="2" borderId="5" xfId="0" applyNumberFormat="1" applyFont="1" applyFill="1" applyBorder="1">
      <alignment vertical="center"/>
    </xf>
    <xf numFmtId="183" fontId="82" fillId="2" borderId="47" xfId="0" applyNumberFormat="1" applyFont="1" applyFill="1" applyBorder="1">
      <alignment vertical="center"/>
    </xf>
    <xf numFmtId="182" fontId="82" fillId="0" borderId="28" xfId="0" applyNumberFormat="1" applyFont="1" applyBorder="1" applyAlignment="1">
      <alignment horizontal="right" vertical="center"/>
    </xf>
    <xf numFmtId="180" fontId="106" fillId="4" borderId="77" xfId="0" applyNumberFormat="1" applyFont="1" applyFill="1" applyBorder="1" applyAlignment="1">
      <alignment horizontal="center" vertical="center"/>
    </xf>
    <xf numFmtId="41" fontId="106" fillId="3" borderId="20" xfId="0" applyNumberFormat="1" applyFont="1" applyFill="1" applyBorder="1" applyAlignment="1">
      <alignment horizontal="right" vertical="center"/>
    </xf>
    <xf numFmtId="41" fontId="106" fillId="4" borderId="29" xfId="0" applyNumberFormat="1" applyFont="1" applyFill="1" applyBorder="1" applyAlignment="1">
      <alignment horizontal="center" vertical="center" wrapText="1"/>
    </xf>
    <xf numFmtId="41" fontId="82" fillId="0" borderId="14" xfId="0" applyNumberFormat="1" applyFont="1" applyBorder="1" applyAlignment="1">
      <alignment horizontal="right" vertical="center"/>
    </xf>
    <xf numFmtId="41" fontId="82" fillId="0" borderId="57" xfId="0" applyNumberFormat="1" applyFont="1" applyBorder="1" applyAlignment="1">
      <alignment horizontal="right" vertical="center"/>
    </xf>
    <xf numFmtId="41" fontId="82" fillId="0" borderId="31" xfId="0" applyNumberFormat="1" applyFont="1" applyBorder="1" applyAlignment="1">
      <alignment horizontal="right" vertical="center"/>
    </xf>
    <xf numFmtId="41" fontId="82" fillId="0" borderId="106" xfId="0" applyNumberFormat="1" applyFont="1" applyBorder="1" applyAlignment="1">
      <alignment horizontal="right" vertical="center"/>
    </xf>
    <xf numFmtId="41" fontId="82" fillId="0" borderId="187" xfId="0" applyNumberFormat="1" applyFont="1" applyBorder="1" applyAlignment="1">
      <alignment horizontal="right" vertical="center"/>
    </xf>
    <xf numFmtId="214" fontId="112" fillId="4" borderId="29" xfId="0" applyNumberFormat="1" applyFont="1" applyFill="1" applyBorder="1">
      <alignment vertical="center"/>
    </xf>
    <xf numFmtId="0" fontId="106" fillId="4" borderId="14" xfId="0" applyFont="1" applyFill="1" applyBorder="1" applyAlignment="1">
      <alignment horizontal="center" vertical="center" wrapText="1"/>
    </xf>
    <xf numFmtId="183" fontId="82" fillId="3" borderId="19" xfId="0" applyNumberFormat="1" applyFont="1" applyFill="1" applyBorder="1">
      <alignment vertical="center"/>
    </xf>
    <xf numFmtId="183" fontId="82" fillId="3" borderId="67" xfId="0" applyNumberFormat="1" applyFont="1" applyFill="1" applyBorder="1">
      <alignment vertical="center"/>
    </xf>
    <xf numFmtId="41" fontId="82" fillId="4" borderId="14" xfId="0" applyNumberFormat="1" applyFont="1" applyFill="1" applyBorder="1">
      <alignment vertical="center"/>
    </xf>
    <xf numFmtId="183" fontId="82" fillId="4" borderId="31" xfId="0" applyNumberFormat="1" applyFont="1" applyFill="1" applyBorder="1">
      <alignment vertical="center"/>
    </xf>
    <xf numFmtId="41" fontId="82" fillId="4" borderId="57" xfId="0" applyNumberFormat="1" applyFont="1" applyFill="1" applyBorder="1">
      <alignment vertical="center"/>
    </xf>
    <xf numFmtId="41" fontId="82" fillId="4" borderId="31" xfId="0" applyNumberFormat="1" applyFont="1" applyFill="1" applyBorder="1">
      <alignment vertical="center"/>
    </xf>
    <xf numFmtId="185" fontId="82" fillId="0" borderId="24" xfId="0" applyNumberFormat="1" applyFont="1" applyBorder="1">
      <alignment vertical="center"/>
    </xf>
    <xf numFmtId="178" fontId="112" fillId="12" borderId="28" xfId="0" applyNumberFormat="1" applyFont="1" applyFill="1" applyBorder="1">
      <alignment vertical="center"/>
    </xf>
    <xf numFmtId="192" fontId="112" fillId="12" borderId="28" xfId="0" applyNumberFormat="1" applyFont="1" applyFill="1" applyBorder="1">
      <alignment vertical="center"/>
    </xf>
    <xf numFmtId="178" fontId="112" fillId="12" borderId="28" xfId="0" applyNumberFormat="1" applyFont="1" applyFill="1" applyBorder="1" applyAlignment="1">
      <alignment horizontal="center" vertical="center"/>
    </xf>
    <xf numFmtId="9" fontId="112" fillId="12" borderId="28" xfId="0" applyNumberFormat="1" applyFont="1" applyFill="1" applyBorder="1">
      <alignment vertical="center"/>
    </xf>
    <xf numFmtId="182" fontId="82" fillId="3" borderId="60" xfId="0" applyNumberFormat="1" applyFont="1" applyFill="1" applyBorder="1" applyAlignment="1">
      <alignment horizontal="right" vertical="center"/>
    </xf>
    <xf numFmtId="182" fontId="82" fillId="4" borderId="14" xfId="0" applyNumberFormat="1" applyFont="1" applyFill="1" applyBorder="1" applyAlignment="1">
      <alignment horizontal="right" vertical="center"/>
    </xf>
    <xf numFmtId="182" fontId="82" fillId="3" borderId="69" xfId="0" applyNumberFormat="1" applyFont="1" applyFill="1" applyBorder="1" applyAlignment="1">
      <alignment horizontal="right" vertical="center"/>
    </xf>
    <xf numFmtId="182" fontId="82" fillId="4" borderId="31" xfId="0" applyNumberFormat="1" applyFont="1" applyFill="1" applyBorder="1" applyAlignment="1">
      <alignment horizontal="right" vertical="center"/>
    </xf>
    <xf numFmtId="41" fontId="106" fillId="4" borderId="148" xfId="0" applyNumberFormat="1" applyFont="1" applyFill="1" applyBorder="1" applyAlignment="1">
      <alignment horizontal="center" vertical="center" wrapText="1"/>
    </xf>
    <xf numFmtId="183" fontId="82" fillId="0" borderId="0" xfId="0" applyNumberFormat="1" applyFont="1" applyAlignment="1">
      <alignment horizontal="right" vertical="center"/>
    </xf>
    <xf numFmtId="41" fontId="106" fillId="3" borderId="0" xfId="0" applyNumberFormat="1" applyFont="1" applyFill="1" applyAlignment="1">
      <alignment horizontal="center" vertical="center"/>
    </xf>
    <xf numFmtId="0" fontId="82" fillId="4" borderId="32" xfId="0" applyFont="1" applyFill="1" applyBorder="1" applyAlignment="1">
      <alignment horizontal="center" vertical="center"/>
    </xf>
    <xf numFmtId="182" fontId="82" fillId="28" borderId="28" xfId="0" applyNumberFormat="1" applyFont="1" applyFill="1" applyBorder="1" applyAlignment="1">
      <alignment horizontal="right" vertical="center"/>
    </xf>
    <xf numFmtId="182" fontId="82" fillId="4" borderId="33" xfId="0" applyNumberFormat="1" applyFont="1" applyFill="1" applyBorder="1" applyAlignment="1">
      <alignment horizontal="center" vertical="center"/>
    </xf>
    <xf numFmtId="180" fontId="106" fillId="2" borderId="49" xfId="0" applyNumberFormat="1" applyFont="1" applyFill="1" applyBorder="1" applyAlignment="1">
      <alignment horizontal="center" vertical="center"/>
    </xf>
    <xf numFmtId="180" fontId="106" fillId="2" borderId="77" xfId="0" applyNumberFormat="1" applyFont="1" applyFill="1" applyBorder="1" applyAlignment="1">
      <alignment horizontal="center" vertical="center"/>
    </xf>
    <xf numFmtId="41" fontId="82" fillId="0" borderId="44" xfId="0" applyNumberFormat="1" applyFont="1" applyBorder="1">
      <alignment vertical="center"/>
    </xf>
    <xf numFmtId="0" fontId="82" fillId="0" borderId="75" xfId="0" applyFont="1" applyBorder="1">
      <alignment vertical="center"/>
    </xf>
    <xf numFmtId="41" fontId="82" fillId="4" borderId="202" xfId="0" applyNumberFormat="1" applyFont="1" applyFill="1" applyBorder="1">
      <alignment vertical="center"/>
    </xf>
    <xf numFmtId="41" fontId="82" fillId="4" borderId="203" xfId="0" applyNumberFormat="1" applyFont="1" applyFill="1" applyBorder="1">
      <alignment vertical="center"/>
    </xf>
    <xf numFmtId="190" fontId="82" fillId="4" borderId="203" xfId="0" applyNumberFormat="1" applyFont="1" applyFill="1" applyBorder="1" applyAlignment="1">
      <alignment horizontal="center" vertical="center"/>
    </xf>
    <xf numFmtId="190" fontId="82" fillId="4" borderId="197" xfId="0" applyNumberFormat="1" applyFont="1" applyFill="1" applyBorder="1" applyAlignment="1">
      <alignment horizontal="center" vertical="center"/>
    </xf>
    <xf numFmtId="41" fontId="91" fillId="3" borderId="202" xfId="0" applyNumberFormat="1" applyFont="1" applyFill="1" applyBorder="1">
      <alignment vertical="center"/>
    </xf>
    <xf numFmtId="41" fontId="91" fillId="3" borderId="203" xfId="0" applyNumberFormat="1" applyFont="1" applyFill="1" applyBorder="1">
      <alignment vertical="center"/>
    </xf>
    <xf numFmtId="41" fontId="91" fillId="3" borderId="204" xfId="0" applyNumberFormat="1" applyFont="1" applyFill="1" applyBorder="1">
      <alignment vertical="center"/>
    </xf>
    <xf numFmtId="0" fontId="119" fillId="2" borderId="0" xfId="0" applyFont="1" applyFill="1">
      <alignment vertical="center"/>
    </xf>
    <xf numFmtId="0" fontId="91" fillId="0" borderId="196" xfId="0" applyFont="1" applyBorder="1" applyAlignment="1">
      <alignment horizontal="center" vertical="center"/>
    </xf>
    <xf numFmtId="0" fontId="91" fillId="0" borderId="196" xfId="0" applyFont="1" applyBorder="1">
      <alignment vertical="center"/>
    </xf>
    <xf numFmtId="9" fontId="91" fillId="2" borderId="196" xfId="0" applyNumberFormat="1" applyFont="1" applyFill="1" applyBorder="1" applyAlignment="1">
      <alignment horizontal="center" vertical="center"/>
    </xf>
    <xf numFmtId="193" fontId="91" fillId="2" borderId="196" xfId="0" applyNumberFormat="1" applyFont="1" applyFill="1" applyBorder="1">
      <alignment vertical="center"/>
    </xf>
    <xf numFmtId="196" fontId="91" fillId="2" borderId="196" xfId="0" applyNumberFormat="1" applyFont="1" applyFill="1" applyBorder="1">
      <alignment vertical="center"/>
    </xf>
    <xf numFmtId="180" fontId="91" fillId="2" borderId="196" xfId="0" applyNumberFormat="1" applyFont="1" applyFill="1" applyBorder="1">
      <alignment vertical="center"/>
    </xf>
    <xf numFmtId="41" fontId="91" fillId="2" borderId="196" xfId="0" applyNumberFormat="1" applyFont="1" applyFill="1" applyBorder="1">
      <alignment vertical="center"/>
    </xf>
    <xf numFmtId="0" fontId="91" fillId="2" borderId="196" xfId="0" applyFont="1" applyFill="1" applyBorder="1">
      <alignment vertical="center"/>
    </xf>
    <xf numFmtId="9" fontId="82" fillId="0" borderId="196" xfId="3" applyFont="1" applyBorder="1">
      <alignment vertical="center"/>
    </xf>
    <xf numFmtId="41" fontId="91" fillId="3" borderId="196" xfId="0" applyNumberFormat="1" applyFont="1" applyFill="1" applyBorder="1">
      <alignment vertical="center"/>
    </xf>
    <xf numFmtId="0" fontId="106" fillId="3" borderId="50" xfId="0" applyFont="1" applyFill="1" applyBorder="1" applyAlignment="1">
      <alignment horizontal="center" vertical="top"/>
    </xf>
    <xf numFmtId="185" fontId="91" fillId="3" borderId="50" xfId="0" applyNumberFormat="1" applyFont="1" applyFill="1" applyBorder="1">
      <alignment vertical="center"/>
    </xf>
    <xf numFmtId="185" fontId="82" fillId="3" borderId="50" xfId="0" applyNumberFormat="1" applyFont="1" applyFill="1" applyBorder="1">
      <alignment vertical="center"/>
    </xf>
    <xf numFmtId="41" fontId="82" fillId="4" borderId="197" xfId="0" applyNumberFormat="1" applyFont="1" applyFill="1" applyBorder="1">
      <alignment vertical="center"/>
    </xf>
    <xf numFmtId="41" fontId="82" fillId="4" borderId="107" xfId="0" applyNumberFormat="1" applyFont="1" applyFill="1" applyBorder="1">
      <alignment vertical="center"/>
    </xf>
    <xf numFmtId="41" fontId="82" fillId="2" borderId="5" xfId="0" applyNumberFormat="1" applyFont="1" applyFill="1" applyBorder="1">
      <alignment vertical="center"/>
    </xf>
    <xf numFmtId="193" fontId="91" fillId="4" borderId="203" xfId="0" applyNumberFormat="1" applyFont="1" applyFill="1" applyBorder="1">
      <alignment vertical="center"/>
    </xf>
    <xf numFmtId="41" fontId="82" fillId="3" borderId="197" xfId="0" applyNumberFormat="1" applyFont="1" applyFill="1" applyBorder="1">
      <alignment vertical="center"/>
    </xf>
    <xf numFmtId="41" fontId="91" fillId="3" borderId="198" xfId="0" applyNumberFormat="1" applyFont="1" applyFill="1" applyBorder="1">
      <alignment vertical="center"/>
    </xf>
    <xf numFmtId="191" fontId="82" fillId="3" borderId="197" xfId="0" applyNumberFormat="1" applyFont="1" applyFill="1" applyBorder="1">
      <alignment vertical="center"/>
    </xf>
    <xf numFmtId="191" fontId="82" fillId="3" borderId="203" xfId="0" applyNumberFormat="1" applyFont="1" applyFill="1" applyBorder="1">
      <alignment vertical="center"/>
    </xf>
    <xf numFmtId="191" fontId="82" fillId="3" borderId="204" xfId="0" applyNumberFormat="1" applyFont="1" applyFill="1" applyBorder="1">
      <alignment vertical="center"/>
    </xf>
    <xf numFmtId="191" fontId="91" fillId="3" borderId="202" xfId="0" applyNumberFormat="1" applyFont="1" applyFill="1" applyBorder="1">
      <alignment vertical="center"/>
    </xf>
    <xf numFmtId="191" fontId="91" fillId="3" borderId="198" xfId="0" applyNumberFormat="1" applyFont="1" applyFill="1" applyBorder="1">
      <alignment vertical="center"/>
    </xf>
    <xf numFmtId="191" fontId="91" fillId="3" borderId="203" xfId="0" applyNumberFormat="1" applyFont="1" applyFill="1" applyBorder="1">
      <alignment vertical="center"/>
    </xf>
    <xf numFmtId="191" fontId="91" fillId="3" borderId="204" xfId="0" applyNumberFormat="1" applyFont="1" applyFill="1" applyBorder="1">
      <alignment vertical="center"/>
    </xf>
    <xf numFmtId="9" fontId="91" fillId="4" borderId="203" xfId="0" applyNumberFormat="1" applyFont="1" applyFill="1" applyBorder="1" applyAlignment="1">
      <alignment horizontal="right" vertical="center"/>
    </xf>
    <xf numFmtId="194" fontId="91" fillId="3" borderId="203" xfId="0" applyNumberFormat="1" applyFont="1" applyFill="1" applyBorder="1" applyAlignment="1">
      <alignment horizontal="right" vertical="center"/>
    </xf>
    <xf numFmtId="194" fontId="91" fillId="3" borderId="204" xfId="0" applyNumberFormat="1" applyFont="1" applyFill="1" applyBorder="1" applyAlignment="1">
      <alignment horizontal="right" vertical="center"/>
    </xf>
    <xf numFmtId="194" fontId="91" fillId="3" borderId="64" xfId="0" applyNumberFormat="1" applyFont="1" applyFill="1" applyBorder="1" applyAlignment="1">
      <alignment horizontal="right" vertical="center"/>
    </xf>
    <xf numFmtId="191" fontId="106" fillId="4" borderId="57" xfId="0" applyNumberFormat="1" applyFont="1" applyFill="1" applyBorder="1">
      <alignment vertical="center"/>
    </xf>
    <xf numFmtId="194" fontId="91" fillId="3" borderId="5" xfId="0" applyNumberFormat="1" applyFont="1" applyFill="1" applyBorder="1" applyAlignment="1">
      <alignment horizontal="right" vertical="center"/>
    </xf>
    <xf numFmtId="194" fontId="91" fillId="3" borderId="47" xfId="0" applyNumberFormat="1" applyFont="1" applyFill="1" applyBorder="1" applyAlignment="1">
      <alignment horizontal="right" vertical="center"/>
    </xf>
    <xf numFmtId="194" fontId="91" fillId="3" borderId="35" xfId="0" applyNumberFormat="1" applyFont="1" applyFill="1" applyBorder="1" applyAlignment="1">
      <alignment horizontal="right" vertical="center"/>
    </xf>
    <xf numFmtId="191" fontId="106" fillId="4" borderId="44" xfId="0" applyNumberFormat="1" applyFont="1" applyFill="1" applyBorder="1">
      <alignment vertical="center"/>
    </xf>
    <xf numFmtId="191" fontId="82" fillId="3" borderId="35" xfId="0" applyNumberFormat="1" applyFont="1" applyFill="1" applyBorder="1">
      <alignment vertical="center"/>
    </xf>
    <xf numFmtId="191" fontId="91" fillId="3" borderId="35" xfId="0" applyNumberFormat="1" applyFont="1" applyFill="1" applyBorder="1">
      <alignment vertical="center"/>
    </xf>
    <xf numFmtId="41" fontId="91" fillId="4" borderId="90" xfId="0" applyNumberFormat="1" applyFont="1" applyFill="1" applyBorder="1">
      <alignment vertical="center"/>
    </xf>
    <xf numFmtId="41" fontId="91" fillId="4" borderId="4" xfId="0" applyNumberFormat="1" applyFont="1" applyFill="1" applyBorder="1">
      <alignment vertical="center"/>
    </xf>
    <xf numFmtId="9" fontId="91" fillId="4" borderId="4" xfId="0" applyNumberFormat="1" applyFont="1" applyFill="1" applyBorder="1" applyAlignment="1">
      <alignment horizontal="right" vertical="center"/>
    </xf>
    <xf numFmtId="180" fontId="106" fillId="4" borderId="32" xfId="0" applyNumberFormat="1" applyFont="1" applyFill="1" applyBorder="1" applyAlignment="1">
      <alignment horizontal="center" vertical="center"/>
    </xf>
    <xf numFmtId="0" fontId="82" fillId="4" borderId="203" xfId="0" applyFont="1" applyFill="1" applyBorder="1" applyAlignment="1">
      <alignment horizontal="center" vertical="center"/>
    </xf>
    <xf numFmtId="0" fontId="82" fillId="4" borderId="202" xfId="0" applyFont="1" applyFill="1" applyBorder="1" applyAlignment="1">
      <alignment horizontal="left" vertical="center"/>
    </xf>
    <xf numFmtId="9" fontId="106" fillId="4" borderId="203" xfId="0" applyNumberFormat="1" applyFont="1" applyFill="1" applyBorder="1" applyAlignment="1">
      <alignment horizontal="center" vertical="center"/>
    </xf>
    <xf numFmtId="180" fontId="106" fillId="4" borderId="204" xfId="0" applyNumberFormat="1" applyFont="1" applyFill="1" applyBorder="1" applyAlignment="1">
      <alignment horizontal="center" vertical="center"/>
    </xf>
    <xf numFmtId="0" fontId="114" fillId="4" borderId="64" xfId="0" applyFont="1" applyFill="1" applyBorder="1">
      <alignment vertical="center"/>
    </xf>
    <xf numFmtId="0" fontId="114" fillId="4" borderId="61" xfId="0" applyFont="1" applyFill="1" applyBorder="1">
      <alignment vertical="center"/>
    </xf>
    <xf numFmtId="41" fontId="82" fillId="4" borderId="68" xfId="0" applyNumberFormat="1" applyFont="1" applyFill="1" applyBorder="1">
      <alignment vertical="center"/>
    </xf>
    <xf numFmtId="41" fontId="114" fillId="4" borderId="27" xfId="0" applyNumberFormat="1" applyFont="1" applyFill="1" applyBorder="1" applyAlignment="1">
      <alignment horizontal="center" vertical="center"/>
    </xf>
    <xf numFmtId="198" fontId="106" fillId="0" borderId="55" xfId="0" applyNumberFormat="1" applyFont="1" applyBorder="1">
      <alignment vertical="center"/>
    </xf>
    <xf numFmtId="198" fontId="106" fillId="0" borderId="1" xfId="0" applyNumberFormat="1" applyFont="1" applyBorder="1">
      <alignment vertical="center"/>
    </xf>
    <xf numFmtId="198" fontId="106" fillId="0" borderId="69" xfId="0" applyNumberFormat="1" applyFont="1" applyBorder="1">
      <alignment vertical="center"/>
    </xf>
    <xf numFmtId="198" fontId="106" fillId="0" borderId="21" xfId="0" applyNumberFormat="1" applyFont="1" applyBorder="1">
      <alignment vertical="center"/>
    </xf>
    <xf numFmtId="198" fontId="114" fillId="0" borderId="24" xfId="0" applyNumberFormat="1" applyFont="1" applyBorder="1">
      <alignment vertical="center"/>
    </xf>
    <xf numFmtId="198" fontId="114" fillId="0" borderId="21" xfId="0" applyNumberFormat="1" applyFont="1" applyBorder="1">
      <alignment vertical="center"/>
    </xf>
    <xf numFmtId="198" fontId="114" fillId="0" borderId="1" xfId="0" applyNumberFormat="1" applyFont="1" applyBorder="1">
      <alignment vertical="center"/>
    </xf>
    <xf numFmtId="0" fontId="109" fillId="27" borderId="0" xfId="0" applyFont="1" applyFill="1">
      <alignment vertical="center"/>
    </xf>
    <xf numFmtId="0" fontId="108" fillId="27" borderId="0" xfId="0" applyFont="1" applyFill="1">
      <alignment vertical="center"/>
    </xf>
    <xf numFmtId="41" fontId="4" fillId="27" borderId="0" xfId="0" applyNumberFormat="1" applyFont="1" applyFill="1">
      <alignment vertical="center"/>
    </xf>
    <xf numFmtId="0" fontId="4" fillId="27" borderId="0" xfId="0" applyFont="1" applyFill="1">
      <alignment vertical="center"/>
    </xf>
    <xf numFmtId="0" fontId="82" fillId="27" borderId="0" xfId="0" applyFont="1" applyFill="1" applyAlignment="1">
      <alignment horizontal="right" vertical="center"/>
    </xf>
    <xf numFmtId="0" fontId="147" fillId="0" borderId="0" xfId="0" applyFont="1" applyAlignment="1">
      <alignment horizontal="left" vertical="center"/>
    </xf>
    <xf numFmtId="41" fontId="82" fillId="4" borderId="91" xfId="0" applyNumberFormat="1" applyFont="1" applyFill="1" applyBorder="1" applyAlignment="1">
      <alignment horizontal="center" vertical="center"/>
    </xf>
    <xf numFmtId="0" fontId="114" fillId="4" borderId="91" xfId="0" applyFont="1" applyFill="1" applyBorder="1">
      <alignment vertical="center"/>
    </xf>
    <xf numFmtId="9" fontId="114" fillId="4" borderId="91" xfId="0" applyNumberFormat="1" applyFont="1" applyFill="1" applyBorder="1">
      <alignment vertical="center"/>
    </xf>
    <xf numFmtId="180" fontId="106" fillId="4" borderId="91" xfId="0" applyNumberFormat="1" applyFont="1" applyFill="1" applyBorder="1" applyAlignment="1">
      <alignment horizontal="center" vertical="center"/>
    </xf>
    <xf numFmtId="0" fontId="91" fillId="4" borderId="0" xfId="0" applyFont="1" applyFill="1">
      <alignment vertical="center"/>
    </xf>
    <xf numFmtId="0" fontId="91" fillId="4" borderId="91" xfId="0" applyFont="1" applyFill="1" applyBorder="1">
      <alignment vertical="center"/>
    </xf>
    <xf numFmtId="0" fontId="114" fillId="4" borderId="202" xfId="0" applyFont="1" applyFill="1" applyBorder="1" applyAlignment="1">
      <alignment horizontal="center" vertical="center"/>
    </xf>
    <xf numFmtId="190" fontId="91" fillId="4" borderId="60" xfId="0" applyNumberFormat="1" applyFont="1" applyFill="1" applyBorder="1">
      <alignment vertical="center"/>
    </xf>
    <xf numFmtId="41" fontId="91" fillId="4" borderId="59" xfId="0" applyNumberFormat="1" applyFont="1" applyFill="1" applyBorder="1" applyAlignment="1">
      <alignment horizontal="center" vertical="center"/>
    </xf>
    <xf numFmtId="41" fontId="91" fillId="4" borderId="73" xfId="0" applyNumberFormat="1" applyFont="1" applyFill="1" applyBorder="1" applyAlignment="1">
      <alignment horizontal="center" vertical="center"/>
    </xf>
    <xf numFmtId="41" fontId="114" fillId="4" borderId="46" xfId="0" applyNumberFormat="1" applyFont="1" applyFill="1" applyBorder="1" applyAlignment="1">
      <alignment horizontal="center" vertical="center"/>
    </xf>
    <xf numFmtId="9" fontId="91" fillId="4" borderId="202" xfId="0" applyNumberFormat="1" applyFont="1" applyFill="1" applyBorder="1">
      <alignment vertical="center"/>
    </xf>
    <xf numFmtId="41" fontId="82" fillId="4" borderId="59" xfId="0" applyNumberFormat="1" applyFont="1" applyFill="1" applyBorder="1">
      <alignment vertical="center"/>
    </xf>
    <xf numFmtId="9" fontId="91" fillId="4" borderId="204" xfId="0" applyNumberFormat="1" applyFont="1" applyFill="1" applyBorder="1">
      <alignment vertical="center"/>
    </xf>
    <xf numFmtId="9" fontId="91" fillId="4" borderId="69" xfId="0" applyNumberFormat="1" applyFont="1" applyFill="1" applyBorder="1">
      <alignment vertical="center"/>
    </xf>
    <xf numFmtId="41" fontId="114" fillId="4" borderId="130" xfId="0" applyNumberFormat="1" applyFont="1" applyFill="1" applyBorder="1">
      <alignment vertical="center"/>
    </xf>
    <xf numFmtId="185" fontId="91" fillId="3" borderId="23" xfId="0" applyNumberFormat="1" applyFont="1" applyFill="1" applyBorder="1">
      <alignment vertical="center"/>
    </xf>
    <xf numFmtId="41" fontId="106" fillId="4" borderId="148" xfId="0" applyNumberFormat="1" applyFont="1" applyFill="1" applyBorder="1">
      <alignment vertical="center"/>
    </xf>
    <xf numFmtId="41" fontId="114" fillId="4" borderId="119" xfId="0" applyNumberFormat="1" applyFont="1" applyFill="1" applyBorder="1">
      <alignment vertical="center"/>
    </xf>
    <xf numFmtId="41" fontId="114" fillId="4" borderId="87" xfId="0" applyNumberFormat="1" applyFont="1" applyFill="1" applyBorder="1">
      <alignment vertical="center"/>
    </xf>
    <xf numFmtId="41" fontId="91" fillId="4" borderId="11" xfId="0" applyNumberFormat="1" applyFont="1" applyFill="1" applyBorder="1" applyAlignment="1">
      <alignment horizontal="center" vertical="center"/>
    </xf>
    <xf numFmtId="198" fontId="114" fillId="0" borderId="40" xfId="0" applyNumberFormat="1" applyFont="1" applyBorder="1">
      <alignment vertical="center"/>
    </xf>
    <xf numFmtId="198" fontId="114" fillId="0" borderId="77" xfId="0" applyNumberFormat="1" applyFont="1" applyBorder="1">
      <alignment vertical="center"/>
    </xf>
    <xf numFmtId="198" fontId="114" fillId="0" borderId="70" xfId="0" applyNumberFormat="1" applyFont="1" applyBorder="1">
      <alignment vertical="center"/>
    </xf>
    <xf numFmtId="195" fontId="114" fillId="4" borderId="75" xfId="0" applyNumberFormat="1" applyFont="1" applyFill="1" applyBorder="1">
      <alignment vertical="center"/>
    </xf>
    <xf numFmtId="198" fontId="106" fillId="0" borderId="78" xfId="0" applyNumberFormat="1" applyFont="1" applyBorder="1">
      <alignment vertical="center"/>
    </xf>
    <xf numFmtId="198" fontId="106" fillId="0" borderId="77" xfId="0" applyNumberFormat="1" applyFont="1" applyBorder="1">
      <alignment vertical="center"/>
    </xf>
    <xf numFmtId="198" fontId="106" fillId="0" borderId="49" xfId="0" applyNumberFormat="1" applyFont="1" applyBorder="1">
      <alignment vertical="center"/>
    </xf>
    <xf numFmtId="198" fontId="106" fillId="0" borderId="40" xfId="0" applyNumberFormat="1" applyFont="1" applyBorder="1">
      <alignment vertical="center"/>
    </xf>
    <xf numFmtId="0" fontId="114" fillId="4" borderId="26" xfId="0" applyFont="1" applyFill="1" applyBorder="1" applyAlignment="1">
      <alignment horizontal="center" vertical="center"/>
    </xf>
    <xf numFmtId="41" fontId="114" fillId="4" borderId="89" xfId="0" applyNumberFormat="1" applyFont="1" applyFill="1" applyBorder="1">
      <alignment vertical="center"/>
    </xf>
    <xf numFmtId="41" fontId="106" fillId="2" borderId="0" xfId="0" applyNumberFormat="1" applyFont="1" applyFill="1">
      <alignment vertical="center"/>
    </xf>
    <xf numFmtId="182" fontId="106" fillId="3" borderId="47" xfId="0" applyNumberFormat="1" applyFont="1" applyFill="1" applyBorder="1">
      <alignment vertical="center"/>
    </xf>
    <xf numFmtId="182" fontId="106" fillId="3" borderId="107" xfId="0" applyNumberFormat="1" applyFont="1" applyFill="1" applyBorder="1">
      <alignment vertical="center"/>
    </xf>
    <xf numFmtId="182" fontId="106" fillId="3" borderId="42" xfId="0" applyNumberFormat="1" applyFont="1" applyFill="1" applyBorder="1">
      <alignment vertical="center"/>
    </xf>
    <xf numFmtId="182" fontId="106" fillId="3" borderId="38" xfId="0" applyNumberFormat="1" applyFont="1" applyFill="1" applyBorder="1">
      <alignment vertical="center"/>
    </xf>
    <xf numFmtId="182" fontId="106" fillId="4" borderId="44" xfId="0" applyNumberFormat="1" applyFont="1" applyFill="1" applyBorder="1">
      <alignment vertical="center"/>
    </xf>
    <xf numFmtId="185" fontId="82" fillId="3" borderId="65" xfId="0" applyNumberFormat="1" applyFont="1" applyFill="1" applyBorder="1">
      <alignment vertical="center"/>
    </xf>
    <xf numFmtId="185" fontId="91" fillId="3" borderId="8" xfId="0" applyNumberFormat="1" applyFont="1" applyFill="1" applyBorder="1" applyAlignment="1">
      <alignment horizontal="left" vertical="center" indent="1"/>
    </xf>
    <xf numFmtId="185" fontId="82" fillId="3" borderId="8" xfId="0" applyNumberFormat="1" applyFont="1" applyFill="1" applyBorder="1" applyAlignment="1">
      <alignment horizontal="left" vertical="center" indent="1"/>
    </xf>
    <xf numFmtId="185" fontId="82" fillId="3" borderId="42" xfId="0" applyNumberFormat="1" applyFont="1" applyFill="1" applyBorder="1" applyAlignment="1">
      <alignment horizontal="left" vertical="center" indent="1"/>
    </xf>
    <xf numFmtId="185" fontId="106" fillId="3" borderId="8" xfId="0" applyNumberFormat="1" applyFont="1" applyFill="1" applyBorder="1">
      <alignment vertical="center"/>
    </xf>
    <xf numFmtId="41" fontId="127" fillId="4" borderId="20" xfId="0" applyNumberFormat="1" applyFont="1" applyFill="1" applyBorder="1">
      <alignment vertical="center"/>
    </xf>
    <xf numFmtId="9" fontId="82" fillId="4" borderId="20" xfId="0" applyNumberFormat="1" applyFont="1" applyFill="1" applyBorder="1" applyAlignment="1">
      <alignment horizontal="right" vertical="center"/>
    </xf>
    <xf numFmtId="0" fontId="106" fillId="4" borderId="29" xfId="0" applyFont="1" applyFill="1" applyBorder="1" applyAlignment="1">
      <alignment horizontal="center" vertical="center"/>
    </xf>
    <xf numFmtId="41" fontId="127" fillId="4" borderId="29" xfId="0" applyNumberFormat="1" applyFont="1" applyFill="1" applyBorder="1">
      <alignment vertical="center"/>
    </xf>
    <xf numFmtId="0" fontId="82" fillId="4" borderId="29" xfId="0" applyFont="1" applyFill="1" applyBorder="1" applyAlignment="1">
      <alignment horizontal="center" vertical="center"/>
    </xf>
    <xf numFmtId="9" fontId="82" fillId="4" borderId="20" xfId="0" applyNumberFormat="1" applyFont="1" applyFill="1" applyBorder="1" applyAlignment="1">
      <alignment vertical="center" shrinkToFit="1"/>
    </xf>
    <xf numFmtId="41" fontId="106" fillId="4" borderId="130" xfId="0" applyNumberFormat="1" applyFont="1" applyFill="1" applyBorder="1">
      <alignment vertical="center"/>
    </xf>
    <xf numFmtId="183" fontId="91" fillId="3" borderId="48" xfId="0" applyNumberFormat="1" applyFont="1" applyFill="1" applyBorder="1" applyAlignment="1">
      <alignment vertical="center" shrinkToFit="1"/>
    </xf>
    <xf numFmtId="41" fontId="82" fillId="4" borderId="203" xfId="0" applyNumberFormat="1" applyFont="1" applyFill="1" applyBorder="1" applyAlignment="1">
      <alignment vertical="top"/>
    </xf>
    <xf numFmtId="9" fontId="91" fillId="4" borderId="203" xfId="0" applyNumberFormat="1" applyFont="1" applyFill="1" applyBorder="1">
      <alignment vertical="center"/>
    </xf>
    <xf numFmtId="180" fontId="91" fillId="4" borderId="60" xfId="0" applyNumberFormat="1" applyFont="1" applyFill="1" applyBorder="1" applyAlignment="1">
      <alignment horizontal="center" vertical="center"/>
    </xf>
    <xf numFmtId="41" fontId="91" fillId="4" borderId="204" xfId="0" applyNumberFormat="1" applyFont="1" applyFill="1" applyBorder="1">
      <alignment vertical="center"/>
    </xf>
    <xf numFmtId="41" fontId="91" fillId="4" borderId="89" xfId="0" applyNumberFormat="1" applyFont="1" applyFill="1" applyBorder="1">
      <alignment vertical="center"/>
    </xf>
    <xf numFmtId="41" fontId="91" fillId="4" borderId="93" xfId="0" applyNumberFormat="1" applyFont="1" applyFill="1" applyBorder="1">
      <alignment vertical="center"/>
    </xf>
    <xf numFmtId="0" fontId="114" fillId="4" borderId="46" xfId="0" applyFont="1" applyFill="1" applyBorder="1" applyAlignment="1">
      <alignment horizontal="center" vertical="center"/>
    </xf>
    <xf numFmtId="41" fontId="82" fillId="4" borderId="14" xfId="0" applyNumberFormat="1" applyFont="1" applyFill="1" applyBorder="1" applyAlignment="1">
      <alignment horizontal="right" vertical="center"/>
    </xf>
    <xf numFmtId="41" fontId="82" fillId="4" borderId="57" xfId="0" applyNumberFormat="1" applyFont="1" applyFill="1" applyBorder="1" applyAlignment="1">
      <alignment horizontal="right" vertical="center"/>
    </xf>
    <xf numFmtId="41" fontId="82" fillId="4" borderId="31" xfId="0" applyNumberFormat="1" applyFont="1" applyFill="1" applyBorder="1" applyAlignment="1">
      <alignment horizontal="right" vertical="center"/>
    </xf>
    <xf numFmtId="41" fontId="82" fillId="4" borderId="106" xfId="0" applyNumberFormat="1" applyFont="1" applyFill="1" applyBorder="1" applyAlignment="1">
      <alignment horizontal="right" vertical="center"/>
    </xf>
    <xf numFmtId="41" fontId="82" fillId="4" borderId="187" xfId="0" applyNumberFormat="1" applyFont="1" applyFill="1" applyBorder="1" applyAlignment="1">
      <alignment horizontal="right" vertical="center"/>
    </xf>
    <xf numFmtId="185" fontId="91" fillId="4" borderId="65" xfId="0" applyNumberFormat="1" applyFont="1" applyFill="1" applyBorder="1">
      <alignment vertical="center"/>
    </xf>
    <xf numFmtId="185" fontId="82" fillId="4" borderId="58" xfId="0" applyNumberFormat="1" applyFont="1" applyFill="1" applyBorder="1">
      <alignment vertical="center"/>
    </xf>
    <xf numFmtId="185" fontId="82" fillId="4" borderId="27" xfId="0" applyNumberFormat="1" applyFont="1" applyFill="1" applyBorder="1">
      <alignment vertical="center"/>
    </xf>
    <xf numFmtId="185" fontId="82" fillId="4" borderId="60" xfId="0" applyNumberFormat="1" applyFont="1" applyFill="1" applyBorder="1">
      <alignment vertical="center"/>
    </xf>
    <xf numFmtId="185" fontId="91" fillId="4" borderId="58" xfId="0" applyNumberFormat="1" applyFont="1" applyFill="1" applyBorder="1">
      <alignment vertical="center"/>
    </xf>
    <xf numFmtId="185" fontId="91" fillId="4" borderId="26" xfId="0" applyNumberFormat="1" applyFont="1" applyFill="1" applyBorder="1">
      <alignment vertical="center"/>
    </xf>
    <xf numFmtId="180" fontId="91" fillId="0" borderId="0" xfId="0" applyNumberFormat="1" applyFont="1" applyAlignment="1">
      <alignment horizontal="right" vertical="center"/>
    </xf>
    <xf numFmtId="180" fontId="82" fillId="0" borderId="0" xfId="0" applyNumberFormat="1" applyFont="1" applyAlignment="1">
      <alignment horizontal="right" vertical="center"/>
    </xf>
    <xf numFmtId="180" fontId="131" fillId="0" borderId="0" xfId="0" applyNumberFormat="1" applyFont="1" applyAlignment="1">
      <alignment horizontal="right" vertical="center"/>
    </xf>
    <xf numFmtId="0" fontId="82" fillId="4" borderId="112" xfId="0" applyFont="1" applyFill="1" applyBorder="1" applyAlignment="1">
      <alignment horizontal="right" vertical="top"/>
    </xf>
    <xf numFmtId="0" fontId="82" fillId="4" borderId="196" xfId="0" applyFont="1" applyFill="1" applyBorder="1" applyAlignment="1">
      <alignment horizontal="right" vertical="top"/>
    </xf>
    <xf numFmtId="0" fontId="82" fillId="4" borderId="8" xfId="0" applyFont="1" applyFill="1" applyBorder="1" applyAlignment="1">
      <alignment horizontal="right" vertical="top"/>
    </xf>
    <xf numFmtId="41" fontId="82" fillId="4" borderId="0" xfId="0" applyNumberFormat="1" applyFont="1" applyFill="1" applyAlignment="1">
      <alignment horizontal="right" vertical="top"/>
    </xf>
    <xf numFmtId="0" fontId="114" fillId="4" borderId="0" xfId="0" applyFont="1" applyFill="1" applyAlignment="1">
      <alignment horizontal="right" vertical="center"/>
    </xf>
    <xf numFmtId="0" fontId="82" fillId="4" borderId="52" xfId="0" applyFont="1" applyFill="1" applyBorder="1" applyAlignment="1">
      <alignment horizontal="right" vertical="top"/>
    </xf>
    <xf numFmtId="0" fontId="82" fillId="4" borderId="3" xfId="0" applyFont="1" applyFill="1" applyBorder="1" applyAlignment="1">
      <alignment horizontal="right" vertical="top"/>
    </xf>
    <xf numFmtId="0" fontId="82" fillId="4" borderId="159" xfId="0" applyFont="1" applyFill="1" applyBorder="1" applyAlignment="1">
      <alignment horizontal="right" vertical="top"/>
    </xf>
    <xf numFmtId="180" fontId="114" fillId="3" borderId="91" xfId="0" applyNumberFormat="1" applyFont="1" applyFill="1" applyBorder="1" applyAlignment="1">
      <alignment horizontal="right" vertical="center"/>
    </xf>
    <xf numFmtId="189" fontId="91" fillId="4" borderId="18" xfId="0" applyNumberFormat="1" applyFont="1" applyFill="1" applyBorder="1" applyAlignment="1">
      <alignment horizontal="right" vertical="center"/>
    </xf>
    <xf numFmtId="41" fontId="82" fillId="3" borderId="209" xfId="0" applyNumberFormat="1" applyFont="1" applyFill="1" applyBorder="1" applyAlignment="1">
      <alignment vertical="center" shrinkToFit="1"/>
    </xf>
    <xf numFmtId="41" fontId="82" fillId="3" borderId="126" xfId="0" applyNumberFormat="1" applyFont="1" applyFill="1" applyBorder="1" applyAlignment="1">
      <alignment vertical="center" shrinkToFit="1"/>
    </xf>
    <xf numFmtId="41" fontId="91" fillId="3" borderId="126" xfId="0" applyNumberFormat="1" applyFont="1" applyFill="1" applyBorder="1" applyAlignment="1">
      <alignment vertical="center" shrinkToFit="1"/>
    </xf>
    <xf numFmtId="41" fontId="82" fillId="3" borderId="210" xfId="0" applyNumberFormat="1" applyFont="1" applyFill="1" applyBorder="1" applyAlignment="1">
      <alignment vertical="center" shrinkToFit="1"/>
    </xf>
    <xf numFmtId="41" fontId="106" fillId="4" borderId="67" xfId="0" applyNumberFormat="1" applyFont="1" applyFill="1" applyBorder="1" applyAlignment="1">
      <alignment vertical="center" shrinkToFit="1"/>
    </xf>
    <xf numFmtId="41" fontId="82" fillId="3" borderId="194" xfId="0" applyNumberFormat="1" applyFont="1" applyFill="1" applyBorder="1" applyAlignment="1">
      <alignment vertical="center" shrinkToFit="1"/>
    </xf>
    <xf numFmtId="41" fontId="82" fillId="3" borderId="121" xfId="0" applyNumberFormat="1" applyFont="1" applyFill="1" applyBorder="1" applyAlignment="1">
      <alignment vertical="center" shrinkToFit="1"/>
    </xf>
    <xf numFmtId="41" fontId="91" fillId="3" borderId="121" xfId="0" applyNumberFormat="1" applyFont="1" applyFill="1" applyBorder="1" applyAlignment="1">
      <alignment vertical="center" shrinkToFit="1"/>
    </xf>
    <xf numFmtId="41" fontId="82" fillId="3" borderId="185" xfId="0" applyNumberFormat="1" applyFont="1" applyFill="1" applyBorder="1" applyAlignment="1">
      <alignment vertical="center" shrinkToFit="1"/>
    </xf>
    <xf numFmtId="0" fontId="106" fillId="4" borderId="25" xfId="0" applyFont="1" applyFill="1" applyBorder="1" applyAlignment="1">
      <alignment horizontal="center" vertical="center"/>
    </xf>
    <xf numFmtId="41" fontId="106" fillId="4" borderId="195" xfId="0" applyNumberFormat="1" applyFont="1" applyFill="1" applyBorder="1">
      <alignment vertical="center"/>
    </xf>
    <xf numFmtId="41" fontId="106" fillId="4" borderId="117" xfId="0" applyNumberFormat="1" applyFont="1" applyFill="1" applyBorder="1">
      <alignment vertical="center"/>
    </xf>
    <xf numFmtId="41" fontId="106" fillId="4" borderId="188" xfId="0" applyNumberFormat="1" applyFont="1" applyFill="1" applyBorder="1">
      <alignment vertical="center"/>
    </xf>
    <xf numFmtId="9" fontId="106" fillId="4" borderId="16" xfId="0" applyNumberFormat="1" applyFont="1" applyFill="1" applyBorder="1">
      <alignment vertical="center"/>
    </xf>
    <xf numFmtId="41" fontId="91" fillId="2" borderId="40" xfId="0" applyNumberFormat="1" applyFont="1" applyFill="1" applyBorder="1">
      <alignment vertical="center"/>
    </xf>
    <xf numFmtId="180" fontId="91" fillId="2" borderId="49" xfId="0" applyNumberFormat="1" applyFont="1" applyFill="1" applyBorder="1">
      <alignment vertical="center"/>
    </xf>
    <xf numFmtId="180" fontId="91" fillId="2" borderId="43" xfId="0" applyNumberFormat="1" applyFont="1" applyFill="1" applyBorder="1">
      <alignment vertical="center"/>
    </xf>
    <xf numFmtId="180" fontId="91" fillId="2" borderId="40" xfId="0" applyNumberFormat="1" applyFont="1" applyFill="1" applyBorder="1">
      <alignment vertical="center"/>
    </xf>
    <xf numFmtId="180" fontId="114" fillId="2" borderId="70" xfId="0" applyNumberFormat="1" applyFont="1" applyFill="1" applyBorder="1">
      <alignment vertical="center"/>
    </xf>
    <xf numFmtId="41" fontId="91" fillId="4" borderId="87" xfId="0" applyNumberFormat="1" applyFont="1" applyFill="1" applyBorder="1" applyAlignment="1">
      <alignment horizontal="left" vertical="center"/>
    </xf>
    <xf numFmtId="9" fontId="91" fillId="4" borderId="119" xfId="0" applyNumberFormat="1" applyFont="1" applyFill="1" applyBorder="1">
      <alignment vertical="center"/>
    </xf>
    <xf numFmtId="0" fontId="91" fillId="4" borderId="50" xfId="0" applyFont="1" applyFill="1" applyBorder="1" applyAlignment="1">
      <alignment horizontal="center" vertical="center"/>
    </xf>
    <xf numFmtId="41" fontId="91" fillId="4" borderId="73" xfId="0" applyNumberFormat="1" applyFont="1" applyFill="1" applyBorder="1" applyAlignment="1">
      <alignment horizontal="left" vertical="center"/>
    </xf>
    <xf numFmtId="38" fontId="106" fillId="4" borderId="58" xfId="0" applyNumberFormat="1" applyFont="1" applyFill="1" applyBorder="1" applyAlignment="1">
      <alignment horizontal="center" vertical="center"/>
    </xf>
    <xf numFmtId="38" fontId="106" fillId="4" borderId="27" xfId="0" applyNumberFormat="1" applyFont="1" applyFill="1" applyBorder="1" applyAlignment="1">
      <alignment horizontal="center" vertical="center"/>
    </xf>
    <xf numFmtId="38" fontId="106" fillId="3" borderId="58" xfId="0" applyNumberFormat="1" applyFont="1" applyFill="1" applyBorder="1">
      <alignment vertical="center"/>
    </xf>
    <xf numFmtId="38" fontId="106" fillId="3" borderId="27" xfId="0" applyNumberFormat="1" applyFont="1" applyFill="1" applyBorder="1">
      <alignment vertical="center"/>
    </xf>
    <xf numFmtId="38" fontId="82" fillId="3" borderId="35" xfId="0" applyNumberFormat="1" applyFont="1" applyFill="1" applyBorder="1">
      <alignment vertical="center"/>
    </xf>
    <xf numFmtId="38" fontId="82" fillId="3" borderId="5" xfId="0" applyNumberFormat="1" applyFont="1" applyFill="1" applyBorder="1">
      <alignment vertical="center"/>
    </xf>
    <xf numFmtId="38" fontId="82" fillId="3" borderId="64" xfId="0" applyNumberFormat="1" applyFont="1" applyFill="1" applyBorder="1">
      <alignment vertical="center"/>
    </xf>
    <xf numFmtId="38" fontId="82" fillId="3" borderId="61" xfId="0" applyNumberFormat="1" applyFont="1" applyFill="1" applyBorder="1">
      <alignment vertical="center"/>
    </xf>
    <xf numFmtId="38" fontId="106" fillId="3" borderId="55" xfId="0" applyNumberFormat="1" applyFont="1" applyFill="1" applyBorder="1">
      <alignment vertical="center"/>
    </xf>
    <xf numFmtId="38" fontId="106" fillId="3" borderId="1" xfId="0" applyNumberFormat="1" applyFont="1" applyFill="1" applyBorder="1">
      <alignment vertical="center"/>
    </xf>
    <xf numFmtId="38" fontId="106" fillId="3" borderId="64" xfId="0" applyNumberFormat="1" applyFont="1" applyFill="1" applyBorder="1">
      <alignment vertical="center"/>
    </xf>
    <xf numFmtId="38" fontId="106" fillId="3" borderId="61" xfId="0" applyNumberFormat="1" applyFont="1" applyFill="1" applyBorder="1">
      <alignment vertical="center"/>
    </xf>
    <xf numFmtId="41" fontId="82" fillId="10" borderId="67" xfId="0" applyNumberFormat="1" applyFont="1" applyFill="1" applyBorder="1">
      <alignment vertical="center"/>
    </xf>
    <xf numFmtId="41" fontId="82" fillId="10" borderId="18" xfId="0" applyNumberFormat="1" applyFont="1" applyFill="1" applyBorder="1">
      <alignment vertical="center"/>
    </xf>
    <xf numFmtId="41" fontId="82" fillId="0" borderId="90" xfId="0" applyNumberFormat="1" applyFont="1" applyBorder="1">
      <alignment vertical="center"/>
    </xf>
    <xf numFmtId="41" fontId="82" fillId="0" borderId="79" xfId="0" applyNumberFormat="1" applyFont="1" applyBorder="1">
      <alignment vertical="center"/>
    </xf>
    <xf numFmtId="41" fontId="82" fillId="0" borderId="3" xfId="0" applyNumberFormat="1" applyFont="1" applyBorder="1">
      <alignment vertical="center"/>
    </xf>
    <xf numFmtId="41" fontId="82" fillId="3" borderId="79" xfId="0" applyNumberFormat="1" applyFont="1" applyFill="1" applyBorder="1">
      <alignment vertical="center"/>
    </xf>
    <xf numFmtId="41" fontId="82" fillId="3" borderId="149" xfId="0" applyNumberFormat="1" applyFont="1" applyFill="1" applyBorder="1">
      <alignment vertical="center"/>
    </xf>
    <xf numFmtId="41" fontId="106" fillId="0" borderId="76" xfId="0" applyNumberFormat="1" applyFont="1" applyBorder="1">
      <alignment vertical="center"/>
    </xf>
    <xf numFmtId="41" fontId="106" fillId="0" borderId="77" xfId="0" applyNumberFormat="1" applyFont="1" applyBorder="1">
      <alignment vertical="center"/>
    </xf>
    <xf numFmtId="41" fontId="82" fillId="3" borderId="52" xfId="0" applyNumberFormat="1" applyFont="1" applyFill="1" applyBorder="1">
      <alignment vertical="center"/>
    </xf>
    <xf numFmtId="41" fontId="82" fillId="3" borderId="53" xfId="0" applyNumberFormat="1" applyFont="1" applyFill="1" applyBorder="1">
      <alignment vertical="center"/>
    </xf>
    <xf numFmtId="41" fontId="106" fillId="3" borderId="9" xfId="0" applyNumberFormat="1" applyFont="1" applyFill="1" applyBorder="1">
      <alignment vertical="center"/>
    </xf>
    <xf numFmtId="41" fontId="82" fillId="3" borderId="7" xfId="0" applyNumberFormat="1" applyFont="1" applyFill="1" applyBorder="1">
      <alignment vertical="center"/>
    </xf>
    <xf numFmtId="3" fontId="82" fillId="3" borderId="0" xfId="0" applyNumberFormat="1" applyFont="1" applyFill="1">
      <alignment vertical="center"/>
    </xf>
    <xf numFmtId="183" fontId="82" fillId="3" borderId="3" xfId="0" applyNumberFormat="1" applyFont="1" applyFill="1" applyBorder="1">
      <alignment vertical="center"/>
    </xf>
    <xf numFmtId="41" fontId="82" fillId="0" borderId="58" xfId="0" applyNumberFormat="1" applyFont="1" applyBorder="1">
      <alignment vertical="center"/>
    </xf>
    <xf numFmtId="43" fontId="106" fillId="3" borderId="0" xfId="0" applyNumberFormat="1" applyFont="1" applyFill="1" applyAlignment="1">
      <alignment horizontal="center" vertical="center"/>
    </xf>
    <xf numFmtId="185" fontId="106" fillId="3" borderId="0" xfId="0" applyNumberFormat="1" applyFont="1" applyFill="1" applyAlignment="1">
      <alignment horizontal="center" vertical="center"/>
    </xf>
    <xf numFmtId="43" fontId="82" fillId="3" borderId="0" xfId="0" applyNumberFormat="1" applyFont="1" applyFill="1" applyAlignment="1">
      <alignment horizontal="center" vertical="center"/>
    </xf>
    <xf numFmtId="43" fontId="106" fillId="4" borderId="17" xfId="0" applyNumberFormat="1" applyFont="1" applyFill="1" applyBorder="1" applyAlignment="1">
      <alignment horizontal="center" vertical="center"/>
    </xf>
    <xf numFmtId="43" fontId="106" fillId="4" borderId="18" xfId="0" applyNumberFormat="1" applyFont="1" applyFill="1" applyBorder="1" applyAlignment="1">
      <alignment horizontal="center" vertical="center"/>
    </xf>
    <xf numFmtId="182" fontId="82" fillId="3" borderId="56" xfId="0" applyNumberFormat="1" applyFont="1" applyFill="1" applyBorder="1" applyAlignment="1">
      <alignment horizontal="right" vertical="center"/>
    </xf>
    <xf numFmtId="182" fontId="82" fillId="3" borderId="5" xfId="0" applyNumberFormat="1" applyFont="1" applyFill="1" applyBorder="1" applyAlignment="1">
      <alignment horizontal="right" vertical="center"/>
    </xf>
    <xf numFmtId="182" fontId="82" fillId="10" borderId="62" xfId="0" applyNumberFormat="1" applyFont="1" applyFill="1" applyBorder="1" applyAlignment="1">
      <alignment horizontal="right" vertical="center"/>
    </xf>
    <xf numFmtId="182" fontId="82" fillId="10" borderId="28" xfId="0" applyNumberFormat="1" applyFont="1" applyFill="1" applyBorder="1" applyAlignment="1">
      <alignment horizontal="right" vertical="center"/>
    </xf>
    <xf numFmtId="182" fontId="82" fillId="3" borderId="62" xfId="0" applyNumberFormat="1" applyFont="1" applyFill="1" applyBorder="1" applyAlignment="1">
      <alignment horizontal="right" vertical="center"/>
    </xf>
    <xf numFmtId="182" fontId="82" fillId="3" borderId="28" xfId="0" applyNumberFormat="1" applyFont="1" applyFill="1" applyBorder="1" applyAlignment="1">
      <alignment horizontal="right" vertical="center"/>
    </xf>
    <xf numFmtId="185" fontId="106" fillId="4" borderId="67" xfId="0" applyNumberFormat="1" applyFont="1" applyFill="1" applyBorder="1" applyAlignment="1">
      <alignment horizontal="center" vertical="center"/>
    </xf>
    <xf numFmtId="185" fontId="106" fillId="4" borderId="18" xfId="0" applyNumberFormat="1" applyFont="1" applyFill="1" applyBorder="1" applyAlignment="1">
      <alignment horizontal="center" vertical="center"/>
    </xf>
    <xf numFmtId="9" fontId="82" fillId="3" borderId="113" xfId="0" applyNumberFormat="1" applyFont="1" applyFill="1" applyBorder="1" applyAlignment="1">
      <alignment horizontal="center" vertical="center"/>
    </xf>
    <xf numFmtId="9" fontId="82" fillId="3" borderId="112" xfId="0" applyNumberFormat="1" applyFont="1" applyFill="1" applyBorder="1" applyAlignment="1">
      <alignment horizontal="center" vertical="center"/>
    </xf>
    <xf numFmtId="9" fontId="106" fillId="3" borderId="76" xfId="0" applyNumberFormat="1" applyFont="1" applyFill="1" applyBorder="1" applyAlignment="1">
      <alignment horizontal="center" vertical="center"/>
    </xf>
    <xf numFmtId="9" fontId="106" fillId="3" borderId="77" xfId="0" applyNumberFormat="1" applyFont="1" applyFill="1" applyBorder="1" applyAlignment="1">
      <alignment horizontal="center" vertical="center"/>
    </xf>
    <xf numFmtId="41" fontId="82" fillId="4" borderId="67" xfId="0" applyNumberFormat="1" applyFont="1" applyFill="1" applyBorder="1">
      <alignment vertical="center"/>
    </xf>
    <xf numFmtId="41" fontId="106" fillId="4" borderId="196" xfId="0" applyNumberFormat="1" applyFont="1" applyFill="1" applyBorder="1">
      <alignment vertical="center"/>
    </xf>
    <xf numFmtId="185" fontId="82" fillId="3" borderId="118" xfId="0" applyNumberFormat="1" applyFont="1" applyFill="1" applyBorder="1">
      <alignment vertical="center"/>
    </xf>
    <xf numFmtId="41" fontId="82" fillId="0" borderId="80" xfId="0" applyNumberFormat="1" applyFont="1" applyBorder="1">
      <alignment vertical="center"/>
    </xf>
    <xf numFmtId="41" fontId="76" fillId="3" borderId="203" xfId="0" applyNumberFormat="1" applyFont="1" applyFill="1" applyBorder="1">
      <alignment vertical="center"/>
    </xf>
    <xf numFmtId="41" fontId="91" fillId="4" borderId="47" xfId="0" applyNumberFormat="1" applyFont="1" applyFill="1" applyBorder="1" applyAlignment="1">
      <alignment vertical="center" shrinkToFit="1"/>
    </xf>
    <xf numFmtId="41" fontId="164" fillId="0" borderId="0" xfId="0" applyNumberFormat="1" applyFont="1" applyAlignment="1">
      <alignment horizontal="center" vertical="center"/>
    </xf>
    <xf numFmtId="182" fontId="91" fillId="10" borderId="196" xfId="0" applyNumberFormat="1" applyFont="1" applyFill="1" applyBorder="1" applyAlignment="1">
      <alignment horizontal="right" vertical="center"/>
    </xf>
    <xf numFmtId="182" fontId="91" fillId="3" borderId="196" xfId="0" applyNumberFormat="1" applyFont="1" applyFill="1" applyBorder="1" applyAlignment="1">
      <alignment horizontal="right" vertical="center"/>
    </xf>
    <xf numFmtId="41" fontId="106" fillId="21" borderId="57" xfId="0" applyNumberFormat="1" applyFont="1" applyFill="1" applyBorder="1">
      <alignment vertical="center"/>
    </xf>
    <xf numFmtId="41" fontId="84" fillId="29" borderId="108" xfId="0" applyNumberFormat="1" applyFont="1" applyFill="1" applyBorder="1" applyAlignment="1">
      <alignment horizontal="right" vertical="center"/>
    </xf>
    <xf numFmtId="185" fontId="91" fillId="0" borderId="0" xfId="0" applyNumberFormat="1" applyFont="1" applyAlignment="1">
      <alignment horizontal="right" vertical="center"/>
    </xf>
    <xf numFmtId="183" fontId="91" fillId="3" borderId="73" xfId="0" applyNumberFormat="1" applyFont="1" applyFill="1" applyBorder="1">
      <alignment vertical="center"/>
    </xf>
    <xf numFmtId="183" fontId="91" fillId="3" borderId="68" xfId="0" applyNumberFormat="1" applyFont="1" applyFill="1" applyBorder="1">
      <alignment vertical="center"/>
    </xf>
    <xf numFmtId="183" fontId="91" fillId="3" borderId="46" xfId="0" applyNumberFormat="1" applyFont="1" applyFill="1" applyBorder="1">
      <alignment vertical="center"/>
    </xf>
    <xf numFmtId="185" fontId="114" fillId="4" borderId="18" xfId="0" applyNumberFormat="1" applyFont="1" applyFill="1" applyBorder="1">
      <alignment vertical="center"/>
    </xf>
    <xf numFmtId="178" fontId="114" fillId="0" borderId="0" xfId="0" applyNumberFormat="1" applyFont="1">
      <alignment vertical="center"/>
    </xf>
    <xf numFmtId="41" fontId="106" fillId="21" borderId="67" xfId="0" applyNumberFormat="1" applyFont="1" applyFill="1" applyBorder="1">
      <alignment vertical="center"/>
    </xf>
    <xf numFmtId="41" fontId="106" fillId="21" borderId="18" xfId="0" applyNumberFormat="1" applyFont="1" applyFill="1" applyBorder="1">
      <alignment vertical="center"/>
    </xf>
    <xf numFmtId="41" fontId="106" fillId="21" borderId="20" xfId="0" applyNumberFormat="1" applyFont="1" applyFill="1" applyBorder="1">
      <alignment vertical="center"/>
    </xf>
    <xf numFmtId="41" fontId="106" fillId="21" borderId="17" xfId="0" applyNumberFormat="1" applyFont="1" applyFill="1" applyBorder="1">
      <alignment vertical="center"/>
    </xf>
    <xf numFmtId="185" fontId="106" fillId="21" borderId="18" xfId="0" applyNumberFormat="1" applyFont="1" applyFill="1" applyBorder="1">
      <alignment vertical="center"/>
    </xf>
    <xf numFmtId="41" fontId="106" fillId="21" borderId="19" xfId="0" applyNumberFormat="1" applyFont="1" applyFill="1" applyBorder="1">
      <alignment vertical="center"/>
    </xf>
    <xf numFmtId="41" fontId="106" fillId="21" borderId="45" xfId="0" applyNumberFormat="1" applyFont="1" applyFill="1" applyBorder="1">
      <alignment vertical="center"/>
    </xf>
    <xf numFmtId="41" fontId="140" fillId="3" borderId="119" xfId="0" applyNumberFormat="1" applyFont="1" applyFill="1" applyBorder="1">
      <alignment vertical="center"/>
    </xf>
    <xf numFmtId="41" fontId="140" fillId="3" borderId="120" xfId="0" applyNumberFormat="1" applyFont="1" applyFill="1" applyBorder="1">
      <alignment vertical="center"/>
    </xf>
    <xf numFmtId="41" fontId="140" fillId="3" borderId="11" xfId="0" applyNumberFormat="1" applyFont="1" applyFill="1" applyBorder="1">
      <alignment vertical="center"/>
    </xf>
    <xf numFmtId="41" fontId="82" fillId="4" borderId="30" xfId="0" applyNumberFormat="1" applyFont="1" applyFill="1" applyBorder="1" applyAlignment="1">
      <alignment vertical="center" shrinkToFit="1"/>
    </xf>
    <xf numFmtId="41" fontId="140" fillId="3" borderId="201" xfId="0" applyNumberFormat="1" applyFont="1" applyFill="1" applyBorder="1">
      <alignment vertical="center"/>
    </xf>
    <xf numFmtId="41" fontId="140" fillId="3" borderId="196" xfId="0" applyNumberFormat="1" applyFont="1" applyFill="1" applyBorder="1">
      <alignment vertical="center"/>
    </xf>
    <xf numFmtId="41" fontId="140" fillId="3" borderId="33" xfId="0" applyNumberFormat="1" applyFont="1" applyFill="1" applyBorder="1">
      <alignment vertical="center"/>
    </xf>
    <xf numFmtId="9" fontId="91" fillId="2" borderId="74" xfId="0" applyNumberFormat="1" applyFont="1" applyFill="1" applyBorder="1">
      <alignment vertical="center"/>
    </xf>
    <xf numFmtId="9" fontId="91" fillId="2" borderId="43" xfId="0" applyNumberFormat="1" applyFont="1" applyFill="1" applyBorder="1">
      <alignment vertical="center"/>
    </xf>
    <xf numFmtId="9" fontId="91" fillId="2" borderId="49" xfId="0" applyNumberFormat="1" applyFont="1" applyFill="1" applyBorder="1">
      <alignment vertical="center"/>
    </xf>
    <xf numFmtId="9" fontId="91" fillId="2" borderId="40" xfId="0" applyNumberFormat="1" applyFont="1" applyFill="1" applyBorder="1">
      <alignment vertical="center"/>
    </xf>
    <xf numFmtId="41" fontId="119" fillId="0" borderId="0" xfId="0" applyNumberFormat="1" applyFont="1" applyAlignment="1">
      <alignment horizontal="center" vertical="center"/>
    </xf>
    <xf numFmtId="193" fontId="91" fillId="4" borderId="60" xfId="0" applyNumberFormat="1" applyFont="1" applyFill="1" applyBorder="1" applyAlignment="1">
      <alignment horizontal="center" vertical="center"/>
    </xf>
    <xf numFmtId="193" fontId="91" fillId="4" borderId="69" xfId="0" applyNumberFormat="1" applyFont="1" applyFill="1" applyBorder="1" applyAlignment="1">
      <alignment horizontal="center" vertical="center"/>
    </xf>
    <xf numFmtId="193" fontId="91" fillId="4" borderId="47" xfId="0" applyNumberFormat="1" applyFont="1" applyFill="1" applyBorder="1" applyAlignment="1">
      <alignment horizontal="center" vertical="center"/>
    </xf>
    <xf numFmtId="185" fontId="91" fillId="4" borderId="204" xfId="0" applyNumberFormat="1" applyFont="1" applyFill="1" applyBorder="1" applyAlignment="1">
      <alignment horizontal="center" vertical="center"/>
    </xf>
    <xf numFmtId="9" fontId="118" fillId="0" borderId="0" xfId="0" applyNumberFormat="1" applyFont="1" applyAlignment="1">
      <alignment horizontal="center" vertical="center"/>
    </xf>
    <xf numFmtId="193" fontId="91" fillId="4" borderId="65" xfId="0" applyNumberFormat="1" applyFont="1" applyFill="1" applyBorder="1" applyAlignment="1">
      <alignment horizontal="center" vertical="center"/>
    </xf>
    <xf numFmtId="193" fontId="91" fillId="4" borderId="8" xfId="0" applyNumberFormat="1" applyFont="1" applyFill="1" applyBorder="1" applyAlignment="1">
      <alignment horizontal="center" vertical="center"/>
    </xf>
    <xf numFmtId="193" fontId="91" fillId="4" borderId="42" xfId="0" applyNumberFormat="1" applyFont="1" applyFill="1" applyBorder="1" applyAlignment="1">
      <alignment horizontal="center" vertical="center"/>
    </xf>
    <xf numFmtId="193" fontId="114" fillId="4" borderId="48" xfId="0" applyNumberFormat="1" applyFont="1" applyFill="1" applyBorder="1" applyAlignment="1">
      <alignment horizontal="center" vertical="center"/>
    </xf>
    <xf numFmtId="193" fontId="91" fillId="4" borderId="63" xfId="0" applyNumberFormat="1" applyFont="1" applyFill="1" applyBorder="1" applyAlignment="1">
      <alignment horizontal="center" vertical="center"/>
    </xf>
    <xf numFmtId="193" fontId="91" fillId="4" borderId="119" xfId="0" applyNumberFormat="1" applyFont="1" applyFill="1" applyBorder="1" applyAlignment="1">
      <alignment horizontal="center" vertical="center"/>
    </xf>
    <xf numFmtId="193" fontId="91" fillId="4" borderId="118" xfId="0" applyNumberFormat="1" applyFont="1" applyFill="1" applyBorder="1" applyAlignment="1">
      <alignment horizontal="center" vertical="center"/>
    </xf>
    <xf numFmtId="185" fontId="91" fillId="4" borderId="129" xfId="0" applyNumberFormat="1" applyFont="1" applyFill="1" applyBorder="1" applyAlignment="1">
      <alignment horizontal="center" vertical="center"/>
    </xf>
    <xf numFmtId="185" fontId="118" fillId="4" borderId="69" xfId="0" applyNumberFormat="1" applyFont="1" applyFill="1" applyBorder="1" applyAlignment="1">
      <alignment horizontal="center" vertical="center"/>
    </xf>
    <xf numFmtId="185" fontId="118" fillId="4" borderId="204" xfId="0" applyNumberFormat="1" applyFont="1" applyFill="1" applyBorder="1" applyAlignment="1">
      <alignment horizontal="center" vertical="center"/>
    </xf>
    <xf numFmtId="185" fontId="118" fillId="4" borderId="47" xfId="0" applyNumberFormat="1" applyFont="1" applyFill="1" applyBorder="1" applyAlignment="1">
      <alignment horizontal="center" vertical="center"/>
    </xf>
    <xf numFmtId="41" fontId="91" fillId="4" borderId="1" xfId="1" applyFont="1" applyFill="1" applyBorder="1" applyAlignment="1">
      <alignment horizontal="right" vertical="center"/>
    </xf>
    <xf numFmtId="41" fontId="82" fillId="4" borderId="1" xfId="1" applyFont="1" applyFill="1" applyBorder="1">
      <alignment vertical="center"/>
    </xf>
    <xf numFmtId="41" fontId="82" fillId="4" borderId="61" xfId="1" applyFont="1" applyFill="1" applyBorder="1">
      <alignment vertical="center"/>
    </xf>
    <xf numFmtId="43" fontId="106" fillId="4" borderId="20" xfId="0" applyNumberFormat="1" applyFont="1" applyFill="1" applyBorder="1" applyAlignment="1">
      <alignment horizontal="center" vertical="center"/>
    </xf>
    <xf numFmtId="182" fontId="82" fillId="3" borderId="42" xfId="0" applyNumberFormat="1" applyFont="1" applyFill="1" applyBorder="1" applyAlignment="1">
      <alignment horizontal="right" vertical="center"/>
    </xf>
    <xf numFmtId="182" fontId="82" fillId="10" borderId="48" xfId="0" applyNumberFormat="1" applyFont="1" applyFill="1" applyBorder="1" applyAlignment="1">
      <alignment horizontal="right" vertical="center"/>
    </xf>
    <xf numFmtId="182" fontId="82" fillId="3" borderId="48" xfId="0" applyNumberFormat="1" applyFont="1" applyFill="1" applyBorder="1" applyAlignment="1">
      <alignment horizontal="right" vertical="center"/>
    </xf>
    <xf numFmtId="185" fontId="106" fillId="4" borderId="20" xfId="0" applyNumberFormat="1" applyFont="1" applyFill="1" applyBorder="1" applyAlignment="1">
      <alignment horizontal="center" vertical="center"/>
    </xf>
    <xf numFmtId="43" fontId="114" fillId="4" borderId="67" xfId="0" applyNumberFormat="1" applyFont="1" applyFill="1" applyBorder="1" applyAlignment="1">
      <alignment horizontal="center" vertical="center"/>
    </xf>
    <xf numFmtId="182" fontId="91" fillId="3" borderId="56" xfId="0" applyNumberFormat="1" applyFont="1" applyFill="1" applyBorder="1" applyAlignment="1">
      <alignment horizontal="right" vertical="center"/>
    </xf>
    <xf numFmtId="182" fontId="91" fillId="10" borderId="62" xfId="0" applyNumberFormat="1" applyFont="1" applyFill="1" applyBorder="1" applyAlignment="1">
      <alignment horizontal="right" vertical="center"/>
    </xf>
    <xf numFmtId="182" fontId="91" fillId="3" borderId="62" xfId="0" applyNumberFormat="1" applyFont="1" applyFill="1" applyBorder="1" applyAlignment="1">
      <alignment horizontal="right" vertical="center"/>
    </xf>
    <xf numFmtId="185" fontId="114" fillId="4" borderId="67" xfId="0" applyNumberFormat="1" applyFont="1" applyFill="1" applyBorder="1" applyAlignment="1">
      <alignment horizontal="center" vertical="center"/>
    </xf>
    <xf numFmtId="43" fontId="114" fillId="4" borderId="19" xfId="0" applyNumberFormat="1" applyFont="1" applyFill="1" applyBorder="1" applyAlignment="1">
      <alignment horizontal="center" vertical="center"/>
    </xf>
    <xf numFmtId="182" fontId="82" fillId="3" borderId="35" xfId="0" applyNumberFormat="1" applyFont="1" applyFill="1" applyBorder="1" applyAlignment="1">
      <alignment horizontal="right" vertical="center"/>
    </xf>
    <xf numFmtId="182" fontId="91" fillId="3" borderId="47" xfId="0" applyNumberFormat="1" applyFont="1" applyFill="1" applyBorder="1" applyAlignment="1">
      <alignment horizontal="right" vertical="center"/>
    </xf>
    <xf numFmtId="182" fontId="82" fillId="10" borderId="12" xfId="0" applyNumberFormat="1" applyFont="1" applyFill="1" applyBorder="1" applyAlignment="1">
      <alignment horizontal="right" vertical="center"/>
    </xf>
    <xf numFmtId="182" fontId="82" fillId="10" borderId="196" xfId="0" applyNumberFormat="1" applyFont="1" applyFill="1" applyBorder="1" applyAlignment="1">
      <alignment horizontal="right" vertical="center"/>
    </xf>
    <xf numFmtId="182" fontId="91" fillId="10" borderId="33" xfId="0" applyNumberFormat="1" applyFont="1" applyFill="1" applyBorder="1" applyAlignment="1">
      <alignment horizontal="right" vertical="center"/>
    </xf>
    <xf numFmtId="182" fontId="82" fillId="3" borderId="12" xfId="0" applyNumberFormat="1" applyFont="1" applyFill="1" applyBorder="1" applyAlignment="1">
      <alignment horizontal="right" vertical="center"/>
    </xf>
    <xf numFmtId="182" fontId="82" fillId="3" borderId="196" xfId="0" applyNumberFormat="1" applyFont="1" applyFill="1" applyBorder="1" applyAlignment="1">
      <alignment horizontal="right" vertical="center"/>
    </xf>
    <xf numFmtId="182" fontId="91" fillId="3" borderId="33" xfId="0" applyNumberFormat="1" applyFont="1" applyFill="1" applyBorder="1" applyAlignment="1">
      <alignment horizontal="right" vertical="center"/>
    </xf>
    <xf numFmtId="185" fontId="106" fillId="4" borderId="17" xfId="0" applyNumberFormat="1" applyFont="1" applyFill="1" applyBorder="1" applyAlignment="1">
      <alignment horizontal="center" vertical="center"/>
    </xf>
    <xf numFmtId="43" fontId="114" fillId="4" borderId="17" xfId="0" applyNumberFormat="1" applyFont="1" applyFill="1" applyBorder="1" applyAlignment="1">
      <alignment horizontal="center" vertical="center"/>
    </xf>
    <xf numFmtId="182" fontId="91" fillId="3" borderId="35" xfId="0" applyNumberFormat="1" applyFont="1" applyFill="1" applyBorder="1" applyAlignment="1">
      <alignment horizontal="right" vertical="center"/>
    </xf>
    <xf numFmtId="182" fontId="91" fillId="10" borderId="12" xfId="0" applyNumberFormat="1" applyFont="1" applyFill="1" applyBorder="1" applyAlignment="1">
      <alignment horizontal="right" vertical="center"/>
    </xf>
    <xf numFmtId="182" fontId="91" fillId="3" borderId="12" xfId="0" applyNumberFormat="1" applyFont="1" applyFill="1" applyBorder="1" applyAlignment="1">
      <alignment horizontal="right" vertical="center"/>
    </xf>
    <xf numFmtId="9" fontId="82" fillId="3" borderId="41" xfId="0" applyNumberFormat="1" applyFont="1" applyFill="1" applyBorder="1" applyAlignment="1">
      <alignment horizontal="center" vertical="center"/>
    </xf>
    <xf numFmtId="9" fontId="106" fillId="3" borderId="43" xfId="0" applyNumberFormat="1" applyFont="1" applyFill="1" applyBorder="1" applyAlignment="1">
      <alignment horizontal="center" vertical="center"/>
    </xf>
    <xf numFmtId="9" fontId="91" fillId="3" borderId="113" xfId="0" applyNumberFormat="1" applyFont="1" applyFill="1" applyBorder="1" applyAlignment="1">
      <alignment horizontal="center" vertical="center"/>
    </xf>
    <xf numFmtId="9" fontId="114" fillId="3" borderId="76" xfId="0" applyNumberFormat="1" applyFont="1" applyFill="1" applyBorder="1" applyAlignment="1">
      <alignment horizontal="center" vertical="center"/>
    </xf>
    <xf numFmtId="9" fontId="82" fillId="3" borderId="109" xfId="0" applyNumberFormat="1" applyFont="1" applyFill="1" applyBorder="1" applyAlignment="1">
      <alignment horizontal="center" vertical="center"/>
    </xf>
    <xf numFmtId="9" fontId="91" fillId="3" borderId="32" xfId="0" applyNumberFormat="1" applyFont="1" applyFill="1" applyBorder="1" applyAlignment="1">
      <alignment horizontal="center" vertical="center"/>
    </xf>
    <xf numFmtId="9" fontId="106" fillId="3" borderId="78" xfId="0" applyNumberFormat="1" applyFont="1" applyFill="1" applyBorder="1" applyAlignment="1">
      <alignment horizontal="center" vertical="center"/>
    </xf>
    <xf numFmtId="9" fontId="114" fillId="3" borderId="49" xfId="0" applyNumberFormat="1" applyFont="1" applyFill="1" applyBorder="1" applyAlignment="1">
      <alignment horizontal="center" vertical="center"/>
    </xf>
    <xf numFmtId="9" fontId="91" fillId="3" borderId="109" xfId="0" applyNumberFormat="1" applyFont="1" applyFill="1" applyBorder="1" applyAlignment="1">
      <alignment horizontal="center" vertical="center"/>
    </xf>
    <xf numFmtId="9" fontId="114" fillId="3" borderId="78" xfId="0" applyNumberFormat="1" applyFont="1" applyFill="1" applyBorder="1" applyAlignment="1">
      <alignment horizontal="center" vertical="center"/>
    </xf>
    <xf numFmtId="49" fontId="135" fillId="4" borderId="27" xfId="0" applyNumberFormat="1" applyFont="1" applyFill="1" applyBorder="1" applyAlignment="1">
      <alignment horizontal="center" vertical="center"/>
    </xf>
    <xf numFmtId="41" fontId="91" fillId="3" borderId="23" xfId="1" applyFont="1" applyFill="1" applyBorder="1" applyAlignment="1">
      <alignment vertical="center" shrinkToFit="1"/>
    </xf>
    <xf numFmtId="41" fontId="91" fillId="3" borderId="3" xfId="1" applyFont="1" applyFill="1" applyBorder="1" applyAlignment="1">
      <alignment vertical="center" shrinkToFit="1"/>
    </xf>
    <xf numFmtId="41" fontId="91" fillId="3" borderId="7" xfId="1" applyFont="1" applyFill="1" applyBorder="1" applyAlignment="1">
      <alignment vertical="center" shrinkToFit="1"/>
    </xf>
    <xf numFmtId="41" fontId="82" fillId="3" borderId="23" xfId="1" applyFont="1" applyFill="1" applyBorder="1" applyAlignment="1">
      <alignment vertical="center" shrinkToFit="1"/>
    </xf>
    <xf numFmtId="41" fontId="82" fillId="3" borderId="3" xfId="1" applyFont="1" applyFill="1" applyBorder="1" applyAlignment="1">
      <alignment vertical="center" shrinkToFit="1"/>
    </xf>
    <xf numFmtId="41" fontId="82" fillId="3" borderId="22" xfId="1" applyFont="1" applyFill="1" applyBorder="1" applyAlignment="1">
      <alignment vertical="center" shrinkToFit="1"/>
    </xf>
    <xf numFmtId="41" fontId="82" fillId="0" borderId="23" xfId="1" applyFont="1" applyBorder="1" applyAlignment="1">
      <alignment vertical="center" shrinkToFit="1"/>
    </xf>
    <xf numFmtId="193" fontId="91" fillId="4" borderId="22" xfId="0" applyNumberFormat="1" applyFont="1" applyFill="1" applyBorder="1" applyAlignment="1">
      <alignment horizontal="center" vertical="center"/>
    </xf>
    <xf numFmtId="43" fontId="91" fillId="4" borderId="203" xfId="0" applyNumberFormat="1" applyFont="1" applyFill="1" applyBorder="1" applyAlignment="1">
      <alignment horizontal="right" vertical="center"/>
    </xf>
    <xf numFmtId="43" fontId="91" fillId="4" borderId="1" xfId="0" applyNumberFormat="1" applyFont="1" applyFill="1" applyBorder="1" applyAlignment="1">
      <alignment horizontal="right" vertical="center"/>
    </xf>
    <xf numFmtId="194" fontId="82" fillId="3" borderId="55" xfId="0" applyNumberFormat="1" applyFont="1" applyFill="1" applyBorder="1">
      <alignment vertical="center"/>
    </xf>
    <xf numFmtId="194" fontId="82" fillId="3" borderId="1" xfId="0" applyNumberFormat="1" applyFont="1" applyFill="1" applyBorder="1">
      <alignment vertical="center"/>
    </xf>
    <xf numFmtId="194" fontId="82" fillId="3" borderId="69" xfId="0" applyNumberFormat="1" applyFont="1" applyFill="1" applyBorder="1">
      <alignment vertical="center"/>
    </xf>
    <xf numFmtId="194" fontId="114" fillId="4" borderId="28" xfId="0" applyNumberFormat="1" applyFont="1" applyFill="1" applyBorder="1" applyAlignment="1">
      <alignment horizontal="right" vertical="center"/>
    </xf>
    <xf numFmtId="185" fontId="91" fillId="4" borderId="61" xfId="0" applyNumberFormat="1" applyFont="1" applyFill="1" applyBorder="1" applyAlignment="1">
      <alignment horizontal="right" vertical="center"/>
    </xf>
    <xf numFmtId="185" fontId="91" fillId="4" borderId="11" xfId="0" applyNumberFormat="1" applyFont="1" applyFill="1" applyBorder="1" applyAlignment="1">
      <alignment horizontal="right" vertical="center"/>
    </xf>
    <xf numFmtId="185" fontId="91" fillId="4" borderId="9" xfId="0" applyNumberFormat="1" applyFont="1" applyFill="1" applyBorder="1" applyAlignment="1">
      <alignment horizontal="right" vertical="center"/>
    </xf>
    <xf numFmtId="185" fontId="91" fillId="4" borderId="5" xfId="0" applyNumberFormat="1" applyFont="1" applyFill="1" applyBorder="1" applyAlignment="1">
      <alignment horizontal="right" vertical="center"/>
    </xf>
    <xf numFmtId="185" fontId="91" fillId="4" borderId="4" xfId="0" applyNumberFormat="1" applyFont="1" applyFill="1" applyBorder="1" applyAlignment="1">
      <alignment horizontal="right" vertical="center"/>
    </xf>
    <xf numFmtId="185" fontId="91" fillId="4" borderId="203" xfId="0" applyNumberFormat="1" applyFont="1" applyFill="1" applyBorder="1" applyAlignment="1">
      <alignment horizontal="right" vertical="center"/>
    </xf>
    <xf numFmtId="41" fontId="15" fillId="3" borderId="128" xfId="0" applyNumberFormat="1" applyFont="1" applyFill="1" applyBorder="1">
      <alignment vertical="center"/>
    </xf>
    <xf numFmtId="41" fontId="15" fillId="3" borderId="4" xfId="0" applyNumberFormat="1" applyFont="1" applyFill="1" applyBorder="1">
      <alignment vertical="center"/>
    </xf>
    <xf numFmtId="41" fontId="15" fillId="3" borderId="129" xfId="0" applyNumberFormat="1" applyFont="1" applyFill="1" applyBorder="1">
      <alignment vertical="center"/>
    </xf>
    <xf numFmtId="41" fontId="82" fillId="4" borderId="3" xfId="0" applyNumberFormat="1" applyFont="1" applyFill="1" applyBorder="1" applyAlignment="1">
      <alignment vertical="top"/>
    </xf>
    <xf numFmtId="190" fontId="82" fillId="4" borderId="22" xfId="0" applyNumberFormat="1" applyFont="1" applyFill="1" applyBorder="1" applyAlignment="1">
      <alignment horizontal="center" vertical="center"/>
    </xf>
    <xf numFmtId="190" fontId="82" fillId="4" borderId="23" xfId="0" applyNumberFormat="1" applyFont="1" applyFill="1" applyBorder="1" applyAlignment="1">
      <alignment horizontal="center" vertical="center"/>
    </xf>
    <xf numFmtId="190" fontId="82" fillId="4" borderId="3" xfId="0" applyNumberFormat="1" applyFont="1" applyFill="1" applyBorder="1" applyAlignment="1">
      <alignment horizontal="center" vertical="center"/>
    </xf>
    <xf numFmtId="190" fontId="82" fillId="4" borderId="79" xfId="0" applyNumberFormat="1" applyFont="1" applyFill="1" applyBorder="1" applyAlignment="1">
      <alignment horizontal="center" vertical="center"/>
    </xf>
    <xf numFmtId="190" fontId="82" fillId="4" borderId="126" xfId="0" applyNumberFormat="1" applyFont="1" applyFill="1" applyBorder="1" applyAlignment="1">
      <alignment horizontal="center" vertical="center"/>
    </xf>
    <xf numFmtId="41" fontId="15" fillId="3" borderId="23" xfId="0" applyNumberFormat="1" applyFont="1" applyFill="1" applyBorder="1">
      <alignment vertical="center"/>
    </xf>
    <xf numFmtId="41" fontId="15" fillId="3" borderId="3" xfId="0" applyNumberFormat="1" applyFont="1" applyFill="1" applyBorder="1">
      <alignment vertical="center"/>
    </xf>
    <xf numFmtId="41" fontId="15" fillId="3" borderId="22" xfId="0" applyNumberFormat="1" applyFont="1" applyFill="1" applyBorder="1">
      <alignment vertical="center"/>
    </xf>
    <xf numFmtId="41" fontId="15" fillId="3" borderId="7" xfId="0" applyNumberFormat="1" applyFont="1" applyFill="1" applyBorder="1">
      <alignment vertical="center"/>
    </xf>
    <xf numFmtId="41" fontId="82" fillId="4" borderId="47" xfId="0" applyNumberFormat="1" applyFont="1" applyFill="1" applyBorder="1">
      <alignment vertical="center"/>
    </xf>
    <xf numFmtId="41" fontId="91" fillId="4" borderId="0" xfId="0" applyNumberFormat="1" applyFont="1" applyFill="1">
      <alignment vertical="center"/>
    </xf>
    <xf numFmtId="9" fontId="106" fillId="4" borderId="66" xfId="0" applyNumberFormat="1" applyFont="1" applyFill="1" applyBorder="1" applyAlignment="1">
      <alignment horizontal="center" vertical="center" wrapText="1"/>
    </xf>
    <xf numFmtId="41" fontId="82" fillId="4" borderId="12" xfId="0" applyNumberFormat="1" applyFont="1" applyFill="1" applyBorder="1">
      <alignment vertical="center"/>
    </xf>
    <xf numFmtId="41" fontId="82" fillId="4" borderId="33" xfId="0" applyNumberFormat="1" applyFont="1" applyFill="1" applyBorder="1">
      <alignment vertical="center"/>
    </xf>
    <xf numFmtId="41" fontId="82" fillId="4" borderId="6" xfId="0" applyNumberFormat="1" applyFont="1" applyFill="1" applyBorder="1">
      <alignment vertical="center"/>
    </xf>
    <xf numFmtId="41" fontId="82" fillId="4" borderId="48" xfId="0" applyNumberFormat="1" applyFont="1" applyFill="1" applyBorder="1">
      <alignment vertical="center"/>
    </xf>
    <xf numFmtId="191" fontId="114" fillId="3" borderId="12" xfId="0" applyNumberFormat="1" applyFont="1" applyFill="1" applyBorder="1">
      <alignment vertical="center"/>
    </xf>
    <xf numFmtId="191" fontId="114" fillId="3" borderId="28" xfId="0" applyNumberFormat="1" applyFont="1" applyFill="1" applyBorder="1">
      <alignment vertical="center"/>
    </xf>
    <xf numFmtId="191" fontId="114" fillId="3" borderId="33" xfId="0" applyNumberFormat="1" applyFont="1" applyFill="1" applyBorder="1">
      <alignment vertical="center"/>
    </xf>
    <xf numFmtId="191" fontId="114" fillId="4" borderId="17" xfId="0" applyNumberFormat="1" applyFont="1" applyFill="1" applyBorder="1">
      <alignment vertical="center"/>
    </xf>
    <xf numFmtId="191" fontId="114" fillId="4" borderId="18" xfId="0" applyNumberFormat="1" applyFont="1" applyFill="1" applyBorder="1">
      <alignment vertical="center"/>
    </xf>
    <xf numFmtId="191" fontId="114" fillId="4" borderId="19" xfId="0" applyNumberFormat="1" applyFont="1" applyFill="1" applyBorder="1">
      <alignment vertical="center"/>
    </xf>
    <xf numFmtId="191" fontId="114" fillId="4" borderId="29" xfId="0" applyNumberFormat="1" applyFont="1" applyFill="1" applyBorder="1">
      <alignment vertical="center"/>
    </xf>
    <xf numFmtId="198" fontId="106" fillId="3" borderId="86" xfId="0" applyNumberFormat="1" applyFont="1" applyFill="1" applyBorder="1">
      <alignment vertical="center"/>
    </xf>
    <xf numFmtId="198" fontId="106" fillId="3" borderId="11" xfId="0" applyNumberFormat="1" applyFont="1" applyFill="1" applyBorder="1">
      <alignment vertical="center"/>
    </xf>
    <xf numFmtId="198" fontId="106" fillId="3" borderId="54" xfId="0" applyNumberFormat="1" applyFont="1" applyFill="1" applyBorder="1">
      <alignment vertical="center"/>
    </xf>
    <xf numFmtId="198" fontId="106" fillId="3" borderId="123" xfId="0" applyNumberFormat="1" applyFont="1" applyFill="1" applyBorder="1">
      <alignment vertical="center"/>
    </xf>
    <xf numFmtId="198" fontId="114" fillId="3" borderId="120" xfId="0" applyNumberFormat="1" applyFont="1" applyFill="1" applyBorder="1">
      <alignment vertical="center"/>
    </xf>
    <xf numFmtId="198" fontId="114" fillId="3" borderId="123" xfId="0" applyNumberFormat="1" applyFont="1" applyFill="1" applyBorder="1">
      <alignment vertical="center"/>
    </xf>
    <xf numFmtId="198" fontId="114" fillId="3" borderId="11" xfId="0" applyNumberFormat="1" applyFont="1" applyFill="1" applyBorder="1">
      <alignment vertical="center"/>
    </xf>
    <xf numFmtId="195" fontId="114" fillId="4" borderId="94" xfId="0" applyNumberFormat="1" applyFont="1" applyFill="1" applyBorder="1">
      <alignment vertical="center"/>
    </xf>
    <xf numFmtId="41" fontId="91" fillId="4" borderId="4" xfId="0" applyNumberFormat="1" applyFont="1" applyFill="1" applyBorder="1" applyAlignment="1">
      <alignment horizontal="left" vertical="center"/>
    </xf>
    <xf numFmtId="194" fontId="82" fillId="3" borderId="128" xfId="0" applyNumberFormat="1" applyFont="1" applyFill="1" applyBorder="1">
      <alignment vertical="center"/>
    </xf>
    <xf numFmtId="194" fontId="82" fillId="3" borderId="4" xfId="0" applyNumberFormat="1" applyFont="1" applyFill="1" applyBorder="1">
      <alignment vertical="center"/>
    </xf>
    <xf numFmtId="194" fontId="82" fillId="3" borderId="129" xfId="0" applyNumberFormat="1" applyFont="1" applyFill="1" applyBorder="1">
      <alignment vertical="center"/>
    </xf>
    <xf numFmtId="185" fontId="118" fillId="4" borderId="54" xfId="0" applyNumberFormat="1" applyFont="1" applyFill="1" applyBorder="1" applyAlignment="1">
      <alignment horizontal="center" vertical="center"/>
    </xf>
    <xf numFmtId="185" fontId="91" fillId="4" borderId="196" xfId="0" applyNumberFormat="1" applyFont="1" applyFill="1" applyBorder="1" applyAlignment="1">
      <alignment horizontal="right" vertical="center"/>
    </xf>
    <xf numFmtId="9" fontId="91" fillId="4" borderId="196" xfId="0" applyNumberFormat="1" applyFont="1" applyFill="1" applyBorder="1" applyAlignment="1">
      <alignment horizontal="right" vertical="center"/>
    </xf>
    <xf numFmtId="194" fontId="91" fillId="3" borderId="196" xfId="0" applyNumberFormat="1" applyFont="1" applyFill="1" applyBorder="1">
      <alignment vertical="center"/>
    </xf>
    <xf numFmtId="41" fontId="114" fillId="4" borderId="67" xfId="1" applyFont="1" applyFill="1" applyBorder="1" applyAlignment="1">
      <alignment horizontal="center" vertical="center" wrapText="1"/>
    </xf>
    <xf numFmtId="41" fontId="114" fillId="4" borderId="108" xfId="1" applyFont="1" applyFill="1" applyBorder="1" applyAlignment="1">
      <alignment vertical="center"/>
    </xf>
    <xf numFmtId="41" fontId="91" fillId="4" borderId="203" xfId="0" applyNumberFormat="1" applyFont="1" applyFill="1" applyBorder="1" applyAlignment="1">
      <alignment horizontal="left" vertical="center"/>
    </xf>
    <xf numFmtId="0" fontId="91" fillId="4" borderId="203" xfId="0" applyFont="1" applyFill="1" applyBorder="1" applyAlignment="1">
      <alignment horizontal="left" vertical="center"/>
    </xf>
    <xf numFmtId="41" fontId="91" fillId="4" borderId="203" xfId="0" applyNumberFormat="1" applyFont="1" applyFill="1" applyBorder="1" applyAlignment="1">
      <alignment horizontal="right" vertical="center"/>
    </xf>
    <xf numFmtId="41" fontId="82" fillId="4" borderId="203" xfId="1" applyFont="1" applyFill="1" applyBorder="1">
      <alignment vertical="center"/>
    </xf>
    <xf numFmtId="185" fontId="82" fillId="4" borderId="203" xfId="0" applyNumberFormat="1" applyFont="1" applyFill="1" applyBorder="1">
      <alignment vertical="center"/>
    </xf>
    <xf numFmtId="41" fontId="82" fillId="4" borderId="204" xfId="1" applyFont="1" applyFill="1" applyBorder="1" applyAlignment="1">
      <alignment vertical="center"/>
    </xf>
    <xf numFmtId="41" fontId="114" fillId="0" borderId="64" xfId="1" applyFont="1" applyBorder="1" applyAlignment="1">
      <alignment horizontal="center" vertical="center"/>
    </xf>
    <xf numFmtId="41" fontId="114" fillId="0" borderId="203" xfId="1" applyFont="1" applyBorder="1" applyAlignment="1">
      <alignment horizontal="center" vertical="center"/>
    </xf>
    <xf numFmtId="41" fontId="114" fillId="0" borderId="204" xfId="1" applyFont="1" applyBorder="1" applyAlignment="1">
      <alignment horizontal="center" vertical="center"/>
    </xf>
    <xf numFmtId="41" fontId="106" fillId="4" borderId="57" xfId="1" applyFont="1" applyFill="1" applyBorder="1" applyAlignment="1">
      <alignment horizontal="right" vertical="center"/>
    </xf>
    <xf numFmtId="41" fontId="82" fillId="3" borderId="109" xfId="0" applyNumberFormat="1" applyFont="1" applyFill="1" applyBorder="1" applyAlignment="1">
      <alignment horizontal="center" vertical="center"/>
    </xf>
    <xf numFmtId="41" fontId="82" fillId="3" borderId="112" xfId="0" applyNumberFormat="1" applyFont="1" applyFill="1" applyBorder="1" applyAlignment="1">
      <alignment horizontal="center" vertical="center"/>
    </xf>
    <xf numFmtId="41" fontId="82" fillId="3" borderId="32" xfId="0" applyNumberFormat="1" applyFont="1" applyFill="1" applyBorder="1" applyAlignment="1">
      <alignment horizontal="center" vertical="center"/>
    </xf>
    <xf numFmtId="41" fontId="106" fillId="4" borderId="32" xfId="0" applyNumberFormat="1" applyFont="1" applyFill="1" applyBorder="1" applyAlignment="1">
      <alignment horizontal="center" vertical="center" wrapText="1"/>
    </xf>
    <xf numFmtId="41" fontId="106" fillId="4" borderId="46" xfId="0" applyNumberFormat="1" applyFont="1" applyFill="1" applyBorder="1" applyAlignment="1">
      <alignment horizontal="center" vertical="center" wrapText="1"/>
    </xf>
    <xf numFmtId="41" fontId="82" fillId="4" borderId="189" xfId="0" applyNumberFormat="1" applyFont="1" applyFill="1" applyBorder="1">
      <alignment vertical="center"/>
    </xf>
    <xf numFmtId="41" fontId="82" fillId="4" borderId="192" xfId="0" applyNumberFormat="1" applyFont="1" applyFill="1" applyBorder="1">
      <alignment vertical="center"/>
    </xf>
    <xf numFmtId="0" fontId="91" fillId="26" borderId="213" xfId="0" applyFont="1" applyFill="1" applyBorder="1" applyAlignment="1">
      <alignment horizontal="right" vertical="center"/>
    </xf>
    <xf numFmtId="41" fontId="106" fillId="26" borderId="213" xfId="0" applyNumberFormat="1" applyFont="1" applyFill="1" applyBorder="1">
      <alignment vertical="center"/>
    </xf>
    <xf numFmtId="0" fontId="106" fillId="26" borderId="0" xfId="0" applyFont="1" applyFill="1" applyAlignment="1">
      <alignment horizontal="right" vertical="center"/>
    </xf>
    <xf numFmtId="9" fontId="106" fillId="26" borderId="0" xfId="0" applyNumberFormat="1" applyFont="1" applyFill="1" applyAlignment="1">
      <alignment horizontal="left" vertical="center"/>
    </xf>
    <xf numFmtId="190" fontId="91" fillId="4" borderId="25" xfId="0" applyNumberFormat="1" applyFont="1" applyFill="1" applyBorder="1" applyAlignment="1">
      <alignment horizontal="center" vertical="center"/>
    </xf>
    <xf numFmtId="190" fontId="91" fillId="4" borderId="110" xfId="0" applyNumberFormat="1" applyFont="1" applyFill="1" applyBorder="1" applyAlignment="1">
      <alignment horizontal="center" vertical="center"/>
    </xf>
    <xf numFmtId="9" fontId="82" fillId="4" borderId="1" xfId="0" applyNumberFormat="1" applyFont="1" applyFill="1" applyBorder="1" applyAlignment="1">
      <alignment horizontal="center" vertical="center"/>
    </xf>
    <xf numFmtId="0" fontId="91" fillId="4" borderId="48" xfId="0" applyFont="1" applyFill="1" applyBorder="1" applyAlignment="1">
      <alignment horizontal="center" vertical="center"/>
    </xf>
    <xf numFmtId="9" fontId="91" fillId="4" borderId="196" xfId="0" applyNumberFormat="1" applyFont="1" applyFill="1" applyBorder="1" applyAlignment="1">
      <alignment horizontal="center" vertical="center"/>
    </xf>
    <xf numFmtId="190" fontId="91" fillId="4" borderId="201" xfId="0" applyNumberFormat="1" applyFont="1" applyFill="1" applyBorder="1" applyAlignment="1">
      <alignment horizontal="center" vertical="center"/>
    </xf>
    <xf numFmtId="41" fontId="114" fillId="4" borderId="29" xfId="1" applyFont="1" applyFill="1" applyBorder="1">
      <alignment vertical="center"/>
    </xf>
    <xf numFmtId="41" fontId="82" fillId="4" borderId="77" xfId="1" applyFont="1" applyFill="1" applyBorder="1">
      <alignment vertical="center"/>
    </xf>
    <xf numFmtId="41" fontId="91" fillId="4" borderId="77" xfId="1" applyFont="1" applyFill="1" applyBorder="1">
      <alignment vertical="center"/>
    </xf>
    <xf numFmtId="41" fontId="91" fillId="4" borderId="43" xfId="1" applyFont="1" applyFill="1" applyBorder="1">
      <alignment vertical="center"/>
    </xf>
    <xf numFmtId="41" fontId="91" fillId="4" borderId="76" xfId="1" applyFont="1" applyFill="1" applyBorder="1">
      <alignment vertical="center"/>
    </xf>
    <xf numFmtId="0" fontId="4" fillId="3" borderId="28" xfId="0" quotePrefix="1" applyFont="1" applyFill="1" applyBorder="1">
      <alignment vertical="center"/>
    </xf>
    <xf numFmtId="204" fontId="82" fillId="3" borderId="196" xfId="0" applyNumberFormat="1" applyFont="1" applyFill="1" applyBorder="1" applyAlignment="1">
      <alignment horizontal="left" vertical="center" shrinkToFit="1"/>
    </xf>
    <xf numFmtId="203" fontId="82" fillId="3" borderId="196" xfId="0" applyNumberFormat="1" applyFont="1" applyFill="1" applyBorder="1" applyAlignment="1">
      <alignment horizontal="left" vertical="center" shrinkToFit="1"/>
    </xf>
    <xf numFmtId="200" fontId="82" fillId="3" borderId="196" xfId="0" applyNumberFormat="1" applyFont="1" applyFill="1" applyBorder="1" applyAlignment="1">
      <alignment horizontal="left" vertical="center" shrinkToFit="1"/>
    </xf>
    <xf numFmtId="202" fontId="82" fillId="3" borderId="196" xfId="0" applyNumberFormat="1" applyFont="1" applyFill="1" applyBorder="1" applyAlignment="1">
      <alignment horizontal="left" vertical="center" shrinkToFit="1"/>
    </xf>
    <xf numFmtId="0" fontId="4" fillId="3" borderId="28" xfId="0" applyFont="1" applyFill="1" applyBorder="1">
      <alignment vertical="center"/>
    </xf>
    <xf numFmtId="41" fontId="82" fillId="4" borderId="149" xfId="0" applyNumberFormat="1" applyFont="1" applyFill="1" applyBorder="1">
      <alignment vertical="center"/>
    </xf>
    <xf numFmtId="41" fontId="82" fillId="4" borderId="4" xfId="0" applyNumberFormat="1" applyFont="1" applyFill="1" applyBorder="1" applyAlignment="1">
      <alignment horizontal="left" vertical="top"/>
    </xf>
    <xf numFmtId="0" fontId="108" fillId="3" borderId="196" xfId="0" applyFont="1" applyFill="1" applyBorder="1" applyAlignment="1">
      <alignment horizontal="center" vertical="center"/>
    </xf>
    <xf numFmtId="0" fontId="108" fillId="3" borderId="196" xfId="0" applyFont="1" applyFill="1" applyBorder="1" applyAlignment="1">
      <alignment horizontal="left" vertical="center"/>
    </xf>
    <xf numFmtId="0" fontId="108" fillId="3" borderId="42" xfId="0" quotePrefix="1" applyFont="1" applyFill="1" applyBorder="1" applyAlignment="1">
      <alignment vertical="center" wrapText="1"/>
    </xf>
    <xf numFmtId="0" fontId="108" fillId="3" borderId="56" xfId="0" quotePrefix="1" applyFont="1" applyFill="1" applyBorder="1" applyAlignment="1">
      <alignment vertical="center" wrapText="1"/>
    </xf>
    <xf numFmtId="0" fontId="108" fillId="3" borderId="72" xfId="0" quotePrefix="1" applyFont="1" applyFill="1" applyBorder="1" applyAlignment="1">
      <alignment vertical="center" wrapText="1"/>
    </xf>
    <xf numFmtId="0" fontId="108" fillId="3" borderId="10" xfId="0" quotePrefix="1" applyFont="1" applyFill="1" applyBorder="1" applyAlignment="1">
      <alignment vertical="center" wrapText="1"/>
    </xf>
    <xf numFmtId="178" fontId="112" fillId="12" borderId="5" xfId="0" applyNumberFormat="1" applyFont="1" applyFill="1" applyBorder="1">
      <alignment vertical="center"/>
    </xf>
    <xf numFmtId="192" fontId="112" fillId="12" borderId="5" xfId="0" applyNumberFormat="1" applyFont="1" applyFill="1" applyBorder="1">
      <alignment vertical="center"/>
    </xf>
    <xf numFmtId="193" fontId="114" fillId="4" borderId="67" xfId="0" applyNumberFormat="1" applyFont="1" applyFill="1" applyBorder="1" applyAlignment="1">
      <alignment horizontal="center" vertical="center"/>
    </xf>
    <xf numFmtId="199" fontId="91" fillId="4" borderId="26" xfId="0" applyNumberFormat="1" applyFont="1" applyFill="1" applyBorder="1">
      <alignment vertical="center"/>
    </xf>
    <xf numFmtId="199" fontId="91" fillId="4" borderId="10" xfId="0" applyNumberFormat="1" applyFont="1" applyFill="1" applyBorder="1">
      <alignment vertical="center"/>
    </xf>
    <xf numFmtId="199" fontId="91" fillId="4" borderId="56" xfId="0" applyNumberFormat="1" applyFont="1" applyFill="1" applyBorder="1">
      <alignment vertical="center"/>
    </xf>
    <xf numFmtId="196" fontId="91" fillId="4" borderId="10" xfId="0" applyNumberFormat="1" applyFont="1" applyFill="1" applyBorder="1">
      <alignment vertical="center"/>
    </xf>
    <xf numFmtId="196" fontId="114" fillId="4" borderId="62" xfId="0" applyNumberFormat="1" applyFont="1" applyFill="1" applyBorder="1">
      <alignment vertical="center"/>
    </xf>
    <xf numFmtId="196" fontId="91" fillId="4" borderId="72" xfId="0" applyNumberFormat="1" applyFont="1" applyFill="1" applyBorder="1">
      <alignment vertical="center"/>
    </xf>
    <xf numFmtId="196" fontId="91" fillId="4" borderId="87" xfId="0" applyNumberFormat="1" applyFont="1" applyFill="1" applyBorder="1">
      <alignment vertical="center"/>
    </xf>
    <xf numFmtId="196" fontId="91" fillId="4" borderId="90" xfId="0" applyNumberFormat="1" applyFont="1" applyFill="1" applyBorder="1">
      <alignment vertical="center"/>
    </xf>
    <xf numFmtId="196" fontId="91" fillId="4" borderId="56" xfId="0" applyNumberFormat="1" applyFont="1" applyFill="1" applyBorder="1">
      <alignment vertical="center"/>
    </xf>
    <xf numFmtId="193" fontId="91" fillId="4" borderId="62" xfId="0" applyNumberFormat="1" applyFont="1" applyFill="1" applyBorder="1">
      <alignment vertical="center"/>
    </xf>
    <xf numFmtId="9" fontId="91" fillId="4" borderId="60" xfId="0" applyNumberFormat="1" applyFont="1" applyFill="1" applyBorder="1">
      <alignment vertical="center"/>
    </xf>
    <xf numFmtId="9" fontId="91" fillId="4" borderId="47" xfId="0" applyNumberFormat="1" applyFont="1" applyFill="1" applyBorder="1">
      <alignment vertical="center"/>
    </xf>
    <xf numFmtId="9" fontId="114" fillId="4" borderId="33" xfId="0" applyNumberFormat="1" applyFont="1" applyFill="1" applyBorder="1">
      <alignment vertical="center"/>
    </xf>
    <xf numFmtId="9" fontId="91" fillId="4" borderId="54" xfId="0" applyNumberFormat="1" applyFont="1" applyFill="1" applyBorder="1">
      <alignment vertical="center"/>
    </xf>
    <xf numFmtId="9" fontId="91" fillId="4" borderId="89" xfId="0" applyNumberFormat="1" applyFont="1" applyFill="1" applyBorder="1">
      <alignment vertical="center"/>
    </xf>
    <xf numFmtId="9" fontId="82" fillId="4" borderId="69" xfId="0" applyNumberFormat="1" applyFont="1" applyFill="1" applyBorder="1">
      <alignment vertical="center"/>
    </xf>
    <xf numFmtId="9" fontId="91" fillId="4" borderId="33" xfId="0" applyNumberFormat="1" applyFont="1" applyFill="1" applyBorder="1">
      <alignment vertical="center"/>
    </xf>
    <xf numFmtId="185" fontId="91" fillId="2" borderId="1" xfId="0" applyNumberFormat="1" applyFont="1" applyFill="1" applyBorder="1" applyAlignment="1">
      <alignment horizontal="right" vertical="center"/>
    </xf>
    <xf numFmtId="41" fontId="91" fillId="2" borderId="1" xfId="0" applyNumberFormat="1" applyFont="1" applyFill="1" applyBorder="1">
      <alignment vertical="center"/>
    </xf>
    <xf numFmtId="41" fontId="91" fillId="2" borderId="10" xfId="0" applyNumberFormat="1" applyFont="1" applyFill="1" applyBorder="1">
      <alignment vertical="center"/>
    </xf>
    <xf numFmtId="41" fontId="82" fillId="10" borderId="58" xfId="0" applyNumberFormat="1" applyFont="1" applyFill="1" applyBorder="1">
      <alignment vertical="center"/>
    </xf>
    <xf numFmtId="41" fontId="82" fillId="10" borderId="27" xfId="0" applyNumberFormat="1" applyFont="1" applyFill="1" applyBorder="1">
      <alignment vertical="center"/>
    </xf>
    <xf numFmtId="41" fontId="82" fillId="10" borderId="60" xfId="0" applyNumberFormat="1" applyFont="1" applyFill="1" applyBorder="1">
      <alignment vertical="center"/>
    </xf>
    <xf numFmtId="41" fontId="82" fillId="10" borderId="1" xfId="0" applyNumberFormat="1" applyFont="1" applyFill="1" applyBorder="1">
      <alignment vertical="center"/>
    </xf>
    <xf numFmtId="41" fontId="82" fillId="10" borderId="55" xfId="0" applyNumberFormat="1" applyFont="1" applyFill="1" applyBorder="1">
      <alignment vertical="center"/>
    </xf>
    <xf numFmtId="41" fontId="82" fillId="10" borderId="69" xfId="0" applyNumberFormat="1" applyFont="1" applyFill="1" applyBorder="1">
      <alignment vertical="center"/>
    </xf>
    <xf numFmtId="41" fontId="82" fillId="10" borderId="10" xfId="0" applyNumberFormat="1" applyFont="1" applyFill="1" applyBorder="1">
      <alignment vertical="center"/>
    </xf>
    <xf numFmtId="41" fontId="82" fillId="10" borderId="8" xfId="0" applyNumberFormat="1" applyFont="1" applyFill="1" applyBorder="1">
      <alignment vertical="center"/>
    </xf>
    <xf numFmtId="41" fontId="82" fillId="10" borderId="86" xfId="0" applyNumberFormat="1" applyFont="1" applyFill="1" applyBorder="1">
      <alignment vertical="center"/>
    </xf>
    <xf numFmtId="41" fontId="82" fillId="10" borderId="11" xfId="0" applyNumberFormat="1" applyFont="1" applyFill="1" applyBorder="1">
      <alignment vertical="center"/>
    </xf>
    <xf numFmtId="41" fontId="82" fillId="10" borderId="54" xfId="0" applyNumberFormat="1" applyFont="1" applyFill="1" applyBorder="1">
      <alignment vertical="center"/>
    </xf>
    <xf numFmtId="41" fontId="82" fillId="10" borderId="87" xfId="0" applyNumberFormat="1" applyFont="1" applyFill="1" applyBorder="1">
      <alignment vertical="center"/>
    </xf>
    <xf numFmtId="41" fontId="82" fillId="10" borderId="119" xfId="0" applyNumberFormat="1" applyFont="1" applyFill="1" applyBorder="1">
      <alignment vertical="center"/>
    </xf>
    <xf numFmtId="41" fontId="82" fillId="10" borderId="88" xfId="0" applyNumberFormat="1" applyFont="1" applyFill="1" applyBorder="1">
      <alignment vertical="center"/>
    </xf>
    <xf numFmtId="41" fontId="82" fillId="10" borderId="9" xfId="0" applyNumberFormat="1" applyFont="1" applyFill="1" applyBorder="1">
      <alignment vertical="center"/>
    </xf>
    <xf numFmtId="41" fontId="82" fillId="10" borderId="89" xfId="0" applyNumberFormat="1" applyFont="1" applyFill="1" applyBorder="1">
      <alignment vertical="center"/>
    </xf>
    <xf numFmtId="41" fontId="82" fillId="10" borderId="118" xfId="0" applyNumberFormat="1" applyFont="1" applyFill="1" applyBorder="1">
      <alignment vertical="center"/>
    </xf>
    <xf numFmtId="41" fontId="82" fillId="10" borderId="35" xfId="0" applyNumberFormat="1" applyFont="1" applyFill="1" applyBorder="1">
      <alignment vertical="center"/>
    </xf>
    <xf numFmtId="41" fontId="82" fillId="10" borderId="5" xfId="0" applyNumberFormat="1" applyFont="1" applyFill="1" applyBorder="1">
      <alignment vertical="center"/>
    </xf>
    <xf numFmtId="41" fontId="82" fillId="10" borderId="47" xfId="0" applyNumberFormat="1" applyFont="1" applyFill="1" applyBorder="1">
      <alignment vertical="center"/>
    </xf>
    <xf numFmtId="41" fontId="82" fillId="10" borderId="42" xfId="0" applyNumberFormat="1" applyFont="1" applyFill="1" applyBorder="1">
      <alignment vertical="center"/>
    </xf>
    <xf numFmtId="41" fontId="82" fillId="10" borderId="128" xfId="0" applyNumberFormat="1" applyFont="1" applyFill="1" applyBorder="1">
      <alignment vertical="center"/>
    </xf>
    <xf numFmtId="41" fontId="82" fillId="10" borderId="4" xfId="0" applyNumberFormat="1" applyFont="1" applyFill="1" applyBorder="1">
      <alignment vertical="center"/>
    </xf>
    <xf numFmtId="41" fontId="82" fillId="10" borderId="129" xfId="0" applyNumberFormat="1" applyFont="1" applyFill="1" applyBorder="1">
      <alignment vertical="center"/>
    </xf>
    <xf numFmtId="41" fontId="82" fillId="10" borderId="132" xfId="0" applyNumberFormat="1" applyFont="1" applyFill="1" applyBorder="1">
      <alignment vertical="center"/>
    </xf>
    <xf numFmtId="41" fontId="82" fillId="10" borderId="64" xfId="0" applyNumberFormat="1" applyFont="1" applyFill="1" applyBorder="1">
      <alignment vertical="center"/>
    </xf>
    <xf numFmtId="41" fontId="82" fillId="10" borderId="203" xfId="0" applyNumberFormat="1" applyFont="1" applyFill="1" applyBorder="1">
      <alignment vertical="center"/>
    </xf>
    <xf numFmtId="41" fontId="82" fillId="10" borderId="202" xfId="0" applyNumberFormat="1" applyFont="1" applyFill="1" applyBorder="1">
      <alignment vertical="center"/>
    </xf>
    <xf numFmtId="41" fontId="82" fillId="10" borderId="204" xfId="0" applyNumberFormat="1" applyFont="1" applyFill="1" applyBorder="1">
      <alignment vertical="center"/>
    </xf>
    <xf numFmtId="41" fontId="82" fillId="10" borderId="72" xfId="0" applyNumberFormat="1" applyFont="1" applyFill="1" applyBorder="1">
      <alignment vertical="center"/>
    </xf>
    <xf numFmtId="41" fontId="82" fillId="10" borderId="56" xfId="0" applyNumberFormat="1" applyFont="1" applyFill="1" applyBorder="1">
      <alignment vertical="center"/>
    </xf>
    <xf numFmtId="41" fontId="82" fillId="10" borderId="196" xfId="0" applyNumberFormat="1" applyFont="1" applyFill="1" applyBorder="1">
      <alignment vertical="center"/>
    </xf>
    <xf numFmtId="41" fontId="106" fillId="10" borderId="12" xfId="0" applyNumberFormat="1" applyFont="1" applyFill="1" applyBorder="1">
      <alignment vertical="center"/>
    </xf>
    <xf numFmtId="41" fontId="106" fillId="10" borderId="33" xfId="0" applyNumberFormat="1" applyFont="1" applyFill="1" applyBorder="1">
      <alignment vertical="center"/>
    </xf>
    <xf numFmtId="41" fontId="106" fillId="10" borderId="28" xfId="0" applyNumberFormat="1" applyFont="1" applyFill="1" applyBorder="1">
      <alignment vertical="center"/>
    </xf>
    <xf numFmtId="41" fontId="82" fillId="10" borderId="90" xfId="0" applyNumberFormat="1" applyFont="1" applyFill="1" applyBorder="1">
      <alignment vertical="center"/>
    </xf>
    <xf numFmtId="41" fontId="82" fillId="10" borderId="149" xfId="0" applyNumberFormat="1" applyFont="1" applyFill="1" applyBorder="1">
      <alignment vertical="center"/>
    </xf>
    <xf numFmtId="41" fontId="82" fillId="10" borderId="112" xfId="0" applyNumberFormat="1" applyFont="1" applyFill="1" applyBorder="1">
      <alignment vertical="center"/>
    </xf>
    <xf numFmtId="41" fontId="82" fillId="10" borderId="190" xfId="0" applyNumberFormat="1" applyFont="1" applyFill="1" applyBorder="1">
      <alignment vertical="center"/>
    </xf>
    <xf numFmtId="41" fontId="82" fillId="10" borderId="191" xfId="0" applyNumberFormat="1" applyFont="1" applyFill="1" applyBorder="1">
      <alignment vertical="center"/>
    </xf>
    <xf numFmtId="41" fontId="91" fillId="10" borderId="78" xfId="1" applyFont="1" applyFill="1" applyBorder="1" applyAlignment="1">
      <alignment vertical="center"/>
    </xf>
    <xf numFmtId="41" fontId="91" fillId="10" borderId="77" xfId="1" applyFont="1" applyFill="1" applyBorder="1" applyAlignment="1">
      <alignment vertical="center"/>
    </xf>
    <xf numFmtId="41" fontId="91" fillId="10" borderId="49" xfId="1" applyFont="1" applyFill="1" applyBorder="1" applyAlignment="1">
      <alignment vertical="center"/>
    </xf>
    <xf numFmtId="41" fontId="91" fillId="10" borderId="13" xfId="1" applyFont="1" applyFill="1" applyBorder="1" applyAlignment="1">
      <alignment vertical="center"/>
    </xf>
    <xf numFmtId="41" fontId="91" fillId="10" borderId="59" xfId="1" applyFont="1" applyFill="1" applyBorder="1" applyAlignment="1">
      <alignment vertical="center"/>
    </xf>
    <xf numFmtId="41" fontId="91" fillId="10" borderId="46" xfId="1" applyFont="1" applyFill="1" applyBorder="1" applyAlignment="1">
      <alignment vertical="center"/>
    </xf>
    <xf numFmtId="41" fontId="91" fillId="10" borderId="17" xfId="1" applyFont="1" applyFill="1" applyBorder="1" applyAlignment="1">
      <alignment vertical="center"/>
    </xf>
    <xf numFmtId="41" fontId="91" fillId="10" borderId="18" xfId="1" applyFont="1" applyFill="1" applyBorder="1" applyAlignment="1">
      <alignment vertical="center"/>
    </xf>
    <xf numFmtId="41" fontId="91" fillId="10" borderId="19" xfId="1" applyFont="1" applyFill="1" applyBorder="1" applyAlignment="1">
      <alignment vertical="center"/>
    </xf>
    <xf numFmtId="41" fontId="82" fillId="10" borderId="61" xfId="0" applyNumberFormat="1" applyFont="1" applyFill="1" applyBorder="1">
      <alignment vertical="center"/>
    </xf>
    <xf numFmtId="41" fontId="82" fillId="10" borderId="34" xfId="0" applyNumberFormat="1" applyFont="1" applyFill="1" applyBorder="1">
      <alignment vertical="center"/>
    </xf>
    <xf numFmtId="185" fontId="82" fillId="10" borderId="69" xfId="0" applyNumberFormat="1" applyFont="1" applyFill="1" applyBorder="1">
      <alignment vertical="center"/>
    </xf>
    <xf numFmtId="183" fontId="82" fillId="10" borderId="1" xfId="0" applyNumberFormat="1" applyFont="1" applyFill="1" applyBorder="1">
      <alignment vertical="center"/>
    </xf>
    <xf numFmtId="183" fontId="82" fillId="10" borderId="69" xfId="0" applyNumberFormat="1" applyFont="1" applyFill="1" applyBorder="1">
      <alignment vertical="center"/>
    </xf>
    <xf numFmtId="183" fontId="82" fillId="10" borderId="55" xfId="0" applyNumberFormat="1" applyFont="1" applyFill="1" applyBorder="1">
      <alignment vertical="center"/>
    </xf>
    <xf numFmtId="185" fontId="82" fillId="10" borderId="55" xfId="0" applyNumberFormat="1" applyFont="1" applyFill="1" applyBorder="1">
      <alignment vertical="center"/>
    </xf>
    <xf numFmtId="183" fontId="82" fillId="10" borderId="45" xfId="0" applyNumberFormat="1" applyFont="1" applyFill="1" applyBorder="1">
      <alignment vertical="center"/>
    </xf>
    <xf numFmtId="183" fontId="82" fillId="10" borderId="18" xfId="0" applyNumberFormat="1" applyFont="1" applyFill="1" applyBorder="1">
      <alignment vertical="center"/>
    </xf>
    <xf numFmtId="183" fontId="82" fillId="10" borderId="20" xfId="0" applyNumberFormat="1" applyFont="1" applyFill="1" applyBorder="1">
      <alignment vertical="center"/>
    </xf>
    <xf numFmtId="183" fontId="82" fillId="10" borderId="17" xfId="0" applyNumberFormat="1" applyFont="1" applyFill="1" applyBorder="1">
      <alignment vertical="center"/>
    </xf>
    <xf numFmtId="183" fontId="82" fillId="10" borderId="19" xfId="0" applyNumberFormat="1" applyFont="1" applyFill="1" applyBorder="1">
      <alignment vertical="center"/>
    </xf>
    <xf numFmtId="183" fontId="82" fillId="10" borderId="67" xfId="0" applyNumberFormat="1" applyFont="1" applyFill="1" applyBorder="1">
      <alignment vertical="center"/>
    </xf>
    <xf numFmtId="41" fontId="82" fillId="10" borderId="50" xfId="0" applyNumberFormat="1" applyFont="1" applyFill="1" applyBorder="1">
      <alignment vertical="center"/>
    </xf>
    <xf numFmtId="41" fontId="82" fillId="10" borderId="26" xfId="0" applyNumberFormat="1" applyFont="1" applyFill="1" applyBorder="1">
      <alignment vertical="center"/>
    </xf>
    <xf numFmtId="41" fontId="82" fillId="10" borderId="25" xfId="0" applyNumberFormat="1" applyFont="1" applyFill="1" applyBorder="1">
      <alignment vertical="center"/>
    </xf>
    <xf numFmtId="41" fontId="82" fillId="10" borderId="24" xfId="0" applyNumberFormat="1" applyFont="1" applyFill="1" applyBorder="1">
      <alignment vertical="center"/>
    </xf>
    <xf numFmtId="41" fontId="82" fillId="10" borderId="0" xfId="0" applyNumberFormat="1" applyFont="1" applyFill="1">
      <alignment vertical="center"/>
    </xf>
    <xf numFmtId="41" fontId="82" fillId="10" borderId="85" xfId="0" applyNumberFormat="1" applyFont="1" applyFill="1" applyBorder="1">
      <alignment vertical="center"/>
    </xf>
    <xf numFmtId="41" fontId="82" fillId="10" borderId="71" xfId="0" applyNumberFormat="1" applyFont="1" applyFill="1" applyBorder="1">
      <alignment vertical="center"/>
    </xf>
    <xf numFmtId="183" fontId="82" fillId="10" borderId="35" xfId="0" applyNumberFormat="1" applyFont="1" applyFill="1" applyBorder="1">
      <alignment vertical="center"/>
    </xf>
    <xf numFmtId="183" fontId="82" fillId="10" borderId="56" xfId="0" applyNumberFormat="1" applyFont="1" applyFill="1" applyBorder="1">
      <alignment vertical="center"/>
    </xf>
    <xf numFmtId="183" fontId="82" fillId="10" borderId="110" xfId="0" applyNumberFormat="1" applyFont="1" applyFill="1" applyBorder="1">
      <alignment vertical="center"/>
    </xf>
    <xf numFmtId="41" fontId="82" fillId="10" borderId="21" xfId="0" applyNumberFormat="1" applyFont="1" applyFill="1" applyBorder="1">
      <alignment vertical="center"/>
    </xf>
    <xf numFmtId="185" fontId="82" fillId="10" borderId="24" xfId="0" applyNumberFormat="1" applyFont="1" applyFill="1" applyBorder="1">
      <alignment vertical="center"/>
    </xf>
    <xf numFmtId="41" fontId="91" fillId="10" borderId="64" xfId="0" applyNumberFormat="1" applyFont="1" applyFill="1" applyBorder="1">
      <alignment vertical="center"/>
    </xf>
    <xf numFmtId="185" fontId="91" fillId="10" borderId="27" xfId="0" applyNumberFormat="1" applyFont="1" applyFill="1" applyBorder="1">
      <alignment vertical="center"/>
    </xf>
    <xf numFmtId="185" fontId="91" fillId="10" borderId="60" xfId="0" applyNumberFormat="1" applyFont="1" applyFill="1" applyBorder="1">
      <alignment vertical="center"/>
    </xf>
    <xf numFmtId="185" fontId="91" fillId="10" borderId="26" xfId="0" applyNumberFormat="1" applyFont="1" applyFill="1" applyBorder="1">
      <alignment vertical="center"/>
    </xf>
    <xf numFmtId="185" fontId="91" fillId="10" borderId="65" xfId="0" applyNumberFormat="1" applyFont="1" applyFill="1" applyBorder="1">
      <alignment vertical="center"/>
    </xf>
    <xf numFmtId="185" fontId="82" fillId="10" borderId="58" xfId="0" applyNumberFormat="1" applyFont="1" applyFill="1" applyBorder="1">
      <alignment vertical="center"/>
    </xf>
    <xf numFmtId="185" fontId="82" fillId="10" borderId="27" xfId="0" applyNumberFormat="1" applyFont="1" applyFill="1" applyBorder="1">
      <alignment vertical="center"/>
    </xf>
    <xf numFmtId="185" fontId="82" fillId="10" borderId="60" xfId="0" applyNumberFormat="1" applyFont="1" applyFill="1" applyBorder="1">
      <alignment vertical="center"/>
    </xf>
    <xf numFmtId="41" fontId="91" fillId="10" borderId="35" xfId="0" applyNumberFormat="1" applyFont="1" applyFill="1" applyBorder="1">
      <alignment vertical="center"/>
    </xf>
    <xf numFmtId="185" fontId="91" fillId="10" borderId="1" xfId="0" applyNumberFormat="1" applyFont="1" applyFill="1" applyBorder="1">
      <alignment vertical="center"/>
    </xf>
    <xf numFmtId="41" fontId="91" fillId="10" borderId="47" xfId="0" applyNumberFormat="1" applyFont="1" applyFill="1" applyBorder="1">
      <alignment vertical="center"/>
    </xf>
    <xf numFmtId="41" fontId="91" fillId="10" borderId="56" xfId="0" applyNumberFormat="1" applyFont="1" applyFill="1" applyBorder="1">
      <alignment vertical="center"/>
    </xf>
    <xf numFmtId="41" fontId="91" fillId="10" borderId="5" xfId="0" applyNumberFormat="1" applyFont="1" applyFill="1" applyBorder="1">
      <alignment vertical="center"/>
    </xf>
    <xf numFmtId="41" fontId="91" fillId="10" borderId="42" xfId="0" applyNumberFormat="1" applyFont="1" applyFill="1" applyBorder="1">
      <alignment vertical="center"/>
    </xf>
    <xf numFmtId="41" fontId="114" fillId="10" borderId="12" xfId="0" applyNumberFormat="1" applyFont="1" applyFill="1" applyBorder="1">
      <alignment vertical="center"/>
    </xf>
    <xf numFmtId="41" fontId="114" fillId="10" borderId="28" xfId="0" applyNumberFormat="1" applyFont="1" applyFill="1" applyBorder="1">
      <alignment vertical="center"/>
    </xf>
    <xf numFmtId="41" fontId="114" fillId="10" borderId="33" xfId="0" applyNumberFormat="1" applyFont="1" applyFill="1" applyBorder="1">
      <alignment vertical="center"/>
    </xf>
    <xf numFmtId="41" fontId="114" fillId="10" borderId="62" xfId="0" applyNumberFormat="1" applyFont="1" applyFill="1" applyBorder="1">
      <alignment vertical="center"/>
    </xf>
    <xf numFmtId="41" fontId="114" fillId="10" borderId="48" xfId="0" applyNumberFormat="1" applyFont="1" applyFill="1" applyBorder="1">
      <alignment vertical="center"/>
    </xf>
    <xf numFmtId="41" fontId="91" fillId="10" borderId="61" xfId="0" applyNumberFormat="1" applyFont="1" applyFill="1" applyBorder="1">
      <alignment vertical="center"/>
    </xf>
    <xf numFmtId="41" fontId="91" fillId="10" borderId="34" xfId="0" applyNumberFormat="1" applyFont="1" applyFill="1" applyBorder="1">
      <alignment vertical="center"/>
    </xf>
    <xf numFmtId="41" fontId="91" fillId="10" borderId="72" xfId="0" applyNumberFormat="1" applyFont="1" applyFill="1" applyBorder="1">
      <alignment vertical="center"/>
    </xf>
    <xf numFmtId="41" fontId="91" fillId="10" borderId="63" xfId="0" applyNumberFormat="1" applyFont="1" applyFill="1" applyBorder="1">
      <alignment vertical="center"/>
    </xf>
    <xf numFmtId="41" fontId="91" fillId="10" borderId="64" xfId="0" applyNumberFormat="1" applyFont="1" applyFill="1" applyBorder="1" applyAlignment="1">
      <alignment horizontal="left" vertical="center" indent="1"/>
    </xf>
    <xf numFmtId="41" fontId="91" fillId="10" borderId="61" xfId="0" applyNumberFormat="1" applyFont="1" applyFill="1" applyBorder="1" applyAlignment="1">
      <alignment horizontal="left" vertical="center" indent="1"/>
    </xf>
    <xf numFmtId="41" fontId="91" fillId="10" borderId="34" xfId="0" applyNumberFormat="1" applyFont="1" applyFill="1" applyBorder="1" applyAlignment="1">
      <alignment horizontal="left" vertical="center" indent="1"/>
    </xf>
    <xf numFmtId="41" fontId="91" fillId="10" borderId="72" xfId="0" applyNumberFormat="1" applyFont="1" applyFill="1" applyBorder="1" applyAlignment="1">
      <alignment horizontal="left" vertical="center" indent="1"/>
    </xf>
    <xf numFmtId="41" fontId="91" fillId="10" borderId="63" xfId="0" applyNumberFormat="1" applyFont="1" applyFill="1" applyBorder="1" applyAlignment="1">
      <alignment horizontal="left" vertical="center" indent="1"/>
    </xf>
    <xf numFmtId="41" fontId="82" fillId="10" borderId="64" xfId="0" applyNumberFormat="1" applyFont="1" applyFill="1" applyBorder="1" applyAlignment="1">
      <alignment horizontal="left" vertical="center" indent="1"/>
    </xf>
    <xf numFmtId="41" fontId="82" fillId="10" borderId="61" xfId="0" applyNumberFormat="1" applyFont="1" applyFill="1" applyBorder="1" applyAlignment="1">
      <alignment horizontal="left" vertical="center" indent="1"/>
    </xf>
    <xf numFmtId="41" fontId="82" fillId="10" borderId="34" xfId="0" applyNumberFormat="1" applyFont="1" applyFill="1" applyBorder="1" applyAlignment="1">
      <alignment horizontal="left" vertical="center" indent="1"/>
    </xf>
    <xf numFmtId="41" fontId="82" fillId="10" borderId="72" xfId="0" applyNumberFormat="1" applyFont="1" applyFill="1" applyBorder="1" applyAlignment="1">
      <alignment horizontal="left" vertical="center" indent="1"/>
    </xf>
    <xf numFmtId="185" fontId="91" fillId="10" borderId="58" xfId="0" applyNumberFormat="1" applyFont="1" applyFill="1" applyBorder="1">
      <alignment vertical="center"/>
    </xf>
    <xf numFmtId="41" fontId="91" fillId="10" borderId="36" xfId="0" applyNumberFormat="1" applyFont="1" applyFill="1" applyBorder="1" applyAlignment="1">
      <alignment horizontal="center" vertical="center"/>
    </xf>
    <xf numFmtId="41" fontId="91" fillId="10" borderId="112" xfId="0" applyNumberFormat="1" applyFont="1" applyFill="1" applyBorder="1" applyAlignment="1">
      <alignment horizontal="center" vertical="center"/>
    </xf>
    <xf numFmtId="41" fontId="91" fillId="10" borderId="84" xfId="0" applyNumberFormat="1" applyFont="1" applyFill="1" applyBorder="1" applyAlignment="1">
      <alignment horizontal="center" vertical="center"/>
    </xf>
    <xf numFmtId="41" fontId="91" fillId="10" borderId="111" xfId="0" applyNumberFormat="1" applyFont="1" applyFill="1" applyBorder="1" applyAlignment="1">
      <alignment horizontal="center" vertical="center"/>
    </xf>
    <xf numFmtId="41" fontId="91" fillId="10" borderId="15" xfId="0" applyNumberFormat="1" applyFont="1" applyFill="1" applyBorder="1" applyAlignment="1">
      <alignment horizontal="center" vertical="center"/>
    </xf>
    <xf numFmtId="41" fontId="91" fillId="10" borderId="16" xfId="0" applyNumberFormat="1" applyFont="1" applyFill="1" applyBorder="1" applyAlignment="1">
      <alignment horizontal="center" vertical="center"/>
    </xf>
    <xf numFmtId="41" fontId="91" fillId="10" borderId="55" xfId="0" applyNumberFormat="1" applyFont="1" applyFill="1" applyBorder="1" applyAlignment="1">
      <alignment horizontal="center" vertical="center"/>
    </xf>
    <xf numFmtId="41" fontId="91" fillId="10" borderId="1" xfId="0" applyNumberFormat="1" applyFont="1" applyFill="1" applyBorder="1" applyAlignment="1">
      <alignment horizontal="center" vertical="center"/>
    </xf>
    <xf numFmtId="41" fontId="91" fillId="10" borderId="69" xfId="0" applyNumberFormat="1" applyFont="1" applyFill="1" applyBorder="1" applyAlignment="1">
      <alignment horizontal="center" vertical="center"/>
    </xf>
    <xf numFmtId="179" fontId="91" fillId="10" borderId="0" xfId="0" applyNumberFormat="1" applyFont="1" applyFill="1">
      <alignment vertical="center"/>
    </xf>
    <xf numFmtId="41" fontId="91" fillId="10" borderId="1" xfId="0" applyNumberFormat="1" applyFont="1" applyFill="1" applyBorder="1">
      <alignment vertical="center"/>
    </xf>
    <xf numFmtId="41" fontId="91" fillId="10" borderId="69" xfId="0" applyNumberFormat="1" applyFont="1" applyFill="1" applyBorder="1">
      <alignment vertical="center"/>
    </xf>
    <xf numFmtId="41" fontId="91" fillId="10" borderId="55" xfId="0" applyNumberFormat="1" applyFont="1" applyFill="1" applyBorder="1">
      <alignment vertical="center"/>
    </xf>
    <xf numFmtId="179" fontId="91" fillId="10" borderId="85" xfId="0" applyNumberFormat="1" applyFont="1" applyFill="1" applyBorder="1">
      <alignment vertical="center"/>
    </xf>
    <xf numFmtId="41" fontId="91" fillId="10" borderId="85" xfId="0" applyNumberFormat="1" applyFont="1" applyFill="1" applyBorder="1">
      <alignment vertical="center"/>
    </xf>
    <xf numFmtId="41" fontId="114" fillId="10" borderId="36" xfId="0" applyNumberFormat="1" applyFont="1" applyFill="1" applyBorder="1">
      <alignment vertical="center"/>
    </xf>
    <xf numFmtId="41" fontId="114" fillId="10" borderId="112" xfId="0" applyNumberFormat="1" applyFont="1" applyFill="1" applyBorder="1">
      <alignment vertical="center"/>
    </xf>
    <xf numFmtId="41" fontId="114" fillId="10" borderId="111" xfId="0" applyNumberFormat="1" applyFont="1" applyFill="1" applyBorder="1">
      <alignment vertical="center"/>
    </xf>
    <xf numFmtId="41" fontId="91" fillId="10" borderId="111" xfId="0" applyNumberFormat="1" applyFont="1" applyFill="1" applyBorder="1">
      <alignment vertical="center"/>
    </xf>
    <xf numFmtId="41" fontId="82" fillId="10" borderId="36" xfId="0" applyNumberFormat="1" applyFont="1" applyFill="1" applyBorder="1">
      <alignment vertical="center"/>
    </xf>
    <xf numFmtId="41" fontId="82" fillId="10" borderId="111" xfId="0" applyNumberFormat="1" applyFont="1" applyFill="1" applyBorder="1">
      <alignment vertical="center"/>
    </xf>
    <xf numFmtId="41" fontId="82" fillId="10" borderId="84" xfId="0" applyNumberFormat="1" applyFont="1" applyFill="1" applyBorder="1">
      <alignment vertical="center"/>
    </xf>
    <xf numFmtId="41" fontId="114" fillId="10" borderId="39" xfId="0" applyNumberFormat="1" applyFont="1" applyFill="1" applyBorder="1">
      <alignment vertical="center"/>
    </xf>
    <xf numFmtId="41" fontId="114" fillId="10" borderId="196" xfId="0" applyNumberFormat="1" applyFont="1" applyFill="1" applyBorder="1">
      <alignment vertical="center"/>
    </xf>
    <xf numFmtId="41" fontId="114" fillId="10" borderId="6" xfId="0" applyNumberFormat="1" applyFont="1" applyFill="1" applyBorder="1">
      <alignment vertical="center"/>
    </xf>
    <xf numFmtId="41" fontId="91" fillId="10" borderId="6" xfId="0" applyNumberFormat="1" applyFont="1" applyFill="1" applyBorder="1">
      <alignment vertical="center"/>
    </xf>
    <xf numFmtId="41" fontId="82" fillId="10" borderId="39" xfId="0" applyNumberFormat="1" applyFont="1" applyFill="1" applyBorder="1">
      <alignment vertical="center"/>
    </xf>
    <xf numFmtId="41" fontId="82" fillId="10" borderId="6" xfId="0" applyNumberFormat="1" applyFont="1" applyFill="1" applyBorder="1">
      <alignment vertical="center"/>
    </xf>
    <xf numFmtId="41" fontId="82" fillId="10" borderId="201" xfId="0" applyNumberFormat="1" applyFont="1" applyFill="1" applyBorder="1">
      <alignment vertical="center"/>
    </xf>
    <xf numFmtId="41" fontId="91" fillId="4" borderId="196" xfId="0" applyNumberFormat="1" applyFont="1" applyFill="1" applyBorder="1" applyAlignment="1">
      <alignment horizontal="center" vertical="center"/>
    </xf>
    <xf numFmtId="198" fontId="91" fillId="0" borderId="0" xfId="0" applyNumberFormat="1" applyFont="1">
      <alignment vertical="center"/>
    </xf>
    <xf numFmtId="0" fontId="91" fillId="3" borderId="1" xfId="0" applyFont="1" applyFill="1" applyBorder="1" applyAlignment="1">
      <alignment horizontal="center" vertical="center"/>
    </xf>
    <xf numFmtId="0" fontId="91" fillId="3" borderId="61" xfId="0" applyFont="1" applyFill="1" applyBorder="1" applyAlignment="1">
      <alignment horizontal="center" vertical="center"/>
    </xf>
    <xf numFmtId="0" fontId="91" fillId="3" borderId="1" xfId="0" applyFont="1" applyFill="1" applyBorder="1" applyAlignment="1">
      <alignment horizontal="left" vertical="center" wrapText="1"/>
    </xf>
    <xf numFmtId="0" fontId="157" fillId="2" borderId="0" xfId="0" applyFont="1" applyFill="1">
      <alignment vertical="center"/>
    </xf>
    <xf numFmtId="0" fontId="91" fillId="3" borderId="5" xfId="0" applyFont="1" applyFill="1" applyBorder="1">
      <alignment vertical="center"/>
    </xf>
    <xf numFmtId="0" fontId="169" fillId="3" borderId="0" xfId="0" quotePrefix="1" applyFont="1" applyFill="1">
      <alignment vertical="center"/>
    </xf>
    <xf numFmtId="0" fontId="169" fillId="3" borderId="0" xfId="0" quotePrefix="1" applyFont="1" applyFill="1" applyAlignment="1">
      <alignment horizontal="left" vertical="center"/>
    </xf>
    <xf numFmtId="0" fontId="170" fillId="3" borderId="0" xfId="6" applyFont="1" applyFill="1">
      <alignment vertical="center"/>
    </xf>
    <xf numFmtId="0" fontId="171" fillId="3" borderId="0" xfId="0" quotePrefix="1" applyFont="1" applyFill="1">
      <alignment vertical="center"/>
    </xf>
    <xf numFmtId="0" fontId="171" fillId="3" borderId="0" xfId="0" applyFont="1" applyFill="1">
      <alignment vertical="center"/>
    </xf>
    <xf numFmtId="0" fontId="171" fillId="3" borderId="0" xfId="0" applyFont="1" applyFill="1" applyAlignment="1">
      <alignment horizontal="left" vertical="center"/>
    </xf>
    <xf numFmtId="0" fontId="9" fillId="3" borderId="0" xfId="0" applyFont="1" applyFill="1">
      <alignment vertical="center"/>
    </xf>
    <xf numFmtId="0" fontId="172" fillId="3" borderId="0" xfId="6" applyFont="1" applyFill="1">
      <alignment vertical="center"/>
    </xf>
    <xf numFmtId="190" fontId="119" fillId="0" borderId="0" xfId="0" applyNumberFormat="1" applyFont="1">
      <alignment vertical="center"/>
    </xf>
    <xf numFmtId="192" fontId="82" fillId="4" borderId="107" xfId="0" applyNumberFormat="1" applyFont="1" applyFill="1" applyBorder="1" applyAlignment="1">
      <alignment horizontal="center" vertical="center"/>
    </xf>
    <xf numFmtId="0" fontId="91" fillId="4" borderId="80" xfId="0" applyFont="1" applyFill="1" applyBorder="1" applyAlignment="1">
      <alignment horizontal="center" vertical="center"/>
    </xf>
    <xf numFmtId="0" fontId="91" fillId="4" borderId="21" xfId="0" applyFont="1" applyFill="1" applyBorder="1" applyAlignment="1">
      <alignment horizontal="center" vertical="center"/>
    </xf>
    <xf numFmtId="180" fontId="82" fillId="0" borderId="21" xfId="0" applyNumberFormat="1" applyFont="1" applyBorder="1">
      <alignment vertical="center"/>
    </xf>
    <xf numFmtId="41" fontId="82" fillId="4" borderId="56" xfId="0" applyNumberFormat="1" applyFont="1" applyFill="1" applyBorder="1">
      <alignment vertical="center"/>
    </xf>
    <xf numFmtId="41" fontId="82" fillId="3" borderId="38" xfId="1" applyFont="1" applyFill="1" applyBorder="1" applyAlignment="1">
      <alignment vertical="center"/>
    </xf>
    <xf numFmtId="41" fontId="82" fillId="3" borderId="110" xfId="1" applyFont="1" applyFill="1" applyBorder="1" applyAlignment="1">
      <alignment vertical="center"/>
    </xf>
    <xf numFmtId="41" fontId="82" fillId="4" borderId="110" xfId="1" applyFont="1" applyFill="1" applyBorder="1" applyAlignment="1">
      <alignment vertical="center"/>
    </xf>
    <xf numFmtId="0" fontId="127" fillId="0" borderId="0" xfId="0" applyFont="1">
      <alignment vertical="center"/>
    </xf>
    <xf numFmtId="0" fontId="125" fillId="0" borderId="0" xfId="0" applyFont="1">
      <alignment vertical="center"/>
    </xf>
    <xf numFmtId="41" fontId="9" fillId="3" borderId="55" xfId="0" applyNumberFormat="1" applyFont="1" applyFill="1" applyBorder="1">
      <alignment vertical="center"/>
    </xf>
    <xf numFmtId="41" fontId="9" fillId="3" borderId="1" xfId="0" applyNumberFormat="1" applyFont="1" applyFill="1" applyBorder="1">
      <alignment vertical="center"/>
    </xf>
    <xf numFmtId="41" fontId="9" fillId="3" borderId="69" xfId="0" applyNumberFormat="1" applyFont="1" applyFill="1" applyBorder="1">
      <alignment vertical="center"/>
    </xf>
    <xf numFmtId="41" fontId="9" fillId="3" borderId="8" xfId="0" applyNumberFormat="1" applyFont="1" applyFill="1" applyBorder="1">
      <alignment vertical="center"/>
    </xf>
    <xf numFmtId="41" fontId="9" fillId="3" borderId="88" xfId="0" applyNumberFormat="1" applyFont="1" applyFill="1" applyBorder="1">
      <alignment vertical="center"/>
    </xf>
    <xf numFmtId="41" fontId="9" fillId="3" borderId="9" xfId="0" applyNumberFormat="1" applyFont="1" applyFill="1" applyBorder="1">
      <alignment vertical="center"/>
    </xf>
    <xf numFmtId="41" fontId="9" fillId="3" borderId="89" xfId="0" applyNumberFormat="1" applyFont="1" applyFill="1" applyBorder="1">
      <alignment vertical="center"/>
    </xf>
    <xf numFmtId="41" fontId="9" fillId="3" borderId="118" xfId="0" applyNumberFormat="1" applyFont="1" applyFill="1" applyBorder="1">
      <alignment vertical="center"/>
    </xf>
    <xf numFmtId="190" fontId="91" fillId="4" borderId="54" xfId="0" applyNumberFormat="1" applyFont="1" applyFill="1" applyBorder="1" applyAlignment="1">
      <alignment horizontal="center" vertical="center"/>
    </xf>
    <xf numFmtId="190" fontId="91" fillId="4" borderId="89" xfId="0" applyNumberFormat="1" applyFont="1" applyFill="1" applyBorder="1" applyAlignment="1">
      <alignment horizontal="center" vertical="center"/>
    </xf>
    <xf numFmtId="41" fontId="9" fillId="3" borderId="86" xfId="0" applyNumberFormat="1" applyFont="1" applyFill="1" applyBorder="1">
      <alignment vertical="center"/>
    </xf>
    <xf numFmtId="41" fontId="9" fillId="3" borderId="11" xfId="0" applyNumberFormat="1" applyFont="1" applyFill="1" applyBorder="1">
      <alignment vertical="center"/>
    </xf>
    <xf numFmtId="41" fontId="9" fillId="3" borderId="54" xfId="0" applyNumberFormat="1" applyFont="1" applyFill="1" applyBorder="1">
      <alignment vertical="center"/>
    </xf>
    <xf numFmtId="41" fontId="9" fillId="3" borderId="119" xfId="0" applyNumberFormat="1" applyFont="1" applyFill="1" applyBorder="1">
      <alignment vertical="center"/>
    </xf>
    <xf numFmtId="41" fontId="91" fillId="4" borderId="61" xfId="0" applyNumberFormat="1" applyFont="1" applyFill="1" applyBorder="1" applyAlignment="1">
      <alignment vertical="top"/>
    </xf>
    <xf numFmtId="190" fontId="91" fillId="4" borderId="34" xfId="0" applyNumberFormat="1" applyFont="1" applyFill="1" applyBorder="1" applyAlignment="1">
      <alignment horizontal="center" vertical="center"/>
    </xf>
    <xf numFmtId="190" fontId="91" fillId="4" borderId="64" xfId="0" applyNumberFormat="1" applyFont="1" applyFill="1" applyBorder="1" applyAlignment="1">
      <alignment horizontal="center" vertical="center"/>
    </xf>
    <xf numFmtId="190" fontId="91" fillId="4" borderId="61" xfId="0" applyNumberFormat="1" applyFont="1" applyFill="1" applyBorder="1" applyAlignment="1">
      <alignment horizontal="center" vertical="center"/>
    </xf>
    <xf numFmtId="190" fontId="91" fillId="4" borderId="72" xfId="0" applyNumberFormat="1" applyFont="1" applyFill="1" applyBorder="1" applyAlignment="1">
      <alignment horizontal="center" vertical="center"/>
    </xf>
    <xf numFmtId="190" fontId="91" fillId="4" borderId="85" xfId="0" applyNumberFormat="1" applyFont="1" applyFill="1" applyBorder="1" applyAlignment="1">
      <alignment horizontal="center" vertical="center"/>
    </xf>
    <xf numFmtId="41" fontId="9" fillId="3" borderId="64" xfId="0" applyNumberFormat="1" applyFont="1" applyFill="1" applyBorder="1">
      <alignment vertical="center"/>
    </xf>
    <xf numFmtId="41" fontId="9" fillId="3" borderId="203" xfId="0" applyNumberFormat="1" applyFont="1" applyFill="1" applyBorder="1">
      <alignment vertical="center"/>
    </xf>
    <xf numFmtId="41" fontId="9" fillId="3" borderId="202" xfId="0" applyNumberFormat="1" applyFont="1" applyFill="1" applyBorder="1">
      <alignment vertical="center"/>
    </xf>
    <xf numFmtId="41" fontId="9" fillId="3" borderId="204" xfId="0" applyNumberFormat="1" applyFont="1" applyFill="1" applyBorder="1">
      <alignment vertical="center"/>
    </xf>
    <xf numFmtId="41" fontId="91" fillId="4" borderId="1" xfId="0" applyNumberFormat="1" applyFont="1" applyFill="1" applyBorder="1" applyAlignment="1">
      <alignment vertical="top"/>
    </xf>
    <xf numFmtId="190" fontId="91" fillId="4" borderId="55" xfId="0" applyNumberFormat="1" applyFont="1" applyFill="1" applyBorder="1" applyAlignment="1">
      <alignment horizontal="center" vertical="center"/>
    </xf>
    <xf numFmtId="190" fontId="91" fillId="4" borderId="1" xfId="0" applyNumberFormat="1" applyFont="1" applyFill="1" applyBorder="1" applyAlignment="1">
      <alignment horizontal="center" vertical="center"/>
    </xf>
    <xf numFmtId="190" fontId="91" fillId="4" borderId="10" xfId="0" applyNumberFormat="1" applyFont="1" applyFill="1" applyBorder="1" applyAlignment="1">
      <alignment horizontal="center" vertical="center"/>
    </xf>
    <xf numFmtId="190" fontId="91" fillId="2" borderId="55" xfId="0" applyNumberFormat="1" applyFont="1" applyFill="1" applyBorder="1" applyAlignment="1">
      <alignment horizontal="center" vertical="center"/>
    </xf>
    <xf numFmtId="190" fontId="91" fillId="2" borderId="1" xfId="0" applyNumberFormat="1" applyFont="1" applyFill="1" applyBorder="1" applyAlignment="1">
      <alignment horizontal="center" vertical="center"/>
    </xf>
    <xf numFmtId="190" fontId="91" fillId="2" borderId="10" xfId="0" applyNumberFormat="1" applyFont="1" applyFill="1" applyBorder="1" applyAlignment="1">
      <alignment horizontal="center" vertical="center"/>
    </xf>
    <xf numFmtId="190" fontId="91" fillId="2" borderId="0" xfId="0" applyNumberFormat="1" applyFont="1" applyFill="1" applyAlignment="1">
      <alignment horizontal="center" vertical="center"/>
    </xf>
    <xf numFmtId="41" fontId="91" fillId="10" borderId="8" xfId="0" applyNumberFormat="1" applyFont="1" applyFill="1" applyBorder="1">
      <alignment vertical="center"/>
    </xf>
    <xf numFmtId="190" fontId="91" fillId="4" borderId="86" xfId="0" applyNumberFormat="1" applyFont="1" applyFill="1" applyBorder="1" applyAlignment="1">
      <alignment horizontal="center" vertical="center"/>
    </xf>
    <xf numFmtId="190" fontId="91" fillId="4" borderId="11" xfId="0" applyNumberFormat="1" applyFont="1" applyFill="1" applyBorder="1" applyAlignment="1">
      <alignment horizontal="center" vertical="center"/>
    </xf>
    <xf numFmtId="190" fontId="91" fillId="4" borderId="87" xfId="0" applyNumberFormat="1" applyFont="1" applyFill="1" applyBorder="1" applyAlignment="1">
      <alignment horizontal="center" vertical="center"/>
    </xf>
    <xf numFmtId="190" fontId="91" fillId="4" borderId="115" xfId="0" applyNumberFormat="1" applyFont="1" applyFill="1" applyBorder="1" applyAlignment="1">
      <alignment horizontal="center" vertical="center"/>
    </xf>
    <xf numFmtId="41" fontId="91" fillId="10" borderId="86" xfId="0" applyNumberFormat="1" applyFont="1" applyFill="1" applyBorder="1">
      <alignment vertical="center"/>
    </xf>
    <xf numFmtId="41" fontId="91" fillId="10" borderId="11" xfId="0" applyNumberFormat="1" applyFont="1" applyFill="1" applyBorder="1">
      <alignment vertical="center"/>
    </xf>
    <xf numFmtId="41" fontId="91" fillId="10" borderId="54" xfId="0" applyNumberFormat="1" applyFont="1" applyFill="1" applyBorder="1">
      <alignment vertical="center"/>
    </xf>
    <xf numFmtId="41" fontId="91" fillId="10" borderId="11" xfId="0" applyNumberFormat="1" applyFont="1" applyFill="1" applyBorder="1" applyAlignment="1">
      <alignment horizontal="center" vertical="center"/>
    </xf>
    <xf numFmtId="41" fontId="91" fillId="10" borderId="119" xfId="0" applyNumberFormat="1" applyFont="1" applyFill="1" applyBorder="1">
      <alignment vertical="center"/>
    </xf>
    <xf numFmtId="190" fontId="91" fillId="4" borderId="88" xfId="0" applyNumberFormat="1" applyFont="1" applyFill="1" applyBorder="1" applyAlignment="1">
      <alignment horizontal="center" vertical="center"/>
    </xf>
    <xf numFmtId="190" fontId="91" fillId="4" borderId="9" xfId="0" applyNumberFormat="1" applyFont="1" applyFill="1" applyBorder="1" applyAlignment="1">
      <alignment horizontal="center" vertical="center"/>
    </xf>
    <xf numFmtId="190" fontId="91" fillId="4" borderId="90" xfId="0" applyNumberFormat="1" applyFont="1" applyFill="1" applyBorder="1" applyAlignment="1">
      <alignment horizontal="center" vertical="center"/>
    </xf>
    <xf numFmtId="190" fontId="91" fillId="4" borderId="114" xfId="0" applyNumberFormat="1" applyFont="1" applyFill="1" applyBorder="1" applyAlignment="1">
      <alignment horizontal="center" vertical="center"/>
    </xf>
    <xf numFmtId="41" fontId="91" fillId="10" borderId="9" xfId="0" applyNumberFormat="1" applyFont="1" applyFill="1" applyBorder="1">
      <alignment vertical="center"/>
    </xf>
    <xf numFmtId="190" fontId="91" fillId="10" borderId="88" xfId="0" applyNumberFormat="1" applyFont="1" applyFill="1" applyBorder="1" applyAlignment="1">
      <alignment horizontal="center" vertical="center"/>
    </xf>
    <xf numFmtId="190" fontId="91" fillId="10" borderId="9" xfId="0" applyNumberFormat="1" applyFont="1" applyFill="1" applyBorder="1" applyAlignment="1">
      <alignment horizontal="center" vertical="center"/>
    </xf>
    <xf numFmtId="190" fontId="91" fillId="10" borderId="90" xfId="0" applyNumberFormat="1" applyFont="1" applyFill="1" applyBorder="1" applyAlignment="1">
      <alignment horizontal="center" vertical="center"/>
    </xf>
    <xf numFmtId="190" fontId="91" fillId="10" borderId="114" xfId="0" applyNumberFormat="1" applyFont="1" applyFill="1" applyBorder="1" applyAlignment="1">
      <alignment horizontal="center" vertical="center"/>
    </xf>
    <xf numFmtId="41" fontId="91" fillId="10" borderId="88" xfId="0" applyNumberFormat="1" applyFont="1" applyFill="1" applyBorder="1">
      <alignment vertical="center"/>
    </xf>
    <xf numFmtId="41" fontId="91" fillId="10" borderId="89" xfId="0" applyNumberFormat="1" applyFont="1" applyFill="1" applyBorder="1">
      <alignment vertical="center"/>
    </xf>
    <xf numFmtId="41" fontId="91" fillId="10" borderId="88" xfId="0" applyNumberFormat="1" applyFont="1" applyFill="1" applyBorder="1" applyAlignment="1">
      <alignment horizontal="center" vertical="center"/>
    </xf>
    <xf numFmtId="41" fontId="91" fillId="10" borderId="9" xfId="0" applyNumberFormat="1" applyFont="1" applyFill="1" applyBorder="1" applyAlignment="1">
      <alignment horizontal="center" vertical="center"/>
    </xf>
    <xf numFmtId="41" fontId="91" fillId="10" borderId="118" xfId="0" applyNumberFormat="1" applyFont="1" applyFill="1" applyBorder="1">
      <alignment vertical="center"/>
    </xf>
    <xf numFmtId="190" fontId="91" fillId="10" borderId="55" xfId="0" applyNumberFormat="1" applyFont="1" applyFill="1" applyBorder="1" applyAlignment="1">
      <alignment horizontal="center" vertical="center"/>
    </xf>
    <xf numFmtId="190" fontId="91" fillId="10" borderId="1" xfId="0" applyNumberFormat="1" applyFont="1" applyFill="1" applyBorder="1" applyAlignment="1">
      <alignment horizontal="center" vertical="center"/>
    </xf>
    <xf numFmtId="190" fontId="91" fillId="10" borderId="10" xfId="0" applyNumberFormat="1" applyFont="1" applyFill="1" applyBorder="1" applyAlignment="1">
      <alignment horizontal="center" vertical="center"/>
    </xf>
    <xf numFmtId="190" fontId="91" fillId="10" borderId="0" xfId="0" applyNumberFormat="1" applyFont="1" applyFill="1" applyAlignment="1">
      <alignment horizontal="center" vertical="center"/>
    </xf>
    <xf numFmtId="190" fontId="91" fillId="10" borderId="86" xfId="0" applyNumberFormat="1" applyFont="1" applyFill="1" applyBorder="1" applyAlignment="1">
      <alignment horizontal="center" vertical="center"/>
    </xf>
    <xf numFmtId="190" fontId="91" fillId="10" borderId="11" xfId="0" applyNumberFormat="1" applyFont="1" applyFill="1" applyBorder="1" applyAlignment="1">
      <alignment horizontal="center" vertical="center"/>
    </xf>
    <xf numFmtId="190" fontId="91" fillId="10" borderId="87" xfId="0" applyNumberFormat="1" applyFont="1" applyFill="1" applyBorder="1" applyAlignment="1">
      <alignment horizontal="center" vertical="center"/>
    </xf>
    <xf numFmtId="190" fontId="91" fillId="10" borderId="115" xfId="0" applyNumberFormat="1" applyFont="1" applyFill="1" applyBorder="1" applyAlignment="1">
      <alignment horizontal="center" vertical="center"/>
    </xf>
    <xf numFmtId="190" fontId="91" fillId="4" borderId="47" xfId="0" applyNumberFormat="1" applyFont="1" applyFill="1" applyBorder="1" applyAlignment="1">
      <alignment horizontal="center" vertical="center"/>
    </xf>
    <xf numFmtId="41" fontId="91" fillId="10" borderId="86" xfId="0" applyNumberFormat="1" applyFont="1" applyFill="1" applyBorder="1" applyAlignment="1">
      <alignment horizontal="center" vertical="center"/>
    </xf>
    <xf numFmtId="41" fontId="120" fillId="0" borderId="0" xfId="0" applyNumberFormat="1" applyFont="1">
      <alignment vertical="center"/>
    </xf>
    <xf numFmtId="190" fontId="106" fillId="4" borderId="19" xfId="0" applyNumberFormat="1" applyFont="1" applyFill="1" applyBorder="1" applyAlignment="1">
      <alignment horizontal="center" vertical="center"/>
    </xf>
    <xf numFmtId="0" fontId="82" fillId="4" borderId="19" xfId="0" applyFont="1" applyFill="1" applyBorder="1" applyAlignment="1">
      <alignment horizontal="center" vertical="center"/>
    </xf>
    <xf numFmtId="185" fontId="91" fillId="3" borderId="55" xfId="5" applyNumberFormat="1" applyFont="1" applyFill="1" applyBorder="1">
      <alignment vertical="center"/>
    </xf>
    <xf numFmtId="185" fontId="91" fillId="3" borderId="1" xfId="5" applyNumberFormat="1" applyFont="1" applyFill="1" applyBorder="1">
      <alignment vertical="center"/>
    </xf>
    <xf numFmtId="185" fontId="91" fillId="3" borderId="69" xfId="5" applyNumberFormat="1" applyFont="1" applyFill="1" applyBorder="1">
      <alignment vertical="center"/>
    </xf>
    <xf numFmtId="41" fontId="126" fillId="4" borderId="17" xfId="1" applyFont="1" applyFill="1" applyBorder="1" applyAlignment="1">
      <alignment vertical="center"/>
    </xf>
    <xf numFmtId="41" fontId="126" fillId="4" borderId="18" xfId="1" applyFont="1" applyFill="1" applyBorder="1" applyAlignment="1">
      <alignment vertical="center"/>
    </xf>
    <xf numFmtId="41" fontId="126" fillId="4" borderId="19" xfId="1" applyFont="1" applyFill="1" applyBorder="1" applyAlignment="1">
      <alignment vertical="center"/>
    </xf>
    <xf numFmtId="41" fontId="126" fillId="4" borderId="29" xfId="1" applyFont="1" applyFill="1" applyBorder="1" applyAlignment="1">
      <alignment vertical="center"/>
    </xf>
    <xf numFmtId="41" fontId="114" fillId="4" borderId="50" xfId="0" applyNumberFormat="1" applyFont="1" applyFill="1" applyBorder="1" applyAlignment="1">
      <alignment horizontal="left" vertical="center"/>
    </xf>
    <xf numFmtId="41" fontId="114" fillId="4" borderId="0" xfId="0" applyNumberFormat="1" applyFont="1" applyFill="1" applyAlignment="1">
      <alignment horizontal="left" vertical="center"/>
    </xf>
    <xf numFmtId="41" fontId="82" fillId="3" borderId="126" xfId="0" applyNumberFormat="1" applyFont="1" applyFill="1" applyBorder="1">
      <alignment vertical="center"/>
    </xf>
    <xf numFmtId="41" fontId="82" fillId="30" borderId="79" xfId="0" applyNumberFormat="1" applyFont="1" applyFill="1" applyBorder="1">
      <alignment vertical="center"/>
    </xf>
    <xf numFmtId="41" fontId="82" fillId="30" borderId="126" xfId="0" applyNumberFormat="1" applyFont="1" applyFill="1" applyBorder="1">
      <alignment vertical="center"/>
    </xf>
    <xf numFmtId="41" fontId="82" fillId="30" borderId="7" xfId="0" applyNumberFormat="1" applyFont="1" applyFill="1" applyBorder="1">
      <alignment vertical="center"/>
    </xf>
    <xf numFmtId="41" fontId="82" fillId="30" borderId="3" xfId="0" applyNumberFormat="1" applyFont="1" applyFill="1" applyBorder="1">
      <alignment vertical="center"/>
    </xf>
    <xf numFmtId="41" fontId="82" fillId="30" borderId="117" xfId="0" applyNumberFormat="1" applyFont="1" applyFill="1" applyBorder="1">
      <alignment vertical="center"/>
    </xf>
    <xf numFmtId="41" fontId="82" fillId="30" borderId="115" xfId="0" applyNumberFormat="1" applyFont="1" applyFill="1" applyBorder="1">
      <alignment vertical="center"/>
    </xf>
    <xf numFmtId="41" fontId="82" fillId="30" borderId="119" xfId="0" applyNumberFormat="1" applyFont="1" applyFill="1" applyBorder="1">
      <alignment vertical="center"/>
    </xf>
    <xf numFmtId="41" fontId="82" fillId="30" borderId="11" xfId="0" applyNumberFormat="1" applyFont="1" applyFill="1" applyBorder="1">
      <alignment vertical="center"/>
    </xf>
    <xf numFmtId="0" fontId="84" fillId="25" borderId="3" xfId="0" applyFont="1" applyFill="1" applyBorder="1" applyAlignment="1">
      <alignment horizontal="left" vertical="center"/>
    </xf>
    <xf numFmtId="0" fontId="114" fillId="25" borderId="7" xfId="0" applyFont="1" applyFill="1" applyBorder="1" applyAlignment="1">
      <alignment horizontal="left" vertical="center" wrapText="1"/>
    </xf>
    <xf numFmtId="192" fontId="84" fillId="25" borderId="3" xfId="0" applyNumberFormat="1" applyFont="1" applyFill="1" applyBorder="1" applyAlignment="1">
      <alignment horizontal="center" vertical="center"/>
    </xf>
    <xf numFmtId="0" fontId="84" fillId="25" borderId="117" xfId="0" applyFont="1" applyFill="1" applyBorder="1" applyAlignment="1">
      <alignment horizontal="center" vertical="center"/>
    </xf>
    <xf numFmtId="192" fontId="114" fillId="25" borderId="3" xfId="0" applyNumberFormat="1" applyFont="1" applyFill="1" applyBorder="1">
      <alignment vertical="center"/>
    </xf>
    <xf numFmtId="0" fontId="114" fillId="25" borderId="117" xfId="0" applyFont="1" applyFill="1" applyBorder="1" applyAlignment="1">
      <alignment horizontal="center" vertical="center"/>
    </xf>
    <xf numFmtId="41" fontId="82" fillId="30" borderId="120" xfId="0" applyNumberFormat="1" applyFont="1" applyFill="1" applyBorder="1">
      <alignment vertical="center"/>
    </xf>
    <xf numFmtId="41" fontId="82" fillId="30" borderId="23" xfId="0" applyNumberFormat="1" applyFont="1" applyFill="1" applyBorder="1">
      <alignment vertical="center"/>
    </xf>
    <xf numFmtId="41" fontId="82" fillId="30" borderId="121" xfId="0" applyNumberFormat="1" applyFont="1" applyFill="1" applyBorder="1">
      <alignment vertical="center"/>
    </xf>
    <xf numFmtId="41" fontId="82" fillId="24" borderId="126" xfId="0" applyNumberFormat="1" applyFont="1" applyFill="1" applyBorder="1">
      <alignment vertical="center"/>
    </xf>
    <xf numFmtId="0" fontId="84" fillId="25" borderId="3" xfId="0" applyFont="1" applyFill="1" applyBorder="1" applyAlignment="1">
      <alignment horizontal="center" vertical="center"/>
    </xf>
    <xf numFmtId="41" fontId="82" fillId="30" borderId="22" xfId="0" applyNumberFormat="1" applyFont="1" applyFill="1" applyBorder="1">
      <alignment vertical="center"/>
    </xf>
    <xf numFmtId="0" fontId="84" fillId="25" borderId="4" xfId="0" applyFont="1" applyFill="1" applyBorder="1" applyAlignment="1">
      <alignment horizontal="center" vertical="center"/>
    </xf>
    <xf numFmtId="0" fontId="84" fillId="25" borderId="11" xfId="0" applyFont="1" applyFill="1" applyBorder="1" applyAlignment="1">
      <alignment horizontal="center" vertical="center"/>
    </xf>
    <xf numFmtId="41" fontId="82" fillId="30" borderId="123" xfId="0" applyNumberFormat="1" applyFont="1" applyFill="1" applyBorder="1">
      <alignment vertical="center"/>
    </xf>
    <xf numFmtId="41" fontId="82" fillId="30" borderId="2" xfId="0" applyNumberFormat="1" applyFont="1" applyFill="1" applyBorder="1">
      <alignment vertical="center"/>
    </xf>
    <xf numFmtId="41" fontId="82" fillId="22" borderId="42" xfId="0" applyNumberFormat="1" applyFont="1" applyFill="1" applyBorder="1">
      <alignment vertical="center"/>
    </xf>
    <xf numFmtId="41" fontId="82" fillId="22" borderId="7" xfId="0" applyNumberFormat="1" applyFont="1" applyFill="1" applyBorder="1">
      <alignment vertical="center"/>
    </xf>
    <xf numFmtId="41" fontId="82" fillId="22" borderId="121" xfId="0" applyNumberFormat="1" applyFont="1" applyFill="1" applyBorder="1">
      <alignment vertical="center"/>
    </xf>
    <xf numFmtId="41" fontId="82" fillId="22" borderId="3" xfId="0" applyNumberFormat="1" applyFont="1" applyFill="1" applyBorder="1">
      <alignment vertical="center"/>
    </xf>
    <xf numFmtId="41" fontId="82" fillId="22" borderId="126" xfId="0" applyNumberFormat="1" applyFont="1" applyFill="1" applyBorder="1">
      <alignment vertical="center"/>
    </xf>
    <xf numFmtId="41" fontId="82" fillId="24" borderId="131" xfId="0" applyNumberFormat="1" applyFont="1" applyFill="1" applyBorder="1">
      <alignment vertical="center"/>
    </xf>
    <xf numFmtId="41" fontId="82" fillId="22" borderId="4" xfId="0" applyNumberFormat="1" applyFont="1" applyFill="1" applyBorder="1">
      <alignment vertical="center"/>
    </xf>
    <xf numFmtId="41" fontId="82" fillId="22" borderId="193" xfId="0" applyNumberFormat="1" applyFont="1" applyFill="1" applyBorder="1">
      <alignment vertical="center"/>
    </xf>
    <xf numFmtId="41" fontId="82" fillId="22" borderId="214" xfId="0" applyNumberFormat="1" applyFont="1" applyFill="1" applyBorder="1">
      <alignment vertical="center"/>
    </xf>
    <xf numFmtId="0" fontId="114" fillId="31" borderId="3" xfId="0" applyFont="1" applyFill="1" applyBorder="1" applyAlignment="1">
      <alignment horizontal="left" vertical="center" wrapText="1"/>
    </xf>
    <xf numFmtId="192" fontId="114" fillId="4" borderId="3" xfId="0" applyNumberFormat="1" applyFont="1" applyFill="1" applyBorder="1">
      <alignment vertical="center"/>
    </xf>
    <xf numFmtId="0" fontId="114" fillId="4" borderId="117" xfId="0" applyFont="1" applyFill="1" applyBorder="1" applyAlignment="1">
      <alignment horizontal="center" vertical="center"/>
    </xf>
    <xf numFmtId="0" fontId="114" fillId="31" borderId="11" xfId="0" applyFont="1" applyFill="1" applyBorder="1" applyAlignment="1">
      <alignment horizontal="left" vertical="center" wrapText="1"/>
    </xf>
    <xf numFmtId="192" fontId="114" fillId="4" borderId="11" xfId="0" applyNumberFormat="1" applyFont="1" applyFill="1" applyBorder="1">
      <alignment vertical="center"/>
    </xf>
    <xf numFmtId="0" fontId="114" fillId="4" borderId="120" xfId="0" applyFont="1" applyFill="1" applyBorder="1" applyAlignment="1">
      <alignment horizontal="center" vertical="center"/>
    </xf>
    <xf numFmtId="0" fontId="114" fillId="31" borderId="7" xfId="0" applyFont="1" applyFill="1" applyBorder="1" applyAlignment="1">
      <alignment horizontal="left" vertical="center" wrapText="1"/>
    </xf>
    <xf numFmtId="0" fontId="84" fillId="25" borderId="2" xfId="0" applyFont="1" applyFill="1" applyBorder="1" applyAlignment="1">
      <alignment horizontal="center" vertical="center"/>
    </xf>
    <xf numFmtId="0" fontId="114" fillId="31" borderId="2" xfId="0" applyFont="1" applyFill="1" applyBorder="1" applyAlignment="1">
      <alignment horizontal="left" vertical="center" wrapText="1"/>
    </xf>
    <xf numFmtId="0" fontId="114" fillId="31" borderId="4" xfId="0" applyFont="1" applyFill="1" applyBorder="1" applyAlignment="1">
      <alignment horizontal="left" vertical="center" wrapText="1"/>
    </xf>
    <xf numFmtId="192" fontId="114" fillId="4" borderId="2" xfId="0" applyNumberFormat="1" applyFont="1" applyFill="1" applyBorder="1">
      <alignment vertical="center"/>
    </xf>
    <xf numFmtId="0" fontId="114" fillId="4" borderId="215" xfId="0" applyFont="1" applyFill="1" applyBorder="1" applyAlignment="1">
      <alignment horizontal="center" vertical="center"/>
    </xf>
    <xf numFmtId="41" fontId="82" fillId="25" borderId="76" xfId="1" applyFont="1" applyFill="1" applyBorder="1">
      <alignment vertical="center"/>
    </xf>
    <xf numFmtId="41" fontId="82" fillId="25" borderId="77" xfId="1" applyFont="1" applyFill="1" applyBorder="1">
      <alignment vertical="center"/>
    </xf>
    <xf numFmtId="41" fontId="82" fillId="25" borderId="43" xfId="1" applyFont="1" applyFill="1" applyBorder="1">
      <alignment vertical="center"/>
    </xf>
    <xf numFmtId="41" fontId="82" fillId="25" borderId="78" xfId="1" applyFont="1" applyFill="1" applyBorder="1">
      <alignment vertical="center"/>
    </xf>
    <xf numFmtId="41" fontId="82" fillId="25" borderId="40" xfId="0" applyNumberFormat="1" applyFont="1" applyFill="1" applyBorder="1">
      <alignment vertical="center"/>
    </xf>
    <xf numFmtId="41" fontId="82" fillId="25" borderId="77" xfId="0" applyNumberFormat="1" applyFont="1" applyFill="1" applyBorder="1">
      <alignment vertical="center"/>
    </xf>
    <xf numFmtId="41" fontId="82" fillId="25" borderId="43" xfId="0" applyNumberFormat="1" applyFont="1" applyFill="1" applyBorder="1">
      <alignment vertical="center"/>
    </xf>
    <xf numFmtId="41" fontId="82" fillId="25" borderId="70" xfId="0" applyNumberFormat="1" applyFont="1" applyFill="1" applyBorder="1">
      <alignment vertical="center"/>
    </xf>
    <xf numFmtId="41" fontId="83" fillId="25" borderId="70" xfId="0" applyNumberFormat="1" applyFont="1" applyFill="1" applyBorder="1" applyAlignment="1">
      <alignment horizontal="center" vertical="center"/>
    </xf>
    <xf numFmtId="192" fontId="114" fillId="4" borderId="4" xfId="0" applyNumberFormat="1" applyFont="1" applyFill="1" applyBorder="1">
      <alignment vertical="center"/>
    </xf>
    <xf numFmtId="0" fontId="114" fillId="4" borderId="214" xfId="0" applyFont="1" applyFill="1" applyBorder="1" applyAlignment="1">
      <alignment horizontal="center" vertical="center"/>
    </xf>
    <xf numFmtId="0" fontId="91" fillId="4" borderId="45" xfId="0" applyFont="1" applyFill="1" applyBorder="1">
      <alignment vertical="center"/>
    </xf>
    <xf numFmtId="0" fontId="136" fillId="4" borderId="0" xfId="0" applyFont="1" applyFill="1">
      <alignment vertical="center"/>
    </xf>
    <xf numFmtId="41" fontId="82" fillId="25" borderId="74" xfId="0" applyNumberFormat="1" applyFont="1" applyFill="1" applyBorder="1">
      <alignment vertical="center"/>
    </xf>
    <xf numFmtId="192" fontId="84" fillId="25" borderId="130" xfId="0" applyNumberFormat="1" applyFont="1" applyFill="1" applyBorder="1" applyAlignment="1">
      <alignment horizontal="center" vertical="center"/>
    </xf>
    <xf numFmtId="192" fontId="114" fillId="25" borderId="130" xfId="0" applyNumberFormat="1" applyFont="1" applyFill="1" applyBorder="1" applyAlignment="1">
      <alignment horizontal="center" vertical="center"/>
    </xf>
    <xf numFmtId="41" fontId="83" fillId="25" borderId="75" xfId="0" applyNumberFormat="1" applyFont="1" applyFill="1" applyBorder="1" applyAlignment="1">
      <alignment horizontal="center" vertical="center"/>
    </xf>
    <xf numFmtId="192" fontId="114" fillId="4" borderId="94" xfId="0" applyNumberFormat="1" applyFont="1" applyFill="1" applyBorder="1" applyAlignment="1">
      <alignment horizontal="center" vertical="center"/>
    </xf>
    <xf numFmtId="192" fontId="114" fillId="4" borderId="130" xfId="0" applyNumberFormat="1" applyFont="1" applyFill="1" applyBorder="1" applyAlignment="1">
      <alignment horizontal="center" vertical="center"/>
    </xf>
    <xf numFmtId="192" fontId="114" fillId="4" borderId="133" xfId="0" applyNumberFormat="1" applyFont="1" applyFill="1" applyBorder="1" applyAlignment="1">
      <alignment horizontal="center" vertical="center"/>
    </xf>
    <xf numFmtId="192" fontId="114" fillId="4" borderId="218" xfId="0" applyNumberFormat="1" applyFont="1" applyFill="1" applyBorder="1" applyAlignment="1">
      <alignment horizontal="center" vertical="center"/>
    </xf>
    <xf numFmtId="0" fontId="84" fillId="25" borderId="52" xfId="0" applyFont="1" applyFill="1" applyBorder="1" applyAlignment="1">
      <alignment horizontal="center" vertical="center"/>
    </xf>
    <xf numFmtId="0" fontId="114" fillId="31" borderId="52" xfId="0" applyFont="1" applyFill="1" applyBorder="1" applyAlignment="1">
      <alignment horizontal="left" vertical="center" wrapText="1"/>
    </xf>
    <xf numFmtId="192" fontId="114" fillId="4" borderId="52" xfId="0" applyNumberFormat="1" applyFont="1" applyFill="1" applyBorder="1">
      <alignment vertical="center"/>
    </xf>
    <xf numFmtId="0" fontId="114" fillId="4" borderId="195" xfId="0" applyFont="1" applyFill="1" applyBorder="1" applyAlignment="1">
      <alignment horizontal="center" vertical="center"/>
    </xf>
    <xf numFmtId="192" fontId="114" fillId="4" borderId="208" xfId="0" applyNumberFormat="1" applyFont="1" applyFill="1" applyBorder="1" applyAlignment="1">
      <alignment horizontal="center" vertical="center"/>
    </xf>
    <xf numFmtId="0" fontId="114" fillId="31" borderId="152" xfId="0" applyFont="1" applyFill="1" applyBorder="1" applyAlignment="1">
      <alignment horizontal="left" vertical="center" wrapText="1"/>
    </xf>
    <xf numFmtId="41" fontId="82" fillId="30" borderId="216" xfId="0" applyNumberFormat="1" applyFont="1" applyFill="1" applyBorder="1">
      <alignment vertical="center"/>
    </xf>
    <xf numFmtId="41" fontId="82" fillId="30" borderId="54" xfId="0" applyNumberFormat="1" applyFont="1" applyFill="1" applyBorder="1">
      <alignment vertical="center"/>
    </xf>
    <xf numFmtId="41" fontId="82" fillId="30" borderId="219" xfId="0" applyNumberFormat="1" applyFont="1" applyFill="1" applyBorder="1">
      <alignment vertical="center"/>
    </xf>
    <xf numFmtId="41" fontId="82" fillId="30" borderId="212" xfId="0" applyNumberFormat="1" applyFont="1" applyFill="1" applyBorder="1">
      <alignment vertical="center"/>
    </xf>
    <xf numFmtId="41" fontId="82" fillId="30" borderId="211" xfId="0" applyNumberFormat="1" applyFont="1" applyFill="1" applyBorder="1">
      <alignment vertical="center"/>
    </xf>
    <xf numFmtId="0" fontId="114" fillId="4" borderId="17" xfId="0" applyFont="1" applyFill="1" applyBorder="1" applyAlignment="1">
      <alignment horizontal="center" vertical="center" wrapText="1"/>
    </xf>
    <xf numFmtId="41" fontId="106" fillId="25" borderId="130" xfId="0" applyNumberFormat="1" applyFont="1" applyFill="1" applyBorder="1">
      <alignment vertical="center"/>
    </xf>
    <xf numFmtId="41" fontId="82" fillId="25" borderId="49" xfId="0" applyNumberFormat="1" applyFont="1" applyFill="1" applyBorder="1">
      <alignment vertical="center"/>
    </xf>
    <xf numFmtId="41" fontId="106" fillId="25" borderId="75" xfId="0" applyNumberFormat="1" applyFont="1" applyFill="1" applyBorder="1">
      <alignment vertical="center"/>
    </xf>
    <xf numFmtId="41" fontId="82" fillId="30" borderId="209" xfId="0" applyNumberFormat="1" applyFont="1" applyFill="1" applyBorder="1">
      <alignment vertical="center"/>
    </xf>
    <xf numFmtId="41" fontId="82" fillId="30" borderId="52" xfId="0" applyNumberFormat="1" applyFont="1" applyFill="1" applyBorder="1">
      <alignment vertical="center"/>
    </xf>
    <xf numFmtId="41" fontId="82" fillId="30" borderId="51" xfId="0" applyNumberFormat="1" applyFont="1" applyFill="1" applyBorder="1">
      <alignment vertical="center"/>
    </xf>
    <xf numFmtId="41" fontId="82" fillId="30" borderId="81" xfId="0" applyNumberFormat="1" applyFont="1" applyFill="1" applyBorder="1">
      <alignment vertical="center"/>
    </xf>
    <xf numFmtId="41" fontId="82" fillId="30" borderId="195" xfId="0" applyNumberFormat="1" applyFont="1" applyFill="1" applyBorder="1">
      <alignment vertical="center"/>
    </xf>
    <xf numFmtId="41" fontId="82" fillId="30" borderId="194" xfId="0" applyNumberFormat="1" applyFont="1" applyFill="1" applyBorder="1">
      <alignment vertical="center"/>
    </xf>
    <xf numFmtId="41" fontId="82" fillId="30" borderId="82" xfId="0" applyNumberFormat="1" applyFont="1" applyFill="1" applyBorder="1">
      <alignment vertical="center"/>
    </xf>
    <xf numFmtId="41" fontId="82" fillId="30" borderId="215" xfId="0" applyNumberFormat="1" applyFont="1" applyFill="1" applyBorder="1">
      <alignment vertical="center"/>
    </xf>
    <xf numFmtId="41" fontId="82" fillId="30" borderId="217" xfId="0" applyNumberFormat="1" applyFont="1" applyFill="1" applyBorder="1">
      <alignment vertical="center"/>
    </xf>
    <xf numFmtId="41" fontId="82" fillId="30" borderId="152" xfId="0" applyNumberFormat="1" applyFont="1" applyFill="1" applyBorder="1">
      <alignment vertical="center"/>
    </xf>
    <xf numFmtId="41" fontId="106" fillId="4" borderId="218" xfId="0" applyNumberFormat="1" applyFont="1" applyFill="1" applyBorder="1">
      <alignment vertical="center"/>
    </xf>
    <xf numFmtId="41" fontId="82" fillId="30" borderId="131" xfId="0" applyNumberFormat="1" applyFont="1" applyFill="1" applyBorder="1">
      <alignment vertical="center"/>
    </xf>
    <xf numFmtId="41" fontId="82" fillId="30" borderId="132" xfId="0" applyNumberFormat="1" applyFont="1" applyFill="1" applyBorder="1">
      <alignment vertical="center"/>
    </xf>
    <xf numFmtId="41" fontId="82" fillId="30" borderId="129" xfId="0" applyNumberFormat="1" applyFont="1" applyFill="1" applyBorder="1">
      <alignment vertical="center"/>
    </xf>
    <xf numFmtId="41" fontId="82" fillId="30" borderId="4" xfId="0" applyNumberFormat="1" applyFont="1" applyFill="1" applyBorder="1">
      <alignment vertical="center"/>
    </xf>
    <xf numFmtId="41" fontId="82" fillId="30" borderId="193" xfId="0" applyNumberFormat="1" applyFont="1" applyFill="1" applyBorder="1">
      <alignment vertical="center"/>
    </xf>
    <xf numFmtId="41" fontId="82" fillId="22" borderId="23" xfId="0" applyNumberFormat="1" applyFont="1" applyFill="1" applyBorder="1">
      <alignment vertical="center"/>
    </xf>
    <xf numFmtId="41" fontId="82" fillId="22" borderId="22" xfId="0" applyNumberFormat="1" applyFont="1" applyFill="1" applyBorder="1">
      <alignment vertical="center"/>
    </xf>
    <xf numFmtId="41" fontId="82" fillId="22" borderId="129" xfId="0" applyNumberFormat="1" applyFont="1" applyFill="1" applyBorder="1">
      <alignment vertical="center"/>
    </xf>
    <xf numFmtId="41" fontId="82" fillId="22" borderId="128" xfId="0" applyNumberFormat="1" applyFont="1" applyFill="1" applyBorder="1">
      <alignment vertical="center"/>
    </xf>
    <xf numFmtId="41" fontId="82" fillId="22" borderId="132" xfId="0" applyNumberFormat="1" applyFont="1" applyFill="1" applyBorder="1">
      <alignment vertical="center"/>
    </xf>
    <xf numFmtId="41" fontId="106" fillId="25" borderId="133" xfId="0" applyNumberFormat="1" applyFont="1" applyFill="1" applyBorder="1">
      <alignment vertical="center"/>
    </xf>
    <xf numFmtId="41" fontId="82" fillId="25" borderId="49" xfId="1" applyFont="1" applyFill="1" applyBorder="1">
      <alignment vertical="center"/>
    </xf>
    <xf numFmtId="41" fontId="106" fillId="21" borderId="75" xfId="0" applyNumberFormat="1" applyFont="1" applyFill="1" applyBorder="1">
      <alignment vertical="center"/>
    </xf>
    <xf numFmtId="41" fontId="106" fillId="21" borderId="15" xfId="0" applyNumberFormat="1" applyFont="1" applyFill="1" applyBorder="1">
      <alignment vertical="center"/>
    </xf>
    <xf numFmtId="41" fontId="106" fillId="21" borderId="29" xfId="0" applyNumberFormat="1" applyFont="1" applyFill="1" applyBorder="1">
      <alignment vertical="center"/>
    </xf>
    <xf numFmtId="41" fontId="91" fillId="3" borderId="36" xfId="0" applyNumberFormat="1" applyFont="1" applyFill="1" applyBorder="1">
      <alignment vertical="center"/>
    </xf>
    <xf numFmtId="41" fontId="91" fillId="3" borderId="112" xfId="0" applyNumberFormat="1" applyFont="1" applyFill="1" applyBorder="1">
      <alignment vertical="center"/>
    </xf>
    <xf numFmtId="41" fontId="91" fillId="3" borderId="111" xfId="0" applyNumberFormat="1" applyFont="1" applyFill="1" applyBorder="1">
      <alignment vertical="center"/>
    </xf>
    <xf numFmtId="41" fontId="82" fillId="3" borderId="36" xfId="0" applyNumberFormat="1" applyFont="1" applyFill="1" applyBorder="1">
      <alignment vertical="center"/>
    </xf>
    <xf numFmtId="41" fontId="82" fillId="3" borderId="112" xfId="0" applyNumberFormat="1" applyFont="1" applyFill="1" applyBorder="1">
      <alignment vertical="center"/>
    </xf>
    <xf numFmtId="41" fontId="82" fillId="3" borderId="111" xfId="0" applyNumberFormat="1" applyFont="1" applyFill="1" applyBorder="1">
      <alignment vertical="center"/>
    </xf>
    <xf numFmtId="41" fontId="82" fillId="3" borderId="84" xfId="0" applyNumberFormat="1" applyFont="1" applyFill="1" applyBorder="1">
      <alignment vertical="center"/>
    </xf>
    <xf numFmtId="41" fontId="91" fillId="3" borderId="6" xfId="0" applyNumberFormat="1" applyFont="1" applyFill="1" applyBorder="1">
      <alignment vertical="center"/>
    </xf>
    <xf numFmtId="41" fontId="82" fillId="3" borderId="201" xfId="0" applyNumberFormat="1" applyFont="1" applyFill="1" applyBorder="1">
      <alignment vertical="center"/>
    </xf>
    <xf numFmtId="0" fontId="82" fillId="4" borderId="0" xfId="0" applyFont="1" applyFill="1">
      <alignment vertical="center"/>
    </xf>
    <xf numFmtId="0" fontId="106" fillId="3" borderId="0" xfId="0" applyFont="1" applyFill="1" applyAlignment="1">
      <alignment horizontal="center" vertical="center" wrapText="1"/>
    </xf>
    <xf numFmtId="9" fontId="82" fillId="3" borderId="0" xfId="0" applyNumberFormat="1" applyFont="1" applyFill="1" applyAlignment="1">
      <alignment horizontal="right" vertical="center"/>
    </xf>
    <xf numFmtId="216" fontId="82" fillId="3" borderId="0" xfId="0" applyNumberFormat="1" applyFont="1" applyFill="1">
      <alignment vertical="center"/>
    </xf>
    <xf numFmtId="9" fontId="82" fillId="3" borderId="0" xfId="0" applyNumberFormat="1" applyFont="1" applyFill="1">
      <alignment vertical="center"/>
    </xf>
    <xf numFmtId="9" fontId="82" fillId="3" borderId="0" xfId="3" applyFont="1" applyFill="1" applyBorder="1">
      <alignment vertical="center"/>
    </xf>
    <xf numFmtId="41" fontId="106" fillId="3" borderId="0" xfId="0" applyNumberFormat="1" applyFont="1" applyFill="1" applyAlignment="1">
      <alignment horizontal="center" vertical="center" wrapText="1"/>
    </xf>
    <xf numFmtId="41" fontId="82" fillId="2" borderId="196" xfId="0" applyNumberFormat="1" applyFont="1" applyFill="1" applyBorder="1">
      <alignment vertical="center"/>
    </xf>
    <xf numFmtId="41" fontId="82" fillId="2" borderId="196" xfId="0" applyNumberFormat="1" applyFont="1" applyFill="1" applyBorder="1" applyAlignment="1">
      <alignment horizontal="left" vertical="center"/>
    </xf>
    <xf numFmtId="0" fontId="82" fillId="0" borderId="196" xfId="0" applyFont="1" applyBorder="1">
      <alignment vertical="center"/>
    </xf>
    <xf numFmtId="9" fontId="82" fillId="2" borderId="196" xfId="3" applyFont="1" applyFill="1" applyBorder="1" applyAlignment="1">
      <alignment horizontal="center" vertical="center"/>
    </xf>
    <xf numFmtId="41" fontId="82" fillId="4" borderId="72" xfId="0" applyNumberFormat="1" applyFont="1" applyFill="1" applyBorder="1" applyAlignment="1">
      <alignment horizontal="left" vertical="center"/>
    </xf>
    <xf numFmtId="0" fontId="82" fillId="4" borderId="10" xfId="0" applyFont="1" applyFill="1" applyBorder="1">
      <alignment vertical="center"/>
    </xf>
    <xf numFmtId="0" fontId="106" fillId="4" borderId="56" xfId="0" applyFont="1" applyFill="1" applyBorder="1">
      <alignment vertical="center"/>
    </xf>
    <xf numFmtId="41" fontId="82" fillId="2" borderId="196" xfId="1" applyFont="1" applyFill="1" applyBorder="1">
      <alignment vertical="center"/>
    </xf>
    <xf numFmtId="41" fontId="83" fillId="3" borderId="22" xfId="0" applyNumberFormat="1" applyFont="1" applyFill="1" applyBorder="1">
      <alignment vertical="center"/>
    </xf>
    <xf numFmtId="41" fontId="83" fillId="3" borderId="7" xfId="0" applyNumberFormat="1" applyFont="1" applyFill="1" applyBorder="1">
      <alignment vertical="center"/>
    </xf>
    <xf numFmtId="41" fontId="84" fillId="25" borderId="130" xfId="0" applyNumberFormat="1" applyFont="1" applyFill="1" applyBorder="1">
      <alignment vertical="center"/>
    </xf>
    <xf numFmtId="192" fontId="91" fillId="0" borderId="0" xfId="0" applyNumberFormat="1" applyFont="1">
      <alignment vertical="center"/>
    </xf>
    <xf numFmtId="41" fontId="82" fillId="3" borderId="121" xfId="0" applyNumberFormat="1" applyFont="1" applyFill="1" applyBorder="1">
      <alignment vertical="center"/>
    </xf>
    <xf numFmtId="41" fontId="82" fillId="30" borderId="86" xfId="0" applyNumberFormat="1" applyFont="1" applyFill="1" applyBorder="1">
      <alignment vertical="center"/>
    </xf>
    <xf numFmtId="41" fontId="82" fillId="30" borderId="87" xfId="0" applyNumberFormat="1" applyFont="1" applyFill="1" applyBorder="1">
      <alignment vertical="center"/>
    </xf>
    <xf numFmtId="182" fontId="82" fillId="2" borderId="41" xfId="0" applyNumberFormat="1" applyFont="1" applyFill="1" applyBorder="1">
      <alignment vertical="center"/>
    </xf>
    <xf numFmtId="182" fontId="82" fillId="2" borderId="109" xfId="0" applyNumberFormat="1" applyFont="1" applyFill="1" applyBorder="1">
      <alignment vertical="center"/>
    </xf>
    <xf numFmtId="182" fontId="82" fillId="2" borderId="112" xfId="0" applyNumberFormat="1" applyFont="1" applyFill="1" applyBorder="1">
      <alignment vertical="center"/>
    </xf>
    <xf numFmtId="182" fontId="82" fillId="2" borderId="32" xfId="0" applyNumberFormat="1" applyFont="1" applyFill="1" applyBorder="1">
      <alignment vertical="center"/>
    </xf>
    <xf numFmtId="182" fontId="82" fillId="2" borderId="113" xfId="0" applyNumberFormat="1" applyFont="1" applyFill="1" applyBorder="1">
      <alignment vertical="center"/>
    </xf>
    <xf numFmtId="182" fontId="106" fillId="2" borderId="148" xfId="0" applyNumberFormat="1" applyFont="1" applyFill="1" applyBorder="1">
      <alignment vertical="center"/>
    </xf>
    <xf numFmtId="182" fontId="82" fillId="2" borderId="43" xfId="0" applyNumberFormat="1" applyFont="1" applyFill="1" applyBorder="1">
      <alignment vertical="center"/>
    </xf>
    <xf numFmtId="182" fontId="82" fillId="2" borderId="78" xfId="0" applyNumberFormat="1" applyFont="1" applyFill="1" applyBorder="1">
      <alignment vertical="center"/>
    </xf>
    <xf numFmtId="182" fontId="82" fillId="2" borderId="77" xfId="0" applyNumberFormat="1" applyFont="1" applyFill="1" applyBorder="1">
      <alignment vertical="center"/>
    </xf>
    <xf numFmtId="182" fontId="82" fillId="2" borderId="49" xfId="0" applyNumberFormat="1" applyFont="1" applyFill="1" applyBorder="1">
      <alignment vertical="center"/>
    </xf>
    <xf numFmtId="182" fontId="82" fillId="2" borderId="76" xfId="0" applyNumberFormat="1" applyFont="1" applyFill="1" applyBorder="1">
      <alignment vertical="center"/>
    </xf>
    <xf numFmtId="182" fontId="82" fillId="2" borderId="75" xfId="0" applyNumberFormat="1" applyFont="1" applyFill="1" applyBorder="1">
      <alignment vertical="center"/>
    </xf>
    <xf numFmtId="41" fontId="106" fillId="4" borderId="25" xfId="0" applyNumberFormat="1" applyFont="1" applyFill="1" applyBorder="1" applyAlignment="1">
      <alignment vertical="center" shrinkToFit="1"/>
    </xf>
    <xf numFmtId="41" fontId="82" fillId="30" borderId="149" xfId="0" applyNumberFormat="1" applyFont="1" applyFill="1" applyBorder="1">
      <alignment vertical="center"/>
    </xf>
    <xf numFmtId="41" fontId="82" fillId="30" borderId="128" xfId="0" applyNumberFormat="1" applyFont="1" applyFill="1" applyBorder="1">
      <alignment vertical="center"/>
    </xf>
    <xf numFmtId="41" fontId="114" fillId="4" borderId="120" xfId="0" applyNumberFormat="1" applyFont="1" applyFill="1" applyBorder="1">
      <alignment vertical="center"/>
    </xf>
    <xf numFmtId="0" fontId="84" fillId="21" borderId="10" xfId="0" applyFont="1" applyFill="1" applyBorder="1">
      <alignment vertical="center"/>
    </xf>
    <xf numFmtId="0" fontId="84" fillId="21" borderId="13" xfId="0" applyFont="1" applyFill="1" applyBorder="1">
      <alignment vertical="center"/>
    </xf>
    <xf numFmtId="0" fontId="84" fillId="21" borderId="91" xfId="0" applyFont="1" applyFill="1" applyBorder="1">
      <alignment vertical="center"/>
    </xf>
    <xf numFmtId="0" fontId="84" fillId="21" borderId="74" xfId="0" applyFont="1" applyFill="1" applyBorder="1" applyAlignment="1">
      <alignment horizontal="center" vertical="center"/>
    </xf>
    <xf numFmtId="192" fontId="83" fillId="21" borderId="77" xfId="0" applyNumberFormat="1" applyFont="1" applyFill="1" applyBorder="1">
      <alignment vertical="center"/>
    </xf>
    <xf numFmtId="0" fontId="84" fillId="21" borderId="55" xfId="0" applyFont="1" applyFill="1" applyBorder="1">
      <alignment vertical="center"/>
    </xf>
    <xf numFmtId="0" fontId="84" fillId="21" borderId="10" xfId="0" applyFont="1" applyFill="1" applyBorder="1" applyAlignment="1">
      <alignment horizontal="left" vertical="center"/>
    </xf>
    <xf numFmtId="0" fontId="84" fillId="21" borderId="203" xfId="0" applyFont="1" applyFill="1" applyBorder="1" applyAlignment="1">
      <alignment horizontal="left" vertical="center"/>
    </xf>
    <xf numFmtId="0" fontId="84" fillId="32" borderId="11" xfId="0" applyFont="1" applyFill="1" applyBorder="1" applyAlignment="1">
      <alignment horizontal="center" vertical="center"/>
    </xf>
    <xf numFmtId="0" fontId="114" fillId="32" borderId="11" xfId="0" applyFont="1" applyFill="1" applyBorder="1" applyAlignment="1">
      <alignment horizontal="left" vertical="center" wrapText="1"/>
    </xf>
    <xf numFmtId="192" fontId="114" fillId="32" borderId="11" xfId="0" applyNumberFormat="1" applyFont="1" applyFill="1" applyBorder="1">
      <alignment vertical="center"/>
    </xf>
    <xf numFmtId="0" fontId="114" fillId="32" borderId="120" xfId="0" applyFont="1" applyFill="1" applyBorder="1" applyAlignment="1">
      <alignment horizontal="center" vertical="center"/>
    </xf>
    <xf numFmtId="192" fontId="114" fillId="32" borderId="94" xfId="0" applyNumberFormat="1" applyFont="1" applyFill="1" applyBorder="1" applyAlignment="1">
      <alignment horizontal="center" vertical="center"/>
    </xf>
    <xf numFmtId="0" fontId="84" fillId="32" borderId="4" xfId="0" applyFont="1" applyFill="1" applyBorder="1" applyAlignment="1">
      <alignment horizontal="center" vertical="center"/>
    </xf>
    <xf numFmtId="0" fontId="114" fillId="32" borderId="4" xfId="0" applyFont="1" applyFill="1" applyBorder="1" applyAlignment="1">
      <alignment horizontal="left" vertical="center" wrapText="1"/>
    </xf>
    <xf numFmtId="192" fontId="114" fillId="32" borderId="4" xfId="0" applyNumberFormat="1" applyFont="1" applyFill="1" applyBorder="1">
      <alignment vertical="center"/>
    </xf>
    <xf numFmtId="0" fontId="114" fillId="32" borderId="214" xfId="0" applyFont="1" applyFill="1" applyBorder="1" applyAlignment="1">
      <alignment horizontal="center" vertical="center"/>
    </xf>
    <xf numFmtId="192" fontId="114" fillId="32" borderId="133" xfId="0" applyNumberFormat="1" applyFont="1" applyFill="1" applyBorder="1" applyAlignment="1">
      <alignment horizontal="center" vertical="center"/>
    </xf>
    <xf numFmtId="0" fontId="84" fillId="21" borderId="72" xfId="0" applyFont="1" applyFill="1" applyBorder="1" applyAlignment="1">
      <alignment horizontal="left" vertical="center"/>
    </xf>
    <xf numFmtId="0" fontId="84" fillId="21" borderId="5" xfId="0" applyFont="1" applyFill="1" applyBorder="1" applyAlignment="1">
      <alignment horizontal="left" vertical="center"/>
    </xf>
    <xf numFmtId="0" fontId="84" fillId="21" borderId="5" xfId="0" applyFont="1" applyFill="1" applyBorder="1">
      <alignment vertical="center"/>
    </xf>
    <xf numFmtId="0" fontId="84" fillId="21" borderId="91" xfId="0" applyFont="1" applyFill="1" applyBorder="1" applyAlignment="1">
      <alignment horizontal="center" vertical="center"/>
    </xf>
    <xf numFmtId="192" fontId="84" fillId="21" borderId="77" xfId="0" applyNumberFormat="1" applyFont="1" applyFill="1" applyBorder="1">
      <alignment vertical="center"/>
    </xf>
    <xf numFmtId="41" fontId="84" fillId="21" borderId="70" xfId="0" applyNumberFormat="1" applyFont="1" applyFill="1" applyBorder="1" applyAlignment="1">
      <alignment horizontal="center" vertical="center"/>
    </xf>
    <xf numFmtId="41" fontId="84" fillId="21" borderId="75" xfId="0" applyNumberFormat="1" applyFont="1" applyFill="1" applyBorder="1" applyAlignment="1">
      <alignment horizontal="center" vertical="center"/>
    </xf>
    <xf numFmtId="0" fontId="84" fillId="21" borderId="21" xfId="0" applyFont="1" applyFill="1" applyBorder="1">
      <alignment vertical="center"/>
    </xf>
    <xf numFmtId="0" fontId="84" fillId="21" borderId="1" xfId="0" applyFont="1" applyFill="1" applyBorder="1">
      <alignment vertical="center"/>
    </xf>
    <xf numFmtId="0" fontId="84" fillId="32" borderId="3" xfId="0" applyFont="1" applyFill="1" applyBorder="1" applyAlignment="1">
      <alignment horizontal="center" vertical="center"/>
    </xf>
    <xf numFmtId="0" fontId="84" fillId="32" borderId="3" xfId="0" applyFont="1" applyFill="1" applyBorder="1" applyAlignment="1">
      <alignment horizontal="left" vertical="center"/>
    </xf>
    <xf numFmtId="192" fontId="84" fillId="32" borderId="3" xfId="0" applyNumberFormat="1" applyFont="1" applyFill="1" applyBorder="1" applyAlignment="1">
      <alignment horizontal="center" vertical="center"/>
    </xf>
    <xf numFmtId="0" fontId="84" fillId="32" borderId="117" xfId="0" applyFont="1" applyFill="1" applyBorder="1" applyAlignment="1">
      <alignment horizontal="center" vertical="center"/>
    </xf>
    <xf numFmtId="192" fontId="84" fillId="32" borderId="130" xfId="0" applyNumberFormat="1" applyFont="1" applyFill="1" applyBorder="1" applyAlignment="1">
      <alignment horizontal="center" vertical="center"/>
    </xf>
    <xf numFmtId="0" fontId="84" fillId="32" borderId="4" xfId="0" applyFont="1" applyFill="1" applyBorder="1" applyAlignment="1">
      <alignment horizontal="left" vertical="center"/>
    </xf>
    <xf numFmtId="192" fontId="84" fillId="32" borderId="4" xfId="0" applyNumberFormat="1" applyFont="1" applyFill="1" applyBorder="1" applyAlignment="1">
      <alignment horizontal="center" vertical="center"/>
    </xf>
    <xf numFmtId="0" fontId="84" fillId="32" borderId="214" xfId="0" applyFont="1" applyFill="1" applyBorder="1" applyAlignment="1">
      <alignment horizontal="center" vertical="center"/>
    </xf>
    <xf numFmtId="192" fontId="84" fillId="32" borderId="133" xfId="0" applyNumberFormat="1" applyFont="1" applyFill="1" applyBorder="1" applyAlignment="1">
      <alignment horizontal="center" vertical="center"/>
    </xf>
    <xf numFmtId="0" fontId="84" fillId="21" borderId="76" xfId="0" applyFont="1" applyFill="1" applyBorder="1" applyAlignment="1">
      <alignment horizontal="center" vertical="center"/>
    </xf>
    <xf numFmtId="192" fontId="84" fillId="21" borderId="77" xfId="0" applyNumberFormat="1" applyFont="1" applyFill="1" applyBorder="1" applyAlignment="1">
      <alignment horizontal="center" vertical="center"/>
    </xf>
    <xf numFmtId="0" fontId="84" fillId="21" borderId="70" xfId="0" applyFont="1" applyFill="1" applyBorder="1" applyAlignment="1">
      <alignment horizontal="center" vertical="center"/>
    </xf>
    <xf numFmtId="192" fontId="84" fillId="21" borderId="75" xfId="0" applyNumberFormat="1" applyFont="1" applyFill="1" applyBorder="1" applyAlignment="1">
      <alignment horizontal="center" vertical="center"/>
    </xf>
    <xf numFmtId="0" fontId="84" fillId="21" borderId="18" xfId="0" applyFont="1" applyFill="1" applyBorder="1" applyAlignment="1">
      <alignment horizontal="center" vertical="center"/>
    </xf>
    <xf numFmtId="0" fontId="84" fillId="21" borderId="16" xfId="0" applyFont="1" applyFill="1" applyBorder="1" applyAlignment="1">
      <alignment horizontal="center" vertical="center"/>
    </xf>
    <xf numFmtId="0" fontId="84" fillId="21" borderId="29" xfId="0" applyFont="1" applyFill="1" applyBorder="1" applyAlignment="1">
      <alignment horizontal="center" vertical="center"/>
    </xf>
    <xf numFmtId="41" fontId="82" fillId="4" borderId="45" xfId="0" applyNumberFormat="1" applyFont="1" applyFill="1" applyBorder="1" applyAlignment="1">
      <alignment horizontal="center" vertical="center"/>
    </xf>
    <xf numFmtId="41" fontId="114" fillId="4" borderId="14" xfId="0" applyNumberFormat="1" applyFont="1" applyFill="1" applyBorder="1" applyAlignment="1">
      <alignment vertical="center" shrinkToFit="1"/>
    </xf>
    <xf numFmtId="41" fontId="114" fillId="4" borderId="29" xfId="0" applyNumberFormat="1" applyFont="1" applyFill="1" applyBorder="1" applyAlignment="1">
      <alignment vertical="center" shrinkToFit="1"/>
    </xf>
    <xf numFmtId="41" fontId="91" fillId="2" borderId="1" xfId="0" applyNumberFormat="1" applyFont="1" applyFill="1" applyBorder="1" applyAlignment="1">
      <alignment horizontal="left" vertical="center"/>
    </xf>
    <xf numFmtId="185" fontId="91" fillId="0" borderId="0" xfId="5" applyNumberFormat="1" applyFont="1">
      <alignment vertical="center"/>
    </xf>
    <xf numFmtId="186" fontId="91" fillId="0" borderId="0" xfId="7" applyNumberFormat="1" applyFont="1" applyAlignment="1">
      <alignment vertical="center"/>
    </xf>
    <xf numFmtId="186" fontId="91" fillId="0" borderId="0" xfId="7" applyNumberFormat="1" applyFont="1" applyAlignment="1">
      <alignment horizontal="center" vertical="center"/>
    </xf>
    <xf numFmtId="186" fontId="91" fillId="3" borderId="0" xfId="7" applyNumberFormat="1" applyFont="1" applyFill="1" applyAlignment="1">
      <alignment vertical="center"/>
    </xf>
    <xf numFmtId="186" fontId="108" fillId="3" borderId="0" xfId="7" applyNumberFormat="1" applyFont="1" applyFill="1" applyAlignment="1"/>
    <xf numFmtId="185" fontId="118" fillId="0" borderId="0" xfId="0" applyNumberFormat="1" applyFont="1">
      <alignment vertical="center"/>
    </xf>
    <xf numFmtId="41" fontId="82" fillId="2" borderId="67" xfId="0" applyNumberFormat="1" applyFont="1" applyFill="1" applyBorder="1">
      <alignment vertical="center"/>
    </xf>
    <xf numFmtId="185" fontId="91" fillId="4" borderId="8" xfId="5" applyNumberFormat="1" applyFont="1" applyFill="1" applyBorder="1" applyAlignment="1">
      <alignment horizontal="center" vertical="center"/>
    </xf>
    <xf numFmtId="185" fontId="91" fillId="4" borderId="69" xfId="5" applyNumberFormat="1" applyFont="1" applyFill="1" applyBorder="1" applyAlignment="1">
      <alignment horizontal="center" vertical="center"/>
    </xf>
    <xf numFmtId="192" fontId="110" fillId="12" borderId="196" xfId="0" applyNumberFormat="1" applyFont="1" applyFill="1" applyBorder="1">
      <alignment vertical="center"/>
    </xf>
    <xf numFmtId="9" fontId="110" fillId="12" borderId="28" xfId="0" applyNumberFormat="1" applyFont="1" applyFill="1" applyBorder="1">
      <alignment vertical="center"/>
    </xf>
    <xf numFmtId="0" fontId="84" fillId="21" borderId="55" xfId="0" applyFont="1" applyFill="1" applyBorder="1" applyAlignment="1">
      <alignment horizontal="center" vertical="center"/>
    </xf>
    <xf numFmtId="0" fontId="84" fillId="21" borderId="0" xfId="0" applyFont="1" applyFill="1">
      <alignment vertical="center"/>
    </xf>
    <xf numFmtId="41" fontId="82" fillId="30" borderId="0" xfId="0" applyNumberFormat="1" applyFont="1" applyFill="1">
      <alignment vertical="center"/>
    </xf>
    <xf numFmtId="41" fontId="82" fillId="30" borderId="1" xfId="0" applyNumberFormat="1" applyFont="1" applyFill="1" applyBorder="1">
      <alignment vertical="center"/>
    </xf>
    <xf numFmtId="41" fontId="82" fillId="30" borderId="8" xfId="0" applyNumberFormat="1" applyFont="1" applyFill="1" applyBorder="1">
      <alignment vertical="center"/>
    </xf>
    <xf numFmtId="41" fontId="82" fillId="30" borderId="21" xfId="0" applyNumberFormat="1" applyFont="1" applyFill="1" applyBorder="1">
      <alignment vertical="center"/>
    </xf>
    <xf numFmtId="41" fontId="82" fillId="30" borderId="10" xfId="0" applyNumberFormat="1" applyFont="1" applyFill="1" applyBorder="1">
      <alignment vertical="center"/>
    </xf>
    <xf numFmtId="41" fontId="82" fillId="30" borderId="24" xfId="0" applyNumberFormat="1" applyFont="1" applyFill="1" applyBorder="1">
      <alignment vertical="center"/>
    </xf>
    <xf numFmtId="0" fontId="114" fillId="25" borderId="3" xfId="0" applyFont="1" applyFill="1" applyBorder="1" applyAlignment="1">
      <alignment horizontal="left" vertical="center" wrapText="1"/>
    </xf>
    <xf numFmtId="180" fontId="91" fillId="10" borderId="8" xfId="0" applyNumberFormat="1" applyFont="1" applyFill="1" applyBorder="1" applyAlignment="1">
      <alignment horizontal="center" vertical="center"/>
    </xf>
    <xf numFmtId="180" fontId="91" fillId="10" borderId="202" xfId="0" applyNumberFormat="1" applyFont="1" applyFill="1" applyBorder="1" applyAlignment="1">
      <alignment horizontal="center" vertical="center"/>
    </xf>
    <xf numFmtId="180" fontId="91" fillId="4" borderId="203" xfId="0" applyNumberFormat="1" applyFont="1" applyFill="1" applyBorder="1" applyAlignment="1">
      <alignment horizontal="center" vertical="center"/>
    </xf>
    <xf numFmtId="180" fontId="114" fillId="4" borderId="17" xfId="3" applyNumberFormat="1" applyFont="1" applyFill="1" applyBorder="1" applyAlignment="1">
      <alignment horizontal="center" vertical="center" wrapText="1"/>
    </xf>
    <xf numFmtId="180" fontId="91" fillId="4" borderId="55" xfId="3" applyNumberFormat="1" applyFont="1" applyFill="1" applyBorder="1" applyAlignment="1">
      <alignment horizontal="center" vertical="center"/>
    </xf>
    <xf numFmtId="180" fontId="91" fillId="4" borderId="64" xfId="3" applyNumberFormat="1" applyFont="1" applyFill="1" applyBorder="1" applyAlignment="1">
      <alignment horizontal="center" vertical="center"/>
    </xf>
    <xf numFmtId="180" fontId="91" fillId="2" borderId="8" xfId="0" applyNumberFormat="1" applyFont="1" applyFill="1" applyBorder="1" applyAlignment="1">
      <alignment horizontal="center" vertical="center"/>
    </xf>
    <xf numFmtId="41" fontId="91" fillId="2" borderId="1" xfId="0" applyNumberFormat="1" applyFont="1" applyFill="1" applyBorder="1" applyAlignment="1">
      <alignment horizontal="center" vertical="center"/>
    </xf>
    <xf numFmtId="41" fontId="91" fillId="2" borderId="8" xfId="0" applyNumberFormat="1" applyFont="1" applyFill="1" applyBorder="1" applyAlignment="1">
      <alignment horizontal="center" vertical="center"/>
    </xf>
    <xf numFmtId="41" fontId="91" fillId="2" borderId="55" xfId="0" applyNumberFormat="1" applyFont="1" applyFill="1" applyBorder="1" applyAlignment="1">
      <alignment horizontal="center" vertical="center"/>
    </xf>
    <xf numFmtId="180" fontId="91" fillId="2" borderId="55" xfId="3" applyNumberFormat="1" applyFont="1" applyFill="1" applyBorder="1" applyAlignment="1">
      <alignment horizontal="center" vertical="center"/>
    </xf>
    <xf numFmtId="41" fontId="91" fillId="2" borderId="69" xfId="0" applyNumberFormat="1" applyFont="1" applyFill="1" applyBorder="1" applyAlignment="1">
      <alignment horizontal="center" vertical="center"/>
    </xf>
    <xf numFmtId="41" fontId="91" fillId="2" borderId="69" xfId="0" applyNumberFormat="1" applyFont="1" applyFill="1" applyBorder="1">
      <alignment vertical="center"/>
    </xf>
    <xf numFmtId="41" fontId="82" fillId="4" borderId="27" xfId="0" applyNumberFormat="1" applyFont="1" applyFill="1" applyBorder="1" applyAlignment="1">
      <alignment horizontal="center" vertical="center"/>
    </xf>
    <xf numFmtId="41" fontId="82" fillId="4" borderId="1" xfId="0" applyNumberFormat="1" applyFont="1" applyFill="1" applyBorder="1" applyAlignment="1">
      <alignment horizontal="center" vertical="center"/>
    </xf>
    <xf numFmtId="41" fontId="82" fillId="4" borderId="5" xfId="0" applyNumberFormat="1" applyFont="1" applyFill="1" applyBorder="1" applyAlignment="1">
      <alignment horizontal="center" vertical="center"/>
    </xf>
    <xf numFmtId="41" fontId="91" fillId="4" borderId="38" xfId="0" applyNumberFormat="1" applyFont="1" applyFill="1" applyBorder="1">
      <alignment vertical="center"/>
    </xf>
    <xf numFmtId="0" fontId="106" fillId="4" borderId="6" xfId="0" applyFont="1" applyFill="1" applyBorder="1" applyAlignment="1">
      <alignment horizontal="center" vertical="center"/>
    </xf>
    <xf numFmtId="41" fontId="82" fillId="2" borderId="8" xfId="0" applyNumberFormat="1" applyFont="1" applyFill="1" applyBorder="1" applyAlignment="1">
      <alignment horizontal="center" vertical="center"/>
    </xf>
    <xf numFmtId="0" fontId="82" fillId="4" borderId="27" xfId="0" applyFont="1" applyFill="1" applyBorder="1" applyAlignment="1">
      <alignment horizontal="center" vertical="top"/>
    </xf>
    <xf numFmtId="0" fontId="82" fillId="4" borderId="1" xfId="0" applyFont="1" applyFill="1" applyBorder="1" applyAlignment="1">
      <alignment horizontal="center" vertical="top"/>
    </xf>
    <xf numFmtId="0" fontId="82" fillId="4" borderId="4" xfId="0" applyFont="1" applyFill="1" applyBorder="1" applyAlignment="1">
      <alignment horizontal="center" vertical="top"/>
    </xf>
    <xf numFmtId="0" fontId="82" fillId="4" borderId="5" xfId="0" applyFont="1" applyFill="1" applyBorder="1" applyAlignment="1">
      <alignment horizontal="center" vertical="top"/>
    </xf>
    <xf numFmtId="0" fontId="82" fillId="4" borderId="1" xfId="0" applyFont="1" applyFill="1" applyBorder="1" applyAlignment="1">
      <alignment horizontal="center" vertical="center"/>
    </xf>
    <xf numFmtId="0" fontId="82" fillId="4" borderId="11" xfId="0" applyFont="1" applyFill="1" applyBorder="1" applyAlignment="1">
      <alignment horizontal="center" vertical="center"/>
    </xf>
    <xf numFmtId="0" fontId="82" fillId="4" borderId="9" xfId="0" applyFont="1" applyFill="1" applyBorder="1" applyAlignment="1">
      <alignment horizontal="center" vertical="center"/>
    </xf>
    <xf numFmtId="0" fontId="82" fillId="4" borderId="119" xfId="0" applyFont="1" applyFill="1" applyBorder="1" applyAlignment="1">
      <alignment horizontal="center" vertical="center"/>
    </xf>
    <xf numFmtId="0" fontId="82" fillId="4" borderId="61" xfId="0" applyFont="1" applyFill="1" applyBorder="1" applyAlignment="1">
      <alignment horizontal="center" vertical="top"/>
    </xf>
    <xf numFmtId="0" fontId="82" fillId="4" borderId="132" xfId="0" applyFont="1" applyFill="1" applyBorder="1" applyAlignment="1">
      <alignment horizontal="center" vertical="center"/>
    </xf>
    <xf numFmtId="0" fontId="82" fillId="4" borderId="5" xfId="0" applyFont="1" applyFill="1" applyBorder="1" applyAlignment="1">
      <alignment horizontal="center" vertical="center"/>
    </xf>
    <xf numFmtId="0" fontId="82" fillId="4" borderId="0" xfId="0" applyFont="1" applyFill="1" applyAlignment="1">
      <alignment horizontal="center" vertical="center"/>
    </xf>
    <xf numFmtId="0" fontId="82" fillId="4" borderId="197" xfId="0" applyFont="1" applyFill="1" applyBorder="1" applyAlignment="1">
      <alignment horizontal="center" vertical="center"/>
    </xf>
    <xf numFmtId="0" fontId="82" fillId="4" borderId="107" xfId="0" applyFont="1" applyFill="1" applyBorder="1" applyAlignment="1">
      <alignment horizontal="center" vertical="center"/>
    </xf>
    <xf numFmtId="0" fontId="106" fillId="4" borderId="91" xfId="0" applyFont="1" applyFill="1" applyBorder="1" applyAlignment="1">
      <alignment horizontal="center" vertical="center" wrapText="1"/>
    </xf>
    <xf numFmtId="0" fontId="82" fillId="4" borderId="4" xfId="0" applyFont="1" applyFill="1" applyBorder="1" applyAlignment="1">
      <alignment horizontal="center" vertical="center"/>
    </xf>
    <xf numFmtId="0" fontId="82" fillId="4" borderId="3" xfId="0" applyFont="1" applyFill="1" applyBorder="1" applyAlignment="1">
      <alignment horizontal="center" vertical="center"/>
    </xf>
    <xf numFmtId="0" fontId="114" fillId="4" borderId="85" xfId="0" applyFont="1" applyFill="1" applyBorder="1" applyAlignment="1">
      <alignment horizontal="center" vertical="center"/>
    </xf>
    <xf numFmtId="41" fontId="82" fillId="4" borderId="61" xfId="0" applyNumberFormat="1" applyFont="1" applyFill="1" applyBorder="1" applyAlignment="1">
      <alignment horizontal="center" vertical="center"/>
    </xf>
    <xf numFmtId="41" fontId="82" fillId="4" borderId="11" xfId="0" applyNumberFormat="1" applyFont="1" applyFill="1" applyBorder="1" applyAlignment="1">
      <alignment horizontal="center" vertical="center"/>
    </xf>
    <xf numFmtId="41" fontId="82" fillId="4" borderId="9" xfId="0" applyNumberFormat="1" applyFont="1" applyFill="1" applyBorder="1" applyAlignment="1">
      <alignment horizontal="center" vertical="center"/>
    </xf>
    <xf numFmtId="41" fontId="82" fillId="4" borderId="118" xfId="0" applyNumberFormat="1" applyFont="1" applyFill="1" applyBorder="1" applyAlignment="1">
      <alignment horizontal="center" vertical="center"/>
    </xf>
    <xf numFmtId="41" fontId="82" fillId="4" borderId="61" xfId="0" applyNumberFormat="1" applyFont="1" applyFill="1" applyBorder="1" applyAlignment="1">
      <alignment horizontal="center" vertical="top"/>
    </xf>
    <xf numFmtId="41" fontId="82" fillId="4" borderId="1" xfId="0" applyNumberFormat="1" applyFont="1" applyFill="1" applyBorder="1" applyAlignment="1">
      <alignment horizontal="center" vertical="top"/>
    </xf>
    <xf numFmtId="41" fontId="82" fillId="4" borderId="42" xfId="0" applyNumberFormat="1" applyFont="1" applyFill="1" applyBorder="1" applyAlignment="1">
      <alignment horizontal="center" vertical="center"/>
    </xf>
    <xf numFmtId="41" fontId="82" fillId="4" borderId="203" xfId="0" applyNumberFormat="1" applyFont="1" applyFill="1" applyBorder="1" applyAlignment="1">
      <alignment horizontal="center" vertical="center"/>
    </xf>
    <xf numFmtId="41" fontId="125" fillId="0" borderId="0" xfId="0" applyNumberFormat="1" applyFont="1">
      <alignment vertical="center"/>
    </xf>
    <xf numFmtId="41" fontId="125" fillId="3" borderId="0" xfId="0" applyNumberFormat="1" applyFont="1" applyFill="1">
      <alignment vertical="center"/>
    </xf>
    <xf numFmtId="0" fontId="84" fillId="25" borderId="2" xfId="0" applyFont="1" applyFill="1" applyBorder="1" applyAlignment="1">
      <alignment horizontal="left" vertical="center"/>
    </xf>
    <xf numFmtId="192" fontId="84" fillId="25" borderId="2" xfId="0" applyNumberFormat="1" applyFont="1" applyFill="1" applyBorder="1">
      <alignment vertical="center"/>
    </xf>
    <xf numFmtId="0" fontId="84" fillId="25" borderId="215" xfId="0" applyFont="1" applyFill="1" applyBorder="1" applyAlignment="1">
      <alignment horizontal="center" vertical="center"/>
    </xf>
    <xf numFmtId="192" fontId="84" fillId="25" borderId="218" xfId="0" applyNumberFormat="1" applyFont="1" applyFill="1" applyBorder="1" applyAlignment="1">
      <alignment horizontal="center" vertical="center"/>
    </xf>
    <xf numFmtId="0" fontId="114" fillId="25" borderId="2" xfId="0" applyFont="1" applyFill="1" applyBorder="1" applyAlignment="1">
      <alignment horizontal="left" vertical="center" wrapText="1"/>
    </xf>
    <xf numFmtId="192" fontId="114" fillId="25" borderId="2" xfId="0" applyNumberFormat="1" applyFont="1" applyFill="1" applyBorder="1">
      <alignment vertical="center"/>
    </xf>
    <xf numFmtId="0" fontId="114" fillId="25" borderId="215" xfId="0" applyFont="1" applyFill="1" applyBorder="1" applyAlignment="1">
      <alignment horizontal="center" vertical="center"/>
    </xf>
    <xf numFmtId="192" fontId="114" fillId="25" borderId="218" xfId="0" applyNumberFormat="1" applyFont="1" applyFill="1" applyBorder="1" applyAlignment="1">
      <alignment horizontal="center" vertical="center"/>
    </xf>
    <xf numFmtId="0" fontId="84" fillId="25" borderId="11" xfId="0" applyFont="1" applyFill="1" applyBorder="1" applyAlignment="1">
      <alignment horizontal="left" vertical="center"/>
    </xf>
    <xf numFmtId="192" fontId="114" fillId="25" borderId="11" xfId="0" applyNumberFormat="1" applyFont="1" applyFill="1" applyBorder="1">
      <alignment vertical="center"/>
    </xf>
    <xf numFmtId="0" fontId="114" fillId="25" borderId="120" xfId="0" applyFont="1" applyFill="1" applyBorder="1" applyAlignment="1">
      <alignment horizontal="center" vertical="center"/>
    </xf>
    <xf numFmtId="192" fontId="114" fillId="25" borderId="94" xfId="0" applyNumberFormat="1" applyFont="1" applyFill="1" applyBorder="1" applyAlignment="1">
      <alignment horizontal="center" vertical="center"/>
    </xf>
    <xf numFmtId="192" fontId="114" fillId="32" borderId="3" xfId="0" applyNumberFormat="1" applyFont="1" applyFill="1" applyBorder="1">
      <alignment vertical="center"/>
    </xf>
    <xf numFmtId="0" fontId="114" fillId="32" borderId="117" xfId="0" applyFont="1" applyFill="1" applyBorder="1" applyAlignment="1">
      <alignment horizontal="center" vertical="center"/>
    </xf>
    <xf numFmtId="192" fontId="114" fillId="32" borderId="130" xfId="0" applyNumberFormat="1" applyFont="1" applyFill="1" applyBorder="1" applyAlignment="1">
      <alignment horizontal="center" vertical="center"/>
    </xf>
    <xf numFmtId="0" fontId="114" fillId="32" borderId="7" xfId="0" applyFont="1" applyFill="1" applyBorder="1" applyAlignment="1">
      <alignment horizontal="left" vertical="center" wrapText="1"/>
    </xf>
    <xf numFmtId="0" fontId="91" fillId="4" borderId="20" xfId="0" applyFont="1" applyFill="1" applyBorder="1">
      <alignment vertical="center"/>
    </xf>
    <xf numFmtId="41" fontId="83" fillId="3" borderId="3" xfId="0" applyNumberFormat="1" applyFont="1" applyFill="1" applyBorder="1">
      <alignment vertical="center"/>
    </xf>
    <xf numFmtId="41" fontId="84" fillId="21" borderId="24" xfId="0" applyNumberFormat="1" applyFont="1" applyFill="1" applyBorder="1">
      <alignment vertical="center"/>
    </xf>
    <xf numFmtId="0" fontId="84" fillId="21" borderId="8" xfId="0" applyFont="1" applyFill="1" applyBorder="1" applyAlignment="1">
      <alignment horizontal="left" vertical="center"/>
    </xf>
    <xf numFmtId="0" fontId="84" fillId="21" borderId="42" xfId="0" applyFont="1" applyFill="1" applyBorder="1" applyAlignment="1">
      <alignment horizontal="left" vertical="center"/>
    </xf>
    <xf numFmtId="0" fontId="84" fillId="21" borderId="74" xfId="0" applyFont="1" applyFill="1" applyBorder="1">
      <alignment vertical="center"/>
    </xf>
    <xf numFmtId="0" fontId="84" fillId="21" borderId="1" xfId="0" applyFont="1" applyFill="1" applyBorder="1" applyAlignment="1">
      <alignment horizontal="left" vertical="center"/>
    </xf>
    <xf numFmtId="0" fontId="84" fillId="21" borderId="4" xfId="0" applyFont="1" applyFill="1" applyBorder="1" applyAlignment="1">
      <alignment horizontal="center" vertical="center"/>
    </xf>
    <xf numFmtId="2" fontId="91" fillId="4" borderId="65" xfId="0" applyNumberFormat="1" applyFont="1" applyFill="1" applyBorder="1" applyAlignment="1">
      <alignment horizontal="center" vertical="center"/>
    </xf>
    <xf numFmtId="41" fontId="91" fillId="0" borderId="0" xfId="1" applyFont="1">
      <alignment vertical="center"/>
    </xf>
    <xf numFmtId="218" fontId="82" fillId="4" borderId="19" xfId="0" applyNumberFormat="1" applyFont="1" applyFill="1" applyBorder="1">
      <alignment vertical="center"/>
    </xf>
    <xf numFmtId="0" fontId="106" fillId="4" borderId="21" xfId="0" applyFont="1" applyFill="1" applyBorder="1" applyAlignment="1">
      <alignment horizontal="center" vertical="center"/>
    </xf>
    <xf numFmtId="211" fontId="91" fillId="0" borderId="196" xfId="0" applyNumberFormat="1" applyFont="1" applyBorder="1">
      <alignment vertical="center"/>
    </xf>
    <xf numFmtId="9" fontId="91" fillId="0" borderId="196" xfId="0" applyNumberFormat="1" applyFont="1" applyBorder="1" applyAlignment="1">
      <alignment horizontal="center" vertical="center"/>
    </xf>
    <xf numFmtId="210" fontId="91" fillId="0" borderId="196" xfId="0" applyNumberFormat="1" applyFont="1" applyBorder="1">
      <alignment vertical="center"/>
    </xf>
    <xf numFmtId="212" fontId="91" fillId="0" borderId="196" xfId="0" applyNumberFormat="1" applyFont="1" applyBorder="1">
      <alignment vertical="center"/>
    </xf>
    <xf numFmtId="180" fontId="91" fillId="0" borderId="196" xfId="0" applyNumberFormat="1" applyFont="1" applyBorder="1">
      <alignment vertical="center"/>
    </xf>
    <xf numFmtId="41" fontId="91" fillId="10" borderId="10" xfId="0" applyNumberFormat="1" applyFont="1" applyFill="1" applyBorder="1">
      <alignment vertical="center"/>
    </xf>
    <xf numFmtId="0" fontId="114" fillId="33" borderId="119" xfId="0" applyFont="1" applyFill="1" applyBorder="1" applyAlignment="1">
      <alignment horizontal="left" vertical="center" wrapText="1"/>
    </xf>
    <xf numFmtId="192" fontId="114" fillId="26" borderId="11" xfId="0" applyNumberFormat="1" applyFont="1" applyFill="1" applyBorder="1">
      <alignment vertical="center"/>
    </xf>
    <xf numFmtId="0" fontId="114" fillId="26" borderId="120" xfId="0" applyFont="1" applyFill="1" applyBorder="1" applyAlignment="1">
      <alignment horizontal="center" vertical="center"/>
    </xf>
    <xf numFmtId="192" fontId="114" fillId="26" borderId="94" xfId="0" applyNumberFormat="1" applyFont="1" applyFill="1" applyBorder="1" applyAlignment="1">
      <alignment horizontal="center" vertical="center"/>
    </xf>
    <xf numFmtId="0" fontId="114" fillId="33" borderId="7" xfId="0" applyFont="1" applyFill="1" applyBorder="1" applyAlignment="1">
      <alignment horizontal="left" vertical="center" wrapText="1"/>
    </xf>
    <xf numFmtId="192" fontId="114" fillId="26" borderId="3" xfId="0" applyNumberFormat="1" applyFont="1" applyFill="1" applyBorder="1">
      <alignment vertical="center"/>
    </xf>
    <xf numFmtId="0" fontId="114" fillId="26" borderId="117" xfId="0" applyFont="1" applyFill="1" applyBorder="1" applyAlignment="1">
      <alignment horizontal="center" vertical="center"/>
    </xf>
    <xf numFmtId="192" fontId="114" fillId="26" borderId="130" xfId="0" applyNumberFormat="1" applyFont="1" applyFill="1" applyBorder="1" applyAlignment="1">
      <alignment horizontal="center" vertical="center"/>
    </xf>
    <xf numFmtId="190" fontId="91" fillId="0" borderId="0" xfId="0" applyNumberFormat="1" applyFont="1" applyAlignment="1">
      <alignment horizontal="center" vertical="center"/>
    </xf>
    <xf numFmtId="9" fontId="106" fillId="4" borderId="65" xfId="0" applyNumberFormat="1" applyFont="1" applyFill="1" applyBorder="1" applyAlignment="1">
      <alignment horizontal="center" vertical="center"/>
    </xf>
    <xf numFmtId="10" fontId="120" fillId="0" borderId="0" xfId="3" applyNumberFormat="1" applyFont="1">
      <alignment vertical="center"/>
    </xf>
    <xf numFmtId="190" fontId="91" fillId="4" borderId="60" xfId="0" applyNumberFormat="1" applyFont="1" applyFill="1" applyBorder="1" applyAlignment="1">
      <alignment horizontal="center" vertical="center"/>
    </xf>
    <xf numFmtId="41" fontId="114" fillId="10" borderId="21" xfId="0" applyNumberFormat="1" applyFont="1" applyFill="1" applyBorder="1">
      <alignment vertical="center"/>
    </xf>
    <xf numFmtId="41" fontId="114" fillId="10" borderId="1" xfId="0" applyNumberFormat="1" applyFont="1" applyFill="1" applyBorder="1">
      <alignment vertical="center"/>
    </xf>
    <xf numFmtId="41" fontId="114" fillId="10" borderId="0" xfId="0" applyNumberFormat="1" applyFont="1" applyFill="1">
      <alignment vertical="center"/>
    </xf>
    <xf numFmtId="41" fontId="91" fillId="10" borderId="0" xfId="0" applyNumberFormat="1" applyFont="1" applyFill="1">
      <alignment vertical="center"/>
    </xf>
    <xf numFmtId="190" fontId="91" fillId="4" borderId="204" xfId="3" applyNumberFormat="1" applyFont="1" applyFill="1" applyBorder="1">
      <alignment vertical="center"/>
    </xf>
    <xf numFmtId="190" fontId="91" fillId="4" borderId="70" xfId="3" applyNumberFormat="1" applyFont="1" applyFill="1" applyBorder="1">
      <alignment vertical="center"/>
    </xf>
    <xf numFmtId="41" fontId="91" fillId="4" borderId="197" xfId="0" applyNumberFormat="1" applyFont="1" applyFill="1" applyBorder="1">
      <alignment vertical="center"/>
    </xf>
    <xf numFmtId="180" fontId="106" fillId="4" borderId="59" xfId="0" applyNumberFormat="1" applyFont="1" applyFill="1" applyBorder="1" applyAlignment="1">
      <alignment horizontal="center" vertical="center"/>
    </xf>
    <xf numFmtId="0" fontId="91" fillId="4" borderId="68" xfId="0" applyFont="1" applyFill="1" applyBorder="1" applyAlignment="1">
      <alignment horizontal="center" vertical="center"/>
    </xf>
    <xf numFmtId="0" fontId="91" fillId="4" borderId="46" xfId="0" applyFont="1" applyFill="1" applyBorder="1" applyAlignment="1">
      <alignment horizontal="center" vertical="center"/>
    </xf>
    <xf numFmtId="9" fontId="106" fillId="4" borderId="20" xfId="0" applyNumberFormat="1" applyFont="1" applyFill="1" applyBorder="1" applyAlignment="1">
      <alignment horizontal="center" vertical="center"/>
    </xf>
    <xf numFmtId="190" fontId="82" fillId="4" borderId="32" xfId="0" applyNumberFormat="1" applyFont="1" applyFill="1" applyBorder="1" applyAlignment="1">
      <alignment horizontal="center" vertical="center"/>
    </xf>
    <xf numFmtId="190" fontId="82" fillId="4" borderId="19" xfId="0" applyNumberFormat="1" applyFont="1" applyFill="1" applyBorder="1" applyAlignment="1">
      <alignment horizontal="center" vertical="center"/>
    </xf>
    <xf numFmtId="0" fontId="106" fillId="4" borderId="27" xfId="0" applyFont="1" applyFill="1" applyBorder="1" applyAlignment="1">
      <alignment vertical="center" wrapText="1"/>
    </xf>
    <xf numFmtId="0" fontId="82" fillId="4" borderId="65" xfId="0" applyFont="1" applyFill="1" applyBorder="1" applyAlignment="1">
      <alignment horizontal="left" vertical="center"/>
    </xf>
    <xf numFmtId="0" fontId="106" fillId="4" borderId="18" xfId="0" applyFont="1" applyFill="1" applyBorder="1" applyAlignment="1">
      <alignment vertical="center" wrapText="1"/>
    </xf>
    <xf numFmtId="0" fontId="82" fillId="4" borderId="20" xfId="0" applyFont="1" applyFill="1" applyBorder="1" applyAlignment="1">
      <alignment horizontal="left" vertical="center"/>
    </xf>
    <xf numFmtId="193" fontId="91" fillId="4" borderId="204" xfId="0" applyNumberFormat="1" applyFont="1" applyFill="1" applyBorder="1" applyAlignment="1">
      <alignment horizontal="center" vertical="center"/>
    </xf>
    <xf numFmtId="41" fontId="91" fillId="4" borderId="54" xfId="0" applyNumberFormat="1" applyFont="1" applyFill="1" applyBorder="1">
      <alignment vertical="center"/>
    </xf>
    <xf numFmtId="41" fontId="82" fillId="3" borderId="120" xfId="0" applyNumberFormat="1" applyFont="1" applyFill="1" applyBorder="1">
      <alignment vertical="center"/>
    </xf>
    <xf numFmtId="41" fontId="82" fillId="3" borderId="87" xfId="0" applyNumberFormat="1" applyFont="1" applyFill="1" applyBorder="1">
      <alignment vertical="center"/>
    </xf>
    <xf numFmtId="182" fontId="82" fillId="10" borderId="58" xfId="0" applyNumberFormat="1" applyFont="1" applyFill="1" applyBorder="1" applyAlignment="1">
      <alignment horizontal="right" vertical="center"/>
    </xf>
    <xf numFmtId="182" fontId="82" fillId="10" borderId="27" xfId="0" applyNumberFormat="1" applyFont="1" applyFill="1" applyBorder="1" applyAlignment="1">
      <alignment horizontal="right" vertical="center"/>
    </xf>
    <xf numFmtId="182" fontId="82" fillId="10" borderId="55" xfId="0" applyNumberFormat="1" applyFont="1" applyFill="1" applyBorder="1" applyAlignment="1">
      <alignment horizontal="right" vertical="center"/>
    </xf>
    <xf numFmtId="182" fontId="82" fillId="10" borderId="1" xfId="0" applyNumberFormat="1" applyFont="1" applyFill="1" applyBorder="1" applyAlignment="1">
      <alignment horizontal="right" vertical="center"/>
    </xf>
    <xf numFmtId="41" fontId="82" fillId="3" borderId="113" xfId="0" applyNumberFormat="1" applyFont="1" applyFill="1" applyBorder="1" applyAlignment="1">
      <alignment horizontal="center" vertical="center"/>
    </xf>
    <xf numFmtId="41" fontId="82" fillId="3" borderId="41" xfId="0" applyNumberFormat="1" applyFont="1" applyFill="1" applyBorder="1" applyAlignment="1">
      <alignment horizontal="center" vertical="center"/>
    </xf>
    <xf numFmtId="41" fontId="82" fillId="3" borderId="66" xfId="0" applyNumberFormat="1" applyFont="1" applyFill="1" applyBorder="1">
      <alignment vertical="center"/>
    </xf>
    <xf numFmtId="41" fontId="82" fillId="3" borderId="68" xfId="0" applyNumberFormat="1" applyFont="1" applyFill="1" applyBorder="1">
      <alignment vertical="center"/>
    </xf>
    <xf numFmtId="41" fontId="4" fillId="3" borderId="0" xfId="0" applyNumberFormat="1" applyFont="1" applyFill="1">
      <alignment vertical="center"/>
    </xf>
    <xf numFmtId="0" fontId="4" fillId="3" borderId="0" xfId="0" applyFont="1" applyFill="1">
      <alignment vertical="center"/>
    </xf>
    <xf numFmtId="185" fontId="91" fillId="3" borderId="0" xfId="5" applyNumberFormat="1" applyFont="1" applyFill="1">
      <alignment vertical="center"/>
    </xf>
    <xf numFmtId="185" fontId="108" fillId="3" borderId="0" xfId="5" applyNumberFormat="1" applyFont="1" applyFill="1">
      <alignment vertical="center"/>
    </xf>
    <xf numFmtId="185" fontId="134" fillId="3" borderId="0" xfId="5" applyNumberFormat="1" applyFont="1" applyFill="1">
      <alignment vertical="center"/>
    </xf>
    <xf numFmtId="41" fontId="91" fillId="36" borderId="1" xfId="0" applyNumberFormat="1" applyFont="1" applyFill="1" applyBorder="1">
      <alignment vertical="center"/>
    </xf>
    <xf numFmtId="41" fontId="91" fillId="36" borderId="69" xfId="0" applyNumberFormat="1" applyFont="1" applyFill="1" applyBorder="1">
      <alignment vertical="center"/>
    </xf>
    <xf numFmtId="41" fontId="91" fillId="36" borderId="55" xfId="0" applyNumberFormat="1" applyFont="1" applyFill="1" applyBorder="1">
      <alignment vertical="center"/>
    </xf>
    <xf numFmtId="0" fontId="114" fillId="33" borderId="11" xfId="0" applyFont="1" applyFill="1" applyBorder="1" applyAlignment="1">
      <alignment horizontal="left" vertical="center" wrapText="1"/>
    </xf>
    <xf numFmtId="182" fontId="91" fillId="2" borderId="39" xfId="0" applyNumberFormat="1" applyFont="1" applyFill="1" applyBorder="1">
      <alignment vertical="center"/>
    </xf>
    <xf numFmtId="179" fontId="91" fillId="3" borderId="17" xfId="0" applyNumberFormat="1" applyFont="1" applyFill="1" applyBorder="1">
      <alignment vertical="center"/>
    </xf>
    <xf numFmtId="41" fontId="91" fillId="10" borderId="18" xfId="0" applyNumberFormat="1" applyFont="1" applyFill="1" applyBorder="1" applyAlignment="1">
      <alignment horizontal="center" vertical="center"/>
    </xf>
    <xf numFmtId="0" fontId="84" fillId="25" borderId="79" xfId="0" applyFont="1" applyFill="1" applyBorder="1" applyAlignment="1">
      <alignment horizontal="center" vertical="center"/>
    </xf>
    <xf numFmtId="0" fontId="84" fillId="25" borderId="221" xfId="0" applyFont="1" applyFill="1" applyBorder="1" applyAlignment="1">
      <alignment horizontal="center" vertical="center"/>
    </xf>
    <xf numFmtId="0" fontId="84" fillId="25" borderId="3" xfId="0" applyFont="1" applyFill="1" applyBorder="1" applyAlignment="1">
      <alignment horizontal="left" vertical="center" wrapText="1"/>
    </xf>
    <xf numFmtId="0" fontId="84" fillId="25" borderId="220" xfId="0" applyFont="1" applyFill="1" applyBorder="1" applyAlignment="1">
      <alignment horizontal="center" vertical="center"/>
    </xf>
    <xf numFmtId="0" fontId="84" fillId="25" borderId="4" xfId="0" applyFont="1" applyFill="1" applyBorder="1" applyAlignment="1">
      <alignment horizontal="left" vertical="center"/>
    </xf>
    <xf numFmtId="192" fontId="114" fillId="25" borderId="4" xfId="0" applyNumberFormat="1" applyFont="1" applyFill="1" applyBorder="1">
      <alignment vertical="center"/>
    </xf>
    <xf numFmtId="0" fontId="114" fillId="25" borderId="214" xfId="0" applyFont="1" applyFill="1" applyBorder="1" applyAlignment="1">
      <alignment horizontal="center" vertical="center"/>
    </xf>
    <xf numFmtId="192" fontId="114" fillId="25" borderId="133" xfId="0" applyNumberFormat="1" applyFont="1" applyFill="1" applyBorder="1" applyAlignment="1">
      <alignment horizontal="center" vertical="center"/>
    </xf>
    <xf numFmtId="0" fontId="114" fillId="31" borderId="119" xfId="0" applyFont="1" applyFill="1" applyBorder="1" applyAlignment="1">
      <alignment horizontal="left" vertical="center" wrapText="1"/>
    </xf>
    <xf numFmtId="41" fontId="106" fillId="25" borderId="94" xfId="0" applyNumberFormat="1" applyFont="1" applyFill="1" applyBorder="1">
      <alignment vertical="center"/>
    </xf>
    <xf numFmtId="0" fontId="183" fillId="13" borderId="12" xfId="8" applyFont="1" applyFill="1" applyBorder="1" applyAlignment="1">
      <alignment horizontal="center" vertical="center" wrapText="1"/>
    </xf>
    <xf numFmtId="41" fontId="91" fillId="4" borderId="203" xfId="0" applyNumberFormat="1" applyFont="1" applyFill="1" applyBorder="1" applyAlignment="1">
      <alignment horizontal="center" vertical="center"/>
    </xf>
    <xf numFmtId="41" fontId="91" fillId="4" borderId="202" xfId="0" applyNumberFormat="1" applyFont="1" applyFill="1" applyBorder="1" applyAlignment="1">
      <alignment horizontal="center" vertical="center"/>
    </xf>
    <xf numFmtId="41" fontId="91" fillId="4" borderId="204" xfId="0" applyNumberFormat="1" applyFont="1" applyFill="1" applyBorder="1" applyAlignment="1">
      <alignment horizontal="center" vertical="center"/>
    </xf>
    <xf numFmtId="185" fontId="91" fillId="4" borderId="196" xfId="5" applyNumberFormat="1" applyFont="1" applyFill="1" applyBorder="1" applyAlignment="1">
      <alignment vertical="center" wrapText="1"/>
    </xf>
    <xf numFmtId="0" fontId="91" fillId="4" borderId="196" xfId="0" applyFont="1" applyFill="1" applyBorder="1" applyAlignment="1">
      <alignment horizontal="center" vertical="center"/>
    </xf>
    <xf numFmtId="0" fontId="183" fillId="4" borderId="196" xfId="8" applyFont="1" applyFill="1" applyBorder="1">
      <alignment vertical="center"/>
    </xf>
    <xf numFmtId="41" fontId="91" fillId="4" borderId="198" xfId="0" applyNumberFormat="1" applyFont="1" applyFill="1" applyBorder="1">
      <alignment vertical="center"/>
    </xf>
    <xf numFmtId="183" fontId="91" fillId="4" borderId="204" xfId="0" applyNumberFormat="1" applyFont="1" applyFill="1" applyBorder="1" applyAlignment="1">
      <alignment horizontal="center" vertical="center"/>
    </xf>
    <xf numFmtId="0" fontId="91" fillId="35" borderId="88" xfId="0" applyFont="1" applyFill="1" applyBorder="1">
      <alignment vertical="center"/>
    </xf>
    <xf numFmtId="185" fontId="91" fillId="35" borderId="118" xfId="5" applyNumberFormat="1" applyFont="1" applyFill="1" applyBorder="1">
      <alignment vertical="center"/>
    </xf>
    <xf numFmtId="185" fontId="91" fillId="3" borderId="2" xfId="5" applyNumberFormat="1" applyFont="1" applyFill="1" applyBorder="1">
      <alignment vertical="center"/>
    </xf>
    <xf numFmtId="185" fontId="91" fillId="3" borderId="2" xfId="5" applyNumberFormat="1" applyFont="1" applyFill="1" applyBorder="1" applyAlignment="1">
      <alignment horizontal="center" vertical="center"/>
    </xf>
    <xf numFmtId="185" fontId="91" fillId="0" borderId="2" xfId="0" applyNumberFormat="1" applyFont="1" applyBorder="1">
      <alignment vertical="center"/>
    </xf>
    <xf numFmtId="185" fontId="91" fillId="2" borderId="2" xfId="5" applyNumberFormat="1" applyFont="1" applyFill="1" applyBorder="1">
      <alignment vertical="center"/>
    </xf>
    <xf numFmtId="0" fontId="91" fillId="35" borderId="23" xfId="0" applyFont="1" applyFill="1" applyBorder="1">
      <alignment vertical="center"/>
    </xf>
    <xf numFmtId="185" fontId="91" fillId="35" borderId="3" xfId="5" applyNumberFormat="1" applyFont="1" applyFill="1" applyBorder="1">
      <alignment vertical="center"/>
    </xf>
    <xf numFmtId="185" fontId="91" fillId="3" borderId="3" xfId="5" applyNumberFormat="1" applyFont="1" applyFill="1" applyBorder="1">
      <alignment vertical="center"/>
    </xf>
    <xf numFmtId="185" fontId="91" fillId="3" borderId="3" xfId="5" applyNumberFormat="1" applyFont="1" applyFill="1" applyBorder="1" applyAlignment="1">
      <alignment horizontal="center" vertical="center"/>
    </xf>
    <xf numFmtId="185" fontId="91" fillId="0" borderId="3" xfId="0" applyNumberFormat="1" applyFont="1" applyBorder="1">
      <alignment vertical="center"/>
    </xf>
    <xf numFmtId="185" fontId="91" fillId="2" borderId="3" xfId="5" applyNumberFormat="1" applyFont="1" applyFill="1" applyBorder="1">
      <alignment vertical="center"/>
    </xf>
    <xf numFmtId="0" fontId="178" fillId="17" borderId="23" xfId="0" applyFont="1" applyFill="1" applyBorder="1">
      <alignment vertical="center"/>
    </xf>
    <xf numFmtId="0" fontId="178" fillId="17" borderId="3" xfId="0" applyFont="1" applyFill="1" applyBorder="1">
      <alignment vertical="center"/>
    </xf>
    <xf numFmtId="0" fontId="178" fillId="34" borderId="23" xfId="0" applyFont="1" applyFill="1" applyBorder="1">
      <alignment vertical="center"/>
    </xf>
    <xf numFmtId="0" fontId="178" fillId="34" borderId="3" xfId="0" applyFont="1" applyFill="1" applyBorder="1">
      <alignment vertical="center"/>
    </xf>
    <xf numFmtId="185" fontId="91" fillId="0" borderId="9" xfId="0" applyNumberFormat="1" applyFont="1" applyBorder="1">
      <alignment vertical="center"/>
    </xf>
    <xf numFmtId="185" fontId="91" fillId="3" borderId="9" xfId="5" applyNumberFormat="1" applyFont="1" applyFill="1" applyBorder="1">
      <alignment vertical="center"/>
    </xf>
    <xf numFmtId="185" fontId="91" fillId="2" borderId="9" xfId="5" applyNumberFormat="1" applyFont="1" applyFill="1" applyBorder="1">
      <alignment vertical="center"/>
    </xf>
    <xf numFmtId="0" fontId="178" fillId="3" borderId="23" xfId="0" applyFont="1" applyFill="1" applyBorder="1">
      <alignment vertical="center"/>
    </xf>
    <xf numFmtId="185" fontId="178" fillId="3" borderId="3" xfId="5" applyNumberFormat="1" applyFont="1" applyFill="1" applyBorder="1">
      <alignment vertical="center"/>
    </xf>
    <xf numFmtId="0" fontId="91" fillId="3" borderId="23" xfId="0" applyFont="1" applyFill="1" applyBorder="1">
      <alignment vertical="center"/>
    </xf>
    <xf numFmtId="0" fontId="91" fillId="3" borderId="86" xfId="0" applyFont="1" applyFill="1" applyBorder="1">
      <alignment vertical="center"/>
    </xf>
    <xf numFmtId="185" fontId="91" fillId="3" borderId="11" xfId="5" applyNumberFormat="1" applyFont="1" applyFill="1" applyBorder="1">
      <alignment vertical="center"/>
    </xf>
    <xf numFmtId="185" fontId="91" fillId="3" borderId="0" xfId="5" applyNumberFormat="1" applyFont="1" applyFill="1" applyAlignment="1">
      <alignment horizontal="center" vertical="center"/>
    </xf>
    <xf numFmtId="0" fontId="134" fillId="3" borderId="0" xfId="0" applyFont="1" applyFill="1" applyAlignment="1">
      <alignment horizontal="center" vertical="center"/>
    </xf>
    <xf numFmtId="41" fontId="91" fillId="4" borderId="118" xfId="0" applyNumberFormat="1" applyFont="1" applyFill="1" applyBorder="1" applyAlignment="1">
      <alignment horizontal="center" vertical="center"/>
    </xf>
    <xf numFmtId="41" fontId="91" fillId="4" borderId="9" xfId="0" applyNumberFormat="1" applyFont="1" applyFill="1" applyBorder="1" applyAlignment="1">
      <alignment horizontal="center" vertical="center"/>
    </xf>
    <xf numFmtId="41" fontId="91" fillId="36" borderId="10" xfId="0" applyNumberFormat="1" applyFont="1" applyFill="1" applyBorder="1">
      <alignment vertical="center"/>
    </xf>
    <xf numFmtId="41" fontId="91" fillId="4" borderId="4" xfId="0" applyNumberFormat="1" applyFont="1" applyFill="1" applyBorder="1" applyAlignment="1">
      <alignment horizontal="center" vertical="center"/>
    </xf>
    <xf numFmtId="41" fontId="91" fillId="4" borderId="132" xfId="0" applyNumberFormat="1" applyFont="1" applyFill="1" applyBorder="1" applyAlignment="1">
      <alignment horizontal="center" vertical="center"/>
    </xf>
    <xf numFmtId="41" fontId="91" fillId="4" borderId="128" xfId="0" applyNumberFormat="1" applyFont="1" applyFill="1" applyBorder="1" applyAlignment="1">
      <alignment horizontal="center" vertical="center"/>
    </xf>
    <xf numFmtId="180" fontId="91" fillId="4" borderId="128" xfId="3" applyNumberFormat="1" applyFont="1" applyFill="1" applyBorder="1" applyAlignment="1">
      <alignment horizontal="center" vertical="center"/>
    </xf>
    <xf numFmtId="180" fontId="91" fillId="10" borderId="132" xfId="0" applyNumberFormat="1" applyFont="1" applyFill="1" applyBorder="1" applyAlignment="1">
      <alignment horizontal="center" vertical="center"/>
    </xf>
    <xf numFmtId="41" fontId="91" fillId="4" borderId="129" xfId="0" applyNumberFormat="1" applyFont="1" applyFill="1" applyBorder="1" applyAlignment="1">
      <alignment horizontal="center" vertical="center"/>
    </xf>
    <xf numFmtId="41" fontId="91" fillId="4" borderId="3" xfId="0" applyNumberFormat="1" applyFont="1" applyFill="1" applyBorder="1" applyAlignment="1">
      <alignment horizontal="left" vertical="center"/>
    </xf>
    <xf numFmtId="41" fontId="91" fillId="4" borderId="3" xfId="0" applyNumberFormat="1" applyFont="1" applyFill="1" applyBorder="1" applyAlignment="1">
      <alignment horizontal="center" vertical="center"/>
    </xf>
    <xf numFmtId="41" fontId="91" fillId="4" borderId="7" xfId="0" applyNumberFormat="1" applyFont="1" applyFill="1" applyBorder="1" applyAlignment="1">
      <alignment horizontal="center" vertical="center"/>
    </xf>
    <xf numFmtId="41" fontId="91" fillId="4" borderId="23" xfId="0" applyNumberFormat="1" applyFont="1" applyFill="1" applyBorder="1" applyAlignment="1">
      <alignment horizontal="center" vertical="center"/>
    </xf>
    <xf numFmtId="180" fontId="91" fillId="4" borderId="23" xfId="3" applyNumberFormat="1" applyFont="1" applyFill="1" applyBorder="1" applyAlignment="1">
      <alignment horizontal="center" vertical="center"/>
    </xf>
    <xf numFmtId="180" fontId="91" fillId="10" borderId="3" xfId="0" applyNumberFormat="1" applyFont="1" applyFill="1" applyBorder="1" applyAlignment="1">
      <alignment horizontal="center" vertical="center"/>
    </xf>
    <xf numFmtId="183" fontId="91" fillId="4" borderId="3" xfId="0" applyNumberFormat="1" applyFont="1" applyFill="1" applyBorder="1" applyAlignment="1">
      <alignment horizontal="center" vertical="center"/>
    </xf>
    <xf numFmtId="41" fontId="91" fillId="4" borderId="22" xfId="0" applyNumberFormat="1" applyFont="1" applyFill="1" applyBorder="1" applyAlignment="1">
      <alignment horizontal="center" vertical="center"/>
    </xf>
    <xf numFmtId="180" fontId="91" fillId="10" borderId="7" xfId="0" applyNumberFormat="1" applyFont="1" applyFill="1" applyBorder="1" applyAlignment="1">
      <alignment horizontal="center" vertical="center"/>
    </xf>
    <xf numFmtId="183" fontId="91" fillId="4" borderId="7" xfId="0" applyNumberFormat="1" applyFont="1" applyFill="1" applyBorder="1" applyAlignment="1">
      <alignment horizontal="center" vertical="center"/>
    </xf>
    <xf numFmtId="183" fontId="91" fillId="4" borderId="132" xfId="0" applyNumberFormat="1" applyFont="1" applyFill="1" applyBorder="1" applyAlignment="1">
      <alignment horizontal="center" vertical="center"/>
    </xf>
    <xf numFmtId="41" fontId="91" fillId="3" borderId="64" xfId="0" applyNumberFormat="1" applyFont="1" applyFill="1" applyBorder="1">
      <alignment vertical="center"/>
    </xf>
    <xf numFmtId="185" fontId="91" fillId="3" borderId="204" xfId="0" applyNumberFormat="1" applyFont="1" applyFill="1" applyBorder="1">
      <alignment vertical="center"/>
    </xf>
    <xf numFmtId="185" fontId="91" fillId="3" borderId="64" xfId="0" applyNumberFormat="1" applyFont="1" applyFill="1" applyBorder="1">
      <alignment vertical="center"/>
    </xf>
    <xf numFmtId="41" fontId="91" fillId="4" borderId="88" xfId="0" applyNumberFormat="1" applyFont="1" applyFill="1" applyBorder="1" applyAlignment="1">
      <alignment horizontal="center" vertical="center"/>
    </xf>
    <xf numFmtId="180" fontId="91" fillId="4" borderId="88" xfId="3" applyNumberFormat="1" applyFont="1" applyFill="1" applyBorder="1" applyAlignment="1">
      <alignment horizontal="center" vertical="center"/>
    </xf>
    <xf numFmtId="180" fontId="91" fillId="10" borderId="118" xfId="0" applyNumberFormat="1" applyFont="1" applyFill="1" applyBorder="1" applyAlignment="1">
      <alignment horizontal="center" vertical="center"/>
    </xf>
    <xf numFmtId="41" fontId="91" fillId="4" borderId="89" xfId="0" applyNumberFormat="1" applyFont="1" applyFill="1" applyBorder="1" applyAlignment="1">
      <alignment horizontal="center" vertical="center"/>
    </xf>
    <xf numFmtId="41" fontId="91" fillId="3" borderId="88" xfId="0" applyNumberFormat="1" applyFont="1" applyFill="1" applyBorder="1">
      <alignment vertical="center"/>
    </xf>
    <xf numFmtId="185" fontId="91" fillId="3" borderId="89" xfId="0" applyNumberFormat="1" applyFont="1" applyFill="1" applyBorder="1">
      <alignment vertical="center"/>
    </xf>
    <xf numFmtId="185" fontId="91" fillId="3" borderId="88" xfId="0" applyNumberFormat="1" applyFont="1" applyFill="1" applyBorder="1">
      <alignment vertical="center"/>
    </xf>
    <xf numFmtId="41" fontId="91" fillId="4" borderId="106" xfId="0" applyNumberFormat="1" applyFont="1" applyFill="1" applyBorder="1">
      <alignment vertical="center"/>
    </xf>
    <xf numFmtId="180" fontId="91" fillId="10" borderId="9" xfId="0" applyNumberFormat="1" applyFont="1" applyFill="1" applyBorder="1" applyAlignment="1">
      <alignment horizontal="center" vertical="center"/>
    </xf>
    <xf numFmtId="183" fontId="91" fillId="4" borderId="9" xfId="0" applyNumberFormat="1" applyFont="1" applyFill="1" applyBorder="1" applyAlignment="1">
      <alignment horizontal="center" vertical="center"/>
    </xf>
    <xf numFmtId="41" fontId="91" fillId="2" borderId="11" xfId="0" applyNumberFormat="1" applyFont="1" applyFill="1" applyBorder="1" applyAlignment="1">
      <alignment horizontal="left" vertical="center"/>
    </xf>
    <xf numFmtId="41" fontId="91" fillId="2" borderId="11" xfId="0" applyNumberFormat="1" applyFont="1" applyFill="1" applyBorder="1" applyAlignment="1">
      <alignment horizontal="center" vertical="center"/>
    </xf>
    <xf numFmtId="41" fontId="91" fillId="2" borderId="119" xfId="0" applyNumberFormat="1" applyFont="1" applyFill="1" applyBorder="1" applyAlignment="1">
      <alignment horizontal="center" vertical="center"/>
    </xf>
    <xf numFmtId="41" fontId="91" fillId="2" borderId="86" xfId="0" applyNumberFormat="1" applyFont="1" applyFill="1" applyBorder="1" applyAlignment="1">
      <alignment horizontal="center" vertical="center"/>
    </xf>
    <xf numFmtId="180" fontId="91" fillId="2" borderId="86" xfId="3" applyNumberFormat="1" applyFont="1" applyFill="1" applyBorder="1" applyAlignment="1">
      <alignment horizontal="center" vertical="center"/>
    </xf>
    <xf numFmtId="180" fontId="91" fillId="2" borderId="119" xfId="0" applyNumberFormat="1" applyFont="1" applyFill="1" applyBorder="1" applyAlignment="1">
      <alignment horizontal="center" vertical="center"/>
    </xf>
    <xf numFmtId="41" fontId="91" fillId="2" borderId="54" xfId="0" applyNumberFormat="1" applyFont="1" applyFill="1" applyBorder="1" applyAlignment="1">
      <alignment horizontal="center" vertical="center"/>
    </xf>
    <xf numFmtId="41" fontId="91" fillId="2" borderId="54" xfId="0" applyNumberFormat="1" applyFont="1" applyFill="1" applyBorder="1">
      <alignment vertical="center"/>
    </xf>
    <xf numFmtId="41" fontId="91" fillId="36" borderId="86" xfId="0" applyNumberFormat="1" applyFont="1" applyFill="1" applyBorder="1">
      <alignment vertical="center"/>
    </xf>
    <xf numFmtId="41" fontId="91" fillId="36" borderId="11" xfId="0" applyNumberFormat="1" applyFont="1" applyFill="1" applyBorder="1">
      <alignment vertical="center"/>
    </xf>
    <xf numFmtId="41" fontId="91" fillId="36" borderId="54" xfId="0" applyNumberFormat="1" applyFont="1" applyFill="1" applyBorder="1">
      <alignment vertical="center"/>
    </xf>
    <xf numFmtId="41" fontId="91" fillId="4" borderId="94" xfId="0" applyNumberFormat="1" applyFont="1" applyFill="1" applyBorder="1">
      <alignment vertical="center"/>
    </xf>
    <xf numFmtId="41" fontId="91" fillId="2" borderId="9" xfId="0" applyNumberFormat="1" applyFont="1" applyFill="1" applyBorder="1" applyAlignment="1">
      <alignment horizontal="left" vertical="center"/>
    </xf>
    <xf numFmtId="41" fontId="91" fillId="2" borderId="9" xfId="0" applyNumberFormat="1" applyFont="1" applyFill="1" applyBorder="1" applyAlignment="1">
      <alignment horizontal="center" vertical="center"/>
    </xf>
    <xf numFmtId="41" fontId="91" fillId="2" borderId="118" xfId="0" applyNumberFormat="1" applyFont="1" applyFill="1" applyBorder="1" applyAlignment="1">
      <alignment horizontal="center" vertical="center"/>
    </xf>
    <xf numFmtId="41" fontId="91" fillId="2" borderId="88" xfId="0" applyNumberFormat="1" applyFont="1" applyFill="1" applyBorder="1" applyAlignment="1">
      <alignment horizontal="center" vertical="center"/>
    </xf>
    <xf numFmtId="180" fontId="91" fillId="2" borderId="88" xfId="3" applyNumberFormat="1" applyFont="1" applyFill="1" applyBorder="1" applyAlignment="1">
      <alignment horizontal="center" vertical="center"/>
    </xf>
    <xf numFmtId="180" fontId="91" fillId="2" borderId="118" xfId="0" applyNumberFormat="1" applyFont="1" applyFill="1" applyBorder="1" applyAlignment="1">
      <alignment horizontal="center" vertical="center"/>
    </xf>
    <xf numFmtId="41" fontId="91" fillId="2" borderId="89" xfId="0" applyNumberFormat="1" applyFont="1" applyFill="1" applyBorder="1" applyAlignment="1">
      <alignment horizontal="center" vertical="center"/>
    </xf>
    <xf numFmtId="41" fontId="91" fillId="2" borderId="89" xfId="0" applyNumberFormat="1" applyFont="1" applyFill="1" applyBorder="1">
      <alignment vertical="center"/>
    </xf>
    <xf numFmtId="41" fontId="91" fillId="36" borderId="88" xfId="0" applyNumberFormat="1" applyFont="1" applyFill="1" applyBorder="1">
      <alignment vertical="center"/>
    </xf>
    <xf numFmtId="41" fontId="91" fillId="36" borderId="9" xfId="0" applyNumberFormat="1" applyFont="1" applyFill="1" applyBorder="1">
      <alignment vertical="center"/>
    </xf>
    <xf numFmtId="41" fontId="91" fillId="36" borderId="89" xfId="0" applyNumberFormat="1" applyFont="1" applyFill="1" applyBorder="1">
      <alignment vertical="center"/>
    </xf>
    <xf numFmtId="41" fontId="15" fillId="4" borderId="1" xfId="0" applyNumberFormat="1" applyFont="1" applyFill="1" applyBorder="1" applyAlignment="1">
      <alignment vertical="top"/>
    </xf>
    <xf numFmtId="41" fontId="116" fillId="3" borderId="7" xfId="0" applyNumberFormat="1" applyFont="1" applyFill="1" applyBorder="1">
      <alignment vertical="center"/>
    </xf>
    <xf numFmtId="185" fontId="91" fillId="26" borderId="3" xfId="5" applyNumberFormat="1" applyFont="1" applyFill="1" applyBorder="1">
      <alignment vertical="center"/>
    </xf>
    <xf numFmtId="185" fontId="91" fillId="26" borderId="9" xfId="5" applyNumberFormat="1" applyFont="1" applyFill="1" applyBorder="1">
      <alignment vertical="center"/>
    </xf>
    <xf numFmtId="191" fontId="82" fillId="0" borderId="0" xfId="1" applyNumberFormat="1" applyFont="1">
      <alignment vertical="center"/>
    </xf>
    <xf numFmtId="192" fontId="82" fillId="4" borderId="204" xfId="0" applyNumberFormat="1" applyFont="1" applyFill="1" applyBorder="1" applyAlignment="1">
      <alignment horizontal="center" vertical="center"/>
    </xf>
    <xf numFmtId="41" fontId="82" fillId="4" borderId="13" xfId="0" applyNumberFormat="1" applyFont="1" applyFill="1" applyBorder="1">
      <alignment vertical="center"/>
    </xf>
    <xf numFmtId="41" fontId="82" fillId="4" borderId="46" xfId="0" applyNumberFormat="1" applyFont="1" applyFill="1" applyBorder="1">
      <alignment vertical="center"/>
    </xf>
    <xf numFmtId="41" fontId="82" fillId="4" borderId="73" xfId="0" applyNumberFormat="1" applyFont="1" applyFill="1" applyBorder="1">
      <alignment vertical="center"/>
    </xf>
    <xf numFmtId="41" fontId="82" fillId="4" borderId="70" xfId="0" applyNumberFormat="1" applyFont="1" applyFill="1" applyBorder="1">
      <alignment vertical="center"/>
    </xf>
    <xf numFmtId="41" fontId="82" fillId="4" borderId="66" xfId="0" applyNumberFormat="1" applyFont="1" applyFill="1" applyBorder="1">
      <alignment vertical="center"/>
    </xf>
    <xf numFmtId="190" fontId="82" fillId="4" borderId="204" xfId="0" applyNumberFormat="1" applyFont="1" applyFill="1" applyBorder="1" applyAlignment="1">
      <alignment horizontal="center" vertical="center"/>
    </xf>
    <xf numFmtId="192" fontId="91" fillId="4" borderId="27" xfId="0" applyNumberFormat="1" applyFont="1" applyFill="1" applyBorder="1">
      <alignment vertical="center"/>
    </xf>
    <xf numFmtId="192" fontId="91" fillId="4" borderId="18" xfId="0" applyNumberFormat="1" applyFont="1" applyFill="1" applyBorder="1">
      <alignment vertical="center"/>
    </xf>
    <xf numFmtId="0" fontId="37" fillId="3" borderId="0" xfId="0" applyFont="1" applyFill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0" fontId="108" fillId="3" borderId="63" xfId="0" quotePrefix="1" applyFont="1" applyFill="1" applyBorder="1" applyAlignment="1">
      <alignment horizontal="left" vertical="top" wrapText="1"/>
    </xf>
    <xf numFmtId="0" fontId="108" fillId="3" borderId="72" xfId="0" quotePrefix="1" applyFont="1" applyFill="1" applyBorder="1" applyAlignment="1">
      <alignment horizontal="left" vertical="top" wrapText="1"/>
    </xf>
    <xf numFmtId="0" fontId="108" fillId="3" borderId="8" xfId="0" quotePrefix="1" applyFont="1" applyFill="1" applyBorder="1" applyAlignment="1">
      <alignment horizontal="left" vertical="top" wrapText="1"/>
    </xf>
    <xf numFmtId="0" fontId="108" fillId="3" borderId="10" xfId="0" quotePrefix="1" applyFont="1" applyFill="1" applyBorder="1" applyAlignment="1">
      <alignment horizontal="left" vertical="top" wrapText="1"/>
    </xf>
    <xf numFmtId="0" fontId="108" fillId="3" borderId="42" xfId="0" quotePrefix="1" applyFont="1" applyFill="1" applyBorder="1" applyAlignment="1">
      <alignment horizontal="left" vertical="top" wrapText="1"/>
    </xf>
    <xf numFmtId="0" fontId="108" fillId="3" borderId="56" xfId="0" quotePrefix="1" applyFont="1" applyFill="1" applyBorder="1" applyAlignment="1">
      <alignment horizontal="left" vertical="top" wrapText="1"/>
    </xf>
    <xf numFmtId="0" fontId="110" fillId="13" borderId="28" xfId="0" applyFont="1" applyFill="1" applyBorder="1" applyAlignment="1">
      <alignment horizontal="center" vertical="center"/>
    </xf>
    <xf numFmtId="0" fontId="108" fillId="13" borderId="28" xfId="0" applyFont="1" applyFill="1" applyBorder="1" applyAlignment="1">
      <alignment horizontal="center" vertical="center"/>
    </xf>
    <xf numFmtId="0" fontId="108" fillId="3" borderId="48" xfId="0" quotePrefix="1" applyFont="1" applyFill="1" applyBorder="1" applyAlignment="1">
      <alignment horizontal="left" vertical="center"/>
    </xf>
    <xf numFmtId="0" fontId="108" fillId="3" borderId="62" xfId="0" quotePrefix="1" applyFont="1" applyFill="1" applyBorder="1" applyAlignment="1">
      <alignment horizontal="left" vertical="center"/>
    </xf>
    <xf numFmtId="0" fontId="108" fillId="3" borderId="28" xfId="0" applyFont="1" applyFill="1" applyBorder="1" applyAlignment="1">
      <alignment horizontal="left" vertical="center"/>
    </xf>
    <xf numFmtId="0" fontId="108" fillId="0" borderId="28" xfId="0" applyFont="1" applyBorder="1" applyAlignment="1">
      <alignment horizontal="left" vertical="center"/>
    </xf>
    <xf numFmtId="0" fontId="108" fillId="3" borderId="202" xfId="0" quotePrefix="1" applyFont="1" applyFill="1" applyBorder="1" applyAlignment="1">
      <alignment horizontal="left" vertical="center" wrapText="1"/>
    </xf>
    <xf numFmtId="0" fontId="108" fillId="3" borderId="42" xfId="0" quotePrefix="1" applyFont="1" applyFill="1" applyBorder="1" applyAlignment="1">
      <alignment horizontal="left" vertical="center" wrapText="1"/>
    </xf>
    <xf numFmtId="0" fontId="108" fillId="3" borderId="48" xfId="0" quotePrefix="1" applyFont="1" applyFill="1" applyBorder="1" applyAlignment="1">
      <alignment horizontal="left" vertical="center" wrapText="1"/>
    </xf>
    <xf numFmtId="0" fontId="108" fillId="3" borderId="62" xfId="0" quotePrefix="1" applyFont="1" applyFill="1" applyBorder="1" applyAlignment="1">
      <alignment horizontal="left" vertical="center" wrapText="1"/>
    </xf>
    <xf numFmtId="0" fontId="110" fillId="13" borderId="48" xfId="0" applyFont="1" applyFill="1" applyBorder="1" applyAlignment="1">
      <alignment horizontal="center" vertical="center"/>
    </xf>
    <xf numFmtId="0" fontId="110" fillId="13" borderId="6" xfId="0" applyFont="1" applyFill="1" applyBorder="1" applyAlignment="1">
      <alignment horizontal="center" vertical="center"/>
    </xf>
    <xf numFmtId="0" fontId="110" fillId="13" borderId="62" xfId="0" applyFont="1" applyFill="1" applyBorder="1" applyAlignment="1">
      <alignment horizontal="center" vertical="center"/>
    </xf>
    <xf numFmtId="192" fontId="110" fillId="13" borderId="48" xfId="0" applyNumberFormat="1" applyFont="1" applyFill="1" applyBorder="1" applyAlignment="1">
      <alignment horizontal="center" vertical="center"/>
    </xf>
    <xf numFmtId="192" fontId="110" fillId="13" borderId="62" xfId="0" applyNumberFormat="1" applyFont="1" applyFill="1" applyBorder="1" applyAlignment="1">
      <alignment horizontal="center" vertical="center"/>
    </xf>
    <xf numFmtId="0" fontId="107" fillId="3" borderId="0" xfId="0" applyFont="1" applyFill="1" applyAlignment="1">
      <alignment horizontal="center" vertical="center"/>
    </xf>
    <xf numFmtId="0" fontId="111" fillId="3" borderId="48" xfId="0" quotePrefix="1" applyFont="1" applyFill="1" applyBorder="1" applyAlignment="1">
      <alignment horizontal="left" vertical="center" wrapText="1"/>
    </xf>
    <xf numFmtId="0" fontId="111" fillId="3" borderId="62" xfId="0" quotePrefix="1" applyFont="1" applyFill="1" applyBorder="1" applyAlignment="1">
      <alignment horizontal="left" vertical="center" wrapText="1"/>
    </xf>
    <xf numFmtId="0" fontId="111" fillId="3" borderId="48" xfId="0" quotePrefix="1" applyFont="1" applyFill="1" applyBorder="1" applyAlignment="1">
      <alignment horizontal="left" vertical="center"/>
    </xf>
    <xf numFmtId="0" fontId="111" fillId="3" borderId="62" xfId="0" quotePrefix="1" applyFont="1" applyFill="1" applyBorder="1" applyAlignment="1">
      <alignment horizontal="left" vertical="center"/>
    </xf>
    <xf numFmtId="0" fontId="4" fillId="3" borderId="48" xfId="0" quotePrefix="1" applyFont="1" applyFill="1" applyBorder="1" applyAlignment="1">
      <alignment horizontal="left" vertical="center" wrapText="1"/>
    </xf>
    <xf numFmtId="0" fontId="91" fillId="3" borderId="1" xfId="0" applyFont="1" applyFill="1" applyBorder="1" applyAlignment="1">
      <alignment horizontal="center" vertical="center" wrapText="1"/>
    </xf>
    <xf numFmtId="0" fontId="91" fillId="3" borderId="1" xfId="0" applyFont="1" applyFill="1" applyBorder="1" applyAlignment="1">
      <alignment horizontal="center" vertical="center"/>
    </xf>
    <xf numFmtId="0" fontId="91" fillId="3" borderId="5" xfId="0" applyFont="1" applyFill="1" applyBorder="1" applyAlignment="1">
      <alignment horizontal="center" vertical="center"/>
    </xf>
    <xf numFmtId="0" fontId="91" fillId="3" borderId="203" xfId="0" applyFont="1" applyFill="1" applyBorder="1" applyAlignment="1">
      <alignment horizontal="center" vertical="center"/>
    </xf>
    <xf numFmtId="0" fontId="91" fillId="3" borderId="203" xfId="0" quotePrefix="1" applyFont="1" applyFill="1" applyBorder="1" applyAlignment="1">
      <alignment horizontal="left" vertical="center"/>
    </xf>
    <xf numFmtId="0" fontId="91" fillId="3" borderId="1" xfId="0" quotePrefix="1" applyFont="1" applyFill="1" applyBorder="1" applyAlignment="1">
      <alignment horizontal="left" vertical="center"/>
    </xf>
    <xf numFmtId="0" fontId="91" fillId="3" borderId="5" xfId="0" quotePrefix="1" applyFont="1" applyFill="1" applyBorder="1" applyAlignment="1">
      <alignment horizontal="left" vertical="center"/>
    </xf>
    <xf numFmtId="0" fontId="91" fillId="3" borderId="61" xfId="0" applyFont="1" applyFill="1" applyBorder="1" applyAlignment="1">
      <alignment horizontal="center" vertical="center"/>
    </xf>
    <xf numFmtId="41" fontId="82" fillId="4" borderId="27" xfId="0" applyNumberFormat="1" applyFont="1" applyFill="1" applyBorder="1" applyAlignment="1">
      <alignment horizontal="left" vertical="top"/>
    </xf>
    <xf numFmtId="41" fontId="82" fillId="4" borderId="1" xfId="0" applyNumberFormat="1" applyFont="1" applyFill="1" applyBorder="1" applyAlignment="1">
      <alignment horizontal="left" vertical="top"/>
    </xf>
    <xf numFmtId="41" fontId="82" fillId="4" borderId="9" xfId="0" applyNumberFormat="1" applyFont="1" applyFill="1" applyBorder="1" applyAlignment="1">
      <alignment horizontal="left" vertical="top"/>
    </xf>
    <xf numFmtId="0" fontId="106" fillId="4" borderId="58" xfId="0" applyFont="1" applyFill="1" applyBorder="1" applyAlignment="1">
      <alignment horizontal="center" vertical="center"/>
    </xf>
    <xf numFmtId="0" fontId="106" fillId="4" borderId="55" xfId="0" applyFont="1" applyFill="1" applyBorder="1" applyAlignment="1">
      <alignment horizontal="center" vertical="center"/>
    </xf>
    <xf numFmtId="0" fontId="106" fillId="4" borderId="35" xfId="0" applyFont="1" applyFill="1" applyBorder="1" applyAlignment="1">
      <alignment horizontal="center" vertical="center"/>
    </xf>
    <xf numFmtId="0" fontId="106" fillId="4" borderId="1" xfId="0" applyFont="1" applyFill="1" applyBorder="1" applyAlignment="1">
      <alignment horizontal="center" vertical="center"/>
    </xf>
    <xf numFmtId="0" fontId="106" fillId="4" borderId="8" xfId="0" applyFont="1" applyFill="1" applyBorder="1" applyAlignment="1">
      <alignment horizontal="center" vertical="center"/>
    </xf>
    <xf numFmtId="0" fontId="106" fillId="4" borderId="42" xfId="0" applyFont="1" applyFill="1" applyBorder="1" applyAlignment="1">
      <alignment horizontal="center" vertical="center"/>
    </xf>
    <xf numFmtId="41" fontId="82" fillId="4" borderId="5" xfId="0" applyNumberFormat="1" applyFont="1" applyFill="1" applyBorder="1" applyAlignment="1">
      <alignment horizontal="left" vertical="top"/>
    </xf>
    <xf numFmtId="0" fontId="106" fillId="4" borderId="27" xfId="0" applyFont="1" applyFill="1" applyBorder="1" applyAlignment="1">
      <alignment horizontal="center" vertical="center"/>
    </xf>
    <xf numFmtId="0" fontId="91" fillId="4" borderId="15" xfId="0" applyFont="1" applyFill="1" applyBorder="1" applyAlignment="1">
      <alignment horizontal="center" vertical="center"/>
    </xf>
    <xf numFmtId="0" fontId="91" fillId="4" borderId="45" xfId="0" applyFont="1" applyFill="1" applyBorder="1" applyAlignment="1">
      <alignment horizontal="center" vertical="center"/>
    </xf>
    <xf numFmtId="0" fontId="91" fillId="4" borderId="67" xfId="0" applyFont="1" applyFill="1" applyBorder="1" applyAlignment="1">
      <alignment horizontal="center" vertical="center"/>
    </xf>
    <xf numFmtId="9" fontId="106" fillId="4" borderId="48" xfId="0" applyNumberFormat="1" applyFont="1" applyFill="1" applyBorder="1" applyAlignment="1">
      <alignment vertical="center" wrapText="1"/>
    </xf>
    <xf numFmtId="9" fontId="106" fillId="4" borderId="6" xfId="0" applyNumberFormat="1" applyFont="1" applyFill="1" applyBorder="1" applyAlignment="1">
      <alignment vertical="center" wrapText="1"/>
    </xf>
    <xf numFmtId="9" fontId="106" fillId="4" borderId="62" xfId="0" applyNumberFormat="1" applyFont="1" applyFill="1" applyBorder="1" applyAlignment="1">
      <alignment vertical="center" wrapText="1"/>
    </xf>
    <xf numFmtId="0" fontId="106" fillId="4" borderId="15" xfId="0" applyFont="1" applyFill="1" applyBorder="1" applyAlignment="1">
      <alignment horizontal="center" vertical="center"/>
    </xf>
    <xf numFmtId="0" fontId="106" fillId="4" borderId="45" xfId="0" applyFont="1" applyFill="1" applyBorder="1" applyAlignment="1">
      <alignment horizontal="center" vertical="center"/>
    </xf>
    <xf numFmtId="0" fontId="106" fillId="4" borderId="67" xfId="0" applyFont="1" applyFill="1" applyBorder="1" applyAlignment="1">
      <alignment horizontal="center" vertical="center"/>
    </xf>
    <xf numFmtId="0" fontId="114" fillId="4" borderId="15" xfId="0" applyFont="1" applyFill="1" applyBorder="1" applyAlignment="1">
      <alignment horizontal="center" vertical="center"/>
    </xf>
    <xf numFmtId="0" fontId="114" fillId="4" borderId="45" xfId="0" applyFont="1" applyFill="1" applyBorder="1" applyAlignment="1">
      <alignment horizontal="center" vertical="center"/>
    </xf>
    <xf numFmtId="0" fontId="114" fillId="4" borderId="67" xfId="0" applyFont="1" applyFill="1" applyBorder="1" applyAlignment="1">
      <alignment horizontal="center" vertical="center"/>
    </xf>
    <xf numFmtId="41" fontId="82" fillId="4" borderId="27" xfId="0" applyNumberFormat="1" applyFont="1" applyFill="1" applyBorder="1" applyAlignment="1">
      <alignment horizontal="center" vertical="center"/>
    </xf>
    <xf numFmtId="41" fontId="82" fillId="4" borderId="1" xfId="0" applyNumberFormat="1" applyFont="1" applyFill="1" applyBorder="1" applyAlignment="1">
      <alignment horizontal="center" vertical="center"/>
    </xf>
    <xf numFmtId="41" fontId="82" fillId="4" borderId="5" xfId="0" applyNumberFormat="1" applyFont="1" applyFill="1" applyBorder="1" applyAlignment="1">
      <alignment horizontal="center" vertical="center"/>
    </xf>
    <xf numFmtId="41" fontId="82" fillId="4" borderId="8" xfId="0" applyNumberFormat="1" applyFont="1" applyFill="1" applyBorder="1" applyAlignment="1">
      <alignment horizontal="center" vertical="center"/>
    </xf>
    <xf numFmtId="41" fontId="82" fillId="4" borderId="27" xfId="0" applyNumberFormat="1" applyFont="1" applyFill="1" applyBorder="1">
      <alignment vertical="center"/>
    </xf>
    <xf numFmtId="41" fontId="82" fillId="4" borderId="1" xfId="0" applyNumberFormat="1" applyFont="1" applyFill="1" applyBorder="1">
      <alignment vertical="center"/>
    </xf>
    <xf numFmtId="41" fontId="82" fillId="4" borderId="1" xfId="0" applyNumberFormat="1" applyFont="1" applyFill="1" applyBorder="1" applyAlignment="1">
      <alignment horizontal="left" vertical="center"/>
    </xf>
    <xf numFmtId="41" fontId="82" fillId="4" borderId="5" xfId="0" applyNumberFormat="1" applyFont="1" applyFill="1" applyBorder="1" applyAlignment="1">
      <alignment horizontal="left" vertical="center"/>
    </xf>
    <xf numFmtId="0" fontId="106" fillId="4" borderId="64" xfId="0" applyFont="1" applyFill="1" applyBorder="1" applyAlignment="1">
      <alignment horizontal="center" vertical="center"/>
    </xf>
    <xf numFmtId="0" fontId="106" fillId="4" borderId="63" xfId="0" applyFont="1" applyFill="1" applyBorder="1" applyAlignment="1">
      <alignment horizontal="center" vertical="center"/>
    </xf>
    <xf numFmtId="0" fontId="106" fillId="4" borderId="6" xfId="0" applyFont="1" applyFill="1" applyBorder="1" applyAlignment="1">
      <alignment horizontal="center" vertical="center"/>
    </xf>
    <xf numFmtId="0" fontId="106" fillId="4" borderId="62" xfId="0" applyFont="1" applyFill="1" applyBorder="1" applyAlignment="1">
      <alignment horizontal="center" vertical="center"/>
    </xf>
    <xf numFmtId="0" fontId="106" fillId="4" borderId="63" xfId="0" applyFont="1" applyFill="1" applyBorder="1" applyAlignment="1">
      <alignment horizontal="left" vertical="center"/>
    </xf>
    <xf numFmtId="0" fontId="106" fillId="4" borderId="42" xfId="0" applyFont="1" applyFill="1" applyBorder="1" applyAlignment="1">
      <alignment horizontal="left" vertical="center"/>
    </xf>
    <xf numFmtId="41" fontId="82" fillId="4" borderId="48" xfId="0" applyNumberFormat="1" applyFont="1" applyFill="1" applyBorder="1" applyAlignment="1">
      <alignment horizontal="center" vertical="center"/>
    </xf>
    <xf numFmtId="41" fontId="82" fillId="4" borderId="6" xfId="0" applyNumberFormat="1" applyFont="1" applyFill="1" applyBorder="1" applyAlignment="1">
      <alignment horizontal="center" vertical="center"/>
    </xf>
    <xf numFmtId="41" fontId="82" fillId="4" borderId="62" xfId="0" applyNumberFormat="1" applyFont="1" applyFill="1" applyBorder="1" applyAlignment="1">
      <alignment horizontal="center" vertical="center"/>
    </xf>
    <xf numFmtId="9" fontId="106" fillId="4" borderId="48" xfId="0" applyNumberFormat="1" applyFont="1" applyFill="1" applyBorder="1" applyAlignment="1">
      <alignment horizontal="center" vertical="center"/>
    </xf>
    <xf numFmtId="9" fontId="106" fillId="4" borderId="6" xfId="0" applyNumberFormat="1" applyFont="1" applyFill="1" applyBorder="1" applyAlignment="1">
      <alignment horizontal="center" vertical="center"/>
    </xf>
    <xf numFmtId="9" fontId="106" fillId="4" borderId="62" xfId="0" applyNumberFormat="1" applyFont="1" applyFill="1" applyBorder="1" applyAlignment="1">
      <alignment horizontal="center" vertical="center"/>
    </xf>
    <xf numFmtId="0" fontId="114" fillId="4" borderId="68" xfId="0" applyFont="1" applyFill="1" applyBorder="1" applyAlignment="1">
      <alignment horizontal="center" vertical="center" wrapText="1"/>
    </xf>
    <xf numFmtId="0" fontId="114" fillId="4" borderId="91" xfId="0" applyFont="1" applyFill="1" applyBorder="1" applyAlignment="1">
      <alignment horizontal="center" vertical="center" wrapText="1"/>
    </xf>
    <xf numFmtId="0" fontId="114" fillId="4" borderId="66" xfId="0" applyFont="1" applyFill="1" applyBorder="1" applyAlignment="1">
      <alignment horizontal="center" vertical="center" wrapText="1"/>
    </xf>
    <xf numFmtId="0" fontId="106" fillId="4" borderId="73" xfId="0" applyFont="1" applyFill="1" applyBorder="1" applyAlignment="1">
      <alignment horizontal="center" vertical="center"/>
    </xf>
    <xf numFmtId="0" fontId="106" fillId="4" borderId="91" xfId="0" applyFont="1" applyFill="1" applyBorder="1" applyAlignment="1">
      <alignment horizontal="center" vertical="center"/>
    </xf>
    <xf numFmtId="0" fontId="106" fillId="4" borderId="66" xfId="0" applyFont="1" applyFill="1" applyBorder="1" applyAlignment="1">
      <alignment horizontal="center" vertical="center"/>
    </xf>
    <xf numFmtId="9" fontId="106" fillId="4" borderId="43" xfId="0" applyNumberFormat="1" applyFont="1" applyFill="1" applyBorder="1" applyAlignment="1">
      <alignment horizontal="center" vertical="center"/>
    </xf>
    <xf numFmtId="9" fontId="106" fillId="4" borderId="74" xfId="0" applyNumberFormat="1" applyFont="1" applyFill="1" applyBorder="1" applyAlignment="1">
      <alignment horizontal="center" vertical="center"/>
    </xf>
    <xf numFmtId="9" fontId="106" fillId="4" borderId="76" xfId="0" applyNumberFormat="1" applyFont="1" applyFill="1" applyBorder="1" applyAlignment="1">
      <alignment horizontal="center" vertical="center"/>
    </xf>
    <xf numFmtId="41" fontId="82" fillId="4" borderId="203" xfId="0" applyNumberFormat="1" applyFont="1" applyFill="1" applyBorder="1" applyAlignment="1">
      <alignment horizontal="center" vertical="center"/>
    </xf>
    <xf numFmtId="0" fontId="114" fillId="4" borderId="18" xfId="0" applyFont="1" applyFill="1" applyBorder="1" applyAlignment="1">
      <alignment horizontal="center" vertical="center"/>
    </xf>
    <xf numFmtId="0" fontId="114" fillId="4" borderId="59" xfId="0" applyFont="1" applyFill="1" applyBorder="1" applyAlignment="1">
      <alignment horizontal="center" vertical="center"/>
    </xf>
    <xf numFmtId="0" fontId="114" fillId="4" borderId="1" xfId="0" applyFont="1" applyFill="1" applyBorder="1" applyAlignment="1">
      <alignment horizontal="center" vertical="center"/>
    </xf>
    <xf numFmtId="0" fontId="114" fillId="4" borderId="27" xfId="0" applyFont="1" applyFill="1" applyBorder="1" applyAlignment="1">
      <alignment horizontal="center" vertical="center"/>
    </xf>
    <xf numFmtId="0" fontId="114" fillId="4" borderId="5" xfId="0" applyFont="1" applyFill="1" applyBorder="1" applyAlignment="1">
      <alignment horizontal="center" vertical="center"/>
    </xf>
    <xf numFmtId="0" fontId="114" fillId="4" borderId="58" xfId="0" applyFont="1" applyFill="1" applyBorder="1" applyAlignment="1">
      <alignment horizontal="center" vertical="center"/>
    </xf>
    <xf numFmtId="0" fontId="114" fillId="4" borderId="55" xfId="0" applyFont="1" applyFill="1" applyBorder="1" applyAlignment="1">
      <alignment horizontal="center" vertical="center"/>
    </xf>
    <xf numFmtId="0" fontId="114" fillId="4" borderId="13" xfId="0" applyFont="1" applyFill="1" applyBorder="1" applyAlignment="1">
      <alignment horizontal="center" vertical="center"/>
    </xf>
    <xf numFmtId="0" fontId="114" fillId="2" borderId="18" xfId="0" applyFont="1" applyFill="1" applyBorder="1" applyAlignment="1">
      <alignment horizontal="center" vertical="center"/>
    </xf>
    <xf numFmtId="0" fontId="114" fillId="2" borderId="27" xfId="0" applyFont="1" applyFill="1" applyBorder="1" applyAlignment="1">
      <alignment horizontal="center" vertical="center"/>
    </xf>
    <xf numFmtId="0" fontId="114" fillId="4" borderId="112" xfId="0" applyFont="1" applyFill="1" applyBorder="1" applyAlignment="1">
      <alignment horizontal="center" vertical="center"/>
    </xf>
    <xf numFmtId="41" fontId="106" fillId="4" borderId="27" xfId="0" applyNumberFormat="1" applyFont="1" applyFill="1" applyBorder="1" applyAlignment="1">
      <alignment horizontal="center" vertical="center"/>
    </xf>
    <xf numFmtId="0" fontId="114" fillId="4" borderId="190" xfId="0" applyFont="1" applyFill="1" applyBorder="1" applyAlignment="1">
      <alignment horizontal="center" vertical="center"/>
    </xf>
    <xf numFmtId="0" fontId="114" fillId="4" borderId="191" xfId="0" applyFont="1" applyFill="1" applyBorder="1" applyAlignment="1">
      <alignment horizontal="center" vertical="center"/>
    </xf>
    <xf numFmtId="0" fontId="91" fillId="4" borderId="190" xfId="0" applyFont="1" applyFill="1" applyBorder="1" applyAlignment="1">
      <alignment horizontal="center" vertical="center"/>
    </xf>
    <xf numFmtId="0" fontId="91" fillId="4" borderId="191" xfId="0" applyFont="1" applyFill="1" applyBorder="1" applyAlignment="1">
      <alignment horizontal="center" vertical="center"/>
    </xf>
    <xf numFmtId="0" fontId="91" fillId="4" borderId="1" xfId="0" applyFont="1" applyFill="1" applyBorder="1" applyAlignment="1">
      <alignment horizontal="center" vertical="center"/>
    </xf>
    <xf numFmtId="0" fontId="91" fillId="4" borderId="5" xfId="0" applyFont="1" applyFill="1" applyBorder="1" applyAlignment="1">
      <alignment horizontal="center" vertical="center"/>
    </xf>
    <xf numFmtId="0" fontId="91" fillId="4" borderId="205" xfId="0" applyFont="1" applyFill="1" applyBorder="1" applyAlignment="1">
      <alignment horizontal="center" vertical="center"/>
    </xf>
    <xf numFmtId="0" fontId="91" fillId="4" borderId="206" xfId="0" applyFont="1" applyFill="1" applyBorder="1" applyAlignment="1">
      <alignment horizontal="center" vertical="center"/>
    </xf>
    <xf numFmtId="0" fontId="91" fillId="4" borderId="207" xfId="0" applyFont="1" applyFill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7" fillId="3" borderId="6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6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24" fillId="0" borderId="175" xfId="0" applyFont="1" applyBorder="1" applyAlignment="1">
      <alignment horizontal="center" vertical="center"/>
    </xf>
    <xf numFmtId="0" fontId="24" fillId="0" borderId="97" xfId="0" applyFont="1" applyBorder="1" applyAlignment="1">
      <alignment horizontal="center" vertical="center"/>
    </xf>
    <xf numFmtId="0" fontId="24" fillId="0" borderId="100" xfId="0" applyFont="1" applyBorder="1" applyAlignment="1">
      <alignment horizontal="center" vertical="center"/>
    </xf>
    <xf numFmtId="0" fontId="20" fillId="0" borderId="175" xfId="0" applyFont="1" applyBorder="1" applyAlignment="1">
      <alignment horizontal="center" vertical="center"/>
    </xf>
    <xf numFmtId="0" fontId="20" fillId="0" borderId="97" xfId="0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/>
    </xf>
    <xf numFmtId="38" fontId="24" fillId="8" borderId="165" xfId="0" applyNumberFormat="1" applyFont="1" applyFill="1" applyBorder="1" applyAlignment="1">
      <alignment horizontal="center" vertical="center"/>
    </xf>
    <xf numFmtId="38" fontId="24" fillId="8" borderId="166" xfId="0" applyNumberFormat="1" applyFont="1" applyFill="1" applyBorder="1" applyAlignment="1">
      <alignment horizontal="center" vertical="center"/>
    </xf>
    <xf numFmtId="38" fontId="24" fillId="8" borderId="167" xfId="0" applyNumberFormat="1" applyFont="1" applyFill="1" applyBorder="1" applyAlignment="1">
      <alignment horizontal="center" vertical="center"/>
    </xf>
    <xf numFmtId="176" fontId="24" fillId="7" borderId="166" xfId="0" applyNumberFormat="1" applyFont="1" applyFill="1" applyBorder="1" applyAlignment="1">
      <alignment horizontal="center" vertical="center"/>
    </xf>
    <xf numFmtId="176" fontId="24" fillId="7" borderId="167" xfId="0" applyNumberFormat="1" applyFont="1" applyFill="1" applyBorder="1" applyAlignment="1">
      <alignment horizontal="center" vertical="center"/>
    </xf>
    <xf numFmtId="38" fontId="24" fillId="8" borderId="168" xfId="0" applyNumberFormat="1" applyFont="1" applyFill="1" applyBorder="1" applyAlignment="1">
      <alignment horizontal="center" vertical="center"/>
    </xf>
    <xf numFmtId="176" fontId="24" fillId="7" borderId="165" xfId="0" applyNumberFormat="1" applyFont="1" applyFill="1" applyBorder="1" applyAlignment="1">
      <alignment horizontal="center" vertical="center"/>
    </xf>
    <xf numFmtId="188" fontId="14" fillId="7" borderId="164" xfId="0" applyNumberFormat="1" applyFont="1" applyFill="1" applyBorder="1" applyAlignment="1">
      <alignment horizontal="center" vertical="center" wrapText="1"/>
    </xf>
    <xf numFmtId="188" fontId="14" fillId="7" borderId="146" xfId="0" applyNumberFormat="1" applyFont="1" applyFill="1" applyBorder="1" applyAlignment="1">
      <alignment horizontal="center" vertical="center"/>
    </xf>
    <xf numFmtId="188" fontId="14" fillId="7" borderId="162" xfId="0" applyNumberFormat="1" applyFont="1" applyFill="1" applyBorder="1" applyAlignment="1">
      <alignment horizontal="center" vertical="center" wrapText="1"/>
    </xf>
    <xf numFmtId="188" fontId="14" fillId="7" borderId="145" xfId="0" applyNumberFormat="1" applyFont="1" applyFill="1" applyBorder="1" applyAlignment="1">
      <alignment horizontal="center" vertical="center"/>
    </xf>
    <xf numFmtId="188" fontId="14" fillId="7" borderId="163" xfId="0" applyNumberFormat="1" applyFont="1" applyFill="1" applyBorder="1" applyAlignment="1">
      <alignment horizontal="center" vertical="center" wrapText="1"/>
    </xf>
    <xf numFmtId="188" fontId="14" fillId="7" borderId="28" xfId="0" applyNumberFormat="1" applyFont="1" applyFill="1" applyBorder="1" applyAlignment="1">
      <alignment horizontal="center" vertical="center"/>
    </xf>
    <xf numFmtId="0" fontId="24" fillId="7" borderId="153" xfId="0" applyFont="1" applyFill="1" applyBorder="1" applyAlignment="1">
      <alignment horizontal="center" vertical="center"/>
    </xf>
    <xf numFmtId="0" fontId="24" fillId="7" borderId="169" xfId="0" applyFont="1" applyFill="1" applyBorder="1" applyAlignment="1">
      <alignment horizontal="center" vertical="center"/>
    </xf>
    <xf numFmtId="0" fontId="14" fillId="7" borderId="102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14" fillId="4" borderId="26" xfId="0" applyFont="1" applyFill="1" applyBorder="1" applyAlignment="1">
      <alignment horizontal="center" vertical="center"/>
    </xf>
    <xf numFmtId="0" fontId="114" fillId="4" borderId="10" xfId="0" applyFont="1" applyFill="1" applyBorder="1" applyAlignment="1">
      <alignment horizontal="center" vertical="center"/>
    </xf>
    <xf numFmtId="0" fontId="114" fillId="4" borderId="66" xfId="0" applyFont="1" applyFill="1" applyBorder="1" applyAlignment="1">
      <alignment horizontal="center" vertical="center"/>
    </xf>
    <xf numFmtId="0" fontId="114" fillId="4" borderId="35" xfId="0" applyFont="1" applyFill="1" applyBorder="1" applyAlignment="1">
      <alignment horizontal="center" vertical="center"/>
    </xf>
    <xf numFmtId="0" fontId="114" fillId="4" borderId="65" xfId="0" applyFont="1" applyFill="1" applyBorder="1" applyAlignment="1">
      <alignment horizontal="center" vertical="center"/>
    </xf>
    <xf numFmtId="0" fontId="114" fillId="4" borderId="8" xfId="0" applyFont="1" applyFill="1" applyBorder="1" applyAlignment="1">
      <alignment horizontal="center" vertical="center"/>
    </xf>
    <xf numFmtId="0" fontId="114" fillId="4" borderId="42" xfId="0" applyFont="1" applyFill="1" applyBorder="1" applyAlignment="1">
      <alignment horizontal="center" vertical="center"/>
    </xf>
    <xf numFmtId="41" fontId="91" fillId="4" borderId="27" xfId="0" applyNumberFormat="1" applyFont="1" applyFill="1" applyBorder="1" applyAlignment="1">
      <alignment horizontal="left" vertical="center"/>
    </xf>
    <xf numFmtId="41" fontId="91" fillId="4" borderId="1" xfId="0" applyNumberFormat="1" applyFont="1" applyFill="1" applyBorder="1" applyAlignment="1">
      <alignment horizontal="left" vertical="center"/>
    </xf>
    <xf numFmtId="41" fontId="91" fillId="4" borderId="5" xfId="0" applyNumberFormat="1" applyFont="1" applyFill="1" applyBorder="1" applyAlignment="1">
      <alignment horizontal="left" vertical="center"/>
    </xf>
    <xf numFmtId="0" fontId="114" fillId="4" borderId="64" xfId="0" applyFont="1" applyFill="1" applyBorder="1" applyAlignment="1">
      <alignment horizontal="center" vertical="center"/>
    </xf>
    <xf numFmtId="0" fontId="114" fillId="4" borderId="63" xfId="0" applyFont="1" applyFill="1" applyBorder="1" applyAlignment="1">
      <alignment horizontal="center" vertical="center"/>
    </xf>
    <xf numFmtId="0" fontId="114" fillId="4" borderId="16" xfId="0" applyFont="1" applyFill="1" applyBorder="1" applyAlignment="1">
      <alignment horizontal="center" vertical="center"/>
    </xf>
    <xf numFmtId="0" fontId="114" fillId="4" borderId="61" xfId="0" applyFont="1" applyFill="1" applyBorder="1" applyAlignment="1">
      <alignment horizontal="center" vertical="center"/>
    </xf>
    <xf numFmtId="185" fontId="91" fillId="4" borderId="34" xfId="0" applyNumberFormat="1" applyFont="1" applyFill="1" applyBorder="1" applyAlignment="1">
      <alignment horizontal="center" vertical="center" wrapText="1"/>
    </xf>
    <xf numFmtId="185" fontId="91" fillId="4" borderId="69" xfId="0" applyNumberFormat="1" applyFont="1" applyFill="1" applyBorder="1" applyAlignment="1">
      <alignment horizontal="center" vertical="center" wrapText="1"/>
    </xf>
    <xf numFmtId="185" fontId="91" fillId="4" borderId="46" xfId="0" applyNumberFormat="1" applyFont="1" applyFill="1" applyBorder="1" applyAlignment="1">
      <alignment horizontal="center" vertical="center" wrapText="1"/>
    </xf>
    <xf numFmtId="41" fontId="91" fillId="4" borderId="8" xfId="0" applyNumberFormat="1" applyFont="1" applyFill="1" applyBorder="1" applyAlignment="1">
      <alignment horizontal="center" vertical="center"/>
    </xf>
    <xf numFmtId="41" fontId="91" fillId="4" borderId="0" xfId="0" applyNumberFormat="1" applyFont="1" applyFill="1" applyAlignment="1">
      <alignment horizontal="center" vertical="center"/>
    </xf>
    <xf numFmtId="41" fontId="91" fillId="4" borderId="10" xfId="0" applyNumberFormat="1" applyFont="1" applyFill="1" applyBorder="1" applyAlignment="1">
      <alignment horizontal="center" vertical="center"/>
    </xf>
    <xf numFmtId="41" fontId="91" fillId="4" borderId="68" xfId="0" applyNumberFormat="1" applyFont="1" applyFill="1" applyBorder="1" applyAlignment="1">
      <alignment horizontal="center" vertical="center"/>
    </xf>
    <xf numFmtId="41" fontId="91" fillId="4" borderId="91" xfId="0" applyNumberFormat="1" applyFont="1" applyFill="1" applyBorder="1" applyAlignment="1">
      <alignment horizontal="center" vertical="center"/>
    </xf>
    <xf numFmtId="41" fontId="91" fillId="4" borderId="66" xfId="0" applyNumberFormat="1" applyFont="1" applyFill="1" applyBorder="1" applyAlignment="1">
      <alignment horizontal="center" vertical="center"/>
    </xf>
    <xf numFmtId="0" fontId="114" fillId="4" borderId="43" xfId="0" applyFont="1" applyFill="1" applyBorder="1" applyAlignment="1">
      <alignment horizontal="center" vertical="center"/>
    </xf>
    <xf numFmtId="0" fontId="114" fillId="4" borderId="74" xfId="0" applyFont="1" applyFill="1" applyBorder="1" applyAlignment="1">
      <alignment horizontal="center" vertical="center"/>
    </xf>
    <xf numFmtId="0" fontId="114" fillId="4" borderId="70" xfId="0" applyFont="1" applyFill="1" applyBorder="1" applyAlignment="1">
      <alignment horizontal="center" vertical="center"/>
    </xf>
    <xf numFmtId="0" fontId="114" fillId="4" borderId="20" xfId="0" applyFont="1" applyFill="1" applyBorder="1" applyAlignment="1">
      <alignment horizontal="center" vertical="center"/>
    </xf>
    <xf numFmtId="0" fontId="91" fillId="4" borderId="65" xfId="0" applyFont="1" applyFill="1" applyBorder="1" applyAlignment="1">
      <alignment horizontal="center" vertical="center"/>
    </xf>
    <xf numFmtId="0" fontId="91" fillId="4" borderId="50" xfId="0" applyFont="1" applyFill="1" applyBorder="1" applyAlignment="1">
      <alignment horizontal="center" vertical="center"/>
    </xf>
    <xf numFmtId="0" fontId="91" fillId="4" borderId="25" xfId="0" applyFont="1" applyFill="1" applyBorder="1" applyAlignment="1">
      <alignment horizontal="center" vertical="center"/>
    </xf>
    <xf numFmtId="0" fontId="91" fillId="4" borderId="8" xfId="0" applyFont="1" applyFill="1" applyBorder="1" applyAlignment="1">
      <alignment horizontal="center" vertical="center"/>
    </xf>
    <xf numFmtId="0" fontId="91" fillId="4" borderId="0" xfId="0" applyFont="1" applyFill="1" applyAlignment="1">
      <alignment horizontal="center" vertical="center"/>
    </xf>
    <xf numFmtId="0" fontId="91" fillId="4" borderId="24" xfId="0" applyFont="1" applyFill="1" applyBorder="1" applyAlignment="1">
      <alignment horizontal="center" vertical="center"/>
    </xf>
    <xf numFmtId="0" fontId="91" fillId="4" borderId="42" xfId="0" applyFont="1" applyFill="1" applyBorder="1" applyAlignment="1">
      <alignment horizontal="center" vertical="center"/>
    </xf>
    <xf numFmtId="0" fontId="91" fillId="4" borderId="107" xfId="0" applyFont="1" applyFill="1" applyBorder="1" applyAlignment="1">
      <alignment horizontal="center" vertical="center"/>
    </xf>
    <xf numFmtId="0" fontId="91" fillId="4" borderId="110" xfId="0" applyFont="1" applyFill="1" applyBorder="1" applyAlignment="1">
      <alignment horizontal="center" vertical="center"/>
    </xf>
    <xf numFmtId="0" fontId="114" fillId="4" borderId="40" xfId="0" applyFont="1" applyFill="1" applyBorder="1" applyAlignment="1">
      <alignment horizontal="center" vertical="center"/>
    </xf>
    <xf numFmtId="0" fontId="91" fillId="4" borderId="38" xfId="0" applyFont="1" applyFill="1" applyBorder="1" applyAlignment="1">
      <alignment horizontal="center" vertical="center"/>
    </xf>
    <xf numFmtId="0" fontId="114" fillId="4" borderId="76" xfId="0" applyFont="1" applyFill="1" applyBorder="1" applyAlignment="1">
      <alignment horizontal="center" vertical="center"/>
    </xf>
    <xf numFmtId="0" fontId="91" fillId="4" borderId="21" xfId="0" applyFont="1" applyFill="1" applyBorder="1" applyAlignment="1">
      <alignment horizontal="center" vertical="center"/>
    </xf>
    <xf numFmtId="0" fontId="91" fillId="4" borderId="80" xfId="0" applyFont="1" applyFill="1" applyBorder="1" applyAlignment="1">
      <alignment horizontal="center" vertical="center"/>
    </xf>
    <xf numFmtId="0" fontId="114" fillId="8" borderId="36" xfId="0" applyFont="1" applyFill="1" applyBorder="1" applyAlignment="1">
      <alignment horizontal="center" vertical="center"/>
    </xf>
    <xf numFmtId="0" fontId="114" fillId="8" borderId="111" xfId="0" applyFont="1" applyFill="1" applyBorder="1" applyAlignment="1">
      <alignment horizontal="center" vertical="center"/>
    </xf>
    <xf numFmtId="0" fontId="114" fillId="8" borderId="84" xfId="0" applyFont="1" applyFill="1" applyBorder="1" applyAlignment="1">
      <alignment horizontal="center" vertical="center"/>
    </xf>
    <xf numFmtId="0" fontId="114" fillId="8" borderId="40" xfId="0" applyFont="1" applyFill="1" applyBorder="1" applyAlignment="1">
      <alignment horizontal="center" vertical="center"/>
    </xf>
    <xf numFmtId="0" fontId="114" fillId="8" borderId="74" xfId="0" applyFont="1" applyFill="1" applyBorder="1" applyAlignment="1">
      <alignment horizontal="center" vertical="center"/>
    </xf>
    <xf numFmtId="0" fontId="114" fillId="8" borderId="70" xfId="0" applyFont="1" applyFill="1" applyBorder="1" applyAlignment="1">
      <alignment horizontal="center" vertical="center"/>
    </xf>
    <xf numFmtId="41" fontId="91" fillId="4" borderId="118" xfId="0" applyNumberFormat="1" applyFont="1" applyFill="1" applyBorder="1" applyAlignment="1">
      <alignment horizontal="center" vertical="center"/>
    </xf>
    <xf numFmtId="41" fontId="91" fillId="4" borderId="114" xfId="0" applyNumberFormat="1" applyFont="1" applyFill="1" applyBorder="1" applyAlignment="1">
      <alignment horizontal="center" vertical="center"/>
    </xf>
    <xf numFmtId="41" fontId="91" fillId="4" borderId="65" xfId="0" applyNumberFormat="1" applyFont="1" applyFill="1" applyBorder="1" applyAlignment="1">
      <alignment horizontal="center" vertical="center"/>
    </xf>
    <xf numFmtId="41" fontId="91" fillId="4" borderId="50" xfId="0" applyNumberFormat="1" applyFont="1" applyFill="1" applyBorder="1" applyAlignment="1">
      <alignment horizontal="center" vertical="center"/>
    </xf>
    <xf numFmtId="41" fontId="91" fillId="4" borderId="119" xfId="0" applyNumberFormat="1" applyFont="1" applyFill="1" applyBorder="1" applyAlignment="1">
      <alignment horizontal="center" vertical="center"/>
    </xf>
    <xf numFmtId="41" fontId="91" fillId="4" borderId="115" xfId="0" applyNumberFormat="1" applyFont="1" applyFill="1" applyBorder="1" applyAlignment="1">
      <alignment horizontal="center" vertical="center"/>
    </xf>
    <xf numFmtId="41" fontId="114" fillId="4" borderId="43" xfId="0" applyNumberFormat="1" applyFont="1" applyFill="1" applyBorder="1" applyAlignment="1">
      <alignment horizontal="center" vertical="center"/>
    </xf>
    <xf numFmtId="41" fontId="114" fillId="4" borderId="74" xfId="0" applyNumberFormat="1" applyFont="1" applyFill="1" applyBorder="1" applyAlignment="1">
      <alignment horizontal="center" vertical="center"/>
    </xf>
    <xf numFmtId="41" fontId="114" fillId="4" borderId="70" xfId="0" applyNumberFormat="1" applyFont="1" applyFill="1" applyBorder="1" applyAlignment="1">
      <alignment horizontal="center" vertical="center"/>
    </xf>
    <xf numFmtId="0" fontId="114" fillId="4" borderId="36" xfId="0" applyFont="1" applyFill="1" applyBorder="1" applyAlignment="1">
      <alignment horizontal="center" vertical="center"/>
    </xf>
    <xf numFmtId="0" fontId="114" fillId="4" borderId="111" xfId="0" applyFont="1" applyFill="1" applyBorder="1" applyAlignment="1">
      <alignment horizontal="center" vertical="center"/>
    </xf>
    <xf numFmtId="0" fontId="114" fillId="4" borderId="84" xfId="0" applyFont="1" applyFill="1" applyBorder="1" applyAlignment="1">
      <alignment horizontal="center" vertical="center"/>
    </xf>
    <xf numFmtId="41" fontId="114" fillId="4" borderId="6" xfId="0" applyNumberFormat="1" applyFont="1" applyFill="1" applyBorder="1" applyAlignment="1">
      <alignment horizontal="center" vertical="center"/>
    </xf>
    <xf numFmtId="0" fontId="114" fillId="4" borderId="68" xfId="0" applyFont="1" applyFill="1" applyBorder="1" applyAlignment="1">
      <alignment horizontal="center" vertical="center"/>
    </xf>
    <xf numFmtId="0" fontId="114" fillId="4" borderId="6" xfId="0" applyFont="1" applyFill="1" applyBorder="1" applyAlignment="1">
      <alignment horizontal="center" vertical="center"/>
    </xf>
    <xf numFmtId="193" fontId="114" fillId="4" borderId="20" xfId="0" applyNumberFormat="1" applyFont="1" applyFill="1" applyBorder="1" applyAlignment="1">
      <alignment horizontal="center" vertical="center" wrapText="1"/>
    </xf>
    <xf numFmtId="193" fontId="114" fillId="4" borderId="16" xfId="0" applyNumberFormat="1" applyFont="1" applyFill="1" applyBorder="1" applyAlignment="1">
      <alignment horizontal="center" vertical="center" wrapText="1"/>
    </xf>
    <xf numFmtId="0" fontId="114" fillId="4" borderId="43" xfId="0" applyFont="1" applyFill="1" applyBorder="1" applyAlignment="1">
      <alignment horizontal="left" vertical="center"/>
    </xf>
    <xf numFmtId="0" fontId="114" fillId="4" borderId="91" xfId="0" applyFont="1" applyFill="1" applyBorder="1" applyAlignment="1">
      <alignment horizontal="left" vertical="center"/>
    </xf>
    <xf numFmtId="0" fontId="114" fillId="4" borderId="66" xfId="0" applyFont="1" applyFill="1" applyBorder="1" applyAlignment="1">
      <alignment horizontal="left" vertical="center"/>
    </xf>
    <xf numFmtId="192" fontId="91" fillId="4" borderId="43" xfId="0" applyNumberFormat="1" applyFont="1" applyFill="1" applyBorder="1" applyAlignment="1">
      <alignment horizontal="center" vertical="center"/>
    </xf>
    <xf numFmtId="192" fontId="91" fillId="4" borderId="70" xfId="0" applyNumberFormat="1" applyFont="1" applyFill="1" applyBorder="1" applyAlignment="1">
      <alignment horizontal="center" vertical="center"/>
    </xf>
    <xf numFmtId="192" fontId="114" fillId="4" borderId="20" xfId="0" applyNumberFormat="1" applyFont="1" applyFill="1" applyBorder="1" applyAlignment="1">
      <alignment horizontal="center" vertical="center"/>
    </xf>
    <xf numFmtId="192" fontId="114" fillId="4" borderId="16" xfId="0" applyNumberFormat="1" applyFont="1" applyFill="1" applyBorder="1" applyAlignment="1">
      <alignment horizontal="center" vertical="center"/>
    </xf>
    <xf numFmtId="0" fontId="11" fillId="4" borderId="58" xfId="0" applyFont="1" applyFill="1" applyBorder="1" applyAlignment="1">
      <alignment horizontal="center" vertical="center" wrapText="1"/>
    </xf>
    <xf numFmtId="0" fontId="11" fillId="4" borderId="55" xfId="0" applyFont="1" applyFill="1" applyBorder="1" applyAlignment="1">
      <alignment horizontal="center" vertical="center" wrapText="1"/>
    </xf>
    <xf numFmtId="0" fontId="11" fillId="4" borderId="64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66" fillId="4" borderId="15" xfId="0" applyFont="1" applyFill="1" applyBorder="1" applyAlignment="1">
      <alignment horizontal="center" vertical="center"/>
    </xf>
    <xf numFmtId="0" fontId="66" fillId="4" borderId="45" xfId="0" applyFont="1" applyFill="1" applyBorder="1" applyAlignment="1">
      <alignment horizontal="center" vertical="center"/>
    </xf>
    <xf numFmtId="0" fontId="66" fillId="4" borderId="16" xfId="0" applyFont="1" applyFill="1" applyBorder="1" applyAlignment="1">
      <alignment horizontal="center" vertical="center"/>
    </xf>
    <xf numFmtId="180" fontId="14" fillId="4" borderId="15" xfId="0" applyNumberFormat="1" applyFont="1" applyFill="1" applyBorder="1" applyAlignment="1">
      <alignment horizontal="center" vertical="center"/>
    </xf>
    <xf numFmtId="180" fontId="14" fillId="4" borderId="45" xfId="0" applyNumberFormat="1" applyFont="1" applyFill="1" applyBorder="1" applyAlignment="1">
      <alignment horizontal="center" vertical="center"/>
    </xf>
    <xf numFmtId="180" fontId="14" fillId="4" borderId="16" xfId="0" applyNumberFormat="1" applyFont="1" applyFill="1" applyBorder="1" applyAlignment="1">
      <alignment horizontal="center" vertical="center"/>
    </xf>
    <xf numFmtId="41" fontId="11" fillId="4" borderId="15" xfId="0" applyNumberFormat="1" applyFont="1" applyFill="1" applyBorder="1" applyAlignment="1">
      <alignment horizontal="center" vertical="center"/>
    </xf>
    <xf numFmtId="41" fontId="11" fillId="4" borderId="67" xfId="0" applyNumberFormat="1" applyFont="1" applyFill="1" applyBorder="1" applyAlignment="1">
      <alignment horizontal="center" vertical="center"/>
    </xf>
    <xf numFmtId="41" fontId="11" fillId="4" borderId="80" xfId="0" applyNumberFormat="1" applyFont="1" applyFill="1" applyBorder="1" applyAlignment="1">
      <alignment horizontal="center" vertical="center"/>
    </xf>
    <xf numFmtId="41" fontId="11" fillId="4" borderId="21" xfId="0" applyNumberFormat="1" applyFont="1" applyFill="1" applyBorder="1" applyAlignment="1">
      <alignment horizontal="center" vertical="center"/>
    </xf>
    <xf numFmtId="41" fontId="11" fillId="4" borderId="38" xfId="0" applyNumberFormat="1" applyFont="1" applyFill="1" applyBorder="1" applyAlignment="1">
      <alignment horizontal="center" vertical="center"/>
    </xf>
    <xf numFmtId="0" fontId="11" fillId="4" borderId="45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1" fillId="4" borderId="67" xfId="0" applyFont="1" applyFill="1" applyBorder="1" applyAlignment="1">
      <alignment horizontal="center" vertical="center"/>
    </xf>
    <xf numFmtId="178" fontId="66" fillId="12" borderId="0" xfId="0" applyNumberFormat="1" applyFont="1" applyFill="1" applyAlignment="1">
      <alignment horizontal="center" vertical="center"/>
    </xf>
    <xf numFmtId="180" fontId="11" fillId="4" borderId="20" xfId="0" applyNumberFormat="1" applyFont="1" applyFill="1" applyBorder="1" applyAlignment="1">
      <alignment horizontal="center" vertical="center"/>
    </xf>
    <xf numFmtId="180" fontId="11" fillId="4" borderId="67" xfId="0" applyNumberFormat="1" applyFont="1" applyFill="1" applyBorder="1" applyAlignment="1">
      <alignment horizontal="center" vertical="center"/>
    </xf>
    <xf numFmtId="41" fontId="10" fillId="4" borderId="65" xfId="0" applyNumberFormat="1" applyFont="1" applyFill="1" applyBorder="1" applyAlignment="1">
      <alignment horizontal="center" vertical="top"/>
    </xf>
    <xf numFmtId="41" fontId="10" fillId="4" borderId="8" xfId="0" applyNumberFormat="1" applyFont="1" applyFill="1" applyBorder="1" applyAlignment="1">
      <alignment horizontal="center" vertical="top"/>
    </xf>
    <xf numFmtId="41" fontId="10" fillId="4" borderId="68" xfId="0" applyNumberFormat="1" applyFont="1" applyFill="1" applyBorder="1" applyAlignment="1">
      <alignment horizontal="center" vertical="top"/>
    </xf>
    <xf numFmtId="41" fontId="11" fillId="4" borderId="37" xfId="0" applyNumberFormat="1" applyFont="1" applyFill="1" applyBorder="1" applyAlignment="1">
      <alignment horizontal="center" vertical="center"/>
    </xf>
    <xf numFmtId="41" fontId="11" fillId="4" borderId="45" xfId="0" applyNumberFormat="1" applyFont="1" applyFill="1" applyBorder="1" applyAlignment="1">
      <alignment horizontal="center" vertical="center"/>
    </xf>
    <xf numFmtId="41" fontId="11" fillId="4" borderId="16" xfId="0" applyNumberFormat="1" applyFont="1" applyFill="1" applyBorder="1" applyAlignment="1">
      <alignment horizontal="center" vertical="center"/>
    </xf>
    <xf numFmtId="41" fontId="10" fillId="4" borderId="80" xfId="0" applyNumberFormat="1" applyFont="1" applyFill="1" applyBorder="1" applyAlignment="1">
      <alignment horizontal="center" vertical="top"/>
    </xf>
    <xf numFmtId="41" fontId="10" fillId="4" borderId="21" xfId="0" applyNumberFormat="1" applyFont="1" applyFill="1" applyBorder="1" applyAlignment="1">
      <alignment horizontal="center" vertical="top"/>
    </xf>
    <xf numFmtId="41" fontId="10" fillId="4" borderId="73" xfId="0" applyNumberFormat="1" applyFont="1" applyFill="1" applyBorder="1" applyAlignment="1">
      <alignment horizontal="center" vertical="top"/>
    </xf>
    <xf numFmtId="0" fontId="104" fillId="4" borderId="64" xfId="0" applyFont="1" applyFill="1" applyBorder="1" applyAlignment="1">
      <alignment horizontal="center" vertical="center"/>
    </xf>
    <xf numFmtId="0" fontId="104" fillId="4" borderId="35" xfId="0" applyFont="1" applyFill="1" applyBorder="1" applyAlignment="1">
      <alignment horizontal="center" vertical="center"/>
    </xf>
    <xf numFmtId="178" fontId="112" fillId="12" borderId="61" xfId="0" applyNumberFormat="1" applyFont="1" applyFill="1" applyBorder="1" applyAlignment="1">
      <alignment horizontal="center" vertical="center" wrapText="1"/>
    </xf>
    <xf numFmtId="178" fontId="112" fillId="12" borderId="5" xfId="0" applyNumberFormat="1" applyFont="1" applyFill="1" applyBorder="1" applyAlignment="1">
      <alignment horizontal="center" vertical="center" wrapText="1"/>
    </xf>
    <xf numFmtId="178" fontId="110" fillId="12" borderId="61" xfId="0" applyNumberFormat="1" applyFont="1" applyFill="1" applyBorder="1" applyAlignment="1">
      <alignment horizontal="center" vertical="center" wrapText="1"/>
    </xf>
    <xf numFmtId="178" fontId="110" fillId="12" borderId="5" xfId="0" applyNumberFormat="1" applyFont="1" applyFill="1" applyBorder="1" applyAlignment="1">
      <alignment horizontal="center" vertical="center" wrapText="1"/>
    </xf>
    <xf numFmtId="0" fontId="91" fillId="4" borderId="64" xfId="0" applyFont="1" applyFill="1" applyBorder="1" applyAlignment="1">
      <alignment horizontal="center" vertical="center"/>
    </xf>
    <xf numFmtId="0" fontId="91" fillId="4" borderId="35" xfId="0" applyFont="1" applyFill="1" applyBorder="1" applyAlignment="1">
      <alignment horizontal="center" vertical="center"/>
    </xf>
    <xf numFmtId="41" fontId="114" fillId="4" borderId="15" xfId="0" applyNumberFormat="1" applyFont="1" applyFill="1" applyBorder="1" applyAlignment="1">
      <alignment horizontal="center" vertical="center"/>
    </xf>
    <xf numFmtId="41" fontId="114" fillId="4" borderId="67" xfId="0" applyNumberFormat="1" applyFont="1" applyFill="1" applyBorder="1" applyAlignment="1">
      <alignment horizontal="center" vertical="center"/>
    </xf>
    <xf numFmtId="41" fontId="91" fillId="4" borderId="65" xfId="0" applyNumberFormat="1" applyFont="1" applyFill="1" applyBorder="1" applyAlignment="1">
      <alignment horizontal="center" vertical="top"/>
    </xf>
    <xf numFmtId="41" fontId="91" fillId="4" borderId="8" xfId="0" applyNumberFormat="1" applyFont="1" applyFill="1" applyBorder="1" applyAlignment="1">
      <alignment horizontal="center" vertical="top"/>
    </xf>
    <xf numFmtId="41" fontId="91" fillId="4" borderId="68" xfId="0" applyNumberFormat="1" applyFont="1" applyFill="1" applyBorder="1" applyAlignment="1">
      <alignment horizontal="center" vertical="top"/>
    </xf>
    <xf numFmtId="0" fontId="114" fillId="4" borderId="91" xfId="0" applyFont="1" applyFill="1" applyBorder="1" applyAlignment="1">
      <alignment horizontal="center" vertical="center"/>
    </xf>
    <xf numFmtId="180" fontId="106" fillId="4" borderId="15" xfId="0" applyNumberFormat="1" applyFont="1" applyFill="1" applyBorder="1" applyAlignment="1">
      <alignment horizontal="center" vertical="center"/>
    </xf>
    <xf numFmtId="180" fontId="106" fillId="4" borderId="45" xfId="0" applyNumberFormat="1" applyFont="1" applyFill="1" applyBorder="1" applyAlignment="1">
      <alignment horizontal="center" vertical="center"/>
    </xf>
    <xf numFmtId="180" fontId="106" fillId="4" borderId="16" xfId="0" applyNumberFormat="1" applyFont="1" applyFill="1" applyBorder="1" applyAlignment="1">
      <alignment horizontal="center" vertical="center"/>
    </xf>
    <xf numFmtId="180" fontId="114" fillId="4" borderId="20" xfId="0" applyNumberFormat="1" applyFont="1" applyFill="1" applyBorder="1" applyAlignment="1">
      <alignment horizontal="center" vertical="center"/>
    </xf>
    <xf numFmtId="180" fontId="114" fillId="4" borderId="67" xfId="0" applyNumberFormat="1" applyFont="1" applyFill="1" applyBorder="1" applyAlignment="1">
      <alignment horizontal="center" vertical="center"/>
    </xf>
    <xf numFmtId="0" fontId="82" fillId="4" borderId="8" xfId="0" applyFont="1" applyFill="1" applyBorder="1" applyAlignment="1">
      <alignment horizontal="left" vertical="center"/>
    </xf>
    <xf numFmtId="0" fontId="82" fillId="4" borderId="10" xfId="0" applyFont="1" applyFill="1" applyBorder="1" applyAlignment="1">
      <alignment horizontal="left" vertical="center"/>
    </xf>
    <xf numFmtId="0" fontId="110" fillId="4" borderId="15" xfId="0" applyFont="1" applyFill="1" applyBorder="1" applyAlignment="1">
      <alignment horizontal="center" vertical="center"/>
    </xf>
    <xf numFmtId="0" fontId="110" fillId="4" borderId="45" xfId="0" applyFont="1" applyFill="1" applyBorder="1" applyAlignment="1">
      <alignment horizontal="center" vertical="center"/>
    </xf>
    <xf numFmtId="0" fontId="110" fillId="4" borderId="16" xfId="0" applyFont="1" applyFill="1" applyBorder="1" applyAlignment="1">
      <alignment horizontal="center" vertical="center"/>
    </xf>
    <xf numFmtId="41" fontId="114" fillId="4" borderId="58" xfId="0" applyNumberFormat="1" applyFont="1" applyFill="1" applyBorder="1" applyAlignment="1">
      <alignment horizontal="center" vertical="center"/>
    </xf>
    <xf numFmtId="41" fontId="114" fillId="4" borderId="55" xfId="0" applyNumberFormat="1" applyFont="1" applyFill="1" applyBorder="1" applyAlignment="1">
      <alignment horizontal="center" vertical="center"/>
    </xf>
    <xf numFmtId="41" fontId="114" fillId="4" borderId="38" xfId="0" applyNumberFormat="1" applyFont="1" applyFill="1" applyBorder="1" applyAlignment="1">
      <alignment horizontal="center" vertical="center"/>
    </xf>
    <xf numFmtId="41" fontId="114" fillId="4" borderId="37" xfId="0" applyNumberFormat="1" applyFont="1" applyFill="1" applyBorder="1" applyAlignment="1">
      <alignment horizontal="center" vertical="center"/>
    </xf>
    <xf numFmtId="41" fontId="114" fillId="4" borderId="21" xfId="0" applyNumberFormat="1" applyFont="1" applyFill="1" applyBorder="1" applyAlignment="1">
      <alignment horizontal="center" vertical="center"/>
    </xf>
    <xf numFmtId="41" fontId="114" fillId="4" borderId="45" xfId="0" applyNumberFormat="1" applyFont="1" applyFill="1" applyBorder="1" applyAlignment="1">
      <alignment horizontal="center" vertical="center"/>
    </xf>
    <xf numFmtId="41" fontId="114" fillId="4" borderId="16" xfId="0" applyNumberFormat="1" applyFont="1" applyFill="1" applyBorder="1" applyAlignment="1">
      <alignment horizontal="center" vertical="center"/>
    </xf>
    <xf numFmtId="0" fontId="114" fillId="4" borderId="58" xfId="0" applyFont="1" applyFill="1" applyBorder="1" applyAlignment="1">
      <alignment horizontal="center" vertical="center" wrapText="1"/>
    </xf>
    <xf numFmtId="0" fontId="114" fillId="4" borderId="55" xfId="0" applyFont="1" applyFill="1" applyBorder="1" applyAlignment="1">
      <alignment horizontal="center" vertical="center" wrapText="1"/>
    </xf>
    <xf numFmtId="0" fontId="114" fillId="4" borderId="64" xfId="0" applyFont="1" applyFill="1" applyBorder="1" applyAlignment="1">
      <alignment horizontal="center" vertical="center" wrapText="1"/>
    </xf>
    <xf numFmtId="0" fontId="114" fillId="4" borderId="80" xfId="0" applyFont="1" applyFill="1" applyBorder="1" applyAlignment="1">
      <alignment horizontal="center" vertical="center"/>
    </xf>
    <xf numFmtId="0" fontId="114" fillId="4" borderId="50" xfId="0" applyFont="1" applyFill="1" applyBorder="1" applyAlignment="1">
      <alignment horizontal="center" vertical="center"/>
    </xf>
    <xf numFmtId="0" fontId="114" fillId="4" borderId="25" xfId="0" applyFont="1" applyFill="1" applyBorder="1" applyAlignment="1">
      <alignment horizontal="center" vertical="center"/>
    </xf>
    <xf numFmtId="180" fontId="114" fillId="4" borderId="45" xfId="0" applyNumberFormat="1" applyFont="1" applyFill="1" applyBorder="1" applyAlignment="1">
      <alignment horizontal="left" vertical="center"/>
    </xf>
    <xf numFmtId="0" fontId="106" fillId="4" borderId="80" xfId="0" applyFont="1" applyFill="1" applyBorder="1" applyAlignment="1">
      <alignment horizontal="center" vertical="top"/>
    </xf>
    <xf numFmtId="0" fontId="106" fillId="4" borderId="21" xfId="0" applyFont="1" applyFill="1" applyBorder="1" applyAlignment="1">
      <alignment horizontal="center" vertical="top"/>
    </xf>
    <xf numFmtId="180" fontId="82" fillId="4" borderId="65" xfId="0" applyNumberFormat="1" applyFont="1" applyFill="1" applyBorder="1" applyAlignment="1">
      <alignment horizontal="center" vertical="top"/>
    </xf>
    <xf numFmtId="180" fontId="82" fillId="4" borderId="42" xfId="0" applyNumberFormat="1" applyFont="1" applyFill="1" applyBorder="1" applyAlignment="1">
      <alignment horizontal="center" vertical="top"/>
    </xf>
    <xf numFmtId="0" fontId="82" fillId="4" borderId="63" xfId="0" applyFont="1" applyFill="1" applyBorder="1" applyAlignment="1">
      <alignment horizontal="center" vertical="top"/>
    </xf>
    <xf numFmtId="0" fontId="82" fillId="4" borderId="8" xfId="0" applyFont="1" applyFill="1" applyBorder="1" applyAlignment="1">
      <alignment horizontal="center" vertical="top"/>
    </xf>
    <xf numFmtId="0" fontId="82" fillId="4" borderId="42" xfId="0" applyFont="1" applyFill="1" applyBorder="1" applyAlignment="1">
      <alignment horizontal="center" vertical="top"/>
    </xf>
    <xf numFmtId="180" fontId="82" fillId="4" borderId="8" xfId="0" applyNumberFormat="1" applyFont="1" applyFill="1" applyBorder="1" applyAlignment="1">
      <alignment horizontal="center" vertical="top"/>
    </xf>
    <xf numFmtId="0" fontId="114" fillId="4" borderId="39" xfId="0" applyFont="1" applyFill="1" applyBorder="1" applyAlignment="1">
      <alignment horizontal="center" vertical="center"/>
    </xf>
    <xf numFmtId="0" fontId="114" fillId="4" borderId="83" xfId="0" applyFont="1" applyFill="1" applyBorder="1" applyAlignment="1">
      <alignment horizontal="center" vertical="center"/>
    </xf>
    <xf numFmtId="0" fontId="106" fillId="4" borderId="80" xfId="0" applyFont="1" applyFill="1" applyBorder="1" applyAlignment="1">
      <alignment horizontal="center" vertical="center"/>
    </xf>
    <xf numFmtId="0" fontId="106" fillId="4" borderId="21" xfId="0" applyFont="1" applyFill="1" applyBorder="1" applyAlignment="1">
      <alignment horizontal="center" vertical="center"/>
    </xf>
    <xf numFmtId="180" fontId="114" fillId="4" borderId="15" xfId="0" applyNumberFormat="1" applyFont="1" applyFill="1" applyBorder="1" applyAlignment="1">
      <alignment horizontal="center" vertical="center"/>
    </xf>
    <xf numFmtId="180" fontId="114" fillId="4" borderId="45" xfId="0" applyNumberFormat="1" applyFont="1" applyFill="1" applyBorder="1" applyAlignment="1">
      <alignment horizontal="center" vertical="center"/>
    </xf>
    <xf numFmtId="0" fontId="106" fillId="4" borderId="80" xfId="0" applyFont="1" applyFill="1" applyBorder="1" applyAlignment="1">
      <alignment horizontal="center" vertical="center" wrapText="1"/>
    </xf>
    <xf numFmtId="0" fontId="106" fillId="4" borderId="21" xfId="0" applyFont="1" applyFill="1" applyBorder="1" applyAlignment="1">
      <alignment horizontal="center" vertical="center" wrapText="1"/>
    </xf>
    <xf numFmtId="0" fontId="106" fillId="4" borderId="73" xfId="0" applyFont="1" applyFill="1" applyBorder="1" applyAlignment="1">
      <alignment horizontal="center" vertical="center" wrapText="1"/>
    </xf>
    <xf numFmtId="0" fontId="114" fillId="4" borderId="73" xfId="0" applyFont="1" applyFill="1" applyBorder="1" applyAlignment="1">
      <alignment horizontal="center" vertical="center"/>
    </xf>
    <xf numFmtId="180" fontId="112" fillId="4" borderId="80" xfId="0" applyNumberFormat="1" applyFont="1" applyFill="1" applyBorder="1" applyAlignment="1">
      <alignment horizontal="center" vertical="top"/>
    </xf>
    <xf numFmtId="180" fontId="112" fillId="4" borderId="50" xfId="0" applyNumberFormat="1" applyFont="1" applyFill="1" applyBorder="1" applyAlignment="1">
      <alignment horizontal="center" vertical="top"/>
    </xf>
    <xf numFmtId="180" fontId="112" fillId="4" borderId="25" xfId="0" applyNumberFormat="1" applyFont="1" applyFill="1" applyBorder="1" applyAlignment="1">
      <alignment horizontal="center" vertical="top"/>
    </xf>
    <xf numFmtId="0" fontId="112" fillId="4" borderId="80" xfId="0" applyFont="1" applyFill="1" applyBorder="1" applyAlignment="1">
      <alignment horizontal="center" vertical="top"/>
    </xf>
    <xf numFmtId="0" fontId="112" fillId="4" borderId="21" xfId="0" applyFont="1" applyFill="1" applyBorder="1" applyAlignment="1">
      <alignment horizontal="center" vertical="top"/>
    </xf>
    <xf numFmtId="180" fontId="111" fillId="4" borderId="65" xfId="0" applyNumberFormat="1" applyFont="1" applyFill="1" applyBorder="1" applyAlignment="1">
      <alignment horizontal="center" vertical="top"/>
    </xf>
    <xf numFmtId="180" fontId="111" fillId="4" borderId="8" xfId="0" applyNumberFormat="1" applyFont="1" applyFill="1" applyBorder="1" applyAlignment="1">
      <alignment horizontal="center" vertical="top"/>
    </xf>
    <xf numFmtId="180" fontId="110" fillId="4" borderId="45" xfId="0" applyNumberFormat="1" applyFont="1" applyFill="1" applyBorder="1" applyAlignment="1">
      <alignment horizontal="left" vertical="center"/>
    </xf>
    <xf numFmtId="0" fontId="112" fillId="4" borderId="38" xfId="0" applyFont="1" applyFill="1" applyBorder="1" applyAlignment="1">
      <alignment horizontal="center" vertical="top"/>
    </xf>
    <xf numFmtId="0" fontId="112" fillId="4" borderId="39" xfId="0" applyFont="1" applyFill="1" applyBorder="1" applyAlignment="1">
      <alignment horizontal="center" vertical="top"/>
    </xf>
    <xf numFmtId="0" fontId="112" fillId="4" borderId="40" xfId="0" applyFont="1" applyFill="1" applyBorder="1" applyAlignment="1">
      <alignment horizontal="center" vertical="top"/>
    </xf>
    <xf numFmtId="180" fontId="111" fillId="4" borderId="55" xfId="0" applyNumberFormat="1" applyFont="1" applyFill="1" applyBorder="1" applyAlignment="1">
      <alignment horizontal="center" vertical="top"/>
    </xf>
    <xf numFmtId="180" fontId="111" fillId="4" borderId="35" xfId="0" applyNumberFormat="1" applyFont="1" applyFill="1" applyBorder="1" applyAlignment="1">
      <alignment horizontal="center" vertical="top"/>
    </xf>
    <xf numFmtId="0" fontId="108" fillId="4" borderId="48" xfId="0" applyFont="1" applyFill="1" applyBorder="1" applyAlignment="1">
      <alignment horizontal="center" vertical="center"/>
    </xf>
    <xf numFmtId="0" fontId="108" fillId="4" borderId="62" xfId="0" applyFont="1" applyFill="1" applyBorder="1" applyAlignment="1">
      <alignment horizontal="center" vertical="center"/>
    </xf>
    <xf numFmtId="180" fontId="110" fillId="4" borderId="40" xfId="0" applyNumberFormat="1" applyFont="1" applyFill="1" applyBorder="1" applyAlignment="1">
      <alignment horizontal="center" vertical="center"/>
    </xf>
    <xf numFmtId="180" fontId="110" fillId="4" borderId="74" xfId="0" applyNumberFormat="1" applyFont="1" applyFill="1" applyBorder="1" applyAlignment="1">
      <alignment horizontal="center" vertical="center"/>
    </xf>
    <xf numFmtId="180" fontId="110" fillId="4" borderId="70" xfId="0" applyNumberFormat="1" applyFont="1" applyFill="1" applyBorder="1" applyAlignment="1">
      <alignment horizontal="center" vertical="center"/>
    </xf>
    <xf numFmtId="180" fontId="110" fillId="4" borderId="80" xfId="0" applyNumberFormat="1" applyFont="1" applyFill="1" applyBorder="1" applyAlignment="1">
      <alignment horizontal="center" vertical="center"/>
    </xf>
    <xf numFmtId="180" fontId="110" fillId="4" borderId="50" xfId="0" applyNumberFormat="1" applyFont="1" applyFill="1" applyBorder="1" applyAlignment="1">
      <alignment horizontal="center" vertical="center"/>
    </xf>
    <xf numFmtId="180" fontId="110" fillId="4" borderId="25" xfId="0" applyNumberFormat="1" applyFont="1" applyFill="1" applyBorder="1" applyAlignment="1">
      <alignment horizontal="center" vertical="center"/>
    </xf>
    <xf numFmtId="180" fontId="110" fillId="4" borderId="73" xfId="0" applyNumberFormat="1" applyFont="1" applyFill="1" applyBorder="1" applyAlignment="1">
      <alignment horizontal="center" vertical="center"/>
    </xf>
    <xf numFmtId="180" fontId="110" fillId="4" borderId="91" xfId="0" applyNumberFormat="1" applyFont="1" applyFill="1" applyBorder="1" applyAlignment="1">
      <alignment horizontal="center" vertical="center"/>
    </xf>
    <xf numFmtId="180" fontId="110" fillId="4" borderId="92" xfId="0" applyNumberFormat="1" applyFont="1" applyFill="1" applyBorder="1" applyAlignment="1">
      <alignment horizontal="center" vertical="center"/>
    </xf>
    <xf numFmtId="180" fontId="110" fillId="4" borderId="15" xfId="0" applyNumberFormat="1" applyFont="1" applyFill="1" applyBorder="1" applyAlignment="1">
      <alignment horizontal="center" vertical="center"/>
    </xf>
    <xf numFmtId="180" fontId="110" fillId="4" borderId="45" xfId="0" applyNumberFormat="1" applyFont="1" applyFill="1" applyBorder="1" applyAlignment="1">
      <alignment horizontal="center" vertical="center"/>
    </xf>
    <xf numFmtId="180" fontId="110" fillId="4" borderId="16" xfId="0" applyNumberFormat="1" applyFont="1" applyFill="1" applyBorder="1" applyAlignment="1">
      <alignment horizontal="center" vertical="center"/>
    </xf>
    <xf numFmtId="180" fontId="112" fillId="4" borderId="20" xfId="0" applyNumberFormat="1" applyFont="1" applyFill="1" applyBorder="1" applyAlignment="1">
      <alignment horizontal="center" vertical="center"/>
    </xf>
    <xf numFmtId="180" fontId="112" fillId="4" borderId="67" xfId="0" applyNumberFormat="1" applyFont="1" applyFill="1" applyBorder="1" applyAlignment="1">
      <alignment horizontal="center" vertical="center"/>
    </xf>
    <xf numFmtId="0" fontId="108" fillId="4" borderId="41" xfId="0" applyFont="1" applyFill="1" applyBorder="1" applyAlignment="1">
      <alignment horizontal="center" vertical="center"/>
    </xf>
    <xf numFmtId="0" fontId="108" fillId="4" borderId="113" xfId="0" applyFont="1" applyFill="1" applyBorder="1" applyAlignment="1">
      <alignment horizontal="center" vertical="center"/>
    </xf>
    <xf numFmtId="41" fontId="82" fillId="4" borderId="65" xfId="0" applyNumberFormat="1" applyFont="1" applyFill="1" applyBorder="1" applyAlignment="1">
      <alignment horizontal="center" vertical="center"/>
    </xf>
    <xf numFmtId="41" fontId="82" fillId="4" borderId="50" xfId="0" applyNumberFormat="1" applyFont="1" applyFill="1" applyBorder="1" applyAlignment="1">
      <alignment horizontal="center" vertical="center"/>
    </xf>
    <xf numFmtId="41" fontId="82" fillId="4" borderId="68" xfId="0" applyNumberFormat="1" applyFont="1" applyFill="1" applyBorder="1" applyAlignment="1">
      <alignment horizontal="center" vertical="center"/>
    </xf>
    <xf numFmtId="41" fontId="82" fillId="4" borderId="91" xfId="0" applyNumberFormat="1" applyFont="1" applyFill="1" applyBorder="1" applyAlignment="1">
      <alignment horizontal="center" vertical="center"/>
    </xf>
    <xf numFmtId="41" fontId="82" fillId="4" borderId="65" xfId="0" applyNumberFormat="1" applyFont="1" applyFill="1" applyBorder="1" applyAlignment="1">
      <alignment horizontal="center" vertical="center" wrapText="1"/>
    </xf>
    <xf numFmtId="41" fontId="82" fillId="4" borderId="50" xfId="0" applyNumberFormat="1" applyFont="1" applyFill="1" applyBorder="1" applyAlignment="1">
      <alignment horizontal="center" vertical="center" wrapText="1"/>
    </xf>
    <xf numFmtId="41" fontId="82" fillId="4" borderId="8" xfId="0" applyNumberFormat="1" applyFont="1" applyFill="1" applyBorder="1" applyAlignment="1">
      <alignment horizontal="center" vertical="center" wrapText="1"/>
    </xf>
    <xf numFmtId="41" fontId="82" fillId="4" borderId="0" xfId="0" applyNumberFormat="1" applyFont="1" applyFill="1" applyAlignment="1">
      <alignment horizontal="center" vertical="center" wrapText="1"/>
    </xf>
    <xf numFmtId="41" fontId="82" fillId="4" borderId="68" xfId="0" applyNumberFormat="1" applyFont="1" applyFill="1" applyBorder="1" applyAlignment="1">
      <alignment horizontal="center" vertical="center" wrapText="1"/>
    </xf>
    <xf numFmtId="41" fontId="82" fillId="4" borderId="91" xfId="0" applyNumberFormat="1" applyFont="1" applyFill="1" applyBorder="1" applyAlignment="1">
      <alignment horizontal="center" vertical="center" wrapText="1"/>
    </xf>
    <xf numFmtId="41" fontId="82" fillId="4" borderId="26" xfId="0" applyNumberFormat="1" applyFont="1" applyFill="1" applyBorder="1" applyAlignment="1">
      <alignment horizontal="center" vertical="center"/>
    </xf>
    <xf numFmtId="178" fontId="110" fillId="12" borderId="28" xfId="0" applyNumberFormat="1" applyFont="1" applyFill="1" applyBorder="1" applyAlignment="1">
      <alignment horizontal="center" vertical="center" wrapText="1"/>
    </xf>
    <xf numFmtId="41" fontId="82" fillId="4" borderId="43" xfId="0" applyNumberFormat="1" applyFont="1" applyFill="1" applyBorder="1" applyAlignment="1">
      <alignment horizontal="center" vertical="center"/>
    </xf>
    <xf numFmtId="41" fontId="82" fillId="4" borderId="74" xfId="0" applyNumberFormat="1" applyFont="1" applyFill="1" applyBorder="1" applyAlignment="1">
      <alignment horizontal="center" vertical="center"/>
    </xf>
    <xf numFmtId="178" fontId="110" fillId="12" borderId="28" xfId="0" applyNumberFormat="1" applyFont="1" applyFill="1" applyBorder="1" applyAlignment="1">
      <alignment horizontal="center" vertical="center"/>
    </xf>
    <xf numFmtId="180" fontId="106" fillId="4" borderId="27" xfId="0" applyNumberFormat="1" applyFont="1" applyFill="1" applyBorder="1" applyAlignment="1">
      <alignment horizontal="center" vertical="center"/>
    </xf>
    <xf numFmtId="180" fontId="106" fillId="4" borderId="1" xfId="0" applyNumberFormat="1" applyFont="1" applyFill="1" applyBorder="1" applyAlignment="1">
      <alignment horizontal="center" vertical="center"/>
    </xf>
    <xf numFmtId="180" fontId="106" fillId="4" borderId="5" xfId="0" applyNumberFormat="1" applyFont="1" applyFill="1" applyBorder="1" applyAlignment="1">
      <alignment horizontal="center" vertical="center"/>
    </xf>
    <xf numFmtId="0" fontId="82" fillId="4" borderId="65" xfId="0" applyFont="1" applyFill="1" applyBorder="1" applyAlignment="1">
      <alignment horizontal="center" vertical="center"/>
    </xf>
    <xf numFmtId="0" fontId="82" fillId="4" borderId="26" xfId="0" applyFont="1" applyFill="1" applyBorder="1" applyAlignment="1">
      <alignment horizontal="center" vertical="center"/>
    </xf>
    <xf numFmtId="0" fontId="82" fillId="4" borderId="68" xfId="0" applyFont="1" applyFill="1" applyBorder="1" applyAlignment="1">
      <alignment horizontal="center" vertical="center"/>
    </xf>
    <xf numFmtId="0" fontId="82" fillId="4" borderId="91" xfId="0" applyFont="1" applyFill="1" applyBorder="1" applyAlignment="1">
      <alignment horizontal="center" vertical="center"/>
    </xf>
    <xf numFmtId="41" fontId="82" fillId="4" borderId="202" xfId="0" applyNumberFormat="1" applyFont="1" applyFill="1" applyBorder="1" applyAlignment="1">
      <alignment horizontal="center" vertical="center"/>
    </xf>
    <xf numFmtId="41" fontId="82" fillId="4" borderId="197" xfId="0" applyNumberFormat="1" applyFont="1" applyFill="1" applyBorder="1" applyAlignment="1">
      <alignment horizontal="center" vertical="center"/>
    </xf>
    <xf numFmtId="41" fontId="82" fillId="4" borderId="72" xfId="0" applyNumberFormat="1" applyFont="1" applyFill="1" applyBorder="1" applyAlignment="1">
      <alignment horizontal="center" vertical="center"/>
    </xf>
    <xf numFmtId="41" fontId="82" fillId="4" borderId="63" xfId="0" applyNumberFormat="1" applyFont="1" applyFill="1" applyBorder="1" applyAlignment="1">
      <alignment horizontal="center" vertical="center"/>
    </xf>
    <xf numFmtId="41" fontId="82" fillId="4" borderId="85" xfId="0" applyNumberFormat="1" applyFont="1" applyFill="1" applyBorder="1" applyAlignment="1">
      <alignment horizontal="center" vertical="center"/>
    </xf>
    <xf numFmtId="180" fontId="106" fillId="4" borderId="59" xfId="0" applyNumberFormat="1" applyFont="1" applyFill="1" applyBorder="1" applyAlignment="1">
      <alignment horizontal="center" vertical="center"/>
    </xf>
    <xf numFmtId="0" fontId="106" fillId="4" borderId="20" xfId="0" applyFont="1" applyFill="1" applyBorder="1" applyAlignment="1">
      <alignment horizontal="center" vertical="center"/>
    </xf>
    <xf numFmtId="41" fontId="82" fillId="4" borderId="10" xfId="0" applyNumberFormat="1" applyFont="1" applyFill="1" applyBorder="1" applyAlignment="1">
      <alignment horizontal="center" vertical="center" wrapText="1"/>
    </xf>
    <xf numFmtId="41" fontId="82" fillId="4" borderId="10" xfId="0" applyNumberFormat="1" applyFont="1" applyFill="1" applyBorder="1" applyAlignment="1">
      <alignment horizontal="center" vertical="center"/>
    </xf>
    <xf numFmtId="41" fontId="82" fillId="4" borderId="66" xfId="0" applyNumberFormat="1" applyFont="1" applyFill="1" applyBorder="1" applyAlignment="1">
      <alignment horizontal="center" vertical="center"/>
    </xf>
    <xf numFmtId="41" fontId="91" fillId="4" borderId="202" xfId="0" applyNumberFormat="1" applyFont="1" applyFill="1" applyBorder="1" applyAlignment="1">
      <alignment horizontal="left" vertical="center"/>
    </xf>
    <xf numFmtId="41" fontId="91" fillId="4" borderId="72" xfId="0" applyNumberFormat="1" applyFont="1" applyFill="1" applyBorder="1" applyAlignment="1">
      <alignment horizontal="left" vertical="center"/>
    </xf>
    <xf numFmtId="41" fontId="91" fillId="4" borderId="8" xfId="0" applyNumberFormat="1" applyFont="1" applyFill="1" applyBorder="1" applyAlignment="1">
      <alignment horizontal="left" vertical="center"/>
    </xf>
    <xf numFmtId="41" fontId="91" fillId="4" borderId="10" xfId="0" applyNumberFormat="1" applyFont="1" applyFill="1" applyBorder="1" applyAlignment="1">
      <alignment horizontal="left" vertical="center"/>
    </xf>
    <xf numFmtId="41" fontId="82" fillId="4" borderId="20" xfId="0" applyNumberFormat="1" applyFont="1" applyFill="1" applyBorder="1" applyAlignment="1">
      <alignment horizontal="center" vertical="center"/>
    </xf>
    <xf numFmtId="41" fontId="82" fillId="4" borderId="67" xfId="0" applyNumberFormat="1" applyFont="1" applyFill="1" applyBorder="1" applyAlignment="1">
      <alignment horizontal="center" vertical="center"/>
    </xf>
    <xf numFmtId="41" fontId="82" fillId="4" borderId="26" xfId="0" applyNumberFormat="1" applyFont="1" applyFill="1" applyBorder="1" applyAlignment="1">
      <alignment horizontal="center" vertical="center" wrapText="1"/>
    </xf>
    <xf numFmtId="0" fontId="114" fillId="4" borderId="203" xfId="0" applyFont="1" applyFill="1" applyBorder="1" applyAlignment="1">
      <alignment horizontal="center" vertical="center"/>
    </xf>
    <xf numFmtId="41" fontId="82" fillId="4" borderId="203" xfId="0" applyNumberFormat="1" applyFont="1" applyFill="1" applyBorder="1" applyAlignment="1">
      <alignment horizontal="left" vertical="center"/>
    </xf>
    <xf numFmtId="41" fontId="91" fillId="4" borderId="11" xfId="0" applyNumberFormat="1" applyFont="1" applyFill="1" applyBorder="1" applyAlignment="1">
      <alignment horizontal="center" vertical="center"/>
    </xf>
    <xf numFmtId="41" fontId="91" fillId="4" borderId="1" xfId="0" applyNumberFormat="1" applyFont="1" applyFill="1" applyBorder="1" applyAlignment="1">
      <alignment horizontal="center" vertical="center"/>
    </xf>
    <xf numFmtId="41" fontId="91" fillId="4" borderId="5" xfId="0" applyNumberFormat="1" applyFont="1" applyFill="1" applyBorder="1" applyAlignment="1">
      <alignment horizontal="center" vertical="center"/>
    </xf>
    <xf numFmtId="41" fontId="91" fillId="4" borderId="27" xfId="0" applyNumberFormat="1" applyFont="1" applyFill="1" applyBorder="1" applyAlignment="1">
      <alignment horizontal="center" vertical="center"/>
    </xf>
    <xf numFmtId="41" fontId="91" fillId="4" borderId="9" xfId="0" applyNumberFormat="1" applyFont="1" applyFill="1" applyBorder="1" applyAlignment="1">
      <alignment horizontal="center" vertical="center"/>
    </xf>
    <xf numFmtId="0" fontId="114" fillId="4" borderId="77" xfId="0" applyFont="1" applyFill="1" applyBorder="1" applyAlignment="1">
      <alignment horizontal="center" vertical="center"/>
    </xf>
    <xf numFmtId="180" fontId="114" fillId="4" borderId="16" xfId="0" applyNumberFormat="1" applyFont="1" applyFill="1" applyBorder="1" applyAlignment="1">
      <alignment horizontal="center" vertical="center"/>
    </xf>
    <xf numFmtId="0" fontId="106" fillId="4" borderId="58" xfId="0" applyFont="1" applyFill="1" applyBorder="1" applyAlignment="1">
      <alignment horizontal="center" vertical="top"/>
    </xf>
    <xf numFmtId="0" fontId="106" fillId="4" borderId="55" xfId="0" applyFont="1" applyFill="1" applyBorder="1" applyAlignment="1">
      <alignment horizontal="center" vertical="top"/>
    </xf>
    <xf numFmtId="0" fontId="106" fillId="4" borderId="13" xfId="0" applyFont="1" applyFill="1" applyBorder="1" applyAlignment="1">
      <alignment horizontal="center" vertical="top"/>
    </xf>
    <xf numFmtId="178" fontId="106" fillId="4" borderId="15" xfId="0" applyNumberFormat="1" applyFont="1" applyFill="1" applyBorder="1">
      <alignment vertical="center"/>
    </xf>
    <xf numFmtId="178" fontId="106" fillId="4" borderId="45" xfId="0" applyNumberFormat="1" applyFont="1" applyFill="1" applyBorder="1">
      <alignment vertical="center"/>
    </xf>
    <xf numFmtId="178" fontId="106" fillId="4" borderId="16" xfId="0" applyNumberFormat="1" applyFont="1" applyFill="1" applyBorder="1">
      <alignment vertical="center"/>
    </xf>
    <xf numFmtId="0" fontId="122" fillId="4" borderId="15" xfId="0" applyFont="1" applyFill="1" applyBorder="1" applyAlignment="1">
      <alignment horizontal="center" vertical="center"/>
    </xf>
    <xf numFmtId="0" fontId="122" fillId="4" borderId="45" xfId="0" applyFont="1" applyFill="1" applyBorder="1" applyAlignment="1">
      <alignment horizontal="center" vertical="center"/>
    </xf>
    <xf numFmtId="0" fontId="122" fillId="4" borderId="16" xfId="0" applyFont="1" applyFill="1" applyBorder="1" applyAlignment="1">
      <alignment horizontal="center" vertical="center"/>
    </xf>
    <xf numFmtId="41" fontId="114" fillId="4" borderId="80" xfId="0" applyNumberFormat="1" applyFont="1" applyFill="1" applyBorder="1" applyAlignment="1">
      <alignment horizontal="center" vertical="center" wrapText="1"/>
    </xf>
    <xf numFmtId="41" fontId="114" fillId="4" borderId="26" xfId="0" applyNumberFormat="1" applyFont="1" applyFill="1" applyBorder="1" applyAlignment="1">
      <alignment horizontal="center" vertical="center" wrapText="1"/>
    </xf>
    <xf numFmtId="41" fontId="114" fillId="4" borderId="21" xfId="0" applyNumberFormat="1" applyFont="1" applyFill="1" applyBorder="1" applyAlignment="1">
      <alignment horizontal="center" vertical="center" wrapText="1"/>
    </xf>
    <xf numFmtId="41" fontId="114" fillId="4" borderId="10" xfId="0" applyNumberFormat="1" applyFont="1" applyFill="1" applyBorder="1" applyAlignment="1">
      <alignment horizontal="center" vertical="center" wrapText="1"/>
    </xf>
    <xf numFmtId="41" fontId="114" fillId="4" borderId="73" xfId="0" applyNumberFormat="1" applyFont="1" applyFill="1" applyBorder="1" applyAlignment="1">
      <alignment horizontal="center" vertical="center" wrapText="1"/>
    </xf>
    <xf numFmtId="41" fontId="114" fillId="4" borderId="66" xfId="0" applyNumberFormat="1" applyFont="1" applyFill="1" applyBorder="1" applyAlignment="1">
      <alignment horizontal="center" vertical="center" wrapText="1"/>
    </xf>
    <xf numFmtId="0" fontId="109" fillId="4" borderId="40" xfId="0" applyFont="1" applyFill="1" applyBorder="1" applyAlignment="1">
      <alignment horizontal="center" vertical="center"/>
    </xf>
    <xf numFmtId="0" fontId="109" fillId="4" borderId="74" xfId="0" applyFont="1" applyFill="1" applyBorder="1" applyAlignment="1">
      <alignment horizontal="center" vertical="center"/>
    </xf>
    <xf numFmtId="0" fontId="109" fillId="4" borderId="70" xfId="0" applyFont="1" applyFill="1" applyBorder="1" applyAlignment="1">
      <alignment horizontal="center" vertical="center"/>
    </xf>
    <xf numFmtId="0" fontId="106" fillId="4" borderId="73" xfId="0" applyFont="1" applyFill="1" applyBorder="1" applyAlignment="1">
      <alignment horizontal="center" vertical="top"/>
    </xf>
    <xf numFmtId="41" fontId="91" fillId="4" borderId="21" xfId="0" applyNumberFormat="1" applyFont="1" applyFill="1" applyBorder="1" applyAlignment="1">
      <alignment horizontal="left" vertical="center"/>
    </xf>
    <xf numFmtId="41" fontId="91" fillId="4" borderId="0" xfId="0" applyNumberFormat="1" applyFont="1" applyFill="1" applyAlignment="1">
      <alignment horizontal="left" vertical="center"/>
    </xf>
    <xf numFmtId="0" fontId="84" fillId="21" borderId="15" xfId="0" applyFont="1" applyFill="1" applyBorder="1" applyAlignment="1">
      <alignment horizontal="center" vertical="center"/>
    </xf>
    <xf numFmtId="0" fontId="84" fillId="21" borderId="45" xfId="0" applyFont="1" applyFill="1" applyBorder="1" applyAlignment="1">
      <alignment horizontal="center" vertical="center"/>
    </xf>
    <xf numFmtId="0" fontId="84" fillId="21" borderId="67" xfId="0" applyFont="1" applyFill="1" applyBorder="1" applyAlignment="1">
      <alignment horizontal="center" vertical="center"/>
    </xf>
    <xf numFmtId="41" fontId="91" fillId="4" borderId="80" xfId="0" applyNumberFormat="1" applyFont="1" applyFill="1" applyBorder="1" applyAlignment="1">
      <alignment horizontal="left" vertical="center"/>
    </xf>
    <xf numFmtId="41" fontId="91" fillId="4" borderId="50" xfId="0" applyNumberFormat="1" applyFont="1" applyFill="1" applyBorder="1" applyAlignment="1">
      <alignment horizontal="left" vertical="center"/>
    </xf>
    <xf numFmtId="41" fontId="91" fillId="4" borderId="26" xfId="0" applyNumberFormat="1" applyFont="1" applyFill="1" applyBorder="1" applyAlignment="1">
      <alignment horizontal="left" vertical="center"/>
    </xf>
    <xf numFmtId="41" fontId="91" fillId="4" borderId="73" xfId="0" applyNumberFormat="1" applyFont="1" applyFill="1" applyBorder="1" applyAlignment="1">
      <alignment horizontal="left" vertical="center"/>
    </xf>
    <xf numFmtId="41" fontId="91" fillId="4" borderId="91" xfId="0" applyNumberFormat="1" applyFont="1" applyFill="1" applyBorder="1" applyAlignment="1">
      <alignment horizontal="left" vertical="center"/>
    </xf>
    <xf numFmtId="41" fontId="91" fillId="4" borderId="66" xfId="0" applyNumberFormat="1" applyFont="1" applyFill="1" applyBorder="1" applyAlignment="1">
      <alignment horizontal="left" vertical="center"/>
    </xf>
    <xf numFmtId="0" fontId="91" fillId="4" borderId="14" xfId="0" applyFont="1" applyFill="1" applyBorder="1" applyAlignment="1">
      <alignment horizontal="center" vertical="center" wrapText="1"/>
    </xf>
    <xf numFmtId="0" fontId="91" fillId="4" borderId="108" xfId="0" applyFont="1" applyFill="1" applyBorder="1" applyAlignment="1">
      <alignment horizontal="center" vertical="center" wrapText="1"/>
    </xf>
    <xf numFmtId="41" fontId="114" fillId="4" borderId="17" xfId="0" applyNumberFormat="1" applyFont="1" applyFill="1" applyBorder="1" applyAlignment="1">
      <alignment horizontal="center" vertical="center"/>
    </xf>
    <xf numFmtId="41" fontId="114" fillId="4" borderId="19" xfId="0" applyNumberFormat="1" applyFont="1" applyFill="1" applyBorder="1" applyAlignment="1">
      <alignment horizontal="center" vertical="center"/>
    </xf>
    <xf numFmtId="41" fontId="114" fillId="4" borderId="35" xfId="0" applyNumberFormat="1" applyFont="1" applyFill="1" applyBorder="1" applyAlignment="1">
      <alignment horizontal="center" vertical="center"/>
    </xf>
    <xf numFmtId="41" fontId="114" fillId="4" borderId="47" xfId="0" applyNumberFormat="1" applyFont="1" applyFill="1" applyBorder="1" applyAlignment="1">
      <alignment horizontal="center" vertical="center"/>
    </xf>
    <xf numFmtId="41" fontId="114" fillId="4" borderId="12" xfId="0" applyNumberFormat="1" applyFont="1" applyFill="1" applyBorder="1" applyAlignment="1">
      <alignment horizontal="center" vertical="center"/>
    </xf>
    <xf numFmtId="41" fontId="114" fillId="4" borderId="33" xfId="0" applyNumberFormat="1" applyFont="1" applyFill="1" applyBorder="1" applyAlignment="1">
      <alignment horizontal="center" vertical="center"/>
    </xf>
    <xf numFmtId="181" fontId="114" fillId="4" borderId="17" xfId="0" applyNumberFormat="1" applyFont="1" applyFill="1" applyBorder="1" applyAlignment="1">
      <alignment horizontal="center" vertical="center"/>
    </xf>
    <xf numFmtId="181" fontId="114" fillId="4" borderId="19" xfId="0" applyNumberFormat="1" applyFont="1" applyFill="1" applyBorder="1" applyAlignment="1">
      <alignment horizontal="center" vertical="center"/>
    </xf>
    <xf numFmtId="41" fontId="91" fillId="4" borderId="109" xfId="0" applyNumberFormat="1" applyFont="1" applyFill="1" applyBorder="1" applyAlignment="1">
      <alignment horizontal="center" vertical="center"/>
    </xf>
    <xf numFmtId="41" fontId="91" fillId="4" borderId="32" xfId="0" applyNumberFormat="1" applyFont="1" applyFill="1" applyBorder="1" applyAlignment="1">
      <alignment horizontal="center" vertical="center"/>
    </xf>
    <xf numFmtId="41" fontId="114" fillId="4" borderId="78" xfId="0" applyNumberFormat="1" applyFont="1" applyFill="1" applyBorder="1" applyAlignment="1">
      <alignment horizontal="center" vertical="center"/>
    </xf>
    <xf numFmtId="41" fontId="114" fillId="4" borderId="49" xfId="0" applyNumberFormat="1" applyFont="1" applyFill="1" applyBorder="1" applyAlignment="1">
      <alignment horizontal="center" vertical="center"/>
    </xf>
    <xf numFmtId="41" fontId="114" fillId="10" borderId="15" xfId="0" applyNumberFormat="1" applyFont="1" applyFill="1" applyBorder="1" applyAlignment="1">
      <alignment horizontal="center" vertical="center"/>
    </xf>
    <xf numFmtId="41" fontId="114" fillId="10" borderId="45" xfId="0" applyNumberFormat="1" applyFont="1" applyFill="1" applyBorder="1" applyAlignment="1">
      <alignment horizontal="center" vertical="center"/>
    </xf>
    <xf numFmtId="41" fontId="91" fillId="4" borderId="21" xfId="0" applyNumberFormat="1" applyFont="1" applyFill="1" applyBorder="1" applyAlignment="1">
      <alignment horizontal="center" vertical="center"/>
    </xf>
    <xf numFmtId="41" fontId="91" fillId="4" borderId="38" xfId="0" applyNumberFormat="1" applyFont="1" applyFill="1" applyBorder="1" applyAlignment="1">
      <alignment horizontal="center" vertical="center"/>
    </xf>
    <xf numFmtId="41" fontId="114" fillId="13" borderId="15" xfId="0" applyNumberFormat="1" applyFont="1" applyFill="1" applyBorder="1" applyAlignment="1">
      <alignment horizontal="center" vertical="center"/>
    </xf>
    <xf numFmtId="41" fontId="114" fillId="13" borderId="45" xfId="0" applyNumberFormat="1" applyFont="1" applyFill="1" applyBorder="1" applyAlignment="1">
      <alignment horizontal="center" vertical="center"/>
    </xf>
    <xf numFmtId="41" fontId="106" fillId="13" borderId="15" xfId="0" applyNumberFormat="1" applyFont="1" applyFill="1" applyBorder="1" applyAlignment="1">
      <alignment horizontal="center" vertical="center"/>
    </xf>
    <xf numFmtId="41" fontId="106" fillId="13" borderId="45" xfId="0" applyNumberFormat="1" applyFont="1" applyFill="1" applyBorder="1" applyAlignment="1">
      <alignment horizontal="center" vertical="center"/>
    </xf>
    <xf numFmtId="178" fontId="0" fillId="14" borderId="63" xfId="0" applyNumberFormat="1" applyFill="1" applyBorder="1" applyAlignment="1">
      <alignment horizontal="center" wrapText="1"/>
    </xf>
    <xf numFmtId="178" fontId="0" fillId="14" borderId="42" xfId="0" applyNumberFormat="1" applyFill="1" applyBorder="1" applyAlignment="1">
      <alignment horizontal="center"/>
    </xf>
    <xf numFmtId="9" fontId="73" fillId="0" borderId="61" xfId="0" applyNumberFormat="1" applyFont="1" applyBorder="1" applyAlignment="1">
      <alignment horizontal="center" wrapText="1"/>
    </xf>
    <xf numFmtId="9" fontId="73" fillId="0" borderId="5" xfId="0" applyNumberFormat="1" applyFont="1" applyBorder="1" applyAlignment="1">
      <alignment horizontal="center"/>
    </xf>
    <xf numFmtId="0" fontId="7" fillId="0" borderId="6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14" borderId="63" xfId="0" applyFont="1" applyFill="1" applyBorder="1" applyAlignment="1">
      <alignment horizontal="center" vertical="center"/>
    </xf>
    <xf numFmtId="0" fontId="7" fillId="14" borderId="42" xfId="0" applyFont="1" applyFill="1" applyBorder="1" applyAlignment="1">
      <alignment horizontal="center" vertical="center"/>
    </xf>
    <xf numFmtId="0" fontId="7" fillId="14" borderId="39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center"/>
    </xf>
    <xf numFmtId="0" fontId="7" fillId="14" borderId="83" xfId="0" applyFont="1" applyFill="1" applyBorder="1" applyAlignment="1">
      <alignment horizontal="center"/>
    </xf>
    <xf numFmtId="0" fontId="7" fillId="14" borderId="64" xfId="0" applyFont="1" applyFill="1" applyBorder="1" applyAlignment="1">
      <alignment horizontal="center" wrapText="1"/>
    </xf>
    <xf numFmtId="0" fontId="7" fillId="14" borderId="35" xfId="0" applyFont="1" applyFill="1" applyBorder="1" applyAlignment="1">
      <alignment horizontal="center"/>
    </xf>
    <xf numFmtId="0" fontId="7" fillId="14" borderId="34" xfId="0" applyFont="1" applyFill="1" applyBorder="1" applyAlignment="1">
      <alignment horizontal="center" wrapText="1"/>
    </xf>
    <xf numFmtId="0" fontId="7" fillId="14" borderId="47" xfId="0" applyFont="1" applyFill="1" applyBorder="1" applyAlignment="1">
      <alignment horizontal="center"/>
    </xf>
    <xf numFmtId="178" fontId="0" fillId="14" borderId="72" xfId="0" applyNumberFormat="1" applyFill="1" applyBorder="1" applyAlignment="1">
      <alignment horizontal="center" wrapText="1"/>
    </xf>
    <xf numFmtId="178" fontId="0" fillId="14" borderId="56" xfId="0" applyNumberFormat="1" applyFill="1" applyBorder="1" applyAlignment="1">
      <alignment horizontal="center"/>
    </xf>
    <xf numFmtId="1" fontId="12" fillId="3" borderId="48" xfId="0" applyNumberFormat="1" applyFont="1" applyFill="1" applyBorder="1" applyAlignment="1">
      <alignment horizontal="center" vertical="center"/>
    </xf>
    <xf numFmtId="1" fontId="12" fillId="3" borderId="62" xfId="0" applyNumberFormat="1" applyFont="1" applyFill="1" applyBorder="1" applyAlignment="1">
      <alignment horizontal="center" vertical="center"/>
    </xf>
    <xf numFmtId="217" fontId="12" fillId="3" borderId="48" xfId="0" applyNumberFormat="1" applyFont="1" applyFill="1" applyBorder="1" applyAlignment="1">
      <alignment horizontal="center" vertical="center"/>
    </xf>
    <xf numFmtId="217" fontId="12" fillId="3" borderId="62" xfId="0" applyNumberFormat="1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 wrapText="1"/>
    </xf>
    <xf numFmtId="0" fontId="12" fillId="3" borderId="62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/>
    </xf>
    <xf numFmtId="0" fontId="12" fillId="3" borderId="62" xfId="0" applyFont="1" applyFill="1" applyBorder="1" applyAlignment="1">
      <alignment horizontal="center" vertical="center"/>
    </xf>
  </cellXfs>
  <cellStyles count="9">
    <cellStyle name="Normal 11" xfId="2" xr:uid="{00000000-0005-0000-0000-000005000000}"/>
    <cellStyle name="Normal 2" xfId="8" xr:uid="{00000000-0005-0000-0000-000006000000}"/>
    <cellStyle name="백분율" xfId="3" builtinId="5"/>
    <cellStyle name="쉼표" xfId="5" builtinId="3"/>
    <cellStyle name="쉼표 [0]" xfId="1" builtinId="6"/>
    <cellStyle name="통화" xfId="7" builtinId="4"/>
    <cellStyle name="표준" xfId="0" builtinId="0"/>
    <cellStyle name="표준 2" xfId="4" xr:uid="{00000000-0005-0000-0000-000008000000}"/>
    <cellStyle name="하이퍼링크" xfId="6" builtinId="8"/>
  </cellStyles>
  <dxfs count="3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  <fill>
        <patternFill patternType="none">
          <bgColor auto="1"/>
        </patternFill>
      </fill>
      <border>
        <top style="medium">
          <color theme="6"/>
        </top>
        <bottom/>
      </border>
    </dxf>
    <dxf>
      <font>
        <b/>
        <i val="0"/>
        <color theme="1" tint="0.499984740745262"/>
      </font>
      <border>
        <top style="medium">
          <color theme="6"/>
        </top>
        <bottom style="medium">
          <color theme="6"/>
        </bottom>
      </border>
    </dxf>
    <dxf>
      <font>
        <b/>
        <i val="0"/>
        <color theme="0"/>
      </font>
      <fill>
        <patternFill>
          <bgColor theme="6"/>
        </patternFill>
      </fill>
      <border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/>
        <i val="0"/>
        <color theme="6"/>
      </font>
      <border>
        <left/>
        <right/>
        <top style="medium">
          <color theme="6"/>
        </top>
        <bottom/>
        <vertical style="thick">
          <color theme="0"/>
        </vertical>
        <horizontal/>
      </border>
    </dxf>
    <dxf>
      <font>
        <b val="0"/>
        <i val="0"/>
        <color theme="1" tint="0.499984740745262"/>
      </font>
      <fill>
        <patternFill patternType="none">
          <fgColor indexed="64"/>
          <bgColor auto="1"/>
        </patternFill>
      </fill>
      <border>
        <top style="medium">
          <color theme="6"/>
        </top>
        <bottom style="thin">
          <color theme="6"/>
        </bottom>
        <vertical style="thick">
          <color theme="0"/>
        </vertical>
      </border>
    </dxf>
    <dxf>
      <font>
        <b val="0"/>
        <i val="0"/>
        <color theme="0" tint="-0.34998626667073579"/>
      </font>
      <border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Family Budget Cash Available 3" pivot="0" count="6" xr9:uid="{00000000-0011-0000-FFFF-FFFF00000000}">
      <tableStyleElement type="wholeTable" dxfId="34"/>
      <tableStyleElement type="headerRow" dxfId="33"/>
      <tableStyleElement type="totalRow" dxfId="32"/>
      <tableStyleElement type="firstColumn" dxfId="31"/>
      <tableStyleElement type="firstHeaderCell" dxfId="30"/>
      <tableStyleElement type="firstTotalCell" dxfId="29"/>
    </tableStyle>
  </tableStyles>
  <colors>
    <mruColors>
      <color rgb="FF0000FF"/>
      <color rgb="FFFFFFCC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0" Type="http://schemas.openxmlformats.org/officeDocument/2006/relationships/chartsheet" Target="chartsheets/sheet1.xml"/><Relationship Id="rId19" Type="http://schemas.openxmlformats.org/officeDocument/2006/relationships/worksheet" Target="worksheets/sheet18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P PLAN-2'!$B$84:$B$85</c:f>
              <c:strCache>
                <c:ptCount val="2"/>
                <c:pt idx="0">
                  <c:v>2) Mold Q'ty &amp; Cost</c:v>
                </c:pt>
                <c:pt idx="1">
                  <c:v>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PLAN-2'!$B$86:$B$163</c:f>
              <c:numCache>
                <c:formatCode>General</c:formatCode>
                <c:ptCount val="78"/>
                <c:pt idx="0">
                  <c:v>0</c:v>
                </c:pt>
                <c:pt idx="1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8-426E-9A23-10900879AB3D}"/>
            </c:ext>
          </c:extLst>
        </c:ser>
        <c:ser>
          <c:idx val="1"/>
          <c:order val="1"/>
          <c:tx>
            <c:strRef>
              <c:f>'3. P PLAN-2'!$C$84:$C$85</c:f>
              <c:strCache>
                <c:ptCount val="2"/>
                <c:pt idx="0">
                  <c:v>2) Mold Q'ty &amp; Cost</c:v>
                </c:pt>
                <c:pt idx="1">
                  <c:v>Customer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PLAN-2'!$C$86:$C$163</c:f>
              <c:numCache>
                <c:formatCode>_(* #,##0_);_(* \(#,##0\);_(* "-"_);_(@_)</c:formatCode>
                <c:ptCount val="78"/>
                <c:pt idx="0">
                  <c:v>0</c:v>
                </c:pt>
                <c:pt idx="7">
                  <c:v>0</c:v>
                </c:pt>
                <c:pt idx="13">
                  <c:v>0</c:v>
                </c:pt>
                <c:pt idx="40">
                  <c:v>0</c:v>
                </c:pt>
                <c:pt idx="53">
                  <c:v>0</c:v>
                </c:pt>
                <c:pt idx="65">
                  <c:v>0</c:v>
                </c:pt>
                <c:pt idx="7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8-426E-9A23-10900879AB3D}"/>
            </c:ext>
          </c:extLst>
        </c:ser>
        <c:ser>
          <c:idx val="2"/>
          <c:order val="2"/>
          <c:tx>
            <c:strRef>
              <c:f>'3. P PLAN-2'!$D$84:$D$85</c:f>
              <c:strCache>
                <c:ptCount val="2"/>
                <c:pt idx="0">
                  <c:v>2) Mold Q'ty &amp; Cost</c:v>
                </c:pt>
                <c:pt idx="1">
                  <c:v>Categories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PLAN-2'!$D$86:$D$163</c:f>
              <c:numCache>
                <c:formatCode>General</c:formatCode>
                <c:ptCount val="78"/>
                <c:pt idx="0">
                  <c:v>0</c:v>
                </c:pt>
                <c:pt idx="7">
                  <c:v>0</c:v>
                </c:pt>
                <c:pt idx="13" formatCode="_(* #,##0_);_(* \(#,##0\);_(* &quot;-&quot;_);_(@_)">
                  <c:v>0</c:v>
                </c:pt>
                <c:pt idx="21" formatCode="_(* #,##0_);_(* \(#,##0\);_(* &quot;-&quot;_);_(@_)">
                  <c:v>0</c:v>
                </c:pt>
                <c:pt idx="40" formatCode="_(* #,##0_);_(* \(#,##0\);_(* &quot;-&quot;_);_(@_)">
                  <c:v>0</c:v>
                </c:pt>
                <c:pt idx="46" formatCode="_(* #,##0_);_(* \(#,##0\);_(* &quot;-&quot;_);_(@_)">
                  <c:v>0</c:v>
                </c:pt>
                <c:pt idx="52" formatCode="_(* #,##0_);_(* \(#,##0\);_(* &quot;-&quot;_);_(@_)">
                  <c:v>0</c:v>
                </c:pt>
                <c:pt idx="53" formatCode="_(* #,##0_);_(* \(#,##0\);_(* &quot;-&quot;_);_(@_)">
                  <c:v>0</c:v>
                </c:pt>
                <c:pt idx="56" formatCode="_(* #,##0_);_(* \(#,##0\);_(* &quot;-&quot;_);_(@_)">
                  <c:v>0</c:v>
                </c:pt>
                <c:pt idx="59" formatCode="_(* #,##0_);_(* \(#,##0\);_(* &quot;-&quot;_);_(@_)">
                  <c:v>0</c:v>
                </c:pt>
                <c:pt idx="60" formatCode="_(* #,##0_);_(* \(#,##0\);_(* &quot;-&quot;_);_(@_)">
                  <c:v>0</c:v>
                </c:pt>
                <c:pt idx="65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8-426E-9A23-10900879AB3D}"/>
            </c:ext>
          </c:extLst>
        </c:ser>
        <c:ser>
          <c:idx val="3"/>
          <c:order val="3"/>
          <c:tx>
            <c:strRef>
              <c:f>'3. P PLAN-2'!$E$84:$E$85</c:f>
              <c:strCache>
                <c:ptCount val="2"/>
                <c:pt idx="0">
                  <c:v>2) Mold Q'ty &amp; Cost</c:v>
                </c:pt>
                <c:pt idx="1">
                  <c:v>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PLAN-2'!$E$86:$E$163</c:f>
              <c:numCache>
                <c:formatCode>_(* #,##0_);_(* \(#,##0\);_(* "-"_);_(@_)</c:formatCode>
                <c:ptCount val="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0</c:v>
                </c:pt>
                <c:pt idx="10">
                  <c:v>9</c:v>
                </c:pt>
                <c:pt idx="11">
                  <c:v>10</c:v>
                </c:pt>
                <c:pt idx="12">
                  <c:v>0</c:v>
                </c:pt>
                <c:pt idx="13">
                  <c:v>11</c:v>
                </c:pt>
                <c:pt idx="14">
                  <c:v>12</c:v>
                </c:pt>
                <c:pt idx="18">
                  <c:v>13</c:v>
                </c:pt>
                <c:pt idx="19">
                  <c:v>14</c:v>
                </c:pt>
                <c:pt idx="21">
                  <c:v>15</c:v>
                </c:pt>
                <c:pt idx="24">
                  <c:v>16</c:v>
                </c:pt>
                <c:pt idx="26">
                  <c:v>17</c:v>
                </c:pt>
                <c:pt idx="27">
                  <c:v>18</c:v>
                </c:pt>
                <c:pt idx="29">
                  <c:v>19</c:v>
                </c:pt>
                <c:pt idx="31">
                  <c:v>20</c:v>
                </c:pt>
                <c:pt idx="32">
                  <c:v>21</c:v>
                </c:pt>
                <c:pt idx="38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58-426E-9A23-10900879AB3D}"/>
            </c:ext>
          </c:extLst>
        </c:ser>
        <c:ser>
          <c:idx val="4"/>
          <c:order val="4"/>
          <c:tx>
            <c:strRef>
              <c:f>'3. P PLAN-2'!$F$84:$F$85</c:f>
              <c:strCache>
                <c:ptCount val="2"/>
                <c:pt idx="0">
                  <c:v>2) Mold Q'ty &amp; Cost</c:v>
                </c:pt>
                <c:pt idx="1">
                  <c:v>Model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PLAN-2'!$F$86:$F$163</c:f>
              <c:numCache>
                <c:formatCode>_(* #,##0_);_(* \(#,##0\);_(* "-"_);_(@_)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58-426E-9A23-10900879AB3D}"/>
            </c:ext>
          </c:extLst>
        </c:ser>
        <c:ser>
          <c:idx val="5"/>
          <c:order val="5"/>
          <c:tx>
            <c:strRef>
              <c:f>'3. P PLAN-2'!$G$84:$G$85</c:f>
              <c:strCache>
                <c:ptCount val="2"/>
                <c:pt idx="0">
                  <c:v>2) Mold Q'ty &amp; Cost</c:v>
                </c:pt>
                <c:pt idx="1">
                  <c:v>Cavity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PLAN-2'!$G$86:$G$163</c:f>
              <c:numCache>
                <c:formatCode>_(* #,##0_);_(* \(#,##0\);_(* "-"_);_(@_)</c:formatCode>
                <c:ptCount val="7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 formatCode="_-* #,##0_-;\-* #,##0_-;_-* &quot;-&quot;??_-;_-@_-">
                  <c:v>2</c:v>
                </c:pt>
                <c:pt idx="16" formatCode="_-* #,##0_-;\-* #,##0_-;_-* &quot;-&quot;??_-;_-@_-">
                  <c:v>2</c:v>
                </c:pt>
                <c:pt idx="17" formatCode="_-* #,##0_-;\-* #,##0_-;_-* &quot;-&quot;??_-;_-@_-">
                  <c:v>2</c:v>
                </c:pt>
                <c:pt idx="18" formatCode="_-* #,##0_-;\-* #,##0_-;_-* &quot;-&quot;??_-;_-@_-">
                  <c:v>1</c:v>
                </c:pt>
                <c:pt idx="19" formatCode="_-* #,##0_-;\-* #,##0_-;_-* &quot;-&quot;??_-;_-@_-">
                  <c:v>1</c:v>
                </c:pt>
                <c:pt idx="20" formatCode="_-* #,##0_-;\-* #,##0_-;_-* &quot;-&quot;??_-;_-@_-">
                  <c:v>2</c:v>
                </c:pt>
                <c:pt idx="21" formatCode="_-* #,##0_-;\-* #,##0_-;_-* &quot;-&quot;??_-;_-@_-">
                  <c:v>1</c:v>
                </c:pt>
                <c:pt idx="22" formatCode="_-* #,##0_-;\-* #,##0_-;_-* &quot;-&quot;??_-;_-@_-">
                  <c:v>2</c:v>
                </c:pt>
                <c:pt idx="23" formatCode="_-* #,##0_-;\-* #,##0_-;_-* &quot;-&quot;??_-;_-@_-">
                  <c:v>2</c:v>
                </c:pt>
                <c:pt idx="24" formatCode="_-* #,##0_-;\-* #,##0_-;_-* &quot;-&quot;??_-;_-@_-">
                  <c:v>4</c:v>
                </c:pt>
                <c:pt idx="25" formatCode="_-* #,##0_-;\-* #,##0_-;_-* &quot;-&quot;??_-;_-@_-">
                  <c:v>2</c:v>
                </c:pt>
                <c:pt idx="26" formatCode="_-* #,##0_-;\-* #,##0_-;_-* &quot;-&quot;??_-;_-@_-">
                  <c:v>4</c:v>
                </c:pt>
                <c:pt idx="27" formatCode="_-* #,##0_-;\-* #,##0_-;_-* &quot;-&quot;??_-;_-@_-">
                  <c:v>4</c:v>
                </c:pt>
                <c:pt idx="28" formatCode="_-* #,##0_-;\-* #,##0_-;_-* &quot;-&quot;??_-;_-@_-">
                  <c:v>2</c:v>
                </c:pt>
                <c:pt idx="29" formatCode="_-* #,##0_-;\-* #,##0_-;_-* &quot;-&quot;??_-;_-@_-">
                  <c:v>4</c:v>
                </c:pt>
                <c:pt idx="30" formatCode="_-* #,##0_-;\-* #,##0_-;_-* &quot;-&quot;??_-;_-@_-">
                  <c:v>2</c:v>
                </c:pt>
                <c:pt idx="31" formatCode="_-* #,##0_-;\-* #,##0_-;_-* &quot;-&quot;??_-;_-@_-">
                  <c:v>2</c:v>
                </c:pt>
                <c:pt idx="32" formatCode="_-* #,##0_-;\-* #,##0_-;_-* &quot;-&quot;??_-;_-@_-">
                  <c:v>2</c:v>
                </c:pt>
                <c:pt idx="33" formatCode="_-* #,##0_-;\-* #,##0_-;_-* &quot;-&quot;??_-;_-@_-">
                  <c:v>2</c:v>
                </c:pt>
                <c:pt idx="34" formatCode="_-* #,##0_-;\-* #,##0_-;_-* &quot;-&quot;??_-;_-@_-">
                  <c:v>2</c:v>
                </c:pt>
                <c:pt idx="35" formatCode="_-* #,##0_-;\-* #,##0_-;_-* &quot;-&quot;??_-;_-@_-">
                  <c:v>2</c:v>
                </c:pt>
                <c:pt idx="36" formatCode="_-* #,##0_-;\-* #,##0_-;_-* &quot;-&quot;??_-;_-@_-">
                  <c:v>2</c:v>
                </c:pt>
                <c:pt idx="37" formatCode="_-* #,##0_-;\-* #,##0_-;_-* &quot;-&quot;??_-;_-@_-">
                  <c:v>2</c:v>
                </c:pt>
                <c:pt idx="38" formatCode="_-* #,##0_-;\-* #,##0_-;_-* &quot;-&quot;??_-;_-@_-">
                  <c:v>2</c:v>
                </c:pt>
                <c:pt idx="39" formatCode="_-* #,##0_-;\-* #,##0_-;_-* &quot;-&quot;??_-;_-@_-">
                  <c:v>2</c:v>
                </c:pt>
                <c:pt idx="40" formatCode="_-* #,##0_-;\-* #,##0_-;_-* &quot;-&quot;??_-;_-@_-">
                  <c:v>1</c:v>
                </c:pt>
                <c:pt idx="41" formatCode="_-* #,##0_-;\-* #,##0_-;_-* &quot;-&quot;??_-;_-@_-">
                  <c:v>1</c:v>
                </c:pt>
                <c:pt idx="42" formatCode="_-* #,##0_-;\-* #,##0_-;_-* &quot;-&quot;??_-;_-@_-">
                  <c:v>1</c:v>
                </c:pt>
                <c:pt idx="43" formatCode="_-* #,##0_-;\-* #,##0_-;_-* &quot;-&quot;??_-;_-@_-">
                  <c:v>2</c:v>
                </c:pt>
                <c:pt idx="44" formatCode="_-* #,##0_-;\-* #,##0_-;_-* &quot;-&quot;??_-;_-@_-">
                  <c:v>2</c:v>
                </c:pt>
                <c:pt idx="45" formatCode="_-* #,##0_-;\-* #,##0_-;_-* &quot;-&quot;??_-;_-@_-">
                  <c:v>2</c:v>
                </c:pt>
                <c:pt idx="46" formatCode="_-* #,##0_-;\-* #,##0_-;_-* &quot;-&quot;??_-;_-@_-">
                  <c:v>4</c:v>
                </c:pt>
                <c:pt idx="47" formatCode="_-* #,##0_-;\-* #,##0_-;_-* &quot;-&quot;??_-;_-@_-">
                  <c:v>4</c:v>
                </c:pt>
                <c:pt idx="48" formatCode="_-* #,##0_-;\-* #,##0_-;_-* &quot;-&quot;??_-;_-@_-">
                  <c:v>2</c:v>
                </c:pt>
                <c:pt idx="49" formatCode="_-* #,##0_-;\-* #,##0_-;_-* &quot;-&quot;??_-;_-@_-">
                  <c:v>2</c:v>
                </c:pt>
                <c:pt idx="50" formatCode="_-* #,##0_-;\-* #,##0_-;_-* &quot;-&quot;??_-;_-@_-">
                  <c:v>2</c:v>
                </c:pt>
                <c:pt idx="51" formatCode="_-* #,##0_-;\-* #,##0_-;_-* &quot;-&quot;??_-;_-@_-">
                  <c:v>2</c:v>
                </c:pt>
                <c:pt idx="52" formatCode="_-* #,##0_-;\-* #,##0_-;_-* &quot;-&quot;??_-;_-@_-">
                  <c:v>2</c:v>
                </c:pt>
                <c:pt idx="53" formatCode="_-* #,##0_-;\-* #,##0_-;_-* &quot;-&quot;??_-;_-@_-">
                  <c:v>2</c:v>
                </c:pt>
                <c:pt idx="54" formatCode="_-* #,##0_-;\-* #,##0_-;_-* &quot;-&quot;??_-;_-@_-">
                  <c:v>2</c:v>
                </c:pt>
                <c:pt idx="55" formatCode="_-* #,##0_-;\-* #,##0_-;_-* &quot;-&quot;??_-;_-@_-">
                  <c:v>2</c:v>
                </c:pt>
                <c:pt idx="56" formatCode="_-* #,##0_-;\-* #,##0_-;_-* &quot;-&quot;??_-;_-@_-">
                  <c:v>2</c:v>
                </c:pt>
                <c:pt idx="57" formatCode="_-* #,##0_-;\-* #,##0_-;_-* &quot;-&quot;??_-;_-@_-">
                  <c:v>2</c:v>
                </c:pt>
                <c:pt idx="58" formatCode="_-* #,##0_-;\-* #,##0_-;_-* &quot;-&quot;??_-;_-@_-">
                  <c:v>2</c:v>
                </c:pt>
                <c:pt idx="59" formatCode="_-* #,##0_-;\-* #,##0_-;_-* &quot;-&quot;??_-;_-@_-">
                  <c:v>2</c:v>
                </c:pt>
                <c:pt idx="60" formatCode="_-* #,##0_-;\-* #,##0_-;_-* &quot;-&quot;??_-;_-@_-">
                  <c:v>2</c:v>
                </c:pt>
                <c:pt idx="61" formatCode="_-* #,##0_-;\-* #,##0_-;_-* &quot;-&quot;??_-;_-@_-">
                  <c:v>1</c:v>
                </c:pt>
                <c:pt idx="62" formatCode="_-* #,##0_-;\-* #,##0_-;_-* &quot;-&quot;??_-;_-@_-">
                  <c:v>2</c:v>
                </c:pt>
                <c:pt idx="63" formatCode="_-* #,##0_-;\-* #,##0_-;_-* &quot;-&quot;??_-;_-@_-">
                  <c:v>2</c:v>
                </c:pt>
                <c:pt idx="64" formatCode="_-* #,##0_-;\-* #,##0_-;_-* &quot;-&quot;??_-;_-@_-">
                  <c:v>2</c:v>
                </c:pt>
                <c:pt idx="65" formatCode="_-* #,##0_-;\-* #,##0_-;_-* &quot;-&quot;??_-;_-@_-">
                  <c:v>2</c:v>
                </c:pt>
                <c:pt idx="66" formatCode="_-* #,##0_-;\-* #,##0_-;_-* &quot;-&quot;??_-;_-@_-">
                  <c:v>2</c:v>
                </c:pt>
                <c:pt idx="67" formatCode="_-* #,##0_-;\-* #,##0_-;_-* &quot;-&quot;??_-;_-@_-">
                  <c:v>2</c:v>
                </c:pt>
                <c:pt idx="68" formatCode="_-* #,##0_-;\-* #,##0_-;_-* &quot;-&quot;??_-;_-@_-">
                  <c:v>2</c:v>
                </c:pt>
                <c:pt idx="69" formatCode="_-* #,##0_-;\-* #,##0_-;_-* &quot;-&quot;??_-;_-@_-">
                  <c:v>2</c:v>
                </c:pt>
                <c:pt idx="70" formatCode="_-* #,##0_-;\-* #,##0_-;_-* &quot;-&quot;??_-;_-@_-">
                  <c:v>2</c:v>
                </c:pt>
                <c:pt idx="71" formatCode="_-* #,##0_-;\-* #,##0_-;_-* &quot;-&quot;??_-;_-@_-">
                  <c:v>2</c:v>
                </c:pt>
                <c:pt idx="72" formatCode="_-* #,##0_-;\-* #,##0_-;_-* &quot;-&quot;??_-;_-@_-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8-426E-9A23-10900879AB3D}"/>
            </c:ext>
          </c:extLst>
        </c:ser>
        <c:ser>
          <c:idx val="6"/>
          <c:order val="6"/>
          <c:tx>
            <c:strRef>
              <c:f>'3. P PLAN-2'!$H$84:$H$85</c:f>
              <c:strCache>
                <c:ptCount val="2"/>
                <c:pt idx="0">
                  <c:v>2) Mold Q'ty &amp; Cost</c:v>
                </c:pt>
                <c:pt idx="1">
                  <c:v>G.Shots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PLAN-2'!$H$86:$H$163</c:f>
              <c:numCache>
                <c:formatCode>_(* #,##0_);_(* \(#,##0\);_(* "-"_);_(@_)</c:formatCode>
                <c:ptCount val="78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 formatCode="_-* #,##0_-;\-* #,##0_-;_-* &quot;-&quot;??_-;_-@_-">
                  <c:v>100000</c:v>
                </c:pt>
                <c:pt idx="8" formatCode="_-* #,##0_-;\-* #,##0_-;_-* &quot;-&quot;??_-;_-@_-">
                  <c:v>100000</c:v>
                </c:pt>
                <c:pt idx="9" formatCode="_-* #,##0_-;\-* #,##0_-;_-* &quot;-&quot;??_-;_-@_-">
                  <c:v>100000</c:v>
                </c:pt>
                <c:pt idx="10" formatCode="_-* #,##0_-;\-* #,##0_-;_-* &quot;-&quot;??_-;_-@_-">
                  <c:v>100000</c:v>
                </c:pt>
                <c:pt idx="11" formatCode="_-* #,##0_-;\-* #,##0_-;_-* &quot;-&quot;??_-;_-@_-">
                  <c:v>100000</c:v>
                </c:pt>
                <c:pt idx="12" formatCode="_-* #,##0_-;\-* #,##0_-;_-* &quot;-&quot;??_-;_-@_-">
                  <c:v>100000</c:v>
                </c:pt>
                <c:pt idx="13" formatCode="_-* #,##0_-;\-* #,##0_-;_-* &quot;-&quot;??_-;_-@_-">
                  <c:v>120000</c:v>
                </c:pt>
                <c:pt idx="14" formatCode="_-* #,##0_-;\-* #,##0_-;_-* &quot;-&quot;??_-;_-@_-">
                  <c:v>120000</c:v>
                </c:pt>
                <c:pt idx="15" formatCode="_-* #,##0_-;\-* #,##0_-;_-* &quot;-&quot;??_-;_-@_-">
                  <c:v>120000</c:v>
                </c:pt>
                <c:pt idx="16" formatCode="_-* #,##0_-;\-* #,##0_-;_-* &quot;-&quot;??_-;_-@_-">
                  <c:v>120000</c:v>
                </c:pt>
                <c:pt idx="17" formatCode="_-* #,##0_-;\-* #,##0_-;_-* &quot;-&quot;??_-;_-@_-">
                  <c:v>120000</c:v>
                </c:pt>
                <c:pt idx="18" formatCode="_-* #,##0_-;\-* #,##0_-;_-* &quot;-&quot;??_-;_-@_-">
                  <c:v>120000</c:v>
                </c:pt>
                <c:pt idx="19" formatCode="_-* #,##0_-;\-* #,##0_-;_-* &quot;-&quot;??_-;_-@_-">
                  <c:v>120000</c:v>
                </c:pt>
                <c:pt idx="20" formatCode="_-* #,##0_-;\-* #,##0_-;_-* &quot;-&quot;??_-;_-@_-">
                  <c:v>120000</c:v>
                </c:pt>
                <c:pt idx="21" formatCode="_-* #,##0_-;\-* #,##0_-;_-* &quot;-&quot;??_-;_-@_-">
                  <c:v>120000</c:v>
                </c:pt>
                <c:pt idx="22" formatCode="_-* #,##0_-;\-* #,##0_-;_-* &quot;-&quot;??_-;_-@_-">
                  <c:v>120000</c:v>
                </c:pt>
                <c:pt idx="23" formatCode="_-* #,##0_-;\-* #,##0_-;_-* &quot;-&quot;??_-;_-@_-">
                  <c:v>120000</c:v>
                </c:pt>
                <c:pt idx="24" formatCode="_-* #,##0_-;\-* #,##0_-;_-* &quot;-&quot;??_-;_-@_-">
                  <c:v>120000</c:v>
                </c:pt>
                <c:pt idx="25" formatCode="_-* #,##0_-;\-* #,##0_-;_-* &quot;-&quot;??_-;_-@_-">
                  <c:v>120000</c:v>
                </c:pt>
                <c:pt idx="26" formatCode="_-* #,##0_-;\-* #,##0_-;_-* &quot;-&quot;??_-;_-@_-">
                  <c:v>120000</c:v>
                </c:pt>
                <c:pt idx="27" formatCode="_-* #,##0_-;\-* #,##0_-;_-* &quot;-&quot;??_-;_-@_-">
                  <c:v>120000</c:v>
                </c:pt>
                <c:pt idx="28" formatCode="_-* #,##0_-;\-* #,##0_-;_-* &quot;-&quot;??_-;_-@_-">
                  <c:v>120000</c:v>
                </c:pt>
                <c:pt idx="29" formatCode="_-* #,##0_-;\-* #,##0_-;_-* &quot;-&quot;??_-;_-@_-">
                  <c:v>120000</c:v>
                </c:pt>
                <c:pt idx="30" formatCode="_-* #,##0_-;\-* #,##0_-;_-* &quot;-&quot;??_-;_-@_-">
                  <c:v>120000</c:v>
                </c:pt>
                <c:pt idx="31" formatCode="_-* #,##0_-;\-* #,##0_-;_-* &quot;-&quot;??_-;_-@_-">
                  <c:v>120000</c:v>
                </c:pt>
                <c:pt idx="32" formatCode="_-* #,##0_-;\-* #,##0_-;_-* &quot;-&quot;??_-;_-@_-">
                  <c:v>120000</c:v>
                </c:pt>
                <c:pt idx="33" formatCode="_-* #,##0_-;\-* #,##0_-;_-* &quot;-&quot;??_-;_-@_-">
                  <c:v>120000</c:v>
                </c:pt>
                <c:pt idx="34" formatCode="_-* #,##0_-;\-* #,##0_-;_-* &quot;-&quot;??_-;_-@_-">
                  <c:v>120000</c:v>
                </c:pt>
                <c:pt idx="35" formatCode="_-* #,##0_-;\-* #,##0_-;_-* &quot;-&quot;??_-;_-@_-">
                  <c:v>120000</c:v>
                </c:pt>
                <c:pt idx="36" formatCode="_-* #,##0_-;\-* #,##0_-;_-* &quot;-&quot;??_-;_-@_-">
                  <c:v>120000</c:v>
                </c:pt>
                <c:pt idx="37" formatCode="_-* #,##0_-;\-* #,##0_-;_-* &quot;-&quot;??_-;_-@_-">
                  <c:v>120000</c:v>
                </c:pt>
                <c:pt idx="38" formatCode="_-* #,##0_-;\-* #,##0_-;_-* &quot;-&quot;??_-;_-@_-">
                  <c:v>120000</c:v>
                </c:pt>
                <c:pt idx="39" formatCode="_-* #,##0_-;\-* #,##0_-;_-* &quot;-&quot;??_-;_-@_-">
                  <c:v>120000</c:v>
                </c:pt>
                <c:pt idx="40" formatCode="_-* #,##0_-;\-* #,##0_-;_-* &quot;-&quot;??_-;_-@_-">
                  <c:v>100000</c:v>
                </c:pt>
                <c:pt idx="41" formatCode="_-* #,##0_-;\-* #,##0_-;_-* &quot;-&quot;??_-;_-@_-">
                  <c:v>100000</c:v>
                </c:pt>
                <c:pt idx="42" formatCode="_-* #,##0_-;\-* #,##0_-;_-* &quot;-&quot;??_-;_-@_-">
                  <c:v>100000</c:v>
                </c:pt>
                <c:pt idx="43" formatCode="_-* #,##0_-;\-* #,##0_-;_-* &quot;-&quot;??_-;_-@_-">
                  <c:v>100000</c:v>
                </c:pt>
                <c:pt idx="44" formatCode="_-* #,##0_-;\-* #,##0_-;_-* &quot;-&quot;??_-;_-@_-">
                  <c:v>100000</c:v>
                </c:pt>
                <c:pt idx="45" formatCode="_-* #,##0_-;\-* #,##0_-;_-* &quot;-&quot;??_-;_-@_-">
                  <c:v>100000</c:v>
                </c:pt>
                <c:pt idx="46" formatCode="_-* #,##0_-;\-* #,##0_-;_-* &quot;-&quot;??_-;_-@_-">
                  <c:v>100000</c:v>
                </c:pt>
                <c:pt idx="47" formatCode="_-* #,##0_-;\-* #,##0_-;_-* &quot;-&quot;??_-;_-@_-">
                  <c:v>100000</c:v>
                </c:pt>
                <c:pt idx="48" formatCode="_-* #,##0_-;\-* #,##0_-;_-* &quot;-&quot;??_-;_-@_-">
                  <c:v>100000</c:v>
                </c:pt>
                <c:pt idx="49" formatCode="_-* #,##0_-;\-* #,##0_-;_-* &quot;-&quot;??_-;_-@_-">
                  <c:v>100000</c:v>
                </c:pt>
                <c:pt idx="50" formatCode="_-* #,##0_-;\-* #,##0_-;_-* &quot;-&quot;??_-;_-@_-">
                  <c:v>100000</c:v>
                </c:pt>
                <c:pt idx="51" formatCode="_-* #,##0_-;\-* #,##0_-;_-* &quot;-&quot;??_-;_-@_-">
                  <c:v>100000</c:v>
                </c:pt>
                <c:pt idx="52" formatCode="_-* #,##0_-;\-* #,##0_-;_-* &quot;-&quot;??_-;_-@_-">
                  <c:v>100000</c:v>
                </c:pt>
                <c:pt idx="53" formatCode="_-* #,##0_-;\-* #,##0_-;_-* &quot;-&quot;??_-;_-@_-">
                  <c:v>100000</c:v>
                </c:pt>
                <c:pt idx="54" formatCode="_-* #,##0_-;\-* #,##0_-;_-* &quot;-&quot;??_-;_-@_-">
                  <c:v>100000</c:v>
                </c:pt>
                <c:pt idx="55" formatCode="_-* #,##0_-;\-* #,##0_-;_-* &quot;-&quot;??_-;_-@_-">
                  <c:v>100000</c:v>
                </c:pt>
                <c:pt idx="56" formatCode="_-* #,##0_-;\-* #,##0_-;_-* &quot;-&quot;??_-;_-@_-">
                  <c:v>100000</c:v>
                </c:pt>
                <c:pt idx="57" formatCode="_-* #,##0_-;\-* #,##0_-;_-* &quot;-&quot;??_-;_-@_-">
                  <c:v>100000</c:v>
                </c:pt>
                <c:pt idx="58" formatCode="_-* #,##0_-;\-* #,##0_-;_-* &quot;-&quot;??_-;_-@_-">
                  <c:v>100000</c:v>
                </c:pt>
                <c:pt idx="59" formatCode="_-* #,##0_-;\-* #,##0_-;_-* &quot;-&quot;??_-;_-@_-">
                  <c:v>100000</c:v>
                </c:pt>
                <c:pt idx="60" formatCode="_-* #,##0_-;\-* #,##0_-;_-* &quot;-&quot;??_-;_-@_-">
                  <c:v>100000</c:v>
                </c:pt>
                <c:pt idx="61" formatCode="_-* #,##0_-;\-* #,##0_-;_-* &quot;-&quot;??_-;_-@_-">
                  <c:v>100000</c:v>
                </c:pt>
                <c:pt idx="62" formatCode="_-* #,##0_-;\-* #,##0_-;_-* &quot;-&quot;??_-;_-@_-">
                  <c:v>100000</c:v>
                </c:pt>
                <c:pt idx="63" formatCode="_-* #,##0_-;\-* #,##0_-;_-* &quot;-&quot;??_-;_-@_-">
                  <c:v>100000</c:v>
                </c:pt>
                <c:pt idx="64" formatCode="_-* #,##0_-;\-* #,##0_-;_-* &quot;-&quot;??_-;_-@_-">
                  <c:v>100000</c:v>
                </c:pt>
                <c:pt idx="65" formatCode="_-* #,##0_-;\-* #,##0_-;_-* &quot;-&quot;??_-;_-@_-">
                  <c:v>100000</c:v>
                </c:pt>
                <c:pt idx="66" formatCode="_-* #,##0_-;\-* #,##0_-;_-* &quot;-&quot;??_-;_-@_-">
                  <c:v>100000</c:v>
                </c:pt>
                <c:pt idx="67" formatCode="_-* #,##0_-;\-* #,##0_-;_-* &quot;-&quot;??_-;_-@_-">
                  <c:v>100000</c:v>
                </c:pt>
                <c:pt idx="68" formatCode="_-* #,##0_-;\-* #,##0_-;_-* &quot;-&quot;??_-;_-@_-">
                  <c:v>100000</c:v>
                </c:pt>
                <c:pt idx="69" formatCode="_-* #,##0_-;\-* #,##0_-;_-* &quot;-&quot;??_-;_-@_-">
                  <c:v>100000</c:v>
                </c:pt>
                <c:pt idx="70" formatCode="_-* #,##0_-;\-* #,##0_-;_-* &quot;-&quot;??_-;_-@_-">
                  <c:v>100000</c:v>
                </c:pt>
                <c:pt idx="71" formatCode="_-* #,##0_-;\-* #,##0_-;_-* &quot;-&quot;??_-;_-@_-">
                  <c:v>100000</c:v>
                </c:pt>
                <c:pt idx="72" formatCode="_-* #,##0_-;\-* #,##0_-;_-* &quot;-&quot;??_-;_-@_-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8-426E-9A23-10900879AB3D}"/>
            </c:ext>
          </c:extLst>
        </c:ser>
        <c:ser>
          <c:idx val="7"/>
          <c:order val="7"/>
          <c:tx>
            <c:strRef>
              <c:f>'3. P PLAN-2'!$I$84:$I$85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PLAN-2'!$I$86:$I$163</c:f>
              <c:numCache>
                <c:formatCode>_-* #,##0_-;\-* #,##0_-;_-* "-"??_-;_-@_-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4">
                  <c:v>0</c:v>
                </c:pt>
                <c:pt idx="75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58-426E-9A23-10900879AB3D}"/>
            </c:ext>
          </c:extLst>
        </c:ser>
        <c:ser>
          <c:idx val="8"/>
          <c:order val="8"/>
          <c:tx>
            <c:strRef>
              <c:f>'3. P PLAN-2'!$J$84:$J$85</c:f>
              <c:strCache>
                <c:ptCount val="2"/>
                <c:pt idx="0">
                  <c:v>2) Mold Q'ty &amp; Cost</c:v>
                </c:pt>
                <c:pt idx="1">
                  <c:v> Mold T-Cost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PLAN-2'!$J$86:$J$163</c:f>
              <c:numCache>
                <c:formatCode>_-[$$-409]* #,##0_ ;_-[$$-409]* \-#,##0\ ;_-[$$-409]* "-"??_ ;_-@_ </c:formatCode>
                <c:ptCount val="78"/>
                <c:pt idx="0">
                  <c:v>19000</c:v>
                </c:pt>
                <c:pt idx="1">
                  <c:v>19000</c:v>
                </c:pt>
                <c:pt idx="2">
                  <c:v>19000</c:v>
                </c:pt>
                <c:pt idx="3">
                  <c:v>19000</c:v>
                </c:pt>
                <c:pt idx="4">
                  <c:v>19000</c:v>
                </c:pt>
                <c:pt idx="5">
                  <c:v>19000</c:v>
                </c:pt>
                <c:pt idx="6">
                  <c:v>19000</c:v>
                </c:pt>
                <c:pt idx="7">
                  <c:v>19000</c:v>
                </c:pt>
                <c:pt idx="8">
                  <c:v>24000</c:v>
                </c:pt>
                <c:pt idx="9">
                  <c:v>24000</c:v>
                </c:pt>
                <c:pt idx="10">
                  <c:v>24000</c:v>
                </c:pt>
                <c:pt idx="11">
                  <c:v>24000</c:v>
                </c:pt>
                <c:pt idx="12">
                  <c:v>24000</c:v>
                </c:pt>
                <c:pt idx="13">
                  <c:v>0</c:v>
                </c:pt>
                <c:pt idx="14">
                  <c:v>19000</c:v>
                </c:pt>
                <c:pt idx="15">
                  <c:v>24000</c:v>
                </c:pt>
                <c:pt idx="16">
                  <c:v>24000</c:v>
                </c:pt>
                <c:pt idx="17">
                  <c:v>24000</c:v>
                </c:pt>
                <c:pt idx="18">
                  <c:v>24000</c:v>
                </c:pt>
                <c:pt idx="19">
                  <c:v>18000</c:v>
                </c:pt>
                <c:pt idx="20">
                  <c:v>18000</c:v>
                </c:pt>
                <c:pt idx="21">
                  <c:v>18000</c:v>
                </c:pt>
                <c:pt idx="22">
                  <c:v>16900</c:v>
                </c:pt>
                <c:pt idx="23">
                  <c:v>20000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17000</c:v>
                </c:pt>
                <c:pt idx="31">
                  <c:v>18000</c:v>
                </c:pt>
                <c:pt idx="32">
                  <c:v>17000</c:v>
                </c:pt>
                <c:pt idx="33">
                  <c:v>17000</c:v>
                </c:pt>
                <c:pt idx="34">
                  <c:v>18000</c:v>
                </c:pt>
                <c:pt idx="35">
                  <c:v>17000</c:v>
                </c:pt>
                <c:pt idx="36">
                  <c:v>17000</c:v>
                </c:pt>
                <c:pt idx="37">
                  <c:v>17000</c:v>
                </c:pt>
                <c:pt idx="38">
                  <c:v>17000</c:v>
                </c:pt>
                <c:pt idx="39">
                  <c:v>17000</c:v>
                </c:pt>
                <c:pt idx="40">
                  <c:v>17000</c:v>
                </c:pt>
                <c:pt idx="41">
                  <c:v>18000</c:v>
                </c:pt>
                <c:pt idx="42">
                  <c:v>18000</c:v>
                </c:pt>
                <c:pt idx="43">
                  <c:v>18000</c:v>
                </c:pt>
                <c:pt idx="44">
                  <c:v>18000</c:v>
                </c:pt>
                <c:pt idx="45">
                  <c:v>18000</c:v>
                </c:pt>
                <c:pt idx="46">
                  <c:v>18000</c:v>
                </c:pt>
                <c:pt idx="47">
                  <c:v>17000</c:v>
                </c:pt>
                <c:pt idx="48">
                  <c:v>17000</c:v>
                </c:pt>
                <c:pt idx="49">
                  <c:v>17000</c:v>
                </c:pt>
                <c:pt idx="50">
                  <c:v>17000</c:v>
                </c:pt>
                <c:pt idx="51">
                  <c:v>17000</c:v>
                </c:pt>
                <c:pt idx="52">
                  <c:v>17000</c:v>
                </c:pt>
                <c:pt idx="53">
                  <c:v>17000</c:v>
                </c:pt>
                <c:pt idx="54">
                  <c:v>18000</c:v>
                </c:pt>
                <c:pt idx="55">
                  <c:v>18000</c:v>
                </c:pt>
                <c:pt idx="56">
                  <c:v>18000</c:v>
                </c:pt>
                <c:pt idx="57">
                  <c:v>20000</c:v>
                </c:pt>
                <c:pt idx="58">
                  <c:v>20000</c:v>
                </c:pt>
                <c:pt idx="59">
                  <c:v>12000</c:v>
                </c:pt>
                <c:pt idx="60">
                  <c:v>12000</c:v>
                </c:pt>
                <c:pt idx="61">
                  <c:v>19000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  <c:pt idx="65">
                  <c:v>20000</c:v>
                </c:pt>
                <c:pt idx="66">
                  <c:v>20000</c:v>
                </c:pt>
                <c:pt idx="67">
                  <c:v>20000</c:v>
                </c:pt>
                <c:pt idx="68">
                  <c:v>20000</c:v>
                </c:pt>
                <c:pt idx="69">
                  <c:v>20000</c:v>
                </c:pt>
                <c:pt idx="70">
                  <c:v>20000</c:v>
                </c:pt>
                <c:pt idx="71">
                  <c:v>20000</c:v>
                </c:pt>
                <c:pt idx="7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58-426E-9A23-10900879AB3D}"/>
            </c:ext>
          </c:extLst>
        </c:ser>
        <c:ser>
          <c:idx val="9"/>
          <c:order val="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58-426E-9A23-10900879AB3D}"/>
            </c:ext>
          </c:extLst>
        </c:ser>
        <c:ser>
          <c:idx val="10"/>
          <c:order val="1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58-426E-9A23-10900879AB3D}"/>
            </c:ext>
          </c:extLst>
        </c:ser>
        <c:ser>
          <c:idx val="11"/>
          <c:order val="1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58-426E-9A23-10900879AB3D}"/>
            </c:ext>
          </c:extLst>
        </c:ser>
        <c:ser>
          <c:idx val="12"/>
          <c:order val="1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58-426E-9A23-10900879AB3D}"/>
            </c:ext>
          </c:extLst>
        </c:ser>
        <c:ser>
          <c:idx val="13"/>
          <c:order val="1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58-426E-9A23-10900879AB3D}"/>
            </c:ext>
          </c:extLst>
        </c:ser>
        <c:ser>
          <c:idx val="14"/>
          <c:order val="1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58-426E-9A23-10900879AB3D}"/>
            </c:ext>
          </c:extLst>
        </c:ser>
        <c:ser>
          <c:idx val="15"/>
          <c:order val="1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958-426E-9A23-10900879AB3D}"/>
            </c:ext>
          </c:extLst>
        </c:ser>
        <c:ser>
          <c:idx val="16"/>
          <c:order val="1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958-426E-9A23-10900879AB3D}"/>
            </c:ext>
          </c:extLst>
        </c:ser>
        <c:ser>
          <c:idx val="17"/>
          <c:order val="1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58-426E-9A23-10900879AB3D}"/>
            </c:ext>
          </c:extLst>
        </c:ser>
        <c:ser>
          <c:idx val="18"/>
          <c:order val="1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958-426E-9A23-10900879AB3D}"/>
            </c:ext>
          </c:extLst>
        </c:ser>
        <c:ser>
          <c:idx val="19"/>
          <c:order val="1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958-426E-9A23-10900879AB3D}"/>
            </c:ext>
          </c:extLst>
        </c:ser>
        <c:ser>
          <c:idx val="20"/>
          <c:order val="2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58-426E-9A23-10900879AB3D}"/>
            </c:ext>
          </c:extLst>
        </c:ser>
        <c:ser>
          <c:idx val="21"/>
          <c:order val="2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958-426E-9A23-10900879AB3D}"/>
            </c:ext>
          </c:extLst>
        </c:ser>
        <c:ser>
          <c:idx val="22"/>
          <c:order val="22"/>
          <c:tx>
            <c:strRef>
              <c:f>'3. P PLAN-2'!$K$84:$K$85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PLAN-2'!$K$86:$K$163</c:f>
              <c:numCache>
                <c:formatCode>_(* #,##0_);_(* \(#,##0\);_(* "-"_);_(@_)</c:formatCode>
                <c:ptCount val="78"/>
                <c:pt idx="0">
                  <c:v>0</c:v>
                </c:pt>
                <c:pt idx="1">
                  <c:v>30</c:v>
                </c:pt>
                <c:pt idx="2">
                  <c:v>2</c:v>
                </c:pt>
                <c:pt idx="3">
                  <c:v>6</c:v>
                </c:pt>
                <c:pt idx="4">
                  <c:v>21</c:v>
                </c:pt>
                <c:pt idx="5">
                  <c:v>30</c:v>
                </c:pt>
                <c:pt idx="6">
                  <c:v>9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2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0</c:v>
                </c:pt>
                <c:pt idx="41">
                  <c:v>7</c:v>
                </c:pt>
                <c:pt idx="42">
                  <c:v>9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3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9</c:v>
                </c:pt>
                <c:pt idx="57">
                  <c:v>4</c:v>
                </c:pt>
                <c:pt idx="58">
                  <c:v>4</c:v>
                </c:pt>
                <c:pt idx="59">
                  <c:v>9</c:v>
                </c:pt>
                <c:pt idx="60">
                  <c:v>16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4">
                  <c:v>0</c:v>
                </c:pt>
                <c:pt idx="7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958-426E-9A23-10900879AB3D}"/>
            </c:ext>
          </c:extLst>
        </c:ser>
        <c:ser>
          <c:idx val="23"/>
          <c:order val="23"/>
          <c:tx>
            <c:strRef>
              <c:f>'3. P PLAN-2'!$L$84:$L$85</c:f>
              <c:strCache>
                <c:ptCount val="2"/>
                <c:pt idx="0">
                  <c:v>2) Mold Q'ty &amp; Cost</c:v>
                </c:pt>
                <c:pt idx="1">
                  <c:v> Jan.26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PLAN-2'!$L$86:$L$163</c:f>
              <c:numCache>
                <c:formatCode>_(* #,##0_);_(* \(#,##0\);_(* "-"_);_(@_)</c:formatCode>
                <c:ptCount val="78"/>
                <c:pt idx="1">
                  <c:v>2</c:v>
                </c:pt>
                <c:pt idx="4">
                  <c:v>3</c:v>
                </c:pt>
                <c:pt idx="5">
                  <c:v>3</c:v>
                </c:pt>
                <c:pt idx="12">
                  <c:v>1</c:v>
                </c:pt>
                <c:pt idx="18">
                  <c:v>1</c:v>
                </c:pt>
                <c:pt idx="19">
                  <c:v>1</c:v>
                </c:pt>
                <c:pt idx="22">
                  <c:v>1</c:v>
                </c:pt>
                <c:pt idx="30">
                  <c:v>1</c:v>
                </c:pt>
                <c:pt idx="33">
                  <c:v>1</c:v>
                </c:pt>
                <c:pt idx="35">
                  <c:v>1</c:v>
                </c:pt>
                <c:pt idx="38">
                  <c:v>1</c:v>
                </c:pt>
                <c:pt idx="40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55">
                  <c:v>1</c:v>
                </c:pt>
                <c:pt idx="56">
                  <c:v>1</c:v>
                </c:pt>
                <c:pt idx="59">
                  <c:v>1</c:v>
                </c:pt>
                <c:pt idx="60">
                  <c:v>2</c:v>
                </c:pt>
                <c:pt idx="73">
                  <c:v>25</c:v>
                </c:pt>
                <c:pt idx="75">
                  <c:v>25</c:v>
                </c:pt>
                <c:pt idx="76">
                  <c:v>8</c:v>
                </c:pt>
                <c:pt idx="7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958-426E-9A23-10900879AB3D}"/>
            </c:ext>
          </c:extLst>
        </c:ser>
        <c:ser>
          <c:idx val="24"/>
          <c:order val="24"/>
          <c:tx>
            <c:strRef>
              <c:f>'3. P PLAN-2'!$M$84:$M$85</c:f>
              <c:strCache>
                <c:ptCount val="2"/>
                <c:pt idx="0">
                  <c:v>2) Mold Q'ty &amp; Cost</c:v>
                </c:pt>
                <c:pt idx="1">
                  <c:v> Feb.26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PLAN-2'!$M$86:$M$163</c:f>
              <c:numCache>
                <c:formatCode>_(* #,##0_);_(* \(#,##0\);_(* "-"_);_(@_)</c:formatCode>
                <c:ptCount val="78"/>
                <c:pt idx="1">
                  <c:v>2</c:v>
                </c:pt>
                <c:pt idx="4">
                  <c:v>2</c:v>
                </c:pt>
                <c:pt idx="5">
                  <c:v>2</c:v>
                </c:pt>
                <c:pt idx="25">
                  <c:v>1</c:v>
                </c:pt>
                <c:pt idx="27">
                  <c:v>1</c:v>
                </c:pt>
                <c:pt idx="28">
                  <c:v>1</c:v>
                </c:pt>
                <c:pt idx="39">
                  <c:v>1</c:v>
                </c:pt>
                <c:pt idx="41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0">
                  <c:v>2</c:v>
                </c:pt>
                <c:pt idx="65">
                  <c:v>1</c:v>
                </c:pt>
                <c:pt idx="73">
                  <c:v>17</c:v>
                </c:pt>
                <c:pt idx="74">
                  <c:v>0</c:v>
                </c:pt>
                <c:pt idx="75">
                  <c:v>17</c:v>
                </c:pt>
                <c:pt idx="76">
                  <c:v>8</c:v>
                </c:pt>
                <c:pt idx="7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58-426E-9A23-10900879AB3D}"/>
            </c:ext>
          </c:extLst>
        </c:ser>
        <c:ser>
          <c:idx val="25"/>
          <c:order val="25"/>
          <c:tx>
            <c:strRef>
              <c:f>'3. P PLAN-2'!$N$84:$N$85</c:f>
              <c:strCache>
                <c:ptCount val="2"/>
                <c:pt idx="0">
                  <c:v>2) Mold Q'ty &amp; Cost</c:v>
                </c:pt>
                <c:pt idx="1">
                  <c:v> Mar.26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PLAN-2'!$N$86:$N$163</c:f>
              <c:numCache>
                <c:formatCode>_(* #,##0_);_(* \(#,##0\);_(* "-"_);_(@_)</c:formatCode>
                <c:ptCount val="78"/>
                <c:pt idx="1">
                  <c:v>2</c:v>
                </c:pt>
                <c:pt idx="4">
                  <c:v>2</c:v>
                </c:pt>
                <c:pt idx="5">
                  <c:v>2</c:v>
                </c:pt>
                <c:pt idx="19">
                  <c:v>1</c:v>
                </c:pt>
                <c:pt idx="20">
                  <c:v>1</c:v>
                </c:pt>
                <c:pt idx="31">
                  <c:v>1</c:v>
                </c:pt>
                <c:pt idx="32">
                  <c:v>1</c:v>
                </c:pt>
                <c:pt idx="34">
                  <c:v>1</c:v>
                </c:pt>
                <c:pt idx="40">
                  <c:v>1</c:v>
                </c:pt>
                <c:pt idx="48">
                  <c:v>1</c:v>
                </c:pt>
                <c:pt idx="52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9">
                  <c:v>1</c:v>
                </c:pt>
                <c:pt idx="60">
                  <c:v>1</c:v>
                </c:pt>
                <c:pt idx="73">
                  <c:v>19</c:v>
                </c:pt>
                <c:pt idx="74">
                  <c:v>0</c:v>
                </c:pt>
                <c:pt idx="75">
                  <c:v>19</c:v>
                </c:pt>
                <c:pt idx="76">
                  <c:v>8</c:v>
                </c:pt>
                <c:pt idx="7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958-426E-9A23-10900879AB3D}"/>
            </c:ext>
          </c:extLst>
        </c:ser>
        <c:ser>
          <c:idx val="26"/>
          <c:order val="26"/>
          <c:tx>
            <c:strRef>
              <c:f>'3. P PLAN-2'!$O$84:$O$85</c:f>
              <c:strCache>
                <c:ptCount val="2"/>
                <c:pt idx="0">
                  <c:v>2) Mold Q'ty &amp; Cost</c:v>
                </c:pt>
                <c:pt idx="1">
                  <c:v> Apr.26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PLAN-2'!$O$86:$O$163</c:f>
              <c:numCache>
                <c:formatCode>_(* #,##0_);_(* \(#,##0\);_(* "-"_);_(@_)</c:formatCode>
                <c:ptCount val="78"/>
                <c:pt idx="1">
                  <c:v>2</c:v>
                </c:pt>
                <c:pt idx="4">
                  <c:v>2</c:v>
                </c:pt>
                <c:pt idx="5">
                  <c:v>2</c:v>
                </c:pt>
                <c:pt idx="18">
                  <c:v>1</c:v>
                </c:pt>
                <c:pt idx="31">
                  <c:v>1</c:v>
                </c:pt>
                <c:pt idx="34">
                  <c:v>1</c:v>
                </c:pt>
                <c:pt idx="39">
                  <c:v>1</c:v>
                </c:pt>
                <c:pt idx="42">
                  <c:v>1</c:v>
                </c:pt>
                <c:pt idx="47">
                  <c:v>1</c:v>
                </c:pt>
                <c:pt idx="53">
                  <c:v>1</c:v>
                </c:pt>
                <c:pt idx="56">
                  <c:v>1</c:v>
                </c:pt>
                <c:pt idx="59">
                  <c:v>1</c:v>
                </c:pt>
                <c:pt idx="60">
                  <c:v>1</c:v>
                </c:pt>
                <c:pt idx="73">
                  <c:v>16</c:v>
                </c:pt>
                <c:pt idx="74">
                  <c:v>0</c:v>
                </c:pt>
                <c:pt idx="75">
                  <c:v>16</c:v>
                </c:pt>
                <c:pt idx="76">
                  <c:v>8</c:v>
                </c:pt>
                <c:pt idx="7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958-426E-9A23-10900879AB3D}"/>
            </c:ext>
          </c:extLst>
        </c:ser>
        <c:ser>
          <c:idx val="27"/>
          <c:order val="27"/>
          <c:tx>
            <c:strRef>
              <c:f>'3. P PLAN-2'!$P$84:$P$85</c:f>
              <c:strCache>
                <c:ptCount val="2"/>
                <c:pt idx="0">
                  <c:v>2) Mold Q'ty &amp; Cost</c:v>
                </c:pt>
                <c:pt idx="1">
                  <c:v> May.26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PLAN-2'!$P$86:$P$163</c:f>
              <c:numCache>
                <c:formatCode>_(* #,##0_);_(* \(#,##0\);_(* "-"_);_(@_)</c:formatCode>
                <c:ptCount val="78"/>
                <c:pt idx="1">
                  <c:v>2</c:v>
                </c:pt>
                <c:pt idx="4">
                  <c:v>2</c:v>
                </c:pt>
                <c:pt idx="5">
                  <c:v>2</c:v>
                </c:pt>
                <c:pt idx="19">
                  <c:v>1</c:v>
                </c:pt>
                <c:pt idx="37">
                  <c:v>1</c:v>
                </c:pt>
                <c:pt idx="40">
                  <c:v>1</c:v>
                </c:pt>
                <c:pt idx="41">
                  <c:v>1</c:v>
                </c:pt>
                <c:pt idx="45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9">
                  <c:v>1</c:v>
                </c:pt>
                <c:pt idx="60">
                  <c:v>2</c:v>
                </c:pt>
                <c:pt idx="73">
                  <c:v>17</c:v>
                </c:pt>
                <c:pt idx="74">
                  <c:v>0</c:v>
                </c:pt>
                <c:pt idx="75">
                  <c:v>17</c:v>
                </c:pt>
                <c:pt idx="76">
                  <c:v>8</c:v>
                </c:pt>
                <c:pt idx="7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958-426E-9A23-10900879AB3D}"/>
            </c:ext>
          </c:extLst>
        </c:ser>
        <c:ser>
          <c:idx val="28"/>
          <c:order val="28"/>
          <c:tx>
            <c:strRef>
              <c:f>'3. P PLAN-2'!$Q$84:$Q$85</c:f>
              <c:strCache>
                <c:ptCount val="2"/>
                <c:pt idx="0">
                  <c:v>2) Mold Q'ty &amp; Cost</c:v>
                </c:pt>
                <c:pt idx="1">
                  <c:v> Jun.26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PLAN-2'!$Q$86:$Q$163</c:f>
              <c:numCache>
                <c:formatCode>_(* #,##0_);_(* \(#,##0\);_(* "-"_);_(@_)</c:formatCode>
                <c:ptCount val="78"/>
                <c:pt idx="1">
                  <c:v>2</c:v>
                </c:pt>
                <c:pt idx="4">
                  <c:v>2</c:v>
                </c:pt>
                <c:pt idx="5">
                  <c:v>2</c:v>
                </c:pt>
                <c:pt idx="7">
                  <c:v>1</c:v>
                </c:pt>
                <c:pt idx="20">
                  <c:v>1</c:v>
                </c:pt>
                <c:pt idx="31">
                  <c:v>1</c:v>
                </c:pt>
                <c:pt idx="34">
                  <c:v>1</c:v>
                </c:pt>
                <c:pt idx="39">
                  <c:v>1</c:v>
                </c:pt>
                <c:pt idx="42">
                  <c:v>1</c:v>
                </c:pt>
                <c:pt idx="48">
                  <c:v>1</c:v>
                </c:pt>
                <c:pt idx="54">
                  <c:v>1</c:v>
                </c:pt>
                <c:pt idx="56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73">
                  <c:v>18</c:v>
                </c:pt>
                <c:pt idx="74">
                  <c:v>0</c:v>
                </c:pt>
                <c:pt idx="75">
                  <c:v>18</c:v>
                </c:pt>
                <c:pt idx="76">
                  <c:v>8</c:v>
                </c:pt>
                <c:pt idx="7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958-426E-9A23-10900879AB3D}"/>
            </c:ext>
          </c:extLst>
        </c:ser>
        <c:ser>
          <c:idx val="29"/>
          <c:order val="29"/>
          <c:tx>
            <c:strRef>
              <c:f>'3. P PLAN-2'!$R$84:$R$85</c:f>
              <c:strCache>
                <c:ptCount val="2"/>
                <c:pt idx="0">
                  <c:v>2) Mold Q'ty &amp; Cost</c:v>
                </c:pt>
                <c:pt idx="1">
                  <c:v> Jul.26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PLAN-2'!$R$86:$R$163</c:f>
              <c:numCache>
                <c:formatCode>_(* #,##0_);_(* \(#,##0\);_(* "-"_);_(@_)</c:formatCode>
                <c:ptCount val="78"/>
                <c:pt idx="1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8">
                  <c:v>1</c:v>
                </c:pt>
                <c:pt idx="18">
                  <c:v>1</c:v>
                </c:pt>
                <c:pt idx="19">
                  <c:v>1</c:v>
                </c:pt>
                <c:pt idx="31">
                  <c:v>1</c:v>
                </c:pt>
                <c:pt idx="34">
                  <c:v>1</c:v>
                </c:pt>
                <c:pt idx="39">
                  <c:v>1</c:v>
                </c:pt>
                <c:pt idx="41">
                  <c:v>1</c:v>
                </c:pt>
                <c:pt idx="47">
                  <c:v>1</c:v>
                </c:pt>
                <c:pt idx="53">
                  <c:v>1</c:v>
                </c:pt>
                <c:pt idx="59">
                  <c:v>1</c:v>
                </c:pt>
                <c:pt idx="60">
                  <c:v>2</c:v>
                </c:pt>
                <c:pt idx="73">
                  <c:v>22</c:v>
                </c:pt>
                <c:pt idx="74">
                  <c:v>0</c:v>
                </c:pt>
                <c:pt idx="75">
                  <c:v>22</c:v>
                </c:pt>
                <c:pt idx="76">
                  <c:v>8</c:v>
                </c:pt>
                <c:pt idx="7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958-426E-9A23-10900879AB3D}"/>
            </c:ext>
          </c:extLst>
        </c:ser>
        <c:ser>
          <c:idx val="30"/>
          <c:order val="30"/>
          <c:tx>
            <c:strRef>
              <c:f>'3. P PLAN-2'!$S$84:$S$85</c:f>
              <c:strCache>
                <c:ptCount val="2"/>
                <c:pt idx="0">
                  <c:v>2) Mold Q'ty &amp; Cost</c:v>
                </c:pt>
                <c:pt idx="1">
                  <c:v> Aug.26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PLAN-2'!$S$86:$S$163</c:f>
              <c:numCache>
                <c:formatCode>_(* #,##0_);_(* \(#,##0\);_(* "-"_);_(@_)</c:formatCode>
                <c:ptCount val="78"/>
                <c:pt idx="1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40">
                  <c:v>1</c:v>
                </c:pt>
                <c:pt idx="42">
                  <c:v>1</c:v>
                </c:pt>
                <c:pt idx="44">
                  <c:v>1</c:v>
                </c:pt>
                <c:pt idx="49">
                  <c:v>1</c:v>
                </c:pt>
                <c:pt idx="55">
                  <c:v>1</c:v>
                </c:pt>
                <c:pt idx="56">
                  <c:v>1</c:v>
                </c:pt>
                <c:pt idx="60">
                  <c:v>1</c:v>
                </c:pt>
                <c:pt idx="65">
                  <c:v>1</c:v>
                </c:pt>
                <c:pt idx="73">
                  <c:v>16</c:v>
                </c:pt>
                <c:pt idx="74">
                  <c:v>0</c:v>
                </c:pt>
                <c:pt idx="75">
                  <c:v>16</c:v>
                </c:pt>
                <c:pt idx="76">
                  <c:v>8</c:v>
                </c:pt>
                <c:pt idx="7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958-426E-9A23-10900879AB3D}"/>
            </c:ext>
          </c:extLst>
        </c:ser>
        <c:ser>
          <c:idx val="31"/>
          <c:order val="31"/>
          <c:tx>
            <c:strRef>
              <c:f>'3. P PLAN-2'!$T$84:$T$85</c:f>
              <c:strCache>
                <c:ptCount val="2"/>
                <c:pt idx="0">
                  <c:v>2) Mold Q'ty &amp; Cost</c:v>
                </c:pt>
                <c:pt idx="1">
                  <c:v> Sep.26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PLAN-2'!$T$86:$T$163</c:f>
              <c:numCache>
                <c:formatCode>_(* #,##0_);_(* \(#,##0\);_(* "-"_);_(@_)</c:formatCode>
                <c:ptCount val="78"/>
                <c:pt idx="1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9">
                  <c:v>1</c:v>
                </c:pt>
                <c:pt idx="19">
                  <c:v>1</c:v>
                </c:pt>
                <c:pt idx="20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50">
                  <c:v>1</c:v>
                </c:pt>
                <c:pt idx="54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4">
                  <c:v>1</c:v>
                </c:pt>
                <c:pt idx="73">
                  <c:v>19</c:v>
                </c:pt>
                <c:pt idx="74">
                  <c:v>0</c:v>
                </c:pt>
                <c:pt idx="75">
                  <c:v>19</c:v>
                </c:pt>
                <c:pt idx="76">
                  <c:v>8</c:v>
                </c:pt>
                <c:pt idx="7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958-426E-9A23-10900879AB3D}"/>
            </c:ext>
          </c:extLst>
        </c:ser>
        <c:ser>
          <c:idx val="32"/>
          <c:order val="32"/>
          <c:tx>
            <c:strRef>
              <c:f>'3. P PLAN-2'!$U$84:$U$85</c:f>
              <c:strCache>
                <c:ptCount val="2"/>
                <c:pt idx="0">
                  <c:v>2) Mold Q'ty &amp; Cost</c:v>
                </c:pt>
                <c:pt idx="1">
                  <c:v> Oct.26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PLAN-2'!$U$86:$U$163</c:f>
              <c:numCache>
                <c:formatCode>_(* #,##0_);_(* \(#,##0\);_(* "-"_);_(@_)</c:formatCode>
                <c:ptCount val="78"/>
                <c:pt idx="1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18">
                  <c:v>1</c:v>
                </c:pt>
                <c:pt idx="31">
                  <c:v>1</c:v>
                </c:pt>
                <c:pt idx="34">
                  <c:v>1</c:v>
                </c:pt>
                <c:pt idx="42">
                  <c:v>1</c:v>
                </c:pt>
                <c:pt idx="45">
                  <c:v>1</c:v>
                </c:pt>
                <c:pt idx="46">
                  <c:v>1</c:v>
                </c:pt>
                <c:pt idx="51">
                  <c:v>1</c:v>
                </c:pt>
                <c:pt idx="53">
                  <c:v>1</c:v>
                </c:pt>
                <c:pt idx="56">
                  <c:v>1</c:v>
                </c:pt>
                <c:pt idx="59">
                  <c:v>1</c:v>
                </c:pt>
                <c:pt idx="62">
                  <c:v>1</c:v>
                </c:pt>
                <c:pt idx="73">
                  <c:v>17</c:v>
                </c:pt>
                <c:pt idx="75">
                  <c:v>17</c:v>
                </c:pt>
                <c:pt idx="76">
                  <c:v>8</c:v>
                </c:pt>
                <c:pt idx="7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958-426E-9A23-10900879AB3D}"/>
            </c:ext>
          </c:extLst>
        </c:ser>
        <c:ser>
          <c:idx val="33"/>
          <c:order val="33"/>
          <c:tx>
            <c:strRef>
              <c:f>'3. P PLAN-2'!$V$84:$V$85</c:f>
              <c:strCache>
                <c:ptCount val="2"/>
                <c:pt idx="0">
                  <c:v>2) Mold Q'ty &amp; Cost</c:v>
                </c:pt>
                <c:pt idx="1">
                  <c:v> Nov.26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PLAN-2'!$V$86:$V$163</c:f>
              <c:numCache>
                <c:formatCode>_(* #,##0_);_(* \(#,##0\);_(* "-"_);_(@_)</c:formatCode>
                <c:ptCount val="78"/>
                <c:pt idx="1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19">
                  <c:v>1</c:v>
                </c:pt>
                <c:pt idx="20">
                  <c:v>1</c:v>
                </c:pt>
                <c:pt idx="31">
                  <c:v>1</c:v>
                </c:pt>
                <c:pt idx="34">
                  <c:v>1</c:v>
                </c:pt>
                <c:pt idx="39">
                  <c:v>1</c:v>
                </c:pt>
                <c:pt idx="55">
                  <c:v>1</c:v>
                </c:pt>
                <c:pt idx="56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3">
                  <c:v>1</c:v>
                </c:pt>
                <c:pt idx="73">
                  <c:v>17</c:v>
                </c:pt>
                <c:pt idx="74">
                  <c:v>0</c:v>
                </c:pt>
                <c:pt idx="75">
                  <c:v>17</c:v>
                </c:pt>
                <c:pt idx="76">
                  <c:v>8</c:v>
                </c:pt>
                <c:pt idx="7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958-426E-9A23-10900879AB3D}"/>
            </c:ext>
          </c:extLst>
        </c:ser>
        <c:ser>
          <c:idx val="34"/>
          <c:order val="34"/>
          <c:tx>
            <c:strRef>
              <c:f>'3. P PLAN-2'!$W$84:$W$85</c:f>
              <c:strCache>
                <c:ptCount val="2"/>
                <c:pt idx="0">
                  <c:v>2) Mold Q'ty &amp; Cost</c:v>
                </c:pt>
                <c:pt idx="1">
                  <c:v> Dec.26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PLAN-2'!$W$86:$W$163</c:f>
              <c:numCache>
                <c:formatCode>_(* #,##0_);_(* \(#,##0\);_(* "-"_);_(@_)</c:formatCode>
                <c:ptCount val="78"/>
                <c:pt idx="1">
                  <c:v>1</c:v>
                </c:pt>
                <c:pt idx="4">
                  <c:v>3</c:v>
                </c:pt>
                <c:pt idx="5">
                  <c:v>3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54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73">
                  <c:v>16</c:v>
                </c:pt>
                <c:pt idx="75">
                  <c:v>16</c:v>
                </c:pt>
                <c:pt idx="76">
                  <c:v>8</c:v>
                </c:pt>
                <c:pt idx="7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958-426E-9A23-10900879AB3D}"/>
            </c:ext>
          </c:extLst>
        </c:ser>
        <c:ser>
          <c:idx val="35"/>
          <c:order val="35"/>
          <c:tx>
            <c:strRef>
              <c:f>'3. P PLAN-2'!$X$84:$X$85</c:f>
              <c:strCache>
                <c:ptCount val="2"/>
                <c:pt idx="0">
                  <c:v> Unit: ea </c:v>
                </c:pt>
                <c:pt idx="1">
                  <c:v> 2026
Total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PLAN-2'!$X$86:$X$163</c:f>
              <c:numCache>
                <c:formatCode>_(* #,##0_);_(* \(#,##0\);_(* "-"_);_(@_)</c:formatCode>
                <c:ptCount val="78"/>
                <c:pt idx="0">
                  <c:v>0</c:v>
                </c:pt>
                <c:pt idx="1">
                  <c:v>21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23</c:v>
                </c:pt>
                <c:pt idx="6">
                  <c:v>9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6</c:v>
                </c:pt>
                <c:pt idx="20">
                  <c:v>4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6</c:v>
                </c:pt>
                <c:pt idx="32">
                  <c:v>1</c:v>
                </c:pt>
                <c:pt idx="33">
                  <c:v>1</c:v>
                </c:pt>
                <c:pt idx="34">
                  <c:v>6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6</c:v>
                </c:pt>
                <c:pt idx="40">
                  <c:v>6</c:v>
                </c:pt>
                <c:pt idx="41">
                  <c:v>5</c:v>
                </c:pt>
                <c:pt idx="42">
                  <c:v>6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10</c:v>
                </c:pt>
                <c:pt idx="57">
                  <c:v>4</c:v>
                </c:pt>
                <c:pt idx="58">
                  <c:v>5</c:v>
                </c:pt>
                <c:pt idx="59">
                  <c:v>10</c:v>
                </c:pt>
                <c:pt idx="60">
                  <c:v>15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219</c:v>
                </c:pt>
                <c:pt idx="74">
                  <c:v>0</c:v>
                </c:pt>
                <c:pt idx="75">
                  <c:v>219</c:v>
                </c:pt>
                <c:pt idx="76">
                  <c:v>96</c:v>
                </c:pt>
                <c:pt idx="7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958-426E-9A23-10900879AB3D}"/>
            </c:ext>
          </c:extLst>
        </c:ser>
        <c:ser>
          <c:idx val="36"/>
          <c:order val="3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958-426E-9A23-10900879AB3D}"/>
            </c:ext>
          </c:extLst>
        </c:ser>
        <c:ser>
          <c:idx val="37"/>
          <c:order val="3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958-426E-9A23-10900879AB3D}"/>
            </c:ext>
          </c:extLst>
        </c:ser>
        <c:ser>
          <c:idx val="38"/>
          <c:order val="3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958-426E-9A23-10900879AB3D}"/>
            </c:ext>
          </c:extLst>
        </c:ser>
        <c:ser>
          <c:idx val="39"/>
          <c:order val="3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958-426E-9A23-10900879AB3D}"/>
            </c:ext>
          </c:extLst>
        </c:ser>
        <c:ser>
          <c:idx val="40"/>
          <c:order val="4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958-426E-9A23-10900879AB3D}"/>
            </c:ext>
          </c:extLst>
        </c:ser>
        <c:ser>
          <c:idx val="41"/>
          <c:order val="4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958-426E-9A23-10900879AB3D}"/>
            </c:ext>
          </c:extLst>
        </c:ser>
        <c:ser>
          <c:idx val="42"/>
          <c:order val="4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958-426E-9A23-10900879AB3D}"/>
            </c:ext>
          </c:extLst>
        </c:ser>
        <c:ser>
          <c:idx val="43"/>
          <c:order val="4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958-426E-9A23-10900879AB3D}"/>
            </c:ext>
          </c:extLst>
        </c:ser>
        <c:ser>
          <c:idx val="44"/>
          <c:order val="4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958-426E-9A23-10900879AB3D}"/>
            </c:ext>
          </c:extLst>
        </c:ser>
        <c:ser>
          <c:idx val="45"/>
          <c:order val="4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958-426E-9A23-10900879AB3D}"/>
            </c:ext>
          </c:extLst>
        </c:ser>
        <c:ser>
          <c:idx val="46"/>
          <c:order val="4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958-426E-9A23-10900879AB3D}"/>
            </c:ext>
          </c:extLst>
        </c:ser>
        <c:ser>
          <c:idx val="47"/>
          <c:order val="4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958-426E-9A23-10900879AB3D}"/>
            </c:ext>
          </c:extLst>
        </c:ser>
        <c:ser>
          <c:idx val="48"/>
          <c:order val="4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958-426E-9A23-10900879AB3D}"/>
            </c:ext>
          </c:extLst>
        </c:ser>
        <c:ser>
          <c:idx val="49"/>
          <c:order val="4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958-426E-9A23-10900879AB3D}"/>
            </c:ext>
          </c:extLst>
        </c:ser>
        <c:ser>
          <c:idx val="50"/>
          <c:order val="5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958-426E-9A23-10900879AB3D}"/>
            </c:ext>
          </c:extLst>
        </c:ser>
        <c:ser>
          <c:idx val="51"/>
          <c:order val="5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958-426E-9A23-10900879AB3D}"/>
            </c:ext>
          </c:extLst>
        </c:ser>
        <c:ser>
          <c:idx val="52"/>
          <c:order val="5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958-426E-9A23-10900879AB3D}"/>
            </c:ext>
          </c:extLst>
        </c:ser>
        <c:ser>
          <c:idx val="53"/>
          <c:order val="5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958-426E-9A23-10900879AB3D}"/>
            </c:ext>
          </c:extLst>
        </c:ser>
        <c:ser>
          <c:idx val="54"/>
          <c:order val="5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D958-426E-9A23-10900879AB3D}"/>
            </c:ext>
          </c:extLst>
        </c:ser>
        <c:ser>
          <c:idx val="55"/>
          <c:order val="5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D958-426E-9A23-10900879AB3D}"/>
            </c:ext>
          </c:extLst>
        </c:ser>
        <c:ser>
          <c:idx val="56"/>
          <c:order val="5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958-426E-9A23-10900879AB3D}"/>
            </c:ext>
          </c:extLst>
        </c:ser>
        <c:ser>
          <c:idx val="57"/>
          <c:order val="5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D958-426E-9A23-10900879AB3D}"/>
            </c:ext>
          </c:extLst>
        </c:ser>
        <c:ser>
          <c:idx val="58"/>
          <c:order val="5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D958-426E-9A23-10900879AB3D}"/>
            </c:ext>
          </c:extLst>
        </c:ser>
        <c:ser>
          <c:idx val="59"/>
          <c:order val="5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958-426E-9A23-10900879AB3D}"/>
            </c:ext>
          </c:extLst>
        </c:ser>
        <c:ser>
          <c:idx val="60"/>
          <c:order val="6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D958-426E-9A23-10900879AB3D}"/>
            </c:ext>
          </c:extLst>
        </c:ser>
        <c:ser>
          <c:idx val="61"/>
          <c:order val="6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D958-426E-9A23-10900879AB3D}"/>
            </c:ext>
          </c:extLst>
        </c:ser>
        <c:ser>
          <c:idx val="62"/>
          <c:order val="6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958-426E-9A23-10900879AB3D}"/>
            </c:ext>
          </c:extLst>
        </c:ser>
        <c:ser>
          <c:idx val="63"/>
          <c:order val="6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D958-426E-9A23-10900879AB3D}"/>
            </c:ext>
          </c:extLst>
        </c:ser>
        <c:ser>
          <c:idx val="64"/>
          <c:order val="6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D958-426E-9A23-10900879AB3D}"/>
            </c:ext>
          </c:extLst>
        </c:ser>
        <c:ser>
          <c:idx val="65"/>
          <c:order val="6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D958-426E-9A23-10900879AB3D}"/>
            </c:ext>
          </c:extLst>
        </c:ser>
        <c:ser>
          <c:idx val="66"/>
          <c:order val="6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D958-426E-9A23-10900879AB3D}"/>
            </c:ext>
          </c:extLst>
        </c:ser>
        <c:ser>
          <c:idx val="67"/>
          <c:order val="6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D958-426E-9A23-10900879AB3D}"/>
            </c:ext>
          </c:extLst>
        </c:ser>
        <c:ser>
          <c:idx val="68"/>
          <c:order val="6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D958-426E-9A23-10900879AB3D}"/>
            </c:ext>
          </c:extLst>
        </c:ser>
        <c:ser>
          <c:idx val="69"/>
          <c:order val="6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D958-426E-9A23-10900879AB3D}"/>
            </c:ext>
          </c:extLst>
        </c:ser>
        <c:ser>
          <c:idx val="70"/>
          <c:order val="7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D958-426E-9A23-10900879AB3D}"/>
            </c:ext>
          </c:extLst>
        </c:ser>
        <c:ser>
          <c:idx val="71"/>
          <c:order val="7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D958-426E-9A23-10900879AB3D}"/>
            </c:ext>
          </c:extLst>
        </c:ser>
        <c:ser>
          <c:idx val="72"/>
          <c:order val="7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D958-426E-9A23-10900879AB3D}"/>
            </c:ext>
          </c:extLst>
        </c:ser>
        <c:ser>
          <c:idx val="73"/>
          <c:order val="7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D958-426E-9A23-10900879AB3D}"/>
            </c:ext>
          </c:extLst>
        </c:ser>
        <c:ser>
          <c:idx val="74"/>
          <c:order val="7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D958-426E-9A23-10900879AB3D}"/>
            </c:ext>
          </c:extLst>
        </c:ser>
        <c:ser>
          <c:idx val="75"/>
          <c:order val="7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D958-426E-9A23-10900879AB3D}"/>
            </c:ext>
          </c:extLst>
        </c:ser>
        <c:ser>
          <c:idx val="76"/>
          <c:order val="7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D958-426E-9A23-10900879AB3D}"/>
            </c:ext>
          </c:extLst>
        </c:ser>
        <c:ser>
          <c:idx val="77"/>
          <c:order val="7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PLAN-2'!$A$86:$A$163</c:f>
              <c:strCache>
                <c:ptCount val="78"/>
                <c:pt idx="0">
                  <c:v>1</c:v>
                </c:pt>
                <c:pt idx="13">
                  <c:v>2</c:v>
                </c:pt>
                <c:pt idx="74">
                  <c:v>2</c:v>
                </c:pt>
                <c:pt idx="75">
                  <c:v>Grand Total</c:v>
                </c:pt>
                <c:pt idx="76">
                  <c:v>In-house Q'ty</c:v>
                </c:pt>
                <c:pt idx="77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D958-426E-9A23-10900879A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770175"/>
        <c:axId val="743774495"/>
      </c:barChart>
      <c:catAx>
        <c:axId val="74377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4495"/>
        <c:crosses val="autoZero"/>
        <c:auto val="1"/>
        <c:lblAlgn val="ctr"/>
        <c:lblOffset val="100"/>
        <c:noMultiLvlLbl val="0"/>
      </c:catAx>
      <c:valAx>
        <c:axId val="74377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124032102956039E-2"/>
          <c:y val="4.1939059574379087E-2"/>
          <c:w val="0.90048136567098624"/>
          <c:h val="0.734043985744389"/>
        </c:manualLayout>
      </c:layout>
      <c:lineChart>
        <c:grouping val="standard"/>
        <c:varyColors val="0"/>
        <c:ser>
          <c:idx val="0"/>
          <c:order val="0"/>
          <c:tx>
            <c:strRef>
              <c:f>'4-1. 인원계획'!$A$116</c:f>
              <c:strCache>
                <c:ptCount val="1"/>
                <c:pt idx="0">
                  <c:v>매출액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인원계획'!$B$116:$M$116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859632"/>
        <c:axId val="1245862992"/>
      </c:lineChart>
      <c:lineChart>
        <c:grouping val="standard"/>
        <c:varyColors val="0"/>
        <c:ser>
          <c:idx val="1"/>
          <c:order val="1"/>
          <c:tx>
            <c:strRef>
              <c:f>'4-1. 인원계획'!$A$117</c:f>
              <c:strCache>
                <c:ptCount val="1"/>
                <c:pt idx="0">
                  <c:v>1인당 매출액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인원계획'!$B$117:$M$117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69280"/>
        <c:axId val="487369760"/>
      </c:lineChart>
      <c:catAx>
        <c:axId val="12458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62992"/>
        <c:crosses val="autoZero"/>
        <c:auto val="1"/>
        <c:lblAlgn val="ctr"/>
        <c:lblOffset val="100"/>
        <c:noMultiLvlLbl val="0"/>
      </c:catAx>
      <c:valAx>
        <c:axId val="12458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59632"/>
        <c:crosses val="autoZero"/>
        <c:crossBetween val="between"/>
      </c:valAx>
      <c:valAx>
        <c:axId val="487369760"/>
        <c:scaling>
          <c:orientation val="minMax"/>
          <c:min val="10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69280"/>
        <c:crosses val="max"/>
        <c:crossBetween val="between"/>
      </c:valAx>
      <c:catAx>
        <c:axId val="48736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7369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48F88E4-5500-4006-CBA6-509F3A2D79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782730</xdr:colOff>
      <xdr:row>120</xdr:row>
      <xdr:rowOff>126179</xdr:rowOff>
    </xdr:from>
    <xdr:to>
      <xdr:col>13</xdr:col>
      <xdr:colOff>3809</xdr:colOff>
      <xdr:row>134</xdr:row>
      <xdr:rowOff>51212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7ADDDA0-DEE5-F071-F978-ACD2C616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280147</xdr:colOff>
      <xdr:row>126</xdr:row>
      <xdr:rowOff>59841</xdr:rowOff>
    </xdr:from>
    <xdr:to>
      <xdr:col>11</xdr:col>
      <xdr:colOff>896471</xdr:colOff>
      <xdr:row>130</xdr:row>
      <xdr:rowOff>33619</xdr:rowOff>
    </xdr:to>
    <xdr:sp macro="" textlink="">
      <xdr:nvSpPr>
        <xdr:cNvPr id="3" name="말풍선: 모서리가 둥근 사각형 2">
          <a:extLst>
            <a:ext uri="{FF2B5EF4-FFF2-40B4-BE49-F238E27FC236}">
              <a16:creationId xmlns:a16="http://schemas.microsoft.com/office/drawing/2014/main" id="{34FD6952-64EC-7C01-887A-7F75B12F0812}"/>
            </a:ext>
          </a:extLst>
        </xdr:cNvPr>
        <xdr:cNvSpPr/>
      </xdr:nvSpPr>
      <xdr:spPr>
        <a:xfrm>
          <a:off x="10309412" y="24880870"/>
          <a:ext cx="1546412" cy="646131"/>
        </a:xfrm>
        <a:prstGeom prst="wedgeRoundRectCallout">
          <a:avLst>
            <a:gd name="adj1" fmla="val -36134"/>
            <a:gd name="adj2" fmla="val -143667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하반기 생산 </a:t>
          </a:r>
          <a:r>
            <a:rPr lang="en-US" altLang="ko-KR" sz="1100"/>
            <a:t>2,3 </a:t>
          </a:r>
          <a:r>
            <a:rPr lang="ko-KR" altLang="en-US" sz="1100"/>
            <a:t>팀 자동화 진행</a:t>
          </a:r>
        </a:p>
      </xdr:txBody>
    </xdr:sp>
    <xdr:clientData/>
  </xdr:twoCellAnchor>
  <xdr:twoCellAnchor>
    <xdr:from>
      <xdr:col>6</xdr:col>
      <xdr:colOff>649941</xdr:colOff>
      <xdr:row>126</xdr:row>
      <xdr:rowOff>88976</xdr:rowOff>
    </xdr:from>
    <xdr:to>
      <xdr:col>9</xdr:col>
      <xdr:colOff>85166</xdr:colOff>
      <xdr:row>130</xdr:row>
      <xdr:rowOff>156883</xdr:rowOff>
    </xdr:to>
    <xdr:sp macro="" textlink="">
      <xdr:nvSpPr>
        <xdr:cNvPr id="4" name="말풍선: 모서리가 둥근 사각형 3">
          <a:extLst>
            <a:ext uri="{FF2B5EF4-FFF2-40B4-BE49-F238E27FC236}">
              <a16:creationId xmlns:a16="http://schemas.microsoft.com/office/drawing/2014/main" id="{5796C7BD-9077-40C4-B1D1-219CF9FB0821}"/>
            </a:ext>
          </a:extLst>
        </xdr:cNvPr>
        <xdr:cNvSpPr/>
      </xdr:nvSpPr>
      <xdr:spPr>
        <a:xfrm>
          <a:off x="6958853" y="24910005"/>
          <a:ext cx="2225489" cy="740260"/>
        </a:xfrm>
        <a:prstGeom prst="wedgeRoundRectCallout">
          <a:avLst>
            <a:gd name="adj1" fmla="val -41931"/>
            <a:gd name="adj2" fmla="val -117933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자동화에 따른 인원 감소 </a:t>
          </a:r>
          <a:endParaRPr lang="en-US" altLang="ko-KR" sz="1100"/>
        </a:p>
        <a:p>
          <a:pPr algn="l"/>
          <a:r>
            <a:rPr lang="en-US" altLang="ko-KR" sz="1100"/>
            <a:t>2. </a:t>
          </a:r>
          <a:r>
            <a:rPr lang="ko-KR" altLang="en-US" sz="1100"/>
            <a:t>품질 인원 감소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0</xdr:colOff>
      <xdr:row>112</xdr:row>
      <xdr:rowOff>154562</xdr:rowOff>
    </xdr:from>
    <xdr:to>
      <xdr:col>20</xdr:col>
      <xdr:colOff>0</xdr:colOff>
      <xdr:row>114</xdr:row>
      <xdr:rowOff>6244</xdr:rowOff>
    </xdr:to>
    <xdr:sp macro="" textlink="">
      <xdr:nvSpPr>
        <xdr:cNvPr id="604238" name="Text Box 78" hidden="1">
          <a:extLst>
            <a:ext uri="{FF2B5EF4-FFF2-40B4-BE49-F238E27FC236}">
              <a16:creationId xmlns:a16="http://schemas.microsoft.com/office/drawing/2014/main" id="{00000000-0008-0000-1100-00004E380900}"/>
            </a:ext>
          </a:extLst>
        </xdr:cNvPr>
        <xdr:cNvSpPr txBox="1">
          <a:spLocks noChangeArrowheads="1"/>
        </xdr:cNvSpPr>
      </xdr:nvSpPr>
      <xdr:spPr bwMode="auto">
        <a:xfrm>
          <a:off x="18621375" y="26393775"/>
          <a:ext cx="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-1</xdr:colOff>
      <xdr:row>6</xdr:row>
      <xdr:rowOff>108858</xdr:rowOff>
    </xdr:from>
    <xdr:to>
      <xdr:col>33</xdr:col>
      <xdr:colOff>761998</xdr:colOff>
      <xdr:row>10</xdr:row>
      <xdr:rowOff>31227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95035" y="1687287"/>
          <a:ext cx="1986643" cy="6299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ng%20YeongKyu\Desktop\20251217-2026Y%20BIZ%20Plan_Rev24%20Chi&#51032;%20&#48373;&#49324;&#48376;.xlsx" TargetMode="External"/><Relationship Id="rId1" Type="http://schemas.openxmlformats.org/officeDocument/2006/relationships/externalLinkPath" Target="/Users/Kang%20YeongKyu/Desktop/20251217-2026Y%20BIZ%20Plan_Rev24%20Chi&#51032;%20&#48373;&#49324;&#48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dex"/>
      <sheetName val="1. Assumption"/>
      <sheetName val="1-1.Assumption"/>
      <sheetName val="2. S Plan"/>
      <sheetName val="요약"/>
      <sheetName val="SOP 2024"/>
      <sheetName val="3. P PLAN"/>
      <sheetName val="3. P PLAN-2"/>
      <sheetName val="Chart1"/>
      <sheetName val="4. L PLAN a"/>
      <sheetName val="4-1. 인원계획"/>
      <sheetName val="4. L PLAN"/>
      <sheetName val="5. M Plan"/>
      <sheetName val="AP Plan"/>
      <sheetName val="6. O Plan"/>
      <sheetName val="7. E Plan"/>
      <sheetName val="8. I Plan"/>
      <sheetName val="7-2. S-E Plan"/>
      <sheetName val="9. C Plan"/>
      <sheetName val="10. IS"/>
      <sheetName val="11. CF-2026"/>
      <sheetName val="12. FA Loan"/>
      <sheetName val="B.BasicInfomation"/>
      <sheetName val="Sub-L plan"/>
      <sheetName val="기준정보"/>
      <sheetName val="11. CF-2023"/>
      <sheetName val="Utilty_Dat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L4" t="str">
            <v>Jan.26</v>
          </cell>
          <cell r="M4" t="str">
            <v>Feb.26</v>
          </cell>
          <cell r="N4" t="str">
            <v>Mar.26</v>
          </cell>
          <cell r="O4" t="str">
            <v>Apr.26</v>
          </cell>
          <cell r="P4" t="str">
            <v>May.26</v>
          </cell>
          <cell r="Q4" t="str">
            <v>Jun.26</v>
          </cell>
          <cell r="R4" t="str">
            <v>Jul.26</v>
          </cell>
          <cell r="S4" t="str">
            <v>Aug.26</v>
          </cell>
          <cell r="T4" t="str">
            <v>Sep.26</v>
          </cell>
          <cell r="U4" t="str">
            <v>Oct.26</v>
          </cell>
          <cell r="V4" t="str">
            <v>Nov.26</v>
          </cell>
          <cell r="W4" t="str">
            <v>Dec.26</v>
          </cell>
          <cell r="X4" t="str">
            <v>2026
Total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69"/>
  <sheetViews>
    <sheetView workbookViewId="0">
      <selection activeCell="G25" sqref="G25"/>
    </sheetView>
  </sheetViews>
  <sheetFormatPr defaultColWidth="9" defaultRowHeight="13.5"/>
  <cols>
    <col min="1" max="11" width="10.125" style="111" customWidth="1"/>
    <col min="12" max="12" width="9" style="111"/>
    <col min="13" max="54" width="9" style="113"/>
    <col min="55" max="16384" width="9" style="111"/>
  </cols>
  <sheetData>
    <row r="1" spans="1:12" ht="12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 ht="12.75" customHeigh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3" spans="1:12" ht="12.75" customHeight="1">
      <c r="A3" s="5092" t="s">
        <v>1415</v>
      </c>
      <c r="B3" s="5093"/>
      <c r="C3" s="5093"/>
      <c r="D3" s="5093"/>
      <c r="E3" s="5093"/>
      <c r="F3" s="5093"/>
      <c r="G3" s="5093"/>
      <c r="H3" s="5093"/>
      <c r="I3" s="5093"/>
      <c r="J3" s="5093"/>
      <c r="K3" s="5093"/>
      <c r="L3" s="112"/>
    </row>
    <row r="4" spans="1:12" ht="12.75" customHeight="1">
      <c r="A4" s="5093"/>
      <c r="B4" s="5093"/>
      <c r="C4" s="5093"/>
      <c r="D4" s="5093"/>
      <c r="E4" s="5093"/>
      <c r="F4" s="5093"/>
      <c r="G4" s="5093"/>
      <c r="H4" s="5093"/>
      <c r="I4" s="5093"/>
      <c r="J4" s="5093"/>
      <c r="K4" s="5093"/>
      <c r="L4" s="112"/>
    </row>
    <row r="5" spans="1:12" ht="12.75" customHeight="1">
      <c r="A5" s="5093"/>
      <c r="B5" s="5093"/>
      <c r="C5" s="5093"/>
      <c r="D5" s="5093"/>
      <c r="E5" s="5093"/>
      <c r="F5" s="5093"/>
      <c r="G5" s="5093"/>
      <c r="H5" s="5093"/>
      <c r="I5" s="5093"/>
      <c r="J5" s="5093"/>
      <c r="K5" s="5093"/>
      <c r="L5" s="112"/>
    </row>
    <row r="6" spans="1:12" ht="12.75" customHeight="1">
      <c r="A6" s="5093"/>
      <c r="B6" s="5093"/>
      <c r="C6" s="5093"/>
      <c r="D6" s="5093"/>
      <c r="E6" s="5093"/>
      <c r="F6" s="5093"/>
      <c r="G6" s="5093"/>
      <c r="H6" s="5093"/>
      <c r="I6" s="5093"/>
      <c r="J6" s="5093"/>
      <c r="K6" s="5093"/>
      <c r="L6" s="112"/>
    </row>
    <row r="7" spans="1:12" ht="12.75" customHeight="1">
      <c r="A7" s="5093"/>
      <c r="B7" s="5093"/>
      <c r="C7" s="5093"/>
      <c r="D7" s="5093"/>
      <c r="E7" s="5093"/>
      <c r="F7" s="5093"/>
      <c r="G7" s="5093"/>
      <c r="H7" s="5093"/>
      <c r="I7" s="5093"/>
      <c r="J7" s="5093"/>
      <c r="K7" s="5093"/>
      <c r="L7" s="112"/>
    </row>
    <row r="8" spans="1:12" ht="12.75" customHeight="1">
      <c r="A8" s="5093"/>
      <c r="B8" s="5093"/>
      <c r="C8" s="5093"/>
      <c r="D8" s="5093"/>
      <c r="E8" s="5093"/>
      <c r="F8" s="5093"/>
      <c r="G8" s="5093"/>
      <c r="H8" s="5093"/>
      <c r="I8" s="5093"/>
      <c r="J8" s="5093"/>
      <c r="K8" s="5093"/>
      <c r="L8" s="112"/>
    </row>
    <row r="9" spans="1:12" ht="12.75" customHeight="1">
      <c r="A9" s="5093"/>
      <c r="B9" s="5093"/>
      <c r="C9" s="5093"/>
      <c r="D9" s="5093"/>
      <c r="E9" s="5093"/>
      <c r="F9" s="5093"/>
      <c r="G9" s="5093"/>
      <c r="H9" s="5093"/>
      <c r="I9" s="5093"/>
      <c r="J9" s="5093"/>
      <c r="K9" s="5093"/>
      <c r="L9" s="112"/>
    </row>
    <row r="10" spans="1:12" ht="12.75" customHeight="1">
      <c r="A10" s="5093"/>
      <c r="B10" s="5093"/>
      <c r="C10" s="5093"/>
      <c r="D10" s="5093"/>
      <c r="E10" s="5093"/>
      <c r="F10" s="5093"/>
      <c r="G10" s="5093"/>
      <c r="H10" s="5093"/>
      <c r="I10" s="5093"/>
      <c r="J10" s="5093"/>
      <c r="K10" s="5093"/>
      <c r="L10" s="112"/>
    </row>
    <row r="11" spans="1:12" ht="12.75" customHeight="1">
      <c r="A11" s="5093"/>
      <c r="B11" s="5093"/>
      <c r="C11" s="5093"/>
      <c r="D11" s="5093"/>
      <c r="E11" s="5093"/>
      <c r="F11" s="5093"/>
      <c r="G11" s="5093"/>
      <c r="H11" s="5093"/>
      <c r="I11" s="5093"/>
      <c r="J11" s="5093"/>
      <c r="K11" s="5093"/>
      <c r="L11" s="112"/>
    </row>
    <row r="12" spans="1:12" ht="12.75" customHeight="1">
      <c r="A12" s="5093"/>
      <c r="B12" s="5093"/>
      <c r="C12" s="5093"/>
      <c r="D12" s="5093"/>
      <c r="E12" s="5093"/>
      <c r="F12" s="5093"/>
      <c r="G12" s="5093"/>
      <c r="H12" s="5093"/>
      <c r="I12" s="5093"/>
      <c r="J12" s="5093"/>
      <c r="K12" s="5093"/>
      <c r="L12" s="112"/>
    </row>
    <row r="13" spans="1:12" ht="12.75" customHeight="1">
      <c r="A13" s="5093"/>
      <c r="B13" s="5093"/>
      <c r="C13" s="5093"/>
      <c r="D13" s="5093"/>
      <c r="E13" s="5093"/>
      <c r="F13" s="5093"/>
      <c r="G13" s="5093"/>
      <c r="H13" s="5093"/>
      <c r="I13" s="5093"/>
      <c r="J13" s="5093"/>
      <c r="K13" s="5093"/>
      <c r="L13" s="112"/>
    </row>
    <row r="14" spans="1:12" ht="12.75" customHeight="1">
      <c r="A14" s="5093"/>
      <c r="B14" s="5093"/>
      <c r="C14" s="5093"/>
      <c r="D14" s="5093"/>
      <c r="E14" s="5093"/>
      <c r="F14" s="5093"/>
      <c r="G14" s="5093"/>
      <c r="H14" s="5093"/>
      <c r="I14" s="5093"/>
      <c r="J14" s="5093"/>
      <c r="K14" s="5093"/>
      <c r="L14" s="112"/>
    </row>
    <row r="15" spans="1:12" ht="12.75" customHeight="1">
      <c r="A15" s="5093"/>
      <c r="B15" s="5093"/>
      <c r="C15" s="5093"/>
      <c r="D15" s="5093"/>
      <c r="E15" s="5093"/>
      <c r="F15" s="5093"/>
      <c r="G15" s="5093"/>
      <c r="H15" s="5093"/>
      <c r="I15" s="5093"/>
      <c r="J15" s="5093"/>
      <c r="K15" s="5093"/>
      <c r="L15" s="112"/>
    </row>
    <row r="16" spans="1:12" ht="12.75" customHeight="1">
      <c r="A16" s="5093"/>
      <c r="B16" s="5093"/>
      <c r="C16" s="5093"/>
      <c r="D16" s="5093"/>
      <c r="E16" s="5093"/>
      <c r="F16" s="5093"/>
      <c r="G16" s="5093"/>
      <c r="H16" s="5093"/>
      <c r="I16" s="5093"/>
      <c r="J16" s="5093"/>
      <c r="K16" s="5093"/>
      <c r="L16" s="112"/>
    </row>
    <row r="17" spans="1:13" ht="12.75" customHeight="1">
      <c r="A17" s="5093"/>
      <c r="B17" s="5093"/>
      <c r="C17" s="5093"/>
      <c r="D17" s="5093"/>
      <c r="E17" s="5093"/>
      <c r="F17" s="5093"/>
      <c r="G17" s="5093"/>
      <c r="H17" s="5093"/>
      <c r="I17" s="5093"/>
      <c r="J17" s="5093"/>
      <c r="K17" s="5093"/>
      <c r="L17" s="112"/>
    </row>
    <row r="18" spans="1:13" ht="12.75" customHeight="1">
      <c r="A18" s="5093"/>
      <c r="B18" s="5093"/>
      <c r="C18" s="5093"/>
      <c r="D18" s="5093"/>
      <c r="E18" s="5093"/>
      <c r="F18" s="5093"/>
      <c r="G18" s="5093"/>
      <c r="H18" s="5093"/>
      <c r="I18" s="5093"/>
      <c r="J18" s="5093"/>
      <c r="K18" s="5093"/>
      <c r="L18" s="112"/>
    </row>
    <row r="19" spans="1:13" ht="12.75" customHeight="1">
      <c r="A19" s="5093"/>
      <c r="B19" s="5093"/>
      <c r="C19" s="5093"/>
      <c r="D19" s="5093"/>
      <c r="E19" s="5093"/>
      <c r="F19" s="5093"/>
      <c r="G19" s="5093"/>
      <c r="H19" s="5093"/>
      <c r="I19" s="5093"/>
      <c r="J19" s="5093"/>
      <c r="K19" s="5093"/>
      <c r="L19" s="112"/>
    </row>
    <row r="20" spans="1:13" ht="12.75" customHeight="1">
      <c r="A20" s="5093"/>
      <c r="B20" s="5093"/>
      <c r="C20" s="5093"/>
      <c r="D20" s="5093"/>
      <c r="E20" s="5093"/>
      <c r="F20" s="5093"/>
      <c r="G20" s="5093"/>
      <c r="H20" s="5093"/>
      <c r="I20" s="5093"/>
      <c r="J20" s="5093"/>
      <c r="K20" s="5093"/>
      <c r="L20" s="112"/>
    </row>
    <row r="21" spans="1:13" ht="12.75" customHeight="1">
      <c r="A21" s="5093"/>
      <c r="B21" s="5093"/>
      <c r="C21" s="5093"/>
      <c r="D21" s="5093"/>
      <c r="E21" s="5093"/>
      <c r="F21" s="5093"/>
      <c r="G21" s="5093"/>
      <c r="H21" s="5093"/>
      <c r="I21" s="5093"/>
      <c r="J21" s="5093"/>
      <c r="K21" s="5093"/>
      <c r="L21" s="112"/>
    </row>
    <row r="22" spans="1:13" ht="12.75" customHeight="1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</row>
    <row r="23" spans="1:13" ht="12.75" customHeight="1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</row>
    <row r="24" spans="1:13" ht="12.75" customHeight="1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</row>
    <row r="25" spans="1:13" ht="12.75" customHeight="1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</row>
    <row r="26" spans="1:13" ht="12.75" customHeight="1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</row>
    <row r="27" spans="1:13" ht="12.7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276"/>
    </row>
    <row r="28" spans="1:13" ht="12.75" customHeight="1">
      <c r="A28" s="112"/>
      <c r="B28" s="112"/>
      <c r="C28" s="112"/>
      <c r="D28" s="112"/>
      <c r="E28" s="112"/>
      <c r="F28" s="5094"/>
      <c r="G28" s="5094"/>
      <c r="H28" s="5094"/>
      <c r="I28" s="5094"/>
      <c r="J28" s="5094"/>
      <c r="K28" s="5094"/>
      <c r="L28" s="5094"/>
      <c r="M28" s="277"/>
    </row>
    <row r="29" spans="1:13" ht="12.75" customHeight="1">
      <c r="A29" s="112"/>
      <c r="B29" s="112"/>
      <c r="C29" s="112"/>
      <c r="D29" s="112"/>
      <c r="E29" s="112"/>
      <c r="F29" s="5094"/>
      <c r="G29" s="5094"/>
      <c r="H29" s="5094"/>
      <c r="I29" s="5094"/>
      <c r="J29" s="5094"/>
      <c r="K29" s="5094"/>
      <c r="L29" s="5094"/>
      <c r="M29" s="277"/>
    </row>
    <row r="30" spans="1:13" ht="12.75" customHeight="1">
      <c r="A30" s="112"/>
      <c r="B30" s="112"/>
      <c r="C30" s="112"/>
      <c r="D30" s="112"/>
      <c r="E30" s="112"/>
      <c r="F30" s="5094"/>
      <c r="G30" s="5094"/>
      <c r="H30" s="5094"/>
      <c r="I30" s="5094"/>
      <c r="J30" s="5094"/>
      <c r="K30" s="5094"/>
      <c r="L30" s="5094"/>
      <c r="M30" s="277"/>
    </row>
    <row r="31" spans="1:13" ht="12.75" customHeight="1">
      <c r="A31" s="112"/>
      <c r="B31" s="112"/>
      <c r="C31" s="112"/>
      <c r="D31" s="112"/>
      <c r="E31" s="112"/>
      <c r="F31" s="5094"/>
      <c r="G31" s="5094"/>
      <c r="H31" s="5094"/>
      <c r="I31" s="5094"/>
      <c r="J31" s="5094"/>
      <c r="K31" s="5094"/>
      <c r="L31" s="5094"/>
      <c r="M31" s="277"/>
    </row>
    <row r="32" spans="1:13" ht="12.75" customHeight="1">
      <c r="A32" s="112"/>
      <c r="B32" s="112"/>
      <c r="C32" s="112"/>
      <c r="D32" s="112"/>
      <c r="E32" s="112"/>
      <c r="F32" s="5094"/>
      <c r="G32" s="5094"/>
      <c r="H32" s="5094"/>
      <c r="I32" s="5094"/>
      <c r="J32" s="5094"/>
      <c r="K32" s="5094"/>
      <c r="L32" s="5094"/>
      <c r="M32" s="277"/>
    </row>
    <row r="33" spans="1:13" ht="12.75" customHeight="1">
      <c r="A33" s="112"/>
      <c r="B33" s="112"/>
      <c r="C33" s="112"/>
      <c r="D33" s="112"/>
      <c r="E33" s="112"/>
      <c r="F33" s="5094"/>
      <c r="G33" s="5094"/>
      <c r="H33" s="5094"/>
      <c r="I33" s="5094"/>
      <c r="J33" s="5094"/>
      <c r="K33" s="5094"/>
      <c r="L33" s="5094"/>
      <c r="M33" s="277"/>
    </row>
    <row r="34" spans="1:13" ht="12.75" customHeight="1">
      <c r="A34" s="112"/>
      <c r="B34" s="112"/>
      <c r="C34" s="112"/>
      <c r="D34" s="112"/>
      <c r="E34" s="112"/>
      <c r="F34" s="5094"/>
      <c r="G34" s="5094"/>
      <c r="H34" s="5094"/>
      <c r="I34" s="5094"/>
      <c r="J34" s="5094"/>
      <c r="K34" s="5094"/>
      <c r="L34" s="5094"/>
    </row>
    <row r="35" spans="1:13" ht="12.75" customHeight="1">
      <c r="A35" s="112"/>
      <c r="B35" s="112"/>
      <c r="C35" s="112"/>
      <c r="D35" s="112"/>
      <c r="E35" s="112"/>
      <c r="F35" s="5094"/>
      <c r="G35" s="5094"/>
      <c r="H35" s="5094"/>
      <c r="I35" s="5094"/>
      <c r="J35" s="5094"/>
      <c r="K35" s="5094"/>
      <c r="L35" s="5094"/>
    </row>
    <row r="36" spans="1:13" s="113" customFormat="1"/>
    <row r="37" spans="1:13" s="113" customFormat="1"/>
    <row r="38" spans="1:13" s="113" customFormat="1"/>
    <row r="39" spans="1:13" s="113" customFormat="1"/>
    <row r="40" spans="1:13" s="113" customFormat="1"/>
    <row r="41" spans="1:13" s="113" customFormat="1"/>
    <row r="42" spans="1:13" s="113" customFormat="1"/>
    <row r="43" spans="1:13" s="113" customFormat="1"/>
    <row r="44" spans="1:13" s="113" customFormat="1"/>
    <row r="45" spans="1:13" s="113" customFormat="1"/>
    <row r="46" spans="1:13" s="113" customFormat="1"/>
    <row r="47" spans="1:13" s="113" customFormat="1"/>
    <row r="48" spans="1:13" s="113" customFormat="1"/>
    <row r="49" s="113" customFormat="1"/>
    <row r="50" s="113" customFormat="1"/>
    <row r="51" s="113" customFormat="1"/>
    <row r="52" s="113" customFormat="1"/>
    <row r="53" s="113" customFormat="1"/>
    <row r="54" s="113" customFormat="1"/>
    <row r="55" s="113" customFormat="1"/>
    <row r="56" s="113" customFormat="1"/>
    <row r="57" s="113" customFormat="1"/>
    <row r="58" s="113" customFormat="1"/>
    <row r="59" s="113" customFormat="1"/>
    <row r="60" s="113" customFormat="1"/>
    <row r="61" s="113" customFormat="1"/>
    <row r="62" s="113" customFormat="1"/>
    <row r="63" s="113" customFormat="1"/>
    <row r="64" s="113" customFormat="1"/>
    <row r="65" s="113" customFormat="1"/>
    <row r="66" s="113" customFormat="1"/>
    <row r="67" s="113" customFormat="1"/>
    <row r="68" s="113" customFormat="1"/>
    <row r="69" s="113" customFormat="1"/>
    <row r="70" s="113" customFormat="1"/>
    <row r="71" s="113" customFormat="1"/>
    <row r="72" s="113" customFormat="1"/>
    <row r="73" s="113" customFormat="1"/>
    <row r="74" s="113" customFormat="1"/>
    <row r="75" s="113" customFormat="1"/>
    <row r="76" s="113" customFormat="1"/>
    <row r="77" s="113" customFormat="1"/>
    <row r="78" s="113" customFormat="1"/>
    <row r="79" s="113" customFormat="1"/>
    <row r="80" s="113" customFormat="1"/>
    <row r="81" s="113" customFormat="1"/>
    <row r="82" s="113" customFormat="1"/>
    <row r="83" s="113" customFormat="1"/>
    <row r="84" s="113" customFormat="1"/>
    <row r="85" s="113" customFormat="1"/>
    <row r="86" s="113" customFormat="1"/>
    <row r="87" s="113" customFormat="1"/>
    <row r="88" s="113" customFormat="1"/>
    <row r="89" s="113" customFormat="1"/>
    <row r="90" s="113" customFormat="1"/>
    <row r="91" s="113" customFormat="1"/>
    <row r="92" s="113" customFormat="1"/>
    <row r="93" s="113" customFormat="1"/>
    <row r="94" s="113" customFormat="1"/>
    <row r="95" s="113" customFormat="1"/>
    <row r="96" s="113" customFormat="1"/>
    <row r="97" s="113" customFormat="1"/>
    <row r="98" s="113" customFormat="1"/>
    <row r="99" s="113" customFormat="1"/>
    <row r="100" s="113" customFormat="1"/>
    <row r="101" s="113" customFormat="1"/>
    <row r="102" s="113" customFormat="1"/>
    <row r="103" s="113" customFormat="1"/>
    <row r="104" s="113" customFormat="1"/>
    <row r="105" s="113" customFormat="1"/>
    <row r="106" s="113" customFormat="1"/>
    <row r="107" s="113" customFormat="1"/>
    <row r="108" s="113" customFormat="1"/>
    <row r="109" s="113" customFormat="1"/>
    <row r="110" s="113" customFormat="1"/>
    <row r="111" s="113" customFormat="1"/>
    <row r="112" s="113" customFormat="1"/>
    <row r="113" s="113" customFormat="1"/>
    <row r="114" s="113" customFormat="1"/>
    <row r="115" s="113" customFormat="1"/>
    <row r="116" s="113" customFormat="1"/>
    <row r="117" s="113" customFormat="1"/>
    <row r="118" s="113" customFormat="1"/>
    <row r="119" s="113" customFormat="1"/>
    <row r="120" s="113" customFormat="1"/>
    <row r="121" s="113" customFormat="1"/>
    <row r="122" s="113" customFormat="1"/>
    <row r="123" s="113" customFormat="1"/>
    <row r="124" s="113" customFormat="1"/>
    <row r="125" s="113" customFormat="1"/>
    <row r="126" s="113" customFormat="1"/>
    <row r="127" s="113" customFormat="1"/>
    <row r="128" s="113" customFormat="1"/>
    <row r="129" s="113" customFormat="1"/>
    <row r="130" s="113" customFormat="1"/>
    <row r="131" s="113" customFormat="1"/>
    <row r="132" s="113" customFormat="1"/>
    <row r="133" s="113" customFormat="1"/>
    <row r="134" s="113" customFormat="1"/>
    <row r="135" s="113" customFormat="1"/>
    <row r="136" s="113" customFormat="1"/>
    <row r="137" s="113" customFormat="1"/>
    <row r="138" s="113" customFormat="1"/>
    <row r="139" s="113" customFormat="1"/>
    <row r="140" s="113" customFormat="1"/>
    <row r="141" s="113" customFormat="1"/>
    <row r="142" s="113" customFormat="1"/>
    <row r="143" s="113" customFormat="1"/>
    <row r="144" s="113" customFormat="1"/>
    <row r="145" s="113" customFormat="1"/>
    <row r="146" s="113" customFormat="1"/>
    <row r="147" s="113" customFormat="1"/>
    <row r="148" s="113" customFormat="1"/>
    <row r="149" s="113" customFormat="1"/>
    <row r="150" s="113" customFormat="1"/>
    <row r="151" s="113" customFormat="1"/>
    <row r="152" s="113" customFormat="1"/>
    <row r="153" s="113" customFormat="1"/>
    <row r="154" s="113" customFormat="1"/>
    <row r="155" s="113" customFormat="1"/>
    <row r="156" s="113" customFormat="1"/>
    <row r="157" s="113" customFormat="1"/>
    <row r="158" s="113" customFormat="1"/>
    <row r="159" s="113" customFormat="1"/>
    <row r="160" s="113" customFormat="1"/>
    <row r="161" s="113" customFormat="1"/>
    <row r="162" s="113" customFormat="1"/>
    <row r="163" s="113" customFormat="1"/>
    <row r="164" s="113" customFormat="1"/>
    <row r="165" s="113" customFormat="1"/>
    <row r="166" s="113" customFormat="1"/>
    <row r="167" s="113" customFormat="1"/>
    <row r="168" s="113" customFormat="1"/>
    <row r="169" s="113" customFormat="1"/>
  </sheetData>
  <mergeCells count="2">
    <mergeCell ref="A3:K21"/>
    <mergeCell ref="F28:L35"/>
  </mergeCells>
  <phoneticPr fontId="8" type="noConversion"/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1"/>
  <sheetViews>
    <sheetView workbookViewId="0">
      <selection activeCell="D38" sqref="D37:D38"/>
    </sheetView>
  </sheetViews>
  <sheetFormatPr defaultColWidth="9" defaultRowHeight="13.5"/>
  <cols>
    <col min="1" max="11" width="11.125" style="112" customWidth="1"/>
    <col min="12" max="36" width="9" style="234"/>
    <col min="37" max="16384" width="9" style="112"/>
  </cols>
  <sheetData>
    <row r="1" spans="1:11" ht="12.75" customHeight="1"/>
    <row r="2" spans="1:11" ht="12.75" customHeight="1">
      <c r="A2" s="5095" t="s">
        <v>129</v>
      </c>
      <c r="B2" s="5095"/>
      <c r="C2" s="5095"/>
      <c r="D2" s="5095"/>
      <c r="E2" s="5095"/>
      <c r="F2" s="5095"/>
      <c r="G2" s="5095"/>
      <c r="H2" s="5095"/>
      <c r="I2" s="5095"/>
      <c r="J2" s="5095"/>
      <c r="K2" s="5095"/>
    </row>
    <row r="3" spans="1:11" ht="12.75" customHeight="1">
      <c r="A3" s="5095"/>
      <c r="B3" s="5095"/>
      <c r="C3" s="5095"/>
      <c r="D3" s="5095"/>
      <c r="E3" s="5095"/>
      <c r="F3" s="5095"/>
      <c r="G3" s="5095"/>
      <c r="H3" s="5095"/>
      <c r="I3" s="5095"/>
      <c r="J3" s="5095"/>
      <c r="K3" s="5095"/>
    </row>
    <row r="4" spans="1:11" ht="12.75" customHeight="1"/>
    <row r="5" spans="1:11" ht="12.75" customHeight="1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</row>
    <row r="6" spans="1:11" ht="12.75" customHeight="1">
      <c r="A6" s="116"/>
      <c r="B6" s="116"/>
      <c r="C6" s="116"/>
      <c r="D6" s="116"/>
      <c r="E6" s="4526" t="s">
        <v>221</v>
      </c>
      <c r="F6" s="116"/>
      <c r="G6" s="116"/>
      <c r="H6" s="116"/>
      <c r="I6" s="116"/>
      <c r="J6" s="116"/>
      <c r="K6" s="116"/>
    </row>
    <row r="7" spans="1:11" ht="12.75" customHeight="1">
      <c r="A7" s="114"/>
      <c r="B7" s="114"/>
      <c r="C7" s="114"/>
      <c r="D7" s="114"/>
      <c r="E7" s="4524" t="s">
        <v>130</v>
      </c>
      <c r="F7" s="114"/>
      <c r="G7" s="114"/>
      <c r="H7" s="114"/>
      <c r="I7" s="114"/>
      <c r="J7" s="114"/>
      <c r="K7" s="114"/>
    </row>
    <row r="8" spans="1:11" ht="12.75" customHeight="1">
      <c r="A8" s="115"/>
      <c r="B8" s="115"/>
      <c r="C8" s="115"/>
      <c r="D8" s="115"/>
      <c r="E8" s="4528"/>
      <c r="F8" s="115"/>
      <c r="G8" s="115"/>
      <c r="H8" s="115"/>
      <c r="I8" s="115"/>
      <c r="J8" s="115"/>
      <c r="K8" s="115"/>
    </row>
    <row r="9" spans="1:11" ht="12.75" customHeight="1">
      <c r="A9" s="116"/>
      <c r="B9" s="116"/>
      <c r="C9" s="116"/>
      <c r="D9" s="116"/>
      <c r="E9" s="4526" t="s">
        <v>131</v>
      </c>
      <c r="F9" s="116"/>
      <c r="G9" s="116"/>
      <c r="H9" s="116"/>
      <c r="I9" s="116"/>
      <c r="J9" s="116"/>
      <c r="K9" s="116"/>
    </row>
    <row r="10" spans="1:11" ht="12.75" customHeight="1">
      <c r="A10" s="114"/>
      <c r="B10" s="114"/>
      <c r="C10" s="114"/>
      <c r="D10" s="114"/>
      <c r="E10" s="4524" t="s">
        <v>36</v>
      </c>
      <c r="F10" s="114"/>
      <c r="G10" s="114"/>
      <c r="H10" s="114"/>
      <c r="I10" s="114"/>
      <c r="J10" s="114"/>
      <c r="K10" s="114"/>
    </row>
    <row r="11" spans="1:11" ht="12.75" customHeight="1">
      <c r="A11" s="115"/>
      <c r="B11" s="115"/>
      <c r="C11" s="115"/>
      <c r="D11" s="115"/>
      <c r="E11" s="4528"/>
      <c r="F11" s="115"/>
      <c r="G11" s="115"/>
      <c r="H11" s="115"/>
      <c r="I11" s="115"/>
      <c r="J11" s="115"/>
      <c r="K11" s="115"/>
    </row>
    <row r="12" spans="1:11" ht="12.75" customHeight="1">
      <c r="A12" s="116"/>
      <c r="B12" s="116"/>
      <c r="C12" s="116"/>
      <c r="D12" s="116"/>
      <c r="E12" s="4526" t="s">
        <v>37</v>
      </c>
      <c r="F12" s="116"/>
      <c r="G12" s="116"/>
      <c r="H12" s="116"/>
      <c r="I12" s="116"/>
      <c r="J12" s="116"/>
      <c r="K12" s="116"/>
    </row>
    <row r="13" spans="1:11" ht="12.75" customHeight="1">
      <c r="A13" s="114"/>
      <c r="B13" s="114"/>
      <c r="C13" s="114"/>
      <c r="D13" s="114"/>
      <c r="E13" s="4524" t="s">
        <v>38</v>
      </c>
      <c r="F13" s="114"/>
      <c r="G13" s="114"/>
      <c r="H13" s="114"/>
      <c r="I13" s="114"/>
      <c r="J13" s="114"/>
      <c r="K13" s="114"/>
    </row>
    <row r="14" spans="1:11" ht="12.75" customHeight="1">
      <c r="A14" s="115"/>
      <c r="B14" s="115"/>
      <c r="C14" s="115"/>
      <c r="D14" s="115"/>
      <c r="E14" s="4528"/>
      <c r="F14" s="115"/>
      <c r="G14" s="115"/>
      <c r="H14" s="115"/>
      <c r="I14" s="115"/>
      <c r="J14" s="115"/>
      <c r="K14" s="115"/>
    </row>
    <row r="15" spans="1:11" ht="12.75" customHeight="1">
      <c r="A15" s="116"/>
      <c r="B15" s="116"/>
      <c r="C15" s="116"/>
      <c r="D15" s="116"/>
      <c r="E15" s="4526" t="s">
        <v>39</v>
      </c>
      <c r="F15" s="116"/>
      <c r="G15" s="116"/>
      <c r="H15" s="116"/>
      <c r="I15" s="116"/>
      <c r="J15" s="116"/>
      <c r="K15" s="116"/>
    </row>
    <row r="16" spans="1:11" ht="12.75" customHeight="1">
      <c r="A16" s="114"/>
      <c r="B16" s="114"/>
      <c r="C16" s="114"/>
      <c r="D16" s="114"/>
      <c r="E16" s="4524" t="s">
        <v>40</v>
      </c>
      <c r="F16" s="114"/>
      <c r="G16" s="114"/>
      <c r="H16" s="114"/>
      <c r="I16" s="114"/>
      <c r="J16" s="114"/>
      <c r="K16" s="114"/>
    </row>
    <row r="17" spans="1:11" ht="12.75" customHeight="1">
      <c r="A17" s="115"/>
      <c r="B17" s="115"/>
      <c r="C17" s="115"/>
      <c r="D17" s="115"/>
      <c r="E17" s="4528"/>
      <c r="F17" s="115"/>
      <c r="G17" s="115"/>
      <c r="H17" s="115"/>
      <c r="I17" s="115"/>
      <c r="J17" s="115"/>
      <c r="K17" s="115"/>
    </row>
    <row r="18" spans="1:11" ht="12.75" customHeight="1">
      <c r="A18" s="116"/>
      <c r="B18" s="116"/>
      <c r="C18" s="116"/>
      <c r="D18" s="116"/>
      <c r="E18" s="4526" t="s">
        <v>132</v>
      </c>
      <c r="F18" s="116"/>
      <c r="G18" s="116"/>
      <c r="H18" s="116"/>
      <c r="I18" s="116"/>
      <c r="J18" s="116"/>
      <c r="K18" s="116"/>
    </row>
    <row r="19" spans="1:11" ht="12.75" customHeight="1">
      <c r="A19" s="114"/>
      <c r="B19" s="114"/>
      <c r="C19" s="114"/>
      <c r="D19" s="114"/>
      <c r="E19" s="4524" t="s">
        <v>133</v>
      </c>
      <c r="F19" s="114"/>
      <c r="G19" s="114"/>
      <c r="H19" s="114"/>
      <c r="I19" s="114"/>
      <c r="J19" s="114"/>
      <c r="K19" s="114"/>
    </row>
    <row r="20" spans="1:11" ht="12.75" customHeight="1">
      <c r="A20" s="115"/>
      <c r="B20" s="115"/>
      <c r="C20" s="115"/>
      <c r="D20" s="115"/>
      <c r="E20" s="4528"/>
      <c r="F20" s="115"/>
      <c r="G20" s="115"/>
      <c r="H20" s="115"/>
      <c r="I20" s="115"/>
      <c r="J20" s="115"/>
      <c r="K20" s="115"/>
    </row>
    <row r="21" spans="1:11" ht="12.75" customHeight="1">
      <c r="A21" s="116"/>
      <c r="B21" s="116"/>
      <c r="C21" s="116"/>
      <c r="D21" s="116"/>
      <c r="E21" s="4526" t="s">
        <v>134</v>
      </c>
      <c r="F21" s="116"/>
      <c r="G21" s="116"/>
      <c r="H21" s="116"/>
      <c r="I21" s="116"/>
      <c r="J21" s="116"/>
      <c r="K21" s="116"/>
    </row>
    <row r="22" spans="1:11" ht="12.75" customHeight="1">
      <c r="A22" s="114"/>
      <c r="B22" s="114"/>
      <c r="C22" s="114"/>
      <c r="D22" s="114"/>
      <c r="E22" s="4524" t="s">
        <v>148</v>
      </c>
      <c r="F22" s="114"/>
      <c r="G22" s="114"/>
      <c r="H22" s="114"/>
      <c r="I22" s="114"/>
      <c r="J22" s="114"/>
      <c r="K22" s="114"/>
    </row>
    <row r="23" spans="1:11" ht="12.75" customHeight="1">
      <c r="A23" s="115"/>
      <c r="B23" s="115"/>
      <c r="C23" s="115"/>
      <c r="D23" s="115"/>
      <c r="E23" s="4528"/>
      <c r="F23" s="115"/>
      <c r="G23" s="115"/>
      <c r="H23" s="115"/>
      <c r="I23" s="115"/>
      <c r="J23" s="115"/>
      <c r="K23" s="115"/>
    </row>
    <row r="24" spans="1:11" ht="12.75" customHeight="1">
      <c r="A24" s="116"/>
      <c r="B24" s="116"/>
      <c r="C24" s="116"/>
      <c r="D24" s="116"/>
      <c r="E24" s="4526" t="s">
        <v>135</v>
      </c>
      <c r="F24" s="116"/>
      <c r="G24" s="116"/>
      <c r="H24" s="116"/>
      <c r="I24" s="116"/>
      <c r="J24" s="116"/>
      <c r="K24" s="116"/>
    </row>
    <row r="25" spans="1:11" ht="12.75" customHeight="1">
      <c r="A25" s="114"/>
      <c r="B25" s="114"/>
      <c r="C25" s="114"/>
      <c r="D25" s="114"/>
      <c r="E25" s="4524" t="s">
        <v>149</v>
      </c>
      <c r="F25" s="114"/>
      <c r="G25" s="114"/>
      <c r="H25" s="114"/>
      <c r="I25" s="114"/>
      <c r="J25" s="114"/>
      <c r="K25" s="114"/>
    </row>
    <row r="26" spans="1:11" ht="12.75" customHeight="1">
      <c r="A26" s="117"/>
      <c r="B26" s="117"/>
      <c r="C26" s="117"/>
      <c r="D26" s="117"/>
      <c r="E26" s="4529"/>
      <c r="F26" s="117"/>
      <c r="G26" s="117"/>
      <c r="H26" s="117"/>
      <c r="I26" s="117"/>
      <c r="J26" s="117"/>
      <c r="K26" s="117"/>
    </row>
    <row r="27" spans="1:11" ht="12.75" customHeight="1">
      <c r="A27" s="116"/>
      <c r="B27" s="116"/>
      <c r="C27" s="116"/>
      <c r="D27" s="116"/>
      <c r="E27" s="4526" t="s">
        <v>136</v>
      </c>
      <c r="F27" s="116"/>
      <c r="G27" s="116"/>
      <c r="H27" s="116"/>
      <c r="I27" s="116"/>
      <c r="J27" s="116"/>
      <c r="K27" s="116"/>
    </row>
    <row r="28" spans="1:11" ht="12.75" customHeight="1">
      <c r="A28" s="114"/>
      <c r="B28" s="114"/>
      <c r="C28" s="114"/>
      <c r="D28" s="114"/>
      <c r="E28" s="4524" t="s">
        <v>146</v>
      </c>
      <c r="F28" s="114"/>
      <c r="G28" s="114"/>
      <c r="H28" s="114"/>
      <c r="I28" s="114"/>
      <c r="J28" s="114"/>
      <c r="K28" s="114"/>
    </row>
    <row r="29" spans="1:11" ht="12.75" customHeight="1">
      <c r="A29" s="115"/>
      <c r="B29" s="115"/>
      <c r="C29" s="115"/>
      <c r="D29" s="115"/>
      <c r="E29" s="4528"/>
      <c r="F29" s="115"/>
      <c r="G29" s="115"/>
      <c r="H29" s="115"/>
      <c r="I29" s="115"/>
      <c r="J29" s="115"/>
      <c r="K29" s="115"/>
    </row>
    <row r="30" spans="1:11" ht="12.75" customHeight="1">
      <c r="A30" s="116"/>
      <c r="B30" s="116"/>
      <c r="C30" s="116"/>
      <c r="D30" s="116"/>
      <c r="E30" s="4526" t="s">
        <v>295</v>
      </c>
      <c r="F30" s="116"/>
      <c r="G30" s="116"/>
      <c r="H30" s="116"/>
      <c r="I30" s="116"/>
      <c r="J30" s="116"/>
      <c r="K30" s="116"/>
    </row>
    <row r="31" spans="1:11" ht="12.75" customHeight="1">
      <c r="A31" s="119"/>
      <c r="B31" s="117"/>
      <c r="C31" s="117"/>
      <c r="D31" s="117"/>
      <c r="E31" s="4524" t="s">
        <v>296</v>
      </c>
      <c r="F31" s="117"/>
      <c r="G31" s="117"/>
      <c r="H31" s="117"/>
      <c r="I31" s="117"/>
      <c r="J31" s="117"/>
      <c r="K31" s="117"/>
    </row>
    <row r="32" spans="1:11" ht="12.75" customHeight="1">
      <c r="A32" s="119"/>
      <c r="B32" s="117"/>
      <c r="C32" s="117"/>
      <c r="D32" s="117"/>
      <c r="E32" s="4527"/>
      <c r="F32" s="117"/>
      <c r="G32" s="117"/>
      <c r="H32" s="117"/>
      <c r="I32" s="117"/>
      <c r="J32" s="117"/>
      <c r="K32" s="117"/>
    </row>
    <row r="33" spans="1:11" ht="12.75" customHeight="1">
      <c r="A33" s="116"/>
      <c r="B33" s="116"/>
      <c r="C33" s="116"/>
      <c r="D33" s="116"/>
      <c r="E33" s="4526" t="s">
        <v>294</v>
      </c>
      <c r="F33" s="116"/>
      <c r="G33" s="116"/>
      <c r="H33" s="116"/>
      <c r="I33" s="116"/>
      <c r="J33" s="116"/>
      <c r="K33" s="116"/>
    </row>
    <row r="34" spans="1:11" ht="12.75" customHeight="1">
      <c r="A34" s="117"/>
      <c r="B34" s="118"/>
      <c r="C34" s="117"/>
      <c r="D34" s="117"/>
      <c r="E34" s="4525" t="s">
        <v>147</v>
      </c>
      <c r="F34" s="117"/>
      <c r="G34" s="117"/>
      <c r="H34" s="117"/>
      <c r="I34" s="117"/>
      <c r="J34" s="117"/>
      <c r="K34" s="117"/>
    </row>
    <row r="35" spans="1:11" ht="12.75" customHeight="1">
      <c r="A35" s="119"/>
      <c r="B35" s="117"/>
      <c r="C35" s="117"/>
      <c r="D35" s="117"/>
      <c r="E35" s="4527"/>
      <c r="F35" s="117"/>
      <c r="G35" s="117"/>
      <c r="H35" s="117"/>
      <c r="I35" s="117"/>
      <c r="J35" s="117"/>
      <c r="K35" s="117"/>
    </row>
    <row r="36" spans="1:11" ht="12.75" customHeight="1">
      <c r="A36" s="116"/>
      <c r="B36" s="116"/>
      <c r="C36" s="116"/>
      <c r="D36" s="116"/>
      <c r="E36" s="4526" t="s">
        <v>1417</v>
      </c>
      <c r="F36" s="116"/>
      <c r="G36" s="116"/>
      <c r="H36" s="116"/>
      <c r="I36" s="116"/>
      <c r="J36" s="116"/>
      <c r="K36" s="116"/>
    </row>
    <row r="37" spans="1:11" ht="12.75" customHeight="1">
      <c r="A37" s="119"/>
      <c r="B37" s="117"/>
      <c r="C37" s="117"/>
      <c r="D37" s="117"/>
      <c r="E37" s="4524" t="s">
        <v>145</v>
      </c>
      <c r="F37" s="117"/>
      <c r="G37" s="117"/>
      <c r="H37" s="117"/>
      <c r="I37" s="117"/>
      <c r="J37" s="117"/>
      <c r="K37" s="117"/>
    </row>
    <row r="38" spans="1:11" ht="12.75" customHeight="1">
      <c r="A38" s="115"/>
      <c r="B38" s="115"/>
      <c r="C38" s="115"/>
      <c r="D38" s="115"/>
      <c r="E38" s="4528"/>
      <c r="F38" s="115"/>
      <c r="G38" s="115"/>
      <c r="H38" s="115"/>
      <c r="I38" s="115"/>
      <c r="J38" s="115"/>
      <c r="K38" s="115"/>
    </row>
    <row r="39" spans="1:11" ht="17.25">
      <c r="E39" s="4531" t="s">
        <v>859</v>
      </c>
      <c r="F39" s="116"/>
    </row>
    <row r="40" spans="1:11" ht="17.25">
      <c r="E40" s="4524" t="s">
        <v>860</v>
      </c>
      <c r="F40" s="117"/>
      <c r="G40" s="4530"/>
    </row>
    <row r="43" spans="1:11" s="234" customFormat="1"/>
    <row r="44" spans="1:11" s="234" customFormat="1"/>
    <row r="45" spans="1:11" s="234" customFormat="1"/>
    <row r="46" spans="1:11" s="234" customFormat="1"/>
    <row r="47" spans="1:11" s="234" customFormat="1"/>
    <row r="48" spans="1:11" s="234" customFormat="1"/>
    <row r="49" s="234" customFormat="1"/>
    <row r="50" s="234" customFormat="1"/>
    <row r="51" s="234" customFormat="1"/>
    <row r="52" s="234" customFormat="1"/>
    <row r="53" s="234" customFormat="1"/>
    <row r="54" s="234" customFormat="1"/>
    <row r="55" s="234" customFormat="1"/>
    <row r="56" s="234" customFormat="1"/>
    <row r="57" s="234" customFormat="1"/>
    <row r="58" s="234" customFormat="1"/>
    <row r="59" s="234" customFormat="1"/>
    <row r="60" s="234" customFormat="1"/>
    <row r="61" s="234" customFormat="1"/>
    <row r="62" s="234" customFormat="1"/>
    <row r="63" s="234" customFormat="1"/>
    <row r="64" s="234" customFormat="1"/>
    <row r="65" s="234" customFormat="1"/>
    <row r="66" s="234" customFormat="1"/>
    <row r="67" s="234" customFormat="1"/>
    <row r="68" s="234" customFormat="1"/>
    <row r="69" s="234" customFormat="1"/>
    <row r="70" s="234" customFormat="1"/>
    <row r="71" s="234" customFormat="1"/>
    <row r="72" s="234" customFormat="1"/>
    <row r="73" s="234" customFormat="1"/>
    <row r="74" s="234" customFormat="1"/>
    <row r="75" s="234" customFormat="1"/>
    <row r="76" s="234" customFormat="1"/>
    <row r="77" s="234" customFormat="1"/>
    <row r="78" s="234" customFormat="1"/>
    <row r="79" s="234" customFormat="1"/>
    <row r="80" s="234" customFormat="1"/>
    <row r="81" s="234" customFormat="1"/>
  </sheetData>
  <mergeCells count="1">
    <mergeCell ref="A2:K3"/>
  </mergeCells>
  <phoneticPr fontId="8" type="noConversion"/>
  <hyperlinks>
    <hyperlink ref="E6" location="'1. Assumption'!A1" display="1. Assumption " xr:uid="{00000000-0004-0000-0100-000000000000}"/>
    <hyperlink ref="E9" location="'2. S Plan'!A1" display="2. Sales Plan (S Plan)" xr:uid="{00000000-0004-0000-0100-000001000000}"/>
    <hyperlink ref="E12" location="'3. P PLAN'!A1" display="3. Production Plan (P Plan)" xr:uid="{00000000-0004-0000-0100-000002000000}"/>
    <hyperlink ref="E15" location="'4. L PLAN'!A1" display="4. Labor Plan (L Plan)" xr:uid="{00000000-0004-0000-0100-000003000000}"/>
    <hyperlink ref="E18" location="'5. M Plan'!A1" display="5. Material Plan (M Plan)" xr:uid="{00000000-0004-0000-0100-000004000000}"/>
    <hyperlink ref="E21" location="'6. O Plan'!A1" display="6. Outsourcing (O Plan)" xr:uid="{00000000-0004-0000-0100-000005000000}"/>
    <hyperlink ref="E24" location="'7. E Plan'!A1" display="7. Expense Plan (E Plan)" xr:uid="{00000000-0004-0000-0100-000006000000}"/>
    <hyperlink ref="E27" location="'8. I Plan'!A1" display="8. Investment Plan (I Plan)" xr:uid="{00000000-0004-0000-0100-000007000000}"/>
    <hyperlink ref="E30" location="'9. C Plan'!A1" display="9. Commission Plan (C Plan)" xr:uid="{00000000-0004-0000-0100-000008000000}"/>
    <hyperlink ref="E33" location="'10. IS'!A1" display="10. Income Statement (IS)" xr:uid="{00000000-0004-0000-0100-000009000000}"/>
    <hyperlink ref="E36" location="'11. CF-2026'!A1" display="11. 2026 Cash Flow (CF)" xr:uid="{00000000-0004-0000-0100-00000A000000}"/>
    <hyperlink ref="E39" location="'12. FA Loan'!A1" display="12. FA Loan" xr:uid="{00000000-0004-0000-0100-00000B000000}"/>
  </hyperlink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topLeftCell="A12" zoomScale="85" zoomScaleNormal="85" workbookViewId="0">
      <selection activeCell="F29" sqref="F29"/>
    </sheetView>
  </sheetViews>
  <sheetFormatPr defaultColWidth="9" defaultRowHeight="16.5"/>
  <cols>
    <col min="1" max="1" width="2.125" style="1501" customWidth="1"/>
    <col min="2" max="2" width="4.75" style="1501" bestFit="1" customWidth="1"/>
    <col min="3" max="3" width="15.125" style="1501" customWidth="1"/>
    <col min="4" max="4" width="68" style="1501" customWidth="1"/>
    <col min="5" max="6" width="16.75" style="1501" customWidth="1"/>
    <col min="7" max="7" width="69.125" style="1501" customWidth="1"/>
    <col min="8" max="16384" width="9" style="1501"/>
  </cols>
  <sheetData>
    <row r="1" spans="1:7" ht="16.5" customHeight="1">
      <c r="A1" s="5117" t="s">
        <v>1013</v>
      </c>
      <c r="B1" s="5117"/>
      <c r="C1" s="5117"/>
      <c r="D1" s="5117"/>
      <c r="E1" s="5117"/>
      <c r="F1" s="5117"/>
      <c r="G1" s="5117"/>
    </row>
    <row r="2" spans="1:7" ht="16.5" customHeight="1">
      <c r="A2" s="5117"/>
      <c r="B2" s="5117"/>
      <c r="C2" s="5117"/>
      <c r="D2" s="5117"/>
      <c r="E2" s="5117"/>
      <c r="F2" s="5117"/>
      <c r="G2" s="5117"/>
    </row>
    <row r="3" spans="1:7" ht="16.5" customHeight="1">
      <c r="A3" s="99"/>
      <c r="B3" s="99"/>
      <c r="C3" s="99"/>
      <c r="D3" s="99"/>
      <c r="E3" s="99"/>
      <c r="F3" s="99"/>
    </row>
    <row r="4" spans="1:7" ht="17.25">
      <c r="A4" s="1502" t="s">
        <v>1014</v>
      </c>
    </row>
    <row r="5" spans="1:7">
      <c r="E5" s="1503"/>
    </row>
    <row r="6" spans="1:7">
      <c r="A6" s="1504" t="s">
        <v>1015</v>
      </c>
    </row>
    <row r="7" spans="1:7">
      <c r="B7" s="100" t="s">
        <v>41</v>
      </c>
      <c r="C7" s="100" t="s">
        <v>1016</v>
      </c>
      <c r="D7" s="100" t="s">
        <v>42</v>
      </c>
      <c r="E7" s="100" t="s">
        <v>810</v>
      </c>
      <c r="F7" s="5112" t="s">
        <v>43</v>
      </c>
      <c r="G7" s="5114"/>
    </row>
    <row r="8" spans="1:7" s="1505" customFormat="1" ht="39.75" customHeight="1">
      <c r="B8" s="1506">
        <v>1</v>
      </c>
      <c r="C8" s="1507" t="s">
        <v>1393</v>
      </c>
      <c r="D8" s="1508" t="s">
        <v>1394</v>
      </c>
      <c r="E8" s="1509">
        <f>'2. S Plan'!X90+'2. S Plan'!X91+'2. S Plan'!X92+'2. S Plan'!X93+'2. S Plan'!X94+'2. S Plan'!X95+'2. S Plan'!X96</f>
        <v>12058457.872936971</v>
      </c>
      <c r="F8" s="5118" t="s">
        <v>1406</v>
      </c>
      <c r="G8" s="5119"/>
    </row>
    <row r="9" spans="1:7" s="1505" customFormat="1" ht="36" customHeight="1">
      <c r="B9" s="1506">
        <v>2</v>
      </c>
      <c r="C9" s="1510" t="s">
        <v>1395</v>
      </c>
      <c r="D9" s="1508" t="s">
        <v>1396</v>
      </c>
      <c r="E9" s="1509">
        <f>'2. S Plan'!X97</f>
        <v>6252095.734716488</v>
      </c>
      <c r="F9" s="5118"/>
      <c r="G9" s="5119"/>
    </row>
    <row r="10" spans="1:7" s="1505" customFormat="1">
      <c r="B10" s="1506">
        <v>3</v>
      </c>
      <c r="C10" s="1511" t="s">
        <v>24</v>
      </c>
      <c r="D10" s="1508" t="s">
        <v>1397</v>
      </c>
      <c r="E10" s="1509">
        <f>'2. S Plan'!X98+'2. S Plan'!X99+'2. S Plan'!X100+'2. S Plan'!X101+'2. S Plan'!X102+'2. S Plan'!X103</f>
        <v>1187726</v>
      </c>
      <c r="F10" s="5120"/>
      <c r="G10" s="5121"/>
    </row>
    <row r="11" spans="1:7" s="1505" customFormat="1" ht="38.25" customHeight="1">
      <c r="B11" s="1506">
        <v>4</v>
      </c>
      <c r="C11" s="1512" t="s">
        <v>20</v>
      </c>
      <c r="D11" s="4344" t="s">
        <v>1398</v>
      </c>
      <c r="E11" s="1513">
        <f>'2. S Plan'!X105+'2. S Plan'!X106+'2. S Plan'!X107+'2. S Plan'!X108+'2. S Plan'!X109+'2. S Plan'!X110+'2. S Plan'!X112+'2. S Plan'!X114+'2. S Plan'!X115+'2. S Plan'!X116+'2. S Plan'!X117+'2. S Plan'!X118+'2. S Plan'!X119+'2. S Plan'!X120+'2. S Plan'!X122+'2. S Plan'!X124+'2. S Plan'!X125+'2. S Plan'!X126+'2. S Plan'!X127+'2. S Plan'!X128+'2. S Plan'!X129+'2. S Plan'!X130+'2. S Plan'!X131+'2. S Plan'!X132+'2. S Plan'!X133+'2. S Plan'!X134+'2. S Plan'!X135</f>
        <v>3719112.235743694</v>
      </c>
      <c r="F11" s="5118" t="s">
        <v>1407</v>
      </c>
      <c r="G11" s="5119"/>
    </row>
    <row r="12" spans="1:7" s="1505" customFormat="1">
      <c r="B12" s="1506">
        <v>5</v>
      </c>
      <c r="C12" s="1512" t="s">
        <v>904</v>
      </c>
      <c r="D12" s="1508" t="s">
        <v>1399</v>
      </c>
      <c r="E12" s="1509">
        <f>'2. S Plan'!X136+'2. S Plan'!X137+'2. S Plan'!X138+'2. S Plan'!X140+'2. S Plan'!X139+'2. S Plan'!X141+'2. S Plan'!X142+'2. S Plan'!X143+'2. S Plan'!X144+'2. S Plan'!X145+'2. S Plan'!X146+'2. S Plan'!X147+'2. S Plan'!X148</f>
        <v>6821631.2799999993</v>
      </c>
      <c r="F12" s="5120"/>
      <c r="G12" s="5121"/>
    </row>
    <row r="13" spans="1:7" s="1505" customFormat="1">
      <c r="B13" s="1506">
        <v>6</v>
      </c>
      <c r="C13" s="1512" t="s">
        <v>1400</v>
      </c>
      <c r="D13" s="1508" t="s">
        <v>1401</v>
      </c>
      <c r="E13" s="1513">
        <f>'2. S Plan'!X149+'2. S Plan'!X150+'2. S Plan'!X151+'2. S Plan'!X152+'2. S Plan'!X153+'2. S Plan'!X154+'2. S Plan'!X155+'2. S Plan'!X156+'2. S Plan'!X157+'2. S Plan'!X158+'2. S Plan'!X159+'2. S Plan'!X160</f>
        <v>9190441.6999828815</v>
      </c>
      <c r="F13" s="5120"/>
      <c r="G13" s="5121"/>
    </row>
    <row r="14" spans="1:7" s="1505" customFormat="1" ht="40.5" customHeight="1">
      <c r="B14" s="1506">
        <v>7</v>
      </c>
      <c r="C14" s="4349" t="s">
        <v>1402</v>
      </c>
      <c r="D14" s="1508" t="s">
        <v>1403</v>
      </c>
      <c r="E14" s="1509">
        <f>'2. S Plan'!X161+'2. S Plan'!X162+'2. S Plan'!X163+'2. S Plan'!X164+'2. S Plan'!X165+'2. S Plan'!X166+'2. S Plan'!X167+'2. S Plan'!X168</f>
        <v>229230.2</v>
      </c>
      <c r="F14" s="5122" t="s">
        <v>1490</v>
      </c>
      <c r="G14" s="5121"/>
    </row>
    <row r="15" spans="1:7" s="1505" customFormat="1">
      <c r="B15" s="1506">
        <v>8</v>
      </c>
      <c r="C15" s="1512" t="s">
        <v>1404</v>
      </c>
      <c r="D15" s="1508" t="s">
        <v>1405</v>
      </c>
      <c r="E15" s="1509">
        <f>'2. S Plan'!X170+'2. S Plan'!X171</f>
        <v>2084660</v>
      </c>
      <c r="F15" s="5120"/>
      <c r="G15" s="5121"/>
    </row>
    <row r="16" spans="1:7">
      <c r="B16" s="5112" t="s">
        <v>762</v>
      </c>
      <c r="C16" s="5113"/>
      <c r="D16" s="5114"/>
      <c r="E16" s="1514">
        <f>SUM(E8:E15)</f>
        <v>41543355.023380041</v>
      </c>
      <c r="F16" s="5115"/>
      <c r="G16" s="5116"/>
    </row>
    <row r="17" spans="1:7">
      <c r="E17" s="1515" t="b">
        <v>1</v>
      </c>
    </row>
    <row r="18" spans="1:7">
      <c r="A18" s="1504" t="s">
        <v>1017</v>
      </c>
    </row>
    <row r="19" spans="1:7">
      <c r="B19" s="100" t="s">
        <v>41</v>
      </c>
      <c r="C19" s="100" t="s">
        <v>1016</v>
      </c>
      <c r="D19" s="5102" t="s">
        <v>42</v>
      </c>
      <c r="E19" s="5103"/>
      <c r="F19" s="5102" t="s">
        <v>43</v>
      </c>
      <c r="G19" s="5102"/>
    </row>
    <row r="20" spans="1:7" ht="16.5" customHeight="1">
      <c r="B20" s="4352">
        <v>1</v>
      </c>
      <c r="C20" s="4353" t="s">
        <v>1018</v>
      </c>
      <c r="D20" s="5104" t="s">
        <v>1019</v>
      </c>
      <c r="E20" s="5105"/>
      <c r="F20" s="5106"/>
      <c r="G20" s="5107"/>
    </row>
    <row r="21" spans="1:7">
      <c r="B21" s="4352">
        <v>2</v>
      </c>
      <c r="C21" s="4353" t="s">
        <v>151</v>
      </c>
      <c r="D21" s="5104" t="s">
        <v>1408</v>
      </c>
      <c r="E21" s="5105"/>
      <c r="F21" s="5106"/>
      <c r="G21" s="5107"/>
    </row>
    <row r="22" spans="1:7" ht="17.45" customHeight="1">
      <c r="B22" s="4352">
        <v>3</v>
      </c>
      <c r="C22" s="4353" t="s">
        <v>350</v>
      </c>
      <c r="D22" s="4354" t="s">
        <v>1409</v>
      </c>
      <c r="E22" s="4355"/>
      <c r="F22" s="5096"/>
      <c r="G22" s="5097"/>
    </row>
    <row r="23" spans="1:7" ht="16.5" customHeight="1">
      <c r="B23" s="4352">
        <v>4</v>
      </c>
      <c r="C23" s="4353" t="s">
        <v>556</v>
      </c>
      <c r="D23" s="5108" t="s">
        <v>1410</v>
      </c>
      <c r="E23" s="4356"/>
      <c r="F23" s="5098"/>
      <c r="G23" s="5099"/>
    </row>
    <row r="24" spans="1:7">
      <c r="B24" s="4352">
        <v>5</v>
      </c>
      <c r="C24" s="4353" t="s">
        <v>349</v>
      </c>
      <c r="D24" s="5109"/>
      <c r="E24" s="4357"/>
      <c r="F24" s="5098"/>
      <c r="G24" s="5099"/>
    </row>
    <row r="25" spans="1:7" ht="17.45" customHeight="1">
      <c r="A25" s="1504"/>
      <c r="B25" s="4352">
        <v>6</v>
      </c>
      <c r="C25" s="4353" t="s">
        <v>1317</v>
      </c>
      <c r="D25" s="5110" t="s">
        <v>1411</v>
      </c>
      <c r="E25" s="5111"/>
      <c r="F25" s="5100"/>
      <c r="G25" s="5101"/>
    </row>
    <row r="26" spans="1:7">
      <c r="B26" s="1516"/>
      <c r="C26" s="1517"/>
      <c r="D26" s="1518"/>
      <c r="E26" s="1519"/>
    </row>
  </sheetData>
  <mergeCells count="21">
    <mergeCell ref="B16:D16"/>
    <mergeCell ref="F16:G16"/>
    <mergeCell ref="A1:G2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22:G25"/>
    <mergeCell ref="D19:E19"/>
    <mergeCell ref="F19:G19"/>
    <mergeCell ref="D20:E20"/>
    <mergeCell ref="F20:G20"/>
    <mergeCell ref="D21:E21"/>
    <mergeCell ref="F21:G21"/>
    <mergeCell ref="D23:D24"/>
    <mergeCell ref="D25:E25"/>
  </mergeCells>
  <phoneticPr fontId="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topLeftCell="A12" zoomScaleNormal="100" workbookViewId="0">
      <selection activeCell="F29" sqref="F29"/>
    </sheetView>
  </sheetViews>
  <sheetFormatPr defaultColWidth="9" defaultRowHeight="16.5"/>
  <cols>
    <col min="1" max="1" width="5.875" style="1520" customWidth="1"/>
    <col min="2" max="2" width="10.125" style="1520" customWidth="1"/>
    <col min="3" max="3" width="21.125" style="1520" bestFit="1" customWidth="1"/>
    <col min="4" max="4" width="81.125" style="1520" customWidth="1"/>
    <col min="5" max="5" width="73.875" style="1520" customWidth="1"/>
    <col min="6" max="6" width="14.125" style="1521" bestFit="1" customWidth="1"/>
    <col min="7" max="7" width="14.125" style="1520" customWidth="1"/>
    <col min="8" max="8" width="9" style="1520" customWidth="1"/>
    <col min="9" max="16384" width="9" style="1520"/>
  </cols>
  <sheetData>
    <row r="1" spans="1:6">
      <c r="A1" s="5117" t="s">
        <v>216</v>
      </c>
      <c r="B1" s="5117"/>
      <c r="C1" s="5117"/>
      <c r="D1" s="5117"/>
      <c r="E1" s="5117"/>
      <c r="F1" s="5117"/>
    </row>
    <row r="2" spans="1:6">
      <c r="A2" s="5117"/>
      <c r="B2" s="5117"/>
      <c r="C2" s="5117"/>
      <c r="D2" s="5117"/>
      <c r="E2" s="5117"/>
      <c r="F2" s="5117"/>
    </row>
    <row r="3" spans="1:6">
      <c r="A3" s="2162" t="s">
        <v>1416</v>
      </c>
    </row>
    <row r="4" spans="1:6" ht="17.25" thickBot="1">
      <c r="A4" s="1522" t="s">
        <v>41</v>
      </c>
      <c r="B4" s="1522" t="s">
        <v>119</v>
      </c>
      <c r="C4" s="1523" t="s">
        <v>209</v>
      </c>
      <c r="D4" s="1523" t="s">
        <v>42</v>
      </c>
      <c r="E4" s="1523" t="s">
        <v>374</v>
      </c>
      <c r="F4" s="1522" t="s">
        <v>43</v>
      </c>
    </row>
    <row r="5" spans="1:6" ht="18" customHeight="1">
      <c r="A5" s="5124">
        <v>1</v>
      </c>
      <c r="B5" s="5123" t="s">
        <v>215</v>
      </c>
      <c r="C5" s="4521" t="s">
        <v>245</v>
      </c>
      <c r="D5" s="1525" t="s">
        <v>1438</v>
      </c>
      <c r="E5" s="1524" t="s">
        <v>1418</v>
      </c>
      <c r="F5" s="1526" t="s">
        <v>814</v>
      </c>
    </row>
    <row r="6" spans="1:6" ht="18" customHeight="1">
      <c r="A6" s="5124"/>
      <c r="B6" s="5124"/>
      <c r="C6" s="1529" t="s">
        <v>210</v>
      </c>
      <c r="D6" s="1527" t="s">
        <v>1419</v>
      </c>
      <c r="E6" s="1527"/>
      <c r="F6" s="1528" t="s">
        <v>815</v>
      </c>
    </row>
    <row r="7" spans="1:6" ht="18" customHeight="1">
      <c r="A7" s="5124"/>
      <c r="B7" s="5124"/>
      <c r="C7" s="1529"/>
      <c r="D7" s="1527" t="s">
        <v>1420</v>
      </c>
      <c r="E7" s="1527"/>
      <c r="F7" s="1528" t="s">
        <v>815</v>
      </c>
    </row>
    <row r="8" spans="1:6" ht="18" customHeight="1">
      <c r="A8" s="5124"/>
      <c r="B8" s="5124"/>
      <c r="C8" s="1529" t="s">
        <v>218</v>
      </c>
      <c r="D8" s="1527" t="s">
        <v>816</v>
      </c>
      <c r="E8" s="1527" t="s">
        <v>813</v>
      </c>
      <c r="F8" s="1528"/>
    </row>
    <row r="9" spans="1:6" ht="18" customHeight="1">
      <c r="A9" s="5124"/>
      <c r="B9" s="5124"/>
      <c r="C9" s="1529" t="s">
        <v>211</v>
      </c>
      <c r="D9" s="1527" t="s">
        <v>1421</v>
      </c>
      <c r="E9" s="1527" t="s">
        <v>1422</v>
      </c>
      <c r="F9" s="1528"/>
    </row>
    <row r="10" spans="1:6" ht="18" customHeight="1">
      <c r="A10" s="5124"/>
      <c r="B10" s="5124"/>
      <c r="C10" s="1529" t="s">
        <v>211</v>
      </c>
      <c r="D10" s="1527" t="s">
        <v>817</v>
      </c>
      <c r="E10" s="1527" t="s">
        <v>1440</v>
      </c>
      <c r="F10" s="1528"/>
    </row>
    <row r="11" spans="1:6" ht="18" customHeight="1">
      <c r="A11" s="5124"/>
      <c r="B11" s="5124"/>
      <c r="C11" s="1529" t="s">
        <v>211</v>
      </c>
      <c r="D11" s="1527" t="s">
        <v>1450</v>
      </c>
      <c r="E11" s="1527" t="s">
        <v>818</v>
      </c>
      <c r="F11" s="1528"/>
    </row>
    <row r="12" spans="1:6" ht="18" customHeight="1">
      <c r="A12" s="5124"/>
      <c r="B12" s="5124"/>
      <c r="C12" s="1529" t="s">
        <v>212</v>
      </c>
      <c r="D12" s="1527" t="s">
        <v>1424</v>
      </c>
      <c r="E12" s="1527"/>
      <c r="F12" s="1528" t="s">
        <v>228</v>
      </c>
    </row>
    <row r="13" spans="1:6" ht="18" customHeight="1">
      <c r="A13" s="5124"/>
      <c r="B13" s="5124"/>
      <c r="C13" s="1529" t="s">
        <v>291</v>
      </c>
      <c r="D13" s="1527" t="s">
        <v>1442</v>
      </c>
      <c r="E13" s="1527" t="s">
        <v>1425</v>
      </c>
      <c r="F13" s="1528"/>
    </row>
    <row r="14" spans="1:6" ht="18" customHeight="1">
      <c r="A14" s="5124"/>
      <c r="B14" s="5124"/>
      <c r="C14" s="1529" t="s">
        <v>511</v>
      </c>
      <c r="D14" s="1527" t="s">
        <v>1441</v>
      </c>
      <c r="E14" s="1527" t="s">
        <v>1426</v>
      </c>
      <c r="F14" s="1528"/>
    </row>
    <row r="15" spans="1:6" ht="18" customHeight="1">
      <c r="A15" s="5124"/>
      <c r="B15" s="5124"/>
      <c r="C15" s="1529" t="s">
        <v>214</v>
      </c>
      <c r="D15" s="1527" t="s">
        <v>1427</v>
      </c>
      <c r="E15" s="1527"/>
      <c r="F15" s="1528"/>
    </row>
    <row r="16" spans="1:6" ht="18" customHeight="1">
      <c r="A16" s="5124"/>
      <c r="B16" s="5124"/>
      <c r="C16" s="1529" t="s">
        <v>219</v>
      </c>
      <c r="D16" s="1527" t="s">
        <v>1443</v>
      </c>
      <c r="E16" s="1527" t="s">
        <v>1444</v>
      </c>
      <c r="F16" s="1528" t="s">
        <v>819</v>
      </c>
    </row>
    <row r="17" spans="1:6" ht="18" customHeight="1">
      <c r="A17" s="5125"/>
      <c r="B17" s="5125"/>
      <c r="C17" s="1529" t="s">
        <v>220</v>
      </c>
      <c r="D17" s="1527" t="s">
        <v>1428</v>
      </c>
      <c r="E17" s="1527"/>
      <c r="F17" s="1528"/>
    </row>
    <row r="18" spans="1:6" ht="18" customHeight="1">
      <c r="A18" s="5130">
        <v>2</v>
      </c>
      <c r="B18" s="5130" t="s">
        <v>2</v>
      </c>
      <c r="C18" s="1530" t="s">
        <v>243</v>
      </c>
      <c r="D18" s="1527" t="s">
        <v>1429</v>
      </c>
      <c r="E18" s="1527"/>
      <c r="F18" s="1528"/>
    </row>
    <row r="19" spans="1:6" ht="18" customHeight="1">
      <c r="A19" s="5124"/>
      <c r="B19" s="5124"/>
      <c r="C19" s="1531" t="s">
        <v>223</v>
      </c>
      <c r="D19" s="1527" t="s">
        <v>1445</v>
      </c>
      <c r="E19" s="1527" t="s">
        <v>1446</v>
      </c>
      <c r="F19" s="1528"/>
    </row>
    <row r="20" spans="1:6" ht="18" customHeight="1">
      <c r="A20" s="5124"/>
      <c r="B20" s="5124"/>
      <c r="C20" s="1531" t="s">
        <v>224</v>
      </c>
      <c r="D20" s="1527" t="s">
        <v>1447</v>
      </c>
      <c r="E20" s="1527" t="s">
        <v>858</v>
      </c>
      <c r="F20" s="1528"/>
    </row>
    <row r="21" spans="1:6" ht="18" customHeight="1">
      <c r="A21" s="5124"/>
      <c r="B21" s="5124"/>
      <c r="C21" s="1531" t="s">
        <v>225</v>
      </c>
      <c r="D21" s="1527" t="s">
        <v>1432</v>
      </c>
      <c r="E21" s="1532" t="s">
        <v>1430</v>
      </c>
      <c r="F21" s="1528"/>
    </row>
    <row r="22" spans="1:6" ht="18" customHeight="1">
      <c r="A22" s="5124"/>
      <c r="B22" s="5124"/>
      <c r="C22" s="1533" t="s">
        <v>219</v>
      </c>
      <c r="D22" s="1527" t="s">
        <v>1431</v>
      </c>
      <c r="E22" s="1527"/>
      <c r="F22" s="1528"/>
    </row>
    <row r="23" spans="1:6" ht="18" customHeight="1">
      <c r="A23" s="5124"/>
      <c r="B23" s="5124"/>
      <c r="C23" s="4523" t="s">
        <v>244</v>
      </c>
      <c r="D23" s="1527" t="s">
        <v>1434</v>
      </c>
      <c r="E23" s="1527" t="s">
        <v>1435</v>
      </c>
      <c r="F23" s="1528"/>
    </row>
    <row r="24" spans="1:6" ht="18" customHeight="1">
      <c r="A24" s="4519"/>
      <c r="B24" s="4519"/>
      <c r="C24" s="1535" t="s">
        <v>292</v>
      </c>
      <c r="D24" s="1527" t="s">
        <v>1436</v>
      </c>
      <c r="E24" s="1527"/>
      <c r="F24" s="1528" t="s">
        <v>226</v>
      </c>
    </row>
    <row r="25" spans="1:6" s="1501" customFormat="1" ht="18" customHeight="1">
      <c r="A25" s="4520">
        <v>4</v>
      </c>
      <c r="B25" s="4520" t="s">
        <v>213</v>
      </c>
      <c r="C25" s="1534" t="s">
        <v>293</v>
      </c>
      <c r="D25" s="1527" t="s">
        <v>1448</v>
      </c>
      <c r="E25" s="1527" t="s">
        <v>1449</v>
      </c>
      <c r="F25" s="1528" t="s">
        <v>227</v>
      </c>
    </row>
    <row r="26" spans="1:6" ht="18" customHeight="1">
      <c r="A26" s="5126">
        <v>5</v>
      </c>
      <c r="B26" s="5126" t="s">
        <v>121</v>
      </c>
      <c r="C26" s="3577" t="s">
        <v>313</v>
      </c>
      <c r="D26" s="5127" t="s">
        <v>1439</v>
      </c>
      <c r="E26" s="5127" t="s">
        <v>1423</v>
      </c>
      <c r="F26" s="4345">
        <v>1.29</v>
      </c>
    </row>
    <row r="27" spans="1:6" ht="18" customHeight="1">
      <c r="A27" s="5124"/>
      <c r="B27" s="5124"/>
      <c r="C27" s="3577" t="s">
        <v>314</v>
      </c>
      <c r="D27" s="5128"/>
      <c r="E27" s="5128"/>
      <c r="F27" s="4346">
        <v>1450</v>
      </c>
    </row>
    <row r="28" spans="1:6" ht="18" customHeight="1">
      <c r="A28" s="5124"/>
      <c r="B28" s="5124"/>
      <c r="C28" s="3577" t="s">
        <v>315</v>
      </c>
      <c r="D28" s="5128"/>
      <c r="E28" s="5128"/>
      <c r="F28" s="4347">
        <v>7.1</v>
      </c>
    </row>
    <row r="29" spans="1:6" ht="18" customHeight="1">
      <c r="A29" s="5125"/>
      <c r="B29" s="5125"/>
      <c r="C29" s="3577" t="s">
        <v>316</v>
      </c>
      <c r="D29" s="5129"/>
      <c r="E29" s="5129"/>
      <c r="F29" s="4348">
        <v>26400</v>
      </c>
    </row>
  </sheetData>
  <mergeCells count="9">
    <mergeCell ref="A1:F2"/>
    <mergeCell ref="B5:B17"/>
    <mergeCell ref="A5:A17"/>
    <mergeCell ref="B26:B29"/>
    <mergeCell ref="A26:A29"/>
    <mergeCell ref="D26:D29"/>
    <mergeCell ref="E26:E29"/>
    <mergeCell ref="A18:A23"/>
    <mergeCell ref="B18:B23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H342"/>
  <sheetViews>
    <sheetView showGridLines="0" topLeftCell="A184" zoomScale="70" zoomScaleNormal="70" workbookViewId="0">
      <selection activeCell="O110" sqref="O110"/>
    </sheetView>
  </sheetViews>
  <sheetFormatPr defaultColWidth="9" defaultRowHeight="13.5" outlineLevelRow="1"/>
  <cols>
    <col min="1" max="1" width="4.875" style="9" customWidth="1"/>
    <col min="2" max="2" width="15" style="9" customWidth="1"/>
    <col min="3" max="3" width="10.625" style="1537" customWidth="1"/>
    <col min="4" max="4" width="14.625" style="1537" customWidth="1"/>
    <col min="5" max="5" width="6.375" style="1537" customWidth="1"/>
    <col min="6" max="6" width="29.375" style="9" customWidth="1"/>
    <col min="7" max="7" width="12.75" style="1537" customWidth="1"/>
    <col min="8" max="11" width="12.75" style="1537" hidden="1" customWidth="1"/>
    <col min="12" max="23" width="13" style="1544" customWidth="1"/>
    <col min="24" max="24" width="13.875" style="1544" customWidth="1"/>
    <col min="25" max="25" width="13.875" style="1650" customWidth="1"/>
    <col min="26" max="27" width="12.75" style="9" customWidth="1"/>
    <col min="28" max="28" width="14.375" style="1537" hidden="1" customWidth="1"/>
    <col min="29" max="29" width="16.75" style="1537" hidden="1" customWidth="1"/>
    <col min="30" max="30" width="12.375" style="9" customWidth="1"/>
    <col min="31" max="31" width="14.375" style="9" customWidth="1"/>
    <col min="32" max="16384" width="9" style="9"/>
  </cols>
  <sheetData>
    <row r="1" spans="1:34" ht="19.5" customHeight="1">
      <c r="A1" s="1538" t="s">
        <v>30</v>
      </c>
      <c r="B1" s="1537"/>
      <c r="C1" s="1539"/>
      <c r="D1" s="1539"/>
      <c r="E1" s="1540"/>
      <c r="F1" s="1539"/>
      <c r="G1" s="1540"/>
      <c r="H1" s="1540"/>
      <c r="I1" s="1540"/>
      <c r="J1" s="1540"/>
      <c r="K1" s="1540"/>
      <c r="L1" s="1542"/>
      <c r="M1" s="1542"/>
      <c r="N1" s="1542"/>
      <c r="O1" s="1542"/>
      <c r="P1" s="1542"/>
      <c r="Q1" s="1542"/>
      <c r="R1" s="1542"/>
      <c r="S1" s="1542"/>
      <c r="T1" s="1542"/>
      <c r="U1" s="1542"/>
      <c r="V1" s="1542"/>
      <c r="W1" s="1542"/>
      <c r="X1" s="1542"/>
      <c r="Y1" s="5"/>
      <c r="AB1" s="1539"/>
      <c r="AC1" s="1539"/>
    </row>
    <row r="2" spans="1:34" ht="19.5" customHeight="1">
      <c r="A2" s="1537"/>
      <c r="B2" s="1537"/>
      <c r="C2" s="9"/>
      <c r="D2" s="9"/>
      <c r="L2" s="1542"/>
      <c r="M2" s="1542"/>
      <c r="N2" s="1542"/>
      <c r="O2" s="1542"/>
      <c r="P2" s="1542"/>
      <c r="Q2" s="1542"/>
      <c r="R2" s="1542"/>
      <c r="S2" s="1542"/>
      <c r="T2" s="1542"/>
      <c r="U2" s="1542"/>
      <c r="V2" s="1542"/>
      <c r="W2" s="1542"/>
      <c r="X2" s="1546" t="s">
        <v>1591</v>
      </c>
      <c r="Y2" s="1875"/>
      <c r="AC2" s="9"/>
    </row>
    <row r="3" spans="1:34" ht="19.5" customHeight="1" thickBot="1">
      <c r="A3" s="1547" t="s">
        <v>28</v>
      </c>
      <c r="B3" s="1537"/>
      <c r="C3" s="9"/>
      <c r="D3" s="9"/>
      <c r="L3" s="3349"/>
      <c r="M3" s="3349"/>
      <c r="N3" s="3349"/>
      <c r="O3" s="3349"/>
      <c r="P3" s="3349"/>
      <c r="Q3" s="3349"/>
      <c r="R3" s="3349"/>
      <c r="S3" s="3349"/>
      <c r="T3" s="3349"/>
      <c r="U3" s="3349"/>
      <c r="V3" s="3349"/>
      <c r="W3" s="3349"/>
      <c r="X3" s="1546" t="s">
        <v>1590</v>
      </c>
      <c r="Y3" s="1875"/>
      <c r="AB3" s="9"/>
      <c r="AC3" s="9"/>
    </row>
    <row r="4" spans="1:34" ht="27.75" customHeight="1" thickBot="1">
      <c r="A4" s="1548" t="s">
        <v>41</v>
      </c>
      <c r="B4" s="81" t="s">
        <v>107</v>
      </c>
      <c r="C4" s="81" t="s">
        <v>106</v>
      </c>
      <c r="D4" s="81" t="s">
        <v>1006</v>
      </c>
      <c r="E4" s="81" t="s">
        <v>1029</v>
      </c>
      <c r="F4" s="81" t="s">
        <v>108</v>
      </c>
      <c r="G4" s="1549" t="s">
        <v>29</v>
      </c>
      <c r="H4" s="3454" t="s">
        <v>1220</v>
      </c>
      <c r="I4" s="3454" t="s">
        <v>1221</v>
      </c>
      <c r="J4" s="3454" t="s">
        <v>1222</v>
      </c>
      <c r="K4" s="3454" t="s">
        <v>1223</v>
      </c>
      <c r="L4" s="1876" t="s">
        <v>1297</v>
      </c>
      <c r="M4" s="1877" t="s">
        <v>1298</v>
      </c>
      <c r="N4" s="1878" t="s">
        <v>1299</v>
      </c>
      <c r="O4" s="1876" t="s">
        <v>1300</v>
      </c>
      <c r="P4" s="1877" t="s">
        <v>1301</v>
      </c>
      <c r="Q4" s="1878" t="s">
        <v>1302</v>
      </c>
      <c r="R4" s="1876" t="s">
        <v>1303</v>
      </c>
      <c r="S4" s="1877" t="s">
        <v>1304</v>
      </c>
      <c r="T4" s="1878" t="s">
        <v>1305</v>
      </c>
      <c r="U4" s="1876" t="s">
        <v>1306</v>
      </c>
      <c r="V4" s="1877" t="s">
        <v>1307</v>
      </c>
      <c r="W4" s="1878" t="s">
        <v>1308</v>
      </c>
      <c r="X4" s="2598" t="s">
        <v>1309</v>
      </c>
      <c r="Y4" s="4739"/>
      <c r="AB4" s="81" t="s">
        <v>106</v>
      </c>
      <c r="AC4" s="81" t="s">
        <v>1006</v>
      </c>
    </row>
    <row r="5" spans="1:34" s="1544" customFormat="1" ht="16.5" customHeight="1">
      <c r="A5" s="5134">
        <v>1</v>
      </c>
      <c r="B5" s="5141" t="s">
        <v>16</v>
      </c>
      <c r="C5" s="5131" t="s">
        <v>19</v>
      </c>
      <c r="D5" s="5131" t="s">
        <v>861</v>
      </c>
      <c r="E5" s="4862"/>
      <c r="F5" s="16" t="s">
        <v>1213</v>
      </c>
      <c r="G5" s="1561">
        <v>0.71069599999999999</v>
      </c>
      <c r="H5" s="3426">
        <v>0.86499678619795217</v>
      </c>
      <c r="I5" s="3446">
        <v>0.74</v>
      </c>
      <c r="J5" s="3428">
        <v>0.72519999999999996</v>
      </c>
      <c r="K5" s="3411">
        <v>0.71069599999999999</v>
      </c>
      <c r="L5" s="3557">
        <v>0</v>
      </c>
      <c r="M5" s="3558">
        <v>0</v>
      </c>
      <c r="N5" s="3559">
        <v>0</v>
      </c>
      <c r="O5" s="3560">
        <v>0</v>
      </c>
      <c r="P5" s="3558">
        <v>0</v>
      </c>
      <c r="Q5" s="3559">
        <v>0</v>
      </c>
      <c r="R5" s="3560">
        <v>0</v>
      </c>
      <c r="S5" s="3558">
        <v>0</v>
      </c>
      <c r="T5" s="3559">
        <v>0</v>
      </c>
      <c r="U5" s="3560">
        <v>0</v>
      </c>
      <c r="V5" s="3558">
        <v>0</v>
      </c>
      <c r="W5" s="3558">
        <v>0</v>
      </c>
      <c r="X5" s="2606">
        <f t="shared" ref="X5:X18" si="0">SUM(L5:W5)</f>
        <v>0</v>
      </c>
      <c r="Y5" s="1652"/>
      <c r="AB5" s="17" t="s">
        <v>19</v>
      </c>
      <c r="AC5" s="93" t="s">
        <v>861</v>
      </c>
      <c r="AD5" s="1542"/>
      <c r="AE5" s="1542"/>
      <c r="AF5" s="1542"/>
      <c r="AG5" s="1542"/>
      <c r="AH5" s="1542"/>
    </row>
    <row r="6" spans="1:34" s="1544" customFormat="1" ht="16.5" customHeight="1">
      <c r="A6" s="5135"/>
      <c r="B6" s="5137"/>
      <c r="C6" s="5132"/>
      <c r="D6" s="5132"/>
      <c r="E6" s="4863">
        <v>1</v>
      </c>
      <c r="F6" s="15" t="s">
        <v>1241</v>
      </c>
      <c r="G6" s="1561">
        <v>0.62819999999999998</v>
      </c>
      <c r="H6" s="3435">
        <v>0.68186718692421999</v>
      </c>
      <c r="I6" s="3450">
        <v>0.6625161991823757</v>
      </c>
      <c r="J6" s="3442">
        <v>0.66529411764705881</v>
      </c>
      <c r="K6" s="3411">
        <v>0.65198823529411765</v>
      </c>
      <c r="L6" s="3561">
        <v>690000</v>
      </c>
      <c r="M6" s="3562">
        <v>550000</v>
      </c>
      <c r="N6" s="3563">
        <v>748000</v>
      </c>
      <c r="O6" s="3564">
        <v>738000</v>
      </c>
      <c r="P6" s="3562">
        <v>738000</v>
      </c>
      <c r="Q6" s="3563">
        <v>588000</v>
      </c>
      <c r="R6" s="3564">
        <v>450000</v>
      </c>
      <c r="S6" s="3562">
        <v>300000</v>
      </c>
      <c r="T6" s="3563">
        <v>200000</v>
      </c>
      <c r="U6" s="3564">
        <v>150000</v>
      </c>
      <c r="V6" s="3562">
        <v>120000</v>
      </c>
      <c r="W6" s="3565">
        <v>120000</v>
      </c>
      <c r="X6" s="2200">
        <f t="shared" si="0"/>
        <v>5392000</v>
      </c>
      <c r="Y6" s="1652"/>
      <c r="AB6" s="1599" t="s">
        <v>19</v>
      </c>
      <c r="AC6" s="92" t="s">
        <v>861</v>
      </c>
      <c r="AD6" s="1542"/>
      <c r="AE6" s="1542"/>
      <c r="AF6" s="1542"/>
      <c r="AG6" s="1542"/>
      <c r="AH6" s="1542"/>
    </row>
    <row r="7" spans="1:34" s="1544" customFormat="1" ht="16.5" customHeight="1">
      <c r="A7" s="5135"/>
      <c r="B7" s="5137"/>
      <c r="C7" s="5132"/>
      <c r="D7" s="5132"/>
      <c r="E7" s="4863">
        <v>2</v>
      </c>
      <c r="F7" s="15" t="s">
        <v>1214</v>
      </c>
      <c r="G7" s="1561">
        <v>0.70957692307692311</v>
      </c>
      <c r="H7" s="3427">
        <v>0.76</v>
      </c>
      <c r="I7" s="3431">
        <v>0.7512646889027198</v>
      </c>
      <c r="J7" s="3429">
        <v>0.72713725490196079</v>
      </c>
      <c r="K7" s="3412">
        <v>0.71259450980392158</v>
      </c>
      <c r="L7" s="3561">
        <v>100000</v>
      </c>
      <c r="M7" s="3562">
        <v>100000</v>
      </c>
      <c r="N7" s="3563">
        <v>100000</v>
      </c>
      <c r="O7" s="3564">
        <v>0</v>
      </c>
      <c r="P7" s="3562">
        <v>0</v>
      </c>
      <c r="Q7" s="3563">
        <v>0</v>
      </c>
      <c r="R7" s="3564">
        <v>0</v>
      </c>
      <c r="S7" s="3562">
        <v>0</v>
      </c>
      <c r="T7" s="3563">
        <v>0</v>
      </c>
      <c r="U7" s="3564">
        <v>0</v>
      </c>
      <c r="V7" s="3562">
        <v>0</v>
      </c>
      <c r="W7" s="3565">
        <v>0</v>
      </c>
      <c r="X7" s="2200">
        <f t="shared" si="0"/>
        <v>300000</v>
      </c>
      <c r="Y7" s="1652"/>
      <c r="AB7" s="1599" t="s">
        <v>19</v>
      </c>
      <c r="AC7" s="92" t="s">
        <v>861</v>
      </c>
      <c r="AD7" s="1542"/>
      <c r="AE7" s="1542"/>
      <c r="AF7" s="1542"/>
      <c r="AG7" s="1542"/>
      <c r="AH7" s="1542"/>
    </row>
    <row r="8" spans="1:34" s="1544" customFormat="1" ht="16.5" customHeight="1">
      <c r="A8" s="5135"/>
      <c r="B8" s="5137"/>
      <c r="C8" s="5132"/>
      <c r="D8" s="5132"/>
      <c r="E8" s="4863">
        <v>3</v>
      </c>
      <c r="F8" s="15" t="s">
        <v>1215</v>
      </c>
      <c r="G8" s="1561">
        <v>0.70808407175423072</v>
      </c>
      <c r="H8" s="3435">
        <v>0.80160892422989205</v>
      </c>
      <c r="I8" s="3450">
        <v>0.75653268010422603</v>
      </c>
      <c r="J8" s="3442">
        <v>0.72925490196078435</v>
      </c>
      <c r="K8" s="3411">
        <v>0.71466980392156865</v>
      </c>
      <c r="L8" s="3561">
        <v>250000</v>
      </c>
      <c r="M8" s="3562">
        <v>120000</v>
      </c>
      <c r="N8" s="3563">
        <v>150000</v>
      </c>
      <c r="O8" s="3564">
        <v>150000</v>
      </c>
      <c r="P8" s="3562">
        <v>100000</v>
      </c>
      <c r="Q8" s="3563">
        <v>100000</v>
      </c>
      <c r="R8" s="3564">
        <v>50000</v>
      </c>
      <c r="S8" s="3562">
        <v>0</v>
      </c>
      <c r="T8" s="3563">
        <v>0</v>
      </c>
      <c r="U8" s="3564">
        <v>0</v>
      </c>
      <c r="V8" s="3562">
        <v>0</v>
      </c>
      <c r="W8" s="3565">
        <v>0</v>
      </c>
      <c r="X8" s="2200">
        <f t="shared" si="0"/>
        <v>920000</v>
      </c>
      <c r="Y8" s="1652"/>
      <c r="AB8" s="1599" t="s">
        <v>19</v>
      </c>
      <c r="AC8" s="92" t="s">
        <v>861</v>
      </c>
      <c r="AD8" s="1542"/>
      <c r="AE8" s="1542"/>
      <c r="AF8" s="1542"/>
      <c r="AG8" s="1542"/>
      <c r="AH8" s="1542"/>
    </row>
    <row r="9" spans="1:34" s="1544" customFormat="1" ht="16.5" customHeight="1">
      <c r="A9" s="5135"/>
      <c r="B9" s="5137"/>
      <c r="C9" s="5132"/>
      <c r="D9" s="5132"/>
      <c r="E9" s="4863">
        <v>4</v>
      </c>
      <c r="F9" s="15" t="s">
        <v>1242</v>
      </c>
      <c r="G9" s="1561">
        <v>0.75</v>
      </c>
      <c r="H9" s="3435">
        <v>1.0308226574971748</v>
      </c>
      <c r="I9" s="3450">
        <v>0.95888658951453121</v>
      </c>
      <c r="J9" s="3442">
        <v>0.99600624887045919</v>
      </c>
      <c r="K9" s="3411">
        <v>1.0132913431984185</v>
      </c>
      <c r="L9" s="3561">
        <v>0</v>
      </c>
      <c r="M9" s="3562">
        <v>0</v>
      </c>
      <c r="N9" s="3563">
        <v>50000</v>
      </c>
      <c r="O9" s="3564">
        <v>200000</v>
      </c>
      <c r="P9" s="3562">
        <v>300000</v>
      </c>
      <c r="Q9" s="3563">
        <v>550000</v>
      </c>
      <c r="R9" s="3564">
        <v>550000</v>
      </c>
      <c r="S9" s="3562">
        <v>550000</v>
      </c>
      <c r="T9" s="3563">
        <v>550000</v>
      </c>
      <c r="U9" s="3564">
        <v>500000</v>
      </c>
      <c r="V9" s="3562">
        <v>300000</v>
      </c>
      <c r="W9" s="3565">
        <v>215000</v>
      </c>
      <c r="X9" s="2200">
        <f t="shared" si="0"/>
        <v>3765000</v>
      </c>
      <c r="Y9" s="1652"/>
      <c r="AB9" s="1599" t="s">
        <v>19</v>
      </c>
      <c r="AC9" s="92" t="s">
        <v>861</v>
      </c>
      <c r="AD9" s="1542"/>
      <c r="AE9" s="1542"/>
      <c r="AF9" s="1542"/>
      <c r="AG9" s="1542"/>
      <c r="AH9" s="1542"/>
    </row>
    <row r="10" spans="1:34" s="1544" customFormat="1" ht="15.75" customHeight="1">
      <c r="A10" s="5135"/>
      <c r="B10" s="5137"/>
      <c r="C10" s="5132"/>
      <c r="D10" s="5132"/>
      <c r="E10" s="4863">
        <v>5</v>
      </c>
      <c r="F10" s="15" t="s">
        <v>1243</v>
      </c>
      <c r="G10" s="1561">
        <v>0.75</v>
      </c>
      <c r="H10" s="3435"/>
      <c r="I10" s="3450"/>
      <c r="J10" s="3442"/>
      <c r="K10" s="3411"/>
      <c r="L10" s="3561">
        <v>40000</v>
      </c>
      <c r="M10" s="3562">
        <v>370000</v>
      </c>
      <c r="N10" s="3563">
        <v>624000</v>
      </c>
      <c r="O10" s="3564">
        <v>550000</v>
      </c>
      <c r="P10" s="3562">
        <v>550000</v>
      </c>
      <c r="Q10" s="3563">
        <v>550000</v>
      </c>
      <c r="R10" s="3564">
        <v>550000</v>
      </c>
      <c r="S10" s="3562">
        <v>550000</v>
      </c>
      <c r="T10" s="3563">
        <v>550000</v>
      </c>
      <c r="U10" s="3564">
        <v>500000</v>
      </c>
      <c r="V10" s="3562">
        <v>300000</v>
      </c>
      <c r="W10" s="3565">
        <v>223000</v>
      </c>
      <c r="X10" s="2200">
        <f t="shared" si="0"/>
        <v>5357000</v>
      </c>
      <c r="Y10" s="1652"/>
      <c r="AB10" s="1599" t="s">
        <v>19</v>
      </c>
      <c r="AC10" s="92" t="s">
        <v>861</v>
      </c>
      <c r="AD10" s="1542"/>
      <c r="AE10" s="1542"/>
      <c r="AF10" s="1542"/>
      <c r="AG10" s="1542"/>
      <c r="AH10" s="1542"/>
    </row>
    <row r="11" spans="1:34" s="1544" customFormat="1" ht="16.5" customHeight="1">
      <c r="A11" s="5135"/>
      <c r="B11" s="5137"/>
      <c r="C11" s="5132"/>
      <c r="D11" s="5133"/>
      <c r="E11" s="4863">
        <v>6</v>
      </c>
      <c r="F11" s="15" t="s">
        <v>1244</v>
      </c>
      <c r="G11" s="1561">
        <v>0.67428900000000003</v>
      </c>
      <c r="H11" s="3435"/>
      <c r="I11" s="3450"/>
      <c r="J11" s="3442"/>
      <c r="K11" s="3411"/>
      <c r="L11" s="3561">
        <v>0</v>
      </c>
      <c r="M11" s="3562">
        <v>0</v>
      </c>
      <c r="N11" s="3563">
        <v>0</v>
      </c>
      <c r="O11" s="3564">
        <v>0</v>
      </c>
      <c r="P11" s="3562">
        <v>0</v>
      </c>
      <c r="Q11" s="3563">
        <v>0</v>
      </c>
      <c r="R11" s="3564">
        <v>0</v>
      </c>
      <c r="S11" s="3562">
        <v>50000</v>
      </c>
      <c r="T11" s="3563">
        <v>250000</v>
      </c>
      <c r="U11" s="3564">
        <v>350000</v>
      </c>
      <c r="V11" s="3562">
        <v>400000</v>
      </c>
      <c r="W11" s="3565">
        <v>400000</v>
      </c>
      <c r="X11" s="2200">
        <f t="shared" si="0"/>
        <v>1450000</v>
      </c>
      <c r="Y11" s="1652"/>
      <c r="AB11" s="1599" t="s">
        <v>19</v>
      </c>
      <c r="AC11" s="92" t="s">
        <v>861</v>
      </c>
      <c r="AD11" s="1542"/>
      <c r="AE11" s="1542"/>
      <c r="AF11" s="1542"/>
      <c r="AG11" s="1542"/>
      <c r="AH11" s="1542"/>
    </row>
    <row r="12" spans="1:34" s="1544" customFormat="1" ht="16.5" customHeight="1">
      <c r="A12" s="5135"/>
      <c r="B12" s="5137"/>
      <c r="C12" s="5140"/>
      <c r="D12" s="4351"/>
      <c r="E12" s="4864"/>
      <c r="F12" s="4350" t="s">
        <v>92</v>
      </c>
      <c r="G12" s="1602">
        <v>1.0263573011765337</v>
      </c>
      <c r="H12" s="3438">
        <v>1.0308226574971748</v>
      </c>
      <c r="I12" s="3453">
        <v>0.91672214401430097</v>
      </c>
      <c r="J12" s="3445">
        <v>0.85039625404655472</v>
      </c>
      <c r="K12" s="3417">
        <v>0.82942030325443783</v>
      </c>
      <c r="L12" s="4267">
        <v>450000</v>
      </c>
      <c r="M12" s="4268">
        <v>444690</v>
      </c>
      <c r="N12" s="4269">
        <v>460000</v>
      </c>
      <c r="O12" s="4267">
        <v>500909</v>
      </c>
      <c r="P12" s="4268">
        <v>460000</v>
      </c>
      <c r="Q12" s="4269">
        <v>530000</v>
      </c>
      <c r="R12" s="4267">
        <v>530000</v>
      </c>
      <c r="S12" s="4268">
        <v>530000</v>
      </c>
      <c r="T12" s="4269">
        <v>530000</v>
      </c>
      <c r="U12" s="4267">
        <v>530000</v>
      </c>
      <c r="V12" s="4268">
        <v>530000</v>
      </c>
      <c r="W12" s="4269">
        <v>500000</v>
      </c>
      <c r="X12" s="3572">
        <f t="shared" si="0"/>
        <v>5995599</v>
      </c>
      <c r="Y12" s="1652"/>
      <c r="AB12" s="1611" t="s">
        <v>19</v>
      </c>
      <c r="AC12" s="91" t="s">
        <v>861</v>
      </c>
      <c r="AD12" s="1542"/>
      <c r="AE12" s="1542"/>
      <c r="AF12" s="1542"/>
      <c r="AG12" s="1542"/>
      <c r="AH12" s="1542"/>
    </row>
    <row r="13" spans="1:34" s="1544" customFormat="1" ht="16.5" customHeight="1">
      <c r="A13" s="5135"/>
      <c r="B13" s="5137"/>
      <c r="C13" s="5132" t="s">
        <v>24</v>
      </c>
      <c r="D13" s="92" t="s">
        <v>861</v>
      </c>
      <c r="E13" s="4863">
        <v>7</v>
      </c>
      <c r="F13" s="15" t="s">
        <v>863</v>
      </c>
      <c r="G13" s="1594">
        <v>1.85</v>
      </c>
      <c r="H13" s="3432"/>
      <c r="I13" s="3447"/>
      <c r="J13" s="3439"/>
      <c r="K13" s="3425"/>
      <c r="L13" s="2203">
        <v>32633.204633204634</v>
      </c>
      <c r="M13" s="3569">
        <v>32266.409266409268</v>
      </c>
      <c r="N13" s="1762">
        <v>34266.409266409268</v>
      </c>
      <c r="O13" s="2203">
        <v>53266.409266409268</v>
      </c>
      <c r="P13" s="3569">
        <v>40266.409266409268</v>
      </c>
      <c r="Q13" s="1762">
        <v>37066.409266409268</v>
      </c>
      <c r="R13" s="2203">
        <v>37066.409266409268</v>
      </c>
      <c r="S13" s="3569">
        <v>27066.409266409268</v>
      </c>
      <c r="T13" s="1762">
        <v>27066.409266409268</v>
      </c>
      <c r="U13" s="2203">
        <v>37066.409266409268</v>
      </c>
      <c r="V13" s="3569">
        <v>22433.204633204634</v>
      </c>
      <c r="W13" s="1762">
        <v>22433.204633204634</v>
      </c>
      <c r="X13" s="2200">
        <f t="shared" si="0"/>
        <v>402897.29729729734</v>
      </c>
      <c r="Y13" s="1652"/>
      <c r="Z13" s="4532">
        <f t="shared" ref="Z13:Z18" si="1">G13/4*10</f>
        <v>4.625</v>
      </c>
      <c r="AA13" s="4532"/>
      <c r="AB13" s="1599" t="s">
        <v>24</v>
      </c>
      <c r="AC13" s="92" t="s">
        <v>861</v>
      </c>
      <c r="AD13" s="2227"/>
      <c r="AE13" s="1542"/>
      <c r="AF13" s="1542"/>
      <c r="AG13" s="1542"/>
      <c r="AH13" s="1542"/>
    </row>
    <row r="14" spans="1:34" s="1544" customFormat="1" ht="16.5" customHeight="1">
      <c r="A14" s="5135"/>
      <c r="B14" s="5137"/>
      <c r="C14" s="5132"/>
      <c r="D14" s="92"/>
      <c r="E14" s="4863">
        <v>8</v>
      </c>
      <c r="F14" s="15" t="s">
        <v>864</v>
      </c>
      <c r="G14" s="1561">
        <v>71.430000000000007</v>
      </c>
      <c r="H14" s="3435"/>
      <c r="I14" s="3450"/>
      <c r="J14" s="3442"/>
      <c r="K14" s="3411"/>
      <c r="L14" s="1781">
        <v>200</v>
      </c>
      <c r="M14" s="1657">
        <v>200</v>
      </c>
      <c r="N14" s="1658">
        <v>200</v>
      </c>
      <c r="O14" s="1781">
        <v>200</v>
      </c>
      <c r="P14" s="1657">
        <v>200</v>
      </c>
      <c r="Q14" s="1658">
        <v>200</v>
      </c>
      <c r="R14" s="1781">
        <v>249.99999999999997</v>
      </c>
      <c r="S14" s="1657">
        <v>249.99999999999997</v>
      </c>
      <c r="T14" s="1658">
        <v>249.99999999999997</v>
      </c>
      <c r="U14" s="1781">
        <v>249.99999999999997</v>
      </c>
      <c r="V14" s="1657">
        <v>249.99999999999997</v>
      </c>
      <c r="W14" s="1844">
        <v>249.99999999999997</v>
      </c>
      <c r="X14" s="2200">
        <f t="shared" si="0"/>
        <v>2700</v>
      </c>
      <c r="Y14" s="1652"/>
      <c r="Z14" s="4532">
        <f t="shared" si="1"/>
        <v>178.57500000000002</v>
      </c>
      <c r="AA14" s="4532"/>
      <c r="AB14" s="1599" t="s">
        <v>24</v>
      </c>
      <c r="AC14" s="92" t="s">
        <v>861</v>
      </c>
      <c r="AD14" s="1542"/>
      <c r="AE14" s="1542"/>
      <c r="AF14" s="1542"/>
      <c r="AG14" s="1542"/>
      <c r="AH14" s="1542"/>
    </row>
    <row r="15" spans="1:34" s="1544" customFormat="1" ht="16.5" customHeight="1">
      <c r="A15" s="5135"/>
      <c r="B15" s="5137"/>
      <c r="C15" s="5132"/>
      <c r="D15" s="92"/>
      <c r="E15" s="4863"/>
      <c r="F15" s="3347" t="s">
        <v>1194</v>
      </c>
      <c r="G15" s="1561">
        <v>4.9000000000000004</v>
      </c>
      <c r="H15" s="3427"/>
      <c r="I15" s="3431"/>
      <c r="J15" s="3429"/>
      <c r="K15" s="3412"/>
      <c r="L15" s="1781">
        <v>0</v>
      </c>
      <c r="M15" s="1657">
        <v>0</v>
      </c>
      <c r="N15" s="1658">
        <v>0</v>
      </c>
      <c r="O15" s="1781">
        <v>0</v>
      </c>
      <c r="P15" s="1657">
        <v>0</v>
      </c>
      <c r="Q15" s="1658">
        <v>0</v>
      </c>
      <c r="R15" s="1781">
        <v>0</v>
      </c>
      <c r="S15" s="1657">
        <v>0</v>
      </c>
      <c r="T15" s="1658">
        <v>0</v>
      </c>
      <c r="U15" s="1781">
        <v>0</v>
      </c>
      <c r="V15" s="1657">
        <v>0</v>
      </c>
      <c r="W15" s="1844">
        <v>0</v>
      </c>
      <c r="X15" s="2200">
        <f t="shared" si="0"/>
        <v>0</v>
      </c>
      <c r="Y15" s="1652"/>
      <c r="Z15" s="4532">
        <f t="shared" si="1"/>
        <v>12.25</v>
      </c>
      <c r="AA15" s="4532"/>
      <c r="AB15" s="1599" t="s">
        <v>24</v>
      </c>
      <c r="AC15" s="92" t="s">
        <v>861</v>
      </c>
      <c r="AD15" s="1542"/>
      <c r="AE15" s="1542"/>
      <c r="AF15" s="1542"/>
      <c r="AG15" s="1542"/>
      <c r="AH15" s="1542"/>
    </row>
    <row r="16" spans="1:34" s="1544" customFormat="1" ht="16.5" customHeight="1">
      <c r="A16" s="5135"/>
      <c r="B16" s="5137"/>
      <c r="C16" s="5132"/>
      <c r="D16" s="92"/>
      <c r="E16" s="4863">
        <v>9</v>
      </c>
      <c r="F16" s="15" t="s">
        <v>1067</v>
      </c>
      <c r="G16" s="1561">
        <v>8.23</v>
      </c>
      <c r="H16" s="3435"/>
      <c r="I16" s="3450"/>
      <c r="J16" s="3442"/>
      <c r="K16" s="3411"/>
      <c r="L16" s="1781">
        <v>1000</v>
      </c>
      <c r="M16" s="1657">
        <v>1500</v>
      </c>
      <c r="N16" s="1658">
        <v>1000</v>
      </c>
      <c r="O16" s="1781">
        <v>1000</v>
      </c>
      <c r="P16" s="1657">
        <v>1000</v>
      </c>
      <c r="Q16" s="1658">
        <v>1000</v>
      </c>
      <c r="R16" s="1781">
        <v>1000</v>
      </c>
      <c r="S16" s="1657">
        <v>1000</v>
      </c>
      <c r="T16" s="1658">
        <v>1000</v>
      </c>
      <c r="U16" s="1781">
        <v>1000</v>
      </c>
      <c r="V16" s="1657">
        <v>1000</v>
      </c>
      <c r="W16" s="1844">
        <v>1000</v>
      </c>
      <c r="X16" s="2200">
        <f t="shared" si="0"/>
        <v>12500</v>
      </c>
      <c r="Y16" s="1652"/>
      <c r="Z16" s="4532">
        <f t="shared" si="1"/>
        <v>20.575000000000003</v>
      </c>
      <c r="AA16" s="4532"/>
      <c r="AB16" s="1599" t="s">
        <v>24</v>
      </c>
      <c r="AC16" s="92" t="s">
        <v>861</v>
      </c>
      <c r="AD16" s="1542"/>
      <c r="AE16" s="1542"/>
      <c r="AF16" s="1542"/>
      <c r="AG16" s="1542"/>
      <c r="AH16" s="1542"/>
    </row>
    <row r="17" spans="1:34" s="1544" customFormat="1" ht="16.5" customHeight="1">
      <c r="A17" s="5135"/>
      <c r="B17" s="5137"/>
      <c r="C17" s="5132"/>
      <c r="D17" s="92"/>
      <c r="E17" s="4863">
        <v>10</v>
      </c>
      <c r="F17" s="15" t="s">
        <v>1068</v>
      </c>
      <c r="G17" s="1561">
        <v>8.23</v>
      </c>
      <c r="H17" s="3435"/>
      <c r="I17" s="3450"/>
      <c r="J17" s="3442"/>
      <c r="K17" s="3411"/>
      <c r="L17" s="1781">
        <v>500</v>
      </c>
      <c r="M17" s="1657">
        <v>0</v>
      </c>
      <c r="N17" s="1658">
        <v>500</v>
      </c>
      <c r="O17" s="1781">
        <v>0</v>
      </c>
      <c r="P17" s="1657">
        <v>500</v>
      </c>
      <c r="Q17" s="1658">
        <v>0</v>
      </c>
      <c r="R17" s="1781">
        <v>500</v>
      </c>
      <c r="S17" s="1657">
        <v>0</v>
      </c>
      <c r="T17" s="1658">
        <v>500</v>
      </c>
      <c r="U17" s="1781">
        <v>0</v>
      </c>
      <c r="V17" s="1657">
        <v>500</v>
      </c>
      <c r="W17" s="1844">
        <v>0</v>
      </c>
      <c r="X17" s="2200">
        <f t="shared" si="0"/>
        <v>3000</v>
      </c>
      <c r="Y17" s="1652"/>
      <c r="Z17" s="4532">
        <f t="shared" si="1"/>
        <v>20.575000000000003</v>
      </c>
      <c r="AA17" s="4532"/>
      <c r="AB17" s="1599" t="s">
        <v>24</v>
      </c>
      <c r="AC17" s="92" t="s">
        <v>861</v>
      </c>
      <c r="AD17" s="1542"/>
      <c r="AE17" s="1542"/>
      <c r="AF17" s="1542"/>
      <c r="AG17" s="1542"/>
      <c r="AH17" s="1542"/>
    </row>
    <row r="18" spans="1:34" s="1544" customFormat="1" ht="16.5" customHeight="1">
      <c r="A18" s="5135"/>
      <c r="B18" s="5137"/>
      <c r="C18" s="5140"/>
      <c r="D18" s="91"/>
      <c r="E18" s="4865"/>
      <c r="F18" s="11" t="s">
        <v>397</v>
      </c>
      <c r="G18" s="1561">
        <v>2.68</v>
      </c>
      <c r="H18" s="3433"/>
      <c r="I18" s="3448"/>
      <c r="J18" s="3440"/>
      <c r="K18" s="3410"/>
      <c r="L18" s="1825">
        <v>3500</v>
      </c>
      <c r="M18" s="1738">
        <v>3500</v>
      </c>
      <c r="N18" s="1739">
        <v>4500</v>
      </c>
      <c r="O18" s="1825">
        <v>4500</v>
      </c>
      <c r="P18" s="1738">
        <v>3000</v>
      </c>
      <c r="Q18" s="1739">
        <v>3000</v>
      </c>
      <c r="R18" s="1825">
        <v>2500</v>
      </c>
      <c r="S18" s="1738">
        <v>2500</v>
      </c>
      <c r="T18" s="1739">
        <v>2500</v>
      </c>
      <c r="U18" s="1825">
        <v>6000</v>
      </c>
      <c r="V18" s="1738">
        <v>6000</v>
      </c>
      <c r="W18" s="2242">
        <v>3999.9999999999995</v>
      </c>
      <c r="X18" s="2214">
        <f t="shared" si="0"/>
        <v>45500</v>
      </c>
      <c r="Y18" s="1652"/>
      <c r="Z18" s="4532">
        <f t="shared" si="1"/>
        <v>6.7</v>
      </c>
      <c r="AA18" s="4532"/>
      <c r="AB18" s="1611" t="s">
        <v>24</v>
      </c>
      <c r="AC18" s="91" t="s">
        <v>861</v>
      </c>
      <c r="AD18" s="1542"/>
      <c r="AE18" s="1542"/>
      <c r="AF18" s="1542"/>
      <c r="AG18" s="1542"/>
      <c r="AH18" s="1542"/>
    </row>
    <row r="19" spans="1:34" s="1544" customFormat="1" ht="16.5" customHeight="1">
      <c r="A19" s="5136"/>
      <c r="B19" s="1568"/>
      <c r="C19" s="1569" t="s">
        <v>44</v>
      </c>
      <c r="D19" s="1569"/>
      <c r="E19" s="4860"/>
      <c r="F19" s="1570"/>
      <c r="G19" s="1571"/>
      <c r="H19" s="3434"/>
      <c r="I19" s="3449"/>
      <c r="J19" s="3441"/>
      <c r="K19" s="3413"/>
      <c r="L19" s="2523">
        <v>1089983</v>
      </c>
      <c r="M19" s="1536">
        <v>1180092</v>
      </c>
      <c r="N19" s="2522">
        <v>1528218</v>
      </c>
      <c r="O19" s="2523">
        <v>1982414</v>
      </c>
      <c r="P19" s="1536">
        <v>2078664</v>
      </c>
      <c r="Q19" s="2522">
        <v>1836029</v>
      </c>
      <c r="R19" s="2523">
        <v>1906337</v>
      </c>
      <c r="S19" s="1536">
        <v>1850058</v>
      </c>
      <c r="T19" s="2522">
        <v>2088972</v>
      </c>
      <c r="U19" s="2523">
        <v>2050690</v>
      </c>
      <c r="V19" s="1536">
        <v>1546637</v>
      </c>
      <c r="W19" s="3570">
        <v>1438283</v>
      </c>
      <c r="X19" s="2223">
        <f>SUM(X5:X18)</f>
        <v>23646196.297297299</v>
      </c>
      <c r="Y19" s="1652"/>
      <c r="AB19" s="1569"/>
      <c r="AC19" s="1752"/>
      <c r="AD19" s="1542"/>
      <c r="AE19" s="1542"/>
      <c r="AF19" s="1542"/>
      <c r="AG19" s="1542"/>
      <c r="AH19" s="1542"/>
    </row>
    <row r="20" spans="1:34" s="1544" customFormat="1" ht="16.5" customHeight="1">
      <c r="A20" s="5135">
        <v>2</v>
      </c>
      <c r="B20" s="5137" t="s">
        <v>499</v>
      </c>
      <c r="C20" s="15" t="s">
        <v>556</v>
      </c>
      <c r="D20" s="15" t="s">
        <v>865</v>
      </c>
      <c r="E20" s="4866">
        <v>11</v>
      </c>
      <c r="F20" s="1673" t="s">
        <v>866</v>
      </c>
      <c r="G20" s="2414">
        <v>2.2125737731823403</v>
      </c>
      <c r="H20" s="4568"/>
      <c r="I20" s="4569"/>
      <c r="J20" s="4570"/>
      <c r="K20" s="2524"/>
      <c r="L20" s="4543">
        <v>38045.578302635215</v>
      </c>
      <c r="M20" s="4544">
        <v>26862.1312051778</v>
      </c>
      <c r="N20" s="4545">
        <v>46792.099518696814</v>
      </c>
      <c r="O20" s="4543">
        <v>30087.512550602372</v>
      </c>
      <c r="P20" s="4544">
        <v>0</v>
      </c>
      <c r="Q20" s="4545">
        <v>0</v>
      </c>
      <c r="R20" s="4543">
        <v>0</v>
      </c>
      <c r="S20" s="4544">
        <v>0</v>
      </c>
      <c r="T20" s="4545">
        <v>0</v>
      </c>
      <c r="U20" s="4543">
        <v>0</v>
      </c>
      <c r="V20" s="4544">
        <v>0</v>
      </c>
      <c r="W20" s="4545">
        <v>0</v>
      </c>
      <c r="X20" s="1566">
        <f t="shared" ref="X20:X55" si="2">SUM(L20:W20)</f>
        <v>141787.32157711219</v>
      </c>
      <c r="Y20" s="1555"/>
      <c r="Z20" s="1542"/>
      <c r="AA20" s="1542"/>
      <c r="AB20" s="15"/>
      <c r="AC20" s="15"/>
      <c r="AD20" s="1542"/>
      <c r="AE20" s="1542"/>
      <c r="AF20" s="1542"/>
      <c r="AG20" s="1542"/>
      <c r="AH20" s="1542"/>
    </row>
    <row r="21" spans="1:34" s="1544" customFormat="1" ht="16.5" customHeight="1">
      <c r="A21" s="5135"/>
      <c r="B21" s="5137"/>
      <c r="C21" s="15"/>
      <c r="D21" s="15"/>
      <c r="E21" s="4866">
        <v>12</v>
      </c>
      <c r="F21" s="1673" t="s">
        <v>867</v>
      </c>
      <c r="G21" s="2414">
        <v>2.269792738217701</v>
      </c>
      <c r="H21" s="4568"/>
      <c r="I21" s="4569"/>
      <c r="J21" s="4570"/>
      <c r="K21" s="2524"/>
      <c r="L21" s="4543">
        <v>0</v>
      </c>
      <c r="M21" s="4544">
        <v>0</v>
      </c>
      <c r="N21" s="4545">
        <v>0</v>
      </c>
      <c r="O21" s="4543">
        <v>0</v>
      </c>
      <c r="P21" s="4544">
        <v>0</v>
      </c>
      <c r="Q21" s="4545">
        <v>0</v>
      </c>
      <c r="R21" s="4543">
        <v>0</v>
      </c>
      <c r="S21" s="4544">
        <v>0</v>
      </c>
      <c r="T21" s="4545">
        <v>0</v>
      </c>
      <c r="U21" s="4543">
        <v>0</v>
      </c>
      <c r="V21" s="4544">
        <v>0</v>
      </c>
      <c r="W21" s="4545">
        <v>0</v>
      </c>
      <c r="X21" s="1566">
        <f t="shared" si="2"/>
        <v>0</v>
      </c>
      <c r="Y21" s="1555"/>
      <c r="Z21" s="1542"/>
      <c r="AA21" s="1542"/>
      <c r="AB21" s="15"/>
      <c r="AC21" s="15"/>
      <c r="AD21" s="1542"/>
      <c r="AE21" s="1542"/>
      <c r="AF21" s="1542"/>
      <c r="AG21" s="1542"/>
      <c r="AH21" s="1542"/>
    </row>
    <row r="22" spans="1:34" s="1544" customFormat="1" ht="16.5" customHeight="1">
      <c r="A22" s="5135"/>
      <c r="B22" s="5137"/>
      <c r="C22" s="15"/>
      <c r="D22" s="15"/>
      <c r="E22" s="4866"/>
      <c r="F22" s="1673" t="s">
        <v>868</v>
      </c>
      <c r="G22" s="2414">
        <v>2.0915655894938765</v>
      </c>
      <c r="H22" s="4568"/>
      <c r="I22" s="4569"/>
      <c r="J22" s="4570"/>
      <c r="K22" s="2524"/>
      <c r="L22" s="4543">
        <v>0</v>
      </c>
      <c r="M22" s="4544">
        <v>0</v>
      </c>
      <c r="N22" s="4545">
        <v>0</v>
      </c>
      <c r="O22" s="4543">
        <v>0</v>
      </c>
      <c r="P22" s="4544">
        <v>0</v>
      </c>
      <c r="Q22" s="4545">
        <v>0</v>
      </c>
      <c r="R22" s="4543">
        <v>0</v>
      </c>
      <c r="S22" s="4544">
        <v>0</v>
      </c>
      <c r="T22" s="4545">
        <v>0</v>
      </c>
      <c r="U22" s="4543">
        <v>0</v>
      </c>
      <c r="V22" s="4544">
        <v>0</v>
      </c>
      <c r="W22" s="4545">
        <v>0</v>
      </c>
      <c r="X22" s="1566">
        <f t="shared" si="2"/>
        <v>0</v>
      </c>
      <c r="Y22" s="1555"/>
      <c r="AB22" s="15" t="s">
        <v>20</v>
      </c>
      <c r="AC22" s="15" t="s">
        <v>865</v>
      </c>
      <c r="AD22" s="1542"/>
      <c r="AE22" s="1542"/>
      <c r="AF22" s="1542"/>
      <c r="AG22" s="1542"/>
      <c r="AH22" s="1542"/>
    </row>
    <row r="23" spans="1:34" s="1544" customFormat="1" ht="16.5" customHeight="1">
      <c r="A23" s="5135"/>
      <c r="B23" s="5137"/>
      <c r="C23" s="15"/>
      <c r="D23" s="15"/>
      <c r="E23" s="4866"/>
      <c r="F23" s="1673" t="s">
        <v>1195</v>
      </c>
      <c r="G23" s="2414">
        <v>2.2086071428571432</v>
      </c>
      <c r="H23" s="4568"/>
      <c r="I23" s="4569"/>
      <c r="J23" s="4570"/>
      <c r="K23" s="2524"/>
      <c r="L23" s="4543">
        <v>0</v>
      </c>
      <c r="M23" s="4544">
        <v>0</v>
      </c>
      <c r="N23" s="4545">
        <v>0</v>
      </c>
      <c r="O23" s="4543">
        <v>0</v>
      </c>
      <c r="P23" s="4544">
        <v>0</v>
      </c>
      <c r="Q23" s="4545">
        <v>0</v>
      </c>
      <c r="R23" s="4543">
        <v>0</v>
      </c>
      <c r="S23" s="4544">
        <v>0</v>
      </c>
      <c r="T23" s="4545">
        <v>0</v>
      </c>
      <c r="U23" s="4543">
        <v>0</v>
      </c>
      <c r="V23" s="4544">
        <v>0</v>
      </c>
      <c r="W23" s="4545">
        <v>0</v>
      </c>
      <c r="X23" s="1566">
        <f t="shared" si="2"/>
        <v>0</v>
      </c>
      <c r="Y23" s="1555"/>
      <c r="AB23" s="15" t="s">
        <v>20</v>
      </c>
      <c r="AC23" s="15" t="s">
        <v>865</v>
      </c>
      <c r="AD23" s="1542"/>
      <c r="AE23" s="1542"/>
      <c r="AF23" s="1542"/>
      <c r="AG23" s="1542"/>
      <c r="AH23" s="1542"/>
    </row>
    <row r="24" spans="1:34" s="1544" customFormat="1" ht="16.5" customHeight="1">
      <c r="A24" s="5135"/>
      <c r="B24" s="5137"/>
      <c r="C24" s="15"/>
      <c r="D24" s="15"/>
      <c r="E24" s="4866"/>
      <c r="F24" s="1673" t="s">
        <v>870</v>
      </c>
      <c r="G24" s="2414">
        <v>4.2170987623094565</v>
      </c>
      <c r="H24" s="4568"/>
      <c r="I24" s="4569"/>
      <c r="J24" s="4570"/>
      <c r="K24" s="2524"/>
      <c r="L24" s="4543">
        <v>0</v>
      </c>
      <c r="M24" s="4544">
        <v>0</v>
      </c>
      <c r="N24" s="4545">
        <v>0</v>
      </c>
      <c r="O24" s="4543">
        <v>0</v>
      </c>
      <c r="P24" s="4544">
        <v>0</v>
      </c>
      <c r="Q24" s="4546">
        <v>0</v>
      </c>
      <c r="R24" s="4543">
        <v>0</v>
      </c>
      <c r="S24" s="4544">
        <v>0</v>
      </c>
      <c r="T24" s="4545">
        <v>0</v>
      </c>
      <c r="U24" s="4543">
        <v>0</v>
      </c>
      <c r="V24" s="4544">
        <v>0</v>
      </c>
      <c r="W24" s="4545">
        <v>0</v>
      </c>
      <c r="X24" s="1566">
        <f t="shared" si="2"/>
        <v>0</v>
      </c>
      <c r="Y24" s="1555"/>
      <c r="AB24" s="15" t="s">
        <v>20</v>
      </c>
      <c r="AC24" s="15" t="s">
        <v>865</v>
      </c>
      <c r="AD24" s="1542"/>
      <c r="AE24" s="1542"/>
      <c r="AF24" s="1542"/>
      <c r="AG24" s="1542"/>
      <c r="AH24" s="1542"/>
    </row>
    <row r="25" spans="1:34" s="1579" customFormat="1" ht="16.5" customHeight="1">
      <c r="A25" s="5135"/>
      <c r="B25" s="5137"/>
      <c r="C25" s="15"/>
      <c r="D25" s="15"/>
      <c r="E25" s="4866">
        <v>13</v>
      </c>
      <c r="F25" s="1673" t="s">
        <v>1535</v>
      </c>
      <c r="G25" s="2414">
        <v>3.338415894341884</v>
      </c>
      <c r="H25" s="4568"/>
      <c r="I25" s="4569"/>
      <c r="J25" s="4570"/>
      <c r="K25" s="2524"/>
      <c r="L25" s="4543">
        <v>18328.052353823481</v>
      </c>
      <c r="M25" s="4544">
        <v>32074.091619191095</v>
      </c>
      <c r="N25" s="4545">
        <v>20364.502615359423</v>
      </c>
      <c r="O25" s="4543">
        <v>32074.091619191095</v>
      </c>
      <c r="P25" s="4544">
        <v>32074.091619191095</v>
      </c>
      <c r="Q25" s="4546">
        <v>25455.628269199282</v>
      </c>
      <c r="R25" s="4543">
        <v>25455.628269199282</v>
      </c>
      <c r="S25" s="4544">
        <v>25455.628269199282</v>
      </c>
      <c r="T25" s="4545">
        <v>25455.628269199282</v>
      </c>
      <c r="U25" s="4543">
        <v>25455.628269199282</v>
      </c>
      <c r="V25" s="4544">
        <v>25455.628269199282</v>
      </c>
      <c r="W25" s="4545">
        <v>25455.628269199282</v>
      </c>
      <c r="X25" s="1566">
        <f t="shared" si="2"/>
        <v>313104.22771115118</v>
      </c>
      <c r="Y25" s="1555"/>
      <c r="AB25" s="15" t="s">
        <v>20</v>
      </c>
      <c r="AC25" s="15" t="s">
        <v>865</v>
      </c>
      <c r="AD25" s="1542"/>
      <c r="AE25" s="1542"/>
      <c r="AF25" s="1542"/>
      <c r="AG25" s="1542"/>
      <c r="AH25" s="1542"/>
    </row>
    <row r="26" spans="1:34" s="1579" customFormat="1" ht="16.5" customHeight="1">
      <c r="A26" s="5135"/>
      <c r="B26" s="5137"/>
      <c r="C26" s="15"/>
      <c r="D26" s="15"/>
      <c r="E26" s="4866"/>
      <c r="F26" s="1673" t="s">
        <v>1533</v>
      </c>
      <c r="G26" s="2414">
        <v>3.32</v>
      </c>
      <c r="H26" s="4568"/>
      <c r="I26" s="4569"/>
      <c r="J26" s="4570"/>
      <c r="K26" s="2524"/>
      <c r="L26" s="4543">
        <v>47233.734939759037</v>
      </c>
      <c r="M26" s="4544">
        <v>23616.867469879518</v>
      </c>
      <c r="N26" s="4545">
        <v>23616.867469879518</v>
      </c>
      <c r="O26" s="4543">
        <v>23616.867469879518</v>
      </c>
      <c r="P26" s="4544">
        <v>23616.867469879518</v>
      </c>
      <c r="Q26" s="4546">
        <v>23616.867469879518</v>
      </c>
      <c r="R26" s="4543">
        <v>23616.867469879518</v>
      </c>
      <c r="S26" s="4544">
        <v>23616.867469879518</v>
      </c>
      <c r="T26" s="4545">
        <v>23616.867469879518</v>
      </c>
      <c r="U26" s="4543">
        <v>23616.867469879518</v>
      </c>
      <c r="V26" s="4544">
        <v>23616.867469879518</v>
      </c>
      <c r="W26" s="4545">
        <v>23616.867469879518</v>
      </c>
      <c r="X26" s="1566"/>
      <c r="Y26" s="1555"/>
      <c r="AB26" s="15"/>
      <c r="AC26" s="15"/>
      <c r="AD26" s="1542"/>
      <c r="AE26" s="1542"/>
      <c r="AF26" s="1542"/>
      <c r="AG26" s="1542"/>
      <c r="AH26" s="1542"/>
    </row>
    <row r="27" spans="1:34" s="1579" customFormat="1" ht="16.5" customHeight="1">
      <c r="A27" s="5135"/>
      <c r="B27" s="5137"/>
      <c r="C27" s="15"/>
      <c r="D27" s="15"/>
      <c r="E27" s="4866">
        <v>14</v>
      </c>
      <c r="F27" s="1673" t="s">
        <v>1545</v>
      </c>
      <c r="G27" s="2414">
        <v>3.3719788311324836</v>
      </c>
      <c r="H27" s="4568"/>
      <c r="I27" s="4569"/>
      <c r="J27" s="4570"/>
      <c r="K27" s="2524"/>
      <c r="L27" s="4543">
        <v>20298.594765762922</v>
      </c>
      <c r="M27" s="4544">
        <v>16634.945954381321</v>
      </c>
      <c r="N27" s="4545">
        <v>14357.542639198165</v>
      </c>
      <c r="O27" s="4543">
        <v>14852.630316411894</v>
      </c>
      <c r="P27" s="4544">
        <v>16634.945954381321</v>
      </c>
      <c r="Q27" s="4546">
        <v>15238.798704638602</v>
      </c>
      <c r="R27" s="4543">
        <v>15238.798704638602</v>
      </c>
      <c r="S27" s="4544">
        <v>15238.798704638602</v>
      </c>
      <c r="T27" s="4545">
        <v>15238.798704638602</v>
      </c>
      <c r="U27" s="4543">
        <v>15238.798704638602</v>
      </c>
      <c r="V27" s="4544">
        <v>15238.798704638602</v>
      </c>
      <c r="W27" s="4545">
        <v>15238.798704638602</v>
      </c>
      <c r="X27" s="1566">
        <f t="shared" si="2"/>
        <v>189450.25056260586</v>
      </c>
      <c r="Y27" s="1555"/>
      <c r="AB27" s="15" t="s">
        <v>20</v>
      </c>
      <c r="AC27" s="15" t="s">
        <v>865</v>
      </c>
      <c r="AD27" s="1542"/>
      <c r="AE27" s="1542"/>
      <c r="AF27" s="1542"/>
      <c r="AG27" s="1542"/>
      <c r="AH27" s="1542"/>
    </row>
    <row r="28" spans="1:34" s="1579" customFormat="1" ht="16.5" customHeight="1">
      <c r="A28" s="5135"/>
      <c r="B28" s="5137"/>
      <c r="C28" s="15"/>
      <c r="D28" s="15"/>
      <c r="E28" s="4866"/>
      <c r="F28" s="1673" t="s">
        <v>1547</v>
      </c>
      <c r="G28" s="2414">
        <v>3.26</v>
      </c>
      <c r="H28" s="4568"/>
      <c r="I28" s="4569"/>
      <c r="J28" s="4570"/>
      <c r="K28" s="2524"/>
      <c r="L28" s="4543">
        <v>47228.466257668719</v>
      </c>
      <c r="M28" s="4544">
        <v>23614.233128834359</v>
      </c>
      <c r="N28" s="4545">
        <v>23614.233128834359</v>
      </c>
      <c r="O28" s="4543">
        <v>23614.233128834359</v>
      </c>
      <c r="P28" s="4544">
        <v>21865.030674846628</v>
      </c>
      <c r="Q28" s="4546">
        <v>21865.030674846628</v>
      </c>
      <c r="R28" s="4543">
        <v>21865.030674846628</v>
      </c>
      <c r="S28" s="4544">
        <v>21865.030674846628</v>
      </c>
      <c r="T28" s="4545">
        <v>21865.030674846628</v>
      </c>
      <c r="U28" s="4543">
        <v>21865.030674846628</v>
      </c>
      <c r="V28" s="4544">
        <v>21865.030674846628</v>
      </c>
      <c r="W28" s="4545">
        <v>21865.030674846628</v>
      </c>
      <c r="X28" s="1566"/>
      <c r="Y28" s="1555"/>
      <c r="AB28" s="15"/>
      <c r="AC28" s="15"/>
      <c r="AD28" s="1542"/>
      <c r="AE28" s="1542"/>
      <c r="AF28" s="1542"/>
      <c r="AG28" s="1542"/>
      <c r="AH28" s="1542"/>
    </row>
    <row r="29" spans="1:34" s="1579" customFormat="1" ht="16.5" customHeight="1">
      <c r="A29" s="5135"/>
      <c r="B29" s="5137"/>
      <c r="C29" s="15"/>
      <c r="D29" s="15"/>
      <c r="E29" s="4866"/>
      <c r="F29" s="1673" t="s">
        <v>692</v>
      </c>
      <c r="G29" s="2414">
        <v>2.2574247982391786</v>
      </c>
      <c r="H29" s="4568"/>
      <c r="I29" s="4569"/>
      <c r="J29" s="4570"/>
      <c r="K29" s="2524"/>
      <c r="L29" s="4543">
        <v>0</v>
      </c>
      <c r="M29" s="4544">
        <v>0</v>
      </c>
      <c r="N29" s="4545">
        <v>0</v>
      </c>
      <c r="O29" s="4543">
        <v>0</v>
      </c>
      <c r="P29" s="4544">
        <v>0</v>
      </c>
      <c r="Q29" s="4546">
        <v>0</v>
      </c>
      <c r="R29" s="4543">
        <v>0</v>
      </c>
      <c r="S29" s="4544">
        <v>0</v>
      </c>
      <c r="T29" s="4545">
        <v>0</v>
      </c>
      <c r="U29" s="4543">
        <v>0</v>
      </c>
      <c r="V29" s="4544">
        <v>0</v>
      </c>
      <c r="W29" s="4545">
        <v>0</v>
      </c>
      <c r="X29" s="1566">
        <f t="shared" si="2"/>
        <v>0</v>
      </c>
      <c r="Y29" s="1555"/>
      <c r="AB29" s="15" t="s">
        <v>20</v>
      </c>
      <c r="AC29" s="15" t="s">
        <v>865</v>
      </c>
      <c r="AD29" s="1542"/>
      <c r="AE29" s="1542"/>
      <c r="AF29" s="1542"/>
      <c r="AG29" s="1542"/>
      <c r="AH29" s="1542"/>
    </row>
    <row r="30" spans="1:34" s="1579" customFormat="1" ht="16.5" customHeight="1">
      <c r="A30" s="5135"/>
      <c r="B30" s="5137"/>
      <c r="C30" s="15"/>
      <c r="D30" s="15"/>
      <c r="E30" s="4866">
        <v>15</v>
      </c>
      <c r="F30" s="1673" t="s">
        <v>1254</v>
      </c>
      <c r="G30" s="2414">
        <v>4.59</v>
      </c>
      <c r="H30" s="4568"/>
      <c r="I30" s="4569"/>
      <c r="J30" s="4570"/>
      <c r="K30" s="2524"/>
      <c r="L30" s="4547">
        <v>0</v>
      </c>
      <c r="M30" s="4548">
        <v>0</v>
      </c>
      <c r="N30" s="4549">
        <v>0</v>
      </c>
      <c r="O30" s="4547">
        <v>0</v>
      </c>
      <c r="P30" s="4548">
        <v>0</v>
      </c>
      <c r="Q30" s="4550">
        <v>0</v>
      </c>
      <c r="R30" s="4547">
        <v>0</v>
      </c>
      <c r="S30" s="4548">
        <v>0</v>
      </c>
      <c r="T30" s="4549">
        <v>0</v>
      </c>
      <c r="U30" s="4547">
        <v>0</v>
      </c>
      <c r="V30" s="4548">
        <v>0</v>
      </c>
      <c r="W30" s="4549">
        <v>0</v>
      </c>
      <c r="X30" s="1566">
        <f t="shared" si="2"/>
        <v>0</v>
      </c>
      <c r="Y30" s="1555"/>
      <c r="AB30" s="15" t="s">
        <v>20</v>
      </c>
      <c r="AC30" s="15" t="s">
        <v>865</v>
      </c>
      <c r="AD30" s="1542"/>
      <c r="AE30" s="1542"/>
      <c r="AF30" s="1542"/>
      <c r="AG30" s="1542"/>
      <c r="AH30" s="1542"/>
    </row>
    <row r="31" spans="1:34" s="1544" customFormat="1" ht="16.5" customHeight="1">
      <c r="A31" s="5135"/>
      <c r="B31" s="5137"/>
      <c r="C31" s="15"/>
      <c r="D31" s="12" t="s">
        <v>874</v>
      </c>
      <c r="E31" s="4867"/>
      <c r="F31" s="1767" t="s">
        <v>875</v>
      </c>
      <c r="G31" s="4551">
        <v>2.130106958352902</v>
      </c>
      <c r="H31" s="4576"/>
      <c r="I31" s="4577"/>
      <c r="J31" s="4578"/>
      <c r="K31" s="4579"/>
      <c r="L31" s="4543">
        <v>4017.6964983339863</v>
      </c>
      <c r="M31" s="4544">
        <v>5062.2975879008227</v>
      </c>
      <c r="N31" s="4545">
        <v>5022.1206229174832</v>
      </c>
      <c r="O31" s="4543">
        <v>0</v>
      </c>
      <c r="P31" s="4544">
        <v>0</v>
      </c>
      <c r="Q31" s="4545">
        <v>0</v>
      </c>
      <c r="R31" s="4543">
        <v>0</v>
      </c>
      <c r="S31" s="4544">
        <v>0</v>
      </c>
      <c r="T31" s="4545">
        <v>0</v>
      </c>
      <c r="U31" s="4543">
        <v>0</v>
      </c>
      <c r="V31" s="4544">
        <v>0</v>
      </c>
      <c r="W31" s="4545">
        <v>0</v>
      </c>
      <c r="X31" s="1585">
        <f t="shared" si="2"/>
        <v>14102.114709152291</v>
      </c>
      <c r="Y31" s="1555"/>
      <c r="AB31" s="15" t="s">
        <v>20</v>
      </c>
      <c r="AC31" s="12" t="s">
        <v>874</v>
      </c>
      <c r="AD31" s="1542"/>
      <c r="AE31" s="1542"/>
      <c r="AF31" s="1542"/>
      <c r="AG31" s="1542"/>
      <c r="AH31" s="1542"/>
    </row>
    <row r="32" spans="1:34" s="1544" customFormat="1" ht="16.5" customHeight="1">
      <c r="A32" s="5135"/>
      <c r="B32" s="5137"/>
      <c r="C32" s="15"/>
      <c r="D32" s="15"/>
      <c r="E32" s="4866"/>
      <c r="F32" s="1673" t="s">
        <v>876</v>
      </c>
      <c r="G32" s="2414">
        <v>1.2188809639534752</v>
      </c>
      <c r="H32" s="4568"/>
      <c r="I32" s="4569"/>
      <c r="J32" s="4570"/>
      <c r="K32" s="2524"/>
      <c r="L32" s="4543">
        <v>0</v>
      </c>
      <c r="M32" s="4544">
        <v>0</v>
      </c>
      <c r="N32" s="4545">
        <v>0</v>
      </c>
      <c r="O32" s="4543">
        <v>0</v>
      </c>
      <c r="P32" s="4544">
        <v>0</v>
      </c>
      <c r="Q32" s="4546">
        <v>0</v>
      </c>
      <c r="R32" s="4543">
        <v>0</v>
      </c>
      <c r="S32" s="4544">
        <v>0</v>
      </c>
      <c r="T32" s="4545">
        <v>0</v>
      </c>
      <c r="U32" s="4543">
        <v>0</v>
      </c>
      <c r="V32" s="4544">
        <v>0</v>
      </c>
      <c r="W32" s="4545">
        <v>0</v>
      </c>
      <c r="X32" s="1566">
        <f t="shared" si="2"/>
        <v>0</v>
      </c>
      <c r="Y32" s="1555"/>
      <c r="AB32" s="15" t="s">
        <v>20</v>
      </c>
      <c r="AC32" s="15" t="s">
        <v>874</v>
      </c>
      <c r="AD32" s="1542"/>
      <c r="AE32" s="1542"/>
      <c r="AF32" s="1542"/>
      <c r="AG32" s="1542"/>
      <c r="AH32" s="1542"/>
    </row>
    <row r="33" spans="1:34" s="1544" customFormat="1" ht="16.5" customHeight="1">
      <c r="A33" s="5135"/>
      <c r="B33" s="5137"/>
      <c r="C33" s="15"/>
      <c r="D33" s="15"/>
      <c r="E33" s="4866">
        <v>16</v>
      </c>
      <c r="F33" s="1673" t="s">
        <v>877</v>
      </c>
      <c r="G33" s="2414">
        <v>1.7150825536598788</v>
      </c>
      <c r="H33" s="4568"/>
      <c r="I33" s="4569"/>
      <c r="J33" s="4570"/>
      <c r="K33" s="2524"/>
      <c r="L33" s="4543">
        <v>17369.27272262501</v>
      </c>
      <c r="M33" s="4544">
        <v>13026.954541968757</v>
      </c>
      <c r="N33" s="4545">
        <v>13026.954541968757</v>
      </c>
      <c r="O33" s="4543">
        <v>13026.954541968757</v>
      </c>
      <c r="P33" s="4544">
        <v>13026.954541968757</v>
      </c>
      <c r="Q33" s="4546">
        <v>13026.954541968757</v>
      </c>
      <c r="R33" s="4543">
        <v>9892.1122575208574</v>
      </c>
      <c r="S33" s="4544">
        <v>9892.1122575208574</v>
      </c>
      <c r="T33" s="4545">
        <v>9892.1122575208574</v>
      </c>
      <c r="U33" s="4543">
        <v>9892.1122575208574</v>
      </c>
      <c r="V33" s="4544">
        <v>9892.1122575208574</v>
      </c>
      <c r="W33" s="4545">
        <v>9892.1122575208574</v>
      </c>
      <c r="X33" s="1566">
        <f t="shared" si="2"/>
        <v>141856.71897759393</v>
      </c>
      <c r="Y33" s="1555"/>
      <c r="AB33" s="15"/>
      <c r="AC33" s="15"/>
      <c r="AD33" s="1542"/>
      <c r="AE33" s="1542"/>
      <c r="AF33" s="1542"/>
      <c r="AG33" s="1542"/>
      <c r="AH33" s="1542"/>
    </row>
    <row r="34" spans="1:34" s="1544" customFormat="1" ht="16.5" customHeight="1">
      <c r="A34" s="5135"/>
      <c r="B34" s="5137"/>
      <c r="C34" s="15"/>
      <c r="D34" s="15"/>
      <c r="E34" s="4866"/>
      <c r="F34" s="1673" t="s">
        <v>1062</v>
      </c>
      <c r="G34" s="2414">
        <v>1.93</v>
      </c>
      <c r="H34" s="4568"/>
      <c r="I34" s="4569"/>
      <c r="J34" s="4570"/>
      <c r="K34" s="2524"/>
      <c r="L34" s="4543">
        <v>0</v>
      </c>
      <c r="M34" s="4544">
        <v>0</v>
      </c>
      <c r="N34" s="4545">
        <v>0</v>
      </c>
      <c r="O34" s="4543">
        <v>0</v>
      </c>
      <c r="P34" s="4544">
        <v>0</v>
      </c>
      <c r="Q34" s="4546">
        <v>0</v>
      </c>
      <c r="R34" s="4543">
        <v>0</v>
      </c>
      <c r="S34" s="4544">
        <v>0</v>
      </c>
      <c r="T34" s="4545">
        <v>0</v>
      </c>
      <c r="U34" s="4543">
        <v>0</v>
      </c>
      <c r="V34" s="4544">
        <v>0</v>
      </c>
      <c r="W34" s="4545">
        <v>0</v>
      </c>
      <c r="X34" s="1566">
        <f t="shared" si="2"/>
        <v>0</v>
      </c>
      <c r="Y34" s="1555"/>
      <c r="AB34" s="15"/>
      <c r="AC34" s="15"/>
      <c r="AD34" s="1542"/>
      <c r="AE34" s="1542"/>
      <c r="AF34" s="1542"/>
      <c r="AG34" s="1542"/>
      <c r="AH34" s="1542"/>
    </row>
    <row r="35" spans="1:34" s="1544" customFormat="1" ht="16.5" customHeight="1">
      <c r="A35" s="5135"/>
      <c r="B35" s="5137"/>
      <c r="C35" s="15"/>
      <c r="D35" s="15"/>
      <c r="E35" s="4866">
        <v>17</v>
      </c>
      <c r="F35" s="1673" t="s">
        <v>1537</v>
      </c>
      <c r="G35" s="2414">
        <v>1.3549204341869534</v>
      </c>
      <c r="H35" s="4568"/>
      <c r="I35" s="4569"/>
      <c r="J35" s="4570"/>
      <c r="K35" s="2524"/>
      <c r="L35" s="4543">
        <v>18970.855669044646</v>
      </c>
      <c r="M35" s="4544">
        <v>0</v>
      </c>
      <c r="N35" s="4545">
        <v>0</v>
      </c>
      <c r="O35" s="4543">
        <v>0</v>
      </c>
      <c r="P35" s="4544">
        <v>0</v>
      </c>
      <c r="Q35" s="4546">
        <v>0</v>
      </c>
      <c r="R35" s="4543">
        <v>0</v>
      </c>
      <c r="S35" s="4544">
        <v>0</v>
      </c>
      <c r="T35" s="4545">
        <v>0</v>
      </c>
      <c r="U35" s="4543">
        <v>0</v>
      </c>
      <c r="V35" s="4544">
        <v>0</v>
      </c>
      <c r="W35" s="4545">
        <v>0</v>
      </c>
      <c r="X35" s="1566">
        <f t="shared" si="2"/>
        <v>18970.855669044646</v>
      </c>
      <c r="Y35" s="1555"/>
      <c r="AB35" s="15"/>
      <c r="AC35" s="15"/>
      <c r="AD35" s="1542"/>
      <c r="AE35" s="1542"/>
      <c r="AF35" s="1542"/>
      <c r="AG35" s="1542"/>
      <c r="AH35" s="1542"/>
    </row>
    <row r="36" spans="1:34" s="1544" customFormat="1" ht="16.5" customHeight="1">
      <c r="A36" s="5135"/>
      <c r="B36" s="5137"/>
      <c r="C36" s="15"/>
      <c r="D36" s="15"/>
      <c r="E36" s="4866"/>
      <c r="F36" s="1673" t="s">
        <v>1539</v>
      </c>
      <c r="G36" s="2414">
        <v>1.34</v>
      </c>
      <c r="H36" s="4568"/>
      <c r="I36" s="4569"/>
      <c r="J36" s="4570"/>
      <c r="K36" s="2524"/>
      <c r="L36" s="4543">
        <v>47165.373134328358</v>
      </c>
      <c r="M36" s="4544">
        <v>23582.686567164179</v>
      </c>
      <c r="N36" s="4545">
        <v>23582.686567164179</v>
      </c>
      <c r="O36" s="4543">
        <v>23582.686567164179</v>
      </c>
      <c r="P36" s="4544">
        <v>23582.686567164179</v>
      </c>
      <c r="Q36" s="4546">
        <v>23582.686567164179</v>
      </c>
      <c r="R36" s="4543">
        <v>23582.686567164179</v>
      </c>
      <c r="S36" s="4544">
        <v>23582.686567164179</v>
      </c>
      <c r="T36" s="4545">
        <v>23582.686567164179</v>
      </c>
      <c r="U36" s="4543">
        <v>23582.686567164179</v>
      </c>
      <c r="V36" s="4544">
        <v>23582.686567164179</v>
      </c>
      <c r="W36" s="4545">
        <v>23582.686567164179</v>
      </c>
      <c r="X36" s="1566"/>
      <c r="Y36" s="1555"/>
      <c r="AB36" s="15"/>
      <c r="AC36" s="15"/>
      <c r="AD36" s="1542"/>
      <c r="AE36" s="1542"/>
      <c r="AF36" s="1542"/>
      <c r="AG36" s="1542"/>
      <c r="AH36" s="1542"/>
    </row>
    <row r="37" spans="1:34" s="1544" customFormat="1" ht="16.5" customHeight="1">
      <c r="A37" s="5135"/>
      <c r="B37" s="5137"/>
      <c r="C37" s="15"/>
      <c r="D37" s="15"/>
      <c r="E37" s="4866">
        <v>18</v>
      </c>
      <c r="F37" s="1673" t="s">
        <v>1541</v>
      </c>
      <c r="G37" s="2414">
        <v>1.4397683496827098</v>
      </c>
      <c r="H37" s="4568"/>
      <c r="I37" s="4569"/>
      <c r="J37" s="4570"/>
      <c r="K37" s="2524"/>
      <c r="L37" s="4543">
        <v>25744.141415643957</v>
      </c>
      <c r="M37" s="4544">
        <v>23598.796297673623</v>
      </c>
      <c r="N37" s="4545">
        <v>15017.415825792306</v>
      </c>
      <c r="O37" s="4543">
        <v>14898.229985905067</v>
      </c>
      <c r="P37" s="4544">
        <v>16686.017584213674</v>
      </c>
      <c r="Q37" s="4546">
        <v>15285.583965538599</v>
      </c>
      <c r="R37" s="4543">
        <v>15285.583965538599</v>
      </c>
      <c r="S37" s="4544">
        <v>15285.583965538599</v>
      </c>
      <c r="T37" s="4545">
        <v>15285.583965538599</v>
      </c>
      <c r="U37" s="4543">
        <v>15285.583965538599</v>
      </c>
      <c r="V37" s="4544">
        <v>15285.583965538599</v>
      </c>
      <c r="W37" s="4545">
        <v>15285.583965538599</v>
      </c>
      <c r="X37" s="1566">
        <f t="shared" si="2"/>
        <v>202943.68886799878</v>
      </c>
      <c r="Y37" s="1555"/>
      <c r="AB37" s="15"/>
      <c r="AC37" s="15"/>
      <c r="AD37" s="1542"/>
      <c r="AE37" s="1542"/>
      <c r="AF37" s="1542"/>
      <c r="AG37" s="1542"/>
      <c r="AH37" s="1542"/>
    </row>
    <row r="38" spans="1:34" s="1544" customFormat="1" ht="16.5" customHeight="1">
      <c r="A38" s="5135"/>
      <c r="B38" s="5137"/>
      <c r="C38" s="15"/>
      <c r="D38" s="15"/>
      <c r="E38" s="4866"/>
      <c r="F38" s="1673" t="s">
        <v>1543</v>
      </c>
      <c r="G38" s="2414">
        <v>1.42</v>
      </c>
      <c r="H38" s="4568"/>
      <c r="I38" s="4569"/>
      <c r="J38" s="4570"/>
      <c r="K38" s="2524"/>
      <c r="L38" s="4543">
        <v>45177.464788732403</v>
      </c>
      <c r="M38" s="4544">
        <v>22588.732394366201</v>
      </c>
      <c r="N38" s="4545">
        <v>22588.732394366201</v>
      </c>
      <c r="O38" s="4543">
        <v>22588.732394366201</v>
      </c>
      <c r="P38" s="4544">
        <v>20915.492957746483</v>
      </c>
      <c r="Q38" s="4546">
        <v>20915.492957746483</v>
      </c>
      <c r="R38" s="4543">
        <v>20915.492957746483</v>
      </c>
      <c r="S38" s="4544">
        <v>20915.492957746483</v>
      </c>
      <c r="T38" s="4545">
        <v>20915.492957746483</v>
      </c>
      <c r="U38" s="4543">
        <v>20915.492957746483</v>
      </c>
      <c r="V38" s="4544">
        <v>20915.492957746483</v>
      </c>
      <c r="W38" s="4545">
        <v>20915.492957746483</v>
      </c>
      <c r="X38" s="1566"/>
      <c r="Y38" s="1555"/>
      <c r="AB38" s="15"/>
      <c r="AC38" s="15"/>
      <c r="AD38" s="1542"/>
      <c r="AE38" s="1542"/>
      <c r="AF38" s="1542"/>
      <c r="AG38" s="1542"/>
      <c r="AH38" s="1542"/>
    </row>
    <row r="39" spans="1:34" s="1544" customFormat="1" ht="16.5" customHeight="1">
      <c r="A39" s="5135"/>
      <c r="B39" s="5137"/>
      <c r="C39" s="15"/>
      <c r="D39" s="15"/>
      <c r="E39" s="4866"/>
      <c r="F39" s="1673" t="s">
        <v>880</v>
      </c>
      <c r="G39" s="2414">
        <v>2.447360020004584</v>
      </c>
      <c r="H39" s="4568"/>
      <c r="I39" s="4569"/>
      <c r="J39" s="4570"/>
      <c r="K39" s="2524"/>
      <c r="L39" s="4543">
        <v>5521.3457112570686</v>
      </c>
      <c r="M39" s="4544">
        <v>0</v>
      </c>
      <c r="N39" s="4545">
        <v>0</v>
      </c>
      <c r="O39" s="4543">
        <v>0</v>
      </c>
      <c r="P39" s="4544">
        <v>0</v>
      </c>
      <c r="Q39" s="4546">
        <v>0</v>
      </c>
      <c r="R39" s="4543">
        <v>0</v>
      </c>
      <c r="S39" s="4544">
        <v>0</v>
      </c>
      <c r="T39" s="4545">
        <v>0</v>
      </c>
      <c r="U39" s="4543">
        <v>0</v>
      </c>
      <c r="V39" s="4544">
        <v>0</v>
      </c>
      <c r="W39" s="4545">
        <v>0</v>
      </c>
      <c r="X39" s="1566">
        <f t="shared" si="2"/>
        <v>5521.3457112570686</v>
      </c>
      <c r="Y39" s="1555"/>
      <c r="AB39" s="15"/>
      <c r="AC39" s="15"/>
      <c r="AD39" s="1542"/>
      <c r="AE39" s="1542"/>
      <c r="AF39" s="1542"/>
      <c r="AG39" s="1542"/>
      <c r="AH39" s="1542"/>
    </row>
    <row r="40" spans="1:34" s="1544" customFormat="1" ht="16.5" customHeight="1">
      <c r="A40" s="5135"/>
      <c r="B40" s="5137"/>
      <c r="C40" s="15"/>
      <c r="D40" s="15"/>
      <c r="E40" s="4866">
        <v>19</v>
      </c>
      <c r="F40" s="1673" t="s">
        <v>1255</v>
      </c>
      <c r="G40" s="2414">
        <v>1.22</v>
      </c>
      <c r="H40" s="4568"/>
      <c r="I40" s="4569"/>
      <c r="J40" s="4570"/>
      <c r="K40" s="2524"/>
      <c r="L40" s="4543">
        <v>0</v>
      </c>
      <c r="M40" s="4544">
        <v>0</v>
      </c>
      <c r="N40" s="4545">
        <v>0</v>
      </c>
      <c r="O40" s="4543">
        <v>0</v>
      </c>
      <c r="P40" s="4544">
        <v>0</v>
      </c>
      <c r="Q40" s="4546">
        <v>0</v>
      </c>
      <c r="R40" s="4543">
        <v>0</v>
      </c>
      <c r="S40" s="4544">
        <v>0</v>
      </c>
      <c r="T40" s="4545">
        <v>0</v>
      </c>
      <c r="U40" s="4543">
        <v>0</v>
      </c>
      <c r="V40" s="4544">
        <v>0</v>
      </c>
      <c r="W40" s="4545">
        <v>0</v>
      </c>
      <c r="X40" s="1566">
        <f t="shared" si="2"/>
        <v>0</v>
      </c>
      <c r="Y40" s="1555"/>
      <c r="Z40" s="1577"/>
      <c r="AA40" s="1577"/>
      <c r="AB40" s="15"/>
      <c r="AC40" s="1586"/>
      <c r="AD40" s="1542"/>
      <c r="AE40" s="1542"/>
      <c r="AF40" s="1542"/>
      <c r="AG40" s="1542"/>
      <c r="AH40" s="1542"/>
    </row>
    <row r="41" spans="1:34" s="1544" customFormat="1" ht="16.5" customHeight="1">
      <c r="A41" s="5135"/>
      <c r="B41" s="5137"/>
      <c r="C41" s="15"/>
      <c r="D41" s="12" t="s">
        <v>905</v>
      </c>
      <c r="E41" s="4867"/>
      <c r="F41" s="1767" t="s">
        <v>967</v>
      </c>
      <c r="G41" s="4551">
        <v>1.1200000000000001</v>
      </c>
      <c r="H41" s="4576"/>
      <c r="I41" s="4577"/>
      <c r="J41" s="4578"/>
      <c r="K41" s="4579"/>
      <c r="L41" s="4553">
        <v>0</v>
      </c>
      <c r="M41" s="4554">
        <v>0</v>
      </c>
      <c r="N41" s="4555">
        <v>0</v>
      </c>
      <c r="O41" s="4553">
        <v>0</v>
      </c>
      <c r="P41" s="4554">
        <v>0</v>
      </c>
      <c r="Q41" s="4556">
        <v>0</v>
      </c>
      <c r="R41" s="4553">
        <v>0</v>
      </c>
      <c r="S41" s="4554">
        <v>0</v>
      </c>
      <c r="T41" s="4555">
        <v>0</v>
      </c>
      <c r="U41" s="4553">
        <v>0</v>
      </c>
      <c r="V41" s="4554">
        <v>0</v>
      </c>
      <c r="W41" s="4555">
        <v>0</v>
      </c>
      <c r="X41" s="1585">
        <f t="shared" si="2"/>
        <v>0</v>
      </c>
      <c r="Y41" s="1555"/>
      <c r="Z41" s="2095"/>
      <c r="AA41" s="2095"/>
      <c r="AB41" s="15"/>
      <c r="AC41" s="15"/>
      <c r="AD41" s="1542"/>
      <c r="AE41" s="1542"/>
      <c r="AF41" s="1542"/>
      <c r="AG41" s="1542"/>
      <c r="AH41" s="1542"/>
    </row>
    <row r="42" spans="1:34" s="1544" customFormat="1" ht="16.5" customHeight="1">
      <c r="A42" s="5135"/>
      <c r="B42" s="5137"/>
      <c r="C42" s="15"/>
      <c r="D42" s="1586"/>
      <c r="E42" s="4868">
        <v>20</v>
      </c>
      <c r="F42" s="1774" t="s">
        <v>881</v>
      </c>
      <c r="G42" s="4552">
        <v>0.69420930232558142</v>
      </c>
      <c r="H42" s="4585"/>
      <c r="I42" s="4586"/>
      <c r="J42" s="4587"/>
      <c r="K42" s="4588"/>
      <c r="L42" s="4547">
        <v>23065.82517237611</v>
      </c>
      <c r="M42" s="4548">
        <v>27077.273028441516</v>
      </c>
      <c r="N42" s="4549">
        <v>25071.549100408814</v>
      </c>
      <c r="O42" s="4547">
        <v>27077.273028441516</v>
      </c>
      <c r="P42" s="4548">
        <v>27077.273028441516</v>
      </c>
      <c r="Q42" s="4550">
        <v>27077.273028441516</v>
      </c>
      <c r="R42" s="4547">
        <v>27077.273028441516</v>
      </c>
      <c r="S42" s="4548">
        <v>27077.273028441516</v>
      </c>
      <c r="T42" s="4549">
        <v>27077.273028441516</v>
      </c>
      <c r="U42" s="4547">
        <v>27077.273028441516</v>
      </c>
      <c r="V42" s="4548">
        <v>27077.273028441516</v>
      </c>
      <c r="W42" s="4549">
        <v>27077.273028441516</v>
      </c>
      <c r="X42" s="1591">
        <f t="shared" si="2"/>
        <v>318910.10455720016</v>
      </c>
      <c r="Y42" s="1555"/>
      <c r="Z42" s="2095"/>
      <c r="AA42" s="2095"/>
      <c r="AB42" s="15"/>
      <c r="AC42" s="1586"/>
      <c r="AD42" s="1542"/>
      <c r="AE42" s="1542"/>
      <c r="AF42" s="1542"/>
      <c r="AG42" s="1542"/>
      <c r="AH42" s="1542"/>
    </row>
    <row r="43" spans="1:34" s="1544" customFormat="1" ht="16.5" customHeight="1">
      <c r="A43" s="5135"/>
      <c r="B43" s="5137"/>
      <c r="C43" s="15"/>
      <c r="D43" s="15" t="s">
        <v>882</v>
      </c>
      <c r="E43" s="4866">
        <v>21</v>
      </c>
      <c r="F43" s="1673" t="s">
        <v>883</v>
      </c>
      <c r="G43" s="2414">
        <v>0.48871134020618556</v>
      </c>
      <c r="H43" s="4568"/>
      <c r="I43" s="4569"/>
      <c r="J43" s="4570"/>
      <c r="K43" s="2524"/>
      <c r="L43" s="4553">
        <v>23073.514762233615</v>
      </c>
      <c r="M43" s="4554">
        <v>27086.299938274246</v>
      </c>
      <c r="N43" s="4555">
        <v>25079.907350253929</v>
      </c>
      <c r="O43" s="4553">
        <v>27086.299938274246</v>
      </c>
      <c r="P43" s="4554">
        <v>27086.299938274246</v>
      </c>
      <c r="Q43" s="4556">
        <v>27086.299938274246</v>
      </c>
      <c r="R43" s="4553">
        <v>27086.299938274246</v>
      </c>
      <c r="S43" s="4554">
        <v>27086.299938274246</v>
      </c>
      <c r="T43" s="4555">
        <v>27086.299938274246</v>
      </c>
      <c r="U43" s="4553">
        <v>27086.299938274246</v>
      </c>
      <c r="V43" s="4554">
        <v>27086.299938274246</v>
      </c>
      <c r="W43" s="4555">
        <v>27086.299938274246</v>
      </c>
      <c r="X43" s="1585">
        <f t="shared" si="2"/>
        <v>319016.42149523005</v>
      </c>
      <c r="Y43" s="1555"/>
      <c r="Z43" s="2095"/>
      <c r="AA43" s="2095"/>
      <c r="AB43" s="15"/>
      <c r="AC43" s="15"/>
      <c r="AD43" s="1542"/>
      <c r="AE43" s="1542"/>
      <c r="AF43" s="1542"/>
      <c r="AG43" s="1542"/>
      <c r="AH43" s="1542"/>
    </row>
    <row r="44" spans="1:34" s="1544" customFormat="1" ht="16.5" customHeight="1">
      <c r="A44" s="5135"/>
      <c r="B44" s="5137"/>
      <c r="C44" s="15"/>
      <c r="D44" s="13"/>
      <c r="E44" s="2413"/>
      <c r="F44" s="1673" t="s">
        <v>968</v>
      </c>
      <c r="G44" s="2414">
        <v>0.53</v>
      </c>
      <c r="H44" s="4568"/>
      <c r="I44" s="4569"/>
      <c r="J44" s="4570"/>
      <c r="K44" s="2524"/>
      <c r="L44" s="4543">
        <v>0</v>
      </c>
      <c r="M44" s="4544">
        <v>0</v>
      </c>
      <c r="N44" s="4545">
        <v>0</v>
      </c>
      <c r="O44" s="4543">
        <v>0</v>
      </c>
      <c r="P44" s="4544">
        <v>0</v>
      </c>
      <c r="Q44" s="4546">
        <v>0</v>
      </c>
      <c r="R44" s="4543">
        <v>0</v>
      </c>
      <c r="S44" s="4544">
        <v>0</v>
      </c>
      <c r="T44" s="4545">
        <v>0</v>
      </c>
      <c r="U44" s="4543">
        <v>0</v>
      </c>
      <c r="V44" s="4544">
        <v>0</v>
      </c>
      <c r="W44" s="4545">
        <v>0</v>
      </c>
      <c r="X44" s="1566">
        <f t="shared" si="2"/>
        <v>0</v>
      </c>
      <c r="Y44" s="1555"/>
      <c r="Z44" s="2095"/>
      <c r="AA44" s="2095"/>
      <c r="AB44" s="15"/>
      <c r="AC44" s="13"/>
      <c r="AD44" s="1542"/>
      <c r="AE44" s="1542"/>
      <c r="AF44" s="1542"/>
      <c r="AG44" s="1542"/>
      <c r="AH44" s="1542"/>
    </row>
    <row r="45" spans="1:34" s="1544" customFormat="1" ht="16.5" customHeight="1">
      <c r="A45" s="5135"/>
      <c r="B45" s="5137"/>
      <c r="C45" s="15"/>
      <c r="D45" s="13"/>
      <c r="E45" s="2413"/>
      <c r="F45" s="1673" t="s">
        <v>884</v>
      </c>
      <c r="G45" s="2414">
        <v>0.69273636363636371</v>
      </c>
      <c r="H45" s="4568"/>
      <c r="I45" s="4569"/>
      <c r="J45" s="4570"/>
      <c r="K45" s="2524"/>
      <c r="L45" s="4543">
        <v>0</v>
      </c>
      <c r="M45" s="4544">
        <v>0</v>
      </c>
      <c r="N45" s="4545">
        <v>0</v>
      </c>
      <c r="O45" s="4543">
        <v>0</v>
      </c>
      <c r="P45" s="4544">
        <v>0</v>
      </c>
      <c r="Q45" s="4546">
        <v>0</v>
      </c>
      <c r="R45" s="4543">
        <v>0</v>
      </c>
      <c r="S45" s="4544">
        <v>0</v>
      </c>
      <c r="T45" s="4545">
        <v>0</v>
      </c>
      <c r="U45" s="4543">
        <v>0</v>
      </c>
      <c r="V45" s="4544">
        <v>0</v>
      </c>
      <c r="W45" s="4545">
        <v>0</v>
      </c>
      <c r="X45" s="1566">
        <f t="shared" si="2"/>
        <v>0</v>
      </c>
      <c r="Y45" s="1555"/>
      <c r="Z45" s="2095"/>
      <c r="AA45" s="2095"/>
      <c r="AB45" s="15"/>
      <c r="AC45" s="13"/>
      <c r="AD45" s="1542"/>
      <c r="AE45" s="1542"/>
      <c r="AF45" s="1542"/>
      <c r="AG45" s="1542"/>
      <c r="AH45" s="1542"/>
    </row>
    <row r="46" spans="1:34" s="1544" customFormat="1" ht="16.5" customHeight="1">
      <c r="A46" s="5135"/>
      <c r="B46" s="5137"/>
      <c r="C46" s="15"/>
      <c r="D46" s="13"/>
      <c r="E46" s="2413"/>
      <c r="F46" s="1673" t="s">
        <v>67</v>
      </c>
      <c r="G46" s="2414">
        <v>3.3561999999999994</v>
      </c>
      <c r="H46" s="4568"/>
      <c r="I46" s="4569"/>
      <c r="J46" s="4570"/>
      <c r="K46" s="2524"/>
      <c r="L46" s="4543">
        <v>600</v>
      </c>
      <c r="M46" s="4544">
        <v>600</v>
      </c>
      <c r="N46" s="4545">
        <v>0</v>
      </c>
      <c r="O46" s="4543">
        <v>0</v>
      </c>
      <c r="P46" s="4544">
        <v>0</v>
      </c>
      <c r="Q46" s="4546">
        <v>0</v>
      </c>
      <c r="R46" s="4543">
        <v>0</v>
      </c>
      <c r="S46" s="4544">
        <v>0</v>
      </c>
      <c r="T46" s="4545">
        <v>0</v>
      </c>
      <c r="U46" s="4543">
        <v>0</v>
      </c>
      <c r="V46" s="4544">
        <v>0</v>
      </c>
      <c r="W46" s="4545">
        <v>0</v>
      </c>
      <c r="X46" s="1566">
        <f t="shared" si="2"/>
        <v>1200</v>
      </c>
      <c r="Y46" s="1555"/>
      <c r="Z46" s="2095"/>
      <c r="AA46" s="2095"/>
      <c r="AB46" s="15"/>
      <c r="AC46" s="13"/>
      <c r="AD46" s="1542"/>
      <c r="AE46" s="1542"/>
      <c r="AF46" s="1542"/>
      <c r="AG46" s="1542"/>
      <c r="AH46" s="1542"/>
    </row>
    <row r="47" spans="1:34" s="1544" customFormat="1" ht="16.5" customHeight="1">
      <c r="A47" s="5135"/>
      <c r="B47" s="5137"/>
      <c r="C47" s="15"/>
      <c r="D47" s="14" t="s">
        <v>885</v>
      </c>
      <c r="E47" s="4869"/>
      <c r="F47" s="1767" t="s">
        <v>886</v>
      </c>
      <c r="G47" s="4551">
        <v>0.53564000000000001</v>
      </c>
      <c r="H47" s="4576"/>
      <c r="I47" s="4577"/>
      <c r="J47" s="4578"/>
      <c r="K47" s="4579"/>
      <c r="L47" s="4553">
        <v>0</v>
      </c>
      <c r="M47" s="4554">
        <v>0</v>
      </c>
      <c r="N47" s="4555">
        <v>0</v>
      </c>
      <c r="O47" s="4553">
        <v>0</v>
      </c>
      <c r="P47" s="4554">
        <v>0</v>
      </c>
      <c r="Q47" s="4556">
        <v>0</v>
      </c>
      <c r="R47" s="4553">
        <v>0</v>
      </c>
      <c r="S47" s="4554">
        <v>0</v>
      </c>
      <c r="T47" s="4555">
        <v>0</v>
      </c>
      <c r="U47" s="4553">
        <v>0</v>
      </c>
      <c r="V47" s="4554">
        <v>0</v>
      </c>
      <c r="W47" s="4555">
        <v>0</v>
      </c>
      <c r="X47" s="4775">
        <f t="shared" si="2"/>
        <v>0</v>
      </c>
      <c r="Y47" s="1555"/>
      <c r="Z47" s="2095"/>
      <c r="AA47" s="2095"/>
      <c r="AB47" s="15"/>
      <c r="AC47" s="14"/>
      <c r="AD47" s="1542"/>
      <c r="AE47" s="1542"/>
      <c r="AF47" s="1542"/>
      <c r="AG47" s="1542"/>
      <c r="AH47" s="1542"/>
    </row>
    <row r="48" spans="1:34" s="1579" customFormat="1" ht="16.5" customHeight="1">
      <c r="A48" s="5135"/>
      <c r="B48" s="5137"/>
      <c r="C48" s="15"/>
      <c r="D48" s="15"/>
      <c r="E48" s="4866"/>
      <c r="F48" s="1673" t="s">
        <v>887</v>
      </c>
      <c r="G48" s="2414">
        <v>0.72165999999999986</v>
      </c>
      <c r="H48" s="4568"/>
      <c r="I48" s="4569"/>
      <c r="J48" s="4570"/>
      <c r="K48" s="2524"/>
      <c r="L48" s="4543">
        <v>0</v>
      </c>
      <c r="M48" s="4544">
        <v>0</v>
      </c>
      <c r="N48" s="4545">
        <v>0</v>
      </c>
      <c r="O48" s="4543">
        <v>0</v>
      </c>
      <c r="P48" s="4544">
        <v>0</v>
      </c>
      <c r="Q48" s="4546">
        <v>0</v>
      </c>
      <c r="R48" s="4543">
        <v>0</v>
      </c>
      <c r="S48" s="4544">
        <v>0</v>
      </c>
      <c r="T48" s="4545">
        <v>0</v>
      </c>
      <c r="U48" s="4543">
        <v>0</v>
      </c>
      <c r="V48" s="4544">
        <v>0</v>
      </c>
      <c r="W48" s="4545">
        <v>0</v>
      </c>
      <c r="X48" s="1566">
        <f t="shared" si="2"/>
        <v>0</v>
      </c>
      <c r="Y48" s="1555"/>
      <c r="Z48" s="4541"/>
      <c r="AA48" s="4541"/>
      <c r="AB48" s="15"/>
      <c r="AC48" s="15"/>
      <c r="AD48" s="1542"/>
      <c r="AE48" s="1542"/>
      <c r="AF48" s="1542"/>
      <c r="AG48" s="1542"/>
      <c r="AH48" s="1542"/>
    </row>
    <row r="49" spans="1:34" s="1544" customFormat="1" ht="16.5" customHeight="1">
      <c r="A49" s="5135"/>
      <c r="B49" s="5137"/>
      <c r="C49" s="15"/>
      <c r="D49" s="15"/>
      <c r="E49" s="4866">
        <v>22</v>
      </c>
      <c r="F49" s="1673" t="s">
        <v>76</v>
      </c>
      <c r="G49" s="2414">
        <v>0.91348000000000007</v>
      </c>
      <c r="H49" s="4568"/>
      <c r="I49" s="4569"/>
      <c r="J49" s="4570"/>
      <c r="K49" s="2524"/>
      <c r="L49" s="4543">
        <v>134976.13521916189</v>
      </c>
      <c r="M49" s="4544">
        <v>81949.796383062581</v>
      </c>
      <c r="N49" s="4545">
        <v>115693.83018785305</v>
      </c>
      <c r="O49" s="4543">
        <v>67488.067609580947</v>
      </c>
      <c r="P49" s="4544">
        <v>67488.067609580947</v>
      </c>
      <c r="Q49" s="4546">
        <v>48205.762578272108</v>
      </c>
      <c r="R49" s="4543">
        <v>48205.762578272108</v>
      </c>
      <c r="S49" s="4544">
        <v>48205.762578272108</v>
      </c>
      <c r="T49" s="4545">
        <v>48205.762578272108</v>
      </c>
      <c r="U49" s="4543">
        <v>48205.762578272108</v>
      </c>
      <c r="V49" s="4544">
        <v>48205.762578272108</v>
      </c>
      <c r="W49" s="4545">
        <v>48205.762578272108</v>
      </c>
      <c r="X49" s="1566">
        <f t="shared" si="2"/>
        <v>805036.23505714431</v>
      </c>
      <c r="Y49" s="1555"/>
      <c r="Z49" s="2095"/>
      <c r="AA49" s="2095"/>
      <c r="AB49" s="15"/>
      <c r="AC49" s="15"/>
      <c r="AD49" s="1542"/>
      <c r="AE49" s="1542"/>
      <c r="AF49" s="1542"/>
      <c r="AG49" s="1542"/>
      <c r="AH49" s="1542"/>
    </row>
    <row r="50" spans="1:34" s="1544" customFormat="1" ht="16.5" customHeight="1">
      <c r="A50" s="5135"/>
      <c r="B50" s="5137"/>
      <c r="C50" s="15"/>
      <c r="D50" s="15"/>
      <c r="E50" s="4866"/>
      <c r="F50" s="1673" t="s">
        <v>969</v>
      </c>
      <c r="G50" s="2414">
        <v>0.67</v>
      </c>
      <c r="H50" s="4568"/>
      <c r="I50" s="4569"/>
      <c r="J50" s="4570"/>
      <c r="K50" s="2524"/>
      <c r="L50" s="4543">
        <v>0</v>
      </c>
      <c r="M50" s="4544">
        <v>0</v>
      </c>
      <c r="N50" s="4545">
        <v>0</v>
      </c>
      <c r="O50" s="4543">
        <v>0</v>
      </c>
      <c r="P50" s="4544">
        <v>0</v>
      </c>
      <c r="Q50" s="4546">
        <v>0</v>
      </c>
      <c r="R50" s="4543">
        <v>0</v>
      </c>
      <c r="S50" s="4544">
        <v>0</v>
      </c>
      <c r="T50" s="4545">
        <v>0</v>
      </c>
      <c r="U50" s="4543">
        <v>0</v>
      </c>
      <c r="V50" s="4544">
        <v>0</v>
      </c>
      <c r="W50" s="4545">
        <v>0</v>
      </c>
      <c r="X50" s="1566">
        <f t="shared" si="2"/>
        <v>0</v>
      </c>
      <c r="Y50" s="1555"/>
      <c r="Z50" s="1577"/>
      <c r="AA50" s="1577"/>
      <c r="AB50" s="15"/>
      <c r="AC50" s="15"/>
      <c r="AD50" s="1542"/>
      <c r="AE50" s="1542"/>
      <c r="AF50" s="1542"/>
      <c r="AG50" s="1542"/>
      <c r="AH50" s="1542"/>
    </row>
    <row r="51" spans="1:34" s="1544" customFormat="1" ht="16.5" customHeight="1">
      <c r="A51" s="5135"/>
      <c r="B51" s="5137"/>
      <c r="C51" s="1592" t="s">
        <v>403</v>
      </c>
      <c r="D51" s="1593" t="s">
        <v>865</v>
      </c>
      <c r="E51" s="4870">
        <v>23</v>
      </c>
      <c r="F51" s="4557" t="s">
        <v>401</v>
      </c>
      <c r="G51" s="4558">
        <v>3.82</v>
      </c>
      <c r="H51" s="4559"/>
      <c r="I51" s="4560"/>
      <c r="J51" s="4561"/>
      <c r="K51" s="4562"/>
      <c r="L51" s="4563">
        <v>30240</v>
      </c>
      <c r="M51" s="4564">
        <v>40320</v>
      </c>
      <c r="N51" s="4565">
        <v>40000</v>
      </c>
      <c r="O51" s="4563">
        <v>35000</v>
      </c>
      <c r="P51" s="4564">
        <v>35000</v>
      </c>
      <c r="Q51" s="4565">
        <v>35000</v>
      </c>
      <c r="R51" s="4563">
        <v>35000</v>
      </c>
      <c r="S51" s="4564">
        <v>35000</v>
      </c>
      <c r="T51" s="4566">
        <v>35000</v>
      </c>
      <c r="U51" s="4563">
        <v>35000</v>
      </c>
      <c r="V51" s="4564">
        <v>35000</v>
      </c>
      <c r="W51" s="4566">
        <v>35000</v>
      </c>
      <c r="X51" s="1598">
        <f t="shared" si="2"/>
        <v>425560</v>
      </c>
      <c r="Y51" s="1555"/>
      <c r="Z51" s="2095"/>
      <c r="AA51" s="2095"/>
      <c r="AB51" s="1592"/>
      <c r="AC51" s="1593"/>
      <c r="AD51" s="1542"/>
      <c r="AE51" s="1542"/>
      <c r="AF51" s="1542"/>
      <c r="AG51" s="1542"/>
      <c r="AH51" s="1542"/>
    </row>
    <row r="52" spans="1:34" s="1544" customFormat="1" ht="16.5" customHeight="1">
      <c r="A52" s="5135"/>
      <c r="B52" s="5137"/>
      <c r="C52" s="15"/>
      <c r="D52" s="1599"/>
      <c r="E52" s="4863">
        <v>24</v>
      </c>
      <c r="F52" s="4567" t="s">
        <v>265</v>
      </c>
      <c r="G52" s="2414">
        <v>2.66</v>
      </c>
      <c r="H52" s="4568"/>
      <c r="I52" s="4569"/>
      <c r="J52" s="4570"/>
      <c r="K52" s="2524"/>
      <c r="L52" s="4543">
        <v>41472</v>
      </c>
      <c r="M52" s="4544">
        <v>27648</v>
      </c>
      <c r="N52" s="4546">
        <v>50000</v>
      </c>
      <c r="O52" s="4543">
        <v>50000</v>
      </c>
      <c r="P52" s="4544">
        <v>50000</v>
      </c>
      <c r="Q52" s="4546">
        <v>50000</v>
      </c>
      <c r="R52" s="4543">
        <v>50000</v>
      </c>
      <c r="S52" s="4544">
        <v>50000</v>
      </c>
      <c r="T52" s="4545">
        <v>50000</v>
      </c>
      <c r="U52" s="4543">
        <v>50000</v>
      </c>
      <c r="V52" s="4544">
        <v>50000</v>
      </c>
      <c r="W52" s="4545">
        <v>50000</v>
      </c>
      <c r="X52" s="1566">
        <f t="shared" si="2"/>
        <v>569120</v>
      </c>
      <c r="Y52" s="1555"/>
      <c r="Z52" s="2095"/>
      <c r="AA52" s="2095"/>
      <c r="AB52" s="15"/>
      <c r="AC52" s="1599"/>
      <c r="AD52" s="1542"/>
      <c r="AE52" s="1542"/>
      <c r="AF52" s="1542"/>
      <c r="AG52" s="1542"/>
      <c r="AH52" s="1542"/>
    </row>
    <row r="53" spans="1:34" s="1544" customFormat="1" ht="16.5" customHeight="1">
      <c r="A53" s="5135"/>
      <c r="B53" s="5137"/>
      <c r="C53" s="15"/>
      <c r="D53" s="1599"/>
      <c r="E53" s="4863">
        <v>25</v>
      </c>
      <c r="F53" s="4567" t="s">
        <v>888</v>
      </c>
      <c r="G53" s="2414">
        <v>3.78</v>
      </c>
      <c r="H53" s="4568"/>
      <c r="I53" s="4569"/>
      <c r="J53" s="4570"/>
      <c r="K53" s="2524"/>
      <c r="L53" s="4543">
        <v>5040</v>
      </c>
      <c r="M53" s="4544">
        <v>4998.2010582010589</v>
      </c>
      <c r="N53" s="4546">
        <v>5040</v>
      </c>
      <c r="O53" s="4543">
        <v>2500</v>
      </c>
      <c r="P53" s="4544">
        <v>2500</v>
      </c>
      <c r="Q53" s="4546">
        <v>2500</v>
      </c>
      <c r="R53" s="4543">
        <v>2500</v>
      </c>
      <c r="S53" s="4544">
        <v>2500</v>
      </c>
      <c r="T53" s="4545">
        <v>2500</v>
      </c>
      <c r="U53" s="4543">
        <v>2500</v>
      </c>
      <c r="V53" s="4544">
        <v>2500</v>
      </c>
      <c r="W53" s="4545">
        <v>2500</v>
      </c>
      <c r="X53" s="1566">
        <f t="shared" si="2"/>
        <v>37578.201058201055</v>
      </c>
      <c r="Y53" s="1555"/>
      <c r="Z53" s="2095"/>
      <c r="AA53" s="2095"/>
      <c r="AB53" s="15"/>
      <c r="AC53" s="1599"/>
      <c r="AD53" s="1542"/>
      <c r="AE53" s="1542"/>
      <c r="AF53" s="1542"/>
      <c r="AG53" s="1542"/>
      <c r="AH53" s="1542"/>
    </row>
    <row r="54" spans="1:34" s="1544" customFormat="1" ht="16.5" customHeight="1">
      <c r="A54" s="5135"/>
      <c r="B54" s="5137"/>
      <c r="C54" s="15"/>
      <c r="D54" s="1599"/>
      <c r="E54" s="4863"/>
      <c r="F54" s="1599" t="s">
        <v>1256</v>
      </c>
      <c r="G54" s="1561">
        <v>5.28</v>
      </c>
      <c r="H54" s="3435"/>
      <c r="I54" s="3450"/>
      <c r="J54" s="3442"/>
      <c r="K54" s="3411"/>
      <c r="L54" s="3561">
        <v>0</v>
      </c>
      <c r="M54" s="3562">
        <v>0</v>
      </c>
      <c r="N54" s="3565">
        <v>0</v>
      </c>
      <c r="O54" s="3561">
        <v>0</v>
      </c>
      <c r="P54" s="3562">
        <v>0</v>
      </c>
      <c r="Q54" s="3565">
        <v>0</v>
      </c>
      <c r="R54" s="3561">
        <v>0</v>
      </c>
      <c r="S54" s="3562">
        <v>0</v>
      </c>
      <c r="T54" s="3563">
        <v>0</v>
      </c>
      <c r="U54" s="3561">
        <v>0</v>
      </c>
      <c r="V54" s="3562">
        <v>0</v>
      </c>
      <c r="W54" s="3563">
        <v>0</v>
      </c>
      <c r="X54" s="2200">
        <f t="shared" si="2"/>
        <v>0</v>
      </c>
      <c r="Y54" s="1652"/>
      <c r="Z54" s="2095"/>
      <c r="AA54" s="2095"/>
      <c r="AB54" s="15"/>
      <c r="AC54" s="1599"/>
      <c r="AD54" s="1542"/>
      <c r="AE54" s="1542"/>
      <c r="AF54" s="1542"/>
      <c r="AG54" s="1542"/>
      <c r="AH54" s="1542"/>
    </row>
    <row r="55" spans="1:34" s="1544" customFormat="1" ht="16.5" customHeight="1">
      <c r="A55" s="5135"/>
      <c r="B55" s="5137"/>
      <c r="C55" s="15"/>
      <c r="D55" s="1599"/>
      <c r="E55" s="4863"/>
      <c r="F55" s="1599" t="s">
        <v>1257</v>
      </c>
      <c r="G55" s="1561">
        <v>4</v>
      </c>
      <c r="H55" s="3435"/>
      <c r="I55" s="3450"/>
      <c r="J55" s="3442"/>
      <c r="K55" s="3411"/>
      <c r="L55" s="3561">
        <v>0</v>
      </c>
      <c r="M55" s="3562">
        <v>0</v>
      </c>
      <c r="N55" s="3565">
        <v>0</v>
      </c>
      <c r="O55" s="3561">
        <v>0</v>
      </c>
      <c r="P55" s="3562">
        <v>0</v>
      </c>
      <c r="Q55" s="3565">
        <v>0</v>
      </c>
      <c r="R55" s="3561">
        <v>0</v>
      </c>
      <c r="S55" s="3562">
        <v>0</v>
      </c>
      <c r="T55" s="3563">
        <v>0</v>
      </c>
      <c r="U55" s="3561">
        <v>0</v>
      </c>
      <c r="V55" s="3562">
        <v>0</v>
      </c>
      <c r="W55" s="3563">
        <v>0</v>
      </c>
      <c r="X55" s="2200">
        <f t="shared" si="2"/>
        <v>0</v>
      </c>
      <c r="Y55" s="1652"/>
      <c r="Z55" s="2095"/>
      <c r="AA55" s="2095"/>
      <c r="AB55" s="15"/>
      <c r="AC55" s="1599"/>
      <c r="AD55" s="1542"/>
      <c r="AE55" s="1542"/>
      <c r="AF55" s="1542"/>
      <c r="AG55" s="1542"/>
      <c r="AH55" s="1542"/>
    </row>
    <row r="56" spans="1:34" s="1544" customFormat="1" ht="16.5" customHeight="1">
      <c r="A56" s="5135"/>
      <c r="B56" s="5137"/>
      <c r="C56" s="15"/>
      <c r="D56" s="1599"/>
      <c r="E56" s="4863"/>
      <c r="F56" s="1599" t="s">
        <v>1258</v>
      </c>
      <c r="G56" s="1561">
        <v>5.94</v>
      </c>
      <c r="H56" s="3435"/>
      <c r="I56" s="3450"/>
      <c r="J56" s="3442"/>
      <c r="K56" s="3411"/>
      <c r="L56" s="3561">
        <v>0</v>
      </c>
      <c r="M56" s="3562">
        <v>0</v>
      </c>
      <c r="N56" s="3565">
        <v>0</v>
      </c>
      <c r="O56" s="3561">
        <v>0</v>
      </c>
      <c r="P56" s="3562">
        <v>0</v>
      </c>
      <c r="Q56" s="3565">
        <v>0</v>
      </c>
      <c r="R56" s="3561">
        <v>0</v>
      </c>
      <c r="S56" s="3562">
        <v>0</v>
      </c>
      <c r="T56" s="3563">
        <v>0</v>
      </c>
      <c r="U56" s="3561">
        <v>0</v>
      </c>
      <c r="V56" s="3562">
        <v>0</v>
      </c>
      <c r="W56" s="3563">
        <v>0</v>
      </c>
      <c r="X56" s="2200">
        <f t="shared" ref="X56:X83" si="3">SUM(L56:W56)</f>
        <v>0</v>
      </c>
      <c r="Y56" s="1652"/>
      <c r="Z56" s="2095"/>
      <c r="AA56" s="2095"/>
      <c r="AB56" s="15" t="s">
        <v>904</v>
      </c>
      <c r="AC56" s="1599" t="s">
        <v>865</v>
      </c>
      <c r="AD56" s="1542"/>
      <c r="AE56" s="1542"/>
      <c r="AF56" s="1542"/>
      <c r="AG56" s="1542"/>
      <c r="AH56" s="1542"/>
    </row>
    <row r="57" spans="1:34" s="1544" customFormat="1" ht="16.5" customHeight="1">
      <c r="A57" s="5135"/>
      <c r="B57" s="5137"/>
      <c r="C57" s="15"/>
      <c r="D57" s="12" t="s">
        <v>874</v>
      </c>
      <c r="E57" s="4867">
        <v>26</v>
      </c>
      <c r="F57" s="1600" t="s">
        <v>889</v>
      </c>
      <c r="G57" s="1580">
        <v>1.41</v>
      </c>
      <c r="H57" s="3436"/>
      <c r="I57" s="3451"/>
      <c r="J57" s="3443"/>
      <c r="K57" s="3414"/>
      <c r="L57" s="3561">
        <v>43200</v>
      </c>
      <c r="M57" s="3562">
        <v>49680.000000000007</v>
      </c>
      <c r="N57" s="3565">
        <v>50000</v>
      </c>
      <c r="O57" s="3561">
        <v>45000</v>
      </c>
      <c r="P57" s="3562">
        <v>45000</v>
      </c>
      <c r="Q57" s="3565">
        <v>45000</v>
      </c>
      <c r="R57" s="3561">
        <v>45000</v>
      </c>
      <c r="S57" s="3562">
        <v>45000</v>
      </c>
      <c r="T57" s="3563">
        <v>45000</v>
      </c>
      <c r="U57" s="3561">
        <v>45000</v>
      </c>
      <c r="V57" s="3562">
        <v>45000</v>
      </c>
      <c r="W57" s="3563">
        <v>45000</v>
      </c>
      <c r="X57" s="2209">
        <f t="shared" si="3"/>
        <v>547880</v>
      </c>
      <c r="Y57" s="1652"/>
      <c r="Z57" s="2095"/>
      <c r="AA57" s="2095"/>
      <c r="AB57" s="15" t="s">
        <v>904</v>
      </c>
      <c r="AC57" s="12" t="s">
        <v>874</v>
      </c>
      <c r="AD57" s="1542"/>
      <c r="AE57" s="1542"/>
      <c r="AF57" s="1542"/>
      <c r="AG57" s="1542"/>
      <c r="AH57" s="1542"/>
    </row>
    <row r="58" spans="1:34" s="1544" customFormat="1" ht="16.5" customHeight="1">
      <c r="A58" s="5135"/>
      <c r="B58" s="5137"/>
      <c r="C58" s="15"/>
      <c r="D58" s="15"/>
      <c r="E58" s="4866">
        <v>27</v>
      </c>
      <c r="F58" s="1599" t="s">
        <v>890</v>
      </c>
      <c r="G58" s="1561">
        <v>1.74</v>
      </c>
      <c r="H58" s="3435"/>
      <c r="I58" s="3450"/>
      <c r="J58" s="3442"/>
      <c r="K58" s="3411"/>
      <c r="L58" s="3561">
        <v>82000</v>
      </c>
      <c r="M58" s="3562">
        <v>66000</v>
      </c>
      <c r="N58" s="3565">
        <v>82000</v>
      </c>
      <c r="O58" s="3561">
        <v>80000</v>
      </c>
      <c r="P58" s="3562">
        <v>80000</v>
      </c>
      <c r="Q58" s="3565">
        <v>80000</v>
      </c>
      <c r="R58" s="3561">
        <v>75000</v>
      </c>
      <c r="S58" s="3562">
        <v>75000</v>
      </c>
      <c r="T58" s="3563">
        <v>75000</v>
      </c>
      <c r="U58" s="3561">
        <v>70000</v>
      </c>
      <c r="V58" s="3562">
        <v>70000</v>
      </c>
      <c r="W58" s="3563">
        <v>70000</v>
      </c>
      <c r="X58" s="2200">
        <f t="shared" si="3"/>
        <v>905000</v>
      </c>
      <c r="Y58" s="1652"/>
      <c r="Z58" s="2095"/>
      <c r="AA58" s="2095"/>
      <c r="AB58" s="15" t="s">
        <v>904</v>
      </c>
      <c r="AC58" s="15" t="s">
        <v>874</v>
      </c>
      <c r="AD58" s="1542"/>
      <c r="AE58" s="1542"/>
      <c r="AF58" s="1542"/>
      <c r="AG58" s="1542"/>
      <c r="AH58" s="1542"/>
    </row>
    <row r="59" spans="1:34" s="1544" customFormat="1" ht="16.5" customHeight="1">
      <c r="A59" s="5135"/>
      <c r="B59" s="5137"/>
      <c r="C59" s="15"/>
      <c r="D59" s="13"/>
      <c r="E59" s="4866">
        <v>28</v>
      </c>
      <c r="F59" s="1636" t="s">
        <v>1269</v>
      </c>
      <c r="G59" s="1561">
        <v>2.97</v>
      </c>
      <c r="H59" s="3435"/>
      <c r="I59" s="3450"/>
      <c r="J59" s="3442"/>
      <c r="K59" s="3411"/>
      <c r="L59" s="3561">
        <v>0</v>
      </c>
      <c r="M59" s="3562">
        <v>0</v>
      </c>
      <c r="N59" s="3565">
        <v>0</v>
      </c>
      <c r="O59" s="3561">
        <v>0</v>
      </c>
      <c r="P59" s="3562">
        <v>0</v>
      </c>
      <c r="Q59" s="3565">
        <v>0</v>
      </c>
      <c r="R59" s="3561">
        <v>0</v>
      </c>
      <c r="S59" s="3562">
        <v>0</v>
      </c>
      <c r="T59" s="3563">
        <v>0</v>
      </c>
      <c r="U59" s="3561">
        <v>0</v>
      </c>
      <c r="V59" s="3562">
        <v>0</v>
      </c>
      <c r="W59" s="3563">
        <v>0</v>
      </c>
      <c r="X59" s="2200">
        <f t="shared" si="3"/>
        <v>0</v>
      </c>
      <c r="Y59" s="1652"/>
      <c r="Z59" s="2095"/>
      <c r="AA59" s="2095"/>
      <c r="AB59" s="15" t="s">
        <v>904</v>
      </c>
      <c r="AC59" s="13" t="s">
        <v>874</v>
      </c>
      <c r="AD59" s="1542"/>
      <c r="AE59" s="1542"/>
      <c r="AF59" s="1542"/>
      <c r="AG59" s="1542"/>
      <c r="AH59" s="1542"/>
    </row>
    <row r="60" spans="1:34" s="1544" customFormat="1" ht="16.5" customHeight="1">
      <c r="A60" s="5135"/>
      <c r="B60" s="5137"/>
      <c r="C60" s="15"/>
      <c r="D60" s="13"/>
      <c r="E60" s="4866">
        <v>29</v>
      </c>
      <c r="F60" s="1636" t="s">
        <v>1270</v>
      </c>
      <c r="G60" s="1561">
        <v>2.86</v>
      </c>
      <c r="H60" s="3435"/>
      <c r="I60" s="3450"/>
      <c r="J60" s="3442"/>
      <c r="K60" s="3411"/>
      <c r="L60" s="3561">
        <v>0</v>
      </c>
      <c r="M60" s="3562">
        <v>0</v>
      </c>
      <c r="N60" s="3565">
        <v>0</v>
      </c>
      <c r="O60" s="3561">
        <v>0</v>
      </c>
      <c r="P60" s="3562">
        <v>0</v>
      </c>
      <c r="Q60" s="3565">
        <v>0</v>
      </c>
      <c r="R60" s="3561">
        <v>0</v>
      </c>
      <c r="S60" s="3562">
        <v>0</v>
      </c>
      <c r="T60" s="3563">
        <v>0</v>
      </c>
      <c r="U60" s="3561">
        <v>0</v>
      </c>
      <c r="V60" s="3562">
        <v>3000</v>
      </c>
      <c r="W60" s="3563">
        <v>333.33333333333331</v>
      </c>
      <c r="X60" s="2200">
        <f t="shared" si="3"/>
        <v>3333.3333333333335</v>
      </c>
      <c r="Y60" s="1652"/>
      <c r="Z60" s="2095"/>
      <c r="AA60" s="2095"/>
      <c r="AB60" s="15" t="s">
        <v>904</v>
      </c>
      <c r="AC60" s="13" t="s">
        <v>874</v>
      </c>
      <c r="AD60" s="1542"/>
      <c r="AE60" s="1542"/>
      <c r="AF60" s="1542"/>
      <c r="AG60" s="1542"/>
      <c r="AH60" s="1542"/>
    </row>
    <row r="61" spans="1:34" s="1544" customFormat="1" ht="16.5" customHeight="1">
      <c r="A61" s="5135"/>
      <c r="B61" s="5137"/>
      <c r="C61" s="15"/>
      <c r="D61" s="13"/>
      <c r="E61" s="4866">
        <v>30</v>
      </c>
      <c r="F61" s="1636" t="s">
        <v>1271</v>
      </c>
      <c r="G61" s="1561">
        <v>2.69</v>
      </c>
      <c r="H61" s="3435"/>
      <c r="I61" s="3450"/>
      <c r="J61" s="3442"/>
      <c r="K61" s="3411"/>
      <c r="L61" s="3561">
        <v>0</v>
      </c>
      <c r="M61" s="3562">
        <v>0</v>
      </c>
      <c r="N61" s="3565">
        <v>0</v>
      </c>
      <c r="O61" s="3561">
        <v>0</v>
      </c>
      <c r="P61" s="3562">
        <v>11666.666666666666</v>
      </c>
      <c r="Q61" s="3565">
        <v>11666.666666666666</v>
      </c>
      <c r="R61" s="3561">
        <v>11666.666666666666</v>
      </c>
      <c r="S61" s="3562">
        <v>11666.666666666666</v>
      </c>
      <c r="T61" s="3563">
        <v>11666.666666666666</v>
      </c>
      <c r="U61" s="3561">
        <v>11666.666666666666</v>
      </c>
      <c r="V61" s="3562">
        <v>11666.666666666666</v>
      </c>
      <c r="W61" s="3563">
        <v>11666.666666666666</v>
      </c>
      <c r="X61" s="2200">
        <f t="shared" si="3"/>
        <v>93333.333333333343</v>
      </c>
      <c r="Y61" s="1652"/>
      <c r="Z61" s="2095"/>
      <c r="AA61" s="2095"/>
      <c r="AB61" s="15" t="s">
        <v>904</v>
      </c>
      <c r="AC61" s="13" t="s">
        <v>874</v>
      </c>
      <c r="AD61" s="1542"/>
      <c r="AE61" s="1542"/>
      <c r="AF61" s="1542"/>
      <c r="AG61" s="1542"/>
      <c r="AH61" s="1542"/>
    </row>
    <row r="62" spans="1:34" s="1544" customFormat="1" ht="16.5" customHeight="1">
      <c r="A62" s="5135"/>
      <c r="B62" s="5137"/>
      <c r="C62" s="15"/>
      <c r="D62" s="13"/>
      <c r="E62" s="4866">
        <v>31</v>
      </c>
      <c r="F62" s="1636" t="s">
        <v>1272</v>
      </c>
      <c r="G62" s="1561">
        <v>2.86</v>
      </c>
      <c r="H62" s="3435"/>
      <c r="I62" s="3450"/>
      <c r="J62" s="3442"/>
      <c r="K62" s="3411"/>
      <c r="L62" s="3561">
        <v>0</v>
      </c>
      <c r="M62" s="3562">
        <v>0</v>
      </c>
      <c r="N62" s="3565">
        <v>0</v>
      </c>
      <c r="O62" s="3561">
        <v>0</v>
      </c>
      <c r="P62" s="3562">
        <v>2500</v>
      </c>
      <c r="Q62" s="3565">
        <v>2500</v>
      </c>
      <c r="R62" s="3561">
        <v>2500</v>
      </c>
      <c r="S62" s="3562">
        <v>2500</v>
      </c>
      <c r="T62" s="3563">
        <v>2500</v>
      </c>
      <c r="U62" s="3561">
        <v>2500</v>
      </c>
      <c r="V62" s="3562">
        <v>2500</v>
      </c>
      <c r="W62" s="3563">
        <v>2500</v>
      </c>
      <c r="X62" s="2200">
        <f t="shared" si="3"/>
        <v>20000</v>
      </c>
      <c r="Y62" s="1652"/>
      <c r="Z62" s="2095"/>
      <c r="AA62" s="2095"/>
      <c r="AB62" s="15" t="s">
        <v>904</v>
      </c>
      <c r="AC62" s="13" t="s">
        <v>874</v>
      </c>
      <c r="AD62" s="1542"/>
      <c r="AE62" s="1542"/>
      <c r="AF62" s="1542"/>
      <c r="AG62" s="1542"/>
      <c r="AH62" s="1542"/>
    </row>
    <row r="63" spans="1:34" s="1544" customFormat="1" ht="16.5" customHeight="1">
      <c r="A63" s="5135"/>
      <c r="B63" s="5137"/>
      <c r="C63" s="11"/>
      <c r="D63" s="1601" t="s">
        <v>892</v>
      </c>
      <c r="E63" s="4877">
        <v>32</v>
      </c>
      <c r="F63" s="1601" t="s">
        <v>893</v>
      </c>
      <c r="G63" s="1602">
        <v>1.152691141048622</v>
      </c>
      <c r="H63" s="3438"/>
      <c r="I63" s="3453"/>
      <c r="J63" s="3445"/>
      <c r="K63" s="3417"/>
      <c r="L63" s="3597">
        <v>99489.877014332174</v>
      </c>
      <c r="M63" s="3598">
        <v>66326.58467622145</v>
      </c>
      <c r="N63" s="3599">
        <v>77933.736994560211</v>
      </c>
      <c r="O63" s="3597">
        <v>57246.159393167327</v>
      </c>
      <c r="P63" s="3598">
        <v>57246.159393167327</v>
      </c>
      <c r="Q63" s="3599">
        <v>57246.159393167327</v>
      </c>
      <c r="R63" s="3597">
        <v>57246.159393167327</v>
      </c>
      <c r="S63" s="3598">
        <v>57246.159393167327</v>
      </c>
      <c r="T63" s="3600">
        <v>57246.159393167327</v>
      </c>
      <c r="U63" s="3597">
        <v>57246.159393167327</v>
      </c>
      <c r="V63" s="3598">
        <v>57246.159393167327</v>
      </c>
      <c r="W63" s="3600">
        <v>57246.159393167327</v>
      </c>
      <c r="X63" s="3572">
        <f t="shared" si="3"/>
        <v>758965.63322362001</v>
      </c>
      <c r="Y63" s="1652"/>
      <c r="Z63" s="2095"/>
      <c r="AA63" s="2095"/>
      <c r="AB63" s="11" t="s">
        <v>904</v>
      </c>
      <c r="AC63" s="1601" t="s">
        <v>892</v>
      </c>
      <c r="AD63" s="1542"/>
      <c r="AE63" s="1542"/>
      <c r="AF63" s="1542"/>
      <c r="AG63" s="1542"/>
      <c r="AH63" s="1542"/>
    </row>
    <row r="64" spans="1:34" s="1544" customFormat="1" ht="16.5" customHeight="1">
      <c r="A64" s="5135"/>
      <c r="B64" s="5137"/>
      <c r="C64" s="1592" t="s">
        <v>405</v>
      </c>
      <c r="D64" s="1593" t="s">
        <v>865</v>
      </c>
      <c r="E64" s="4866">
        <v>33</v>
      </c>
      <c r="F64" s="1592" t="s">
        <v>894</v>
      </c>
      <c r="G64" s="1594">
        <v>1.2501192028932644</v>
      </c>
      <c r="H64" s="3432"/>
      <c r="I64" s="3447"/>
      <c r="J64" s="3439"/>
      <c r="K64" s="3416"/>
      <c r="L64" s="3593">
        <v>51756.897751324432</v>
      </c>
      <c r="M64" s="3595">
        <v>51756.897751324432</v>
      </c>
      <c r="N64" s="3596">
        <v>44813.046982411215</v>
      </c>
      <c r="O64" s="3593">
        <v>44813.046982411215</v>
      </c>
      <c r="P64" s="3595">
        <v>44813.046982411215</v>
      </c>
      <c r="Q64" s="3594">
        <v>44813.046982411215</v>
      </c>
      <c r="R64" s="3593">
        <v>44813.046982411215</v>
      </c>
      <c r="S64" s="3595">
        <v>44813.046982411215</v>
      </c>
      <c r="T64" s="3596">
        <v>44813.046982411215</v>
      </c>
      <c r="U64" s="3593">
        <v>44813.046982411215</v>
      </c>
      <c r="V64" s="3595">
        <v>44813.046982411215</v>
      </c>
      <c r="W64" s="3596">
        <v>44813.046982411215</v>
      </c>
      <c r="X64" s="2204">
        <f t="shared" si="3"/>
        <v>551644.26532676106</v>
      </c>
      <c r="Y64" s="1652"/>
      <c r="Z64" s="2095"/>
      <c r="AA64" s="2095"/>
      <c r="AB64" s="1592" t="s">
        <v>405</v>
      </c>
      <c r="AC64" s="1593" t="s">
        <v>865</v>
      </c>
      <c r="AD64" s="1542"/>
      <c r="AE64" s="1542"/>
      <c r="AF64" s="1542"/>
      <c r="AG64" s="1542"/>
      <c r="AH64" s="1542"/>
    </row>
    <row r="65" spans="1:34" s="1544" customFormat="1" ht="16.5" customHeight="1">
      <c r="A65" s="5135"/>
      <c r="B65" s="5137"/>
      <c r="C65" s="15"/>
      <c r="D65" s="15"/>
      <c r="E65" s="4866">
        <v>34</v>
      </c>
      <c r="F65" s="15" t="s">
        <v>895</v>
      </c>
      <c r="G65" s="1561">
        <v>1.352053534664396</v>
      </c>
      <c r="H65" s="3435"/>
      <c r="I65" s="3450"/>
      <c r="J65" s="3442"/>
      <c r="K65" s="3411"/>
      <c r="L65" s="3561">
        <v>47655.158868995495</v>
      </c>
      <c r="M65" s="3562">
        <v>45723.108610945441</v>
      </c>
      <c r="N65" s="3563">
        <v>48649.145145400762</v>
      </c>
      <c r="O65" s="3561">
        <v>48649.145145400762</v>
      </c>
      <c r="P65" s="3562">
        <v>49655.421321468486</v>
      </c>
      <c r="Q65" s="3565">
        <v>64530.101468511763</v>
      </c>
      <c r="R65" s="3561">
        <v>60325.525213614193</v>
      </c>
      <c r="S65" s="3562">
        <v>60325.525213614193</v>
      </c>
      <c r="T65" s="3563">
        <v>59158.244849375624</v>
      </c>
      <c r="U65" s="3561">
        <v>48488.140957229916</v>
      </c>
      <c r="V65" s="3562">
        <v>33613.460810186647</v>
      </c>
      <c r="W65" s="3563">
        <v>34780.741174425217</v>
      </c>
      <c r="X65" s="2200">
        <f t="shared" si="3"/>
        <v>601553.71877916856</v>
      </c>
      <c r="Y65" s="1652"/>
      <c r="Z65" s="2095"/>
      <c r="AA65" s="2095"/>
      <c r="AB65" s="15" t="s">
        <v>22</v>
      </c>
      <c r="AC65" s="15" t="s">
        <v>865</v>
      </c>
      <c r="AD65" s="1542"/>
      <c r="AE65" s="1542"/>
      <c r="AF65" s="1542"/>
      <c r="AG65" s="1542"/>
      <c r="AH65" s="1542"/>
    </row>
    <row r="66" spans="1:34" s="1544" customFormat="1" ht="16.5" customHeight="1">
      <c r="A66" s="5135"/>
      <c r="B66" s="5137"/>
      <c r="C66" s="15"/>
      <c r="D66" s="15"/>
      <c r="E66" s="4866">
        <v>35</v>
      </c>
      <c r="F66" s="15" t="s">
        <v>896</v>
      </c>
      <c r="G66" s="1561">
        <v>1.795471451324786</v>
      </c>
      <c r="H66" s="3435"/>
      <c r="I66" s="3450"/>
      <c r="J66" s="3442"/>
      <c r="K66" s="3411"/>
      <c r="L66" s="3588">
        <v>118419.24603668497</v>
      </c>
      <c r="M66" s="3589">
        <v>118419.24603668497</v>
      </c>
      <c r="N66" s="3590">
        <v>122382.69852946539</v>
      </c>
      <c r="O66" s="3588">
        <v>117083.57763810563</v>
      </c>
      <c r="P66" s="3589">
        <v>121081.19744567382</v>
      </c>
      <c r="Q66" s="3591">
        <v>121081.19744567382</v>
      </c>
      <c r="R66" s="3588">
        <v>121081.19744567382</v>
      </c>
      <c r="S66" s="3589">
        <v>121081.19744567382</v>
      </c>
      <c r="T66" s="3590">
        <v>115782.07655431407</v>
      </c>
      <c r="U66" s="3588">
        <v>115782.07655431407</v>
      </c>
      <c r="V66" s="3589">
        <v>115782.07655431407</v>
      </c>
      <c r="W66" s="3590">
        <v>121081.19744567382</v>
      </c>
      <c r="X66" s="2200">
        <f t="shared" si="3"/>
        <v>1429056.9851322523</v>
      </c>
      <c r="Y66" s="1652"/>
      <c r="Z66" s="2095"/>
      <c r="AA66" s="2095"/>
      <c r="AB66" s="15" t="s">
        <v>22</v>
      </c>
      <c r="AC66" s="15" t="s">
        <v>865</v>
      </c>
      <c r="AD66" s="1542"/>
      <c r="AE66" s="1542"/>
      <c r="AF66" s="1542"/>
      <c r="AG66" s="1542"/>
      <c r="AH66" s="1542"/>
    </row>
    <row r="67" spans="1:34" s="1544" customFormat="1" ht="16.5" customHeight="1">
      <c r="A67" s="5135"/>
      <c r="B67" s="5137"/>
      <c r="C67" s="15"/>
      <c r="D67" s="12" t="s">
        <v>874</v>
      </c>
      <c r="E67" s="4867">
        <v>36</v>
      </c>
      <c r="F67" s="12" t="s">
        <v>404</v>
      </c>
      <c r="G67" s="1580">
        <v>1.1179262129007248</v>
      </c>
      <c r="H67" s="3436"/>
      <c r="I67" s="3451"/>
      <c r="J67" s="3443"/>
      <c r="K67" s="3414"/>
      <c r="L67" s="3566">
        <v>51791.726116169986</v>
      </c>
      <c r="M67" s="3567">
        <v>51791.726116169986</v>
      </c>
      <c r="N67" s="3568">
        <v>44843.202676008674</v>
      </c>
      <c r="O67" s="3566">
        <v>44843.202676008674</v>
      </c>
      <c r="P67" s="3567">
        <v>44843.202676008674</v>
      </c>
      <c r="Q67" s="3592">
        <v>44843.202676008674</v>
      </c>
      <c r="R67" s="3566">
        <v>44843.202676008674</v>
      </c>
      <c r="S67" s="3567">
        <v>44843.202676008674</v>
      </c>
      <c r="T67" s="3568">
        <v>44843.202676008674</v>
      </c>
      <c r="U67" s="3566">
        <v>44843.202676008674</v>
      </c>
      <c r="V67" s="3567">
        <v>44843.202676008674</v>
      </c>
      <c r="W67" s="3568">
        <v>44843.202676008674</v>
      </c>
      <c r="X67" s="2209">
        <f t="shared" si="3"/>
        <v>552015.47899242677</v>
      </c>
      <c r="Y67" s="1652"/>
      <c r="Z67" s="2095"/>
      <c r="AA67" s="2095"/>
      <c r="AB67" s="15" t="s">
        <v>22</v>
      </c>
      <c r="AC67" s="12" t="s">
        <v>874</v>
      </c>
      <c r="AD67" s="1542"/>
      <c r="AE67" s="1542"/>
      <c r="AF67" s="1542"/>
      <c r="AG67" s="1542"/>
      <c r="AH67" s="1542"/>
    </row>
    <row r="68" spans="1:34" s="1579" customFormat="1" ht="16.5" customHeight="1">
      <c r="A68" s="5135"/>
      <c r="B68" s="5137"/>
      <c r="C68" s="15"/>
      <c r="D68" s="15"/>
      <c r="E68" s="4866">
        <v>37</v>
      </c>
      <c r="F68" s="15" t="s">
        <v>897</v>
      </c>
      <c r="G68" s="1561">
        <v>1.1947815537298108</v>
      </c>
      <c r="H68" s="3435"/>
      <c r="I68" s="3450"/>
      <c r="J68" s="3442"/>
      <c r="K68" s="3411"/>
      <c r="L68" s="3561">
        <v>46698.6944694013</v>
      </c>
      <c r="M68" s="3562">
        <v>44736.771903476809</v>
      </c>
      <c r="N68" s="3563">
        <v>47675.396093260541</v>
      </c>
      <c r="O68" s="3561">
        <v>47675.396093260541</v>
      </c>
      <c r="P68" s="3562">
        <v>48697.013511500001</v>
      </c>
      <c r="Q68" s="3565">
        <v>63226.6556516009</v>
      </c>
      <c r="R68" s="3561">
        <v>59119.610139999051</v>
      </c>
      <c r="S68" s="3562">
        <v>59119.610139999051</v>
      </c>
      <c r="T68" s="3563">
        <v>57934.533934841267</v>
      </c>
      <c r="U68" s="3561">
        <v>47511.937306342232</v>
      </c>
      <c r="V68" s="3562">
        <v>32982.295166241325</v>
      </c>
      <c r="W68" s="3563">
        <v>34167.371371399102</v>
      </c>
      <c r="X68" s="2200">
        <f t="shared" si="3"/>
        <v>589545.28578132228</v>
      </c>
      <c r="Y68" s="1652"/>
      <c r="Z68" s="4541"/>
      <c r="AA68" s="4541"/>
      <c r="AB68" s="15" t="s">
        <v>22</v>
      </c>
      <c r="AC68" s="15" t="s">
        <v>874</v>
      </c>
      <c r="AD68" s="1542"/>
      <c r="AE68" s="1542"/>
      <c r="AF68" s="1542"/>
      <c r="AG68" s="1542"/>
      <c r="AH68" s="1542"/>
    </row>
    <row r="69" spans="1:34" s="1579" customFormat="1" ht="16.5" customHeight="1">
      <c r="A69" s="5135"/>
      <c r="B69" s="5137"/>
      <c r="C69" s="13"/>
      <c r="D69" s="1586"/>
      <c r="E69" s="4866">
        <v>38</v>
      </c>
      <c r="F69" s="1586" t="s">
        <v>898</v>
      </c>
      <c r="G69" s="1587">
        <v>1.2052490937353404</v>
      </c>
      <c r="H69" s="3437"/>
      <c r="I69" s="3452"/>
      <c r="J69" s="3444"/>
      <c r="K69" s="3415"/>
      <c r="L69" s="3588">
        <v>117432.97923782899</v>
      </c>
      <c r="M69" s="3589">
        <v>117432.97923782899</v>
      </c>
      <c r="N69" s="3590">
        <v>121664.70607794165</v>
      </c>
      <c r="O69" s="3588">
        <v>116006.90340569675</v>
      </c>
      <c r="P69" s="3589">
        <v>120391.8151644357</v>
      </c>
      <c r="Q69" s="3591">
        <v>120391.8151644357</v>
      </c>
      <c r="R69" s="3588">
        <v>120391.8151644357</v>
      </c>
      <c r="S69" s="3589">
        <v>120391.8151644357</v>
      </c>
      <c r="T69" s="3590">
        <v>114734.0124921908</v>
      </c>
      <c r="U69" s="3588">
        <v>114734.0124921908</v>
      </c>
      <c r="V69" s="3589">
        <v>114734.0124921908</v>
      </c>
      <c r="W69" s="3590">
        <v>120391.8151644357</v>
      </c>
      <c r="X69" s="2212">
        <f t="shared" si="3"/>
        <v>1418698.681258047</v>
      </c>
      <c r="Y69" s="1652"/>
      <c r="Z69" s="4541"/>
      <c r="AA69" s="4541"/>
      <c r="AB69" s="13" t="s">
        <v>22</v>
      </c>
      <c r="AC69" s="1586" t="s">
        <v>874</v>
      </c>
      <c r="AD69" s="1542"/>
      <c r="AE69" s="1542"/>
      <c r="AF69" s="1542"/>
      <c r="AG69" s="1542"/>
      <c r="AH69" s="1542"/>
    </row>
    <row r="70" spans="1:34" s="1579" customFormat="1" ht="16.5" customHeight="1">
      <c r="A70" s="5135"/>
      <c r="B70" s="5137"/>
      <c r="C70" s="13"/>
      <c r="D70" s="15" t="s">
        <v>885</v>
      </c>
      <c r="E70" s="4867">
        <v>39</v>
      </c>
      <c r="F70" s="4270" t="s">
        <v>899</v>
      </c>
      <c r="G70" s="4271">
        <v>0.57168920848713323</v>
      </c>
      <c r="H70" s="4272"/>
      <c r="I70" s="4273"/>
      <c r="J70" s="4274"/>
      <c r="K70" s="4275"/>
      <c r="L70" s="4276">
        <v>147443.5323287572</v>
      </c>
      <c r="M70" s="4277">
        <v>148245.16741546954</v>
      </c>
      <c r="N70" s="4278">
        <v>221368.92728703574</v>
      </c>
      <c r="O70" s="4276">
        <v>216358.70799508365</v>
      </c>
      <c r="P70" s="4277">
        <v>216358.70799508365</v>
      </c>
      <c r="Q70" s="4279">
        <v>208305.97006047683</v>
      </c>
      <c r="R70" s="4276">
        <v>208305.97006047683</v>
      </c>
      <c r="S70" s="4277">
        <v>213316.18935242895</v>
      </c>
      <c r="T70" s="4278">
        <v>221368.92728703574</v>
      </c>
      <c r="U70" s="4276">
        <v>216358.70799508365</v>
      </c>
      <c r="V70" s="4277">
        <v>208305.97006047683</v>
      </c>
      <c r="W70" s="4278">
        <v>208305.97006047683</v>
      </c>
      <c r="X70" s="4056">
        <f t="shared" si="3"/>
        <v>2434042.7478978857</v>
      </c>
      <c r="Y70" s="1652"/>
      <c r="Z70" s="4541"/>
      <c r="AA70" s="4541"/>
      <c r="AB70" s="13" t="s">
        <v>22</v>
      </c>
      <c r="AC70" s="15" t="s">
        <v>885</v>
      </c>
      <c r="AD70" s="1542"/>
      <c r="AE70" s="1542"/>
      <c r="AF70" s="1542"/>
      <c r="AG70" s="1542"/>
      <c r="AH70" s="1542"/>
    </row>
    <row r="71" spans="1:34" s="1579" customFormat="1" ht="16.5" customHeight="1">
      <c r="A71" s="5135"/>
      <c r="B71" s="5137"/>
      <c r="C71" s="13"/>
      <c r="D71" s="12" t="s">
        <v>892</v>
      </c>
      <c r="E71" s="4867">
        <v>40</v>
      </c>
      <c r="F71" s="15" t="s">
        <v>900</v>
      </c>
      <c r="G71" s="1561">
        <v>3.6863181359492403</v>
      </c>
      <c r="H71" s="3435"/>
      <c r="I71" s="3450"/>
      <c r="J71" s="3442"/>
      <c r="K71" s="3411"/>
      <c r="L71" s="3561">
        <v>10396.982393476275</v>
      </c>
      <c r="M71" s="3562">
        <v>10396.982393476275</v>
      </c>
      <c r="N71" s="3563">
        <v>8022.3629579292256</v>
      </c>
      <c r="O71" s="3561">
        <v>8022.3629579292256</v>
      </c>
      <c r="P71" s="3562">
        <v>14007.045724544427</v>
      </c>
      <c r="Q71" s="3565">
        <v>14007.045724544427</v>
      </c>
      <c r="R71" s="3561">
        <v>14007.045724544427</v>
      </c>
      <c r="S71" s="3562">
        <v>8022.3629579292256</v>
      </c>
      <c r="T71" s="3563">
        <v>10396.982393476275</v>
      </c>
      <c r="U71" s="3561">
        <v>10396.982393476275</v>
      </c>
      <c r="V71" s="3562">
        <v>10396.982393476275</v>
      </c>
      <c r="W71" s="3563">
        <v>8022.3629579292256</v>
      </c>
      <c r="X71" s="2200">
        <f t="shared" si="3"/>
        <v>126095.50097273156</v>
      </c>
      <c r="Y71" s="1652"/>
      <c r="Z71" s="4541"/>
      <c r="AA71" s="4541"/>
      <c r="AB71" s="13" t="s">
        <v>22</v>
      </c>
      <c r="AC71" s="12" t="s">
        <v>892</v>
      </c>
      <c r="AD71" s="1542"/>
      <c r="AE71" s="1542"/>
      <c r="AF71" s="1542"/>
      <c r="AG71" s="1542"/>
      <c r="AH71" s="1542"/>
    </row>
    <row r="72" spans="1:34" s="1579" customFormat="1" ht="16.5" customHeight="1">
      <c r="A72" s="5135"/>
      <c r="B72" s="5137"/>
      <c r="C72" s="13"/>
      <c r="D72" s="15"/>
      <c r="E72" s="4866">
        <v>41</v>
      </c>
      <c r="F72" s="15" t="s">
        <v>901</v>
      </c>
      <c r="G72" s="1561">
        <v>5.1493137681159418</v>
      </c>
      <c r="H72" s="3435"/>
      <c r="I72" s="3450"/>
      <c r="J72" s="3442"/>
      <c r="K72" s="3411"/>
      <c r="L72" s="3561">
        <v>2872.419122510642</v>
      </c>
      <c r="M72" s="3562">
        <v>2872.419122510642</v>
      </c>
      <c r="N72" s="3563">
        <v>4808.7373702745126</v>
      </c>
      <c r="O72" s="3561">
        <v>2872.419122510642</v>
      </c>
      <c r="P72" s="3562">
        <v>2872.419122510642</v>
      </c>
      <c r="Q72" s="3565">
        <v>2872.419122510642</v>
      </c>
      <c r="R72" s="3561">
        <v>4808.7373702745126</v>
      </c>
      <c r="S72" s="3562">
        <v>4808.7373702745126</v>
      </c>
      <c r="T72" s="3563">
        <v>4808.7373702745126</v>
      </c>
      <c r="U72" s="3561">
        <v>2872.419122510642</v>
      </c>
      <c r="V72" s="3562">
        <v>2872.419122510642</v>
      </c>
      <c r="W72" s="3563">
        <v>2872.419122510642</v>
      </c>
      <c r="X72" s="2200">
        <f t="shared" si="3"/>
        <v>42214.302461183186</v>
      </c>
      <c r="Y72" s="1652"/>
      <c r="Z72" s="4541"/>
      <c r="AA72" s="4541"/>
      <c r="AB72" s="13" t="s">
        <v>22</v>
      </c>
      <c r="AC72" s="15" t="s">
        <v>892</v>
      </c>
      <c r="AD72" s="1542"/>
      <c r="AE72" s="1542"/>
      <c r="AF72" s="1542"/>
      <c r="AG72" s="1542"/>
      <c r="AH72" s="1542"/>
    </row>
    <row r="73" spans="1:34" s="1579" customFormat="1" ht="16.5" customHeight="1">
      <c r="A73" s="5135"/>
      <c r="B73" s="5138"/>
      <c r="C73" s="13"/>
      <c r="D73" s="15"/>
      <c r="E73" s="4866"/>
      <c r="F73" s="1609" t="s">
        <v>1283</v>
      </c>
      <c r="G73" s="1561">
        <v>5.25</v>
      </c>
      <c r="H73" s="3435"/>
      <c r="I73" s="3450"/>
      <c r="J73" s="3442"/>
      <c r="K73" s="3411"/>
      <c r="L73" s="3561">
        <v>0</v>
      </c>
      <c r="M73" s="3562">
        <v>0</v>
      </c>
      <c r="N73" s="3565">
        <v>0</v>
      </c>
      <c r="O73" s="3561">
        <v>0</v>
      </c>
      <c r="P73" s="3562">
        <v>0</v>
      </c>
      <c r="Q73" s="3565">
        <v>0</v>
      </c>
      <c r="R73" s="3561">
        <v>0</v>
      </c>
      <c r="S73" s="3562">
        <v>0</v>
      </c>
      <c r="T73" s="3563">
        <v>0</v>
      </c>
      <c r="U73" s="3561">
        <v>0</v>
      </c>
      <c r="V73" s="3562">
        <v>0</v>
      </c>
      <c r="W73" s="3563">
        <v>0</v>
      </c>
      <c r="X73" s="2200">
        <f t="shared" si="3"/>
        <v>0</v>
      </c>
      <c r="Y73" s="1652"/>
      <c r="Z73" s="4541"/>
      <c r="AA73" s="4541"/>
      <c r="AB73" s="13" t="s">
        <v>22</v>
      </c>
      <c r="AC73" s="15" t="s">
        <v>892</v>
      </c>
      <c r="AD73" s="1542"/>
      <c r="AE73" s="1542"/>
      <c r="AF73" s="1542"/>
      <c r="AG73" s="1542"/>
      <c r="AH73" s="1542"/>
    </row>
    <row r="74" spans="1:34" s="1579" customFormat="1" ht="16.5" customHeight="1">
      <c r="A74" s="5135"/>
      <c r="B74" s="5138"/>
      <c r="C74" s="13"/>
      <c r="D74" s="15"/>
      <c r="E74" s="4866"/>
      <c r="F74" s="1609" t="s">
        <v>1284</v>
      </c>
      <c r="G74" s="1561">
        <v>4.79</v>
      </c>
      <c r="H74" s="3435"/>
      <c r="I74" s="3450"/>
      <c r="J74" s="3442"/>
      <c r="K74" s="3411"/>
      <c r="L74" s="3561">
        <v>0</v>
      </c>
      <c r="M74" s="3562">
        <v>0</v>
      </c>
      <c r="N74" s="3565">
        <v>0</v>
      </c>
      <c r="O74" s="3561">
        <v>0</v>
      </c>
      <c r="P74" s="3562">
        <v>0</v>
      </c>
      <c r="Q74" s="3565">
        <v>0</v>
      </c>
      <c r="R74" s="3561">
        <v>0</v>
      </c>
      <c r="S74" s="3562">
        <v>0</v>
      </c>
      <c r="T74" s="3563">
        <v>0</v>
      </c>
      <c r="U74" s="3561">
        <v>0</v>
      </c>
      <c r="V74" s="3562">
        <v>0</v>
      </c>
      <c r="W74" s="3563">
        <v>0</v>
      </c>
      <c r="X74" s="2200">
        <f t="shared" si="3"/>
        <v>0</v>
      </c>
      <c r="Y74" s="1652"/>
      <c r="Z74" s="4541"/>
      <c r="AA74" s="4541"/>
      <c r="AB74" s="13" t="s">
        <v>22</v>
      </c>
      <c r="AC74" s="15" t="s">
        <v>892</v>
      </c>
      <c r="AD74" s="1542"/>
      <c r="AE74" s="1542"/>
      <c r="AF74" s="1542"/>
      <c r="AG74" s="1542"/>
      <c r="AH74" s="1542"/>
    </row>
    <row r="75" spans="1:34" s="1579" customFormat="1" ht="16.5" customHeight="1">
      <c r="A75" s="5135"/>
      <c r="B75" s="5138"/>
      <c r="C75" s="13"/>
      <c r="D75" s="15"/>
      <c r="E75" s="4866"/>
      <c r="F75" s="1609" t="s">
        <v>1285</v>
      </c>
      <c r="G75" s="1561">
        <v>5.0199999999999996</v>
      </c>
      <c r="H75" s="3435"/>
      <c r="I75" s="3450"/>
      <c r="J75" s="3442"/>
      <c r="K75" s="3411"/>
      <c r="L75" s="3561">
        <v>0</v>
      </c>
      <c r="M75" s="3562">
        <v>0</v>
      </c>
      <c r="N75" s="3565">
        <v>0</v>
      </c>
      <c r="O75" s="3561">
        <v>0</v>
      </c>
      <c r="P75" s="3562">
        <v>0</v>
      </c>
      <c r="Q75" s="3565">
        <v>0</v>
      </c>
      <c r="R75" s="3561">
        <v>0</v>
      </c>
      <c r="S75" s="3562">
        <v>0</v>
      </c>
      <c r="T75" s="3563">
        <v>0</v>
      </c>
      <c r="U75" s="3561">
        <v>0</v>
      </c>
      <c r="V75" s="3562">
        <v>0</v>
      </c>
      <c r="W75" s="3563">
        <v>0</v>
      </c>
      <c r="X75" s="2200">
        <f t="shared" si="3"/>
        <v>0</v>
      </c>
      <c r="Y75" s="1652"/>
      <c r="Z75" s="4541"/>
      <c r="AA75" s="4541"/>
      <c r="AB75" s="13" t="s">
        <v>22</v>
      </c>
      <c r="AC75" s="15" t="s">
        <v>892</v>
      </c>
      <c r="AD75" s="1542"/>
      <c r="AE75" s="1542"/>
      <c r="AF75" s="1542"/>
      <c r="AG75" s="1542"/>
      <c r="AH75" s="1542"/>
    </row>
    <row r="76" spans="1:34" s="1579" customFormat="1" ht="16.5" customHeight="1">
      <c r="A76" s="5135"/>
      <c r="B76" s="5138"/>
      <c r="C76" s="3938" t="s">
        <v>1317</v>
      </c>
      <c r="D76" s="3939"/>
      <c r="E76" s="3987"/>
      <c r="F76" s="3959" t="s">
        <v>1562</v>
      </c>
      <c r="G76" s="5083">
        <v>1247</v>
      </c>
      <c r="H76" s="3432"/>
      <c r="I76" s="3940"/>
      <c r="J76" s="3439"/>
      <c r="K76" s="3941"/>
      <c r="L76" s="3593">
        <v>0</v>
      </c>
      <c r="M76" s="3595">
        <v>50</v>
      </c>
      <c r="N76" s="3594">
        <v>55</v>
      </c>
      <c r="O76" s="3593">
        <v>0</v>
      </c>
      <c r="P76" s="3595">
        <v>0</v>
      </c>
      <c r="Q76" s="3594">
        <v>0</v>
      </c>
      <c r="R76" s="3593">
        <v>0</v>
      </c>
      <c r="S76" s="3595">
        <v>0</v>
      </c>
      <c r="T76" s="3596">
        <v>0</v>
      </c>
      <c r="U76" s="3593">
        <v>0</v>
      </c>
      <c r="V76" s="3595">
        <v>0</v>
      </c>
      <c r="W76" s="3596">
        <v>0</v>
      </c>
      <c r="X76" s="2204">
        <f t="shared" si="3"/>
        <v>105</v>
      </c>
      <c r="Y76" s="1652"/>
      <c r="Z76" s="4541"/>
      <c r="AA76" s="4541"/>
      <c r="AB76" s="13" t="s">
        <v>1317</v>
      </c>
      <c r="AC76" s="15" t="s">
        <v>1328</v>
      </c>
      <c r="AD76" s="1542"/>
      <c r="AE76" s="1542"/>
      <c r="AF76" s="1542"/>
      <c r="AG76" s="1542"/>
      <c r="AH76" s="1542"/>
    </row>
    <row r="77" spans="1:34" s="1579" customFormat="1" ht="16.5" customHeight="1">
      <c r="A77" s="5135"/>
      <c r="B77" s="5138"/>
      <c r="C77" s="13"/>
      <c r="D77" s="15"/>
      <c r="E77" s="4866"/>
      <c r="F77" s="1609" t="s">
        <v>1563</v>
      </c>
      <c r="G77" s="1561">
        <v>672</v>
      </c>
      <c r="H77" s="3435"/>
      <c r="I77" s="3450"/>
      <c r="J77" s="3442"/>
      <c r="K77" s="3411"/>
      <c r="L77" s="3561">
        <v>0</v>
      </c>
      <c r="M77" s="3562">
        <v>50</v>
      </c>
      <c r="N77" s="3565">
        <v>55</v>
      </c>
      <c r="O77" s="3561">
        <v>0</v>
      </c>
      <c r="P77" s="3562">
        <v>0</v>
      </c>
      <c r="Q77" s="3565">
        <v>0</v>
      </c>
      <c r="R77" s="3561">
        <v>0</v>
      </c>
      <c r="S77" s="3562">
        <v>0</v>
      </c>
      <c r="T77" s="3563">
        <v>0</v>
      </c>
      <c r="U77" s="3561">
        <v>0</v>
      </c>
      <c r="V77" s="3562">
        <v>0</v>
      </c>
      <c r="W77" s="3563">
        <v>0</v>
      </c>
      <c r="X77" s="2200">
        <f t="shared" si="3"/>
        <v>105</v>
      </c>
      <c r="Y77" s="1652"/>
      <c r="Z77" s="4541"/>
      <c r="AA77" s="4541"/>
      <c r="AB77" s="13" t="s">
        <v>1317</v>
      </c>
      <c r="AC77" s="15" t="s">
        <v>1328</v>
      </c>
      <c r="AD77" s="1542"/>
      <c r="AE77" s="1542"/>
      <c r="AF77" s="1542"/>
      <c r="AG77" s="1542"/>
      <c r="AH77" s="1542"/>
    </row>
    <row r="78" spans="1:34" s="1579" customFormat="1" ht="16.5" customHeight="1">
      <c r="A78" s="5135"/>
      <c r="B78" s="5138"/>
      <c r="C78" s="13"/>
      <c r="D78" s="15"/>
      <c r="E78" s="4866"/>
      <c r="F78" s="1609" t="s">
        <v>1561</v>
      </c>
      <c r="G78" s="1561">
        <v>74.959999999999994</v>
      </c>
      <c r="H78" s="3435"/>
      <c r="I78" s="3450"/>
      <c r="J78" s="3442"/>
      <c r="K78" s="3411"/>
      <c r="L78" s="3561">
        <v>0</v>
      </c>
      <c r="M78" s="3562">
        <v>170</v>
      </c>
      <c r="N78" s="3565">
        <v>0</v>
      </c>
      <c r="O78" s="3561">
        <v>0</v>
      </c>
      <c r="P78" s="3562">
        <v>0</v>
      </c>
      <c r="Q78" s="3565">
        <v>0</v>
      </c>
      <c r="R78" s="3561">
        <v>200</v>
      </c>
      <c r="S78" s="3562">
        <v>0</v>
      </c>
      <c r="T78" s="3563">
        <v>0</v>
      </c>
      <c r="U78" s="3561">
        <v>0</v>
      </c>
      <c r="V78" s="3562">
        <v>0</v>
      </c>
      <c r="W78" s="3563">
        <v>0</v>
      </c>
      <c r="X78" s="2200">
        <f t="shared" si="3"/>
        <v>370</v>
      </c>
      <c r="Y78" s="1652"/>
      <c r="Z78" s="4541"/>
      <c r="AA78" s="4541"/>
      <c r="AB78" s="13" t="s">
        <v>1317</v>
      </c>
      <c r="AC78" s="15" t="s">
        <v>1328</v>
      </c>
      <c r="AD78" s="1542"/>
      <c r="AE78" s="1542"/>
      <c r="AF78" s="1542"/>
      <c r="AG78" s="1542"/>
      <c r="AH78" s="1542"/>
    </row>
    <row r="79" spans="1:34" s="1579" customFormat="1" ht="16.5" hidden="1" customHeight="1">
      <c r="A79" s="5135"/>
      <c r="B79" s="5138"/>
      <c r="C79" s="13"/>
      <c r="D79" s="15"/>
      <c r="E79" s="4866"/>
      <c r="F79" s="1609"/>
      <c r="G79" s="1561"/>
      <c r="H79" s="3435"/>
      <c r="I79" s="3450"/>
      <c r="J79" s="3442"/>
      <c r="K79" s="3411"/>
      <c r="L79" s="3561"/>
      <c r="M79" s="3562"/>
      <c r="N79" s="3565"/>
      <c r="O79" s="3561"/>
      <c r="P79" s="3562"/>
      <c r="Q79" s="3565"/>
      <c r="R79" s="3561"/>
      <c r="S79" s="3562"/>
      <c r="T79" s="3563"/>
      <c r="U79" s="3561"/>
      <c r="V79" s="3562"/>
      <c r="W79" s="3563"/>
      <c r="X79" s="2200">
        <f t="shared" si="3"/>
        <v>0</v>
      </c>
      <c r="Y79" s="1652"/>
      <c r="Z79" s="4541"/>
      <c r="AA79" s="4541"/>
      <c r="AB79" s="13" t="s">
        <v>1317</v>
      </c>
      <c r="AC79" s="15" t="s">
        <v>1328</v>
      </c>
      <c r="AD79" s="1542"/>
      <c r="AE79" s="1542"/>
      <c r="AF79" s="1542"/>
      <c r="AG79" s="1542"/>
      <c r="AH79" s="1542"/>
    </row>
    <row r="80" spans="1:34" s="1579" customFormat="1" ht="16.5" hidden="1" customHeight="1">
      <c r="A80" s="5135"/>
      <c r="B80" s="5138"/>
      <c r="C80" s="13"/>
      <c r="D80" s="15"/>
      <c r="E80" s="4866"/>
      <c r="F80" s="1609"/>
      <c r="G80" s="1561"/>
      <c r="H80" s="3435"/>
      <c r="I80" s="3450"/>
      <c r="J80" s="3442"/>
      <c r="K80" s="3411"/>
      <c r="L80" s="3561"/>
      <c r="M80" s="3562"/>
      <c r="N80" s="3565"/>
      <c r="O80" s="3561"/>
      <c r="P80" s="3562"/>
      <c r="Q80" s="3565"/>
      <c r="R80" s="3561"/>
      <c r="S80" s="3562"/>
      <c r="T80" s="3563"/>
      <c r="U80" s="3561"/>
      <c r="V80" s="3562"/>
      <c r="W80" s="3563"/>
      <c r="X80" s="2200">
        <f t="shared" si="3"/>
        <v>0</v>
      </c>
      <c r="Y80" s="1652"/>
      <c r="Z80" s="4541"/>
      <c r="AA80" s="4541"/>
      <c r="AB80" s="13" t="s">
        <v>1317</v>
      </c>
      <c r="AC80" s="15" t="s">
        <v>1328</v>
      </c>
      <c r="AD80" s="1542"/>
      <c r="AE80" s="1542"/>
      <c r="AF80" s="1542"/>
      <c r="AG80" s="1542"/>
      <c r="AH80" s="1542"/>
    </row>
    <row r="81" spans="1:34" s="1579" customFormat="1" ht="16.5" hidden="1" customHeight="1">
      <c r="A81" s="5135"/>
      <c r="B81" s="5138"/>
      <c r="C81" s="13"/>
      <c r="D81" s="15"/>
      <c r="E81" s="4866"/>
      <c r="F81" s="1609"/>
      <c r="G81" s="1561"/>
      <c r="H81" s="3435"/>
      <c r="I81" s="3450"/>
      <c r="J81" s="3442"/>
      <c r="K81" s="3411"/>
      <c r="L81" s="3561"/>
      <c r="M81" s="3562"/>
      <c r="N81" s="3565"/>
      <c r="O81" s="3561"/>
      <c r="P81" s="3562"/>
      <c r="Q81" s="3565"/>
      <c r="R81" s="3561"/>
      <c r="S81" s="3562"/>
      <c r="T81" s="3563"/>
      <c r="U81" s="3561"/>
      <c r="V81" s="3562"/>
      <c r="W81" s="3563"/>
      <c r="X81" s="2200">
        <f t="shared" si="3"/>
        <v>0</v>
      </c>
      <c r="Y81" s="1652"/>
      <c r="Z81" s="4541"/>
      <c r="AA81" s="4541"/>
      <c r="AB81" s="13" t="s">
        <v>1317</v>
      </c>
      <c r="AC81" s="15" t="s">
        <v>1328</v>
      </c>
      <c r="AD81" s="1542"/>
      <c r="AE81" s="1542"/>
      <c r="AF81" s="1542"/>
      <c r="AG81" s="1542"/>
      <c r="AH81" s="1542"/>
    </row>
    <row r="82" spans="1:34" s="1579" customFormat="1" ht="16.5" hidden="1" customHeight="1">
      <c r="A82" s="5135"/>
      <c r="B82" s="5138"/>
      <c r="C82" s="13"/>
      <c r="D82" s="15"/>
      <c r="E82" s="4866"/>
      <c r="F82" s="1609"/>
      <c r="G82" s="1561"/>
      <c r="H82" s="3435"/>
      <c r="I82" s="3450"/>
      <c r="J82" s="3442"/>
      <c r="K82" s="3411"/>
      <c r="L82" s="3561"/>
      <c r="M82" s="3562"/>
      <c r="N82" s="3565"/>
      <c r="O82" s="3561"/>
      <c r="P82" s="3562"/>
      <c r="Q82" s="3565"/>
      <c r="R82" s="3561"/>
      <c r="S82" s="3562"/>
      <c r="T82" s="3563"/>
      <c r="U82" s="3561"/>
      <c r="V82" s="3562"/>
      <c r="W82" s="3563"/>
      <c r="X82" s="2200">
        <f t="shared" si="3"/>
        <v>0</v>
      </c>
      <c r="Y82" s="1652"/>
      <c r="Z82" s="4541"/>
      <c r="AA82" s="4541"/>
      <c r="AB82" s="13" t="s">
        <v>1317</v>
      </c>
      <c r="AC82" s="15" t="s">
        <v>1328</v>
      </c>
      <c r="AD82" s="1542"/>
      <c r="AE82" s="1542"/>
      <c r="AF82" s="1542"/>
      <c r="AG82" s="1542"/>
      <c r="AH82" s="1542"/>
    </row>
    <row r="83" spans="1:34" s="1579" customFormat="1" ht="16.5" hidden="1" customHeight="1">
      <c r="A83" s="5135"/>
      <c r="B83" s="5138"/>
      <c r="C83" s="13"/>
      <c r="D83" s="15"/>
      <c r="E83" s="4866"/>
      <c r="F83" s="1609"/>
      <c r="G83" s="1561"/>
      <c r="H83" s="3435"/>
      <c r="I83" s="3450"/>
      <c r="J83" s="3442"/>
      <c r="K83" s="3411"/>
      <c r="L83" s="3561"/>
      <c r="M83" s="3562"/>
      <c r="N83" s="3565"/>
      <c r="O83" s="3561"/>
      <c r="P83" s="3562"/>
      <c r="Q83" s="3565"/>
      <c r="R83" s="3561"/>
      <c r="S83" s="3562"/>
      <c r="T83" s="3563"/>
      <c r="U83" s="3561"/>
      <c r="V83" s="3562"/>
      <c r="W83" s="3563"/>
      <c r="X83" s="2200">
        <f t="shared" si="3"/>
        <v>0</v>
      </c>
      <c r="Y83" s="1652"/>
      <c r="Z83" s="4541"/>
      <c r="AA83" s="4541"/>
      <c r="AB83" s="13" t="s">
        <v>1317</v>
      </c>
      <c r="AC83" s="15" t="s">
        <v>1328</v>
      </c>
      <c r="AD83" s="1542"/>
      <c r="AE83" s="1542"/>
      <c r="AF83" s="1542"/>
      <c r="AG83" s="1542"/>
      <c r="AH83" s="1542"/>
    </row>
    <row r="84" spans="1:34" s="1544" customFormat="1" ht="20.25" customHeight="1">
      <c r="A84" s="5136"/>
      <c r="B84" s="5139"/>
      <c r="C84" s="1569" t="s">
        <v>142</v>
      </c>
      <c r="D84" s="1569"/>
      <c r="E84" s="4860"/>
      <c r="F84" s="1570"/>
      <c r="G84" s="1612">
        <f>AVERAGE(G20:G83)</f>
        <v>36.043759781671724</v>
      </c>
      <c r="H84" s="2520"/>
      <c r="I84" s="2520"/>
      <c r="J84" s="2520"/>
      <c r="K84" s="2520"/>
      <c r="L84" s="2523">
        <f t="shared" ref="L84:X84" si="4">SUM(L20:L83)</f>
        <v>1412725.5650528681</v>
      </c>
      <c r="M84" s="1536">
        <f t="shared" si="4"/>
        <v>1193993.1904386254</v>
      </c>
      <c r="N84" s="2522">
        <f t="shared" si="4"/>
        <v>1343140.402076981</v>
      </c>
      <c r="O84" s="3575">
        <f t="shared" si="4"/>
        <v>1236064.5005601945</v>
      </c>
      <c r="P84" s="1536">
        <f t="shared" si="4"/>
        <v>1236686.423949159</v>
      </c>
      <c r="Q84" s="3570">
        <f t="shared" si="4"/>
        <v>1229340.6590519778</v>
      </c>
      <c r="R84" s="2523">
        <f t="shared" si="4"/>
        <v>1215030.5132487945</v>
      </c>
      <c r="S84" s="1536">
        <f t="shared" si="4"/>
        <v>1213856.0497741315</v>
      </c>
      <c r="T84" s="2522">
        <f t="shared" si="4"/>
        <v>1210974.1270112842</v>
      </c>
      <c r="U84" s="3575">
        <f t="shared" si="4"/>
        <v>1177934.8889509235</v>
      </c>
      <c r="V84" s="1536">
        <f t="shared" si="4"/>
        <v>1143477.8287291725</v>
      </c>
      <c r="W84" s="3570">
        <f t="shared" si="4"/>
        <v>1151745.8227599598</v>
      </c>
      <c r="X84" s="2223">
        <f t="shared" si="4"/>
        <v>13578116.752445756</v>
      </c>
      <c r="Y84" s="1652"/>
      <c r="Z84" s="1843"/>
      <c r="AA84" s="1843"/>
      <c r="AB84" s="1569"/>
      <c r="AC84" s="1752"/>
      <c r="AD84" s="1650"/>
      <c r="AE84" s="1650"/>
      <c r="AF84" s="1650"/>
      <c r="AG84" s="1650"/>
      <c r="AH84" s="1650"/>
    </row>
    <row r="85" spans="1:34" ht="18.600000000000001" customHeight="1" thickBot="1">
      <c r="A85" s="65">
        <v>3</v>
      </c>
      <c r="B85" s="5174" t="s">
        <v>812</v>
      </c>
      <c r="C85" s="5175"/>
      <c r="D85" s="5175"/>
      <c r="E85" s="5175"/>
      <c r="F85" s="5176"/>
      <c r="G85" s="86">
        <v>20000</v>
      </c>
      <c r="H85" s="2954"/>
      <c r="I85" s="2954"/>
      <c r="J85" s="2954"/>
      <c r="K85" s="2954"/>
      <c r="L85" s="2257">
        <v>2.0449999999999999</v>
      </c>
      <c r="M85" s="2255">
        <v>0</v>
      </c>
      <c r="N85" s="2256">
        <v>1</v>
      </c>
      <c r="O85" s="1789">
        <v>2.2679999999999998</v>
      </c>
      <c r="P85" s="1657">
        <v>1.5</v>
      </c>
      <c r="Q85" s="1844">
        <v>2.25</v>
      </c>
      <c r="R85" s="1781">
        <v>2.5</v>
      </c>
      <c r="S85" s="1657">
        <v>2.25</v>
      </c>
      <c r="T85" s="1658">
        <v>0</v>
      </c>
      <c r="U85" s="1789">
        <v>2.5</v>
      </c>
      <c r="V85" s="1657">
        <v>6.14</v>
      </c>
      <c r="W85" s="1844">
        <v>4.78</v>
      </c>
      <c r="X85" s="2200">
        <f>SUM(L85:W85)</f>
        <v>27.233000000000001</v>
      </c>
      <c r="Y85" s="1652"/>
      <c r="Z85" s="1539"/>
      <c r="AA85" s="1539"/>
      <c r="AB85" s="9"/>
      <c r="AC85" s="9"/>
    </row>
    <row r="86" spans="1:34" ht="21" customHeight="1" thickBot="1">
      <c r="A86" s="5151" t="s">
        <v>88</v>
      </c>
      <c r="B86" s="5152"/>
      <c r="C86" s="5152"/>
      <c r="D86" s="5152"/>
      <c r="E86" s="5152"/>
      <c r="F86" s="5153"/>
      <c r="G86" s="1616"/>
      <c r="H86" s="3418"/>
      <c r="I86" s="3418"/>
      <c r="J86" s="3418"/>
      <c r="K86" s="3418"/>
      <c r="L86" s="1850">
        <f t="shared" ref="L86:X86" si="5">L19+L84+L85</f>
        <v>2502710.6100528678</v>
      </c>
      <c r="M86" s="1799">
        <f t="shared" si="5"/>
        <v>2374085.1904386254</v>
      </c>
      <c r="N86" s="1800">
        <f t="shared" si="5"/>
        <v>2871359.402076981</v>
      </c>
      <c r="O86" s="1850">
        <f t="shared" si="5"/>
        <v>3218480.7685601944</v>
      </c>
      <c r="P86" s="1799">
        <f t="shared" si="5"/>
        <v>3315351.9239491588</v>
      </c>
      <c r="Q86" s="1851">
        <f t="shared" si="5"/>
        <v>3065371.909051978</v>
      </c>
      <c r="R86" s="1850">
        <f t="shared" si="5"/>
        <v>3121370.0132487947</v>
      </c>
      <c r="S86" s="1799">
        <f t="shared" si="5"/>
        <v>3063916.2997741317</v>
      </c>
      <c r="T86" s="1800">
        <f t="shared" si="5"/>
        <v>3299946.1270112842</v>
      </c>
      <c r="U86" s="1801">
        <f t="shared" si="5"/>
        <v>3228627.3889509235</v>
      </c>
      <c r="V86" s="1799">
        <f t="shared" si="5"/>
        <v>2690120.9687291724</v>
      </c>
      <c r="W86" s="1851">
        <f t="shared" si="5"/>
        <v>2590033.6027599596</v>
      </c>
      <c r="X86" s="2259">
        <f t="shared" si="5"/>
        <v>37224340.282743059</v>
      </c>
      <c r="Y86" s="1652"/>
      <c r="Z86" s="1539"/>
      <c r="AA86" s="1539"/>
      <c r="AB86" s="9"/>
      <c r="AC86" s="9"/>
    </row>
    <row r="87" spans="1:34" s="1623" customFormat="1" ht="23.25" customHeight="1">
      <c r="B87" s="1624"/>
      <c r="E87" s="1624"/>
      <c r="G87" s="4932"/>
      <c r="H87" s="1624"/>
      <c r="I87" s="1624"/>
      <c r="J87" s="1624"/>
      <c r="K87" s="1624"/>
      <c r="L87" s="1542"/>
      <c r="M87" s="1542"/>
      <c r="N87" s="1542"/>
      <c r="O87" s="1542"/>
      <c r="P87" s="1542"/>
      <c r="Q87" s="1542"/>
      <c r="R87" s="1542"/>
      <c r="S87" s="1542"/>
      <c r="T87" s="1542"/>
      <c r="U87" s="1542"/>
      <c r="V87" s="1542"/>
      <c r="W87" s="1542"/>
      <c r="X87" s="1542"/>
      <c r="Y87" s="5"/>
      <c r="Z87" s="1577">
        <f>Z50+Z40</f>
        <v>0</v>
      </c>
      <c r="AA87" s="1577"/>
    </row>
    <row r="88" spans="1:34" s="1623" customFormat="1" ht="23.25" customHeight="1" thickBot="1">
      <c r="A88" s="1547" t="s">
        <v>35</v>
      </c>
      <c r="E88" s="1624"/>
      <c r="F88" s="1542"/>
      <c r="G88" s="1542"/>
      <c r="H88" s="1624"/>
      <c r="I88" s="1624"/>
      <c r="J88" s="1624"/>
      <c r="K88" s="1624"/>
      <c r="L88" s="1542"/>
      <c r="M88" s="1542"/>
      <c r="N88" s="1542"/>
      <c r="O88" s="1542"/>
      <c r="P88" s="1542"/>
      <c r="Q88" s="1542"/>
      <c r="R88" s="1542"/>
      <c r="S88" s="1542"/>
      <c r="T88" s="1542"/>
      <c r="U88" s="1542"/>
      <c r="V88" s="1542"/>
      <c r="W88" s="1542"/>
      <c r="X88" s="3041" t="s">
        <v>87</v>
      </c>
      <c r="Y88" s="4740"/>
      <c r="Z88" s="4542"/>
      <c r="AA88" s="4542"/>
    </row>
    <row r="89" spans="1:34" ht="28.5" customHeight="1" thickBot="1">
      <c r="A89" s="1548" t="s">
        <v>41</v>
      </c>
      <c r="B89" s="81" t="s">
        <v>107</v>
      </c>
      <c r="C89" s="81" t="s">
        <v>106</v>
      </c>
      <c r="D89" s="81" t="s">
        <v>1006</v>
      </c>
      <c r="E89" s="81" t="s">
        <v>1029</v>
      </c>
      <c r="F89" s="81" t="s">
        <v>108</v>
      </c>
      <c r="G89" s="1549" t="s">
        <v>29</v>
      </c>
      <c r="H89" s="3454" t="s">
        <v>1220</v>
      </c>
      <c r="I89" s="3454" t="s">
        <v>1221</v>
      </c>
      <c r="J89" s="3454" t="s">
        <v>1222</v>
      </c>
      <c r="K89" s="3454" t="s">
        <v>1223</v>
      </c>
      <c r="L89" s="1876" t="str">
        <f t="shared" ref="L89:X89" si="6">L4</f>
        <v>Jan.26</v>
      </c>
      <c r="M89" s="1877" t="str">
        <f t="shared" si="6"/>
        <v>Feb.26</v>
      </c>
      <c r="N89" s="1878" t="str">
        <f t="shared" si="6"/>
        <v>Mar.26</v>
      </c>
      <c r="O89" s="1876" t="str">
        <f t="shared" si="6"/>
        <v>Apr.26</v>
      </c>
      <c r="P89" s="1877" t="str">
        <f t="shared" si="6"/>
        <v>May.26</v>
      </c>
      <c r="Q89" s="1878" t="str">
        <f t="shared" si="6"/>
        <v>Jun.26</v>
      </c>
      <c r="R89" s="1876" t="str">
        <f t="shared" si="6"/>
        <v>Jul.26</v>
      </c>
      <c r="S89" s="1877" t="str">
        <f t="shared" si="6"/>
        <v>Aug.26</v>
      </c>
      <c r="T89" s="1878" t="str">
        <f t="shared" si="6"/>
        <v>Sep.26</v>
      </c>
      <c r="U89" s="1876" t="str">
        <f t="shared" si="6"/>
        <v>Oct.26</v>
      </c>
      <c r="V89" s="1877" t="str">
        <f t="shared" si="6"/>
        <v>Nov.26</v>
      </c>
      <c r="W89" s="1878" t="str">
        <f t="shared" si="6"/>
        <v>Dec.26</v>
      </c>
      <c r="X89" s="2598" t="str">
        <f t="shared" si="6"/>
        <v>2026
Total</v>
      </c>
      <c r="Y89" s="4739"/>
      <c r="AB89" s="81" t="s">
        <v>106</v>
      </c>
      <c r="AC89" s="81" t="s">
        <v>1006</v>
      </c>
    </row>
    <row r="90" spans="1:34" s="1544" customFormat="1" ht="16.5" customHeight="1">
      <c r="A90" s="5134">
        <v>1</v>
      </c>
      <c r="B90" s="5141" t="s">
        <v>16</v>
      </c>
      <c r="C90" s="5154" t="s">
        <v>19</v>
      </c>
      <c r="D90" s="5154" t="s">
        <v>861</v>
      </c>
      <c r="E90" s="4862"/>
      <c r="F90" s="16" t="str">
        <f t="shared" ref="F90:F98" si="7">F5</f>
        <v>A34</v>
      </c>
      <c r="G90" s="3527">
        <v>0.71069599999999999</v>
      </c>
      <c r="H90" s="3426">
        <v>0.86499678619795217</v>
      </c>
      <c r="I90" s="3446">
        <v>0.74</v>
      </c>
      <c r="J90" s="3428">
        <v>0.72519999999999996</v>
      </c>
      <c r="K90" s="3419">
        <v>0.71069599999999999</v>
      </c>
      <c r="L90" s="4381">
        <f t="shared" ref="L90:W90" si="8">L5*$G$90</f>
        <v>0</v>
      </c>
      <c r="M90" s="4382">
        <f t="shared" si="8"/>
        <v>0</v>
      </c>
      <c r="N90" s="4383">
        <f t="shared" si="8"/>
        <v>0</v>
      </c>
      <c r="O90" s="4381">
        <f t="shared" si="8"/>
        <v>0</v>
      </c>
      <c r="P90" s="4382">
        <f t="shared" si="8"/>
        <v>0</v>
      </c>
      <c r="Q90" s="4382">
        <f t="shared" si="8"/>
        <v>0</v>
      </c>
      <c r="R90" s="4381">
        <f t="shared" si="8"/>
        <v>0</v>
      </c>
      <c r="S90" s="4382">
        <f t="shared" si="8"/>
        <v>0</v>
      </c>
      <c r="T90" s="4383">
        <f t="shared" si="8"/>
        <v>0</v>
      </c>
      <c r="U90" s="4382">
        <f t="shared" si="8"/>
        <v>0</v>
      </c>
      <c r="V90" s="4382">
        <f t="shared" si="8"/>
        <v>0</v>
      </c>
      <c r="W90" s="4382">
        <f t="shared" si="8"/>
        <v>0</v>
      </c>
      <c r="X90" s="2606">
        <f t="shared" ref="X90:X103" si="9">SUM(L90:W90)</f>
        <v>0</v>
      </c>
      <c r="Y90" s="1652"/>
      <c r="AB90" s="16" t="s">
        <v>19</v>
      </c>
      <c r="AC90" s="1628" t="s">
        <v>861</v>
      </c>
    </row>
    <row r="91" spans="1:34" s="1544" customFormat="1" ht="16.5" customHeight="1">
      <c r="A91" s="5135"/>
      <c r="B91" s="5137"/>
      <c r="C91" s="5155"/>
      <c r="D91" s="5155"/>
      <c r="E91" s="4863">
        <v>1</v>
      </c>
      <c r="F91" s="15" t="str">
        <f t="shared" si="7"/>
        <v>A15/17</v>
      </c>
      <c r="G91" s="1561">
        <v>0.62819999999999998</v>
      </c>
      <c r="H91" s="3435">
        <v>0.68186718692421999</v>
      </c>
      <c r="I91" s="3450">
        <v>0.65952941176470592</v>
      </c>
      <c r="J91" s="3442">
        <v>0.67500000000000004</v>
      </c>
      <c r="K91" s="3411">
        <v>0.65475000000000005</v>
      </c>
      <c r="L91" s="4385">
        <f t="shared" ref="L91:W91" si="10">L6*$G$91</f>
        <v>433458</v>
      </c>
      <c r="M91" s="4384">
        <f t="shared" si="10"/>
        <v>345510</v>
      </c>
      <c r="N91" s="4386">
        <f t="shared" si="10"/>
        <v>469893.6</v>
      </c>
      <c r="O91" s="4385">
        <f t="shared" si="10"/>
        <v>463611.6</v>
      </c>
      <c r="P91" s="4384">
        <f t="shared" si="10"/>
        <v>463611.6</v>
      </c>
      <c r="Q91" s="4384">
        <f t="shared" si="10"/>
        <v>369381.6</v>
      </c>
      <c r="R91" s="4385">
        <f t="shared" si="10"/>
        <v>282690</v>
      </c>
      <c r="S91" s="4384">
        <f t="shared" si="10"/>
        <v>188460</v>
      </c>
      <c r="T91" s="4386">
        <f t="shared" si="10"/>
        <v>125640</v>
      </c>
      <c r="U91" s="4387">
        <f t="shared" si="10"/>
        <v>94230</v>
      </c>
      <c r="V91" s="4384">
        <f t="shared" si="10"/>
        <v>75384</v>
      </c>
      <c r="W91" s="4388">
        <f t="shared" si="10"/>
        <v>75384</v>
      </c>
      <c r="X91" s="2200">
        <f t="shared" si="9"/>
        <v>3387254.4000000004</v>
      </c>
      <c r="Y91" s="1652"/>
      <c r="AB91" s="15"/>
      <c r="AC91" s="84"/>
    </row>
    <row r="92" spans="1:34" s="1544" customFormat="1" ht="16.5" customHeight="1">
      <c r="A92" s="5135"/>
      <c r="B92" s="5137"/>
      <c r="C92" s="5155"/>
      <c r="D92" s="5155"/>
      <c r="E92" s="4863">
        <v>2</v>
      </c>
      <c r="F92" s="15" t="str">
        <f t="shared" si="7"/>
        <v>A36</v>
      </c>
      <c r="G92" s="1561">
        <v>0.70957692307692311</v>
      </c>
      <c r="H92" s="3427">
        <v>0.76</v>
      </c>
      <c r="I92" s="3431">
        <v>0.7344705882352941</v>
      </c>
      <c r="J92" s="3429">
        <v>0.71508399999999994</v>
      </c>
      <c r="K92" s="3412">
        <v>0.70078231999999996</v>
      </c>
      <c r="L92" s="4385">
        <f t="shared" ref="L92:W92" si="11">L7*$G$92</f>
        <v>70957.692307692312</v>
      </c>
      <c r="M92" s="4384">
        <f t="shared" si="11"/>
        <v>70957.692307692312</v>
      </c>
      <c r="N92" s="4386">
        <f t="shared" si="11"/>
        <v>70957.692307692312</v>
      </c>
      <c r="O92" s="4385">
        <f t="shared" si="11"/>
        <v>0</v>
      </c>
      <c r="P92" s="4384">
        <f t="shared" si="11"/>
        <v>0</v>
      </c>
      <c r="Q92" s="4384">
        <f t="shared" si="11"/>
        <v>0</v>
      </c>
      <c r="R92" s="4385">
        <f t="shared" si="11"/>
        <v>0</v>
      </c>
      <c r="S92" s="4384">
        <f t="shared" si="11"/>
        <v>0</v>
      </c>
      <c r="T92" s="4386">
        <f t="shared" si="11"/>
        <v>0</v>
      </c>
      <c r="U92" s="4387">
        <f t="shared" si="11"/>
        <v>0</v>
      </c>
      <c r="V92" s="4384">
        <f t="shared" si="11"/>
        <v>0</v>
      </c>
      <c r="W92" s="4388">
        <f t="shared" si="11"/>
        <v>0</v>
      </c>
      <c r="X92" s="2200">
        <f t="shared" si="9"/>
        <v>212873.07692307694</v>
      </c>
      <c r="Y92" s="1652"/>
      <c r="Z92" s="9"/>
      <c r="AA92" s="9"/>
      <c r="AB92" s="15"/>
      <c r="AC92" s="84"/>
    </row>
    <row r="93" spans="1:34" s="1544" customFormat="1" ht="16.5" customHeight="1">
      <c r="A93" s="5135"/>
      <c r="B93" s="5137"/>
      <c r="C93" s="5155"/>
      <c r="D93" s="5155"/>
      <c r="E93" s="4863">
        <v>3</v>
      </c>
      <c r="F93" s="15" t="str">
        <f t="shared" si="7"/>
        <v>A26</v>
      </c>
      <c r="G93" s="1561">
        <v>0.70808407175423072</v>
      </c>
      <c r="H93" s="3435">
        <v>0.80160892422989205</v>
      </c>
      <c r="I93" s="3450">
        <v>0.74415686274509807</v>
      </c>
      <c r="J93" s="3442">
        <v>0.72449299999999994</v>
      </c>
      <c r="K93" s="3411">
        <v>0.71000313999999998</v>
      </c>
      <c r="L93" s="4385">
        <f>L8*$G$93-5909</f>
        <v>171112.01793855769</v>
      </c>
      <c r="M93" s="4384">
        <f>M8*$G$93-2139</f>
        <v>82831.088610507679</v>
      </c>
      <c r="N93" s="4386">
        <f>N8*$G$93-2510</f>
        <v>103702.61076313461</v>
      </c>
      <c r="O93" s="4385">
        <f>O8*$G$93-399</f>
        <v>105813.61076313461</v>
      </c>
      <c r="P93" s="4384">
        <f>P8*$G$93+643</f>
        <v>71451.407175423068</v>
      </c>
      <c r="Q93" s="4384">
        <f>Q8*$G$93-1534</f>
        <v>69274.407175423068</v>
      </c>
      <c r="R93" s="4385">
        <f>R8*$G$93-145</f>
        <v>35259.203587711534</v>
      </c>
      <c r="S93" s="4384">
        <f t="shared" ref="S93:W93" si="12">S8*$G$93</f>
        <v>0</v>
      </c>
      <c r="T93" s="4386">
        <f t="shared" si="12"/>
        <v>0</v>
      </c>
      <c r="U93" s="4387">
        <f t="shared" si="12"/>
        <v>0</v>
      </c>
      <c r="V93" s="4384">
        <f t="shared" si="12"/>
        <v>0</v>
      </c>
      <c r="W93" s="4388">
        <f t="shared" si="12"/>
        <v>0</v>
      </c>
      <c r="X93" s="2200">
        <f t="shared" si="9"/>
        <v>639444.34601389233</v>
      </c>
      <c r="Y93" s="1652"/>
      <c r="Z93" s="9"/>
      <c r="AA93" s="9"/>
      <c r="AB93" s="15"/>
      <c r="AC93" s="84"/>
    </row>
    <row r="94" spans="1:34" s="1544" customFormat="1" ht="16.5" customHeight="1">
      <c r="A94" s="5135"/>
      <c r="B94" s="5137"/>
      <c r="C94" s="5155"/>
      <c r="D94" s="5155"/>
      <c r="E94" s="4863">
        <v>4</v>
      </c>
      <c r="F94" s="15" t="str">
        <f t="shared" si="7"/>
        <v>A27</v>
      </c>
      <c r="G94" s="1561">
        <v>0.75</v>
      </c>
      <c r="H94" s="3435"/>
      <c r="I94" s="3450"/>
      <c r="J94" s="3442"/>
      <c r="K94" s="3411"/>
      <c r="L94" s="4385">
        <f t="shared" ref="L94:R94" si="13">L9*$G$94</f>
        <v>0</v>
      </c>
      <c r="M94" s="4384">
        <f t="shared" si="13"/>
        <v>0</v>
      </c>
      <c r="N94" s="4386">
        <f t="shared" si="13"/>
        <v>37500</v>
      </c>
      <c r="O94" s="4385">
        <f t="shared" si="13"/>
        <v>150000</v>
      </c>
      <c r="P94" s="4384">
        <f t="shared" si="13"/>
        <v>225000</v>
      </c>
      <c r="Q94" s="4384">
        <f t="shared" si="13"/>
        <v>412500</v>
      </c>
      <c r="R94" s="4385">
        <f t="shared" si="13"/>
        <v>412500</v>
      </c>
      <c r="S94" s="4384">
        <f>S9*$G$94-388</f>
        <v>412112</v>
      </c>
      <c r="T94" s="4386">
        <f>T9*$G$94+466</f>
        <v>412966</v>
      </c>
      <c r="U94" s="4387">
        <f>U9*$G$94+32</f>
        <v>375032</v>
      </c>
      <c r="V94" s="4384">
        <f>V9*$G$94-227</f>
        <v>224773</v>
      </c>
      <c r="W94" s="4388">
        <f>W9*$G$94-216</f>
        <v>161034</v>
      </c>
      <c r="X94" s="2200">
        <f t="shared" si="9"/>
        <v>2823417</v>
      </c>
      <c r="Y94" s="1652"/>
      <c r="Z94" s="9"/>
      <c r="AA94" s="9"/>
      <c r="AB94" s="15"/>
      <c r="AC94" s="84"/>
    </row>
    <row r="95" spans="1:34" s="1544" customFormat="1" ht="16.5" customHeight="1">
      <c r="A95" s="5135"/>
      <c r="B95" s="5137"/>
      <c r="C95" s="5155"/>
      <c r="D95" s="5155"/>
      <c r="E95" s="4863">
        <v>5</v>
      </c>
      <c r="F95" s="15" t="str">
        <f t="shared" si="7"/>
        <v>A37</v>
      </c>
      <c r="G95" s="1561">
        <v>0.75</v>
      </c>
      <c r="H95" s="3435"/>
      <c r="I95" s="3450"/>
      <c r="J95" s="3442"/>
      <c r="K95" s="3411"/>
      <c r="L95" s="4385">
        <f t="shared" ref="L95:W95" si="14">L10*$G$95</f>
        <v>30000</v>
      </c>
      <c r="M95" s="4384">
        <f t="shared" si="14"/>
        <v>277500</v>
      </c>
      <c r="N95" s="4386">
        <f t="shared" si="14"/>
        <v>468000</v>
      </c>
      <c r="O95" s="4385">
        <f t="shared" si="14"/>
        <v>412500</v>
      </c>
      <c r="P95" s="4384">
        <f t="shared" si="14"/>
        <v>412500</v>
      </c>
      <c r="Q95" s="4384">
        <f t="shared" si="14"/>
        <v>412500</v>
      </c>
      <c r="R95" s="4385">
        <f t="shared" si="14"/>
        <v>412500</v>
      </c>
      <c r="S95" s="4384">
        <f t="shared" si="14"/>
        <v>412500</v>
      </c>
      <c r="T95" s="4386">
        <f t="shared" si="14"/>
        <v>412500</v>
      </c>
      <c r="U95" s="4387">
        <f t="shared" si="14"/>
        <v>375000</v>
      </c>
      <c r="V95" s="4384">
        <f t="shared" si="14"/>
        <v>225000</v>
      </c>
      <c r="W95" s="4388">
        <f t="shared" si="14"/>
        <v>167250</v>
      </c>
      <c r="X95" s="2200">
        <f t="shared" si="9"/>
        <v>4017750</v>
      </c>
      <c r="Y95" s="1652"/>
      <c r="Z95" s="9"/>
      <c r="AA95" s="9"/>
      <c r="AB95" s="15"/>
      <c r="AC95" s="84"/>
    </row>
    <row r="96" spans="1:34" s="1544" customFormat="1" ht="16.5" customHeight="1">
      <c r="A96" s="5135"/>
      <c r="B96" s="5137"/>
      <c r="C96" s="5155"/>
      <c r="D96" s="5155"/>
      <c r="E96" s="4863">
        <v>6</v>
      </c>
      <c r="F96" s="15" t="str">
        <f t="shared" si="7"/>
        <v>A18</v>
      </c>
      <c r="G96" s="1561">
        <v>0.67428900000000003</v>
      </c>
      <c r="H96" s="3435"/>
      <c r="I96" s="3450"/>
      <c r="J96" s="3442"/>
      <c r="K96" s="3411"/>
      <c r="L96" s="4385">
        <f t="shared" ref="L96:W96" si="15">L11*$G$96</f>
        <v>0</v>
      </c>
      <c r="M96" s="4384">
        <f t="shared" si="15"/>
        <v>0</v>
      </c>
      <c r="N96" s="4386">
        <f t="shared" si="15"/>
        <v>0</v>
      </c>
      <c r="O96" s="4385">
        <f t="shared" si="15"/>
        <v>0</v>
      </c>
      <c r="P96" s="4384">
        <f t="shared" si="15"/>
        <v>0</v>
      </c>
      <c r="Q96" s="4384">
        <f t="shared" si="15"/>
        <v>0</v>
      </c>
      <c r="R96" s="4385">
        <f t="shared" si="15"/>
        <v>0</v>
      </c>
      <c r="S96" s="4384">
        <f t="shared" si="15"/>
        <v>33714.450000000004</v>
      </c>
      <c r="T96" s="4386">
        <f t="shared" si="15"/>
        <v>168572.25</v>
      </c>
      <c r="U96" s="4387">
        <f t="shared" si="15"/>
        <v>236001.15000000002</v>
      </c>
      <c r="V96" s="4384">
        <f t="shared" si="15"/>
        <v>269715.60000000003</v>
      </c>
      <c r="W96" s="4388">
        <f t="shared" si="15"/>
        <v>269715.60000000003</v>
      </c>
      <c r="X96" s="2200">
        <f t="shared" si="9"/>
        <v>977719.05</v>
      </c>
      <c r="Y96" s="1652"/>
      <c r="Z96" s="1541"/>
      <c r="AA96" s="1541"/>
      <c r="AB96" s="15"/>
      <c r="AC96" s="84"/>
    </row>
    <row r="97" spans="1:30" s="1544" customFormat="1" ht="16.5" customHeight="1">
      <c r="A97" s="5135"/>
      <c r="B97" s="5137"/>
      <c r="C97" s="5156"/>
      <c r="D97" s="5156"/>
      <c r="E97" s="4865"/>
      <c r="F97" s="11" t="str">
        <f t="shared" si="7"/>
        <v>CNC</v>
      </c>
      <c r="G97" s="1556">
        <v>1.0263573011765337</v>
      </c>
      <c r="H97" s="3433">
        <v>1.0320278585543163</v>
      </c>
      <c r="I97" s="3448">
        <v>0.97279279853768374</v>
      </c>
      <c r="J97" s="3440">
        <v>1.0175405479452055</v>
      </c>
      <c r="K97" s="3410">
        <v>1.0094056210790465</v>
      </c>
      <c r="L97" s="4398">
        <v>498432.02797769901</v>
      </c>
      <c r="M97" s="4399">
        <v>503298.1998902199</v>
      </c>
      <c r="N97" s="4400">
        <v>500969.42545665283</v>
      </c>
      <c r="O97" s="4398">
        <v>536423.89831711538</v>
      </c>
      <c r="P97" s="4399">
        <v>489856.06900973147</v>
      </c>
      <c r="Q97" s="4399">
        <v>541299.5203214325</v>
      </c>
      <c r="R97" s="4398">
        <v>545230.57065639924</v>
      </c>
      <c r="S97" s="4399">
        <v>548824.64202411193</v>
      </c>
      <c r="T97" s="4400">
        <v>523784.17386586033</v>
      </c>
      <c r="U97" s="4398">
        <v>524677.34694626695</v>
      </c>
      <c r="V97" s="4399">
        <v>535161.40288798884</v>
      </c>
      <c r="W97" s="4400">
        <v>504138.45736300945</v>
      </c>
      <c r="X97" s="2214">
        <f t="shared" si="9"/>
        <v>6252095.734716488</v>
      </c>
      <c r="Y97" s="1652"/>
      <c r="Z97" s="1541"/>
      <c r="AA97" s="1541"/>
      <c r="AB97" s="15"/>
      <c r="AC97" s="84"/>
    </row>
    <row r="98" spans="1:30" s="1544" customFormat="1" ht="16.5" customHeight="1">
      <c r="A98" s="5135"/>
      <c r="B98" s="5138"/>
      <c r="C98" s="5157" t="s">
        <v>151</v>
      </c>
      <c r="D98" s="5183" t="s">
        <v>861</v>
      </c>
      <c r="E98" s="4863">
        <v>7</v>
      </c>
      <c r="F98" s="15" t="str">
        <f t="shared" si="7"/>
        <v>MTP+IDP+ADP</v>
      </c>
      <c r="G98" s="1561">
        <v>1.85</v>
      </c>
      <c r="H98" s="3427"/>
      <c r="I98" s="3431"/>
      <c r="J98" s="3429"/>
      <c r="K98" s="3412"/>
      <c r="L98" s="4385">
        <f t="shared" ref="L98:W98" si="16">L13*$G$98</f>
        <v>60371.428571428572</v>
      </c>
      <c r="M98" s="4384">
        <f t="shared" si="16"/>
        <v>59692.857142857145</v>
      </c>
      <c r="N98" s="4386">
        <f t="shared" si="16"/>
        <v>63392.857142857145</v>
      </c>
      <c r="O98" s="4385">
        <f t="shared" si="16"/>
        <v>98542.857142857145</v>
      </c>
      <c r="P98" s="4384">
        <f t="shared" si="16"/>
        <v>74492.857142857145</v>
      </c>
      <c r="Q98" s="4384">
        <f t="shared" si="16"/>
        <v>68572.857142857145</v>
      </c>
      <c r="R98" s="4385">
        <f t="shared" si="16"/>
        <v>68572.857142857145</v>
      </c>
      <c r="S98" s="4384">
        <f t="shared" si="16"/>
        <v>50072.857142857145</v>
      </c>
      <c r="T98" s="4386">
        <f t="shared" si="16"/>
        <v>50072.857142857145</v>
      </c>
      <c r="U98" s="4387">
        <f t="shared" si="16"/>
        <v>68572.857142857145</v>
      </c>
      <c r="V98" s="4384">
        <f t="shared" si="16"/>
        <v>41501.428571428572</v>
      </c>
      <c r="W98" s="4388">
        <f t="shared" si="16"/>
        <v>41501.428571428572</v>
      </c>
      <c r="X98" s="2200">
        <f t="shared" si="9"/>
        <v>745360</v>
      </c>
      <c r="Y98" s="3030" t="s">
        <v>311</v>
      </c>
      <c r="Z98" s="3952">
        <f>SUM(X98:X103)</f>
        <v>1187726</v>
      </c>
      <c r="AA98" s="4748">
        <v>0.2</v>
      </c>
      <c r="AB98" s="2198"/>
      <c r="AC98" s="4749"/>
    </row>
    <row r="99" spans="1:30" s="1544" customFormat="1" ht="16.5" customHeight="1">
      <c r="A99" s="5135"/>
      <c r="B99" s="5138"/>
      <c r="C99" s="5157"/>
      <c r="D99" s="5155"/>
      <c r="E99" s="4863">
        <v>8</v>
      </c>
      <c r="F99" s="15" t="s">
        <v>811</v>
      </c>
      <c r="G99" s="1561">
        <v>71.430000000000007</v>
      </c>
      <c r="H99" s="3427"/>
      <c r="I99" s="3431"/>
      <c r="J99" s="3429"/>
      <c r="K99" s="3412"/>
      <c r="L99" s="4385">
        <f t="shared" ref="L99:W99" si="17">L14*$G$99</f>
        <v>14286.000000000002</v>
      </c>
      <c r="M99" s="4384">
        <f t="shared" si="17"/>
        <v>14286.000000000002</v>
      </c>
      <c r="N99" s="4386">
        <f t="shared" si="17"/>
        <v>14286.000000000002</v>
      </c>
      <c r="O99" s="4385">
        <f t="shared" si="17"/>
        <v>14286.000000000002</v>
      </c>
      <c r="P99" s="4384">
        <f t="shared" si="17"/>
        <v>14286.000000000002</v>
      </c>
      <c r="Q99" s="4384">
        <f t="shared" si="17"/>
        <v>14286.000000000002</v>
      </c>
      <c r="R99" s="4385">
        <f t="shared" si="17"/>
        <v>17857.5</v>
      </c>
      <c r="S99" s="4384">
        <f t="shared" si="17"/>
        <v>17857.5</v>
      </c>
      <c r="T99" s="4386">
        <f t="shared" si="17"/>
        <v>17857.5</v>
      </c>
      <c r="U99" s="4387">
        <f t="shared" si="17"/>
        <v>17857.5</v>
      </c>
      <c r="V99" s="4384">
        <f t="shared" si="17"/>
        <v>17857.5</v>
      </c>
      <c r="W99" s="4388">
        <f t="shared" si="17"/>
        <v>17857.5</v>
      </c>
      <c r="X99" s="2200">
        <f t="shared" si="9"/>
        <v>192861</v>
      </c>
      <c r="Y99" s="3030" t="s">
        <v>297</v>
      </c>
      <c r="Z99" s="4745">
        <f>Z100*0.8</f>
        <v>4750904</v>
      </c>
      <c r="AA99" s="4748">
        <v>0.8</v>
      </c>
      <c r="AB99" s="2206"/>
      <c r="AC99" s="2206"/>
    </row>
    <row r="100" spans="1:30" s="1544" customFormat="1" ht="16.5" customHeight="1">
      <c r="A100" s="5135"/>
      <c r="B100" s="5138"/>
      <c r="C100" s="5157"/>
      <c r="D100" s="5155"/>
      <c r="E100" s="4863"/>
      <c r="F100" s="15" t="s">
        <v>1194</v>
      </c>
      <c r="G100" s="1561">
        <v>4.9000000000000004</v>
      </c>
      <c r="H100" s="3427"/>
      <c r="I100" s="3431"/>
      <c r="J100" s="3429"/>
      <c r="K100" s="3412"/>
      <c r="L100" s="4385">
        <f t="shared" ref="L100:W100" si="18">L15*$G$100</f>
        <v>0</v>
      </c>
      <c r="M100" s="4384">
        <f t="shared" si="18"/>
        <v>0</v>
      </c>
      <c r="N100" s="4386">
        <f t="shared" si="18"/>
        <v>0</v>
      </c>
      <c r="O100" s="4385">
        <f t="shared" si="18"/>
        <v>0</v>
      </c>
      <c r="P100" s="4384">
        <f t="shared" si="18"/>
        <v>0</v>
      </c>
      <c r="Q100" s="4384">
        <f t="shared" si="18"/>
        <v>0</v>
      </c>
      <c r="R100" s="4385">
        <f t="shared" si="18"/>
        <v>0</v>
      </c>
      <c r="S100" s="4384">
        <f t="shared" si="18"/>
        <v>0</v>
      </c>
      <c r="T100" s="4386">
        <f t="shared" si="18"/>
        <v>0</v>
      </c>
      <c r="U100" s="4387">
        <f t="shared" si="18"/>
        <v>0</v>
      </c>
      <c r="V100" s="4384">
        <f t="shared" si="18"/>
        <v>0</v>
      </c>
      <c r="W100" s="4388">
        <f t="shared" si="18"/>
        <v>0</v>
      </c>
      <c r="X100" s="2200">
        <f t="shared" si="9"/>
        <v>0</v>
      </c>
      <c r="Y100" s="3030" t="s">
        <v>15</v>
      </c>
      <c r="Z100" s="3952">
        <f>Z98/0.2</f>
        <v>5938630</v>
      </c>
      <c r="AA100" s="4748">
        <v>1</v>
      </c>
      <c r="AB100" s="2206"/>
      <c r="AC100" s="2206"/>
    </row>
    <row r="101" spans="1:30" s="1544" customFormat="1" ht="16.5" customHeight="1">
      <c r="A101" s="5135"/>
      <c r="B101" s="5138"/>
      <c r="C101" s="5157"/>
      <c r="D101" s="5155"/>
      <c r="E101" s="4863">
        <v>9</v>
      </c>
      <c r="F101" s="15" t="s">
        <v>1067</v>
      </c>
      <c r="G101" s="1561">
        <v>8.23</v>
      </c>
      <c r="H101" s="3427"/>
      <c r="I101" s="3431"/>
      <c r="J101" s="3429"/>
      <c r="K101" s="3412"/>
      <c r="L101" s="4385">
        <f t="shared" ref="L101:W101" si="19">L16*$G$101</f>
        <v>8230</v>
      </c>
      <c r="M101" s="4384">
        <f t="shared" si="19"/>
        <v>12345</v>
      </c>
      <c r="N101" s="4386">
        <f t="shared" si="19"/>
        <v>8230</v>
      </c>
      <c r="O101" s="4385">
        <f t="shared" si="19"/>
        <v>8230</v>
      </c>
      <c r="P101" s="4384">
        <f t="shared" si="19"/>
        <v>8230</v>
      </c>
      <c r="Q101" s="4384">
        <f t="shared" si="19"/>
        <v>8230</v>
      </c>
      <c r="R101" s="4385">
        <f t="shared" si="19"/>
        <v>8230</v>
      </c>
      <c r="S101" s="4384">
        <f t="shared" si="19"/>
        <v>8230</v>
      </c>
      <c r="T101" s="4386">
        <f t="shared" si="19"/>
        <v>8230</v>
      </c>
      <c r="U101" s="4387">
        <f t="shared" si="19"/>
        <v>8230</v>
      </c>
      <c r="V101" s="4384">
        <f t="shared" si="19"/>
        <v>8230</v>
      </c>
      <c r="W101" s="4388">
        <f t="shared" si="19"/>
        <v>8230</v>
      </c>
      <c r="X101" s="2200">
        <f t="shared" si="9"/>
        <v>102875</v>
      </c>
      <c r="Y101" s="1808" t="s">
        <v>1474</v>
      </c>
      <c r="Z101" s="4752">
        <v>237500</v>
      </c>
      <c r="AA101" s="4747"/>
      <c r="AB101" s="4750"/>
      <c r="AC101" s="4738"/>
    </row>
    <row r="102" spans="1:30" s="1544" customFormat="1" ht="16.5" customHeight="1">
      <c r="A102" s="5135"/>
      <c r="B102" s="5138"/>
      <c r="C102" s="5157"/>
      <c r="D102" s="5155"/>
      <c r="E102" s="4863">
        <v>10</v>
      </c>
      <c r="F102" s="15" t="s">
        <v>1068</v>
      </c>
      <c r="G102" s="1561">
        <v>8.23</v>
      </c>
      <c r="H102" s="3427"/>
      <c r="I102" s="3431"/>
      <c r="J102" s="3429"/>
      <c r="K102" s="3412"/>
      <c r="L102" s="4385">
        <f t="shared" ref="L102:W102" si="20">L17*$G$102</f>
        <v>4115</v>
      </c>
      <c r="M102" s="4384">
        <f t="shared" si="20"/>
        <v>0</v>
      </c>
      <c r="N102" s="4386">
        <f t="shared" si="20"/>
        <v>4115</v>
      </c>
      <c r="O102" s="4385">
        <f t="shared" si="20"/>
        <v>0</v>
      </c>
      <c r="P102" s="4384">
        <f t="shared" si="20"/>
        <v>4115</v>
      </c>
      <c r="Q102" s="4384">
        <f t="shared" si="20"/>
        <v>0</v>
      </c>
      <c r="R102" s="4385">
        <f t="shared" si="20"/>
        <v>4115</v>
      </c>
      <c r="S102" s="4384">
        <f t="shared" si="20"/>
        <v>0</v>
      </c>
      <c r="T102" s="4386">
        <f t="shared" si="20"/>
        <v>4115</v>
      </c>
      <c r="U102" s="4387">
        <f t="shared" si="20"/>
        <v>0</v>
      </c>
      <c r="V102" s="4384">
        <f t="shared" si="20"/>
        <v>4115</v>
      </c>
      <c r="W102" s="4388">
        <f t="shared" si="20"/>
        <v>0</v>
      </c>
      <c r="X102" s="2200">
        <f t="shared" si="9"/>
        <v>24690</v>
      </c>
      <c r="Y102" s="3030" t="s">
        <v>1473</v>
      </c>
      <c r="Z102" s="3952">
        <f>Z100+Z101</f>
        <v>6176130</v>
      </c>
      <c r="AA102" s="4746" t="s">
        <v>1470</v>
      </c>
      <c r="AB102" s="2206"/>
      <c r="AC102" s="2206"/>
    </row>
    <row r="103" spans="1:30" s="1544" customFormat="1" ht="16.5" customHeight="1">
      <c r="A103" s="5135"/>
      <c r="B103" s="5138"/>
      <c r="C103" s="5157"/>
      <c r="D103" s="5156"/>
      <c r="E103" s="4865"/>
      <c r="F103" s="15" t="str">
        <f>F18</f>
        <v>LDS Antenna</v>
      </c>
      <c r="G103" s="1561">
        <v>2.68</v>
      </c>
      <c r="H103" s="3427"/>
      <c r="I103" s="3431"/>
      <c r="J103" s="3429"/>
      <c r="K103" s="3412"/>
      <c r="L103" s="4385">
        <f t="shared" ref="L103:W103" si="21">L18*$G$103</f>
        <v>9380</v>
      </c>
      <c r="M103" s="4384">
        <f t="shared" si="21"/>
        <v>9380</v>
      </c>
      <c r="N103" s="4386">
        <f t="shared" si="21"/>
        <v>12060</v>
      </c>
      <c r="O103" s="4385">
        <f t="shared" si="21"/>
        <v>12060</v>
      </c>
      <c r="P103" s="4384">
        <f t="shared" si="21"/>
        <v>8040.0000000000009</v>
      </c>
      <c r="Q103" s="4384">
        <f t="shared" si="21"/>
        <v>8040.0000000000009</v>
      </c>
      <c r="R103" s="4385">
        <f t="shared" si="21"/>
        <v>6700</v>
      </c>
      <c r="S103" s="4384">
        <f t="shared" si="21"/>
        <v>6700</v>
      </c>
      <c r="T103" s="4386">
        <f t="shared" si="21"/>
        <v>6700</v>
      </c>
      <c r="U103" s="4387">
        <f t="shared" si="21"/>
        <v>16080.000000000002</v>
      </c>
      <c r="V103" s="4384">
        <f t="shared" si="21"/>
        <v>16080.000000000002</v>
      </c>
      <c r="W103" s="4388">
        <f t="shared" si="21"/>
        <v>10720</v>
      </c>
      <c r="X103" s="2200">
        <f t="shared" si="9"/>
        <v>121940</v>
      </c>
      <c r="Y103" s="1652"/>
      <c r="Z103" s="1541"/>
      <c r="AA103" s="1541"/>
      <c r="AB103" s="15"/>
      <c r="AC103" s="2954"/>
    </row>
    <row r="104" spans="1:30" s="1544" customFormat="1" ht="16.5" customHeight="1">
      <c r="A104" s="5136"/>
      <c r="B104" s="1568"/>
      <c r="C104" s="1569" t="s">
        <v>44</v>
      </c>
      <c r="D104" s="1569"/>
      <c r="E104" s="4860"/>
      <c r="F104" s="1570"/>
      <c r="G104" s="1571">
        <f>G19</f>
        <v>0</v>
      </c>
      <c r="H104" s="3434"/>
      <c r="I104" s="3449"/>
      <c r="J104" s="3441"/>
      <c r="K104" s="3413"/>
      <c r="L104" s="1829">
        <f t="shared" ref="L104:X104" si="22">SUM(L90:L103)</f>
        <v>1300342.1667953776</v>
      </c>
      <c r="M104" s="1753">
        <f t="shared" si="22"/>
        <v>1375800.8379512769</v>
      </c>
      <c r="N104" s="1754">
        <f t="shared" si="22"/>
        <v>1753107.1856703369</v>
      </c>
      <c r="O104" s="1829">
        <f t="shared" si="22"/>
        <v>1801467.966223107</v>
      </c>
      <c r="P104" s="1753">
        <f t="shared" si="22"/>
        <v>1771582.9333280118</v>
      </c>
      <c r="Q104" s="1754">
        <f t="shared" si="22"/>
        <v>1904084.3846397125</v>
      </c>
      <c r="R104" s="1829">
        <f t="shared" si="22"/>
        <v>1793655.1313869678</v>
      </c>
      <c r="S104" s="1753">
        <f t="shared" si="22"/>
        <v>1678471.4491669689</v>
      </c>
      <c r="T104" s="1754">
        <f t="shared" si="22"/>
        <v>1730437.7810087174</v>
      </c>
      <c r="U104" s="1829">
        <f t="shared" si="22"/>
        <v>1715680.8540891239</v>
      </c>
      <c r="V104" s="1753">
        <f t="shared" si="22"/>
        <v>1417817.9314594176</v>
      </c>
      <c r="W104" s="1754">
        <f t="shared" si="22"/>
        <v>1255830.9859344382</v>
      </c>
      <c r="X104" s="2223">
        <f t="shared" si="22"/>
        <v>19498279.607653461</v>
      </c>
      <c r="Y104" s="1652"/>
      <c r="Z104" s="9"/>
      <c r="AA104" s="9"/>
      <c r="AB104" s="4751"/>
      <c r="AC104" s="3883"/>
    </row>
    <row r="105" spans="1:30" s="1544" customFormat="1" ht="16.5" customHeight="1">
      <c r="A105" s="5135">
        <v>2</v>
      </c>
      <c r="B105" s="5138" t="s">
        <v>499</v>
      </c>
      <c r="C105" s="15" t="s">
        <v>20</v>
      </c>
      <c r="D105" s="1673" t="s">
        <v>865</v>
      </c>
      <c r="E105" s="4866">
        <v>11</v>
      </c>
      <c r="F105" s="1673" t="s">
        <v>866</v>
      </c>
      <c r="G105" s="2414">
        <v>2.2135427475450986</v>
      </c>
      <c r="H105" s="4571"/>
      <c r="I105" s="4572"/>
      <c r="J105" s="4573"/>
      <c r="K105" s="4574"/>
      <c r="L105" s="4500">
        <f t="shared" ref="L105:W105" si="23">L20*$G$105</f>
        <v>84215.513927957349</v>
      </c>
      <c r="M105" s="4498">
        <f t="shared" si="23"/>
        <v>59460.475712826199</v>
      </c>
      <c r="N105" s="4499">
        <f t="shared" si="23"/>
        <v>103576.31253201983</v>
      </c>
      <c r="O105" s="4494">
        <f t="shared" si="23"/>
        <v>66599.995198058008</v>
      </c>
      <c r="P105" s="4495">
        <f t="shared" si="23"/>
        <v>0</v>
      </c>
      <c r="Q105" s="4499">
        <f t="shared" si="23"/>
        <v>0</v>
      </c>
      <c r="R105" s="4500">
        <f t="shared" si="23"/>
        <v>0</v>
      </c>
      <c r="S105" s="4498">
        <f t="shared" si="23"/>
        <v>0</v>
      </c>
      <c r="T105" s="4499">
        <f t="shared" si="23"/>
        <v>0</v>
      </c>
      <c r="U105" s="4500">
        <f t="shared" si="23"/>
        <v>0</v>
      </c>
      <c r="V105" s="4498">
        <f t="shared" si="23"/>
        <v>0</v>
      </c>
      <c r="W105" s="4575">
        <f t="shared" si="23"/>
        <v>0</v>
      </c>
      <c r="X105" s="1566">
        <f t="shared" ref="X105:X161" si="24">SUM(L105:W105)</f>
        <v>313852.2973708614</v>
      </c>
      <c r="Y105" s="1555"/>
      <c r="Z105" s="9"/>
      <c r="AA105" s="9"/>
      <c r="AB105" s="15"/>
      <c r="AC105" s="15"/>
    </row>
    <row r="106" spans="1:30" s="1544" customFormat="1" ht="16.5" customHeight="1">
      <c r="A106" s="5135"/>
      <c r="B106" s="5138"/>
      <c r="C106" s="15"/>
      <c r="D106" s="1673"/>
      <c r="E106" s="4866">
        <v>12</v>
      </c>
      <c r="F106" s="1673" t="s">
        <v>867</v>
      </c>
      <c r="G106" s="2414">
        <v>2.2725264389102779</v>
      </c>
      <c r="H106" s="4571"/>
      <c r="I106" s="4572"/>
      <c r="J106" s="4573"/>
      <c r="K106" s="4574"/>
      <c r="L106" s="4500">
        <f t="shared" ref="L106:W106" si="25">L21*$G$106</f>
        <v>0</v>
      </c>
      <c r="M106" s="4498">
        <f t="shared" si="25"/>
        <v>0</v>
      </c>
      <c r="N106" s="4499">
        <f t="shared" si="25"/>
        <v>0</v>
      </c>
      <c r="O106" s="4494">
        <f t="shared" si="25"/>
        <v>0</v>
      </c>
      <c r="P106" s="4495">
        <f t="shared" si="25"/>
        <v>0</v>
      </c>
      <c r="Q106" s="4499">
        <f t="shared" si="25"/>
        <v>0</v>
      </c>
      <c r="R106" s="4500">
        <f t="shared" si="25"/>
        <v>0</v>
      </c>
      <c r="S106" s="4498">
        <f t="shared" si="25"/>
        <v>0</v>
      </c>
      <c r="T106" s="4499">
        <f t="shared" si="25"/>
        <v>0</v>
      </c>
      <c r="U106" s="4500">
        <f t="shared" si="25"/>
        <v>0</v>
      </c>
      <c r="V106" s="4498">
        <f t="shared" si="25"/>
        <v>0</v>
      </c>
      <c r="W106" s="4575">
        <f t="shared" si="25"/>
        <v>0</v>
      </c>
      <c r="X106" s="1566">
        <f t="shared" si="24"/>
        <v>0</v>
      </c>
      <c r="Y106" s="1555"/>
      <c r="Z106" s="9"/>
      <c r="AA106" s="9"/>
      <c r="AB106" s="15"/>
      <c r="AC106" s="15"/>
    </row>
    <row r="107" spans="1:30" s="1544" customFormat="1" ht="16.5" customHeight="1">
      <c r="A107" s="5135"/>
      <c r="B107" s="5138"/>
      <c r="C107" s="15"/>
      <c r="D107" s="1673"/>
      <c r="E107" s="4866"/>
      <c r="F107" s="1673" t="s">
        <v>1209</v>
      </c>
      <c r="G107" s="2414">
        <v>2.0915655894938765</v>
      </c>
      <c r="H107" s="4571"/>
      <c r="I107" s="4572"/>
      <c r="J107" s="4573"/>
      <c r="K107" s="4574"/>
      <c r="L107" s="4500">
        <f t="shared" ref="L107:W107" si="26">L22*$G$107</f>
        <v>0</v>
      </c>
      <c r="M107" s="4498">
        <f t="shared" si="26"/>
        <v>0</v>
      </c>
      <c r="N107" s="4499">
        <f t="shared" si="26"/>
        <v>0</v>
      </c>
      <c r="O107" s="4494">
        <f t="shared" si="26"/>
        <v>0</v>
      </c>
      <c r="P107" s="4495">
        <f t="shared" si="26"/>
        <v>0</v>
      </c>
      <c r="Q107" s="4499">
        <f t="shared" si="26"/>
        <v>0</v>
      </c>
      <c r="R107" s="4500">
        <f t="shared" si="26"/>
        <v>0</v>
      </c>
      <c r="S107" s="4498">
        <f t="shared" si="26"/>
        <v>0</v>
      </c>
      <c r="T107" s="4498">
        <f t="shared" si="26"/>
        <v>0</v>
      </c>
      <c r="U107" s="4500">
        <f t="shared" si="26"/>
        <v>0</v>
      </c>
      <c r="V107" s="4498">
        <f t="shared" si="26"/>
        <v>0</v>
      </c>
      <c r="W107" s="4575">
        <f t="shared" si="26"/>
        <v>0</v>
      </c>
      <c r="X107" s="1566">
        <f t="shared" si="24"/>
        <v>0</v>
      </c>
      <c r="Y107" s="1555"/>
      <c r="Z107" s="9"/>
      <c r="AA107" s="9"/>
      <c r="AB107" s="15"/>
      <c r="AC107" s="15"/>
    </row>
    <row r="108" spans="1:30" s="1544" customFormat="1" ht="16.5" customHeight="1">
      <c r="A108" s="5135"/>
      <c r="B108" s="5138"/>
      <c r="C108" s="15"/>
      <c r="D108" s="1673"/>
      <c r="E108" s="4866"/>
      <c r="F108" s="1673" t="s">
        <v>1195</v>
      </c>
      <c r="G108" s="2414">
        <v>2.2086071428571432</v>
      </c>
      <c r="H108" s="4571"/>
      <c r="I108" s="4572"/>
      <c r="J108" s="4573"/>
      <c r="K108" s="4574"/>
      <c r="L108" s="4500">
        <f t="shared" ref="L108:W108" si="27">L23*$G$108</f>
        <v>0</v>
      </c>
      <c r="M108" s="4498">
        <f t="shared" si="27"/>
        <v>0</v>
      </c>
      <c r="N108" s="4499">
        <f t="shared" si="27"/>
        <v>0</v>
      </c>
      <c r="O108" s="4494">
        <f t="shared" si="27"/>
        <v>0</v>
      </c>
      <c r="P108" s="4495">
        <f t="shared" si="27"/>
        <v>0</v>
      </c>
      <c r="Q108" s="4499">
        <f t="shared" si="27"/>
        <v>0</v>
      </c>
      <c r="R108" s="4500">
        <f t="shared" si="27"/>
        <v>0</v>
      </c>
      <c r="S108" s="4498">
        <f t="shared" si="27"/>
        <v>0</v>
      </c>
      <c r="T108" s="4498">
        <f t="shared" si="27"/>
        <v>0</v>
      </c>
      <c r="U108" s="4500">
        <f t="shared" si="27"/>
        <v>0</v>
      </c>
      <c r="V108" s="4498">
        <f t="shared" si="27"/>
        <v>0</v>
      </c>
      <c r="W108" s="4575">
        <f t="shared" si="27"/>
        <v>0</v>
      </c>
      <c r="X108" s="1566">
        <f t="shared" si="24"/>
        <v>0</v>
      </c>
      <c r="Y108" s="1555"/>
      <c r="Z108" s="9"/>
      <c r="AA108" s="9"/>
      <c r="AB108" s="15"/>
      <c r="AC108" s="15"/>
    </row>
    <row r="109" spans="1:30" s="1579" customFormat="1" ht="16.5" customHeight="1">
      <c r="A109" s="5135"/>
      <c r="B109" s="5138"/>
      <c r="C109" s="15"/>
      <c r="D109" s="1673"/>
      <c r="E109" s="4866"/>
      <c r="F109" s="1673" t="s">
        <v>870</v>
      </c>
      <c r="G109" s="2414">
        <v>4.2268960357982266</v>
      </c>
      <c r="H109" s="4571"/>
      <c r="I109" s="4572"/>
      <c r="J109" s="4573"/>
      <c r="K109" s="4574"/>
      <c r="L109" s="4500">
        <f t="shared" ref="L109:W109" si="28">L24*$G$109</f>
        <v>0</v>
      </c>
      <c r="M109" s="4498">
        <f t="shared" si="28"/>
        <v>0</v>
      </c>
      <c r="N109" s="4499">
        <f t="shared" si="28"/>
        <v>0</v>
      </c>
      <c r="O109" s="4500">
        <f t="shared" si="28"/>
        <v>0</v>
      </c>
      <c r="P109" s="4498">
        <f t="shared" si="28"/>
        <v>0</v>
      </c>
      <c r="Q109" s="4499">
        <f t="shared" si="28"/>
        <v>0</v>
      </c>
      <c r="R109" s="4500">
        <f t="shared" si="28"/>
        <v>0</v>
      </c>
      <c r="S109" s="4498">
        <f t="shared" si="28"/>
        <v>0</v>
      </c>
      <c r="T109" s="4499">
        <f t="shared" si="28"/>
        <v>0</v>
      </c>
      <c r="U109" s="4500">
        <f t="shared" si="28"/>
        <v>0</v>
      </c>
      <c r="V109" s="4498">
        <f t="shared" si="28"/>
        <v>0</v>
      </c>
      <c r="W109" s="4575">
        <f t="shared" si="28"/>
        <v>0</v>
      </c>
      <c r="X109" s="1566">
        <f t="shared" si="24"/>
        <v>0</v>
      </c>
      <c r="Y109" s="1555"/>
      <c r="Z109" s="9"/>
      <c r="AA109" s="9"/>
      <c r="AB109" s="15"/>
      <c r="AC109" s="15"/>
    </row>
    <row r="110" spans="1:30" s="1544" customFormat="1" ht="16.5" customHeight="1">
      <c r="A110" s="5135"/>
      <c r="B110" s="5138"/>
      <c r="C110" s="15"/>
      <c r="D110" s="1673"/>
      <c r="E110" s="4866">
        <v>13</v>
      </c>
      <c r="F110" s="1673" t="s">
        <v>871</v>
      </c>
      <c r="G110" s="2414">
        <v>3.338415894341884</v>
      </c>
      <c r="H110" s="4568"/>
      <c r="I110" s="4569"/>
      <c r="J110" s="4570"/>
      <c r="K110" s="2524"/>
      <c r="L110" s="4500">
        <f t="shared" ref="L110:W110" si="29">L25*$G$110</f>
        <v>61186.661290334487</v>
      </c>
      <c r="M110" s="4498">
        <f t="shared" si="29"/>
        <v>107076.65725808537</v>
      </c>
      <c r="N110" s="4499">
        <f t="shared" si="29"/>
        <v>67985.179211482769</v>
      </c>
      <c r="O110" s="4494">
        <f t="shared" si="29"/>
        <v>107076.65725808537</v>
      </c>
      <c r="P110" s="4495">
        <f t="shared" si="29"/>
        <v>107076.65725808537</v>
      </c>
      <c r="Q110" s="4499">
        <f t="shared" si="29"/>
        <v>84981.474014353473</v>
      </c>
      <c r="R110" s="4500">
        <f t="shared" si="29"/>
        <v>84981.474014353473</v>
      </c>
      <c r="S110" s="4498">
        <f t="shared" si="29"/>
        <v>84981.474014353473</v>
      </c>
      <c r="T110" s="4499">
        <f t="shared" si="29"/>
        <v>84981.474014353473</v>
      </c>
      <c r="U110" s="4500">
        <f t="shared" si="29"/>
        <v>84981.474014353473</v>
      </c>
      <c r="V110" s="4498">
        <f t="shared" si="29"/>
        <v>84981.474014353473</v>
      </c>
      <c r="W110" s="4575">
        <f t="shared" si="29"/>
        <v>84981.474014353473</v>
      </c>
      <c r="X110" s="1566">
        <f t="shared" si="24"/>
        <v>1045272.1303765477</v>
      </c>
      <c r="Y110" s="1555"/>
      <c r="Z110" s="9"/>
      <c r="AA110" s="9"/>
      <c r="AB110" s="15"/>
      <c r="AC110" s="15"/>
      <c r="AD110" s="1542"/>
    </row>
    <row r="111" spans="1:30" s="1544" customFormat="1" ht="16.5" customHeight="1">
      <c r="A111" s="5135"/>
      <c r="B111" s="5138"/>
      <c r="C111" s="15"/>
      <c r="D111" s="1673"/>
      <c r="E111" s="4866"/>
      <c r="F111" s="1673"/>
      <c r="G111" s="2414">
        <v>3.32</v>
      </c>
      <c r="H111" s="4568"/>
      <c r="I111" s="4569"/>
      <c r="J111" s="4570"/>
      <c r="K111" s="2524"/>
      <c r="L111" s="4500">
        <f t="shared" ref="L111:W111" si="30">L26*$G$111</f>
        <v>156816</v>
      </c>
      <c r="M111" s="4498">
        <f t="shared" si="30"/>
        <v>78408</v>
      </c>
      <c r="N111" s="4499">
        <f t="shared" si="30"/>
        <v>78408</v>
      </c>
      <c r="O111" s="4494">
        <f t="shared" si="30"/>
        <v>78408</v>
      </c>
      <c r="P111" s="4495">
        <f t="shared" si="30"/>
        <v>78408</v>
      </c>
      <c r="Q111" s="4575">
        <f t="shared" si="30"/>
        <v>78408</v>
      </c>
      <c r="R111" s="4500">
        <f t="shared" si="30"/>
        <v>78408</v>
      </c>
      <c r="S111" s="4498">
        <f t="shared" si="30"/>
        <v>78408</v>
      </c>
      <c r="T111" s="4499">
        <f t="shared" si="30"/>
        <v>78408</v>
      </c>
      <c r="U111" s="4500">
        <f t="shared" si="30"/>
        <v>78408</v>
      </c>
      <c r="V111" s="4498">
        <f t="shared" si="30"/>
        <v>78408</v>
      </c>
      <c r="W111" s="4575">
        <f t="shared" si="30"/>
        <v>78408</v>
      </c>
      <c r="X111" s="1566">
        <f t="shared" si="24"/>
        <v>1019304</v>
      </c>
      <c r="Y111" s="1555"/>
      <c r="Z111" s="9"/>
      <c r="AA111" s="9"/>
      <c r="AB111" s="15"/>
      <c r="AC111" s="15"/>
      <c r="AD111" s="1542"/>
    </row>
    <row r="112" spans="1:30" s="1544" customFormat="1" ht="16.5" customHeight="1">
      <c r="A112" s="5135"/>
      <c r="B112" s="5138"/>
      <c r="C112" s="15"/>
      <c r="D112" s="1673"/>
      <c r="E112" s="4866">
        <v>14</v>
      </c>
      <c r="F112" s="1673" t="s">
        <v>872</v>
      </c>
      <c r="G112" s="2414">
        <v>3.3730168503980447</v>
      </c>
      <c r="H112" s="4568"/>
      <c r="I112" s="4569"/>
      <c r="J112" s="4570"/>
      <c r="K112" s="2524"/>
      <c r="L112" s="4500">
        <f t="shared" ref="L112:W112" si="31">L27*$G$112</f>
        <v>68467.502184319892</v>
      </c>
      <c r="M112" s="4498">
        <f t="shared" si="31"/>
        <v>56109.953009588979</v>
      </c>
      <c r="N112" s="4499">
        <f t="shared" si="31"/>
        <v>48428.233252323829</v>
      </c>
      <c r="O112" s="4494">
        <f t="shared" si="31"/>
        <v>50098.172329990164</v>
      </c>
      <c r="P112" s="4495">
        <f t="shared" si="31"/>
        <v>56109.953009588979</v>
      </c>
      <c r="Q112" s="4575">
        <f t="shared" si="31"/>
        <v>51400.724810569904</v>
      </c>
      <c r="R112" s="4500">
        <f t="shared" si="31"/>
        <v>51400.724810569904</v>
      </c>
      <c r="S112" s="4498">
        <f t="shared" si="31"/>
        <v>51400.724810569904</v>
      </c>
      <c r="T112" s="4499">
        <f t="shared" si="31"/>
        <v>51400.724810569904</v>
      </c>
      <c r="U112" s="4500">
        <f t="shared" si="31"/>
        <v>51400.724810569904</v>
      </c>
      <c r="V112" s="4498">
        <f t="shared" si="31"/>
        <v>51400.724810569904</v>
      </c>
      <c r="W112" s="4575">
        <f t="shared" si="31"/>
        <v>51400.724810569904</v>
      </c>
      <c r="X112" s="1566">
        <f t="shared" si="24"/>
        <v>639018.88745980116</v>
      </c>
      <c r="Y112" s="1555"/>
      <c r="Z112" s="9"/>
      <c r="AA112" s="9"/>
      <c r="AB112" s="15"/>
      <c r="AC112" s="15"/>
    </row>
    <row r="113" spans="1:29" s="1544" customFormat="1" ht="16.5" customHeight="1">
      <c r="A113" s="5135"/>
      <c r="B113" s="5138"/>
      <c r="C113" s="15"/>
      <c r="D113" s="1673"/>
      <c r="E113" s="4866"/>
      <c r="F113" s="1673"/>
      <c r="G113" s="2414">
        <v>3.26</v>
      </c>
      <c r="H113" s="4568"/>
      <c r="I113" s="4569"/>
      <c r="J113" s="4570"/>
      <c r="K113" s="2524"/>
      <c r="L113" s="4500">
        <f t="shared" ref="L113:W113" si="32">L28*$G$113</f>
        <v>153964.80000000002</v>
      </c>
      <c r="M113" s="4498">
        <f t="shared" si="32"/>
        <v>76982.400000000009</v>
      </c>
      <c r="N113" s="4499">
        <f t="shared" si="32"/>
        <v>76982.400000000009</v>
      </c>
      <c r="O113" s="4494">
        <f t="shared" si="32"/>
        <v>76982.400000000009</v>
      </c>
      <c r="P113" s="4495">
        <f t="shared" si="32"/>
        <v>71280</v>
      </c>
      <c r="Q113" s="4575">
        <f t="shared" si="32"/>
        <v>71280</v>
      </c>
      <c r="R113" s="4500">
        <f t="shared" si="32"/>
        <v>71280</v>
      </c>
      <c r="S113" s="4498">
        <f t="shared" si="32"/>
        <v>71280</v>
      </c>
      <c r="T113" s="4499">
        <f t="shared" si="32"/>
        <v>71280</v>
      </c>
      <c r="U113" s="4500">
        <f t="shared" si="32"/>
        <v>71280</v>
      </c>
      <c r="V113" s="4498">
        <f t="shared" si="32"/>
        <v>71280</v>
      </c>
      <c r="W113" s="4575">
        <f t="shared" si="32"/>
        <v>71280</v>
      </c>
      <c r="X113" s="1566">
        <f t="shared" si="24"/>
        <v>955152</v>
      </c>
      <c r="Y113" s="1555"/>
      <c r="Z113" s="9"/>
      <c r="AA113" s="9"/>
      <c r="AB113" s="15"/>
      <c r="AC113" s="15"/>
    </row>
    <row r="114" spans="1:29" s="1544" customFormat="1" ht="16.5" customHeight="1">
      <c r="A114" s="5135"/>
      <c r="B114" s="5138"/>
      <c r="C114" s="15"/>
      <c r="D114" s="1673"/>
      <c r="E114" s="4866"/>
      <c r="F114" s="1673" t="s">
        <v>692</v>
      </c>
      <c r="G114" s="2414">
        <v>2.2553821243523315</v>
      </c>
      <c r="H114" s="4568"/>
      <c r="I114" s="4569"/>
      <c r="J114" s="4570"/>
      <c r="K114" s="2524"/>
      <c r="L114" s="4500">
        <f t="shared" ref="L114:W114" si="33">L29*$G$114</f>
        <v>0</v>
      </c>
      <c r="M114" s="4498">
        <f t="shared" si="33"/>
        <v>0</v>
      </c>
      <c r="N114" s="4499">
        <f t="shared" si="33"/>
        <v>0</v>
      </c>
      <c r="O114" s="4494">
        <f t="shared" si="33"/>
        <v>0</v>
      </c>
      <c r="P114" s="4495">
        <f t="shared" si="33"/>
        <v>0</v>
      </c>
      <c r="Q114" s="4575">
        <f t="shared" si="33"/>
        <v>0</v>
      </c>
      <c r="R114" s="4500">
        <f t="shared" si="33"/>
        <v>0</v>
      </c>
      <c r="S114" s="4498">
        <f t="shared" si="33"/>
        <v>0</v>
      </c>
      <c r="T114" s="4499">
        <f t="shared" si="33"/>
        <v>0</v>
      </c>
      <c r="U114" s="4500">
        <f t="shared" si="33"/>
        <v>0</v>
      </c>
      <c r="V114" s="4498">
        <f t="shared" si="33"/>
        <v>0</v>
      </c>
      <c r="W114" s="4575">
        <f t="shared" si="33"/>
        <v>0</v>
      </c>
      <c r="X114" s="1566">
        <f t="shared" si="24"/>
        <v>0</v>
      </c>
      <c r="Y114" s="1555"/>
      <c r="Z114" s="9"/>
      <c r="AA114" s="9"/>
      <c r="AB114" s="15"/>
      <c r="AC114" s="15"/>
    </row>
    <row r="115" spans="1:29" s="1544" customFormat="1" ht="16.5" customHeight="1">
      <c r="A115" s="5135"/>
      <c r="B115" s="5138"/>
      <c r="C115" s="15"/>
      <c r="D115" s="1673"/>
      <c r="E115" s="4866">
        <v>15</v>
      </c>
      <c r="F115" s="1673" t="s">
        <v>1333</v>
      </c>
      <c r="G115" s="2414">
        <v>4.59</v>
      </c>
      <c r="H115" s="4568"/>
      <c r="I115" s="4569"/>
      <c r="J115" s="4570"/>
      <c r="K115" s="2524"/>
      <c r="L115" s="4500">
        <f t="shared" ref="L115:W115" si="34">L30*$G$115</f>
        <v>0</v>
      </c>
      <c r="M115" s="4498">
        <f t="shared" si="34"/>
        <v>0</v>
      </c>
      <c r="N115" s="4499">
        <f t="shared" si="34"/>
        <v>0</v>
      </c>
      <c r="O115" s="4494">
        <f t="shared" si="34"/>
        <v>0</v>
      </c>
      <c r="P115" s="4495">
        <f t="shared" si="34"/>
        <v>0</v>
      </c>
      <c r="Q115" s="4575">
        <f t="shared" si="34"/>
        <v>0</v>
      </c>
      <c r="R115" s="4500">
        <f t="shared" si="34"/>
        <v>0</v>
      </c>
      <c r="S115" s="4498">
        <f t="shared" si="34"/>
        <v>0</v>
      </c>
      <c r="T115" s="4499">
        <f t="shared" si="34"/>
        <v>0</v>
      </c>
      <c r="U115" s="4500">
        <f t="shared" si="34"/>
        <v>0</v>
      </c>
      <c r="V115" s="4498">
        <f t="shared" si="34"/>
        <v>0</v>
      </c>
      <c r="W115" s="4575">
        <f t="shared" si="34"/>
        <v>0</v>
      </c>
      <c r="X115" s="1566">
        <f t="shared" si="24"/>
        <v>0</v>
      </c>
      <c r="Y115" s="1555"/>
      <c r="Z115" s="9"/>
      <c r="AA115" s="9"/>
      <c r="AB115" s="15"/>
      <c r="AC115" s="15"/>
    </row>
    <row r="116" spans="1:29" s="1544" customFormat="1" ht="16.5" customHeight="1">
      <c r="A116" s="5135"/>
      <c r="B116" s="5138"/>
      <c r="C116" s="15"/>
      <c r="D116" s="1767" t="s">
        <v>874</v>
      </c>
      <c r="E116" s="4867"/>
      <c r="F116" s="1767" t="s">
        <v>875</v>
      </c>
      <c r="G116" s="4551">
        <v>2.1305740748584583</v>
      </c>
      <c r="H116" s="4576"/>
      <c r="I116" s="4577"/>
      <c r="J116" s="4578"/>
      <c r="K116" s="4579"/>
      <c r="L116" s="4580">
        <f t="shared" ref="L116:W116" si="35">L31*$G$116</f>
        <v>8560</v>
      </c>
      <c r="M116" s="4581">
        <f t="shared" si="35"/>
        <v>10785.6</v>
      </c>
      <c r="N116" s="4582">
        <f t="shared" si="35"/>
        <v>10700.000000000002</v>
      </c>
      <c r="O116" s="4580">
        <f t="shared" si="35"/>
        <v>0</v>
      </c>
      <c r="P116" s="4583">
        <f t="shared" si="35"/>
        <v>0</v>
      </c>
      <c r="Q116" s="4584">
        <f t="shared" si="35"/>
        <v>0</v>
      </c>
      <c r="R116" s="4580">
        <f t="shared" si="35"/>
        <v>0</v>
      </c>
      <c r="S116" s="4581">
        <f t="shared" si="35"/>
        <v>0</v>
      </c>
      <c r="T116" s="4582">
        <f t="shared" si="35"/>
        <v>0</v>
      </c>
      <c r="U116" s="4580">
        <f t="shared" si="35"/>
        <v>0</v>
      </c>
      <c r="V116" s="4581">
        <f t="shared" si="35"/>
        <v>0</v>
      </c>
      <c r="W116" s="4584">
        <f t="shared" si="35"/>
        <v>0</v>
      </c>
      <c r="X116" s="1585">
        <f t="shared" si="24"/>
        <v>30045.599999999999</v>
      </c>
      <c r="Y116" s="1555"/>
      <c r="Z116" s="9"/>
      <c r="AA116" s="9"/>
      <c r="AB116" s="15"/>
      <c r="AC116" s="12"/>
    </row>
    <row r="117" spans="1:29" s="1544" customFormat="1" ht="16.5" customHeight="1">
      <c r="A117" s="5135"/>
      <c r="B117" s="5138"/>
      <c r="C117" s="15"/>
      <c r="D117" s="1673"/>
      <c r="E117" s="4866"/>
      <c r="F117" s="1673" t="s">
        <v>876</v>
      </c>
      <c r="G117" s="2414">
        <v>1.218932326772715</v>
      </c>
      <c r="H117" s="4571"/>
      <c r="I117" s="4572"/>
      <c r="J117" s="4573"/>
      <c r="K117" s="4574"/>
      <c r="L117" s="4500">
        <f t="shared" ref="L117:W117" si="36">L32*$G$117</f>
        <v>0</v>
      </c>
      <c r="M117" s="4498">
        <f t="shared" si="36"/>
        <v>0</v>
      </c>
      <c r="N117" s="4499">
        <f t="shared" si="36"/>
        <v>0</v>
      </c>
      <c r="O117" s="4500">
        <f t="shared" si="36"/>
        <v>0</v>
      </c>
      <c r="P117" s="4495">
        <f t="shared" si="36"/>
        <v>0</v>
      </c>
      <c r="Q117" s="4575">
        <f t="shared" si="36"/>
        <v>0</v>
      </c>
      <c r="R117" s="4500">
        <f t="shared" si="36"/>
        <v>0</v>
      </c>
      <c r="S117" s="4498">
        <f t="shared" si="36"/>
        <v>0</v>
      </c>
      <c r="T117" s="4499">
        <f t="shared" si="36"/>
        <v>0</v>
      </c>
      <c r="U117" s="4500">
        <f t="shared" si="36"/>
        <v>0</v>
      </c>
      <c r="V117" s="4498">
        <f t="shared" si="36"/>
        <v>0</v>
      </c>
      <c r="W117" s="4575">
        <f t="shared" si="36"/>
        <v>0</v>
      </c>
      <c r="X117" s="1566">
        <f t="shared" si="24"/>
        <v>0</v>
      </c>
      <c r="Y117" s="1555"/>
      <c r="Z117" s="9"/>
      <c r="AA117" s="9"/>
      <c r="AB117" s="15"/>
      <c r="AC117" s="15"/>
    </row>
    <row r="118" spans="1:29" s="1544" customFormat="1" ht="16.5" customHeight="1">
      <c r="A118" s="5135"/>
      <c r="B118" s="5138"/>
      <c r="C118" s="15"/>
      <c r="D118" s="1673"/>
      <c r="E118" s="4866">
        <v>16</v>
      </c>
      <c r="F118" s="1673" t="s">
        <v>877</v>
      </c>
      <c r="G118" s="2414">
        <v>1.7131494493284096</v>
      </c>
      <c r="H118" s="4568"/>
      <c r="I118" s="4569"/>
      <c r="J118" s="4570"/>
      <c r="K118" s="2524"/>
      <c r="L118" s="4500">
        <f t="shared" ref="L118:W118" si="37">L33*$G$118</f>
        <v>29756.160000000003</v>
      </c>
      <c r="M118" s="4498">
        <f t="shared" si="37"/>
        <v>22317.119999999999</v>
      </c>
      <c r="N118" s="4499">
        <f t="shared" si="37"/>
        <v>22317.119999999999</v>
      </c>
      <c r="O118" s="4500">
        <f t="shared" si="37"/>
        <v>22317.119999999999</v>
      </c>
      <c r="P118" s="4495">
        <f t="shared" si="37"/>
        <v>22317.119999999999</v>
      </c>
      <c r="Q118" s="4575">
        <f t="shared" si="37"/>
        <v>22317.119999999999</v>
      </c>
      <c r="R118" s="4500">
        <f t="shared" si="37"/>
        <v>16946.666666666668</v>
      </c>
      <c r="S118" s="4498">
        <f t="shared" si="37"/>
        <v>16946.666666666668</v>
      </c>
      <c r="T118" s="4499">
        <f t="shared" si="37"/>
        <v>16946.666666666668</v>
      </c>
      <c r="U118" s="4500">
        <f t="shared" si="37"/>
        <v>16946.666666666668</v>
      </c>
      <c r="V118" s="4498">
        <f t="shared" si="37"/>
        <v>16946.666666666668</v>
      </c>
      <c r="W118" s="4575">
        <f t="shared" si="37"/>
        <v>16946.666666666668</v>
      </c>
      <c r="X118" s="1566">
        <f t="shared" si="24"/>
        <v>243021.75999999992</v>
      </c>
      <c r="Y118" s="1555"/>
      <c r="Z118" s="9"/>
      <c r="AA118" s="9"/>
      <c r="AB118" s="15"/>
      <c r="AC118" s="15"/>
    </row>
    <row r="119" spans="1:29" s="1544" customFormat="1" ht="16.5" customHeight="1">
      <c r="A119" s="5135"/>
      <c r="B119" s="5138"/>
      <c r="C119" s="15"/>
      <c r="D119" s="1673"/>
      <c r="E119" s="4866"/>
      <c r="F119" s="1673" t="s">
        <v>1062</v>
      </c>
      <c r="G119" s="2414">
        <v>1.93</v>
      </c>
      <c r="H119" s="4568"/>
      <c r="I119" s="4569"/>
      <c r="J119" s="4570"/>
      <c r="K119" s="2524"/>
      <c r="L119" s="4500">
        <f t="shared" ref="L119:W119" si="38">L34*$G$119</f>
        <v>0</v>
      </c>
      <c r="M119" s="4498">
        <f t="shared" si="38"/>
        <v>0</v>
      </c>
      <c r="N119" s="4499">
        <f t="shared" si="38"/>
        <v>0</v>
      </c>
      <c r="O119" s="4500">
        <f t="shared" si="38"/>
        <v>0</v>
      </c>
      <c r="P119" s="4495">
        <f t="shared" si="38"/>
        <v>0</v>
      </c>
      <c r="Q119" s="4575">
        <f t="shared" si="38"/>
        <v>0</v>
      </c>
      <c r="R119" s="4500">
        <f t="shared" si="38"/>
        <v>0</v>
      </c>
      <c r="S119" s="4498">
        <f t="shared" si="38"/>
        <v>0</v>
      </c>
      <c r="T119" s="4499">
        <f t="shared" si="38"/>
        <v>0</v>
      </c>
      <c r="U119" s="4500">
        <f t="shared" si="38"/>
        <v>0</v>
      </c>
      <c r="V119" s="4498">
        <f t="shared" si="38"/>
        <v>0</v>
      </c>
      <c r="W119" s="4575">
        <f t="shared" si="38"/>
        <v>0</v>
      </c>
      <c r="X119" s="1566">
        <f t="shared" si="24"/>
        <v>0</v>
      </c>
      <c r="Y119" s="1555"/>
      <c r="Z119" s="9"/>
      <c r="AA119" s="9"/>
      <c r="AB119" s="15"/>
      <c r="AC119" s="15"/>
    </row>
    <row r="120" spans="1:29" s="1544" customFormat="1" ht="16.5" customHeight="1">
      <c r="A120" s="5135"/>
      <c r="B120" s="5138"/>
      <c r="C120" s="15"/>
      <c r="D120" s="1673"/>
      <c r="E120" s="4866">
        <v>17</v>
      </c>
      <c r="F120" s="1673" t="s">
        <v>878</v>
      </c>
      <c r="G120" s="2414">
        <v>1.3549204341869534</v>
      </c>
      <c r="H120" s="4568"/>
      <c r="I120" s="4569"/>
      <c r="J120" s="4570"/>
      <c r="K120" s="2524"/>
      <c r="L120" s="4500">
        <f t="shared" ref="L120:W120" si="39">L35*$G$120</f>
        <v>25703.999999999996</v>
      </c>
      <c r="M120" s="4498">
        <f t="shared" si="39"/>
        <v>0</v>
      </c>
      <c r="N120" s="4499">
        <f t="shared" si="39"/>
        <v>0</v>
      </c>
      <c r="O120" s="4494">
        <f t="shared" si="39"/>
        <v>0</v>
      </c>
      <c r="P120" s="4495">
        <f t="shared" si="39"/>
        <v>0</v>
      </c>
      <c r="Q120" s="4575">
        <f t="shared" si="39"/>
        <v>0</v>
      </c>
      <c r="R120" s="4500">
        <f t="shared" si="39"/>
        <v>0</v>
      </c>
      <c r="S120" s="4498">
        <f t="shared" si="39"/>
        <v>0</v>
      </c>
      <c r="T120" s="4499">
        <f t="shared" si="39"/>
        <v>0</v>
      </c>
      <c r="U120" s="4500">
        <f t="shared" si="39"/>
        <v>0</v>
      </c>
      <c r="V120" s="4498">
        <f t="shared" si="39"/>
        <v>0</v>
      </c>
      <c r="W120" s="4575">
        <f t="shared" si="39"/>
        <v>0</v>
      </c>
      <c r="X120" s="1566">
        <f t="shared" si="24"/>
        <v>25703.999999999996</v>
      </c>
      <c r="Y120" s="1555"/>
      <c r="Z120" s="9"/>
      <c r="AA120" s="9"/>
      <c r="AB120" s="15"/>
      <c r="AC120" s="15"/>
    </row>
    <row r="121" spans="1:29" s="1544" customFormat="1" ht="16.5" customHeight="1">
      <c r="A121" s="5135"/>
      <c r="B121" s="5138"/>
      <c r="C121" s="15"/>
      <c r="D121" s="1673"/>
      <c r="E121" s="4866"/>
      <c r="F121" s="1673"/>
      <c r="G121" s="2414">
        <v>1.34</v>
      </c>
      <c r="H121" s="4568"/>
      <c r="I121" s="4569"/>
      <c r="J121" s="4570"/>
      <c r="K121" s="2524"/>
      <c r="L121" s="4500">
        <f t="shared" ref="L121:W121" si="40">L36*$G$121</f>
        <v>63201.600000000006</v>
      </c>
      <c r="M121" s="4498">
        <f t="shared" si="40"/>
        <v>31600.800000000003</v>
      </c>
      <c r="N121" s="4499">
        <f t="shared" si="40"/>
        <v>31600.800000000003</v>
      </c>
      <c r="O121" s="4494">
        <f t="shared" si="40"/>
        <v>31600.800000000003</v>
      </c>
      <c r="P121" s="4495">
        <f t="shared" si="40"/>
        <v>31600.800000000003</v>
      </c>
      <c r="Q121" s="4575">
        <f t="shared" si="40"/>
        <v>31600.800000000003</v>
      </c>
      <c r="R121" s="4500">
        <f t="shared" si="40"/>
        <v>31600.800000000003</v>
      </c>
      <c r="S121" s="4498">
        <f t="shared" si="40"/>
        <v>31600.800000000003</v>
      </c>
      <c r="T121" s="4499">
        <f t="shared" si="40"/>
        <v>31600.800000000003</v>
      </c>
      <c r="U121" s="4500">
        <f t="shared" si="40"/>
        <v>31600.800000000003</v>
      </c>
      <c r="V121" s="4498">
        <f t="shared" si="40"/>
        <v>31600.800000000003</v>
      </c>
      <c r="W121" s="4575">
        <f t="shared" si="40"/>
        <v>31600.800000000003</v>
      </c>
      <c r="X121" s="1566">
        <f t="shared" si="24"/>
        <v>410810.39999999991</v>
      </c>
      <c r="Y121" s="1555"/>
      <c r="Z121" s="9"/>
      <c r="AA121" s="9"/>
      <c r="AB121" s="15"/>
      <c r="AC121" s="15"/>
    </row>
    <row r="122" spans="1:29" s="1544" customFormat="1" ht="16.5" customHeight="1">
      <c r="A122" s="5135"/>
      <c r="B122" s="5138"/>
      <c r="C122" s="15"/>
      <c r="D122" s="1673"/>
      <c r="E122" s="4866">
        <v>18</v>
      </c>
      <c r="F122" s="1673" t="s">
        <v>879</v>
      </c>
      <c r="G122" s="2414">
        <v>1.4397755464400579</v>
      </c>
      <c r="H122" s="4568"/>
      <c r="I122" s="4569"/>
      <c r="J122" s="4570"/>
      <c r="K122" s="2524"/>
      <c r="L122" s="4500">
        <f t="shared" ref="L122:W122" si="41">L37*$G$122</f>
        <v>37065.785274338901</v>
      </c>
      <c r="M122" s="4498">
        <f t="shared" si="41"/>
        <v>33976.969834810654</v>
      </c>
      <c r="N122" s="4499">
        <f t="shared" si="41"/>
        <v>21621.708076697691</v>
      </c>
      <c r="O122" s="4494">
        <f t="shared" si="41"/>
        <v>21450.107218946123</v>
      </c>
      <c r="P122" s="4495">
        <f t="shared" si="41"/>
        <v>24024.120085219656</v>
      </c>
      <c r="Q122" s="4575">
        <f t="shared" si="41"/>
        <v>22007.810006638723</v>
      </c>
      <c r="R122" s="4500">
        <f t="shared" si="41"/>
        <v>22007.810006638723</v>
      </c>
      <c r="S122" s="4498">
        <f t="shared" si="41"/>
        <v>22007.810006638723</v>
      </c>
      <c r="T122" s="4499">
        <f t="shared" si="41"/>
        <v>22007.810006638723</v>
      </c>
      <c r="U122" s="4500">
        <f t="shared" si="41"/>
        <v>22007.810006638723</v>
      </c>
      <c r="V122" s="4498">
        <f t="shared" si="41"/>
        <v>22007.810006638723</v>
      </c>
      <c r="W122" s="4575">
        <f t="shared" si="41"/>
        <v>22007.810006638723</v>
      </c>
      <c r="X122" s="1566">
        <f t="shared" si="24"/>
        <v>292193.36053648405</v>
      </c>
      <c r="Y122" s="1555"/>
      <c r="Z122" s="9"/>
      <c r="AA122" s="9"/>
      <c r="AB122" s="15"/>
      <c r="AC122" s="15"/>
    </row>
    <row r="123" spans="1:29" s="1544" customFormat="1" ht="16.5" customHeight="1">
      <c r="A123" s="5135"/>
      <c r="B123" s="5138"/>
      <c r="C123" s="15"/>
      <c r="D123" s="1673"/>
      <c r="E123" s="4866"/>
      <c r="F123" s="1673"/>
      <c r="G123" s="2414">
        <v>1.42</v>
      </c>
      <c r="H123" s="4568"/>
      <c r="I123" s="4569"/>
      <c r="J123" s="4570"/>
      <c r="K123" s="2524"/>
      <c r="L123" s="4500">
        <f t="shared" ref="L123:W123" si="42">L38*$G$123</f>
        <v>64152.000000000007</v>
      </c>
      <c r="M123" s="4498">
        <f t="shared" si="42"/>
        <v>32076.000000000004</v>
      </c>
      <c r="N123" s="4499">
        <f t="shared" si="42"/>
        <v>32076.000000000004</v>
      </c>
      <c r="O123" s="4494">
        <f t="shared" si="42"/>
        <v>32076.000000000004</v>
      </c>
      <c r="P123" s="4495">
        <f t="shared" si="42"/>
        <v>29700.000000000004</v>
      </c>
      <c r="Q123" s="4575">
        <f t="shared" si="42"/>
        <v>29700.000000000004</v>
      </c>
      <c r="R123" s="4500">
        <f t="shared" si="42"/>
        <v>29700.000000000004</v>
      </c>
      <c r="S123" s="4498">
        <f t="shared" si="42"/>
        <v>29700.000000000004</v>
      </c>
      <c r="T123" s="4499">
        <f t="shared" si="42"/>
        <v>29700.000000000004</v>
      </c>
      <c r="U123" s="4500">
        <f t="shared" si="42"/>
        <v>29700.000000000004</v>
      </c>
      <c r="V123" s="4498">
        <f t="shared" si="42"/>
        <v>29700.000000000004</v>
      </c>
      <c r="W123" s="4575">
        <f t="shared" si="42"/>
        <v>29700.000000000004</v>
      </c>
      <c r="X123" s="1566">
        <f t="shared" si="24"/>
        <v>397980.00000000006</v>
      </c>
      <c r="Y123" s="1555"/>
      <c r="Z123" s="9"/>
      <c r="AA123" s="9"/>
      <c r="AB123" s="15"/>
      <c r="AC123" s="15"/>
    </row>
    <row r="124" spans="1:29" s="1544" customFormat="1" ht="16.5" customHeight="1">
      <c r="A124" s="5135"/>
      <c r="B124" s="5138"/>
      <c r="C124" s="15"/>
      <c r="D124" s="1673"/>
      <c r="E124" s="4866"/>
      <c r="F124" s="1673" t="s">
        <v>880</v>
      </c>
      <c r="G124" s="2414">
        <v>2.4464796639087116</v>
      </c>
      <c r="H124" s="4585"/>
      <c r="I124" s="4586"/>
      <c r="J124" s="4587"/>
      <c r="K124" s="4588"/>
      <c r="L124" s="4500">
        <f t="shared" ref="L124:W124" si="43">L39*$G$124</f>
        <v>13507.859999999999</v>
      </c>
      <c r="M124" s="4498">
        <f t="shared" si="43"/>
        <v>0</v>
      </c>
      <c r="N124" s="4499">
        <f t="shared" si="43"/>
        <v>0</v>
      </c>
      <c r="O124" s="4494">
        <f t="shared" si="43"/>
        <v>0</v>
      </c>
      <c r="P124" s="4495">
        <f t="shared" si="43"/>
        <v>0</v>
      </c>
      <c r="Q124" s="4575">
        <f t="shared" si="43"/>
        <v>0</v>
      </c>
      <c r="R124" s="4500">
        <f t="shared" si="43"/>
        <v>0</v>
      </c>
      <c r="S124" s="4498">
        <f t="shared" si="43"/>
        <v>0</v>
      </c>
      <c r="T124" s="4499">
        <f t="shared" si="43"/>
        <v>0</v>
      </c>
      <c r="U124" s="4500">
        <f t="shared" si="43"/>
        <v>0</v>
      </c>
      <c r="V124" s="4498">
        <f t="shared" si="43"/>
        <v>0</v>
      </c>
      <c r="W124" s="4575">
        <f t="shared" si="43"/>
        <v>0</v>
      </c>
      <c r="X124" s="1566">
        <f t="shared" si="24"/>
        <v>13507.859999999999</v>
      </c>
      <c r="Y124" s="1555"/>
      <c r="Z124" s="9"/>
      <c r="AA124" s="9"/>
      <c r="AB124" s="15"/>
      <c r="AC124" s="15"/>
    </row>
    <row r="125" spans="1:29" s="1544" customFormat="1" ht="16.5" customHeight="1">
      <c r="A125" s="5135"/>
      <c r="B125" s="5138"/>
      <c r="C125" s="15"/>
      <c r="D125" s="1673"/>
      <c r="E125" s="4866">
        <v>19</v>
      </c>
      <c r="F125" s="1673" t="s">
        <v>1334</v>
      </c>
      <c r="G125" s="2414">
        <v>1.22</v>
      </c>
      <c r="H125" s="4568"/>
      <c r="I125" s="4569"/>
      <c r="J125" s="4570"/>
      <c r="K125" s="2524"/>
      <c r="L125" s="4500">
        <f t="shared" ref="L125:W125" si="44">L40*$G$125</f>
        <v>0</v>
      </c>
      <c r="M125" s="4498">
        <f t="shared" si="44"/>
        <v>0</v>
      </c>
      <c r="N125" s="4499">
        <f t="shared" si="44"/>
        <v>0</v>
      </c>
      <c r="O125" s="4494">
        <f t="shared" si="44"/>
        <v>0</v>
      </c>
      <c r="P125" s="4495">
        <f t="shared" si="44"/>
        <v>0</v>
      </c>
      <c r="Q125" s="4575">
        <f t="shared" si="44"/>
        <v>0</v>
      </c>
      <c r="R125" s="4500">
        <f t="shared" si="44"/>
        <v>0</v>
      </c>
      <c r="S125" s="4498">
        <f t="shared" si="44"/>
        <v>0</v>
      </c>
      <c r="T125" s="4499">
        <f t="shared" si="44"/>
        <v>0</v>
      </c>
      <c r="U125" s="4500">
        <f t="shared" si="44"/>
        <v>0</v>
      </c>
      <c r="V125" s="4498">
        <f t="shared" si="44"/>
        <v>0</v>
      </c>
      <c r="W125" s="4575">
        <f t="shared" si="44"/>
        <v>0</v>
      </c>
      <c r="X125" s="1566">
        <f t="shared" si="24"/>
        <v>0</v>
      </c>
      <c r="Y125" s="1555"/>
      <c r="Z125" s="2580"/>
      <c r="AA125" s="2580"/>
      <c r="AB125" s="15"/>
      <c r="AC125" s="15"/>
    </row>
    <row r="126" spans="1:29" s="1544" customFormat="1" ht="16.5" customHeight="1">
      <c r="A126" s="5135"/>
      <c r="B126" s="5138"/>
      <c r="C126" s="15"/>
      <c r="D126" s="1767" t="s">
        <v>906</v>
      </c>
      <c r="E126" s="4867"/>
      <c r="F126" s="1767" t="s">
        <v>967</v>
      </c>
      <c r="G126" s="4551">
        <v>1.1200000000000001</v>
      </c>
      <c r="H126" s="4603"/>
      <c r="I126" s="4604"/>
      <c r="J126" s="4605"/>
      <c r="K126" s="4606"/>
      <c r="L126" s="4580">
        <f t="shared" ref="L126:W126" si="45">L41*$G$126</f>
        <v>0</v>
      </c>
      <c r="M126" s="4581">
        <f t="shared" si="45"/>
        <v>0</v>
      </c>
      <c r="N126" s="4582">
        <f t="shared" si="45"/>
        <v>0</v>
      </c>
      <c r="O126" s="4608">
        <f t="shared" si="45"/>
        <v>0</v>
      </c>
      <c r="P126" s="4583">
        <f t="shared" si="45"/>
        <v>0</v>
      </c>
      <c r="Q126" s="4584">
        <f t="shared" si="45"/>
        <v>0</v>
      </c>
      <c r="R126" s="4580">
        <f t="shared" si="45"/>
        <v>0</v>
      </c>
      <c r="S126" s="4581">
        <f t="shared" si="45"/>
        <v>0</v>
      </c>
      <c r="T126" s="4582">
        <f t="shared" si="45"/>
        <v>0</v>
      </c>
      <c r="U126" s="4580">
        <f t="shared" si="45"/>
        <v>0</v>
      </c>
      <c r="V126" s="4581">
        <f t="shared" si="45"/>
        <v>0</v>
      </c>
      <c r="W126" s="4584">
        <f t="shared" si="45"/>
        <v>0</v>
      </c>
      <c r="X126" s="1585">
        <f t="shared" si="24"/>
        <v>0</v>
      </c>
      <c r="Y126" s="1555"/>
      <c r="Z126" s="1539"/>
      <c r="AA126" s="1539"/>
      <c r="AB126" s="15"/>
      <c r="AC126" s="12"/>
    </row>
    <row r="127" spans="1:29" s="1544" customFormat="1" ht="16.899999999999999" customHeight="1">
      <c r="A127" s="5135"/>
      <c r="B127" s="5138"/>
      <c r="C127" s="15"/>
      <c r="D127" s="1774"/>
      <c r="E127" s="4868">
        <v>20</v>
      </c>
      <c r="F127" s="1774" t="s">
        <v>881</v>
      </c>
      <c r="G127" s="4552">
        <v>0.693814328358209</v>
      </c>
      <c r="H127" s="4590"/>
      <c r="I127" s="4591"/>
      <c r="J127" s="4592"/>
      <c r="K127" s="4593"/>
      <c r="L127" s="4594">
        <f t="shared" ref="L127:W127" si="46">L42*$G$127</f>
        <v>16003.400000000001</v>
      </c>
      <c r="M127" s="4589">
        <f t="shared" si="46"/>
        <v>18786.599999999999</v>
      </c>
      <c r="N127" s="4595">
        <f t="shared" si="46"/>
        <v>17395</v>
      </c>
      <c r="O127" s="4596">
        <f t="shared" si="46"/>
        <v>18786.599999999999</v>
      </c>
      <c r="P127" s="4597">
        <f t="shared" si="46"/>
        <v>18786.599999999999</v>
      </c>
      <c r="Q127" s="4598">
        <f t="shared" si="46"/>
        <v>18786.599999999999</v>
      </c>
      <c r="R127" s="4594">
        <f t="shared" si="46"/>
        <v>18786.599999999999</v>
      </c>
      <c r="S127" s="4589">
        <f t="shared" si="46"/>
        <v>18786.599999999999</v>
      </c>
      <c r="T127" s="4595">
        <f t="shared" si="46"/>
        <v>18786.599999999999</v>
      </c>
      <c r="U127" s="4594">
        <f t="shared" si="46"/>
        <v>18786.599999999999</v>
      </c>
      <c r="V127" s="4589">
        <f t="shared" si="46"/>
        <v>18786.599999999999</v>
      </c>
      <c r="W127" s="4598">
        <f t="shared" si="46"/>
        <v>18786.599999999999</v>
      </c>
      <c r="X127" s="1591">
        <f t="shared" si="24"/>
        <v>221264.40000000005</v>
      </c>
      <c r="Y127" s="1555"/>
      <c r="Z127" s="1539"/>
      <c r="AA127" s="1539"/>
      <c r="AB127" s="15"/>
      <c r="AC127" s="1586"/>
    </row>
    <row r="128" spans="1:29" s="1544" customFormat="1" ht="16.5" customHeight="1">
      <c r="A128" s="5135"/>
      <c r="B128" s="5138"/>
      <c r="C128" s="15"/>
      <c r="D128" s="1673" t="s">
        <v>882</v>
      </c>
      <c r="E128" s="4866">
        <v>21</v>
      </c>
      <c r="F128" s="1673" t="s">
        <v>883</v>
      </c>
      <c r="G128" s="2414">
        <v>0.48843880597014927</v>
      </c>
      <c r="H128" s="4599"/>
      <c r="I128" s="4600"/>
      <c r="J128" s="4601"/>
      <c r="K128" s="4602"/>
      <c r="L128" s="4500">
        <f t="shared" ref="L128:W128" si="47">L43*$G$128</f>
        <v>11270</v>
      </c>
      <c r="M128" s="4498">
        <f t="shared" si="47"/>
        <v>13230</v>
      </c>
      <c r="N128" s="4499">
        <f t="shared" si="47"/>
        <v>12250</v>
      </c>
      <c r="O128" s="4494">
        <f t="shared" si="47"/>
        <v>13230</v>
      </c>
      <c r="P128" s="4495">
        <f t="shared" si="47"/>
        <v>13230</v>
      </c>
      <c r="Q128" s="4575">
        <f t="shared" si="47"/>
        <v>13230</v>
      </c>
      <c r="R128" s="4500">
        <f t="shared" si="47"/>
        <v>13230</v>
      </c>
      <c r="S128" s="4498">
        <f t="shared" si="47"/>
        <v>13230</v>
      </c>
      <c r="T128" s="4499">
        <f t="shared" si="47"/>
        <v>13230</v>
      </c>
      <c r="U128" s="4500">
        <f t="shared" si="47"/>
        <v>13230</v>
      </c>
      <c r="V128" s="4498">
        <f t="shared" si="47"/>
        <v>13230</v>
      </c>
      <c r="W128" s="4575">
        <f t="shared" si="47"/>
        <v>13230</v>
      </c>
      <c r="X128" s="1566">
        <f t="shared" si="24"/>
        <v>155820</v>
      </c>
      <c r="Y128" s="1555"/>
      <c r="Z128" s="1539"/>
      <c r="AA128" s="1539"/>
      <c r="AB128" s="15"/>
      <c r="AC128" s="15"/>
    </row>
    <row r="129" spans="1:29" s="1544" customFormat="1" ht="16.5" customHeight="1">
      <c r="A129" s="5135"/>
      <c r="B129" s="5138"/>
      <c r="C129" s="15"/>
      <c r="D129" s="2114"/>
      <c r="E129" s="2413"/>
      <c r="F129" s="1673" t="s">
        <v>968</v>
      </c>
      <c r="G129" s="2414">
        <v>0.53</v>
      </c>
      <c r="H129" s="4599"/>
      <c r="I129" s="4600"/>
      <c r="J129" s="4601"/>
      <c r="K129" s="4602"/>
      <c r="L129" s="4500">
        <f t="shared" ref="L129:W129" si="48">L44*$G$129</f>
        <v>0</v>
      </c>
      <c r="M129" s="4498">
        <f t="shared" si="48"/>
        <v>0</v>
      </c>
      <c r="N129" s="4499">
        <f t="shared" si="48"/>
        <v>0</v>
      </c>
      <c r="O129" s="4494">
        <f t="shared" si="48"/>
        <v>0</v>
      </c>
      <c r="P129" s="4495">
        <f t="shared" si="48"/>
        <v>0</v>
      </c>
      <c r="Q129" s="4575">
        <f t="shared" si="48"/>
        <v>0</v>
      </c>
      <c r="R129" s="4500">
        <f t="shared" si="48"/>
        <v>0</v>
      </c>
      <c r="S129" s="4498">
        <f t="shared" si="48"/>
        <v>0</v>
      </c>
      <c r="T129" s="4499">
        <f t="shared" si="48"/>
        <v>0</v>
      </c>
      <c r="U129" s="4500">
        <f t="shared" si="48"/>
        <v>0</v>
      </c>
      <c r="V129" s="4498">
        <f t="shared" si="48"/>
        <v>0</v>
      </c>
      <c r="W129" s="4575">
        <f t="shared" si="48"/>
        <v>0</v>
      </c>
      <c r="X129" s="1566">
        <f t="shared" si="24"/>
        <v>0</v>
      </c>
      <c r="Y129" s="1555"/>
      <c r="Z129" s="1539"/>
      <c r="AA129" s="1539"/>
      <c r="AB129" s="15"/>
      <c r="AC129" s="13"/>
    </row>
    <row r="130" spans="1:29" s="1579" customFormat="1" ht="16.5" customHeight="1">
      <c r="A130" s="5135"/>
      <c r="B130" s="5138"/>
      <c r="C130" s="15"/>
      <c r="D130" s="2114"/>
      <c r="E130" s="2413"/>
      <c r="F130" s="1673" t="s">
        <v>884</v>
      </c>
      <c r="G130" s="2414">
        <v>0.69273636363636371</v>
      </c>
      <c r="H130" s="4599"/>
      <c r="I130" s="4600"/>
      <c r="J130" s="4601"/>
      <c r="K130" s="4602"/>
      <c r="L130" s="4500">
        <f t="shared" ref="L130:W130" si="49">L45*$G$130</f>
        <v>0</v>
      </c>
      <c r="M130" s="4498">
        <f t="shared" si="49"/>
        <v>0</v>
      </c>
      <c r="N130" s="4499">
        <f t="shared" si="49"/>
        <v>0</v>
      </c>
      <c r="O130" s="4500">
        <f t="shared" si="49"/>
        <v>0</v>
      </c>
      <c r="P130" s="4495">
        <f t="shared" si="49"/>
        <v>0</v>
      </c>
      <c r="Q130" s="4575">
        <f t="shared" si="49"/>
        <v>0</v>
      </c>
      <c r="R130" s="4500">
        <f t="shared" si="49"/>
        <v>0</v>
      </c>
      <c r="S130" s="4498">
        <f t="shared" si="49"/>
        <v>0</v>
      </c>
      <c r="T130" s="4499">
        <f t="shared" si="49"/>
        <v>0</v>
      </c>
      <c r="U130" s="4500">
        <f t="shared" si="49"/>
        <v>0</v>
      </c>
      <c r="V130" s="4498">
        <f t="shared" si="49"/>
        <v>0</v>
      </c>
      <c r="W130" s="4575">
        <f t="shared" si="49"/>
        <v>0</v>
      </c>
      <c r="X130" s="1566">
        <f t="shared" si="24"/>
        <v>0</v>
      </c>
      <c r="Y130" s="1555"/>
      <c r="Z130" s="1539"/>
      <c r="AA130" s="1539"/>
      <c r="AB130" s="15"/>
      <c r="AC130" s="13"/>
    </row>
    <row r="131" spans="1:29" s="1579" customFormat="1" ht="16.5" customHeight="1">
      <c r="A131" s="5135"/>
      <c r="B131" s="5138"/>
      <c r="C131" s="15"/>
      <c r="D131" s="2114"/>
      <c r="E131" s="2413"/>
      <c r="F131" s="1673" t="s">
        <v>67</v>
      </c>
      <c r="G131" s="2414">
        <v>3.3561999999999994</v>
      </c>
      <c r="H131" s="4599"/>
      <c r="I131" s="4600"/>
      <c r="J131" s="4601"/>
      <c r="K131" s="4602"/>
      <c r="L131" s="4500">
        <f t="shared" ref="L131:W131" si="50">L46*$G$131</f>
        <v>2013.7199999999996</v>
      </c>
      <c r="M131" s="4498">
        <f t="shared" si="50"/>
        <v>2013.7199999999996</v>
      </c>
      <c r="N131" s="4499">
        <f t="shared" si="50"/>
        <v>0</v>
      </c>
      <c r="O131" s="4500">
        <f t="shared" si="50"/>
        <v>0</v>
      </c>
      <c r="P131" s="4495">
        <f t="shared" si="50"/>
        <v>0</v>
      </c>
      <c r="Q131" s="4575">
        <f t="shared" si="50"/>
        <v>0</v>
      </c>
      <c r="R131" s="4500">
        <f t="shared" si="50"/>
        <v>0</v>
      </c>
      <c r="S131" s="4498">
        <f t="shared" si="50"/>
        <v>0</v>
      </c>
      <c r="T131" s="4499">
        <f t="shared" si="50"/>
        <v>0</v>
      </c>
      <c r="U131" s="4500">
        <f t="shared" si="50"/>
        <v>0</v>
      </c>
      <c r="V131" s="4498">
        <f t="shared" si="50"/>
        <v>0</v>
      </c>
      <c r="W131" s="4575">
        <f t="shared" si="50"/>
        <v>0</v>
      </c>
      <c r="X131" s="1566">
        <f t="shared" si="24"/>
        <v>4027.4399999999991</v>
      </c>
      <c r="Y131" s="1555"/>
      <c r="Z131" s="1539"/>
      <c r="AA131" s="1539"/>
      <c r="AB131" s="15"/>
      <c r="AC131" s="13"/>
    </row>
    <row r="132" spans="1:29" s="1544" customFormat="1" ht="16.5" customHeight="1">
      <c r="A132" s="5135"/>
      <c r="B132" s="5138"/>
      <c r="C132" s="15"/>
      <c r="D132" s="2128" t="s">
        <v>885</v>
      </c>
      <c r="E132" s="4869"/>
      <c r="F132" s="1767" t="s">
        <v>886</v>
      </c>
      <c r="G132" s="4551">
        <v>0.53564000000000001</v>
      </c>
      <c r="H132" s="4603"/>
      <c r="I132" s="4604"/>
      <c r="J132" s="4605"/>
      <c r="K132" s="4606"/>
      <c r="L132" s="4580">
        <f t="shared" ref="L132:W132" si="51">L47*$G$132</f>
        <v>0</v>
      </c>
      <c r="M132" s="4581">
        <f t="shared" si="51"/>
        <v>0</v>
      </c>
      <c r="N132" s="4582">
        <f t="shared" si="51"/>
        <v>0</v>
      </c>
      <c r="O132" s="4580">
        <f t="shared" si="51"/>
        <v>0</v>
      </c>
      <c r="P132" s="4583">
        <f t="shared" si="51"/>
        <v>0</v>
      </c>
      <c r="Q132" s="4584">
        <f t="shared" si="51"/>
        <v>0</v>
      </c>
      <c r="R132" s="4580">
        <f t="shared" si="51"/>
        <v>0</v>
      </c>
      <c r="S132" s="4581">
        <f t="shared" si="51"/>
        <v>0</v>
      </c>
      <c r="T132" s="4582">
        <f t="shared" si="51"/>
        <v>0</v>
      </c>
      <c r="U132" s="4580">
        <f t="shared" si="51"/>
        <v>0</v>
      </c>
      <c r="V132" s="4581">
        <f t="shared" si="51"/>
        <v>0</v>
      </c>
      <c r="W132" s="4584">
        <f t="shared" si="51"/>
        <v>0</v>
      </c>
      <c r="X132" s="1585">
        <f t="shared" si="24"/>
        <v>0</v>
      </c>
      <c r="Y132" s="1555"/>
      <c r="Z132" s="1539"/>
      <c r="AA132" s="1539"/>
      <c r="AB132" s="15"/>
      <c r="AC132" s="14"/>
    </row>
    <row r="133" spans="1:29" s="1544" customFormat="1" ht="16.5" customHeight="1">
      <c r="A133" s="5135"/>
      <c r="B133" s="5138"/>
      <c r="C133" s="15"/>
      <c r="D133" s="1673"/>
      <c r="E133" s="4866"/>
      <c r="F133" s="1673" t="s">
        <v>887</v>
      </c>
      <c r="G133" s="2414">
        <v>0.72165999999999986</v>
      </c>
      <c r="H133" s="4599"/>
      <c r="I133" s="4600"/>
      <c r="J133" s="4601"/>
      <c r="K133" s="4602"/>
      <c r="L133" s="4500">
        <f t="shared" ref="L133:W133" si="52">L48*$G$133</f>
        <v>0</v>
      </c>
      <c r="M133" s="4498">
        <f t="shared" si="52"/>
        <v>0</v>
      </c>
      <c r="N133" s="4499">
        <f t="shared" si="52"/>
        <v>0</v>
      </c>
      <c r="O133" s="4500">
        <f t="shared" si="52"/>
        <v>0</v>
      </c>
      <c r="P133" s="4498">
        <f t="shared" si="52"/>
        <v>0</v>
      </c>
      <c r="Q133" s="4575">
        <f t="shared" si="52"/>
        <v>0</v>
      </c>
      <c r="R133" s="4500">
        <f t="shared" si="52"/>
        <v>0</v>
      </c>
      <c r="S133" s="4498">
        <f t="shared" si="52"/>
        <v>0</v>
      </c>
      <c r="T133" s="4499">
        <f t="shared" si="52"/>
        <v>0</v>
      </c>
      <c r="U133" s="4500">
        <f t="shared" si="52"/>
        <v>0</v>
      </c>
      <c r="V133" s="4498">
        <f t="shared" si="52"/>
        <v>0</v>
      </c>
      <c r="W133" s="4575">
        <f t="shared" si="52"/>
        <v>0</v>
      </c>
      <c r="X133" s="1566">
        <f t="shared" si="24"/>
        <v>0</v>
      </c>
      <c r="Y133" s="1555"/>
      <c r="Z133" s="1539"/>
      <c r="AA133" s="1539"/>
      <c r="AB133" s="15"/>
      <c r="AC133" s="15"/>
    </row>
    <row r="134" spans="1:29" s="1544" customFormat="1" ht="16.5" customHeight="1">
      <c r="A134" s="5135"/>
      <c r="B134" s="5138"/>
      <c r="C134" s="15"/>
      <c r="D134" s="1673"/>
      <c r="E134" s="4866">
        <v>22</v>
      </c>
      <c r="F134" s="1673" t="s">
        <v>76</v>
      </c>
      <c r="G134" s="2414">
        <v>0.91348000000000007</v>
      </c>
      <c r="H134" s="4599"/>
      <c r="I134" s="4600"/>
      <c r="J134" s="4601"/>
      <c r="K134" s="4602"/>
      <c r="L134" s="4500">
        <f t="shared" ref="L134:W134" si="53">L49*$G$134</f>
        <v>123298.00000000001</v>
      </c>
      <c r="M134" s="4498">
        <f t="shared" si="53"/>
        <v>74859.500000000015</v>
      </c>
      <c r="N134" s="4499">
        <f t="shared" si="53"/>
        <v>105684.00000000001</v>
      </c>
      <c r="O134" s="4500">
        <f t="shared" si="53"/>
        <v>61649.000000000007</v>
      </c>
      <c r="P134" s="4498">
        <f t="shared" si="53"/>
        <v>61649.000000000007</v>
      </c>
      <c r="Q134" s="4575">
        <f t="shared" si="53"/>
        <v>44035.000000000007</v>
      </c>
      <c r="R134" s="4500">
        <f t="shared" si="53"/>
        <v>44035.000000000007</v>
      </c>
      <c r="S134" s="4498">
        <f t="shared" si="53"/>
        <v>44035.000000000007</v>
      </c>
      <c r="T134" s="4499">
        <f t="shared" si="53"/>
        <v>44035.000000000007</v>
      </c>
      <c r="U134" s="4500">
        <f t="shared" si="53"/>
        <v>44035.000000000007</v>
      </c>
      <c r="V134" s="4498">
        <f t="shared" si="53"/>
        <v>44035.000000000007</v>
      </c>
      <c r="W134" s="4575">
        <f t="shared" si="53"/>
        <v>44035.000000000007</v>
      </c>
      <c r="X134" s="1566">
        <f t="shared" si="24"/>
        <v>735384.50000000012</v>
      </c>
      <c r="Y134" s="1555"/>
      <c r="Z134" s="1539"/>
      <c r="AA134" s="1539"/>
      <c r="AB134" s="15"/>
      <c r="AC134" s="15"/>
    </row>
    <row r="135" spans="1:29" s="1544" customFormat="1" ht="16.5" customHeight="1">
      <c r="A135" s="5135"/>
      <c r="B135" s="5138"/>
      <c r="C135" s="11"/>
      <c r="D135" s="1733"/>
      <c r="E135" s="4866"/>
      <c r="F135" s="1733" t="s">
        <v>969</v>
      </c>
      <c r="G135" s="4607">
        <v>0.67</v>
      </c>
      <c r="H135" s="4599"/>
      <c r="I135" s="4600"/>
      <c r="J135" s="4601"/>
      <c r="K135" s="4602"/>
      <c r="L135" s="4463">
        <f t="shared" ref="L135:W135" si="54">L50*$G$135</f>
        <v>0</v>
      </c>
      <c r="M135" s="4467">
        <f t="shared" si="54"/>
        <v>0</v>
      </c>
      <c r="N135" s="4465">
        <f t="shared" si="54"/>
        <v>0</v>
      </c>
      <c r="O135" s="4463">
        <f t="shared" si="54"/>
        <v>0</v>
      </c>
      <c r="P135" s="4467">
        <f t="shared" si="54"/>
        <v>0</v>
      </c>
      <c r="Q135" s="4468">
        <f t="shared" si="54"/>
        <v>0</v>
      </c>
      <c r="R135" s="4463">
        <f t="shared" si="54"/>
        <v>0</v>
      </c>
      <c r="S135" s="4467">
        <f t="shared" si="54"/>
        <v>0</v>
      </c>
      <c r="T135" s="4465">
        <f t="shared" si="54"/>
        <v>0</v>
      </c>
      <c r="U135" s="4463">
        <f t="shared" si="54"/>
        <v>0</v>
      </c>
      <c r="V135" s="4467">
        <f t="shared" si="54"/>
        <v>0</v>
      </c>
      <c r="W135" s="4468">
        <f t="shared" si="54"/>
        <v>0</v>
      </c>
      <c r="X135" s="1560">
        <f t="shared" si="24"/>
        <v>0</v>
      </c>
      <c r="Y135" s="1555"/>
      <c r="Z135" s="1577"/>
      <c r="AA135" s="1577"/>
    </row>
    <row r="136" spans="1:29" s="1544" customFormat="1" ht="16.5" customHeight="1">
      <c r="A136" s="5135"/>
      <c r="B136" s="5138"/>
      <c r="C136" s="15" t="s">
        <v>904</v>
      </c>
      <c r="D136" s="1599" t="s">
        <v>865</v>
      </c>
      <c r="E136" s="4870">
        <v>23</v>
      </c>
      <c r="F136" s="1599" t="str">
        <f t="shared" ref="F136:F143" si="55">F51</f>
        <v>NX4 HSG</v>
      </c>
      <c r="G136" s="1561">
        <v>3.82</v>
      </c>
      <c r="H136" s="3432"/>
      <c r="I136" s="3447"/>
      <c r="J136" s="3439"/>
      <c r="K136" s="3416"/>
      <c r="L136" s="4385">
        <f t="shared" ref="L136:W136" si="56">L51*$G$136</f>
        <v>115516.79999999999</v>
      </c>
      <c r="M136" s="4384">
        <f t="shared" si="56"/>
        <v>154022.39999999999</v>
      </c>
      <c r="N136" s="4386">
        <f t="shared" si="56"/>
        <v>152800</v>
      </c>
      <c r="O136" s="4385">
        <f t="shared" si="56"/>
        <v>133700</v>
      </c>
      <c r="P136" s="4384">
        <f t="shared" si="56"/>
        <v>133700</v>
      </c>
      <c r="Q136" s="4388">
        <f t="shared" si="56"/>
        <v>133700</v>
      </c>
      <c r="R136" s="4385">
        <f t="shared" si="56"/>
        <v>133700</v>
      </c>
      <c r="S136" s="4384">
        <f t="shared" si="56"/>
        <v>133700</v>
      </c>
      <c r="T136" s="4386">
        <f t="shared" si="56"/>
        <v>133700</v>
      </c>
      <c r="U136" s="4385">
        <f t="shared" si="56"/>
        <v>133700</v>
      </c>
      <c r="V136" s="4384">
        <f t="shared" si="56"/>
        <v>133700</v>
      </c>
      <c r="W136" s="4386">
        <f t="shared" si="56"/>
        <v>133700</v>
      </c>
      <c r="X136" s="2200">
        <f t="shared" si="24"/>
        <v>1625639.2</v>
      </c>
      <c r="Y136" s="1652"/>
      <c r="Z136" s="1539"/>
      <c r="AA136" s="1539"/>
      <c r="AB136" s="15"/>
      <c r="AC136" s="1599"/>
    </row>
    <row r="137" spans="1:29" s="1544" customFormat="1" ht="16.5" customHeight="1">
      <c r="A137" s="5135"/>
      <c r="B137" s="5138"/>
      <c r="C137" s="15"/>
      <c r="D137" s="1599"/>
      <c r="E137" s="4863">
        <v>24</v>
      </c>
      <c r="F137" s="1599" t="str">
        <f t="shared" si="55"/>
        <v>IMEB2 Housing</v>
      </c>
      <c r="G137" s="1561">
        <v>2.66</v>
      </c>
      <c r="H137" s="3435"/>
      <c r="I137" s="3450"/>
      <c r="J137" s="3442"/>
      <c r="K137" s="3411"/>
      <c r="L137" s="4385">
        <f t="shared" ref="L137:W137" si="57">L52*$G$137</f>
        <v>110315.52</v>
      </c>
      <c r="M137" s="4384">
        <f t="shared" si="57"/>
        <v>73543.680000000008</v>
      </c>
      <c r="N137" s="4386">
        <f t="shared" si="57"/>
        <v>133000</v>
      </c>
      <c r="O137" s="4385">
        <f t="shared" si="57"/>
        <v>133000</v>
      </c>
      <c r="P137" s="4384">
        <f t="shared" si="57"/>
        <v>133000</v>
      </c>
      <c r="Q137" s="4388">
        <f t="shared" si="57"/>
        <v>133000</v>
      </c>
      <c r="R137" s="4385">
        <f t="shared" si="57"/>
        <v>133000</v>
      </c>
      <c r="S137" s="4384">
        <f t="shared" si="57"/>
        <v>133000</v>
      </c>
      <c r="T137" s="4386">
        <f t="shared" si="57"/>
        <v>133000</v>
      </c>
      <c r="U137" s="4385">
        <f t="shared" si="57"/>
        <v>133000</v>
      </c>
      <c r="V137" s="4384">
        <f t="shared" si="57"/>
        <v>133000</v>
      </c>
      <c r="W137" s="4388">
        <f t="shared" si="57"/>
        <v>133000</v>
      </c>
      <c r="X137" s="2200">
        <f t="shared" si="24"/>
        <v>1513859.2</v>
      </c>
      <c r="Y137" s="1652"/>
      <c r="Z137" s="1539"/>
      <c r="AA137" s="1539"/>
      <c r="AB137" s="15"/>
      <c r="AC137" s="1599"/>
    </row>
    <row r="138" spans="1:29" s="1544" customFormat="1" ht="16.5" customHeight="1">
      <c r="A138" s="5135"/>
      <c r="B138" s="5138"/>
      <c r="C138" s="15"/>
      <c r="D138" s="1599"/>
      <c r="E138" s="4863">
        <v>25</v>
      </c>
      <c r="F138" s="1599" t="str">
        <f t="shared" si="55"/>
        <v>J100 Housing</v>
      </c>
      <c r="G138" s="1561">
        <v>3.78</v>
      </c>
      <c r="H138" s="3435"/>
      <c r="I138" s="3450"/>
      <c r="J138" s="3442"/>
      <c r="K138" s="3411"/>
      <c r="L138" s="4385">
        <f t="shared" ref="L138:W138" si="58">L53*$G$138</f>
        <v>19051.2</v>
      </c>
      <c r="M138" s="4384">
        <f t="shared" si="58"/>
        <v>18893.2</v>
      </c>
      <c r="N138" s="4386">
        <f t="shared" si="58"/>
        <v>19051.2</v>
      </c>
      <c r="O138" s="4385">
        <f t="shared" si="58"/>
        <v>9450</v>
      </c>
      <c r="P138" s="4384">
        <f t="shared" si="58"/>
        <v>9450</v>
      </c>
      <c r="Q138" s="4388">
        <f t="shared" si="58"/>
        <v>9450</v>
      </c>
      <c r="R138" s="4385">
        <f t="shared" si="58"/>
        <v>9450</v>
      </c>
      <c r="S138" s="4384">
        <f t="shared" si="58"/>
        <v>9450</v>
      </c>
      <c r="T138" s="4386">
        <f t="shared" si="58"/>
        <v>9450</v>
      </c>
      <c r="U138" s="4385">
        <f t="shared" si="58"/>
        <v>9450</v>
      </c>
      <c r="V138" s="4384">
        <f t="shared" si="58"/>
        <v>9450</v>
      </c>
      <c r="W138" s="4388">
        <f t="shared" si="58"/>
        <v>9450</v>
      </c>
      <c r="X138" s="2200">
        <f t="shared" si="24"/>
        <v>142045.6</v>
      </c>
      <c r="Y138" s="1652"/>
      <c r="Z138" s="1539"/>
      <c r="AA138" s="1539"/>
      <c r="AB138" s="15"/>
      <c r="AC138" s="1599"/>
    </row>
    <row r="139" spans="1:29" s="1544" customFormat="1" ht="16.5" customHeight="1">
      <c r="A139" s="5135"/>
      <c r="B139" s="5138"/>
      <c r="C139" s="15"/>
      <c r="D139" s="1599"/>
      <c r="E139" s="4863"/>
      <c r="F139" s="1599" t="str">
        <f t="shared" si="55"/>
        <v>BENZ R-EPS HSG (Anodizing)</v>
      </c>
      <c r="G139" s="1561">
        <v>5.28</v>
      </c>
      <c r="H139" s="3435"/>
      <c r="I139" s="3450"/>
      <c r="J139" s="3442"/>
      <c r="K139" s="3411"/>
      <c r="L139" s="4385">
        <f t="shared" ref="L139:W139" si="59">L54*$G$139</f>
        <v>0</v>
      </c>
      <c r="M139" s="4384">
        <f t="shared" si="59"/>
        <v>0</v>
      </c>
      <c r="N139" s="4386">
        <f t="shared" si="59"/>
        <v>0</v>
      </c>
      <c r="O139" s="4385">
        <f t="shared" si="59"/>
        <v>0</v>
      </c>
      <c r="P139" s="4384">
        <f t="shared" si="59"/>
        <v>0</v>
      </c>
      <c r="Q139" s="4388">
        <f t="shared" si="59"/>
        <v>0</v>
      </c>
      <c r="R139" s="4385">
        <f t="shared" si="59"/>
        <v>0</v>
      </c>
      <c r="S139" s="4384">
        <f t="shared" si="59"/>
        <v>0</v>
      </c>
      <c r="T139" s="4386">
        <f t="shared" si="59"/>
        <v>0</v>
      </c>
      <c r="U139" s="4385">
        <f t="shared" si="59"/>
        <v>0</v>
      </c>
      <c r="V139" s="4384">
        <f t="shared" si="59"/>
        <v>0</v>
      </c>
      <c r="W139" s="4388">
        <f t="shared" si="59"/>
        <v>0</v>
      </c>
      <c r="X139" s="2200">
        <f t="shared" si="24"/>
        <v>0</v>
      </c>
      <c r="Y139" s="1652"/>
      <c r="Z139" s="1539"/>
      <c r="AA139" s="1539"/>
      <c r="AB139" s="15"/>
      <c r="AC139" s="1599"/>
    </row>
    <row r="140" spans="1:29" s="1544" customFormat="1" ht="16.5" customHeight="1">
      <c r="A140" s="5135"/>
      <c r="B140" s="5138"/>
      <c r="C140" s="15"/>
      <c r="D140" s="1599"/>
      <c r="E140" s="4863"/>
      <c r="F140" s="1599" t="str">
        <f t="shared" si="55"/>
        <v>NE2 R-EPS HSG</v>
      </c>
      <c r="G140" s="1561">
        <v>4</v>
      </c>
      <c r="H140" s="3435"/>
      <c r="I140" s="3450"/>
      <c r="J140" s="3442"/>
      <c r="K140" s="3411"/>
      <c r="L140" s="4385">
        <f t="shared" ref="L140:W140" si="60">L55*$G$140</f>
        <v>0</v>
      </c>
      <c r="M140" s="4384">
        <f t="shared" si="60"/>
        <v>0</v>
      </c>
      <c r="N140" s="4386">
        <f t="shared" si="60"/>
        <v>0</v>
      </c>
      <c r="O140" s="4385">
        <f t="shared" si="60"/>
        <v>0</v>
      </c>
      <c r="P140" s="4384">
        <f t="shared" si="60"/>
        <v>0</v>
      </c>
      <c r="Q140" s="4388">
        <f t="shared" si="60"/>
        <v>0</v>
      </c>
      <c r="R140" s="4385">
        <f t="shared" si="60"/>
        <v>0</v>
      </c>
      <c r="S140" s="4384">
        <f t="shared" si="60"/>
        <v>0</v>
      </c>
      <c r="T140" s="4386">
        <f t="shared" si="60"/>
        <v>0</v>
      </c>
      <c r="U140" s="4385">
        <f t="shared" si="60"/>
        <v>0</v>
      </c>
      <c r="V140" s="4384">
        <f t="shared" si="60"/>
        <v>0</v>
      </c>
      <c r="W140" s="4388">
        <f t="shared" si="60"/>
        <v>0</v>
      </c>
      <c r="X140" s="2200">
        <f t="shared" si="24"/>
        <v>0</v>
      </c>
      <c r="Y140" s="1652"/>
      <c r="Z140" s="1539"/>
      <c r="AA140" s="1539"/>
      <c r="AB140" s="15"/>
      <c r="AC140" s="1599"/>
    </row>
    <row r="141" spans="1:29" s="1544" customFormat="1" ht="16.5" customHeight="1">
      <c r="A141" s="5135"/>
      <c r="B141" s="5138"/>
      <c r="C141" s="15"/>
      <c r="D141" s="1599"/>
      <c r="E141" s="4863"/>
      <c r="F141" s="1599" t="str">
        <f t="shared" si="55"/>
        <v>M184 R-EPS HSG</v>
      </c>
      <c r="G141" s="1561">
        <v>5.94</v>
      </c>
      <c r="H141" s="3435"/>
      <c r="I141" s="3450"/>
      <c r="J141" s="3442"/>
      <c r="K141" s="3411"/>
      <c r="L141" s="4385">
        <f t="shared" ref="L141:W141" si="61">L56*$G$141</f>
        <v>0</v>
      </c>
      <c r="M141" s="4384">
        <f t="shared" si="61"/>
        <v>0</v>
      </c>
      <c r="N141" s="4386">
        <f t="shared" si="61"/>
        <v>0</v>
      </c>
      <c r="O141" s="4385">
        <f t="shared" si="61"/>
        <v>0</v>
      </c>
      <c r="P141" s="4384">
        <f t="shared" si="61"/>
        <v>0</v>
      </c>
      <c r="Q141" s="4388">
        <f t="shared" si="61"/>
        <v>0</v>
      </c>
      <c r="R141" s="4385">
        <f t="shared" si="61"/>
        <v>0</v>
      </c>
      <c r="S141" s="4384">
        <f t="shared" si="61"/>
        <v>0</v>
      </c>
      <c r="T141" s="4386">
        <f t="shared" si="61"/>
        <v>0</v>
      </c>
      <c r="U141" s="4385">
        <f t="shared" si="61"/>
        <v>0</v>
      </c>
      <c r="V141" s="4384">
        <f t="shared" si="61"/>
        <v>0</v>
      </c>
      <c r="W141" s="4388">
        <f t="shared" si="61"/>
        <v>0</v>
      </c>
      <c r="X141" s="2200">
        <f t="shared" si="24"/>
        <v>0</v>
      </c>
      <c r="Y141" s="1652"/>
      <c r="Z141" s="1539"/>
      <c r="AA141" s="1539"/>
      <c r="AB141" s="15"/>
      <c r="AC141" s="1599"/>
    </row>
    <row r="142" spans="1:29" s="1544" customFormat="1" ht="16.5" customHeight="1">
      <c r="A142" s="5135"/>
      <c r="B142" s="5138"/>
      <c r="C142" s="15"/>
      <c r="D142" s="12" t="s">
        <v>874</v>
      </c>
      <c r="E142" s="4867">
        <v>26</v>
      </c>
      <c r="F142" s="1600" t="str">
        <f t="shared" si="55"/>
        <v>NX4 Cover</v>
      </c>
      <c r="G142" s="1580">
        <v>1.41</v>
      </c>
      <c r="H142" s="3436"/>
      <c r="I142" s="3451"/>
      <c r="J142" s="3443"/>
      <c r="K142" s="3414"/>
      <c r="L142" s="4389">
        <f t="shared" ref="L142:W142" si="62">L57*$G$142</f>
        <v>60912</v>
      </c>
      <c r="M142" s="4390">
        <f t="shared" si="62"/>
        <v>70048.800000000003</v>
      </c>
      <c r="N142" s="4391">
        <f t="shared" si="62"/>
        <v>70500</v>
      </c>
      <c r="O142" s="4389">
        <f t="shared" si="62"/>
        <v>63450</v>
      </c>
      <c r="P142" s="4390">
        <f t="shared" si="62"/>
        <v>63450</v>
      </c>
      <c r="Q142" s="4393">
        <f t="shared" si="62"/>
        <v>63450</v>
      </c>
      <c r="R142" s="4389">
        <f t="shared" si="62"/>
        <v>63450</v>
      </c>
      <c r="S142" s="4390">
        <f t="shared" si="62"/>
        <v>63450</v>
      </c>
      <c r="T142" s="4391">
        <f t="shared" si="62"/>
        <v>63450</v>
      </c>
      <c r="U142" s="4389">
        <f t="shared" si="62"/>
        <v>63450</v>
      </c>
      <c r="V142" s="4390">
        <f t="shared" si="62"/>
        <v>63450</v>
      </c>
      <c r="W142" s="4393">
        <f t="shared" si="62"/>
        <v>63450</v>
      </c>
      <c r="X142" s="2209">
        <f t="shared" si="24"/>
        <v>772510.8</v>
      </c>
      <c r="Y142" s="1652"/>
      <c r="Z142" s="1539"/>
      <c r="AA142" s="1539"/>
      <c r="AB142" s="12"/>
      <c r="AC142" s="12"/>
    </row>
    <row r="143" spans="1:29" s="1544" customFormat="1" ht="16.5" customHeight="1">
      <c r="A143" s="5135"/>
      <c r="B143" s="5138"/>
      <c r="C143" s="15"/>
      <c r="D143" s="15"/>
      <c r="E143" s="4866">
        <v>27</v>
      </c>
      <c r="F143" s="1599" t="str">
        <f t="shared" si="55"/>
        <v>Tey Gen4 Cover</v>
      </c>
      <c r="G143" s="1561">
        <v>1.74</v>
      </c>
      <c r="H143" s="3435"/>
      <c r="I143" s="3450"/>
      <c r="J143" s="3442"/>
      <c r="K143" s="3411"/>
      <c r="L143" s="4385">
        <f t="shared" ref="L143:W143" si="63">L58*$G$143</f>
        <v>142680</v>
      </c>
      <c r="M143" s="4384">
        <f t="shared" si="63"/>
        <v>114840</v>
      </c>
      <c r="N143" s="4386">
        <f t="shared" si="63"/>
        <v>142680</v>
      </c>
      <c r="O143" s="4385">
        <f t="shared" si="63"/>
        <v>139200</v>
      </c>
      <c r="P143" s="4384">
        <f t="shared" si="63"/>
        <v>139200</v>
      </c>
      <c r="Q143" s="4388">
        <f t="shared" si="63"/>
        <v>139200</v>
      </c>
      <c r="R143" s="4385">
        <f t="shared" si="63"/>
        <v>130500</v>
      </c>
      <c r="S143" s="4384">
        <f t="shared" si="63"/>
        <v>130500</v>
      </c>
      <c r="T143" s="4386">
        <f t="shared" si="63"/>
        <v>130500</v>
      </c>
      <c r="U143" s="4385">
        <f t="shared" si="63"/>
        <v>121800</v>
      </c>
      <c r="V143" s="4384">
        <f t="shared" si="63"/>
        <v>121800</v>
      </c>
      <c r="W143" s="4388">
        <f t="shared" si="63"/>
        <v>121800</v>
      </c>
      <c r="X143" s="2200">
        <f t="shared" si="24"/>
        <v>1574700</v>
      </c>
      <c r="Y143" s="1652"/>
      <c r="Z143" s="1539"/>
      <c r="AA143" s="1539"/>
      <c r="AB143" s="15"/>
      <c r="AC143" s="15"/>
    </row>
    <row r="144" spans="1:29" s="1544" customFormat="1" ht="16.5" customHeight="1">
      <c r="A144" s="5135"/>
      <c r="B144" s="5138"/>
      <c r="C144" s="15"/>
      <c r="D144" s="13"/>
      <c r="E144" s="4866">
        <v>28</v>
      </c>
      <c r="F144" s="1636" t="s">
        <v>1269</v>
      </c>
      <c r="G144" s="1561">
        <v>2.97</v>
      </c>
      <c r="H144" s="3435"/>
      <c r="I144" s="3450"/>
      <c r="J144" s="3442"/>
      <c r="K144" s="3411"/>
      <c r="L144" s="4385">
        <f t="shared" ref="L144:W144" si="64">L59*$G$144</f>
        <v>0</v>
      </c>
      <c r="M144" s="4384">
        <f t="shared" si="64"/>
        <v>0</v>
      </c>
      <c r="N144" s="4386">
        <f t="shared" si="64"/>
        <v>0</v>
      </c>
      <c r="O144" s="4385">
        <f t="shared" si="64"/>
        <v>0</v>
      </c>
      <c r="P144" s="4384">
        <f t="shared" si="64"/>
        <v>0</v>
      </c>
      <c r="Q144" s="4388">
        <f t="shared" si="64"/>
        <v>0</v>
      </c>
      <c r="R144" s="4385">
        <f t="shared" si="64"/>
        <v>0</v>
      </c>
      <c r="S144" s="4384">
        <f t="shared" si="64"/>
        <v>0</v>
      </c>
      <c r="T144" s="4386">
        <f t="shared" si="64"/>
        <v>0</v>
      </c>
      <c r="U144" s="4385">
        <f t="shared" si="64"/>
        <v>0</v>
      </c>
      <c r="V144" s="4384">
        <f t="shared" si="64"/>
        <v>0</v>
      </c>
      <c r="W144" s="4388">
        <f t="shared" si="64"/>
        <v>0</v>
      </c>
      <c r="X144" s="2200">
        <f t="shared" si="24"/>
        <v>0</v>
      </c>
      <c r="Y144" s="1652"/>
      <c r="Z144" s="1539"/>
      <c r="AA144" s="1539"/>
      <c r="AB144" s="15"/>
      <c r="AC144" s="13"/>
    </row>
    <row r="145" spans="1:30" s="1544" customFormat="1" ht="16.5" customHeight="1">
      <c r="A145" s="5135"/>
      <c r="B145" s="5138"/>
      <c r="C145" s="15"/>
      <c r="D145" s="13"/>
      <c r="E145" s="4866">
        <v>29</v>
      </c>
      <c r="F145" s="1636" t="s">
        <v>1270</v>
      </c>
      <c r="G145" s="1561">
        <v>2.86</v>
      </c>
      <c r="H145" s="3435"/>
      <c r="I145" s="3450"/>
      <c r="J145" s="3442"/>
      <c r="K145" s="3411"/>
      <c r="L145" s="4385">
        <f t="shared" ref="L145:W145" si="65">L60*$G$145</f>
        <v>0</v>
      </c>
      <c r="M145" s="4384">
        <f t="shared" si="65"/>
        <v>0</v>
      </c>
      <c r="N145" s="4386">
        <f t="shared" si="65"/>
        <v>0</v>
      </c>
      <c r="O145" s="4385">
        <f t="shared" si="65"/>
        <v>0</v>
      </c>
      <c r="P145" s="4384">
        <f t="shared" si="65"/>
        <v>0</v>
      </c>
      <c r="Q145" s="4388">
        <f t="shared" si="65"/>
        <v>0</v>
      </c>
      <c r="R145" s="4385">
        <f t="shared" si="65"/>
        <v>0</v>
      </c>
      <c r="S145" s="4384">
        <f t="shared" si="65"/>
        <v>0</v>
      </c>
      <c r="T145" s="4386">
        <f t="shared" si="65"/>
        <v>0</v>
      </c>
      <c r="U145" s="4385">
        <f t="shared" si="65"/>
        <v>0</v>
      </c>
      <c r="V145" s="4384">
        <f t="shared" si="65"/>
        <v>8580</v>
      </c>
      <c r="W145" s="4388">
        <f t="shared" si="65"/>
        <v>953.33333333333326</v>
      </c>
      <c r="X145" s="2200">
        <f t="shared" si="24"/>
        <v>9533.3333333333339</v>
      </c>
      <c r="Y145" s="1652"/>
      <c r="Z145" s="1539"/>
      <c r="AA145" s="1539"/>
      <c r="AB145" s="15"/>
      <c r="AC145" s="13"/>
    </row>
    <row r="146" spans="1:30" s="1544" customFormat="1" ht="16.5" customHeight="1">
      <c r="A146" s="5135"/>
      <c r="B146" s="5138"/>
      <c r="C146" s="15"/>
      <c r="D146" s="13"/>
      <c r="E146" s="4866">
        <v>30</v>
      </c>
      <c r="F146" s="1636" t="s">
        <v>1271</v>
      </c>
      <c r="G146" s="1561">
        <v>2.69</v>
      </c>
      <c r="H146" s="3435"/>
      <c r="I146" s="3450"/>
      <c r="J146" s="3442"/>
      <c r="K146" s="3411"/>
      <c r="L146" s="4385">
        <f t="shared" ref="L146:W146" si="66">L61*$G$146</f>
        <v>0</v>
      </c>
      <c r="M146" s="4384">
        <f t="shared" si="66"/>
        <v>0</v>
      </c>
      <c r="N146" s="4386">
        <f t="shared" si="66"/>
        <v>0</v>
      </c>
      <c r="O146" s="4385">
        <f t="shared" si="66"/>
        <v>0</v>
      </c>
      <c r="P146" s="4384">
        <f t="shared" si="66"/>
        <v>31383.333333333332</v>
      </c>
      <c r="Q146" s="4388">
        <f t="shared" si="66"/>
        <v>31383.333333333332</v>
      </c>
      <c r="R146" s="4385">
        <f t="shared" si="66"/>
        <v>31383.333333333332</v>
      </c>
      <c r="S146" s="4384">
        <f t="shared" si="66"/>
        <v>31383.333333333332</v>
      </c>
      <c r="T146" s="4386">
        <f t="shared" si="66"/>
        <v>31383.333333333332</v>
      </c>
      <c r="U146" s="4385">
        <f t="shared" si="66"/>
        <v>31383.333333333332</v>
      </c>
      <c r="V146" s="4384">
        <f t="shared" si="66"/>
        <v>31383.333333333332</v>
      </c>
      <c r="W146" s="4388">
        <f t="shared" si="66"/>
        <v>31383.333333333332</v>
      </c>
      <c r="X146" s="2200">
        <f t="shared" si="24"/>
        <v>251066.66666666669</v>
      </c>
      <c r="Y146" s="1652"/>
      <c r="Z146" s="1539"/>
      <c r="AA146" s="1539"/>
      <c r="AB146" s="15"/>
      <c r="AC146" s="13"/>
    </row>
    <row r="147" spans="1:30" s="1544" customFormat="1" ht="16.5" customHeight="1">
      <c r="A147" s="5135"/>
      <c r="B147" s="5138"/>
      <c r="C147" s="15"/>
      <c r="D147" s="13"/>
      <c r="E147" s="4866">
        <v>31</v>
      </c>
      <c r="F147" s="1636" t="s">
        <v>1272</v>
      </c>
      <c r="G147" s="1561">
        <v>2.86</v>
      </c>
      <c r="H147" s="3435"/>
      <c r="I147" s="3450"/>
      <c r="J147" s="3442"/>
      <c r="K147" s="3411"/>
      <c r="L147" s="4385">
        <f t="shared" ref="L147:W147" si="67">L62*$G$147</f>
        <v>0</v>
      </c>
      <c r="M147" s="4384">
        <f t="shared" si="67"/>
        <v>0</v>
      </c>
      <c r="N147" s="4386">
        <f t="shared" si="67"/>
        <v>0</v>
      </c>
      <c r="O147" s="4385">
        <f t="shared" si="67"/>
        <v>0</v>
      </c>
      <c r="P147" s="4384">
        <f t="shared" si="67"/>
        <v>7150</v>
      </c>
      <c r="Q147" s="4388">
        <f t="shared" si="67"/>
        <v>7150</v>
      </c>
      <c r="R147" s="4385">
        <f t="shared" si="67"/>
        <v>7150</v>
      </c>
      <c r="S147" s="4384">
        <f t="shared" si="67"/>
        <v>7150</v>
      </c>
      <c r="T147" s="4386">
        <f t="shared" si="67"/>
        <v>7150</v>
      </c>
      <c r="U147" s="4385">
        <f t="shared" si="67"/>
        <v>7150</v>
      </c>
      <c r="V147" s="4384">
        <f t="shared" si="67"/>
        <v>7150</v>
      </c>
      <c r="W147" s="4388">
        <f t="shared" si="67"/>
        <v>7150</v>
      </c>
      <c r="X147" s="2200">
        <f t="shared" si="24"/>
        <v>57200</v>
      </c>
      <c r="Y147" s="1652"/>
      <c r="Z147" s="1539"/>
      <c r="AA147" s="1539"/>
      <c r="AB147" s="15"/>
      <c r="AC147" s="13"/>
    </row>
    <row r="148" spans="1:30" s="1544" customFormat="1" ht="15.6" customHeight="1">
      <c r="A148" s="5135"/>
      <c r="B148" s="5138"/>
      <c r="C148" s="11"/>
      <c r="D148" s="1601" t="s">
        <v>892</v>
      </c>
      <c r="E148" s="4877">
        <v>32</v>
      </c>
      <c r="F148" s="1601" t="str">
        <f t="shared" ref="F148:F157" si="68">F63</f>
        <v>MAS65 Heatsink Cover</v>
      </c>
      <c r="G148" s="1602">
        <v>1.1529856447955524</v>
      </c>
      <c r="H148" s="3438"/>
      <c r="I148" s="3453"/>
      <c r="J148" s="3445"/>
      <c r="K148" s="3417"/>
      <c r="L148" s="4402">
        <f t="shared" ref="L148:W148" si="69">L63*$G$148</f>
        <v>114710.39999999999</v>
      </c>
      <c r="M148" s="4403">
        <f t="shared" si="69"/>
        <v>76473.599999999991</v>
      </c>
      <c r="N148" s="4404">
        <f t="shared" si="69"/>
        <v>89856.48000000001</v>
      </c>
      <c r="O148" s="4402">
        <f t="shared" si="69"/>
        <v>66004</v>
      </c>
      <c r="P148" s="4403">
        <f t="shared" si="69"/>
        <v>66004</v>
      </c>
      <c r="Q148" s="4405">
        <f t="shared" si="69"/>
        <v>66004</v>
      </c>
      <c r="R148" s="4402">
        <f t="shared" si="69"/>
        <v>66004</v>
      </c>
      <c r="S148" s="4403">
        <f t="shared" si="69"/>
        <v>66004</v>
      </c>
      <c r="T148" s="4404">
        <f t="shared" si="69"/>
        <v>66004</v>
      </c>
      <c r="U148" s="4402">
        <f t="shared" si="69"/>
        <v>66004</v>
      </c>
      <c r="V148" s="4403">
        <f t="shared" si="69"/>
        <v>66004</v>
      </c>
      <c r="W148" s="4405">
        <f t="shared" si="69"/>
        <v>66004</v>
      </c>
      <c r="X148" s="3572">
        <f t="shared" si="24"/>
        <v>875076.48</v>
      </c>
      <c r="Y148" s="1652"/>
      <c r="Z148" s="2580"/>
      <c r="AA148" s="2580"/>
      <c r="AB148" s="1635"/>
      <c r="AC148" s="1601"/>
    </row>
    <row r="149" spans="1:30" s="1544" customFormat="1" ht="16.5" customHeight="1">
      <c r="A149" s="5135"/>
      <c r="B149" s="5138"/>
      <c r="C149" s="15" t="s">
        <v>22</v>
      </c>
      <c r="D149" s="1599" t="s">
        <v>865</v>
      </c>
      <c r="E149" s="4866">
        <v>33</v>
      </c>
      <c r="F149" s="15" t="str">
        <f t="shared" si="68"/>
        <v>FCA Housing</v>
      </c>
      <c r="G149" s="1561">
        <v>1.2499036613596994</v>
      </c>
      <c r="H149" s="3432"/>
      <c r="I149" s="3447"/>
      <c r="J149" s="3439"/>
      <c r="K149" s="3416"/>
      <c r="L149" s="4385">
        <f t="shared" ref="L149:W149" si="70">L64*$G$149</f>
        <v>64691.135999999999</v>
      </c>
      <c r="M149" s="4384">
        <f t="shared" si="70"/>
        <v>64691.135999999999</v>
      </c>
      <c r="N149" s="4386">
        <f t="shared" si="70"/>
        <v>56011.991500000011</v>
      </c>
      <c r="O149" s="4385">
        <f t="shared" si="70"/>
        <v>56011.991500000011</v>
      </c>
      <c r="P149" s="4384">
        <f t="shared" si="70"/>
        <v>56011.991500000011</v>
      </c>
      <c r="Q149" s="4388">
        <f t="shared" si="70"/>
        <v>56011.991500000011</v>
      </c>
      <c r="R149" s="4385">
        <f t="shared" si="70"/>
        <v>56011.991500000011</v>
      </c>
      <c r="S149" s="4384">
        <f t="shared" si="70"/>
        <v>56011.991500000011</v>
      </c>
      <c r="T149" s="4386">
        <f t="shared" si="70"/>
        <v>56011.991500000011</v>
      </c>
      <c r="U149" s="4385">
        <f t="shared" si="70"/>
        <v>56011.991500000011</v>
      </c>
      <c r="V149" s="4384">
        <f t="shared" si="70"/>
        <v>56011.991500000011</v>
      </c>
      <c r="W149" s="4388">
        <f t="shared" si="70"/>
        <v>56011.991500000011</v>
      </c>
      <c r="X149" s="2200">
        <f t="shared" si="24"/>
        <v>689502.18700000003</v>
      </c>
      <c r="Y149" s="1652"/>
      <c r="Z149" s="1539"/>
      <c r="AA149" s="1539"/>
      <c r="AB149" s="15"/>
      <c r="AC149" s="1599"/>
    </row>
    <row r="150" spans="1:30" s="1544" customFormat="1" ht="16.5" customHeight="1">
      <c r="A150" s="5135"/>
      <c r="B150" s="5138"/>
      <c r="C150" s="15"/>
      <c r="D150" s="15"/>
      <c r="E150" s="4866">
        <v>34</v>
      </c>
      <c r="F150" s="15" t="str">
        <f t="shared" si="68"/>
        <v>GM EU2L Housing</v>
      </c>
      <c r="G150" s="1561">
        <v>1.3532265538756645</v>
      </c>
      <c r="H150" s="3435"/>
      <c r="I150" s="3450"/>
      <c r="J150" s="3442"/>
      <c r="K150" s="3411"/>
      <c r="L150" s="4385">
        <f t="shared" ref="L150:W150" si="71">L65*$G$150</f>
        <v>64488.226410688083</v>
      </c>
      <c r="M150" s="4384">
        <f t="shared" si="71"/>
        <v>61873.724698072416</v>
      </c>
      <c r="N150" s="4386">
        <f t="shared" si="71"/>
        <v>65833.315034107683</v>
      </c>
      <c r="O150" s="4385">
        <f t="shared" si="71"/>
        <v>65833.315034107683</v>
      </c>
      <c r="P150" s="4384">
        <f t="shared" si="71"/>
        <v>67195.034676094991</v>
      </c>
      <c r="Q150" s="4388">
        <f t="shared" si="71"/>
        <v>87323.846831481133</v>
      </c>
      <c r="R150" s="4385">
        <f t="shared" si="71"/>
        <v>81634.102595558637</v>
      </c>
      <c r="S150" s="4384">
        <f t="shared" si="71"/>
        <v>81634.102595558637</v>
      </c>
      <c r="T150" s="4386">
        <f t="shared" si="71"/>
        <v>80054.507810853349</v>
      </c>
      <c r="U150" s="4385">
        <f t="shared" si="71"/>
        <v>65615.439891389702</v>
      </c>
      <c r="V150" s="4384">
        <f t="shared" si="71"/>
        <v>45486.627736003575</v>
      </c>
      <c r="W150" s="4388">
        <f t="shared" si="71"/>
        <v>47066.22252070887</v>
      </c>
      <c r="X150" s="2200">
        <f t="shared" si="24"/>
        <v>814038.46583462483</v>
      </c>
      <c r="Y150" s="1652"/>
      <c r="Z150" s="1539"/>
      <c r="AA150" s="1539"/>
      <c r="AB150" s="15"/>
      <c r="AC150" s="15"/>
    </row>
    <row r="151" spans="1:30" s="1579" customFormat="1" ht="16.5" customHeight="1">
      <c r="A151" s="5135"/>
      <c r="B151" s="5138"/>
      <c r="C151" s="15"/>
      <c r="D151" s="15"/>
      <c r="E151" s="4866">
        <v>35</v>
      </c>
      <c r="F151" s="15" t="str">
        <f t="shared" si="68"/>
        <v>GM ACP Housing</v>
      </c>
      <c r="G151" s="1561">
        <v>1.8021041927736006</v>
      </c>
      <c r="H151" s="3435"/>
      <c r="I151" s="3450"/>
      <c r="J151" s="3442"/>
      <c r="K151" s="3411"/>
      <c r="L151" s="4385">
        <f t="shared" ref="L151:W151" si="72">L66*$G$151</f>
        <v>213403.81978779857</v>
      </c>
      <c r="M151" s="4384">
        <f t="shared" si="72"/>
        <v>213403.81978779857</v>
      </c>
      <c r="N151" s="4386">
        <f t="shared" si="72"/>
        <v>220546.37414289714</v>
      </c>
      <c r="O151" s="4385">
        <f t="shared" si="72"/>
        <v>210996.80616656353</v>
      </c>
      <c r="P151" s="4384">
        <f t="shared" si="72"/>
        <v>218200.93358289698</v>
      </c>
      <c r="Q151" s="4388">
        <f t="shared" si="72"/>
        <v>218200.93358289698</v>
      </c>
      <c r="R151" s="4385">
        <f t="shared" si="72"/>
        <v>218200.93358289698</v>
      </c>
      <c r="S151" s="4384">
        <f t="shared" si="72"/>
        <v>218200.93358289698</v>
      </c>
      <c r="T151" s="4386">
        <f t="shared" si="72"/>
        <v>208651.3656065634</v>
      </c>
      <c r="U151" s="4385">
        <f t="shared" si="72"/>
        <v>208651.3656065634</v>
      </c>
      <c r="V151" s="4384">
        <f t="shared" si="72"/>
        <v>208651.3656065634</v>
      </c>
      <c r="W151" s="4388">
        <f t="shared" si="72"/>
        <v>218200.93358289698</v>
      </c>
      <c r="X151" s="2200">
        <f t="shared" si="24"/>
        <v>2575309.5846192329</v>
      </c>
      <c r="Y151" s="1652"/>
      <c r="Z151" s="1539"/>
      <c r="AA151" s="1539"/>
      <c r="AB151" s="15"/>
      <c r="AC151" s="15"/>
    </row>
    <row r="152" spans="1:30" s="1579" customFormat="1" ht="16.5" customHeight="1">
      <c r="A152" s="5135"/>
      <c r="B152" s="5138"/>
      <c r="C152" s="13"/>
      <c r="D152" s="12" t="s">
        <v>874</v>
      </c>
      <c r="E152" s="4867">
        <v>36</v>
      </c>
      <c r="F152" s="12" t="str">
        <f t="shared" si="68"/>
        <v>FCA Cover</v>
      </c>
      <c r="G152" s="1580">
        <v>1.117840943747278</v>
      </c>
      <c r="H152" s="3436"/>
      <c r="I152" s="3451"/>
      <c r="J152" s="3443"/>
      <c r="K152" s="3414"/>
      <c r="L152" s="4389">
        <f t="shared" ref="L152:W152" si="73">L67*$G$152</f>
        <v>57894.912000000004</v>
      </c>
      <c r="M152" s="4390">
        <f t="shared" si="73"/>
        <v>57894.912000000004</v>
      </c>
      <c r="N152" s="4391">
        <f t="shared" si="73"/>
        <v>50127.567999999999</v>
      </c>
      <c r="O152" s="4389">
        <f t="shared" si="73"/>
        <v>50127.567999999999</v>
      </c>
      <c r="P152" s="4390">
        <f t="shared" si="73"/>
        <v>50127.567999999999</v>
      </c>
      <c r="Q152" s="4393">
        <f t="shared" si="73"/>
        <v>50127.567999999999</v>
      </c>
      <c r="R152" s="4389">
        <f t="shared" si="73"/>
        <v>50127.567999999999</v>
      </c>
      <c r="S152" s="4390">
        <f t="shared" si="73"/>
        <v>50127.567999999999</v>
      </c>
      <c r="T152" s="4391">
        <f t="shared" si="73"/>
        <v>50127.567999999999</v>
      </c>
      <c r="U152" s="4389">
        <f t="shared" si="73"/>
        <v>50127.567999999999</v>
      </c>
      <c r="V152" s="4390">
        <f t="shared" si="73"/>
        <v>50127.567999999999</v>
      </c>
      <c r="W152" s="4391">
        <f t="shared" si="73"/>
        <v>50127.567999999999</v>
      </c>
      <c r="X152" s="2209">
        <f t="shared" si="24"/>
        <v>617065.50399999984</v>
      </c>
      <c r="Y152" s="1652"/>
      <c r="Z152" s="1539"/>
      <c r="AA152" s="1539"/>
      <c r="AB152" s="13"/>
      <c r="AC152" s="12"/>
    </row>
    <row r="153" spans="1:30" s="1579" customFormat="1" ht="16.5" customHeight="1">
      <c r="A153" s="5135"/>
      <c r="B153" s="5138"/>
      <c r="C153" s="13"/>
      <c r="D153" s="15"/>
      <c r="E153" s="4866">
        <v>37</v>
      </c>
      <c r="F153" s="15" t="str">
        <f t="shared" si="68"/>
        <v>GM EU2L Cover</v>
      </c>
      <c r="G153" s="1561">
        <v>1.1984147066786577</v>
      </c>
      <c r="H153" s="3435"/>
      <c r="I153" s="3450"/>
      <c r="J153" s="3442"/>
      <c r="K153" s="3411"/>
      <c r="L153" s="4385">
        <f t="shared" ref="L153:W153" si="74">L68*$G$153</f>
        <v>55964.402234823814</v>
      </c>
      <c r="M153" s="4384">
        <f t="shared" si="74"/>
        <v>53613.205378455175</v>
      </c>
      <c r="N153" s="4388">
        <f t="shared" si="74"/>
        <v>57134.895824893654</v>
      </c>
      <c r="O153" s="4385">
        <f t="shared" si="74"/>
        <v>57134.895824893654</v>
      </c>
      <c r="P153" s="4384">
        <f t="shared" si="74"/>
        <v>58359.217163510904</v>
      </c>
      <c r="Q153" s="4388">
        <f t="shared" si="74"/>
        <v>75771.753986985786</v>
      </c>
      <c r="R153" s="4385">
        <f t="shared" si="74"/>
        <v>70849.810244883556</v>
      </c>
      <c r="S153" s="4384">
        <f t="shared" si="74"/>
        <v>70849.810244883556</v>
      </c>
      <c r="T153" s="4386">
        <f t="shared" si="74"/>
        <v>69429.597492087531</v>
      </c>
      <c r="U153" s="4385">
        <f t="shared" si="74"/>
        <v>56939.004410714901</v>
      </c>
      <c r="V153" s="4384">
        <f t="shared" si="74"/>
        <v>39526.467587240004</v>
      </c>
      <c r="W153" s="4386">
        <f t="shared" si="74"/>
        <v>40946.680340036022</v>
      </c>
      <c r="X153" s="2200">
        <f t="shared" si="24"/>
        <v>706519.7407334086</v>
      </c>
      <c r="Y153" s="1652"/>
      <c r="Z153" s="1539"/>
      <c r="AA153" s="1539"/>
      <c r="AB153" s="13"/>
      <c r="AC153" s="15"/>
    </row>
    <row r="154" spans="1:30" s="1579" customFormat="1" ht="16.5" customHeight="1">
      <c r="A154" s="5135"/>
      <c r="B154" s="5138"/>
      <c r="C154" s="13"/>
      <c r="D154" s="1586"/>
      <c r="E154" s="4866">
        <v>38</v>
      </c>
      <c r="F154" s="1586" t="str">
        <f t="shared" si="68"/>
        <v>GM ACP Cover</v>
      </c>
      <c r="G154" s="1587">
        <v>1.2087003393901419</v>
      </c>
      <c r="H154" s="3437"/>
      <c r="I154" s="3452"/>
      <c r="J154" s="3444"/>
      <c r="K154" s="3415"/>
      <c r="L154" s="4394">
        <f t="shared" ref="L154:W154" si="75">L69*$G$154</f>
        <v>141941.28186035939</v>
      </c>
      <c r="M154" s="4395">
        <f t="shared" si="75"/>
        <v>141941.28186035939</v>
      </c>
      <c r="N154" s="4397">
        <f t="shared" si="75"/>
        <v>147056.17152820993</v>
      </c>
      <c r="O154" s="4394">
        <f t="shared" si="75"/>
        <v>140217.58351806508</v>
      </c>
      <c r="P154" s="4395">
        <f t="shared" si="75"/>
        <v>145517.62784904864</v>
      </c>
      <c r="Q154" s="4397">
        <f t="shared" si="75"/>
        <v>145517.62784904864</v>
      </c>
      <c r="R154" s="4394">
        <f t="shared" si="75"/>
        <v>145517.62784904864</v>
      </c>
      <c r="S154" s="4395">
        <f t="shared" si="75"/>
        <v>145517.62784904864</v>
      </c>
      <c r="T154" s="4396">
        <f t="shared" si="75"/>
        <v>138679.03983890379</v>
      </c>
      <c r="U154" s="4394">
        <f t="shared" si="75"/>
        <v>138679.03983890379</v>
      </c>
      <c r="V154" s="4395">
        <f t="shared" si="75"/>
        <v>138679.03983890379</v>
      </c>
      <c r="W154" s="4396">
        <f t="shared" si="75"/>
        <v>145517.62784904864</v>
      </c>
      <c r="X154" s="2212">
        <f t="shared" si="24"/>
        <v>1714781.5775289487</v>
      </c>
      <c r="Y154" s="1652"/>
      <c r="Z154" s="1539"/>
      <c r="AA154" s="1539"/>
      <c r="AB154" s="13"/>
      <c r="AC154" s="1586"/>
    </row>
    <row r="155" spans="1:30" s="1544" customFormat="1" ht="16.5" customHeight="1">
      <c r="A155" s="5135"/>
      <c r="B155" s="5138"/>
      <c r="C155" s="13"/>
      <c r="D155" s="15" t="s">
        <v>885</v>
      </c>
      <c r="E155" s="4878">
        <v>39</v>
      </c>
      <c r="F155" s="1599" t="str">
        <f t="shared" si="68"/>
        <v>Lens Mount</v>
      </c>
      <c r="G155" s="1561">
        <v>0.57163166582357761</v>
      </c>
      <c r="H155" s="3435"/>
      <c r="I155" s="3450"/>
      <c r="J155" s="3442"/>
      <c r="K155" s="3411"/>
      <c r="L155" s="4385">
        <f t="shared" ref="L155:W155" si="76">L70*$G$155</f>
        <v>84283.391999999993</v>
      </c>
      <c r="M155" s="4384">
        <f t="shared" si="76"/>
        <v>84741.631999999998</v>
      </c>
      <c r="N155" s="4388">
        <f t="shared" si="76"/>
        <v>126541.48866666666</v>
      </c>
      <c r="O155" s="4385">
        <f t="shared" si="76"/>
        <v>123677.48866666667</v>
      </c>
      <c r="P155" s="4384">
        <f t="shared" si="76"/>
        <v>123677.48866666667</v>
      </c>
      <c r="Q155" s="4388">
        <f t="shared" si="76"/>
        <v>119074.28866666666</v>
      </c>
      <c r="R155" s="4385">
        <f t="shared" si="76"/>
        <v>119074.28866666666</v>
      </c>
      <c r="S155" s="4384">
        <f t="shared" si="76"/>
        <v>121938.28866666667</v>
      </c>
      <c r="T155" s="4386">
        <f t="shared" si="76"/>
        <v>126541.48866666666</v>
      </c>
      <c r="U155" s="4385">
        <f t="shared" si="76"/>
        <v>123677.48866666667</v>
      </c>
      <c r="V155" s="4384">
        <f t="shared" si="76"/>
        <v>119074.28866666666</v>
      </c>
      <c r="W155" s="4386">
        <f t="shared" si="76"/>
        <v>119074.28866666666</v>
      </c>
      <c r="X155" s="2200">
        <f t="shared" si="24"/>
        <v>1391375.9106666669</v>
      </c>
      <c r="Y155" s="1652"/>
      <c r="Z155" s="1539"/>
      <c r="AA155" s="1539"/>
      <c r="AB155" s="13"/>
      <c r="AC155" s="15"/>
    </row>
    <row r="156" spans="1:30" s="1579" customFormat="1" ht="16.5" customHeight="1">
      <c r="A156" s="5135"/>
      <c r="B156" s="5138"/>
      <c r="C156" s="1636"/>
      <c r="D156" s="12" t="s">
        <v>892</v>
      </c>
      <c r="E156" s="4866">
        <v>40</v>
      </c>
      <c r="F156" s="12" t="str">
        <f t="shared" si="68"/>
        <v>IPM 1.0 Housing</v>
      </c>
      <c r="G156" s="1580">
        <v>3.6857968350552484</v>
      </c>
      <c r="H156" s="3436"/>
      <c r="I156" s="3451"/>
      <c r="J156" s="3443"/>
      <c r="K156" s="3414"/>
      <c r="L156" s="4389">
        <f t="shared" ref="L156:W156" si="77">L71*$G$156</f>
        <v>38321.164799999999</v>
      </c>
      <c r="M156" s="4390">
        <f t="shared" si="77"/>
        <v>38321.164799999999</v>
      </c>
      <c r="N156" s="4393">
        <f t="shared" si="77"/>
        <v>29568.799999999999</v>
      </c>
      <c r="O156" s="4389">
        <f t="shared" si="77"/>
        <v>29568.799999999999</v>
      </c>
      <c r="P156" s="4390">
        <f t="shared" si="77"/>
        <v>51627.124799999998</v>
      </c>
      <c r="Q156" s="4393">
        <f t="shared" si="77"/>
        <v>51627.124799999998</v>
      </c>
      <c r="R156" s="4389">
        <f t="shared" si="77"/>
        <v>51627.124799999998</v>
      </c>
      <c r="S156" s="4390">
        <f t="shared" si="77"/>
        <v>29568.799999999999</v>
      </c>
      <c r="T156" s="4391">
        <f t="shared" si="77"/>
        <v>38321.164799999999</v>
      </c>
      <c r="U156" s="4389">
        <f t="shared" si="77"/>
        <v>38321.164799999999</v>
      </c>
      <c r="V156" s="4390">
        <f t="shared" si="77"/>
        <v>38321.164799999999</v>
      </c>
      <c r="W156" s="4391">
        <f t="shared" si="77"/>
        <v>29568.799999999999</v>
      </c>
      <c r="X156" s="2209">
        <f t="shared" si="24"/>
        <v>464762.39840000001</v>
      </c>
      <c r="Y156" s="1652"/>
      <c r="Z156" s="1539"/>
      <c r="AA156" s="1539"/>
      <c r="AB156" s="1636"/>
      <c r="AC156" s="12"/>
    </row>
    <row r="157" spans="1:30" s="1579" customFormat="1" ht="16.5" customHeight="1">
      <c r="A157" s="5135"/>
      <c r="B157" s="5138"/>
      <c r="C157" s="1599"/>
      <c r="D157" s="15"/>
      <c r="E157" s="4866">
        <v>41</v>
      </c>
      <c r="F157" s="15" t="str">
        <f t="shared" si="68"/>
        <v>IPM 2.0  Base Housing</v>
      </c>
      <c r="G157" s="1561">
        <v>5.1424829629629629</v>
      </c>
      <c r="H157" s="3435"/>
      <c r="I157" s="3450"/>
      <c r="J157" s="3442"/>
      <c r="K157" s="3411"/>
      <c r="L157" s="4385">
        <f t="shared" ref="L157:W157" si="78">L72*$G$157</f>
        <v>14771.366400000001</v>
      </c>
      <c r="M157" s="4384">
        <f t="shared" si="78"/>
        <v>14771.366400000001</v>
      </c>
      <c r="N157" s="4388">
        <f t="shared" si="78"/>
        <v>24728.850000000002</v>
      </c>
      <c r="O157" s="4385">
        <f t="shared" si="78"/>
        <v>14771.366400000001</v>
      </c>
      <c r="P157" s="4384">
        <f t="shared" si="78"/>
        <v>14771.366400000001</v>
      </c>
      <c r="Q157" s="4388">
        <f t="shared" si="78"/>
        <v>14771.366400000001</v>
      </c>
      <c r="R157" s="4385">
        <f t="shared" si="78"/>
        <v>24728.850000000002</v>
      </c>
      <c r="S157" s="4384">
        <f t="shared" si="78"/>
        <v>24728.850000000002</v>
      </c>
      <c r="T157" s="4386">
        <f t="shared" si="78"/>
        <v>24728.850000000002</v>
      </c>
      <c r="U157" s="4385">
        <f t="shared" si="78"/>
        <v>14771.366400000001</v>
      </c>
      <c r="V157" s="4384">
        <f t="shared" si="78"/>
        <v>14771.366400000001</v>
      </c>
      <c r="W157" s="4386">
        <f t="shared" si="78"/>
        <v>14771.366400000001</v>
      </c>
      <c r="X157" s="2200">
        <f t="shared" si="24"/>
        <v>217086.33120000002</v>
      </c>
      <c r="Y157" s="1652"/>
      <c r="Z157" s="1539"/>
      <c r="AA157" s="1539"/>
      <c r="AB157" s="1599"/>
      <c r="AC157" s="15"/>
    </row>
    <row r="158" spans="1:30" s="1579" customFormat="1" ht="16.5" customHeight="1">
      <c r="A158" s="5135"/>
      <c r="B158" s="5138"/>
      <c r="C158" s="1599"/>
      <c r="D158" s="15"/>
      <c r="E158" s="4866"/>
      <c r="F158" s="3347" t="s">
        <v>1283</v>
      </c>
      <c r="G158" s="1561">
        <v>5.25</v>
      </c>
      <c r="H158" s="3435"/>
      <c r="I158" s="3450"/>
      <c r="J158" s="3442"/>
      <c r="K158" s="3411"/>
      <c r="L158" s="4385">
        <f t="shared" ref="L158:W158" si="79">L73*$G$158</f>
        <v>0</v>
      </c>
      <c r="M158" s="4384">
        <f t="shared" si="79"/>
        <v>0</v>
      </c>
      <c r="N158" s="4388">
        <f t="shared" si="79"/>
        <v>0</v>
      </c>
      <c r="O158" s="4385">
        <f t="shared" si="79"/>
        <v>0</v>
      </c>
      <c r="P158" s="4384">
        <f t="shared" si="79"/>
        <v>0</v>
      </c>
      <c r="Q158" s="4388">
        <f t="shared" si="79"/>
        <v>0</v>
      </c>
      <c r="R158" s="4385">
        <f t="shared" si="79"/>
        <v>0</v>
      </c>
      <c r="S158" s="4384">
        <f t="shared" si="79"/>
        <v>0</v>
      </c>
      <c r="T158" s="4386">
        <f t="shared" si="79"/>
        <v>0</v>
      </c>
      <c r="U158" s="4387">
        <f t="shared" si="79"/>
        <v>0</v>
      </c>
      <c r="V158" s="4384">
        <f t="shared" si="79"/>
        <v>0</v>
      </c>
      <c r="W158" s="4388">
        <f t="shared" si="79"/>
        <v>0</v>
      </c>
      <c r="X158" s="2200">
        <f t="shared" si="24"/>
        <v>0</v>
      </c>
      <c r="Y158" s="1652"/>
      <c r="Z158" s="1539"/>
      <c r="AA158" s="1539"/>
      <c r="AB158" s="1599"/>
      <c r="AC158" s="15"/>
    </row>
    <row r="159" spans="1:30" s="1579" customFormat="1" ht="16.5" customHeight="1">
      <c r="A159" s="5135"/>
      <c r="B159" s="5138"/>
      <c r="C159" s="1599"/>
      <c r="D159" s="15"/>
      <c r="E159" s="4866"/>
      <c r="F159" s="3347" t="s">
        <v>1284</v>
      </c>
      <c r="G159" s="1561">
        <v>4.79</v>
      </c>
      <c r="H159" s="3435"/>
      <c r="I159" s="3450"/>
      <c r="J159" s="3442"/>
      <c r="K159" s="3411"/>
      <c r="L159" s="4385">
        <f t="shared" ref="L159:W159" si="80">L74*$G$159</f>
        <v>0</v>
      </c>
      <c r="M159" s="4384">
        <f t="shared" si="80"/>
        <v>0</v>
      </c>
      <c r="N159" s="4388">
        <f t="shared" si="80"/>
        <v>0</v>
      </c>
      <c r="O159" s="4385">
        <f t="shared" si="80"/>
        <v>0</v>
      </c>
      <c r="P159" s="4384">
        <f t="shared" si="80"/>
        <v>0</v>
      </c>
      <c r="Q159" s="4388">
        <f t="shared" si="80"/>
        <v>0</v>
      </c>
      <c r="R159" s="4385">
        <f t="shared" si="80"/>
        <v>0</v>
      </c>
      <c r="S159" s="4384">
        <f t="shared" si="80"/>
        <v>0</v>
      </c>
      <c r="T159" s="4386">
        <f t="shared" si="80"/>
        <v>0</v>
      </c>
      <c r="U159" s="4387">
        <f t="shared" si="80"/>
        <v>0</v>
      </c>
      <c r="V159" s="4384">
        <f t="shared" si="80"/>
        <v>0</v>
      </c>
      <c r="W159" s="4388">
        <f t="shared" si="80"/>
        <v>0</v>
      </c>
      <c r="X159" s="2200">
        <f t="shared" si="24"/>
        <v>0</v>
      </c>
      <c r="Y159" s="1652"/>
      <c r="Z159" s="1539"/>
      <c r="AA159" s="1539"/>
      <c r="AB159" s="1599"/>
      <c r="AC159" s="15"/>
    </row>
    <row r="160" spans="1:30" s="1579" customFormat="1" ht="15.75" customHeight="1">
      <c r="A160" s="5135"/>
      <c r="B160" s="5138"/>
      <c r="C160" s="1599"/>
      <c r="D160" s="15"/>
      <c r="E160" s="4866"/>
      <c r="F160" s="3347" t="s">
        <v>1285</v>
      </c>
      <c r="G160" s="1561">
        <v>5.0199999999999996</v>
      </c>
      <c r="H160" s="3435"/>
      <c r="I160" s="3450"/>
      <c r="J160" s="3442"/>
      <c r="K160" s="3411"/>
      <c r="L160" s="4385">
        <f t="shared" ref="L160:W160" si="81">L75*$G$160</f>
        <v>0</v>
      </c>
      <c r="M160" s="4384">
        <f t="shared" si="81"/>
        <v>0</v>
      </c>
      <c r="N160" s="4388">
        <f t="shared" si="81"/>
        <v>0</v>
      </c>
      <c r="O160" s="4385">
        <f t="shared" si="81"/>
        <v>0</v>
      </c>
      <c r="P160" s="4384">
        <f t="shared" si="81"/>
        <v>0</v>
      </c>
      <c r="Q160" s="4388">
        <f t="shared" si="81"/>
        <v>0</v>
      </c>
      <c r="R160" s="4385">
        <f t="shared" si="81"/>
        <v>0</v>
      </c>
      <c r="S160" s="4384">
        <f t="shared" si="81"/>
        <v>0</v>
      </c>
      <c r="T160" s="4386">
        <f t="shared" si="81"/>
        <v>0</v>
      </c>
      <c r="U160" s="4387">
        <f t="shared" si="81"/>
        <v>0</v>
      </c>
      <c r="V160" s="4384">
        <f t="shared" si="81"/>
        <v>0</v>
      </c>
      <c r="W160" s="4388">
        <f t="shared" si="81"/>
        <v>0</v>
      </c>
      <c r="X160" s="2200">
        <f t="shared" si="24"/>
        <v>0</v>
      </c>
      <c r="Y160" s="1652"/>
      <c r="Z160" s="2580"/>
      <c r="AA160" s="2580"/>
      <c r="AB160" s="1599"/>
      <c r="AC160" s="15"/>
      <c r="AD160" s="9"/>
    </row>
    <row r="161" spans="1:30" s="1579" customFormat="1" ht="16.5" customHeight="1">
      <c r="A161" s="5135"/>
      <c r="B161" s="5138"/>
      <c r="C161" s="4058" t="s">
        <v>1317</v>
      </c>
      <c r="D161" s="3939"/>
      <c r="E161" s="3987"/>
      <c r="F161" s="3959" t="str">
        <f>F76</f>
        <v>Glass Frame (ZF60A-T5)</v>
      </c>
      <c r="G161" s="5089">
        <v>1247</v>
      </c>
      <c r="H161" s="3432"/>
      <c r="I161" s="3940"/>
      <c r="J161" s="3439"/>
      <c r="K161" s="3941"/>
      <c r="L161" s="4406">
        <f t="shared" ref="L161:W161" si="82">L76*$G161</f>
        <v>0</v>
      </c>
      <c r="M161" s="4407">
        <f t="shared" si="82"/>
        <v>62350</v>
      </c>
      <c r="N161" s="4408">
        <f t="shared" si="82"/>
        <v>68585</v>
      </c>
      <c r="O161" s="4406">
        <f t="shared" si="82"/>
        <v>0</v>
      </c>
      <c r="P161" s="4407">
        <f t="shared" si="82"/>
        <v>0</v>
      </c>
      <c r="Q161" s="4408">
        <f t="shared" si="82"/>
        <v>0</v>
      </c>
      <c r="R161" s="4406">
        <f t="shared" si="82"/>
        <v>0</v>
      </c>
      <c r="S161" s="4407">
        <f t="shared" si="82"/>
        <v>0</v>
      </c>
      <c r="T161" s="4409">
        <f t="shared" si="82"/>
        <v>0</v>
      </c>
      <c r="U161" s="4410">
        <f t="shared" si="82"/>
        <v>0</v>
      </c>
      <c r="V161" s="4407">
        <f t="shared" si="82"/>
        <v>0</v>
      </c>
      <c r="W161" s="4408">
        <f t="shared" si="82"/>
        <v>0</v>
      </c>
      <c r="X161" s="2204">
        <f t="shared" si="24"/>
        <v>130935</v>
      </c>
      <c r="Y161" s="1652"/>
      <c r="Z161" s="1539"/>
      <c r="AA161" s="1539"/>
      <c r="AB161" s="13"/>
      <c r="AC161" s="15"/>
      <c r="AD161" s="9"/>
    </row>
    <row r="162" spans="1:30" s="1579" customFormat="1" ht="16.5" customHeight="1">
      <c r="A162" s="5135"/>
      <c r="B162" s="5138"/>
      <c r="C162" s="1599"/>
      <c r="D162" s="15"/>
      <c r="E162" s="4866"/>
      <c r="F162" s="13" t="str">
        <f t="shared" ref="F162:G163" si="83">F77</f>
        <v>Body Compute enclosure (AL6061-T6)</v>
      </c>
      <c r="G162" s="1561">
        <v>672</v>
      </c>
      <c r="H162" s="3435"/>
      <c r="I162" s="3450"/>
      <c r="J162" s="3442"/>
      <c r="K162" s="3411"/>
      <c r="L162" s="4385">
        <f t="shared" ref="L162:L168" si="84">L77*$G162*4</f>
        <v>0</v>
      </c>
      <c r="M162" s="4384">
        <f>M77*$G$162</f>
        <v>33600</v>
      </c>
      <c r="N162" s="4388">
        <f>N77*$G162</f>
        <v>36960</v>
      </c>
      <c r="O162" s="4385">
        <f t="shared" ref="O162:O168" si="85">O77*$G$161</f>
        <v>0</v>
      </c>
      <c r="P162" s="4384">
        <f t="shared" ref="P162:P168" si="86">P77*$G162*4</f>
        <v>0</v>
      </c>
      <c r="Q162" s="4388">
        <f t="shared" ref="Q162:W162" si="87">Q77*$G$162</f>
        <v>0</v>
      </c>
      <c r="R162" s="4385">
        <f t="shared" si="87"/>
        <v>0</v>
      </c>
      <c r="S162" s="4384">
        <f t="shared" si="87"/>
        <v>0</v>
      </c>
      <c r="T162" s="4386">
        <f t="shared" si="87"/>
        <v>0</v>
      </c>
      <c r="U162" s="4387">
        <f t="shared" si="87"/>
        <v>0</v>
      </c>
      <c r="V162" s="4384">
        <f t="shared" si="87"/>
        <v>0</v>
      </c>
      <c r="W162" s="4388">
        <f t="shared" si="87"/>
        <v>0</v>
      </c>
      <c r="X162" s="2200">
        <f t="shared" ref="X162:X168" si="88">SUM(L162:W162)</f>
        <v>70560</v>
      </c>
      <c r="Y162" s="1652"/>
      <c r="Z162" s="1539"/>
      <c r="AA162" s="1539"/>
      <c r="AB162" s="13"/>
      <c r="AC162" s="15"/>
      <c r="AD162" s="9"/>
    </row>
    <row r="163" spans="1:30" s="1579" customFormat="1" ht="16.5" customHeight="1">
      <c r="A163" s="5135"/>
      <c r="B163" s="5138"/>
      <c r="C163" s="1599"/>
      <c r="D163" s="15"/>
      <c r="E163" s="4866"/>
      <c r="F163" s="1609" t="str">
        <f t="shared" si="83"/>
        <v>Others Part</v>
      </c>
      <c r="G163" s="1561">
        <v>74.959999999999994</v>
      </c>
      <c r="H163" s="3435"/>
      <c r="I163" s="3450"/>
      <c r="J163" s="3442"/>
      <c r="K163" s="3411"/>
      <c r="L163" s="4385">
        <f t="shared" si="84"/>
        <v>0</v>
      </c>
      <c r="M163" s="4384">
        <f>M78*$G$163</f>
        <v>12743.199999999999</v>
      </c>
      <c r="N163" s="4388">
        <f t="shared" ref="N163:N168" si="89">N78*$G163*4</f>
        <v>0</v>
      </c>
      <c r="O163" s="4385">
        <f t="shared" si="85"/>
        <v>0</v>
      </c>
      <c r="P163" s="4384">
        <f t="shared" si="86"/>
        <v>0</v>
      </c>
      <c r="Q163" s="4388">
        <f t="shared" ref="Q163:W163" si="90">Q78*$G$163</f>
        <v>0</v>
      </c>
      <c r="R163" s="4385">
        <f t="shared" si="90"/>
        <v>14991.999999999998</v>
      </c>
      <c r="S163" s="4384">
        <f t="shared" si="90"/>
        <v>0</v>
      </c>
      <c r="T163" s="4386">
        <f t="shared" si="90"/>
        <v>0</v>
      </c>
      <c r="U163" s="4387">
        <f t="shared" si="90"/>
        <v>0</v>
      </c>
      <c r="V163" s="4384">
        <f t="shared" si="90"/>
        <v>0</v>
      </c>
      <c r="W163" s="4388">
        <f t="shared" si="90"/>
        <v>0</v>
      </c>
      <c r="X163" s="2200">
        <f t="shared" si="88"/>
        <v>27735.199999999997</v>
      </c>
      <c r="Y163" s="1652"/>
      <c r="Z163" s="1539"/>
      <c r="AA163" s="1539"/>
      <c r="AB163" s="13"/>
      <c r="AC163" s="15"/>
      <c r="AD163" s="9"/>
    </row>
    <row r="164" spans="1:30" s="1579" customFormat="1" ht="16.5" hidden="1" customHeight="1">
      <c r="A164" s="5135"/>
      <c r="B164" s="5138"/>
      <c r="C164" s="1599"/>
      <c r="D164" s="15"/>
      <c r="E164" s="4866"/>
      <c r="F164" s="1609"/>
      <c r="G164" s="1561"/>
      <c r="H164" s="3435"/>
      <c r="I164" s="3450"/>
      <c r="J164" s="3442"/>
      <c r="K164" s="3411"/>
      <c r="L164" s="4385">
        <f t="shared" si="84"/>
        <v>0</v>
      </c>
      <c r="M164" s="4384">
        <f t="shared" ref="M164:M168" si="91">M79*$G$161</f>
        <v>0</v>
      </c>
      <c r="N164" s="4388">
        <f t="shared" si="89"/>
        <v>0</v>
      </c>
      <c r="O164" s="4385">
        <f t="shared" si="85"/>
        <v>0</v>
      </c>
      <c r="P164" s="4384">
        <f t="shared" si="86"/>
        <v>0</v>
      </c>
      <c r="Q164" s="4388">
        <f t="shared" ref="Q164:W164" si="92">Q79*$G$164</f>
        <v>0</v>
      </c>
      <c r="R164" s="4385">
        <f t="shared" si="92"/>
        <v>0</v>
      </c>
      <c r="S164" s="4384">
        <f t="shared" si="92"/>
        <v>0</v>
      </c>
      <c r="T164" s="4386">
        <f t="shared" si="92"/>
        <v>0</v>
      </c>
      <c r="U164" s="4387">
        <f t="shared" si="92"/>
        <v>0</v>
      </c>
      <c r="V164" s="4384">
        <f t="shared" si="92"/>
        <v>0</v>
      </c>
      <c r="W164" s="4388">
        <f t="shared" si="92"/>
        <v>0</v>
      </c>
      <c r="X164" s="2200">
        <f t="shared" si="88"/>
        <v>0</v>
      </c>
      <c r="Y164" s="1652"/>
      <c r="Z164" s="1539"/>
      <c r="AA164" s="1539"/>
      <c r="AB164" s="13"/>
      <c r="AC164" s="15"/>
      <c r="AD164" s="9"/>
    </row>
    <row r="165" spans="1:30" s="1579" customFormat="1" ht="16.5" hidden="1" customHeight="1">
      <c r="A165" s="5135"/>
      <c r="B165" s="5138"/>
      <c r="C165" s="1599"/>
      <c r="D165" s="15"/>
      <c r="E165" s="4866"/>
      <c r="F165" s="1609"/>
      <c r="G165" s="1561"/>
      <c r="H165" s="3435"/>
      <c r="I165" s="3450"/>
      <c r="J165" s="3442"/>
      <c r="K165" s="3411"/>
      <c r="L165" s="4385">
        <f t="shared" si="84"/>
        <v>0</v>
      </c>
      <c r="M165" s="4384">
        <f t="shared" si="91"/>
        <v>0</v>
      </c>
      <c r="N165" s="4388">
        <f t="shared" si="89"/>
        <v>0</v>
      </c>
      <c r="O165" s="4385">
        <f t="shared" si="85"/>
        <v>0</v>
      </c>
      <c r="P165" s="4384">
        <f t="shared" si="86"/>
        <v>0</v>
      </c>
      <c r="Q165" s="4388">
        <f t="shared" ref="Q165:W165" si="93">Q80*$G$165</f>
        <v>0</v>
      </c>
      <c r="R165" s="4385">
        <f t="shared" si="93"/>
        <v>0</v>
      </c>
      <c r="S165" s="4384">
        <f t="shared" si="93"/>
        <v>0</v>
      </c>
      <c r="T165" s="4386">
        <f t="shared" si="93"/>
        <v>0</v>
      </c>
      <c r="U165" s="4387">
        <f t="shared" si="93"/>
        <v>0</v>
      </c>
      <c r="V165" s="4384">
        <f t="shared" si="93"/>
        <v>0</v>
      </c>
      <c r="W165" s="4388">
        <f t="shared" si="93"/>
        <v>0</v>
      </c>
      <c r="X165" s="2200">
        <f t="shared" si="88"/>
        <v>0</v>
      </c>
      <c r="Y165" s="1652"/>
      <c r="Z165" s="1539"/>
      <c r="AA165" s="1539"/>
      <c r="AB165" s="13"/>
      <c r="AC165" s="15"/>
      <c r="AD165" s="9"/>
    </row>
    <row r="166" spans="1:30" s="1579" customFormat="1" ht="16.5" hidden="1" customHeight="1">
      <c r="A166" s="5135"/>
      <c r="B166" s="5138"/>
      <c r="C166" s="1599"/>
      <c r="D166" s="15"/>
      <c r="E166" s="4866"/>
      <c r="F166" s="1609"/>
      <c r="G166" s="1561"/>
      <c r="H166" s="3435"/>
      <c r="I166" s="3450"/>
      <c r="J166" s="3442"/>
      <c r="K166" s="3411"/>
      <c r="L166" s="4385">
        <f t="shared" si="84"/>
        <v>0</v>
      </c>
      <c r="M166" s="4384">
        <f t="shared" si="91"/>
        <v>0</v>
      </c>
      <c r="N166" s="4388">
        <f t="shared" si="89"/>
        <v>0</v>
      </c>
      <c r="O166" s="4385">
        <f t="shared" si="85"/>
        <v>0</v>
      </c>
      <c r="P166" s="4384">
        <f t="shared" si="86"/>
        <v>0</v>
      </c>
      <c r="Q166" s="4388">
        <f t="shared" ref="Q166:W166" si="94">Q81*$G$166</f>
        <v>0</v>
      </c>
      <c r="R166" s="4385">
        <f t="shared" si="94"/>
        <v>0</v>
      </c>
      <c r="S166" s="4384">
        <f t="shared" si="94"/>
        <v>0</v>
      </c>
      <c r="T166" s="4386">
        <f t="shared" si="94"/>
        <v>0</v>
      </c>
      <c r="U166" s="4387">
        <f t="shared" si="94"/>
        <v>0</v>
      </c>
      <c r="V166" s="4384">
        <f t="shared" si="94"/>
        <v>0</v>
      </c>
      <c r="W166" s="4388">
        <f t="shared" si="94"/>
        <v>0</v>
      </c>
      <c r="X166" s="2200">
        <f t="shared" si="88"/>
        <v>0</v>
      </c>
      <c r="Y166" s="1652"/>
      <c r="Z166" s="1539"/>
      <c r="AA166" s="1539"/>
      <c r="AB166" s="13"/>
      <c r="AC166" s="15"/>
      <c r="AD166" s="9"/>
    </row>
    <row r="167" spans="1:30" s="1579" customFormat="1" ht="16.5" hidden="1" customHeight="1">
      <c r="A167" s="5135"/>
      <c r="B167" s="5138"/>
      <c r="C167" s="1599"/>
      <c r="D167" s="15"/>
      <c r="E167" s="4866"/>
      <c r="F167" s="1609"/>
      <c r="G167" s="1561"/>
      <c r="H167" s="3435"/>
      <c r="I167" s="3450"/>
      <c r="J167" s="3442"/>
      <c r="K167" s="3411"/>
      <c r="L167" s="4385">
        <f t="shared" si="84"/>
        <v>0</v>
      </c>
      <c r="M167" s="4384">
        <f t="shared" si="91"/>
        <v>0</v>
      </c>
      <c r="N167" s="4388">
        <f t="shared" si="89"/>
        <v>0</v>
      </c>
      <c r="O167" s="4385">
        <f t="shared" si="85"/>
        <v>0</v>
      </c>
      <c r="P167" s="4384">
        <f t="shared" si="86"/>
        <v>0</v>
      </c>
      <c r="Q167" s="4388">
        <f t="shared" ref="Q167:W167" si="95">Q82*$G$167</f>
        <v>0</v>
      </c>
      <c r="R167" s="4385">
        <f t="shared" si="95"/>
        <v>0</v>
      </c>
      <c r="S167" s="4384">
        <f t="shared" si="95"/>
        <v>0</v>
      </c>
      <c r="T167" s="4386">
        <f t="shared" si="95"/>
        <v>0</v>
      </c>
      <c r="U167" s="4387">
        <f t="shared" si="95"/>
        <v>0</v>
      </c>
      <c r="V167" s="4384">
        <f t="shared" si="95"/>
        <v>0</v>
      </c>
      <c r="W167" s="4388">
        <f t="shared" si="95"/>
        <v>0</v>
      </c>
      <c r="X167" s="2200">
        <f t="shared" si="88"/>
        <v>0</v>
      </c>
      <c r="Y167" s="1652"/>
      <c r="Z167" s="1539"/>
      <c r="AA167" s="1539"/>
      <c r="AB167" s="13"/>
      <c r="AC167" s="15"/>
      <c r="AD167" s="9"/>
    </row>
    <row r="168" spans="1:30" s="1579" customFormat="1" ht="16.5" hidden="1" customHeight="1">
      <c r="A168" s="5135"/>
      <c r="B168" s="5138"/>
      <c r="C168" s="1611"/>
      <c r="D168" s="11"/>
      <c r="E168" s="4866"/>
      <c r="F168" s="3960"/>
      <c r="G168" s="1556"/>
      <c r="H168" s="3433"/>
      <c r="I168" s="3448"/>
      <c r="J168" s="3440"/>
      <c r="K168" s="3410"/>
      <c r="L168" s="4398">
        <f t="shared" si="84"/>
        <v>0</v>
      </c>
      <c r="M168" s="4399">
        <f t="shared" si="91"/>
        <v>0</v>
      </c>
      <c r="N168" s="4401">
        <f t="shared" si="89"/>
        <v>0</v>
      </c>
      <c r="O168" s="4398">
        <f t="shared" si="85"/>
        <v>0</v>
      </c>
      <c r="P168" s="4399">
        <f t="shared" si="86"/>
        <v>0</v>
      </c>
      <c r="Q168" s="4401">
        <f t="shared" ref="Q168:W168" si="96">Q83*$G$168</f>
        <v>0</v>
      </c>
      <c r="R168" s="4398">
        <f t="shared" si="96"/>
        <v>0</v>
      </c>
      <c r="S168" s="4399">
        <f t="shared" si="96"/>
        <v>0</v>
      </c>
      <c r="T168" s="4400">
        <f t="shared" si="96"/>
        <v>0</v>
      </c>
      <c r="U168" s="4411">
        <f t="shared" si="96"/>
        <v>0</v>
      </c>
      <c r="V168" s="4399">
        <f t="shared" si="96"/>
        <v>0</v>
      </c>
      <c r="W168" s="4401">
        <f t="shared" si="96"/>
        <v>0</v>
      </c>
      <c r="X168" s="2214">
        <f t="shared" si="88"/>
        <v>0</v>
      </c>
      <c r="Y168" s="1652"/>
      <c r="Z168" s="2580"/>
      <c r="AA168" s="2580"/>
      <c r="AB168" s="13"/>
      <c r="AC168" s="15"/>
      <c r="AD168" s="9"/>
    </row>
    <row r="169" spans="1:30" s="1544" customFormat="1" ht="21" customHeight="1">
      <c r="A169" s="5136"/>
      <c r="B169" s="5139"/>
      <c r="C169" s="5164" t="s">
        <v>44</v>
      </c>
      <c r="D169" s="5164"/>
      <c r="E169" s="5164"/>
      <c r="F169" s="5165"/>
      <c r="G169" s="1637"/>
      <c r="H169" s="2520"/>
      <c r="I169" s="2520"/>
      <c r="J169" s="2520"/>
      <c r="K169" s="2520"/>
      <c r="L169" s="1829">
        <f>SUM(L105:L163)</f>
        <v>2218128.6241706205</v>
      </c>
      <c r="M169" s="1753">
        <f t="shared" ref="M169:W169" si="97">SUM(M105:M163)</f>
        <v>1965450.9187399966</v>
      </c>
      <c r="N169" s="1754">
        <f t="shared" si="97"/>
        <v>2120006.8877692996</v>
      </c>
      <c r="O169" s="1829">
        <f t="shared" si="97"/>
        <v>1873418.6671153761</v>
      </c>
      <c r="P169" s="1753">
        <f t="shared" si="97"/>
        <v>1883007.9363244458</v>
      </c>
      <c r="Q169" s="1754">
        <f t="shared" si="97"/>
        <v>1869511.3637819751</v>
      </c>
      <c r="R169" s="1829">
        <f t="shared" si="97"/>
        <v>1869778.7060706171</v>
      </c>
      <c r="S169" s="1753">
        <f t="shared" si="97"/>
        <v>1835592.381270617</v>
      </c>
      <c r="T169" s="1754">
        <f t="shared" si="97"/>
        <v>1829559.9825466371</v>
      </c>
      <c r="U169" s="1829">
        <f t="shared" si="97"/>
        <v>1781108.8379458005</v>
      </c>
      <c r="V169" s="1753">
        <f t="shared" si="97"/>
        <v>1747544.2889669396</v>
      </c>
      <c r="W169" s="2245">
        <f t="shared" si="97"/>
        <v>1750553.2210242527</v>
      </c>
      <c r="X169" s="2204">
        <f>SUM(X105:X163)</f>
        <v>22743661.815726578</v>
      </c>
      <c r="Y169" s="1652"/>
      <c r="Z169" s="2095"/>
      <c r="AA169" s="2095"/>
      <c r="AB169" s="1542"/>
      <c r="AC169" s="1542"/>
      <c r="AD169" s="9"/>
    </row>
    <row r="170" spans="1:30" s="1544" customFormat="1" ht="18.75" customHeight="1">
      <c r="A170" s="1639">
        <v>3</v>
      </c>
      <c r="B170" s="5171" t="s">
        <v>507</v>
      </c>
      <c r="C170" s="5172"/>
      <c r="D170" s="5172"/>
      <c r="E170" s="5172"/>
      <c r="F170" s="5173"/>
      <c r="G170" s="1640">
        <v>20000</v>
      </c>
      <c r="H170" s="3421"/>
      <c r="I170" s="3421"/>
      <c r="J170" s="3421"/>
      <c r="K170" s="3421"/>
      <c r="L170" s="1829">
        <v>40900</v>
      </c>
      <c r="M170" s="1753">
        <v>0</v>
      </c>
      <c r="N170" s="1754">
        <v>20000</v>
      </c>
      <c r="O170" s="1829">
        <v>45359.999999999993</v>
      </c>
      <c r="P170" s="1753">
        <v>30000</v>
      </c>
      <c r="Q170" s="1754">
        <v>45000</v>
      </c>
      <c r="R170" s="1830">
        <v>50000</v>
      </c>
      <c r="S170" s="1753">
        <v>45000</v>
      </c>
      <c r="T170" s="1754">
        <v>0</v>
      </c>
      <c r="U170" s="1830">
        <v>50000</v>
      </c>
      <c r="V170" s="1753">
        <v>122800</v>
      </c>
      <c r="W170" s="1754">
        <v>95600</v>
      </c>
      <c r="X170" s="2223">
        <f>SUM(L170:W170)</f>
        <v>544660</v>
      </c>
      <c r="Y170" s="1652"/>
      <c r="Z170" s="2095"/>
      <c r="AA170" s="2095"/>
      <c r="AD170" s="9"/>
    </row>
    <row r="171" spans="1:30" s="1544" customFormat="1" ht="18.75" customHeight="1" thickBot="1">
      <c r="A171" s="1642">
        <v>4</v>
      </c>
      <c r="B171" s="5180" t="s">
        <v>1001</v>
      </c>
      <c r="C171" s="5181"/>
      <c r="D171" s="5181"/>
      <c r="E171" s="5181"/>
      <c r="F171" s="5182"/>
      <c r="G171" s="1643"/>
      <c r="H171" s="3411"/>
      <c r="I171" s="3411"/>
      <c r="J171" s="3411"/>
      <c r="K171" s="3411"/>
      <c r="L171" s="1840">
        <v>130000</v>
      </c>
      <c r="M171" s="1841">
        <v>110000</v>
      </c>
      <c r="N171" s="1842">
        <v>130000</v>
      </c>
      <c r="O171" s="2341">
        <v>130000</v>
      </c>
      <c r="P171" s="2342">
        <v>130000</v>
      </c>
      <c r="Q171" s="1842">
        <v>130000</v>
      </c>
      <c r="R171" s="3462">
        <v>130000</v>
      </c>
      <c r="S171" s="2342">
        <v>130000</v>
      </c>
      <c r="T171" s="2343">
        <v>130000</v>
      </c>
      <c r="U171" s="3462">
        <v>130000</v>
      </c>
      <c r="V171" s="2342">
        <v>130000</v>
      </c>
      <c r="W171" s="2343">
        <v>130000</v>
      </c>
      <c r="X171" s="2258">
        <f>SUM(L171:W171)</f>
        <v>1540000</v>
      </c>
      <c r="Y171" s="1652"/>
      <c r="Z171" s="2095"/>
      <c r="AA171" s="2095"/>
    </row>
    <row r="172" spans="1:30" s="1544" customFormat="1" ht="18.75" customHeight="1" thickBot="1">
      <c r="A172" s="5177" t="s">
        <v>138</v>
      </c>
      <c r="B172" s="5178"/>
      <c r="C172" s="5178"/>
      <c r="D172" s="5178"/>
      <c r="E172" s="5178"/>
      <c r="F172" s="5179"/>
      <c r="G172" s="1649"/>
      <c r="H172" s="3422"/>
      <c r="I172" s="3422"/>
      <c r="J172" s="3422"/>
      <c r="K172" s="3422"/>
      <c r="L172" s="1850">
        <f t="shared" ref="L172:X172" si="98">L104+L169+L170+L171</f>
        <v>3689370.7909659981</v>
      </c>
      <c r="M172" s="1799">
        <f t="shared" si="98"/>
        <v>3451251.7566912733</v>
      </c>
      <c r="N172" s="1800">
        <f t="shared" si="98"/>
        <v>4023114.0734396363</v>
      </c>
      <c r="O172" s="1850">
        <f t="shared" si="98"/>
        <v>3850246.6333384831</v>
      </c>
      <c r="P172" s="1799">
        <f t="shared" si="98"/>
        <v>3814590.8696524575</v>
      </c>
      <c r="Q172" s="2343">
        <f t="shared" si="98"/>
        <v>3948595.7484216876</v>
      </c>
      <c r="R172" s="1850">
        <f t="shared" si="98"/>
        <v>3843433.8374575851</v>
      </c>
      <c r="S172" s="1799">
        <f t="shared" si="98"/>
        <v>3689063.8304375857</v>
      </c>
      <c r="T172" s="1800">
        <f t="shared" si="98"/>
        <v>3689997.7635553544</v>
      </c>
      <c r="U172" s="1850">
        <f t="shared" si="98"/>
        <v>3676789.6920349244</v>
      </c>
      <c r="V172" s="1799">
        <f t="shared" si="98"/>
        <v>3418162.2204263574</v>
      </c>
      <c r="W172" s="1800">
        <f t="shared" si="98"/>
        <v>3231984.2069586907</v>
      </c>
      <c r="X172" s="3576">
        <f t="shared" si="98"/>
        <v>44326601.42338004</v>
      </c>
      <c r="Y172" s="2386"/>
      <c r="Z172" s="2095"/>
      <c r="AA172" s="2095"/>
    </row>
    <row r="173" spans="1:30" s="2260" customFormat="1" ht="23.25" customHeight="1">
      <c r="B173" s="3520"/>
      <c r="C173" s="3520"/>
      <c r="D173" s="3520"/>
      <c r="E173" s="3520"/>
      <c r="F173" s="3520"/>
      <c r="G173" s="3346"/>
      <c r="H173" s="3346"/>
      <c r="I173" s="3346"/>
      <c r="J173" s="3346"/>
      <c r="K173" s="3346"/>
      <c r="L173" s="1542"/>
      <c r="M173" s="1542"/>
      <c r="N173" s="1542"/>
      <c r="O173" s="1542"/>
      <c r="P173" s="1542"/>
      <c r="Q173" s="1542"/>
      <c r="R173" s="1542"/>
      <c r="S173" s="1542"/>
      <c r="T173" s="1542"/>
      <c r="U173" s="1542"/>
      <c r="V173" s="1542"/>
      <c r="W173" s="1542"/>
      <c r="X173" s="5082"/>
      <c r="Y173" s="4741"/>
      <c r="Z173" s="2580"/>
      <c r="AA173" s="2580"/>
      <c r="AB173" s="11"/>
      <c r="AC173" s="11"/>
      <c r="AD173" s="1544"/>
    </row>
    <row r="174" spans="1:30" s="1623" customFormat="1" ht="20.45" customHeight="1" thickBot="1">
      <c r="A174" s="1547" t="s">
        <v>1239</v>
      </c>
      <c r="E174" s="1624"/>
      <c r="G174" s="3521"/>
      <c r="H174" s="3521"/>
      <c r="I174" s="3521"/>
      <c r="J174" s="3521"/>
      <c r="K174" s="3521"/>
      <c r="L174" s="1542"/>
      <c r="M174" s="1542"/>
      <c r="N174" s="1542"/>
      <c r="O174" s="1542"/>
      <c r="P174" s="1542"/>
      <c r="Q174" s="1542"/>
      <c r="R174" s="1542"/>
      <c r="S174" s="1542"/>
      <c r="T174" s="1542"/>
      <c r="U174" s="1542"/>
      <c r="V174" s="1542"/>
      <c r="W174" s="1542"/>
      <c r="X174" s="2736"/>
      <c r="Y174" s="3606"/>
    </row>
    <row r="175" spans="1:30" ht="22.5" customHeight="1" thickBot="1">
      <c r="A175" s="1548" t="s">
        <v>41</v>
      </c>
      <c r="B175" s="81" t="s">
        <v>107</v>
      </c>
      <c r="C175" s="81" t="s">
        <v>106</v>
      </c>
      <c r="D175" s="81" t="s">
        <v>1006</v>
      </c>
      <c r="E175" s="81" t="s">
        <v>1029</v>
      </c>
      <c r="F175" s="81" t="s">
        <v>108</v>
      </c>
      <c r="G175" s="1549" t="s">
        <v>398</v>
      </c>
      <c r="H175" s="88"/>
      <c r="I175" s="88"/>
      <c r="J175" s="88"/>
      <c r="K175" s="88"/>
      <c r="L175" s="1876" t="str">
        <f t="shared" ref="L175:X175" si="99">L89</f>
        <v>Jan.26</v>
      </c>
      <c r="M175" s="1877" t="str">
        <f t="shared" si="99"/>
        <v>Feb.26</v>
      </c>
      <c r="N175" s="1878" t="str">
        <f t="shared" si="99"/>
        <v>Mar.26</v>
      </c>
      <c r="O175" s="1876" t="str">
        <f t="shared" si="99"/>
        <v>Apr.26</v>
      </c>
      <c r="P175" s="1877" t="str">
        <f t="shared" si="99"/>
        <v>May.26</v>
      </c>
      <c r="Q175" s="1878" t="str">
        <f t="shared" si="99"/>
        <v>Jun.26</v>
      </c>
      <c r="R175" s="1876" t="str">
        <f t="shared" si="99"/>
        <v>Jul.26</v>
      </c>
      <c r="S175" s="1877" t="str">
        <f t="shared" si="99"/>
        <v>Aug.26</v>
      </c>
      <c r="T175" s="1878" t="str">
        <f t="shared" si="99"/>
        <v>Sep.26</v>
      </c>
      <c r="U175" s="1876" t="str">
        <f t="shared" si="99"/>
        <v>Oct.26</v>
      </c>
      <c r="V175" s="1877" t="str">
        <f t="shared" si="99"/>
        <v>Nov.26</v>
      </c>
      <c r="W175" s="1878" t="str">
        <f t="shared" si="99"/>
        <v>Dec.26</v>
      </c>
      <c r="X175" s="2598" t="str">
        <f t="shared" si="99"/>
        <v>2026
Total</v>
      </c>
      <c r="Y175" s="4739"/>
      <c r="AB175" s="81"/>
      <c r="AC175" s="81"/>
    </row>
    <row r="176" spans="1:30" s="1544" customFormat="1" ht="17.25" customHeight="1">
      <c r="A176" s="5134">
        <v>1</v>
      </c>
      <c r="B176" s="5141" t="s">
        <v>16</v>
      </c>
      <c r="C176" s="5158" t="s">
        <v>19</v>
      </c>
      <c r="D176" s="16" t="s">
        <v>861</v>
      </c>
      <c r="E176" s="4862"/>
      <c r="F176" s="16" t="str">
        <f t="shared" ref="E176:F189" si="100">F5</f>
        <v>A34</v>
      </c>
      <c r="G176" s="1654" t="s">
        <v>399</v>
      </c>
      <c r="H176" s="3423"/>
      <c r="I176" s="3423"/>
      <c r="J176" s="3423"/>
      <c r="K176" s="3423"/>
      <c r="L176" s="4381">
        <v>0</v>
      </c>
      <c r="M176" s="4382">
        <f t="shared" ref="M176:M183" si="101">+L90</f>
        <v>0</v>
      </c>
      <c r="N176" s="4383">
        <f t="shared" ref="N176:W176" si="102">+L90</f>
        <v>0</v>
      </c>
      <c r="O176" s="4381">
        <f t="shared" si="102"/>
        <v>0</v>
      </c>
      <c r="P176" s="4382">
        <f t="shared" si="102"/>
        <v>0</v>
      </c>
      <c r="Q176" s="4383">
        <f t="shared" si="102"/>
        <v>0</v>
      </c>
      <c r="R176" s="4444">
        <f t="shared" si="102"/>
        <v>0</v>
      </c>
      <c r="S176" s="4382">
        <f t="shared" si="102"/>
        <v>0</v>
      </c>
      <c r="T176" s="4383">
        <f t="shared" si="102"/>
        <v>0</v>
      </c>
      <c r="U176" s="4382">
        <f t="shared" si="102"/>
        <v>0</v>
      </c>
      <c r="V176" s="4384">
        <f t="shared" si="102"/>
        <v>0</v>
      </c>
      <c r="W176" s="4382">
        <f t="shared" si="102"/>
        <v>0</v>
      </c>
      <c r="X176" s="2606">
        <f t="shared" ref="X176:X223" si="103">SUM(L176:W176)</f>
        <v>0</v>
      </c>
      <c r="Y176" s="1652"/>
      <c r="AB176" s="16"/>
      <c r="AC176" s="16"/>
    </row>
    <row r="177" spans="1:29" s="1544" customFormat="1" ht="17.25" customHeight="1">
      <c r="A177" s="5135"/>
      <c r="B177" s="5137"/>
      <c r="C177" s="5159"/>
      <c r="D177" s="15"/>
      <c r="E177" s="4863">
        <f t="shared" si="100"/>
        <v>1</v>
      </c>
      <c r="F177" s="15" t="str">
        <f t="shared" si="100"/>
        <v>A15/17</v>
      </c>
      <c r="G177" s="2970" t="s">
        <v>399</v>
      </c>
      <c r="H177" s="3423"/>
      <c r="I177" s="3423"/>
      <c r="J177" s="3423"/>
      <c r="K177" s="3423"/>
      <c r="L177" s="4385">
        <v>596460</v>
      </c>
      <c r="M177" s="4384">
        <f t="shared" si="101"/>
        <v>433458</v>
      </c>
      <c r="N177" s="4386">
        <f t="shared" ref="N177:W177" si="104">+M91</f>
        <v>345510</v>
      </c>
      <c r="O177" s="4385">
        <f t="shared" si="104"/>
        <v>469893.6</v>
      </c>
      <c r="P177" s="4384">
        <f t="shared" si="104"/>
        <v>463611.6</v>
      </c>
      <c r="Q177" s="4386">
        <f t="shared" si="104"/>
        <v>463611.6</v>
      </c>
      <c r="R177" s="4387">
        <f t="shared" si="104"/>
        <v>369381.6</v>
      </c>
      <c r="S177" s="4384">
        <f t="shared" si="104"/>
        <v>282690</v>
      </c>
      <c r="T177" s="4386">
        <f t="shared" si="104"/>
        <v>188460</v>
      </c>
      <c r="U177" s="4387">
        <f t="shared" si="104"/>
        <v>125640</v>
      </c>
      <c r="V177" s="4384">
        <f t="shared" si="104"/>
        <v>94230</v>
      </c>
      <c r="W177" s="4388">
        <f t="shared" si="104"/>
        <v>75384</v>
      </c>
      <c r="X177" s="2200">
        <f t="shared" si="103"/>
        <v>3908330.4000000004</v>
      </c>
      <c r="Y177" s="1652"/>
      <c r="AB177" s="15"/>
      <c r="AC177" s="15"/>
    </row>
    <row r="178" spans="1:29" s="1544" customFormat="1" ht="17.25" customHeight="1">
      <c r="A178" s="5135"/>
      <c r="B178" s="5137"/>
      <c r="C178" s="5159"/>
      <c r="D178" s="15"/>
      <c r="E178" s="4863">
        <f t="shared" si="100"/>
        <v>2</v>
      </c>
      <c r="F178" s="15" t="str">
        <f t="shared" si="100"/>
        <v>A36</v>
      </c>
      <c r="G178" s="2970" t="s">
        <v>399</v>
      </c>
      <c r="H178" s="3423"/>
      <c r="I178" s="3423"/>
      <c r="J178" s="3423"/>
      <c r="K178" s="3423"/>
      <c r="L178" s="4385">
        <v>106436.53846153847</v>
      </c>
      <c r="M178" s="4384">
        <f t="shared" si="101"/>
        <v>70957.692307692312</v>
      </c>
      <c r="N178" s="4386">
        <f t="shared" ref="N178:W178" si="105">+M92</f>
        <v>70957.692307692312</v>
      </c>
      <c r="O178" s="4385">
        <f t="shared" si="105"/>
        <v>70957.692307692312</v>
      </c>
      <c r="P178" s="4384">
        <f t="shared" si="105"/>
        <v>0</v>
      </c>
      <c r="Q178" s="4386">
        <f t="shared" si="105"/>
        <v>0</v>
      </c>
      <c r="R178" s="4387">
        <f t="shared" si="105"/>
        <v>0</v>
      </c>
      <c r="S178" s="4384">
        <f t="shared" si="105"/>
        <v>0</v>
      </c>
      <c r="T178" s="4386">
        <f t="shared" si="105"/>
        <v>0</v>
      </c>
      <c r="U178" s="4387">
        <f t="shared" si="105"/>
        <v>0</v>
      </c>
      <c r="V178" s="4384">
        <f t="shared" si="105"/>
        <v>0</v>
      </c>
      <c r="W178" s="4388">
        <f t="shared" si="105"/>
        <v>0</v>
      </c>
      <c r="X178" s="2200">
        <f t="shared" si="103"/>
        <v>319309.61538461538</v>
      </c>
      <c r="Y178" s="1652"/>
      <c r="AB178" s="15"/>
      <c r="AC178" s="15"/>
    </row>
    <row r="179" spans="1:29" s="1544" customFormat="1" ht="17.25" customHeight="1">
      <c r="A179" s="5135"/>
      <c r="B179" s="5137"/>
      <c r="C179" s="5159"/>
      <c r="D179" s="15"/>
      <c r="E179" s="4863">
        <f t="shared" si="100"/>
        <v>3</v>
      </c>
      <c r="F179" s="15" t="str">
        <f t="shared" si="100"/>
        <v>A26</v>
      </c>
      <c r="G179" s="2970" t="s">
        <v>399</v>
      </c>
      <c r="H179" s="3423"/>
      <c r="I179" s="3423"/>
      <c r="J179" s="3423"/>
      <c r="K179" s="3423"/>
      <c r="L179" s="4385">
        <v>212425.22152626922</v>
      </c>
      <c r="M179" s="4384">
        <f t="shared" si="101"/>
        <v>171112.01793855769</v>
      </c>
      <c r="N179" s="4386">
        <f t="shared" ref="N179:W179" si="106">+M93</f>
        <v>82831.088610507679</v>
      </c>
      <c r="O179" s="4385">
        <f t="shared" si="106"/>
        <v>103702.61076313461</v>
      </c>
      <c r="P179" s="4384">
        <f t="shared" si="106"/>
        <v>105813.61076313461</v>
      </c>
      <c r="Q179" s="4386">
        <f t="shared" si="106"/>
        <v>71451.407175423068</v>
      </c>
      <c r="R179" s="4387">
        <f t="shared" si="106"/>
        <v>69274.407175423068</v>
      </c>
      <c r="S179" s="4384">
        <f t="shared" si="106"/>
        <v>35259.203587711534</v>
      </c>
      <c r="T179" s="4386">
        <f t="shared" si="106"/>
        <v>0</v>
      </c>
      <c r="U179" s="4387">
        <f t="shared" si="106"/>
        <v>0</v>
      </c>
      <c r="V179" s="4384">
        <f t="shared" si="106"/>
        <v>0</v>
      </c>
      <c r="W179" s="4388">
        <f t="shared" si="106"/>
        <v>0</v>
      </c>
      <c r="X179" s="2200">
        <f t="shared" si="103"/>
        <v>851869.56754016154</v>
      </c>
      <c r="Y179" s="1652"/>
      <c r="AB179" s="15"/>
      <c r="AC179" s="15"/>
    </row>
    <row r="180" spans="1:29" s="1544" customFormat="1" ht="17.25" customHeight="1">
      <c r="A180" s="5135"/>
      <c r="B180" s="5137"/>
      <c r="C180" s="5159"/>
      <c r="D180" s="15"/>
      <c r="E180" s="4863">
        <f t="shared" si="100"/>
        <v>4</v>
      </c>
      <c r="F180" s="15" t="str">
        <f t="shared" si="100"/>
        <v>A27</v>
      </c>
      <c r="G180" s="1630" t="s">
        <v>399</v>
      </c>
      <c r="H180" s="3420"/>
      <c r="I180" s="3420"/>
      <c r="J180" s="3420"/>
      <c r="K180" s="3420"/>
      <c r="L180" s="4385">
        <v>0</v>
      </c>
      <c r="M180" s="4384">
        <f t="shared" si="101"/>
        <v>0</v>
      </c>
      <c r="N180" s="4386">
        <f t="shared" ref="N180:W180" si="107">+M94</f>
        <v>0</v>
      </c>
      <c r="O180" s="4385">
        <f t="shared" si="107"/>
        <v>37500</v>
      </c>
      <c r="P180" s="4384">
        <f t="shared" si="107"/>
        <v>150000</v>
      </c>
      <c r="Q180" s="4386">
        <f t="shared" si="107"/>
        <v>225000</v>
      </c>
      <c r="R180" s="4387">
        <f t="shared" si="107"/>
        <v>412500</v>
      </c>
      <c r="S180" s="4384">
        <f t="shared" si="107"/>
        <v>412500</v>
      </c>
      <c r="T180" s="4386">
        <f t="shared" si="107"/>
        <v>412112</v>
      </c>
      <c r="U180" s="4385">
        <f t="shared" si="107"/>
        <v>412966</v>
      </c>
      <c r="V180" s="4384">
        <f t="shared" si="107"/>
        <v>375032</v>
      </c>
      <c r="W180" s="4386">
        <f t="shared" si="107"/>
        <v>224773</v>
      </c>
      <c r="X180" s="2200">
        <f t="shared" si="103"/>
        <v>2662383</v>
      </c>
      <c r="Y180" s="1652"/>
      <c r="AB180" s="15"/>
      <c r="AC180" s="15"/>
    </row>
    <row r="181" spans="1:29" s="1544" customFormat="1" ht="17.25" customHeight="1">
      <c r="A181" s="5135"/>
      <c r="B181" s="5137"/>
      <c r="C181" s="15"/>
      <c r="D181" s="15"/>
      <c r="E181" s="4863">
        <f t="shared" si="100"/>
        <v>5</v>
      </c>
      <c r="F181" s="15" t="str">
        <f t="shared" si="100"/>
        <v>A37</v>
      </c>
      <c r="G181" s="1630" t="s">
        <v>399</v>
      </c>
      <c r="H181" s="3420"/>
      <c r="I181" s="3420"/>
      <c r="J181" s="3420"/>
      <c r="K181" s="3420"/>
      <c r="L181" s="4385">
        <v>0</v>
      </c>
      <c r="M181" s="4384">
        <f t="shared" si="101"/>
        <v>30000</v>
      </c>
      <c r="N181" s="4386">
        <f t="shared" ref="N181:W181" si="108">+M95</f>
        <v>277500</v>
      </c>
      <c r="O181" s="4385">
        <f t="shared" si="108"/>
        <v>468000</v>
      </c>
      <c r="P181" s="4384">
        <f t="shared" si="108"/>
        <v>412500</v>
      </c>
      <c r="Q181" s="4386">
        <f t="shared" si="108"/>
        <v>412500</v>
      </c>
      <c r="R181" s="4387">
        <f t="shared" si="108"/>
        <v>412500</v>
      </c>
      <c r="S181" s="4384">
        <f t="shared" si="108"/>
        <v>412500</v>
      </c>
      <c r="T181" s="4386">
        <f t="shared" si="108"/>
        <v>412500</v>
      </c>
      <c r="U181" s="4385">
        <f t="shared" si="108"/>
        <v>412500</v>
      </c>
      <c r="V181" s="4384">
        <f t="shared" si="108"/>
        <v>375000</v>
      </c>
      <c r="W181" s="4386">
        <f t="shared" si="108"/>
        <v>225000</v>
      </c>
      <c r="X181" s="2200">
        <f t="shared" si="103"/>
        <v>3850500</v>
      </c>
      <c r="Y181" s="1652"/>
      <c r="AB181" s="15"/>
      <c r="AC181" s="15"/>
    </row>
    <row r="182" spans="1:29" s="1544" customFormat="1" ht="17.25" customHeight="1">
      <c r="A182" s="5135"/>
      <c r="B182" s="5137"/>
      <c r="C182" s="15"/>
      <c r="D182" s="15"/>
      <c r="E182" s="4863">
        <f t="shared" si="100"/>
        <v>6</v>
      </c>
      <c r="F182" s="15" t="str">
        <f t="shared" si="100"/>
        <v>A18</v>
      </c>
      <c r="G182" s="1630" t="s">
        <v>399</v>
      </c>
      <c r="H182" s="3420"/>
      <c r="I182" s="3420"/>
      <c r="J182" s="3420"/>
      <c r="K182" s="3420"/>
      <c r="L182" s="4385">
        <v>0</v>
      </c>
      <c r="M182" s="4384">
        <f t="shared" si="101"/>
        <v>0</v>
      </c>
      <c r="N182" s="4386">
        <f t="shared" ref="N182:W182" si="109">+M96</f>
        <v>0</v>
      </c>
      <c r="O182" s="4385">
        <f t="shared" si="109"/>
        <v>0</v>
      </c>
      <c r="P182" s="4384">
        <f t="shared" si="109"/>
        <v>0</v>
      </c>
      <c r="Q182" s="4386">
        <f t="shared" si="109"/>
        <v>0</v>
      </c>
      <c r="R182" s="4387">
        <f t="shared" si="109"/>
        <v>0</v>
      </c>
      <c r="S182" s="4384">
        <f t="shared" si="109"/>
        <v>0</v>
      </c>
      <c r="T182" s="4386">
        <f t="shared" si="109"/>
        <v>33714.450000000004</v>
      </c>
      <c r="U182" s="4385">
        <f t="shared" si="109"/>
        <v>168572.25</v>
      </c>
      <c r="V182" s="4384">
        <f t="shared" si="109"/>
        <v>236001.15000000002</v>
      </c>
      <c r="W182" s="4386">
        <f t="shared" si="109"/>
        <v>269715.60000000003</v>
      </c>
      <c r="X182" s="2200">
        <f t="shared" si="103"/>
        <v>708003.45000000007</v>
      </c>
      <c r="Y182" s="1652"/>
      <c r="AB182" s="15"/>
      <c r="AC182" s="15"/>
    </row>
    <row r="183" spans="1:29" s="1544" customFormat="1" ht="17.25" customHeight="1">
      <c r="A183" s="5135"/>
      <c r="B183" s="5137"/>
      <c r="C183" s="11"/>
      <c r="D183" s="11"/>
      <c r="E183" s="4865"/>
      <c r="F183" s="11" t="str">
        <f t="shared" si="100"/>
        <v>CNC</v>
      </c>
      <c r="G183" s="3546" t="s">
        <v>399</v>
      </c>
      <c r="H183" s="4533"/>
      <c r="I183" s="4533"/>
      <c r="J183" s="4533"/>
      <c r="K183" s="4533"/>
      <c r="L183" s="4398">
        <v>490667.44619004522</v>
      </c>
      <c r="M183" s="4399">
        <f t="shared" si="101"/>
        <v>498432.02797769901</v>
      </c>
      <c r="N183" s="4400">
        <f t="shared" ref="N183:W183" si="110">+M97</f>
        <v>503298.1998902199</v>
      </c>
      <c r="O183" s="4398">
        <f t="shared" si="110"/>
        <v>500969.42545665283</v>
      </c>
      <c r="P183" s="4399">
        <f t="shared" si="110"/>
        <v>536423.89831711538</v>
      </c>
      <c r="Q183" s="4400">
        <f t="shared" si="110"/>
        <v>489856.06900973147</v>
      </c>
      <c r="R183" s="4411">
        <f t="shared" si="110"/>
        <v>541299.5203214325</v>
      </c>
      <c r="S183" s="4399">
        <f t="shared" si="110"/>
        <v>545230.57065639924</v>
      </c>
      <c r="T183" s="4400">
        <f t="shared" si="110"/>
        <v>548824.64202411193</v>
      </c>
      <c r="U183" s="4398">
        <f t="shared" si="110"/>
        <v>523784.17386586033</v>
      </c>
      <c r="V183" s="4399">
        <f t="shared" si="110"/>
        <v>524677.34694626695</v>
      </c>
      <c r="W183" s="4400">
        <f t="shared" si="110"/>
        <v>535161.40288798884</v>
      </c>
      <c r="X183" s="2214">
        <f t="shared" si="103"/>
        <v>6238624.7235435229</v>
      </c>
      <c r="Y183" s="1652"/>
      <c r="AB183" s="15"/>
      <c r="AC183" s="15"/>
    </row>
    <row r="184" spans="1:29" s="1544" customFormat="1" ht="17.25" customHeight="1">
      <c r="A184" s="5135"/>
      <c r="B184" s="5137"/>
      <c r="C184" s="5160" t="s">
        <v>24</v>
      </c>
      <c r="D184" s="84" t="s">
        <v>861</v>
      </c>
      <c r="E184" s="4863">
        <f t="shared" si="100"/>
        <v>7</v>
      </c>
      <c r="F184" s="15" t="str">
        <f t="shared" si="100"/>
        <v>MTP+IDP+ADP</v>
      </c>
      <c r="G184" s="1630" t="s">
        <v>1233</v>
      </c>
      <c r="H184" s="3545"/>
      <c r="I184" s="3545"/>
      <c r="J184" s="3545"/>
      <c r="K184" s="3545"/>
      <c r="L184" s="4385">
        <v>30572</v>
      </c>
      <c r="M184" s="4384">
        <v>23310</v>
      </c>
      <c r="N184" s="4386">
        <v>33485</v>
      </c>
      <c r="O184" s="4385">
        <f t="shared" ref="O184:W189" si="111">+L98</f>
        <v>60371.428571428572</v>
      </c>
      <c r="P184" s="4384">
        <f t="shared" si="111"/>
        <v>59692.857142857145</v>
      </c>
      <c r="Q184" s="4386">
        <f t="shared" si="111"/>
        <v>63392.857142857145</v>
      </c>
      <c r="R184" s="4387">
        <f t="shared" si="111"/>
        <v>98542.857142857145</v>
      </c>
      <c r="S184" s="4384">
        <f t="shared" si="111"/>
        <v>74492.857142857145</v>
      </c>
      <c r="T184" s="4386">
        <f t="shared" si="111"/>
        <v>68572.857142857145</v>
      </c>
      <c r="U184" s="4385">
        <f t="shared" si="111"/>
        <v>68572.857142857145</v>
      </c>
      <c r="V184" s="4384">
        <f t="shared" si="111"/>
        <v>50072.857142857145</v>
      </c>
      <c r="W184" s="4386">
        <f t="shared" si="111"/>
        <v>50072.857142857145</v>
      </c>
      <c r="X184" s="2200">
        <f t="shared" si="103"/>
        <v>681151.2857142858</v>
      </c>
      <c r="Y184" s="1652"/>
      <c r="AB184" s="12"/>
      <c r="AC184" s="85"/>
    </row>
    <row r="185" spans="1:29" s="1544" customFormat="1" ht="17.25" customHeight="1">
      <c r="A185" s="5135"/>
      <c r="B185" s="5137"/>
      <c r="C185" s="5160"/>
      <c r="D185" s="84"/>
      <c r="E185" s="4863">
        <f t="shared" si="100"/>
        <v>8</v>
      </c>
      <c r="F185" s="15" t="str">
        <f t="shared" si="100"/>
        <v>Ride5</v>
      </c>
      <c r="G185" s="1630" t="s">
        <v>1233</v>
      </c>
      <c r="H185" s="3545"/>
      <c r="I185" s="3545"/>
      <c r="J185" s="3545"/>
      <c r="K185" s="3545"/>
      <c r="L185" s="4385">
        <v>12157.900000000001</v>
      </c>
      <c r="M185" s="4384">
        <v>14286.000000000002</v>
      </c>
      <c r="N185" s="4386">
        <v>14286.000000000002</v>
      </c>
      <c r="O185" s="4385">
        <f t="shared" si="111"/>
        <v>14286.000000000002</v>
      </c>
      <c r="P185" s="4384">
        <f t="shared" si="111"/>
        <v>14286.000000000002</v>
      </c>
      <c r="Q185" s="4386">
        <f t="shared" si="111"/>
        <v>14286.000000000002</v>
      </c>
      <c r="R185" s="4387">
        <f t="shared" si="111"/>
        <v>14286.000000000002</v>
      </c>
      <c r="S185" s="4384">
        <f t="shared" si="111"/>
        <v>14286.000000000002</v>
      </c>
      <c r="T185" s="4386">
        <f t="shared" si="111"/>
        <v>14286.000000000002</v>
      </c>
      <c r="U185" s="4385">
        <f t="shared" si="111"/>
        <v>17857.5</v>
      </c>
      <c r="V185" s="4384">
        <f t="shared" si="111"/>
        <v>17857.5</v>
      </c>
      <c r="W185" s="4386">
        <f t="shared" si="111"/>
        <v>17857.5</v>
      </c>
      <c r="X185" s="2200">
        <f t="shared" si="103"/>
        <v>180018.40000000002</v>
      </c>
      <c r="Y185" s="1652"/>
      <c r="AB185" s="15"/>
      <c r="AC185" s="84"/>
    </row>
    <row r="186" spans="1:29" s="1544" customFormat="1" ht="17.25" customHeight="1">
      <c r="A186" s="5135"/>
      <c r="B186" s="5137"/>
      <c r="C186" s="5160"/>
      <c r="D186" s="84"/>
      <c r="E186" s="4863"/>
      <c r="F186" s="15" t="str">
        <f t="shared" si="100"/>
        <v>Glymur</v>
      </c>
      <c r="G186" s="1630" t="s">
        <v>1233</v>
      </c>
      <c r="H186" s="3545"/>
      <c r="I186" s="3545"/>
      <c r="J186" s="3545"/>
      <c r="K186" s="3545"/>
      <c r="L186" s="4385">
        <v>0</v>
      </c>
      <c r="M186" s="4384">
        <v>0</v>
      </c>
      <c r="N186" s="4386">
        <v>0</v>
      </c>
      <c r="O186" s="4385">
        <f t="shared" si="111"/>
        <v>0</v>
      </c>
      <c r="P186" s="4384">
        <f t="shared" si="111"/>
        <v>0</v>
      </c>
      <c r="Q186" s="4386">
        <f t="shared" si="111"/>
        <v>0</v>
      </c>
      <c r="R186" s="4387">
        <f t="shared" si="111"/>
        <v>0</v>
      </c>
      <c r="S186" s="4384">
        <f t="shared" si="111"/>
        <v>0</v>
      </c>
      <c r="T186" s="4386">
        <f t="shared" si="111"/>
        <v>0</v>
      </c>
      <c r="U186" s="4385">
        <f t="shared" si="111"/>
        <v>0</v>
      </c>
      <c r="V186" s="4384">
        <f t="shared" si="111"/>
        <v>0</v>
      </c>
      <c r="W186" s="4386">
        <f t="shared" si="111"/>
        <v>0</v>
      </c>
      <c r="X186" s="2200">
        <f t="shared" si="103"/>
        <v>0</v>
      </c>
      <c r="Y186" s="1652"/>
      <c r="AB186" s="15"/>
      <c r="AC186" s="84"/>
    </row>
    <row r="187" spans="1:29" s="1544" customFormat="1" ht="17.25" customHeight="1">
      <c r="A187" s="5135"/>
      <c r="B187" s="5137"/>
      <c r="C187" s="5160"/>
      <c r="D187" s="84"/>
      <c r="E187" s="4863">
        <f t="shared" si="100"/>
        <v>9</v>
      </c>
      <c r="F187" s="15" t="str">
        <f t="shared" si="100"/>
        <v>MTP Hawi</v>
      </c>
      <c r="G187" s="1630" t="s">
        <v>1233</v>
      </c>
      <c r="H187" s="3545"/>
      <c r="I187" s="3545"/>
      <c r="J187" s="3545"/>
      <c r="K187" s="3545"/>
      <c r="L187" s="4385">
        <v>37364.200000000004</v>
      </c>
      <c r="M187" s="4384">
        <v>24690</v>
      </c>
      <c r="N187" s="4386">
        <v>16460</v>
      </c>
      <c r="O187" s="4385">
        <f t="shared" si="111"/>
        <v>8230</v>
      </c>
      <c r="P187" s="4384">
        <f t="shared" si="111"/>
        <v>12345</v>
      </c>
      <c r="Q187" s="4386">
        <f t="shared" si="111"/>
        <v>8230</v>
      </c>
      <c r="R187" s="4387">
        <f t="shared" si="111"/>
        <v>8230</v>
      </c>
      <c r="S187" s="4384">
        <f t="shared" si="111"/>
        <v>8230</v>
      </c>
      <c r="T187" s="4386">
        <f t="shared" si="111"/>
        <v>8230</v>
      </c>
      <c r="U187" s="4385">
        <f t="shared" si="111"/>
        <v>8230</v>
      </c>
      <c r="V187" s="4384">
        <f t="shared" si="111"/>
        <v>8230</v>
      </c>
      <c r="W187" s="4386">
        <f t="shared" si="111"/>
        <v>8230</v>
      </c>
      <c r="X187" s="2200">
        <f t="shared" si="103"/>
        <v>156699.20000000001</v>
      </c>
      <c r="Y187" s="1652"/>
      <c r="AB187" s="15"/>
      <c r="AC187" s="84"/>
    </row>
    <row r="188" spans="1:29" s="1544" customFormat="1" ht="17.25" customHeight="1">
      <c r="A188" s="5135"/>
      <c r="B188" s="5137"/>
      <c r="C188" s="5160"/>
      <c r="D188" s="84"/>
      <c r="E188" s="4863">
        <f t="shared" si="100"/>
        <v>10</v>
      </c>
      <c r="F188" s="15" t="str">
        <f t="shared" si="100"/>
        <v>QMP Amboseli</v>
      </c>
      <c r="G188" s="1630" t="s">
        <v>1233</v>
      </c>
      <c r="H188" s="3545"/>
      <c r="I188" s="3545"/>
      <c r="J188" s="3545"/>
      <c r="K188" s="3545"/>
      <c r="L188" s="4385">
        <v>16460</v>
      </c>
      <c r="M188" s="4384">
        <v>13303.383500000002</v>
      </c>
      <c r="N188" s="4386">
        <v>0</v>
      </c>
      <c r="O188" s="4385">
        <f t="shared" si="111"/>
        <v>4115</v>
      </c>
      <c r="P188" s="4384">
        <f t="shared" si="111"/>
        <v>0</v>
      </c>
      <c r="Q188" s="4386">
        <f t="shared" si="111"/>
        <v>4115</v>
      </c>
      <c r="R188" s="4387">
        <f t="shared" si="111"/>
        <v>0</v>
      </c>
      <c r="S188" s="4384">
        <f t="shared" si="111"/>
        <v>4115</v>
      </c>
      <c r="T188" s="4386">
        <f t="shared" si="111"/>
        <v>0</v>
      </c>
      <c r="U188" s="4385">
        <f t="shared" si="111"/>
        <v>4115</v>
      </c>
      <c r="V188" s="4384">
        <f t="shared" si="111"/>
        <v>0</v>
      </c>
      <c r="W188" s="4386">
        <f t="shared" si="111"/>
        <v>4115</v>
      </c>
      <c r="X188" s="2200">
        <f t="shared" si="103"/>
        <v>50338.383500000004</v>
      </c>
      <c r="Y188" s="1652"/>
      <c r="AB188" s="15"/>
      <c r="AC188" s="84"/>
    </row>
    <row r="189" spans="1:29" s="1544" customFormat="1" ht="17.25" customHeight="1">
      <c r="A189" s="5135"/>
      <c r="B189" s="5137"/>
      <c r="C189" s="5161"/>
      <c r="D189" s="83"/>
      <c r="E189" s="4865"/>
      <c r="F189" s="11" t="str">
        <f t="shared" si="100"/>
        <v>LDS Antenna</v>
      </c>
      <c r="G189" s="3546" t="s">
        <v>1233</v>
      </c>
      <c r="H189" s="3547"/>
      <c r="I189" s="3547"/>
      <c r="J189" s="3547"/>
      <c r="K189" s="3547"/>
      <c r="L189" s="4398">
        <v>36850</v>
      </c>
      <c r="M189" s="4399">
        <v>17875</v>
      </c>
      <c r="N189" s="4400">
        <v>15249.2</v>
      </c>
      <c r="O189" s="4398">
        <f t="shared" si="111"/>
        <v>9380</v>
      </c>
      <c r="P189" s="4399">
        <f t="shared" si="111"/>
        <v>9380</v>
      </c>
      <c r="Q189" s="4400">
        <f t="shared" si="111"/>
        <v>12060</v>
      </c>
      <c r="R189" s="4411">
        <f t="shared" si="111"/>
        <v>12060</v>
      </c>
      <c r="S189" s="4399">
        <f t="shared" si="111"/>
        <v>8040.0000000000009</v>
      </c>
      <c r="T189" s="4400">
        <f t="shared" si="111"/>
        <v>8040.0000000000009</v>
      </c>
      <c r="U189" s="4398">
        <f t="shared" si="111"/>
        <v>6700</v>
      </c>
      <c r="V189" s="4399">
        <f t="shared" si="111"/>
        <v>6700</v>
      </c>
      <c r="W189" s="4400">
        <f t="shared" si="111"/>
        <v>6700</v>
      </c>
      <c r="X189" s="2214">
        <f t="shared" si="103"/>
        <v>149034.20000000001</v>
      </c>
      <c r="Y189" s="1652"/>
      <c r="AB189" s="11"/>
      <c r="AC189" s="83"/>
    </row>
    <row r="190" spans="1:29" s="1544" customFormat="1" ht="17.25" customHeight="1">
      <c r="A190" s="5136"/>
      <c r="B190" s="1568"/>
      <c r="C190" s="1569" t="s">
        <v>44</v>
      </c>
      <c r="D190" s="1569"/>
      <c r="E190" s="4860"/>
      <c r="F190" s="1570"/>
      <c r="G190" s="1571"/>
      <c r="H190" s="3413"/>
      <c r="I190" s="3413"/>
      <c r="J190" s="3413"/>
      <c r="K190" s="3413"/>
      <c r="L190" s="1829">
        <f t="shared" ref="L190" si="112">SUM(L176:L189)</f>
        <v>1539393.3061778529</v>
      </c>
      <c r="M190" s="4158">
        <f t="shared" ref="M190:P190" si="113">SUM(M176:M189)</f>
        <v>1297424.121723949</v>
      </c>
      <c r="N190" s="1754">
        <f t="shared" si="113"/>
        <v>1359577.1808084198</v>
      </c>
      <c r="O190" s="1829">
        <f t="shared" si="113"/>
        <v>1747405.7570989085</v>
      </c>
      <c r="P190" s="4158">
        <f t="shared" si="113"/>
        <v>1764052.966223107</v>
      </c>
      <c r="Q190" s="1754">
        <f t="shared" ref="Q190:W190" si="114">SUM(Q176:Q189)</f>
        <v>1764502.9333280118</v>
      </c>
      <c r="R190" s="1830">
        <f t="shared" si="114"/>
        <v>1938074.3846397125</v>
      </c>
      <c r="S190" s="1753">
        <f t="shared" si="114"/>
        <v>1797343.6313869678</v>
      </c>
      <c r="T190" s="1754">
        <f t="shared" si="114"/>
        <v>1694739.9491669689</v>
      </c>
      <c r="U190" s="1829">
        <f t="shared" si="114"/>
        <v>1748937.7810087174</v>
      </c>
      <c r="V190" s="1753">
        <f t="shared" si="114"/>
        <v>1687800.8540891239</v>
      </c>
      <c r="W190" s="1754">
        <f t="shared" si="114"/>
        <v>1417009.360030846</v>
      </c>
      <c r="X190" s="2223">
        <f t="shared" si="103"/>
        <v>19756262.225682583</v>
      </c>
      <c r="Y190" s="1652"/>
      <c r="AB190" s="1569"/>
      <c r="AC190" s="1752"/>
    </row>
    <row r="191" spans="1:29" s="1544" customFormat="1" ht="17.25" customHeight="1">
      <c r="A191" s="5162">
        <v>2</v>
      </c>
      <c r="B191" s="5163" t="s">
        <v>499</v>
      </c>
      <c r="C191" s="15" t="s">
        <v>20</v>
      </c>
      <c r="D191" s="15" t="str">
        <f>D105</f>
        <v>Motor HSG</v>
      </c>
      <c r="E191" s="4866">
        <f t="shared" ref="E191:F193" si="115">E20</f>
        <v>11</v>
      </c>
      <c r="F191" s="15" t="str">
        <f t="shared" si="115"/>
        <v>GEN3 AL5 Housing (YT)</v>
      </c>
      <c r="G191" s="1561" t="s">
        <v>407</v>
      </c>
      <c r="H191" s="3411"/>
      <c r="I191" s="3411"/>
      <c r="J191" s="3411"/>
      <c r="K191" s="3411"/>
      <c r="L191" s="4385">
        <v>81998.380991331622</v>
      </c>
      <c r="M191" s="4384">
        <v>44868.617812950943</v>
      </c>
      <c r="N191" s="4386">
        <v>15546.17564689957</v>
      </c>
      <c r="O191" s="4385">
        <f t="shared" ref="O191:O222" si="116">L105</f>
        <v>84215.513927957349</v>
      </c>
      <c r="P191" s="4384">
        <f t="shared" ref="P191:P222" si="117">M105</f>
        <v>59460.475712826199</v>
      </c>
      <c r="Q191" s="4386">
        <f t="shared" ref="Q191:Q222" si="118">N105</f>
        <v>103576.31253201983</v>
      </c>
      <c r="R191" s="4387">
        <f t="shared" ref="R191:R222" si="119">O105</f>
        <v>66599.995198058008</v>
      </c>
      <c r="S191" s="4384">
        <f t="shared" ref="S191:S222" si="120">P105</f>
        <v>0</v>
      </c>
      <c r="T191" s="4386">
        <f t="shared" ref="T191:T222" si="121">Q105</f>
        <v>0</v>
      </c>
      <c r="U191" s="4385">
        <f t="shared" ref="U191:U222" si="122">R105</f>
        <v>0</v>
      </c>
      <c r="V191" s="4384">
        <f t="shared" ref="V191:V222" si="123">S105</f>
        <v>0</v>
      </c>
      <c r="W191" s="4388">
        <f t="shared" ref="W191:W222" si="124">T105</f>
        <v>0</v>
      </c>
      <c r="X191" s="2200">
        <f t="shared" si="103"/>
        <v>456265.47182204347</v>
      </c>
      <c r="Y191" s="1652"/>
      <c r="AB191" s="15"/>
      <c r="AC191" s="15"/>
    </row>
    <row r="192" spans="1:29" s="1544" customFormat="1" ht="17.25" customHeight="1">
      <c r="A192" s="5135"/>
      <c r="B192" s="5138"/>
      <c r="C192" s="15"/>
      <c r="D192" s="15"/>
      <c r="E192" s="4866">
        <f t="shared" si="115"/>
        <v>12</v>
      </c>
      <c r="F192" s="15" t="str">
        <f t="shared" si="115"/>
        <v>GEN3 AL6 Housing (YT)</v>
      </c>
      <c r="G192" s="1561" t="s">
        <v>407</v>
      </c>
      <c r="H192" s="3411"/>
      <c r="I192" s="3411"/>
      <c r="J192" s="3411"/>
      <c r="K192" s="3411"/>
      <c r="L192" s="4385">
        <v>7818.7548240213764</v>
      </c>
      <c r="M192" s="4384">
        <v>0</v>
      </c>
      <c r="N192" s="4386">
        <v>0</v>
      </c>
      <c r="O192" s="4385">
        <f t="shared" si="116"/>
        <v>0</v>
      </c>
      <c r="P192" s="4384">
        <f t="shared" si="117"/>
        <v>0</v>
      </c>
      <c r="Q192" s="4386">
        <f t="shared" si="118"/>
        <v>0</v>
      </c>
      <c r="R192" s="4387">
        <f t="shared" si="119"/>
        <v>0</v>
      </c>
      <c r="S192" s="4384">
        <f t="shared" si="120"/>
        <v>0</v>
      </c>
      <c r="T192" s="4386">
        <f t="shared" si="121"/>
        <v>0</v>
      </c>
      <c r="U192" s="4385">
        <f t="shared" si="122"/>
        <v>0</v>
      </c>
      <c r="V192" s="4384">
        <f t="shared" si="123"/>
        <v>0</v>
      </c>
      <c r="W192" s="4388">
        <f t="shared" si="124"/>
        <v>0</v>
      </c>
      <c r="X192" s="2200">
        <f t="shared" si="103"/>
        <v>7818.7548240213764</v>
      </c>
      <c r="Y192" s="1652"/>
      <c r="AB192" s="15"/>
      <c r="AC192" s="15"/>
    </row>
    <row r="193" spans="1:29" s="1544" customFormat="1" ht="17.25" customHeight="1">
      <c r="A193" s="5135"/>
      <c r="B193" s="5138"/>
      <c r="C193" s="15"/>
      <c r="D193" s="15"/>
      <c r="E193" s="4866"/>
      <c r="F193" s="15" t="str">
        <f t="shared" si="115"/>
        <v>GEN3 AL5  Housing (MX)</v>
      </c>
      <c r="G193" s="1561" t="s">
        <v>970</v>
      </c>
      <c r="H193" s="3411"/>
      <c r="I193" s="3411"/>
      <c r="J193" s="3411"/>
      <c r="K193" s="3411"/>
      <c r="L193" s="4385">
        <v>0</v>
      </c>
      <c r="M193" s="4384">
        <v>0</v>
      </c>
      <c r="N193" s="4386">
        <v>0</v>
      </c>
      <c r="O193" s="4385">
        <f t="shared" si="116"/>
        <v>0</v>
      </c>
      <c r="P193" s="4384">
        <f t="shared" si="117"/>
        <v>0</v>
      </c>
      <c r="Q193" s="4386">
        <f t="shared" si="118"/>
        <v>0</v>
      </c>
      <c r="R193" s="4387">
        <f t="shared" si="119"/>
        <v>0</v>
      </c>
      <c r="S193" s="4384">
        <f t="shared" si="120"/>
        <v>0</v>
      </c>
      <c r="T193" s="4386">
        <f t="shared" si="121"/>
        <v>0</v>
      </c>
      <c r="U193" s="4385">
        <f t="shared" si="122"/>
        <v>0</v>
      </c>
      <c r="V193" s="4384">
        <f t="shared" si="123"/>
        <v>0</v>
      </c>
      <c r="W193" s="4388">
        <f t="shared" si="124"/>
        <v>0</v>
      </c>
      <c r="X193" s="2200">
        <f t="shared" si="103"/>
        <v>0</v>
      </c>
      <c r="Y193" s="1652"/>
      <c r="AB193" s="15"/>
      <c r="AC193" s="15"/>
    </row>
    <row r="194" spans="1:29" s="1544" customFormat="1" ht="17.25" customHeight="1">
      <c r="A194" s="5135"/>
      <c r="B194" s="5138"/>
      <c r="C194" s="15"/>
      <c r="D194" s="15"/>
      <c r="E194" s="4866"/>
      <c r="F194" s="15" t="s">
        <v>1195</v>
      </c>
      <c r="G194" s="1561" t="s">
        <v>970</v>
      </c>
      <c r="H194" s="3411"/>
      <c r="I194" s="3411"/>
      <c r="J194" s="3411"/>
      <c r="K194" s="3411"/>
      <c r="L194" s="4385">
        <v>0</v>
      </c>
      <c r="M194" s="4384">
        <v>0</v>
      </c>
      <c r="N194" s="4386">
        <v>0</v>
      </c>
      <c r="O194" s="4385">
        <f t="shared" si="116"/>
        <v>0</v>
      </c>
      <c r="P194" s="4384">
        <f t="shared" si="117"/>
        <v>0</v>
      </c>
      <c r="Q194" s="4386">
        <f t="shared" si="118"/>
        <v>0</v>
      </c>
      <c r="R194" s="4387">
        <f t="shared" si="119"/>
        <v>0</v>
      </c>
      <c r="S194" s="4384">
        <f t="shared" si="120"/>
        <v>0</v>
      </c>
      <c r="T194" s="4386">
        <f t="shared" si="121"/>
        <v>0</v>
      </c>
      <c r="U194" s="4385">
        <f t="shared" si="122"/>
        <v>0</v>
      </c>
      <c r="V194" s="4384">
        <f t="shared" si="123"/>
        <v>0</v>
      </c>
      <c r="W194" s="4388">
        <f t="shared" si="124"/>
        <v>0</v>
      </c>
      <c r="X194" s="2200">
        <f t="shared" si="103"/>
        <v>0</v>
      </c>
      <c r="Y194" s="1652"/>
      <c r="AB194" s="15"/>
      <c r="AC194" s="15"/>
    </row>
    <row r="195" spans="1:29" s="1544" customFormat="1" ht="17.25" customHeight="1">
      <c r="A195" s="5135"/>
      <c r="B195" s="5138"/>
      <c r="C195" s="15"/>
      <c r="D195" s="15"/>
      <c r="E195" s="4866"/>
      <c r="F195" s="15" t="str">
        <f t="shared" ref="F195:F209" si="125">F24</f>
        <v>T6 Housing</v>
      </c>
      <c r="G195" s="1561" t="s">
        <v>407</v>
      </c>
      <c r="H195" s="3411"/>
      <c r="I195" s="3411"/>
      <c r="J195" s="3411"/>
      <c r="K195" s="3411"/>
      <c r="L195" s="4500">
        <v>101894.3964892877</v>
      </c>
      <c r="M195" s="4384">
        <v>150712.49313160448</v>
      </c>
      <c r="N195" s="4386">
        <v>206808.67922925233</v>
      </c>
      <c r="O195" s="4385">
        <f t="shared" si="116"/>
        <v>0</v>
      </c>
      <c r="P195" s="4384">
        <f t="shared" si="117"/>
        <v>0</v>
      </c>
      <c r="Q195" s="4386">
        <f t="shared" si="118"/>
        <v>0</v>
      </c>
      <c r="R195" s="4387">
        <f t="shared" si="119"/>
        <v>0</v>
      </c>
      <c r="S195" s="4384">
        <f t="shared" si="120"/>
        <v>0</v>
      </c>
      <c r="T195" s="4386">
        <f t="shared" si="121"/>
        <v>0</v>
      </c>
      <c r="U195" s="4385">
        <f t="shared" si="122"/>
        <v>0</v>
      </c>
      <c r="V195" s="4384">
        <f t="shared" si="123"/>
        <v>0</v>
      </c>
      <c r="W195" s="4388">
        <f t="shared" si="124"/>
        <v>0</v>
      </c>
      <c r="X195" s="2200">
        <f t="shared" si="103"/>
        <v>459415.56885014451</v>
      </c>
      <c r="Y195" s="1652"/>
      <c r="AB195" s="15"/>
      <c r="AC195" s="15"/>
    </row>
    <row r="196" spans="1:29" s="1544" customFormat="1" ht="17.25" customHeight="1">
      <c r="A196" s="5135"/>
      <c r="B196" s="5138"/>
      <c r="C196" s="15"/>
      <c r="D196" s="15"/>
      <c r="E196" s="4866">
        <f>E25</f>
        <v>13</v>
      </c>
      <c r="F196" s="15" t="str">
        <f t="shared" si="125"/>
        <v>CL4 Housing (YT)</v>
      </c>
      <c r="G196" s="1561" t="s">
        <v>407</v>
      </c>
      <c r="H196" s="3411"/>
      <c r="I196" s="3411"/>
      <c r="J196" s="3411"/>
      <c r="K196" s="3411"/>
      <c r="L196" s="4923">
        <v>151993.94527098967</v>
      </c>
      <c r="M196" s="4498">
        <v>42249.58281532659</v>
      </c>
      <c r="N196" s="4575">
        <v>103467.26927536953</v>
      </c>
      <c r="O196" s="4385">
        <f t="shared" si="116"/>
        <v>61186.661290334487</v>
      </c>
      <c r="P196" s="4384">
        <f t="shared" si="117"/>
        <v>107076.65725808537</v>
      </c>
      <c r="Q196" s="4386">
        <f t="shared" si="118"/>
        <v>67985.179211482769</v>
      </c>
      <c r="R196" s="4387">
        <f t="shared" si="119"/>
        <v>107076.65725808537</v>
      </c>
      <c r="S196" s="4384">
        <f t="shared" si="120"/>
        <v>107076.65725808537</v>
      </c>
      <c r="T196" s="4386">
        <f t="shared" si="121"/>
        <v>84981.474014353473</v>
      </c>
      <c r="U196" s="4385">
        <f t="shared" si="122"/>
        <v>84981.474014353473</v>
      </c>
      <c r="V196" s="4384">
        <f t="shared" si="123"/>
        <v>84981.474014353473</v>
      </c>
      <c r="W196" s="4388">
        <f t="shared" si="124"/>
        <v>84981.474014353473</v>
      </c>
      <c r="X196" s="2200">
        <f t="shared" si="103"/>
        <v>1088038.5056951731</v>
      </c>
      <c r="Y196" s="1652"/>
      <c r="AB196" s="15" t="s">
        <v>20</v>
      </c>
      <c r="AC196" s="15" t="s">
        <v>865</v>
      </c>
    </row>
    <row r="197" spans="1:29" s="1544" customFormat="1" ht="17.25" customHeight="1">
      <c r="A197" s="5135"/>
      <c r="B197" s="5138"/>
      <c r="C197" s="15"/>
      <c r="D197" s="15"/>
      <c r="E197" s="4866"/>
      <c r="F197" s="15" t="str">
        <f t="shared" si="125"/>
        <v>CL4 Housing (MX)</v>
      </c>
      <c r="G197" s="1561" t="s">
        <v>407</v>
      </c>
      <c r="H197" s="3411"/>
      <c r="I197" s="3411"/>
      <c r="J197" s="3411"/>
      <c r="K197" s="3411"/>
      <c r="L197" s="4923"/>
      <c r="M197" s="4498">
        <f t="shared" ref="M197:N197" si="126">M114*$G$108</f>
        <v>0</v>
      </c>
      <c r="N197" s="4575">
        <f t="shared" si="126"/>
        <v>0</v>
      </c>
      <c r="O197" s="4385">
        <f t="shared" si="116"/>
        <v>156816</v>
      </c>
      <c r="P197" s="4384">
        <f t="shared" si="117"/>
        <v>78408</v>
      </c>
      <c r="Q197" s="4386">
        <f t="shared" si="118"/>
        <v>78408</v>
      </c>
      <c r="R197" s="4387">
        <f t="shared" si="119"/>
        <v>78408</v>
      </c>
      <c r="S197" s="4384">
        <f t="shared" si="120"/>
        <v>78408</v>
      </c>
      <c r="T197" s="4386">
        <f t="shared" si="121"/>
        <v>78408</v>
      </c>
      <c r="U197" s="4385">
        <f t="shared" si="122"/>
        <v>78408</v>
      </c>
      <c r="V197" s="4384">
        <f t="shared" si="123"/>
        <v>78408</v>
      </c>
      <c r="W197" s="4388">
        <f t="shared" si="124"/>
        <v>78408</v>
      </c>
      <c r="X197" s="2200">
        <f t="shared" si="103"/>
        <v>784080</v>
      </c>
      <c r="Y197" s="1652"/>
      <c r="AB197" s="15"/>
      <c r="AC197" s="15"/>
    </row>
    <row r="198" spans="1:29" s="1544" customFormat="1" ht="17.25" customHeight="1">
      <c r="A198" s="5135"/>
      <c r="B198" s="5138"/>
      <c r="C198" s="15"/>
      <c r="D198" s="15"/>
      <c r="E198" s="4866">
        <f>E27</f>
        <v>14</v>
      </c>
      <c r="F198" s="15" t="str">
        <f t="shared" si="125"/>
        <v>MQ4a PE Housing (YT)</v>
      </c>
      <c r="G198" s="1561" t="s">
        <v>407</v>
      </c>
      <c r="H198" s="3411"/>
      <c r="I198" s="3411"/>
      <c r="J198" s="3411"/>
      <c r="K198" s="3411"/>
      <c r="L198" s="4923">
        <v>169266.43351670186</v>
      </c>
      <c r="M198" s="4498">
        <v>83715.784847987234</v>
      </c>
      <c r="N198" s="4575">
        <v>145188.18252743152</v>
      </c>
      <c r="O198" s="4385">
        <f t="shared" si="116"/>
        <v>68467.502184319892</v>
      </c>
      <c r="P198" s="4384">
        <f t="shared" si="117"/>
        <v>56109.953009588979</v>
      </c>
      <c r="Q198" s="4386">
        <f t="shared" si="118"/>
        <v>48428.233252323829</v>
      </c>
      <c r="R198" s="4387">
        <f t="shared" si="119"/>
        <v>50098.172329990164</v>
      </c>
      <c r="S198" s="4384">
        <f t="shared" si="120"/>
        <v>56109.953009588979</v>
      </c>
      <c r="T198" s="4386">
        <f t="shared" si="121"/>
        <v>51400.724810569904</v>
      </c>
      <c r="U198" s="4385">
        <f t="shared" si="122"/>
        <v>51400.724810569904</v>
      </c>
      <c r="V198" s="4384">
        <f t="shared" si="123"/>
        <v>51400.724810569904</v>
      </c>
      <c r="W198" s="4388">
        <f t="shared" si="124"/>
        <v>51400.724810569904</v>
      </c>
      <c r="X198" s="2200">
        <f t="shared" si="103"/>
        <v>882987.11392021214</v>
      </c>
      <c r="Y198" s="1652"/>
      <c r="AB198" s="15" t="s">
        <v>20</v>
      </c>
      <c r="AC198" s="15" t="s">
        <v>865</v>
      </c>
    </row>
    <row r="199" spans="1:29" s="1544" customFormat="1" ht="17.25" customHeight="1">
      <c r="A199" s="5135"/>
      <c r="B199" s="5138"/>
      <c r="C199" s="15"/>
      <c r="D199" s="15"/>
      <c r="E199" s="4866"/>
      <c r="F199" s="15" t="str">
        <f t="shared" si="125"/>
        <v>MQ4a PE Housing (MX)</v>
      </c>
      <c r="G199" s="1561" t="s">
        <v>407</v>
      </c>
      <c r="H199" s="3411"/>
      <c r="I199" s="3411"/>
      <c r="J199" s="3411"/>
      <c r="K199" s="3411"/>
      <c r="L199" s="4923"/>
      <c r="M199" s="4498"/>
      <c r="N199" s="4575"/>
      <c r="O199" s="4385">
        <f t="shared" si="116"/>
        <v>153964.80000000002</v>
      </c>
      <c r="P199" s="4384">
        <f t="shared" si="117"/>
        <v>76982.400000000009</v>
      </c>
      <c r="Q199" s="4386">
        <f t="shared" si="118"/>
        <v>76982.400000000009</v>
      </c>
      <c r="R199" s="4387">
        <f t="shared" si="119"/>
        <v>76982.400000000009</v>
      </c>
      <c r="S199" s="4384">
        <f t="shared" si="120"/>
        <v>71280</v>
      </c>
      <c r="T199" s="4386">
        <f t="shared" si="121"/>
        <v>71280</v>
      </c>
      <c r="U199" s="4385">
        <f t="shared" si="122"/>
        <v>71280</v>
      </c>
      <c r="V199" s="4384">
        <f t="shared" si="123"/>
        <v>71280</v>
      </c>
      <c r="W199" s="4388">
        <f t="shared" si="124"/>
        <v>71280</v>
      </c>
      <c r="X199" s="2200">
        <f t="shared" si="103"/>
        <v>741312</v>
      </c>
      <c r="Y199" s="1652"/>
      <c r="AB199" s="15"/>
      <c r="AC199" s="15"/>
    </row>
    <row r="200" spans="1:29" s="1544" customFormat="1" ht="17.25" customHeight="1">
      <c r="A200" s="5135"/>
      <c r="B200" s="5138"/>
      <c r="C200" s="15"/>
      <c r="D200" s="15"/>
      <c r="E200" s="4866"/>
      <c r="F200" s="15" t="str">
        <f t="shared" si="125"/>
        <v>BYD Housing</v>
      </c>
      <c r="G200" s="1561" t="s">
        <v>407</v>
      </c>
      <c r="H200" s="3411"/>
      <c r="I200" s="3411"/>
      <c r="J200" s="3411"/>
      <c r="K200" s="3411"/>
      <c r="L200" s="4500">
        <v>9253.276148682351</v>
      </c>
      <c r="M200" s="4384">
        <v>2341.847147815949</v>
      </c>
      <c r="N200" s="4386">
        <v>12115.432162299294</v>
      </c>
      <c r="O200" s="4385">
        <f t="shared" si="116"/>
        <v>0</v>
      </c>
      <c r="P200" s="4384">
        <f t="shared" si="117"/>
        <v>0</v>
      </c>
      <c r="Q200" s="4386">
        <f t="shared" si="118"/>
        <v>0</v>
      </c>
      <c r="R200" s="4387">
        <f t="shared" si="119"/>
        <v>0</v>
      </c>
      <c r="S200" s="4384">
        <f t="shared" si="120"/>
        <v>0</v>
      </c>
      <c r="T200" s="4386">
        <f t="shared" si="121"/>
        <v>0</v>
      </c>
      <c r="U200" s="4385">
        <f t="shared" si="122"/>
        <v>0</v>
      </c>
      <c r="V200" s="4384">
        <f t="shared" si="123"/>
        <v>0</v>
      </c>
      <c r="W200" s="4388">
        <f t="shared" si="124"/>
        <v>0</v>
      </c>
      <c r="X200" s="2200">
        <f t="shared" si="103"/>
        <v>23710.555458797593</v>
      </c>
      <c r="Y200" s="1652"/>
      <c r="AB200" s="15" t="s">
        <v>20</v>
      </c>
      <c r="AC200" s="15" t="s">
        <v>865</v>
      </c>
    </row>
    <row r="201" spans="1:29" s="1544" customFormat="1" ht="17.25" customHeight="1">
      <c r="A201" s="5135"/>
      <c r="B201" s="5138"/>
      <c r="C201" s="15"/>
      <c r="D201" s="15"/>
      <c r="E201" s="4866">
        <f t="shared" ref="E201:E206" si="127">E30</f>
        <v>15</v>
      </c>
      <c r="F201" s="15" t="str">
        <f t="shared" si="125"/>
        <v>MX5 Housing</v>
      </c>
      <c r="G201" s="1561" t="s">
        <v>407</v>
      </c>
      <c r="H201" s="3411"/>
      <c r="I201" s="3411"/>
      <c r="J201" s="3411"/>
      <c r="K201" s="3411"/>
      <c r="L201" s="4500"/>
      <c r="M201" s="4384"/>
      <c r="N201" s="4386"/>
      <c r="O201" s="4385">
        <f t="shared" si="116"/>
        <v>0</v>
      </c>
      <c r="P201" s="4384">
        <f t="shared" si="117"/>
        <v>0</v>
      </c>
      <c r="Q201" s="4386">
        <f t="shared" si="118"/>
        <v>0</v>
      </c>
      <c r="R201" s="4387">
        <f t="shared" si="119"/>
        <v>0</v>
      </c>
      <c r="S201" s="4384">
        <f t="shared" si="120"/>
        <v>0</v>
      </c>
      <c r="T201" s="4386">
        <f t="shared" si="121"/>
        <v>0</v>
      </c>
      <c r="U201" s="4385">
        <f t="shared" si="122"/>
        <v>0</v>
      </c>
      <c r="V201" s="4384">
        <f t="shared" si="123"/>
        <v>0</v>
      </c>
      <c r="W201" s="4388">
        <f t="shared" si="124"/>
        <v>0</v>
      </c>
      <c r="X201" s="2200">
        <f t="shared" si="103"/>
        <v>0</v>
      </c>
      <c r="Y201" s="1652"/>
      <c r="AB201" s="15" t="s">
        <v>20</v>
      </c>
      <c r="AC201" s="15" t="s">
        <v>865</v>
      </c>
    </row>
    <row r="202" spans="1:29" s="1544" customFormat="1" ht="17.25" customHeight="1">
      <c r="A202" s="5135"/>
      <c r="B202" s="5138"/>
      <c r="C202" s="15"/>
      <c r="D202" s="12" t="str">
        <f>D116</f>
        <v>Motor CVR</v>
      </c>
      <c r="E202" s="4867"/>
      <c r="F202" s="15" t="str">
        <f t="shared" si="125"/>
        <v>Gen2 Cover</v>
      </c>
      <c r="G202" s="1561" t="s">
        <v>407</v>
      </c>
      <c r="H202" s="3414"/>
      <c r="I202" s="3414"/>
      <c r="J202" s="3414"/>
      <c r="K202" s="3414"/>
      <c r="L202" s="4580">
        <v>17961.435718471763</v>
      </c>
      <c r="M202" s="4390">
        <v>17907.048095358998</v>
      </c>
      <c r="N202" s="4391">
        <v>13830.749703858499</v>
      </c>
      <c r="O202" s="4389">
        <f t="shared" si="116"/>
        <v>8560</v>
      </c>
      <c r="P202" s="4390">
        <f t="shared" si="117"/>
        <v>10785.6</v>
      </c>
      <c r="Q202" s="4391">
        <f t="shared" si="118"/>
        <v>10700.000000000002</v>
      </c>
      <c r="R202" s="4392">
        <f t="shared" si="119"/>
        <v>0</v>
      </c>
      <c r="S202" s="4390">
        <f t="shared" si="120"/>
        <v>0</v>
      </c>
      <c r="T202" s="4391">
        <f t="shared" si="121"/>
        <v>0</v>
      </c>
      <c r="U202" s="4389">
        <f t="shared" si="122"/>
        <v>0</v>
      </c>
      <c r="V202" s="4390">
        <f t="shared" si="123"/>
        <v>0</v>
      </c>
      <c r="W202" s="4393">
        <f t="shared" si="124"/>
        <v>0</v>
      </c>
      <c r="X202" s="2200">
        <f t="shared" si="103"/>
        <v>79744.833517689258</v>
      </c>
      <c r="Y202" s="1652"/>
      <c r="AB202" s="15" t="s">
        <v>20</v>
      </c>
      <c r="AC202" s="12" t="s">
        <v>874</v>
      </c>
    </row>
    <row r="203" spans="1:29" s="1544" customFormat="1" ht="17.25" customHeight="1">
      <c r="A203" s="5135"/>
      <c r="B203" s="5138"/>
      <c r="C203" s="15"/>
      <c r="D203" s="15"/>
      <c r="E203" s="4866"/>
      <c r="F203" s="15" t="str">
        <f t="shared" si="125"/>
        <v>T6 Cover</v>
      </c>
      <c r="G203" s="1561" t="s">
        <v>407</v>
      </c>
      <c r="H203" s="3411"/>
      <c r="I203" s="3411"/>
      <c r="J203" s="3411"/>
      <c r="K203" s="3411"/>
      <c r="L203" s="4500">
        <v>27242.4595573521</v>
      </c>
      <c r="M203" s="4384">
        <v>40587.48042217936</v>
      </c>
      <c r="N203" s="4386">
        <v>50505.611345903977</v>
      </c>
      <c r="O203" s="4385">
        <f t="shared" si="116"/>
        <v>0</v>
      </c>
      <c r="P203" s="4384">
        <f t="shared" si="117"/>
        <v>0</v>
      </c>
      <c r="Q203" s="4386">
        <f t="shared" si="118"/>
        <v>0</v>
      </c>
      <c r="R203" s="4387">
        <f t="shared" si="119"/>
        <v>0</v>
      </c>
      <c r="S203" s="4384">
        <f t="shared" si="120"/>
        <v>0</v>
      </c>
      <c r="T203" s="4386">
        <f t="shared" si="121"/>
        <v>0</v>
      </c>
      <c r="U203" s="4385">
        <f t="shared" si="122"/>
        <v>0</v>
      </c>
      <c r="V203" s="4384">
        <f t="shared" si="123"/>
        <v>0</v>
      </c>
      <c r="W203" s="4388">
        <f t="shared" si="124"/>
        <v>0</v>
      </c>
      <c r="X203" s="2200">
        <f t="shared" si="103"/>
        <v>118335.55132543543</v>
      </c>
      <c r="Y203" s="1652"/>
      <c r="AB203" s="15" t="s">
        <v>20</v>
      </c>
      <c r="AC203" s="15" t="s">
        <v>874</v>
      </c>
    </row>
    <row r="204" spans="1:29" s="1544" customFormat="1" ht="17.25" customHeight="1">
      <c r="A204" s="5135"/>
      <c r="B204" s="5138"/>
      <c r="C204" s="15"/>
      <c r="D204" s="15"/>
      <c r="E204" s="4866">
        <f t="shared" si="127"/>
        <v>16</v>
      </c>
      <c r="F204" s="15" t="str">
        <f t="shared" si="125"/>
        <v>EK_Part Cover</v>
      </c>
      <c r="G204" s="1561" t="s">
        <v>407</v>
      </c>
      <c r="H204" s="3411"/>
      <c r="I204" s="3411"/>
      <c r="J204" s="3411"/>
      <c r="K204" s="3411"/>
      <c r="L204" s="4500">
        <v>19463.642354361247</v>
      </c>
      <c r="M204" s="4384">
        <v>22078.664304224811</v>
      </c>
      <c r="N204" s="4386">
        <v>19485.604974934799</v>
      </c>
      <c r="O204" s="4385">
        <f t="shared" si="116"/>
        <v>29756.160000000003</v>
      </c>
      <c r="P204" s="4384">
        <f t="shared" si="117"/>
        <v>22317.119999999999</v>
      </c>
      <c r="Q204" s="4386">
        <f t="shared" si="118"/>
        <v>22317.119999999999</v>
      </c>
      <c r="R204" s="4387">
        <f t="shared" si="119"/>
        <v>22317.119999999999</v>
      </c>
      <c r="S204" s="4384">
        <f t="shared" si="120"/>
        <v>22317.119999999999</v>
      </c>
      <c r="T204" s="4386">
        <f t="shared" si="121"/>
        <v>22317.119999999999</v>
      </c>
      <c r="U204" s="4385">
        <f t="shared" si="122"/>
        <v>16946.666666666668</v>
      </c>
      <c r="V204" s="4384">
        <f t="shared" si="123"/>
        <v>16946.666666666668</v>
      </c>
      <c r="W204" s="4388">
        <f t="shared" si="124"/>
        <v>16946.666666666668</v>
      </c>
      <c r="X204" s="2200">
        <f t="shared" si="103"/>
        <v>253209.6716335208</v>
      </c>
      <c r="Y204" s="1652"/>
      <c r="AB204" s="15" t="s">
        <v>20</v>
      </c>
      <c r="AC204" s="15" t="s">
        <v>874</v>
      </c>
    </row>
    <row r="205" spans="1:29" s="1544" customFormat="1" ht="17.25" customHeight="1">
      <c r="A205" s="5135"/>
      <c r="B205" s="5138"/>
      <c r="C205" s="15"/>
      <c r="D205" s="15"/>
      <c r="E205" s="4866"/>
      <c r="F205" s="15" t="str">
        <f t="shared" si="125"/>
        <v>570W Cover</v>
      </c>
      <c r="G205" s="1561" t="s">
        <v>407</v>
      </c>
      <c r="H205" s="3411"/>
      <c r="I205" s="3411"/>
      <c r="J205" s="3411"/>
      <c r="K205" s="3411"/>
      <c r="L205" s="4500"/>
      <c r="M205" s="4384"/>
      <c r="N205" s="4386"/>
      <c r="O205" s="4385">
        <f t="shared" si="116"/>
        <v>0</v>
      </c>
      <c r="P205" s="4384">
        <f t="shared" si="117"/>
        <v>0</v>
      </c>
      <c r="Q205" s="4386">
        <f t="shared" si="118"/>
        <v>0</v>
      </c>
      <c r="R205" s="4387">
        <f t="shared" si="119"/>
        <v>0</v>
      </c>
      <c r="S205" s="4384">
        <f t="shared" si="120"/>
        <v>0</v>
      </c>
      <c r="T205" s="4386">
        <f t="shared" si="121"/>
        <v>0</v>
      </c>
      <c r="U205" s="4385">
        <f t="shared" si="122"/>
        <v>0</v>
      </c>
      <c r="V205" s="4384">
        <f t="shared" si="123"/>
        <v>0</v>
      </c>
      <c r="W205" s="4388">
        <f t="shared" si="124"/>
        <v>0</v>
      </c>
      <c r="X205" s="2200">
        <f t="shared" si="103"/>
        <v>0</v>
      </c>
      <c r="Y205" s="1652"/>
      <c r="AB205" s="15" t="s">
        <v>20</v>
      </c>
      <c r="AC205" s="15" t="s">
        <v>874</v>
      </c>
    </row>
    <row r="206" spans="1:29" s="1544" customFormat="1" ht="17.25" customHeight="1">
      <c r="A206" s="5135"/>
      <c r="B206" s="5138"/>
      <c r="C206" s="15"/>
      <c r="D206" s="15"/>
      <c r="E206" s="4866">
        <f t="shared" si="127"/>
        <v>17</v>
      </c>
      <c r="F206" s="15" t="str">
        <f t="shared" si="125"/>
        <v>CL4 Cover (YT)</v>
      </c>
      <c r="G206" s="1561" t="s">
        <v>407</v>
      </c>
      <c r="H206" s="3411"/>
      <c r="I206" s="3411"/>
      <c r="J206" s="3411"/>
      <c r="K206" s="3411"/>
      <c r="L206" s="4923">
        <v>24501.549121877819</v>
      </c>
      <c r="M206" s="4498">
        <v>23723.119962603563</v>
      </c>
      <c r="N206" s="4575">
        <v>64984.189341082259</v>
      </c>
      <c r="O206" s="4385">
        <f t="shared" si="116"/>
        <v>25703.999999999996</v>
      </c>
      <c r="P206" s="4384">
        <f t="shared" si="117"/>
        <v>0</v>
      </c>
      <c r="Q206" s="4386">
        <f t="shared" si="118"/>
        <v>0</v>
      </c>
      <c r="R206" s="4387">
        <f t="shared" si="119"/>
        <v>0</v>
      </c>
      <c r="S206" s="4384">
        <f t="shared" si="120"/>
        <v>0</v>
      </c>
      <c r="T206" s="4386">
        <f t="shared" si="121"/>
        <v>0</v>
      </c>
      <c r="U206" s="4385">
        <f t="shared" si="122"/>
        <v>0</v>
      </c>
      <c r="V206" s="4384">
        <f t="shared" si="123"/>
        <v>0</v>
      </c>
      <c r="W206" s="4388">
        <f t="shared" si="124"/>
        <v>0</v>
      </c>
      <c r="X206" s="2200">
        <f t="shared" si="103"/>
        <v>138912.85842556364</v>
      </c>
      <c r="Y206" s="1652"/>
      <c r="AB206" s="15" t="s">
        <v>20</v>
      </c>
      <c r="AC206" s="15" t="s">
        <v>874</v>
      </c>
    </row>
    <row r="207" spans="1:29" s="1544" customFormat="1" ht="17.25" customHeight="1">
      <c r="A207" s="5135"/>
      <c r="B207" s="5138"/>
      <c r="C207" s="15"/>
      <c r="D207" s="15"/>
      <c r="E207" s="4866"/>
      <c r="F207" s="15" t="str">
        <f t="shared" si="125"/>
        <v>CL4 Cover (MX)</v>
      </c>
      <c r="G207" s="1561" t="s">
        <v>407</v>
      </c>
      <c r="H207" s="3411"/>
      <c r="I207" s="3411"/>
      <c r="J207" s="3411"/>
      <c r="K207" s="3411"/>
      <c r="L207" s="4923"/>
      <c r="M207" s="4498">
        <f t="shared" ref="M207:N207" si="128">M124*$G$116</f>
        <v>0</v>
      </c>
      <c r="N207" s="4575">
        <f t="shared" si="128"/>
        <v>0</v>
      </c>
      <c r="O207" s="4385">
        <f t="shared" si="116"/>
        <v>63201.600000000006</v>
      </c>
      <c r="P207" s="4384">
        <f t="shared" si="117"/>
        <v>31600.800000000003</v>
      </c>
      <c r="Q207" s="4386">
        <f t="shared" si="118"/>
        <v>31600.800000000003</v>
      </c>
      <c r="R207" s="4387">
        <f t="shared" si="119"/>
        <v>31600.800000000003</v>
      </c>
      <c r="S207" s="4384">
        <f t="shared" si="120"/>
        <v>31600.800000000003</v>
      </c>
      <c r="T207" s="4386">
        <f t="shared" si="121"/>
        <v>31600.800000000003</v>
      </c>
      <c r="U207" s="4385">
        <f t="shared" si="122"/>
        <v>31600.800000000003</v>
      </c>
      <c r="V207" s="4384">
        <f t="shared" si="123"/>
        <v>31600.800000000003</v>
      </c>
      <c r="W207" s="4388">
        <f t="shared" si="124"/>
        <v>31600.800000000003</v>
      </c>
      <c r="X207" s="2200">
        <f t="shared" si="103"/>
        <v>316007.99999999994</v>
      </c>
      <c r="Y207" s="1652"/>
      <c r="AB207" s="15"/>
      <c r="AC207" s="15"/>
    </row>
    <row r="208" spans="1:29" s="1544" customFormat="1" ht="17.25" customHeight="1">
      <c r="A208" s="5135"/>
      <c r="B208" s="5138"/>
      <c r="C208" s="15"/>
      <c r="D208" s="15"/>
      <c r="E208" s="4866">
        <f>E37</f>
        <v>18</v>
      </c>
      <c r="F208" s="15" t="str">
        <f t="shared" si="125"/>
        <v>MQ4a PE Cover (YT)</v>
      </c>
      <c r="G208" s="1561" t="s">
        <v>407</v>
      </c>
      <c r="H208" s="3411"/>
      <c r="I208" s="3411"/>
      <c r="J208" s="3411"/>
      <c r="K208" s="3411"/>
      <c r="L208" s="4923">
        <v>60826.441120325362</v>
      </c>
      <c r="M208" s="4498">
        <v>47239.004812814834</v>
      </c>
      <c r="N208" s="4575">
        <v>62879.434850130128</v>
      </c>
      <c r="O208" s="4385">
        <f t="shared" si="116"/>
        <v>37065.785274338901</v>
      </c>
      <c r="P208" s="4384">
        <f t="shared" si="117"/>
        <v>33976.969834810654</v>
      </c>
      <c r="Q208" s="4386">
        <f t="shared" si="118"/>
        <v>21621.708076697691</v>
      </c>
      <c r="R208" s="4387">
        <f t="shared" si="119"/>
        <v>21450.107218946123</v>
      </c>
      <c r="S208" s="4384">
        <f t="shared" si="120"/>
        <v>24024.120085219656</v>
      </c>
      <c r="T208" s="4386">
        <f t="shared" si="121"/>
        <v>22007.810006638723</v>
      </c>
      <c r="U208" s="4385">
        <f t="shared" si="122"/>
        <v>22007.810006638723</v>
      </c>
      <c r="V208" s="4384">
        <f t="shared" si="123"/>
        <v>22007.810006638723</v>
      </c>
      <c r="W208" s="4388">
        <f t="shared" si="124"/>
        <v>22007.810006638723</v>
      </c>
      <c r="X208" s="2200">
        <f t="shared" si="103"/>
        <v>397114.81129983818</v>
      </c>
      <c r="Y208" s="1652"/>
      <c r="AB208" s="15" t="s">
        <v>20</v>
      </c>
      <c r="AC208" s="15" t="s">
        <v>874</v>
      </c>
    </row>
    <row r="209" spans="1:29" s="1544" customFormat="1" ht="17.25" customHeight="1">
      <c r="A209" s="5135"/>
      <c r="B209" s="5138"/>
      <c r="C209" s="15"/>
      <c r="D209" s="15"/>
      <c r="E209" s="4866"/>
      <c r="F209" s="15" t="str">
        <f t="shared" si="125"/>
        <v>MQ4a PE Cover (MX)</v>
      </c>
      <c r="G209" s="1561" t="s">
        <v>407</v>
      </c>
      <c r="H209" s="3411"/>
      <c r="I209" s="3411"/>
      <c r="J209" s="3411"/>
      <c r="K209" s="3411"/>
      <c r="L209" s="4923">
        <f t="shared" ref="L209:N209" si="129">L126*$G$117</f>
        <v>0</v>
      </c>
      <c r="M209" s="4498">
        <f t="shared" si="129"/>
        <v>0</v>
      </c>
      <c r="N209" s="4575">
        <f t="shared" si="129"/>
        <v>0</v>
      </c>
      <c r="O209" s="4385">
        <f t="shared" si="116"/>
        <v>64152.000000000007</v>
      </c>
      <c r="P209" s="4384">
        <f t="shared" si="117"/>
        <v>32076.000000000004</v>
      </c>
      <c r="Q209" s="4386">
        <f t="shared" si="118"/>
        <v>32076.000000000004</v>
      </c>
      <c r="R209" s="4387">
        <f t="shared" si="119"/>
        <v>32076.000000000004</v>
      </c>
      <c r="S209" s="4384">
        <f t="shared" si="120"/>
        <v>29700.000000000004</v>
      </c>
      <c r="T209" s="4386">
        <f t="shared" si="121"/>
        <v>29700.000000000004</v>
      </c>
      <c r="U209" s="4385">
        <f t="shared" si="122"/>
        <v>29700.000000000004</v>
      </c>
      <c r="V209" s="4384">
        <f t="shared" si="123"/>
        <v>29700.000000000004</v>
      </c>
      <c r="W209" s="4388">
        <f t="shared" si="124"/>
        <v>29700.000000000004</v>
      </c>
      <c r="X209" s="2200">
        <f t="shared" si="103"/>
        <v>308880.00000000006</v>
      </c>
      <c r="Y209" s="1652"/>
      <c r="AB209" s="15"/>
      <c r="AC209" s="15"/>
    </row>
    <row r="210" spans="1:29" s="1544" customFormat="1" ht="17.25" customHeight="1">
      <c r="A210" s="5135"/>
      <c r="B210" s="5138"/>
      <c r="C210" s="15"/>
      <c r="D210" s="15"/>
      <c r="E210" s="4866"/>
      <c r="F210" s="15" t="s">
        <v>880</v>
      </c>
      <c r="G210" s="1561" t="s">
        <v>407</v>
      </c>
      <c r="H210" s="3411"/>
      <c r="I210" s="3411"/>
      <c r="J210" s="3411"/>
      <c r="K210" s="3411"/>
      <c r="L210" s="4500">
        <v>7336.6262363407659</v>
      </c>
      <c r="M210" s="4384">
        <v>11965.116886683805</v>
      </c>
      <c r="N210" s="4386">
        <v>11055.435124790189</v>
      </c>
      <c r="O210" s="4385">
        <f t="shared" si="116"/>
        <v>13507.859999999999</v>
      </c>
      <c r="P210" s="4384">
        <f t="shared" si="117"/>
        <v>0</v>
      </c>
      <c r="Q210" s="4386">
        <f t="shared" si="118"/>
        <v>0</v>
      </c>
      <c r="R210" s="4387">
        <f t="shared" si="119"/>
        <v>0</v>
      </c>
      <c r="S210" s="4384">
        <f t="shared" si="120"/>
        <v>0</v>
      </c>
      <c r="T210" s="4386">
        <f t="shared" si="121"/>
        <v>0</v>
      </c>
      <c r="U210" s="4385">
        <f t="shared" si="122"/>
        <v>0</v>
      </c>
      <c r="V210" s="4384">
        <f t="shared" si="123"/>
        <v>0</v>
      </c>
      <c r="W210" s="4388">
        <f t="shared" si="124"/>
        <v>0</v>
      </c>
      <c r="X210" s="2200">
        <f t="shared" si="103"/>
        <v>43865.038247814759</v>
      </c>
      <c r="Y210" s="1652"/>
      <c r="AB210" s="15" t="s">
        <v>20</v>
      </c>
      <c r="AC210" s="15" t="s">
        <v>874</v>
      </c>
    </row>
    <row r="211" spans="1:29" s="1544" customFormat="1" ht="17.25" customHeight="1">
      <c r="A211" s="5135"/>
      <c r="B211" s="5138"/>
      <c r="C211" s="15"/>
      <c r="D211" s="1586"/>
      <c r="E211" s="4868">
        <f t="shared" ref="E211:E243" si="130">E40</f>
        <v>19</v>
      </c>
      <c r="F211" s="1586" t="s">
        <v>1334</v>
      </c>
      <c r="G211" s="1561" t="s">
        <v>407</v>
      </c>
      <c r="H211" s="3415"/>
      <c r="I211" s="3415"/>
      <c r="J211" s="3415"/>
      <c r="K211" s="3415"/>
      <c r="L211" s="4394">
        <v>0</v>
      </c>
      <c r="M211" s="4395">
        <v>0</v>
      </c>
      <c r="N211" s="4396">
        <v>0</v>
      </c>
      <c r="O211" s="4394">
        <f t="shared" si="116"/>
        <v>0</v>
      </c>
      <c r="P211" s="4395">
        <f t="shared" si="117"/>
        <v>0</v>
      </c>
      <c r="Q211" s="4396">
        <f t="shared" si="118"/>
        <v>0</v>
      </c>
      <c r="R211" s="4416">
        <f t="shared" si="119"/>
        <v>0</v>
      </c>
      <c r="S211" s="4395">
        <f t="shared" si="120"/>
        <v>0</v>
      </c>
      <c r="T211" s="4396">
        <f t="shared" si="121"/>
        <v>0</v>
      </c>
      <c r="U211" s="4394">
        <f t="shared" si="122"/>
        <v>0</v>
      </c>
      <c r="V211" s="4395">
        <f t="shared" si="123"/>
        <v>0</v>
      </c>
      <c r="W211" s="4397">
        <f t="shared" si="124"/>
        <v>0</v>
      </c>
      <c r="X211" s="2200">
        <f t="shared" si="103"/>
        <v>0</v>
      </c>
      <c r="Y211" s="1652"/>
      <c r="AB211" s="15" t="s">
        <v>20</v>
      </c>
      <c r="AC211" s="1586" t="s">
        <v>874</v>
      </c>
    </row>
    <row r="212" spans="1:29" s="1544" customFormat="1" ht="17.25" customHeight="1">
      <c r="A212" s="5135"/>
      <c r="B212" s="5138"/>
      <c r="C212" s="15"/>
      <c r="D212" s="15" t="s">
        <v>906</v>
      </c>
      <c r="E212" s="4866"/>
      <c r="F212" s="15" t="s">
        <v>967</v>
      </c>
      <c r="G212" s="1561" t="s">
        <v>407</v>
      </c>
      <c r="H212" s="3411"/>
      <c r="I212" s="3411"/>
      <c r="J212" s="3411"/>
      <c r="K212" s="3411"/>
      <c r="L212" s="4385">
        <v>0</v>
      </c>
      <c r="M212" s="4384">
        <v>0</v>
      </c>
      <c r="N212" s="4386"/>
      <c r="O212" s="4385">
        <f t="shared" si="116"/>
        <v>0</v>
      </c>
      <c r="P212" s="4384">
        <f t="shared" si="117"/>
        <v>0</v>
      </c>
      <c r="Q212" s="4386">
        <f t="shared" si="118"/>
        <v>0</v>
      </c>
      <c r="R212" s="4387">
        <f t="shared" si="119"/>
        <v>0</v>
      </c>
      <c r="S212" s="4384">
        <f t="shared" si="120"/>
        <v>0</v>
      </c>
      <c r="T212" s="4386">
        <f t="shared" si="121"/>
        <v>0</v>
      </c>
      <c r="U212" s="4385">
        <f t="shared" si="122"/>
        <v>0</v>
      </c>
      <c r="V212" s="4384">
        <f t="shared" si="123"/>
        <v>0</v>
      </c>
      <c r="W212" s="4388">
        <f t="shared" si="124"/>
        <v>0</v>
      </c>
      <c r="X212" s="2200">
        <f t="shared" si="103"/>
        <v>0</v>
      </c>
      <c r="Y212" s="1652"/>
      <c r="AB212" s="15" t="s">
        <v>20</v>
      </c>
      <c r="AC212" s="15" t="s">
        <v>906</v>
      </c>
    </row>
    <row r="213" spans="1:29" s="1544" customFormat="1" ht="17.25" customHeight="1">
      <c r="A213" s="5135"/>
      <c r="B213" s="5138"/>
      <c r="C213" s="15"/>
      <c r="D213" s="1586"/>
      <c r="E213" s="4868">
        <f t="shared" si="130"/>
        <v>20</v>
      </c>
      <c r="F213" s="1586" t="str">
        <f>F42</f>
        <v>DCU15 Housing</v>
      </c>
      <c r="G213" s="1587" t="s">
        <v>407</v>
      </c>
      <c r="H213" s="3415"/>
      <c r="I213" s="3415"/>
      <c r="J213" s="3415"/>
      <c r="K213" s="3415"/>
      <c r="L213" s="4394">
        <v>13780.267886634876</v>
      </c>
      <c r="M213" s="4395">
        <v>27403.874000309639</v>
      </c>
      <c r="N213" s="4396">
        <v>24129.19723297704</v>
      </c>
      <c r="O213" s="4394">
        <f t="shared" si="116"/>
        <v>16003.400000000001</v>
      </c>
      <c r="P213" s="4395">
        <f t="shared" si="117"/>
        <v>18786.599999999999</v>
      </c>
      <c r="Q213" s="4396">
        <f t="shared" si="118"/>
        <v>17395</v>
      </c>
      <c r="R213" s="4416">
        <f t="shared" si="119"/>
        <v>18786.599999999999</v>
      </c>
      <c r="S213" s="4395">
        <f t="shared" si="120"/>
        <v>18786.599999999999</v>
      </c>
      <c r="T213" s="4396">
        <f t="shared" si="121"/>
        <v>18786.599999999999</v>
      </c>
      <c r="U213" s="4394">
        <f t="shared" si="122"/>
        <v>18786.599999999999</v>
      </c>
      <c r="V213" s="4395">
        <f t="shared" si="123"/>
        <v>18786.599999999999</v>
      </c>
      <c r="W213" s="4397">
        <f t="shared" si="124"/>
        <v>18786.599999999999</v>
      </c>
      <c r="X213" s="2200">
        <f t="shared" si="103"/>
        <v>230217.93911992159</v>
      </c>
      <c r="Y213" s="1652"/>
      <c r="AB213" s="15" t="s">
        <v>20</v>
      </c>
      <c r="AC213" s="1586" t="s">
        <v>905</v>
      </c>
    </row>
    <row r="214" spans="1:29" s="1544" customFormat="1" ht="17.25" customHeight="1">
      <c r="A214" s="5135"/>
      <c r="B214" s="5138"/>
      <c r="C214" s="15"/>
      <c r="D214" s="15" t="str">
        <f>D128</f>
        <v>CAM CVR</v>
      </c>
      <c r="E214" s="4866">
        <f t="shared" si="130"/>
        <v>21</v>
      </c>
      <c r="F214" s="15" t="str">
        <f>F43</f>
        <v>DCU15 Cover</v>
      </c>
      <c r="G214" s="1561" t="s">
        <v>407</v>
      </c>
      <c r="H214" s="3411"/>
      <c r="I214" s="3411"/>
      <c r="J214" s="3411"/>
      <c r="K214" s="3411"/>
      <c r="L214" s="4385">
        <v>9700.3816741746377</v>
      </c>
      <c r="M214" s="4384">
        <v>19290.265966223065</v>
      </c>
      <c r="N214" s="4386">
        <v>16985.139844473139</v>
      </c>
      <c r="O214" s="4385">
        <f t="shared" si="116"/>
        <v>11270</v>
      </c>
      <c r="P214" s="4384">
        <f t="shared" si="117"/>
        <v>13230</v>
      </c>
      <c r="Q214" s="4386">
        <f t="shared" si="118"/>
        <v>12250</v>
      </c>
      <c r="R214" s="4387">
        <f t="shared" si="119"/>
        <v>13230</v>
      </c>
      <c r="S214" s="4384">
        <f t="shared" si="120"/>
        <v>13230</v>
      </c>
      <c r="T214" s="4386">
        <f t="shared" si="121"/>
        <v>13230</v>
      </c>
      <c r="U214" s="4385">
        <f t="shared" si="122"/>
        <v>13230</v>
      </c>
      <c r="V214" s="4384">
        <f t="shared" si="123"/>
        <v>13230</v>
      </c>
      <c r="W214" s="4388">
        <f t="shared" si="124"/>
        <v>13230</v>
      </c>
      <c r="X214" s="2200">
        <f t="shared" si="103"/>
        <v>162105.78748487085</v>
      </c>
      <c r="Y214" s="1652"/>
      <c r="AB214" s="15" t="s">
        <v>20</v>
      </c>
      <c r="AC214" s="15" t="s">
        <v>882</v>
      </c>
    </row>
    <row r="215" spans="1:29" s="1544" customFormat="1" ht="17.25" customHeight="1">
      <c r="A215" s="5135"/>
      <c r="B215" s="5138"/>
      <c r="C215" s="15"/>
      <c r="D215" s="13"/>
      <c r="E215" s="2413"/>
      <c r="F215" s="15" t="s">
        <v>968</v>
      </c>
      <c r="G215" s="1561" t="s">
        <v>407</v>
      </c>
      <c r="H215" s="3411"/>
      <c r="I215" s="3411"/>
      <c r="J215" s="3411"/>
      <c r="K215" s="3411"/>
      <c r="L215" s="4385">
        <v>0</v>
      </c>
      <c r="M215" s="4384">
        <v>0</v>
      </c>
      <c r="N215" s="4386"/>
      <c r="O215" s="4385">
        <f t="shared" si="116"/>
        <v>0</v>
      </c>
      <c r="P215" s="4384">
        <f t="shared" si="117"/>
        <v>0</v>
      </c>
      <c r="Q215" s="4386">
        <f t="shared" si="118"/>
        <v>0</v>
      </c>
      <c r="R215" s="4387">
        <f t="shared" si="119"/>
        <v>0</v>
      </c>
      <c r="S215" s="4384">
        <f t="shared" si="120"/>
        <v>0</v>
      </c>
      <c r="T215" s="4386">
        <f t="shared" si="121"/>
        <v>0</v>
      </c>
      <c r="U215" s="4385">
        <f t="shared" si="122"/>
        <v>0</v>
      </c>
      <c r="V215" s="4384">
        <f t="shared" si="123"/>
        <v>0</v>
      </c>
      <c r="W215" s="4388">
        <f t="shared" si="124"/>
        <v>0</v>
      </c>
      <c r="X215" s="2200">
        <f t="shared" si="103"/>
        <v>0</v>
      </c>
      <c r="Y215" s="1652"/>
      <c r="AB215" s="15" t="s">
        <v>20</v>
      </c>
      <c r="AC215" s="13" t="s">
        <v>882</v>
      </c>
    </row>
    <row r="216" spans="1:29" s="1544" customFormat="1" ht="17.25" customHeight="1">
      <c r="A216" s="5135"/>
      <c r="B216" s="5138"/>
      <c r="C216" s="15"/>
      <c r="D216" s="13"/>
      <c r="E216" s="2413"/>
      <c r="F216" s="15" t="str">
        <f>F45</f>
        <v>OMS Entry Vcsel Cover(250A)</v>
      </c>
      <c r="G216" s="1561" t="s">
        <v>407</v>
      </c>
      <c r="H216" s="3411"/>
      <c r="I216" s="3411"/>
      <c r="J216" s="3411"/>
      <c r="K216" s="3411"/>
      <c r="L216" s="4385">
        <v>0</v>
      </c>
      <c r="M216" s="4384">
        <v>0</v>
      </c>
      <c r="N216" s="4386">
        <v>0</v>
      </c>
      <c r="O216" s="4385">
        <f t="shared" si="116"/>
        <v>0</v>
      </c>
      <c r="P216" s="4384">
        <f t="shared" si="117"/>
        <v>0</v>
      </c>
      <c r="Q216" s="4386">
        <f t="shared" si="118"/>
        <v>0</v>
      </c>
      <c r="R216" s="4387">
        <f t="shared" si="119"/>
        <v>0</v>
      </c>
      <c r="S216" s="4384">
        <f t="shared" si="120"/>
        <v>0</v>
      </c>
      <c r="T216" s="4386">
        <f t="shared" si="121"/>
        <v>0</v>
      </c>
      <c r="U216" s="4385">
        <f t="shared" si="122"/>
        <v>0</v>
      </c>
      <c r="V216" s="4384">
        <f t="shared" si="123"/>
        <v>0</v>
      </c>
      <c r="W216" s="4388">
        <f t="shared" si="124"/>
        <v>0</v>
      </c>
      <c r="X216" s="2200">
        <f t="shared" si="103"/>
        <v>0</v>
      </c>
      <c r="Y216" s="1652"/>
      <c r="AB216" s="15" t="s">
        <v>20</v>
      </c>
      <c r="AC216" s="13" t="s">
        <v>882</v>
      </c>
    </row>
    <row r="217" spans="1:29" s="1544" customFormat="1" ht="17.25" customHeight="1">
      <c r="A217" s="5135"/>
      <c r="B217" s="5138"/>
      <c r="C217" s="15"/>
      <c r="D217" s="13"/>
      <c r="E217" s="2413"/>
      <c r="F217" s="15" t="s">
        <v>67</v>
      </c>
      <c r="G217" s="1561" t="s">
        <v>407</v>
      </c>
      <c r="H217" s="3411"/>
      <c r="I217" s="3411"/>
      <c r="J217" s="3411"/>
      <c r="K217" s="3411"/>
      <c r="L217" s="4385">
        <v>0</v>
      </c>
      <c r="M217" s="4384">
        <v>536.99199999999996</v>
      </c>
      <c r="N217" s="4386">
        <v>976.65420000000006</v>
      </c>
      <c r="O217" s="4385">
        <f t="shared" si="116"/>
        <v>2013.7199999999996</v>
      </c>
      <c r="P217" s="4384">
        <f t="shared" si="117"/>
        <v>2013.7199999999996</v>
      </c>
      <c r="Q217" s="4386">
        <f t="shared" si="118"/>
        <v>0</v>
      </c>
      <c r="R217" s="4387">
        <f t="shared" si="119"/>
        <v>0</v>
      </c>
      <c r="S217" s="4384">
        <f t="shared" si="120"/>
        <v>0</v>
      </c>
      <c r="T217" s="4386">
        <f t="shared" si="121"/>
        <v>0</v>
      </c>
      <c r="U217" s="4385">
        <f t="shared" si="122"/>
        <v>0</v>
      </c>
      <c r="V217" s="4384">
        <f t="shared" si="123"/>
        <v>0</v>
      </c>
      <c r="W217" s="4388">
        <f t="shared" si="124"/>
        <v>0</v>
      </c>
      <c r="X217" s="2200">
        <f t="shared" si="103"/>
        <v>5541.0861999999988</v>
      </c>
      <c r="Y217" s="1652"/>
      <c r="AB217" s="15" t="s">
        <v>20</v>
      </c>
      <c r="AC217" s="13" t="s">
        <v>882</v>
      </c>
    </row>
    <row r="218" spans="1:29" s="1544" customFormat="1" ht="17.25" customHeight="1">
      <c r="A218" s="5135"/>
      <c r="B218" s="5138"/>
      <c r="C218" s="15"/>
      <c r="D218" s="14" t="str">
        <f>D132</f>
        <v>CAM L.Mount</v>
      </c>
      <c r="E218" s="4869"/>
      <c r="F218" s="12" t="str">
        <f>F47</f>
        <v>OMS Entry Lens Holder (203A)</v>
      </c>
      <c r="G218" s="1580" t="s">
        <v>407</v>
      </c>
      <c r="H218" s="3414"/>
      <c r="I218" s="3414"/>
      <c r="J218" s="3414"/>
      <c r="K218" s="3414"/>
      <c r="L218" s="4389">
        <v>0</v>
      </c>
      <c r="M218" s="4390">
        <v>0</v>
      </c>
      <c r="N218" s="4391">
        <v>0</v>
      </c>
      <c r="O218" s="4389">
        <f t="shared" si="116"/>
        <v>0</v>
      </c>
      <c r="P218" s="4390">
        <f t="shared" si="117"/>
        <v>0</v>
      </c>
      <c r="Q218" s="4391">
        <f t="shared" si="118"/>
        <v>0</v>
      </c>
      <c r="R218" s="4392">
        <f t="shared" si="119"/>
        <v>0</v>
      </c>
      <c r="S218" s="4390">
        <f t="shared" si="120"/>
        <v>0</v>
      </c>
      <c r="T218" s="4391">
        <f t="shared" si="121"/>
        <v>0</v>
      </c>
      <c r="U218" s="4389">
        <f t="shared" si="122"/>
        <v>0</v>
      </c>
      <c r="V218" s="4390">
        <f t="shared" si="123"/>
        <v>0</v>
      </c>
      <c r="W218" s="4393">
        <f t="shared" si="124"/>
        <v>0</v>
      </c>
      <c r="X218" s="2209">
        <f t="shared" si="103"/>
        <v>0</v>
      </c>
      <c r="Y218" s="1652"/>
      <c r="AB218" s="15" t="s">
        <v>20</v>
      </c>
      <c r="AC218" s="14" t="s">
        <v>885</v>
      </c>
    </row>
    <row r="219" spans="1:29" s="1544" customFormat="1" ht="17.25" customHeight="1">
      <c r="A219" s="5135"/>
      <c r="B219" s="5138"/>
      <c r="C219" s="15"/>
      <c r="D219" s="15"/>
      <c r="E219" s="4866"/>
      <c r="F219" s="15" t="str">
        <f>F48</f>
        <v>OMS Front Lens Holder (207A)</v>
      </c>
      <c r="G219" s="1561" t="s">
        <v>407</v>
      </c>
      <c r="H219" s="3411"/>
      <c r="I219" s="3411"/>
      <c r="J219" s="3411"/>
      <c r="K219" s="3411"/>
      <c r="L219" s="4385">
        <v>0</v>
      </c>
      <c r="M219" s="4384">
        <v>0</v>
      </c>
      <c r="N219" s="4386">
        <v>0</v>
      </c>
      <c r="O219" s="4385">
        <f t="shared" si="116"/>
        <v>0</v>
      </c>
      <c r="P219" s="4384">
        <f t="shared" si="117"/>
        <v>0</v>
      </c>
      <c r="Q219" s="4386">
        <f t="shared" si="118"/>
        <v>0</v>
      </c>
      <c r="R219" s="4387">
        <f t="shared" si="119"/>
        <v>0</v>
      </c>
      <c r="S219" s="4384">
        <f t="shared" si="120"/>
        <v>0</v>
      </c>
      <c r="T219" s="4386">
        <f t="shared" si="121"/>
        <v>0</v>
      </c>
      <c r="U219" s="4385">
        <f t="shared" si="122"/>
        <v>0</v>
      </c>
      <c r="V219" s="4384">
        <f t="shared" si="123"/>
        <v>0</v>
      </c>
      <c r="W219" s="4388">
        <f t="shared" si="124"/>
        <v>0</v>
      </c>
      <c r="X219" s="2200">
        <f t="shared" si="103"/>
        <v>0</v>
      </c>
      <c r="Y219" s="1652"/>
      <c r="AB219" s="15" t="s">
        <v>20</v>
      </c>
      <c r="AC219" s="15" t="s">
        <v>885</v>
      </c>
    </row>
    <row r="220" spans="1:29" s="1544" customFormat="1" ht="17.25" customHeight="1">
      <c r="A220" s="5135"/>
      <c r="B220" s="5138"/>
      <c r="C220" s="15"/>
      <c r="D220" s="15"/>
      <c r="E220" s="4866">
        <f t="shared" si="130"/>
        <v>22</v>
      </c>
      <c r="F220" s="15" t="str">
        <f>F49</f>
        <v>MPC5.5 Cover Lens</v>
      </c>
      <c r="G220" s="1561" t="s">
        <v>407</v>
      </c>
      <c r="H220" s="3411"/>
      <c r="I220" s="3411"/>
      <c r="J220" s="3411"/>
      <c r="K220" s="3411"/>
      <c r="L220" s="4385">
        <v>19731.167999999994</v>
      </c>
      <c r="M220" s="4384">
        <v>102307.992</v>
      </c>
      <c r="N220" s="4386">
        <v>120579.36</v>
      </c>
      <c r="O220" s="4385">
        <f t="shared" si="116"/>
        <v>123298.00000000001</v>
      </c>
      <c r="P220" s="4384">
        <f t="shared" si="117"/>
        <v>74859.500000000015</v>
      </c>
      <c r="Q220" s="4386">
        <f t="shared" si="118"/>
        <v>105684.00000000001</v>
      </c>
      <c r="R220" s="4387">
        <f t="shared" si="119"/>
        <v>61649.000000000007</v>
      </c>
      <c r="S220" s="4384">
        <f t="shared" si="120"/>
        <v>61649.000000000007</v>
      </c>
      <c r="T220" s="4386">
        <f t="shared" si="121"/>
        <v>44035.000000000007</v>
      </c>
      <c r="U220" s="4385">
        <f t="shared" si="122"/>
        <v>44035.000000000007</v>
      </c>
      <c r="V220" s="4384">
        <f t="shared" si="123"/>
        <v>44035.000000000007</v>
      </c>
      <c r="W220" s="4388">
        <f t="shared" si="124"/>
        <v>44035.000000000007</v>
      </c>
      <c r="X220" s="2200">
        <f t="shared" si="103"/>
        <v>845898.02</v>
      </c>
      <c r="Y220" s="1652"/>
      <c r="AB220" s="15" t="s">
        <v>20</v>
      </c>
      <c r="AC220" s="15" t="s">
        <v>885</v>
      </c>
    </row>
    <row r="221" spans="1:29" s="1544" customFormat="1" ht="17.25" customHeight="1">
      <c r="A221" s="5135"/>
      <c r="B221" s="5138"/>
      <c r="C221" s="11"/>
      <c r="D221" s="11"/>
      <c r="E221" s="4872"/>
      <c r="F221" s="11" t="s">
        <v>969</v>
      </c>
      <c r="G221" s="1556" t="s">
        <v>407</v>
      </c>
      <c r="H221" s="3410"/>
      <c r="I221" s="3410"/>
      <c r="J221" s="3410"/>
      <c r="K221" s="3410"/>
      <c r="L221" s="4398">
        <v>0</v>
      </c>
      <c r="M221" s="4399">
        <v>0</v>
      </c>
      <c r="N221" s="4400"/>
      <c r="O221" s="4398">
        <f t="shared" si="116"/>
        <v>0</v>
      </c>
      <c r="P221" s="4399">
        <f t="shared" si="117"/>
        <v>0</v>
      </c>
      <c r="Q221" s="4400">
        <f t="shared" si="118"/>
        <v>0</v>
      </c>
      <c r="R221" s="4411">
        <f t="shared" si="119"/>
        <v>0</v>
      </c>
      <c r="S221" s="4399">
        <f t="shared" si="120"/>
        <v>0</v>
      </c>
      <c r="T221" s="4400">
        <f t="shared" si="121"/>
        <v>0</v>
      </c>
      <c r="U221" s="4398">
        <f t="shared" si="122"/>
        <v>0</v>
      </c>
      <c r="V221" s="4399">
        <f t="shared" si="123"/>
        <v>0</v>
      </c>
      <c r="W221" s="4401">
        <f t="shared" si="124"/>
        <v>0</v>
      </c>
      <c r="X221" s="2214">
        <f t="shared" si="103"/>
        <v>0</v>
      </c>
      <c r="Y221" s="1652"/>
      <c r="AB221" s="11" t="s">
        <v>20</v>
      </c>
      <c r="AC221" s="11" t="s">
        <v>885</v>
      </c>
    </row>
    <row r="222" spans="1:29" s="1544" customFormat="1" ht="17.25" customHeight="1">
      <c r="A222" s="5135"/>
      <c r="B222" s="5138"/>
      <c r="C222" s="15" t="s">
        <v>904</v>
      </c>
      <c r="D222" s="1599" t="str">
        <f>D136</f>
        <v>Motor HSG</v>
      </c>
      <c r="E222" s="4863">
        <f t="shared" si="130"/>
        <v>23</v>
      </c>
      <c r="F222" s="1599" t="str">
        <f>F51</f>
        <v>NX4 HSG</v>
      </c>
      <c r="G222" s="1561" t="s">
        <v>853</v>
      </c>
      <c r="H222" s="3411"/>
      <c r="I222" s="3411"/>
      <c r="J222" s="3411"/>
      <c r="K222" s="3411"/>
      <c r="L222" s="4385">
        <v>225782.49062291355</v>
      </c>
      <c r="M222" s="4384">
        <v>19198.150877842196</v>
      </c>
      <c r="N222" s="4386">
        <v>24880.803537683485</v>
      </c>
      <c r="O222" s="4385">
        <f t="shared" si="116"/>
        <v>115516.79999999999</v>
      </c>
      <c r="P222" s="4384">
        <f t="shared" si="117"/>
        <v>154022.39999999999</v>
      </c>
      <c r="Q222" s="4386">
        <f t="shared" si="118"/>
        <v>152800</v>
      </c>
      <c r="R222" s="4387">
        <f t="shared" si="119"/>
        <v>133700</v>
      </c>
      <c r="S222" s="4384">
        <f t="shared" si="120"/>
        <v>133700</v>
      </c>
      <c r="T222" s="4386">
        <f t="shared" si="121"/>
        <v>133700</v>
      </c>
      <c r="U222" s="4385">
        <f t="shared" si="122"/>
        <v>133700</v>
      </c>
      <c r="V222" s="4384">
        <f t="shared" si="123"/>
        <v>133700</v>
      </c>
      <c r="W222" s="4386">
        <f t="shared" si="124"/>
        <v>133700</v>
      </c>
      <c r="X222" s="2200">
        <f t="shared" si="103"/>
        <v>1494400.6450384392</v>
      </c>
      <c r="Y222" s="1652"/>
      <c r="AB222" s="15" t="s">
        <v>904</v>
      </c>
      <c r="AC222" s="1599" t="s">
        <v>865</v>
      </c>
    </row>
    <row r="223" spans="1:29" s="1544" customFormat="1" ht="17.25" customHeight="1">
      <c r="A223" s="5135"/>
      <c r="B223" s="5138"/>
      <c r="C223" s="15"/>
      <c r="D223" s="1599"/>
      <c r="E223" s="4863">
        <f t="shared" si="130"/>
        <v>24</v>
      </c>
      <c r="F223" s="1599" t="str">
        <f>F52</f>
        <v>IMEB2 Housing</v>
      </c>
      <c r="G223" s="1561" t="s">
        <v>853</v>
      </c>
      <c r="H223" s="3411"/>
      <c r="I223" s="3411"/>
      <c r="J223" s="3411"/>
      <c r="K223" s="3411"/>
      <c r="L223" s="4385">
        <v>115172.35322214845</v>
      </c>
      <c r="M223" s="4384">
        <v>110047.67999999999</v>
      </c>
      <c r="N223" s="4386">
        <v>112389.12</v>
      </c>
      <c r="O223" s="4385">
        <f t="shared" ref="O223:O246" si="131">L137</f>
        <v>110315.52</v>
      </c>
      <c r="P223" s="4384">
        <f t="shared" ref="P223:P246" si="132">M137</f>
        <v>73543.680000000008</v>
      </c>
      <c r="Q223" s="4386">
        <f t="shared" ref="Q223:Q246" si="133">N137</f>
        <v>133000</v>
      </c>
      <c r="R223" s="4387">
        <f t="shared" ref="R223:R246" si="134">O137</f>
        <v>133000</v>
      </c>
      <c r="S223" s="4384">
        <f t="shared" ref="S223:S246" si="135">P137</f>
        <v>133000</v>
      </c>
      <c r="T223" s="4386">
        <f t="shared" ref="T223:T246" si="136">Q137</f>
        <v>133000</v>
      </c>
      <c r="U223" s="4385">
        <f t="shared" ref="U223:U246" si="137">R137</f>
        <v>133000</v>
      </c>
      <c r="V223" s="4384">
        <f t="shared" ref="V223:V246" si="138">S137</f>
        <v>133000</v>
      </c>
      <c r="W223" s="4388">
        <f t="shared" ref="W223:W246" si="139">T137</f>
        <v>133000</v>
      </c>
      <c r="X223" s="2200">
        <f t="shared" si="103"/>
        <v>1452468.3532221485</v>
      </c>
      <c r="Y223" s="1652"/>
      <c r="AB223" s="15" t="s">
        <v>904</v>
      </c>
      <c r="AC223" s="1599" t="s">
        <v>865</v>
      </c>
    </row>
    <row r="224" spans="1:29" s="1544" customFormat="1" ht="17.25" customHeight="1">
      <c r="A224" s="5135"/>
      <c r="B224" s="5138"/>
      <c r="C224" s="15"/>
      <c r="D224" s="1599"/>
      <c r="E224" s="4863">
        <f t="shared" si="130"/>
        <v>25</v>
      </c>
      <c r="F224" s="1599" t="str">
        <f>F53</f>
        <v>J100 Housing</v>
      </c>
      <c r="G224" s="1561" t="s">
        <v>970</v>
      </c>
      <c r="H224" s="3411"/>
      <c r="I224" s="3411"/>
      <c r="J224" s="3411"/>
      <c r="K224" s="3411"/>
      <c r="L224" s="4385">
        <v>0</v>
      </c>
      <c r="M224" s="4384">
        <v>17449.600000000002</v>
      </c>
      <c r="N224" s="4386">
        <v>19152</v>
      </c>
      <c r="O224" s="4385">
        <f t="shared" si="131"/>
        <v>19051.2</v>
      </c>
      <c r="P224" s="4384">
        <f t="shared" si="132"/>
        <v>18893.2</v>
      </c>
      <c r="Q224" s="4386">
        <f t="shared" si="133"/>
        <v>19051.2</v>
      </c>
      <c r="R224" s="4387">
        <f t="shared" si="134"/>
        <v>9450</v>
      </c>
      <c r="S224" s="4384">
        <f t="shared" si="135"/>
        <v>9450</v>
      </c>
      <c r="T224" s="4386">
        <f t="shared" si="136"/>
        <v>9450</v>
      </c>
      <c r="U224" s="4385">
        <f t="shared" si="137"/>
        <v>9450</v>
      </c>
      <c r="V224" s="4384">
        <f t="shared" si="138"/>
        <v>9450</v>
      </c>
      <c r="W224" s="4388">
        <f t="shared" si="139"/>
        <v>9450</v>
      </c>
      <c r="X224" s="2200">
        <f t="shared" ref="X224:X243" si="140">SUM(L224:W224)</f>
        <v>150297.20000000001</v>
      </c>
      <c r="Y224" s="1652"/>
      <c r="AB224" s="15" t="s">
        <v>904</v>
      </c>
      <c r="AC224" s="1599" t="s">
        <v>865</v>
      </c>
    </row>
    <row r="225" spans="1:29" s="1544" customFormat="1" ht="17.25" customHeight="1">
      <c r="A225" s="5135"/>
      <c r="B225" s="5138"/>
      <c r="C225" s="15"/>
      <c r="D225" s="1599"/>
      <c r="E225" s="4863"/>
      <c r="F225" s="5078" t="s">
        <v>1256</v>
      </c>
      <c r="G225" s="1561" t="s">
        <v>407</v>
      </c>
      <c r="H225" s="3411"/>
      <c r="I225" s="3411"/>
      <c r="J225" s="3411"/>
      <c r="K225" s="3411"/>
      <c r="L225" s="4385">
        <v>0</v>
      </c>
      <c r="M225" s="4384">
        <v>0</v>
      </c>
      <c r="N225" s="4386">
        <v>0</v>
      </c>
      <c r="O225" s="4385">
        <f t="shared" si="131"/>
        <v>0</v>
      </c>
      <c r="P225" s="4384">
        <f t="shared" si="132"/>
        <v>0</v>
      </c>
      <c r="Q225" s="4386">
        <f t="shared" si="133"/>
        <v>0</v>
      </c>
      <c r="R225" s="4387">
        <f t="shared" si="134"/>
        <v>0</v>
      </c>
      <c r="S225" s="4384">
        <f t="shared" si="135"/>
        <v>0</v>
      </c>
      <c r="T225" s="4386">
        <f t="shared" si="136"/>
        <v>0</v>
      </c>
      <c r="U225" s="4385">
        <f t="shared" si="137"/>
        <v>0</v>
      </c>
      <c r="V225" s="4384">
        <f t="shared" si="138"/>
        <v>0</v>
      </c>
      <c r="W225" s="4388">
        <f t="shared" si="139"/>
        <v>0</v>
      </c>
      <c r="X225" s="2200">
        <f t="shared" si="140"/>
        <v>0</v>
      </c>
      <c r="Y225" s="1652"/>
      <c r="AB225" s="15" t="s">
        <v>904</v>
      </c>
      <c r="AC225" s="1599" t="s">
        <v>865</v>
      </c>
    </row>
    <row r="226" spans="1:29" s="1544" customFormat="1" ht="17.25" customHeight="1">
      <c r="A226" s="5135"/>
      <c r="B226" s="5138"/>
      <c r="C226" s="15"/>
      <c r="D226" s="1599"/>
      <c r="E226" s="4863"/>
      <c r="F226" s="5078" t="s">
        <v>1257</v>
      </c>
      <c r="G226" s="1561" t="s">
        <v>407</v>
      </c>
      <c r="H226" s="3411"/>
      <c r="I226" s="3411"/>
      <c r="J226" s="3411"/>
      <c r="K226" s="3411"/>
      <c r="L226" s="4385">
        <v>0</v>
      </c>
      <c r="M226" s="4384">
        <v>0</v>
      </c>
      <c r="N226" s="4386">
        <v>0</v>
      </c>
      <c r="O226" s="4385">
        <f t="shared" si="131"/>
        <v>0</v>
      </c>
      <c r="P226" s="4384">
        <f t="shared" si="132"/>
        <v>0</v>
      </c>
      <c r="Q226" s="4386">
        <f t="shared" si="133"/>
        <v>0</v>
      </c>
      <c r="R226" s="4387">
        <f t="shared" si="134"/>
        <v>0</v>
      </c>
      <c r="S226" s="4384">
        <f t="shared" si="135"/>
        <v>0</v>
      </c>
      <c r="T226" s="4386">
        <f t="shared" si="136"/>
        <v>0</v>
      </c>
      <c r="U226" s="4385">
        <f t="shared" si="137"/>
        <v>0</v>
      </c>
      <c r="V226" s="4384">
        <f t="shared" si="138"/>
        <v>0</v>
      </c>
      <c r="W226" s="4388">
        <f t="shared" si="139"/>
        <v>0</v>
      </c>
      <c r="X226" s="2200">
        <f t="shared" si="140"/>
        <v>0</v>
      </c>
      <c r="Y226" s="1652"/>
      <c r="AB226" s="15" t="s">
        <v>904</v>
      </c>
      <c r="AC226" s="1599" t="s">
        <v>865</v>
      </c>
    </row>
    <row r="227" spans="1:29" s="1544" customFormat="1" ht="17.25" customHeight="1">
      <c r="A227" s="5135"/>
      <c r="B227" s="5138"/>
      <c r="C227" s="15"/>
      <c r="D227" s="1599"/>
      <c r="E227" s="4863"/>
      <c r="F227" s="5078" t="s">
        <v>1258</v>
      </c>
      <c r="G227" s="1561" t="s">
        <v>407</v>
      </c>
      <c r="H227" s="3411"/>
      <c r="I227" s="3411"/>
      <c r="J227" s="3411"/>
      <c r="K227" s="3411"/>
      <c r="L227" s="4385">
        <v>0</v>
      </c>
      <c r="M227" s="4384">
        <v>0</v>
      </c>
      <c r="N227" s="4386">
        <v>0</v>
      </c>
      <c r="O227" s="4385">
        <f t="shared" si="131"/>
        <v>0</v>
      </c>
      <c r="P227" s="4384">
        <f t="shared" si="132"/>
        <v>0</v>
      </c>
      <c r="Q227" s="4386">
        <f t="shared" si="133"/>
        <v>0</v>
      </c>
      <c r="R227" s="4387">
        <f t="shared" si="134"/>
        <v>0</v>
      </c>
      <c r="S227" s="4384">
        <f t="shared" si="135"/>
        <v>0</v>
      </c>
      <c r="T227" s="4386">
        <f t="shared" si="136"/>
        <v>0</v>
      </c>
      <c r="U227" s="4385">
        <f t="shared" si="137"/>
        <v>0</v>
      </c>
      <c r="V227" s="4384">
        <f t="shared" si="138"/>
        <v>0</v>
      </c>
      <c r="W227" s="4388">
        <f t="shared" si="139"/>
        <v>0</v>
      </c>
      <c r="X227" s="2200">
        <f t="shared" si="140"/>
        <v>0</v>
      </c>
      <c r="Y227" s="1652"/>
      <c r="AB227" s="15" t="s">
        <v>904</v>
      </c>
      <c r="AC227" s="1599" t="s">
        <v>865</v>
      </c>
    </row>
    <row r="228" spans="1:29" s="1544" customFormat="1" ht="17.25" customHeight="1">
      <c r="A228" s="5135"/>
      <c r="B228" s="5138"/>
      <c r="C228" s="15"/>
      <c r="D228" s="12" t="str">
        <f>D142</f>
        <v>Motor CVR</v>
      </c>
      <c r="E228" s="4867">
        <f t="shared" si="130"/>
        <v>26</v>
      </c>
      <c r="F228" s="1600" t="str">
        <f>F57</f>
        <v>NX4 Cover</v>
      </c>
      <c r="G228" s="1580" t="s">
        <v>407</v>
      </c>
      <c r="H228" s="3411"/>
      <c r="I228" s="3411"/>
      <c r="J228" s="3411"/>
      <c r="K228" s="3411"/>
      <c r="L228" s="4389">
        <v>87367.6</v>
      </c>
      <c r="M228" s="4390">
        <v>33971.599999999991</v>
      </c>
      <c r="N228" s="4391">
        <v>75060</v>
      </c>
      <c r="O228" s="4389">
        <f t="shared" si="131"/>
        <v>60912</v>
      </c>
      <c r="P228" s="4390">
        <f t="shared" si="132"/>
        <v>70048.800000000003</v>
      </c>
      <c r="Q228" s="4391">
        <f t="shared" si="133"/>
        <v>70500</v>
      </c>
      <c r="R228" s="4392">
        <f t="shared" si="134"/>
        <v>63450</v>
      </c>
      <c r="S228" s="4390">
        <f t="shared" si="135"/>
        <v>63450</v>
      </c>
      <c r="T228" s="4391">
        <f t="shared" si="136"/>
        <v>63450</v>
      </c>
      <c r="U228" s="4389">
        <f t="shared" si="137"/>
        <v>63450</v>
      </c>
      <c r="V228" s="4390">
        <f t="shared" si="138"/>
        <v>63450</v>
      </c>
      <c r="W228" s="4393">
        <f t="shared" si="139"/>
        <v>63450</v>
      </c>
      <c r="X228" s="2209">
        <f t="shared" si="140"/>
        <v>778560</v>
      </c>
      <c r="Y228" s="1652"/>
      <c r="AB228" s="15" t="s">
        <v>904</v>
      </c>
      <c r="AC228" s="12" t="s">
        <v>874</v>
      </c>
    </row>
    <row r="229" spans="1:29" s="1544" customFormat="1" ht="17.25" customHeight="1">
      <c r="A229" s="5135"/>
      <c r="B229" s="5138"/>
      <c r="C229" s="15"/>
      <c r="D229" s="15"/>
      <c r="E229" s="4866">
        <f t="shared" si="130"/>
        <v>27</v>
      </c>
      <c r="F229" s="1599" t="str">
        <f>F58</f>
        <v>Tey Gen4 Cover</v>
      </c>
      <c r="G229" s="1561" t="s">
        <v>407</v>
      </c>
      <c r="H229" s="3411"/>
      <c r="I229" s="3411"/>
      <c r="J229" s="3411"/>
      <c r="K229" s="3411"/>
      <c r="L229" s="4385">
        <v>133057.77431680297</v>
      </c>
      <c r="M229" s="4384">
        <v>157206.4238516152</v>
      </c>
      <c r="N229" s="4386">
        <v>144025.88588511047</v>
      </c>
      <c r="O229" s="4385">
        <f t="shared" si="131"/>
        <v>142680</v>
      </c>
      <c r="P229" s="4384">
        <f t="shared" si="132"/>
        <v>114840</v>
      </c>
      <c r="Q229" s="4386">
        <f t="shared" si="133"/>
        <v>142680</v>
      </c>
      <c r="R229" s="4387">
        <f t="shared" si="134"/>
        <v>139200</v>
      </c>
      <c r="S229" s="4384">
        <f t="shared" si="135"/>
        <v>139200</v>
      </c>
      <c r="T229" s="4386">
        <f t="shared" si="136"/>
        <v>139200</v>
      </c>
      <c r="U229" s="4385">
        <f t="shared" si="137"/>
        <v>130500</v>
      </c>
      <c r="V229" s="4384">
        <f t="shared" si="138"/>
        <v>130500</v>
      </c>
      <c r="W229" s="4388">
        <f t="shared" si="139"/>
        <v>130500</v>
      </c>
      <c r="X229" s="2200">
        <f t="shared" si="140"/>
        <v>1643590.0840535285</v>
      </c>
      <c r="Y229" s="1652"/>
      <c r="AB229" s="15" t="s">
        <v>904</v>
      </c>
      <c r="AC229" s="15" t="s">
        <v>874</v>
      </c>
    </row>
    <row r="230" spans="1:29" s="1544" customFormat="1" ht="17.25" customHeight="1">
      <c r="A230" s="5135"/>
      <c r="B230" s="5138"/>
      <c r="C230" s="15"/>
      <c r="D230" s="13"/>
      <c r="E230" s="2413">
        <f t="shared" si="130"/>
        <v>28</v>
      </c>
      <c r="F230" s="1636" t="s">
        <v>1269</v>
      </c>
      <c r="G230" s="1561" t="s">
        <v>407</v>
      </c>
      <c r="H230" s="3411"/>
      <c r="I230" s="3411"/>
      <c r="J230" s="3411"/>
      <c r="K230" s="3411"/>
      <c r="L230" s="4385">
        <v>0</v>
      </c>
      <c r="M230" s="4384">
        <v>0</v>
      </c>
      <c r="N230" s="4386">
        <v>0</v>
      </c>
      <c r="O230" s="4385">
        <f t="shared" si="131"/>
        <v>0</v>
      </c>
      <c r="P230" s="4384">
        <f t="shared" si="132"/>
        <v>0</v>
      </c>
      <c r="Q230" s="4386">
        <f t="shared" si="133"/>
        <v>0</v>
      </c>
      <c r="R230" s="4387">
        <f t="shared" si="134"/>
        <v>0</v>
      </c>
      <c r="S230" s="4384">
        <f t="shared" si="135"/>
        <v>0</v>
      </c>
      <c r="T230" s="4386">
        <f t="shared" si="136"/>
        <v>0</v>
      </c>
      <c r="U230" s="4385">
        <f t="shared" si="137"/>
        <v>0</v>
      </c>
      <c r="V230" s="4384">
        <f t="shared" si="138"/>
        <v>0</v>
      </c>
      <c r="W230" s="4388">
        <f t="shared" si="139"/>
        <v>0</v>
      </c>
      <c r="X230" s="2200">
        <f t="shared" si="140"/>
        <v>0</v>
      </c>
      <c r="Y230" s="1652"/>
      <c r="AB230" s="15" t="s">
        <v>904</v>
      </c>
      <c r="AC230" s="13" t="s">
        <v>874</v>
      </c>
    </row>
    <row r="231" spans="1:29" s="1544" customFormat="1" ht="17.25" customHeight="1">
      <c r="A231" s="5135"/>
      <c r="B231" s="5138"/>
      <c r="C231" s="15"/>
      <c r="D231" s="13"/>
      <c r="E231" s="2413">
        <f t="shared" si="130"/>
        <v>29</v>
      </c>
      <c r="F231" s="1636" t="s">
        <v>1270</v>
      </c>
      <c r="G231" s="1561" t="s">
        <v>407</v>
      </c>
      <c r="H231" s="3411"/>
      <c r="I231" s="3411"/>
      <c r="J231" s="3411"/>
      <c r="K231" s="3411"/>
      <c r="L231" s="4385">
        <v>0</v>
      </c>
      <c r="M231" s="4384">
        <v>0</v>
      </c>
      <c r="N231" s="4386">
        <v>0</v>
      </c>
      <c r="O231" s="4385">
        <f t="shared" si="131"/>
        <v>0</v>
      </c>
      <c r="P231" s="4384">
        <f t="shared" si="132"/>
        <v>0</v>
      </c>
      <c r="Q231" s="4386">
        <f t="shared" si="133"/>
        <v>0</v>
      </c>
      <c r="R231" s="4387">
        <f t="shared" si="134"/>
        <v>0</v>
      </c>
      <c r="S231" s="4384">
        <f t="shared" si="135"/>
        <v>0</v>
      </c>
      <c r="T231" s="4386">
        <f t="shared" si="136"/>
        <v>0</v>
      </c>
      <c r="U231" s="4385">
        <f t="shared" si="137"/>
        <v>0</v>
      </c>
      <c r="V231" s="4384">
        <f t="shared" si="138"/>
        <v>0</v>
      </c>
      <c r="W231" s="4388">
        <f t="shared" si="139"/>
        <v>0</v>
      </c>
      <c r="X231" s="2200">
        <f t="shared" si="140"/>
        <v>0</v>
      </c>
      <c r="Y231" s="1652"/>
      <c r="AB231" s="15" t="s">
        <v>904</v>
      </c>
      <c r="AC231" s="13" t="s">
        <v>874</v>
      </c>
    </row>
    <row r="232" spans="1:29" s="1544" customFormat="1" ht="17.25" customHeight="1">
      <c r="A232" s="5135"/>
      <c r="B232" s="5138"/>
      <c r="C232" s="15"/>
      <c r="D232" s="13"/>
      <c r="E232" s="2413">
        <f t="shared" si="130"/>
        <v>30</v>
      </c>
      <c r="F232" s="1636" t="s">
        <v>1271</v>
      </c>
      <c r="G232" s="1561" t="s">
        <v>407</v>
      </c>
      <c r="H232" s="3411"/>
      <c r="I232" s="3411"/>
      <c r="J232" s="3411"/>
      <c r="K232" s="3411"/>
      <c r="L232" s="4385">
        <v>0</v>
      </c>
      <c r="M232" s="4384">
        <v>0</v>
      </c>
      <c r="N232" s="4386">
        <v>0</v>
      </c>
      <c r="O232" s="4385">
        <f t="shared" si="131"/>
        <v>0</v>
      </c>
      <c r="P232" s="4384">
        <f t="shared" si="132"/>
        <v>0</v>
      </c>
      <c r="Q232" s="4386">
        <f t="shared" si="133"/>
        <v>0</v>
      </c>
      <c r="R232" s="4387">
        <f t="shared" si="134"/>
        <v>0</v>
      </c>
      <c r="S232" s="4384">
        <f t="shared" si="135"/>
        <v>31383.333333333332</v>
      </c>
      <c r="T232" s="4386">
        <f t="shared" si="136"/>
        <v>31383.333333333332</v>
      </c>
      <c r="U232" s="4385">
        <f t="shared" si="137"/>
        <v>31383.333333333332</v>
      </c>
      <c r="V232" s="4384">
        <f t="shared" si="138"/>
        <v>31383.333333333332</v>
      </c>
      <c r="W232" s="4388">
        <f t="shared" si="139"/>
        <v>31383.333333333332</v>
      </c>
      <c r="X232" s="2200">
        <f t="shared" si="140"/>
        <v>156916.66666666666</v>
      </c>
      <c r="Y232" s="1652"/>
      <c r="AB232" s="15" t="s">
        <v>904</v>
      </c>
      <c r="AC232" s="13" t="s">
        <v>874</v>
      </c>
    </row>
    <row r="233" spans="1:29" s="1544" customFormat="1" ht="17.25" customHeight="1">
      <c r="A233" s="5135"/>
      <c r="B233" s="5138"/>
      <c r="C233" s="15"/>
      <c r="D233" s="13"/>
      <c r="E233" s="2413">
        <f t="shared" si="130"/>
        <v>31</v>
      </c>
      <c r="F233" s="1636" t="s">
        <v>1272</v>
      </c>
      <c r="G233" s="1561" t="s">
        <v>407</v>
      </c>
      <c r="H233" s="3411"/>
      <c r="I233" s="3411"/>
      <c r="J233" s="3411"/>
      <c r="K233" s="3411"/>
      <c r="L233" s="4385">
        <v>0</v>
      </c>
      <c r="M233" s="4384">
        <v>0</v>
      </c>
      <c r="N233" s="4386">
        <v>0</v>
      </c>
      <c r="O233" s="4385">
        <f t="shared" si="131"/>
        <v>0</v>
      </c>
      <c r="P233" s="4384">
        <f t="shared" si="132"/>
        <v>0</v>
      </c>
      <c r="Q233" s="4386">
        <f t="shared" si="133"/>
        <v>0</v>
      </c>
      <c r="R233" s="4387">
        <f t="shared" si="134"/>
        <v>0</v>
      </c>
      <c r="S233" s="4384">
        <f t="shared" si="135"/>
        <v>7150</v>
      </c>
      <c r="T233" s="4386">
        <f t="shared" si="136"/>
        <v>7150</v>
      </c>
      <c r="U233" s="4385">
        <f t="shared" si="137"/>
        <v>7150</v>
      </c>
      <c r="V233" s="4384">
        <f t="shared" si="138"/>
        <v>7150</v>
      </c>
      <c r="W233" s="4388">
        <f t="shared" si="139"/>
        <v>7150</v>
      </c>
      <c r="X233" s="2200">
        <f t="shared" si="140"/>
        <v>35750</v>
      </c>
      <c r="Y233" s="1652"/>
      <c r="AB233" s="15" t="s">
        <v>904</v>
      </c>
      <c r="AC233" s="13" t="s">
        <v>874</v>
      </c>
    </row>
    <row r="234" spans="1:29" s="1544" customFormat="1" ht="17.25" customHeight="1">
      <c r="A234" s="5135"/>
      <c r="B234" s="5138"/>
      <c r="C234" s="11"/>
      <c r="D234" s="1601" t="str">
        <f>D148</f>
        <v>Heatsink</v>
      </c>
      <c r="E234" s="4871">
        <f t="shared" si="130"/>
        <v>32</v>
      </c>
      <c r="F234" s="1601" t="str">
        <f t="shared" ref="F234:F243" si="141">F63</f>
        <v>MAS65 Heatsink Cover</v>
      </c>
      <c r="G234" s="1602" t="s">
        <v>407</v>
      </c>
      <c r="H234" s="3417"/>
      <c r="I234" s="3417"/>
      <c r="J234" s="3417"/>
      <c r="K234" s="3417"/>
      <c r="L234" s="4402">
        <v>86547.526153846149</v>
      </c>
      <c r="M234" s="4403">
        <v>75979.701160807905</v>
      </c>
      <c r="N234" s="4404">
        <v>114830.7826107928</v>
      </c>
      <c r="O234" s="4402">
        <f t="shared" si="131"/>
        <v>114710.39999999999</v>
      </c>
      <c r="P234" s="4403">
        <f t="shared" si="132"/>
        <v>76473.599999999991</v>
      </c>
      <c r="Q234" s="4404">
        <f t="shared" si="133"/>
        <v>89856.48000000001</v>
      </c>
      <c r="R234" s="4417">
        <f t="shared" si="134"/>
        <v>66004</v>
      </c>
      <c r="S234" s="4403">
        <f t="shared" si="135"/>
        <v>66004</v>
      </c>
      <c r="T234" s="4404">
        <f t="shared" si="136"/>
        <v>66004</v>
      </c>
      <c r="U234" s="4402">
        <f t="shared" si="137"/>
        <v>66004</v>
      </c>
      <c r="V234" s="4403">
        <f t="shared" si="138"/>
        <v>66004</v>
      </c>
      <c r="W234" s="4405">
        <f t="shared" si="139"/>
        <v>66004</v>
      </c>
      <c r="X234" s="3572">
        <f t="shared" si="140"/>
        <v>954422.4899254468</v>
      </c>
      <c r="Y234" s="1652"/>
      <c r="AB234" s="11" t="s">
        <v>904</v>
      </c>
      <c r="AC234" s="1601" t="s">
        <v>892</v>
      </c>
    </row>
    <row r="235" spans="1:29" s="1544" customFormat="1" ht="17.25" customHeight="1">
      <c r="A235" s="5135"/>
      <c r="B235" s="5138"/>
      <c r="C235" s="15" t="s">
        <v>22</v>
      </c>
      <c r="D235" s="1599" t="str">
        <f>D149</f>
        <v>Motor HSG</v>
      </c>
      <c r="E235" s="4863">
        <f t="shared" si="130"/>
        <v>33</v>
      </c>
      <c r="F235" s="15" t="str">
        <f t="shared" si="141"/>
        <v>FCA Housing</v>
      </c>
      <c r="G235" s="1561" t="s">
        <v>407</v>
      </c>
      <c r="H235" s="3411"/>
      <c r="I235" s="3411"/>
      <c r="J235" s="3411"/>
      <c r="K235" s="3411"/>
      <c r="L235" s="4385">
        <v>0</v>
      </c>
      <c r="M235" s="4384">
        <v>0</v>
      </c>
      <c r="N235" s="4386">
        <v>64614.856989450651</v>
      </c>
      <c r="O235" s="4385">
        <f t="shared" si="131"/>
        <v>64691.135999999999</v>
      </c>
      <c r="P235" s="4384">
        <f t="shared" si="132"/>
        <v>64691.135999999999</v>
      </c>
      <c r="Q235" s="4386">
        <f t="shared" si="133"/>
        <v>56011.991500000011</v>
      </c>
      <c r="R235" s="4387">
        <f t="shared" si="134"/>
        <v>56011.991500000011</v>
      </c>
      <c r="S235" s="4384">
        <f t="shared" si="135"/>
        <v>56011.991500000011</v>
      </c>
      <c r="T235" s="4386">
        <f t="shared" si="136"/>
        <v>56011.991500000011</v>
      </c>
      <c r="U235" s="4385">
        <f t="shared" si="137"/>
        <v>56011.991500000011</v>
      </c>
      <c r="V235" s="4384">
        <f t="shared" si="138"/>
        <v>56011.991500000011</v>
      </c>
      <c r="W235" s="4388">
        <f t="shared" si="139"/>
        <v>56011.991500000011</v>
      </c>
      <c r="X235" s="2200">
        <f t="shared" si="140"/>
        <v>586081.06948945066</v>
      </c>
      <c r="Y235" s="1652"/>
      <c r="AB235" s="15" t="s">
        <v>22</v>
      </c>
      <c r="AC235" s="1599" t="s">
        <v>865</v>
      </c>
    </row>
    <row r="236" spans="1:29" s="1544" customFormat="1" ht="17.25" customHeight="1">
      <c r="A236" s="5135"/>
      <c r="B236" s="5138"/>
      <c r="C236" s="15"/>
      <c r="D236" s="15"/>
      <c r="E236" s="4866">
        <f t="shared" si="130"/>
        <v>34</v>
      </c>
      <c r="F236" s="15" t="str">
        <f t="shared" si="141"/>
        <v>GM EU2L Housing</v>
      </c>
      <c r="G236" s="1561" t="s">
        <v>970</v>
      </c>
      <c r="H236" s="3411"/>
      <c r="I236" s="3411"/>
      <c r="J236" s="3411"/>
      <c r="K236" s="3411"/>
      <c r="L236" s="4385">
        <v>2613.0068656167814</v>
      </c>
      <c r="M236" s="4384">
        <v>61821.967404621049</v>
      </c>
      <c r="N236" s="4386">
        <v>5221.4836586544125</v>
      </c>
      <c r="O236" s="4385">
        <f t="shared" si="131"/>
        <v>64488.226410688083</v>
      </c>
      <c r="P236" s="4384">
        <f t="shared" si="132"/>
        <v>61873.724698072416</v>
      </c>
      <c r="Q236" s="4386">
        <f t="shared" si="133"/>
        <v>65833.315034107683</v>
      </c>
      <c r="R236" s="4387">
        <f t="shared" si="134"/>
        <v>65833.315034107683</v>
      </c>
      <c r="S236" s="4384">
        <f t="shared" si="135"/>
        <v>67195.034676094991</v>
      </c>
      <c r="T236" s="4386">
        <f t="shared" si="136"/>
        <v>87323.846831481133</v>
      </c>
      <c r="U236" s="4385">
        <f t="shared" si="137"/>
        <v>81634.102595558637</v>
      </c>
      <c r="V236" s="4384">
        <f t="shared" si="138"/>
        <v>81634.102595558637</v>
      </c>
      <c r="W236" s="4388">
        <f t="shared" si="139"/>
        <v>80054.507810853349</v>
      </c>
      <c r="X236" s="2200">
        <f t="shared" si="140"/>
        <v>725526.63361541484</v>
      </c>
      <c r="Y236" s="1652"/>
      <c r="AB236" s="15" t="s">
        <v>22</v>
      </c>
      <c r="AC236" s="15" t="s">
        <v>865</v>
      </c>
    </row>
    <row r="237" spans="1:29" s="1544" customFormat="1" ht="17.25" customHeight="1">
      <c r="A237" s="5135"/>
      <c r="B237" s="5138"/>
      <c r="C237" s="15"/>
      <c r="D237" s="15"/>
      <c r="E237" s="4866">
        <f t="shared" si="130"/>
        <v>35</v>
      </c>
      <c r="F237" s="15" t="str">
        <f t="shared" si="141"/>
        <v>GM ACP Housing</v>
      </c>
      <c r="G237" s="1561" t="s">
        <v>970</v>
      </c>
      <c r="H237" s="3411"/>
      <c r="I237" s="3411"/>
      <c r="J237" s="3411"/>
      <c r="K237" s="3411"/>
      <c r="L237" s="4385">
        <v>261923.30160048307</v>
      </c>
      <c r="M237" s="4384">
        <v>240396.38819797587</v>
      </c>
      <c r="N237" s="4386">
        <v>227080.89901310601</v>
      </c>
      <c r="O237" s="4385">
        <f t="shared" si="131"/>
        <v>213403.81978779857</v>
      </c>
      <c r="P237" s="4384">
        <f t="shared" si="132"/>
        <v>213403.81978779857</v>
      </c>
      <c r="Q237" s="4386">
        <f t="shared" si="133"/>
        <v>220546.37414289714</v>
      </c>
      <c r="R237" s="4387">
        <f t="shared" si="134"/>
        <v>210996.80616656353</v>
      </c>
      <c r="S237" s="4384">
        <f t="shared" si="135"/>
        <v>218200.93358289698</v>
      </c>
      <c r="T237" s="4386">
        <f t="shared" si="136"/>
        <v>218200.93358289698</v>
      </c>
      <c r="U237" s="4385">
        <f t="shared" si="137"/>
        <v>218200.93358289698</v>
      </c>
      <c r="V237" s="4384">
        <f t="shared" si="138"/>
        <v>218200.93358289698</v>
      </c>
      <c r="W237" s="4388">
        <f t="shared" si="139"/>
        <v>208651.3656065634</v>
      </c>
      <c r="X237" s="2200">
        <f t="shared" si="140"/>
        <v>2669206.508634774</v>
      </c>
      <c r="Y237" s="1652"/>
      <c r="AB237" s="15" t="s">
        <v>22</v>
      </c>
      <c r="AC237" s="15" t="s">
        <v>865</v>
      </c>
    </row>
    <row r="238" spans="1:29" s="1579" customFormat="1" ht="17.25" customHeight="1">
      <c r="A238" s="5135"/>
      <c r="B238" s="5138"/>
      <c r="C238" s="15"/>
      <c r="D238" s="12" t="str">
        <f>D152</f>
        <v>Motor CVR</v>
      </c>
      <c r="E238" s="4867">
        <f t="shared" si="130"/>
        <v>36</v>
      </c>
      <c r="F238" s="12" t="str">
        <f t="shared" si="141"/>
        <v>FCA Cover</v>
      </c>
      <c r="G238" s="1580" t="s">
        <v>970</v>
      </c>
      <c r="H238" s="3414"/>
      <c r="I238" s="3414"/>
      <c r="J238" s="3414"/>
      <c r="K238" s="3414"/>
      <c r="L238" s="4389">
        <v>0</v>
      </c>
      <c r="M238" s="4390">
        <v>0</v>
      </c>
      <c r="N238" s="4391">
        <v>57858.844666844845</v>
      </c>
      <c r="O238" s="4389">
        <f t="shared" si="131"/>
        <v>57894.912000000004</v>
      </c>
      <c r="P238" s="4390">
        <f t="shared" si="132"/>
        <v>57894.912000000004</v>
      </c>
      <c r="Q238" s="4391">
        <f t="shared" si="133"/>
        <v>50127.567999999999</v>
      </c>
      <c r="R238" s="4392">
        <f t="shared" si="134"/>
        <v>50127.567999999999</v>
      </c>
      <c r="S238" s="4390">
        <f t="shared" si="135"/>
        <v>50127.567999999999</v>
      </c>
      <c r="T238" s="4391">
        <f t="shared" si="136"/>
        <v>50127.567999999999</v>
      </c>
      <c r="U238" s="4389">
        <f t="shared" si="137"/>
        <v>50127.567999999999</v>
      </c>
      <c r="V238" s="4390">
        <f t="shared" si="138"/>
        <v>50127.567999999999</v>
      </c>
      <c r="W238" s="4391">
        <f t="shared" si="139"/>
        <v>50127.567999999999</v>
      </c>
      <c r="X238" s="2209">
        <f t="shared" si="140"/>
        <v>524541.64466684475</v>
      </c>
      <c r="Y238" s="1652"/>
      <c r="AB238" s="15" t="s">
        <v>22</v>
      </c>
      <c r="AC238" s="12" t="s">
        <v>874</v>
      </c>
    </row>
    <row r="239" spans="1:29" s="1579" customFormat="1" ht="17.25" customHeight="1">
      <c r="A239" s="5135"/>
      <c r="B239" s="5138"/>
      <c r="C239" s="15"/>
      <c r="D239" s="15"/>
      <c r="E239" s="4866">
        <f t="shared" si="130"/>
        <v>37</v>
      </c>
      <c r="F239" s="15" t="str">
        <f t="shared" si="141"/>
        <v>GM EU2L Cover</v>
      </c>
      <c r="G239" s="1561" t="s">
        <v>970</v>
      </c>
      <c r="H239" s="3411"/>
      <c r="I239" s="3411"/>
      <c r="J239" s="3411"/>
      <c r="K239" s="3411"/>
      <c r="L239" s="4385">
        <v>2350.484097184979</v>
      </c>
      <c r="M239" s="4384">
        <v>53565.156462334489</v>
      </c>
      <c r="N239" s="4386">
        <v>4686.7165865061452</v>
      </c>
      <c r="O239" s="4385">
        <f t="shared" si="131"/>
        <v>55964.402234823814</v>
      </c>
      <c r="P239" s="4384">
        <f t="shared" si="132"/>
        <v>53613.205378455175</v>
      </c>
      <c r="Q239" s="4386">
        <f t="shared" si="133"/>
        <v>57134.895824893654</v>
      </c>
      <c r="R239" s="4387">
        <f t="shared" si="134"/>
        <v>57134.895824893654</v>
      </c>
      <c r="S239" s="4384">
        <f t="shared" si="135"/>
        <v>58359.217163510904</v>
      </c>
      <c r="T239" s="4386">
        <f t="shared" si="136"/>
        <v>75771.753986985786</v>
      </c>
      <c r="U239" s="4385">
        <f t="shared" si="137"/>
        <v>70849.810244883556</v>
      </c>
      <c r="V239" s="4384">
        <f t="shared" si="138"/>
        <v>70849.810244883556</v>
      </c>
      <c r="W239" s="4386">
        <f t="shared" si="139"/>
        <v>69429.597492087531</v>
      </c>
      <c r="X239" s="2200">
        <f t="shared" si="140"/>
        <v>629709.94554144319</v>
      </c>
      <c r="Y239" s="1652"/>
      <c r="AB239" s="15" t="s">
        <v>22</v>
      </c>
      <c r="AC239" s="15" t="s">
        <v>874</v>
      </c>
    </row>
    <row r="240" spans="1:29" s="1579" customFormat="1" ht="17.25" customHeight="1">
      <c r="A240" s="5135"/>
      <c r="B240" s="5138"/>
      <c r="C240" s="15"/>
      <c r="D240" s="1586"/>
      <c r="E240" s="4868">
        <f t="shared" si="130"/>
        <v>38</v>
      </c>
      <c r="F240" s="1586" t="str">
        <f t="shared" si="141"/>
        <v>GM ACP Cover</v>
      </c>
      <c r="G240" s="1587" t="s">
        <v>970</v>
      </c>
      <c r="H240" s="3415"/>
      <c r="I240" s="3415"/>
      <c r="J240" s="3415"/>
      <c r="K240" s="3415"/>
      <c r="L240" s="4394">
        <v>172214.68887909004</v>
      </c>
      <c r="M240" s="4395">
        <v>166228.05384111861</v>
      </c>
      <c r="N240" s="4396">
        <v>151738.54425958014</v>
      </c>
      <c r="O240" s="4394">
        <f t="shared" si="131"/>
        <v>141941.28186035939</v>
      </c>
      <c r="P240" s="4395">
        <f t="shared" si="132"/>
        <v>141941.28186035939</v>
      </c>
      <c r="Q240" s="4396">
        <f t="shared" si="133"/>
        <v>147056.17152820993</v>
      </c>
      <c r="R240" s="4416">
        <f t="shared" si="134"/>
        <v>140217.58351806508</v>
      </c>
      <c r="S240" s="4395">
        <f t="shared" si="135"/>
        <v>145517.62784904864</v>
      </c>
      <c r="T240" s="4396">
        <f t="shared" si="136"/>
        <v>145517.62784904864</v>
      </c>
      <c r="U240" s="4394">
        <f t="shared" si="137"/>
        <v>145517.62784904864</v>
      </c>
      <c r="V240" s="4395">
        <f t="shared" si="138"/>
        <v>145517.62784904864</v>
      </c>
      <c r="W240" s="4396">
        <f t="shared" si="139"/>
        <v>138679.03983890379</v>
      </c>
      <c r="X240" s="2212">
        <f t="shared" si="140"/>
        <v>1782087.1569818812</v>
      </c>
      <c r="Y240" s="1652"/>
      <c r="AB240" s="15" t="s">
        <v>22</v>
      </c>
      <c r="AC240" s="1586" t="s">
        <v>874</v>
      </c>
    </row>
    <row r="241" spans="1:29" s="1579" customFormat="1" ht="17.25" customHeight="1">
      <c r="A241" s="5135"/>
      <c r="B241" s="5138"/>
      <c r="C241" s="15"/>
      <c r="D241" s="15" t="str">
        <f>D155</f>
        <v>CAM L.Mount</v>
      </c>
      <c r="E241" s="4866">
        <f t="shared" si="130"/>
        <v>39</v>
      </c>
      <c r="F241" s="1599" t="str">
        <f t="shared" si="141"/>
        <v>Lens Mount</v>
      </c>
      <c r="G241" s="1561" t="s">
        <v>407</v>
      </c>
      <c r="H241" s="3411"/>
      <c r="I241" s="3411"/>
      <c r="J241" s="3411"/>
      <c r="K241" s="3411"/>
      <c r="L241" s="4385">
        <v>35687.982587761981</v>
      </c>
      <c r="M241" s="4384">
        <v>95456.085866062655</v>
      </c>
      <c r="N241" s="4386">
        <v>125338.34125974777</v>
      </c>
      <c r="O241" s="4385">
        <f t="shared" si="131"/>
        <v>84283.391999999993</v>
      </c>
      <c r="P241" s="4384">
        <f t="shared" si="132"/>
        <v>84741.631999999998</v>
      </c>
      <c r="Q241" s="4386">
        <f t="shared" si="133"/>
        <v>126541.48866666666</v>
      </c>
      <c r="R241" s="4387">
        <f t="shared" si="134"/>
        <v>123677.48866666667</v>
      </c>
      <c r="S241" s="4384">
        <f t="shared" si="135"/>
        <v>123677.48866666667</v>
      </c>
      <c r="T241" s="4386">
        <f t="shared" si="136"/>
        <v>119074.28866666666</v>
      </c>
      <c r="U241" s="4385">
        <f t="shared" si="137"/>
        <v>119074.28866666666</v>
      </c>
      <c r="V241" s="4384">
        <f t="shared" si="138"/>
        <v>121938.28866666667</v>
      </c>
      <c r="W241" s="4386">
        <f t="shared" si="139"/>
        <v>126541.48866666666</v>
      </c>
      <c r="X241" s="2200">
        <f t="shared" si="140"/>
        <v>1286032.2543802392</v>
      </c>
      <c r="Y241" s="1652"/>
      <c r="AB241" s="15" t="s">
        <v>22</v>
      </c>
      <c r="AC241" s="15" t="s">
        <v>885</v>
      </c>
    </row>
    <row r="242" spans="1:29" s="1544" customFormat="1" ht="17.25" customHeight="1">
      <c r="A242" s="5135"/>
      <c r="B242" s="5138"/>
      <c r="C242" s="15"/>
      <c r="D242" s="12" t="str">
        <f>D156</f>
        <v>Heatsink</v>
      </c>
      <c r="E242" s="4867">
        <f t="shared" si="130"/>
        <v>40</v>
      </c>
      <c r="F242" s="12" t="str">
        <f t="shared" si="141"/>
        <v>IPM 1.0 Housing</v>
      </c>
      <c r="G242" s="1580" t="s">
        <v>407</v>
      </c>
      <c r="H242" s="3414"/>
      <c r="I242" s="3414"/>
      <c r="J242" s="3414"/>
      <c r="K242" s="3414"/>
      <c r="L242" s="4389">
        <v>38039.394983544633</v>
      </c>
      <c r="M242" s="4390">
        <v>38044.775087630464</v>
      </c>
      <c r="N242" s="4391">
        <v>38044.775087630464</v>
      </c>
      <c r="O242" s="4389">
        <f t="shared" si="131"/>
        <v>38321.164799999999</v>
      </c>
      <c r="P242" s="4390">
        <f t="shared" si="132"/>
        <v>38321.164799999999</v>
      </c>
      <c r="Q242" s="4391">
        <f t="shared" si="133"/>
        <v>29568.799999999999</v>
      </c>
      <c r="R242" s="4392">
        <f t="shared" si="134"/>
        <v>29568.799999999999</v>
      </c>
      <c r="S242" s="4390">
        <f t="shared" si="135"/>
        <v>51627.124799999998</v>
      </c>
      <c r="T242" s="4391">
        <f t="shared" si="136"/>
        <v>51627.124799999998</v>
      </c>
      <c r="U242" s="4389">
        <f t="shared" si="137"/>
        <v>51627.124799999998</v>
      </c>
      <c r="V242" s="4390">
        <f t="shared" si="138"/>
        <v>29568.799999999999</v>
      </c>
      <c r="W242" s="4391">
        <f t="shared" si="139"/>
        <v>38321.164799999999</v>
      </c>
      <c r="X242" s="2209">
        <f t="shared" si="140"/>
        <v>472680.21395880554</v>
      </c>
      <c r="Y242" s="1652"/>
      <c r="AB242" s="15" t="s">
        <v>22</v>
      </c>
      <c r="AC242" s="12" t="s">
        <v>892</v>
      </c>
    </row>
    <row r="243" spans="1:29" s="1579" customFormat="1" ht="17.25" customHeight="1">
      <c r="A243" s="5135"/>
      <c r="B243" s="5138"/>
      <c r="C243" s="15"/>
      <c r="D243" s="1586"/>
      <c r="E243" s="4868">
        <f t="shared" si="130"/>
        <v>41</v>
      </c>
      <c r="F243" s="1586" t="str">
        <f t="shared" si="141"/>
        <v>IPM 2.0  Base Housing</v>
      </c>
      <c r="G243" s="1587" t="s">
        <v>407</v>
      </c>
      <c r="H243" s="3415"/>
      <c r="I243" s="3415"/>
      <c r="J243" s="3415"/>
      <c r="K243" s="3415"/>
      <c r="L243" s="4394">
        <v>8469.9141556200448</v>
      </c>
      <c r="M243" s="4395">
        <v>14243.324339646691</v>
      </c>
      <c r="N243" s="4396">
        <v>14243.324339646691</v>
      </c>
      <c r="O243" s="4394">
        <f t="shared" si="131"/>
        <v>14771.366400000001</v>
      </c>
      <c r="P243" s="4395">
        <f t="shared" si="132"/>
        <v>14771.366400000001</v>
      </c>
      <c r="Q243" s="4396">
        <f t="shared" si="133"/>
        <v>24728.850000000002</v>
      </c>
      <c r="R243" s="4416">
        <f t="shared" si="134"/>
        <v>14771.366400000001</v>
      </c>
      <c r="S243" s="4395">
        <f t="shared" si="135"/>
        <v>14771.366400000001</v>
      </c>
      <c r="T243" s="4396">
        <f t="shared" si="136"/>
        <v>14771.366400000001</v>
      </c>
      <c r="U243" s="4394">
        <f t="shared" si="137"/>
        <v>24728.850000000002</v>
      </c>
      <c r="V243" s="4395">
        <f t="shared" si="138"/>
        <v>24728.850000000002</v>
      </c>
      <c r="W243" s="4396">
        <f t="shared" si="139"/>
        <v>24728.850000000002</v>
      </c>
      <c r="X243" s="2212">
        <f t="shared" si="140"/>
        <v>209728.79483491345</v>
      </c>
      <c r="Y243" s="1652"/>
      <c r="AB243" s="15" t="s">
        <v>22</v>
      </c>
      <c r="AC243" s="1586" t="s">
        <v>892</v>
      </c>
    </row>
    <row r="244" spans="1:29" s="1579" customFormat="1" ht="17.25" customHeight="1">
      <c r="A244" s="5135"/>
      <c r="B244" s="5138"/>
      <c r="C244" s="15"/>
      <c r="D244" s="15"/>
      <c r="E244" s="4873"/>
      <c r="F244" s="15" t="s">
        <v>1283</v>
      </c>
      <c r="G244" s="1561" t="s">
        <v>407</v>
      </c>
      <c r="H244" s="3411"/>
      <c r="I244" s="3411"/>
      <c r="J244" s="3411"/>
      <c r="K244" s="3411"/>
      <c r="L244" s="4385"/>
      <c r="M244" s="4384"/>
      <c r="N244" s="4386"/>
      <c r="O244" s="4385">
        <f t="shared" si="131"/>
        <v>0</v>
      </c>
      <c r="P244" s="4384">
        <f t="shared" si="132"/>
        <v>0</v>
      </c>
      <c r="Q244" s="4386">
        <f t="shared" si="133"/>
        <v>0</v>
      </c>
      <c r="R244" s="4387">
        <f t="shared" si="134"/>
        <v>0</v>
      </c>
      <c r="S244" s="4384">
        <f t="shared" si="135"/>
        <v>0</v>
      </c>
      <c r="T244" s="4386">
        <f t="shared" si="136"/>
        <v>0</v>
      </c>
      <c r="U244" s="4385">
        <f t="shared" si="137"/>
        <v>0</v>
      </c>
      <c r="V244" s="4384">
        <f t="shared" si="138"/>
        <v>0</v>
      </c>
      <c r="W244" s="4388">
        <f t="shared" si="139"/>
        <v>0</v>
      </c>
      <c r="X244" s="2200">
        <f t="shared" ref="X244:X254" si="142">SUM(L244:W244)</f>
        <v>0</v>
      </c>
      <c r="Y244" s="1652"/>
      <c r="AB244" s="15" t="s">
        <v>22</v>
      </c>
      <c r="AC244" s="15" t="s">
        <v>892</v>
      </c>
    </row>
    <row r="245" spans="1:29" s="1579" customFormat="1" ht="17.25" customHeight="1">
      <c r="A245" s="5135"/>
      <c r="B245" s="5138"/>
      <c r="C245" s="15"/>
      <c r="D245" s="15"/>
      <c r="E245" s="4873"/>
      <c r="F245" s="15" t="s">
        <v>1284</v>
      </c>
      <c r="G245" s="1561" t="s">
        <v>407</v>
      </c>
      <c r="H245" s="3411"/>
      <c r="I245" s="3411"/>
      <c r="J245" s="3411"/>
      <c r="K245" s="3411"/>
      <c r="L245" s="4385"/>
      <c r="M245" s="4384"/>
      <c r="N245" s="4386"/>
      <c r="O245" s="4385">
        <f t="shared" si="131"/>
        <v>0</v>
      </c>
      <c r="P245" s="4384">
        <f t="shared" si="132"/>
        <v>0</v>
      </c>
      <c r="Q245" s="4386">
        <f t="shared" si="133"/>
        <v>0</v>
      </c>
      <c r="R245" s="4387">
        <f t="shared" si="134"/>
        <v>0</v>
      </c>
      <c r="S245" s="4384">
        <f t="shared" si="135"/>
        <v>0</v>
      </c>
      <c r="T245" s="4386">
        <f t="shared" si="136"/>
        <v>0</v>
      </c>
      <c r="U245" s="4385">
        <f t="shared" si="137"/>
        <v>0</v>
      </c>
      <c r="V245" s="4384">
        <f t="shared" si="138"/>
        <v>0</v>
      </c>
      <c r="W245" s="4388">
        <f t="shared" si="139"/>
        <v>0</v>
      </c>
      <c r="X245" s="2200">
        <f t="shared" si="142"/>
        <v>0</v>
      </c>
      <c r="Y245" s="1652"/>
      <c r="AB245" s="15" t="s">
        <v>22</v>
      </c>
      <c r="AC245" s="15" t="s">
        <v>892</v>
      </c>
    </row>
    <row r="246" spans="1:29" s="1579" customFormat="1" ht="17.25" customHeight="1">
      <c r="A246" s="5135"/>
      <c r="B246" s="5138"/>
      <c r="C246" s="15"/>
      <c r="D246" s="15"/>
      <c r="E246" s="4873"/>
      <c r="F246" s="15" t="s">
        <v>1285</v>
      </c>
      <c r="G246" s="1561" t="s">
        <v>407</v>
      </c>
      <c r="H246" s="3411"/>
      <c r="I246" s="3411"/>
      <c r="J246" s="3411"/>
      <c r="K246" s="3411"/>
      <c r="L246" s="4385"/>
      <c r="M246" s="4384"/>
      <c r="N246" s="4386"/>
      <c r="O246" s="4385">
        <f t="shared" si="131"/>
        <v>0</v>
      </c>
      <c r="P246" s="4384">
        <f t="shared" si="132"/>
        <v>0</v>
      </c>
      <c r="Q246" s="4386">
        <f t="shared" si="133"/>
        <v>0</v>
      </c>
      <c r="R246" s="4387">
        <f t="shared" si="134"/>
        <v>0</v>
      </c>
      <c r="S246" s="4384">
        <f t="shared" si="135"/>
        <v>0</v>
      </c>
      <c r="T246" s="4386">
        <f t="shared" si="136"/>
        <v>0</v>
      </c>
      <c r="U246" s="4385">
        <f t="shared" si="137"/>
        <v>0</v>
      </c>
      <c r="V246" s="4384">
        <f t="shared" si="138"/>
        <v>0</v>
      </c>
      <c r="W246" s="4388">
        <f t="shared" si="139"/>
        <v>0</v>
      </c>
      <c r="X246" s="2200">
        <f t="shared" si="142"/>
        <v>0</v>
      </c>
      <c r="Y246" s="1652"/>
      <c r="AB246" s="15" t="s">
        <v>22</v>
      </c>
      <c r="AC246" s="15" t="s">
        <v>892</v>
      </c>
    </row>
    <row r="247" spans="1:29" s="1579" customFormat="1" ht="17.25" customHeight="1">
      <c r="A247" s="5135"/>
      <c r="B247" s="5138"/>
      <c r="C247" s="3939" t="s">
        <v>1317</v>
      </c>
      <c r="D247" s="3939"/>
      <c r="E247" s="4874"/>
      <c r="F247" s="3939" t="str">
        <f>F161</f>
        <v>Glass Frame (ZF60A-T5)</v>
      </c>
      <c r="G247" s="5083" t="s">
        <v>1491</v>
      </c>
      <c r="H247" s="3941"/>
      <c r="I247" s="3941"/>
      <c r="J247" s="3941"/>
      <c r="K247" s="3941"/>
      <c r="L247" s="4406"/>
      <c r="M247" s="4407"/>
      <c r="N247" s="4409"/>
      <c r="O247" s="4406"/>
      <c r="P247" s="4407"/>
      <c r="Q247" s="4409"/>
      <c r="R247" s="4410"/>
      <c r="S247" s="4407"/>
      <c r="T247" s="4409"/>
      <c r="U247" s="4406"/>
      <c r="V247" s="4407"/>
      <c r="W247" s="4408"/>
      <c r="X247" s="2204">
        <f t="shared" si="142"/>
        <v>0</v>
      </c>
      <c r="Y247" s="1652"/>
      <c r="AB247" s="15"/>
      <c r="AC247" s="15"/>
    </row>
    <row r="248" spans="1:29" s="1579" customFormat="1" ht="17.25" customHeight="1">
      <c r="A248" s="5135"/>
      <c r="B248" s="5138"/>
      <c r="C248" s="15"/>
      <c r="D248" s="15"/>
      <c r="E248" s="4873"/>
      <c r="F248" s="15" t="str">
        <f t="shared" ref="F248:F249" si="143">F162</f>
        <v>Body Compute enclosure (AL6061-T6)</v>
      </c>
      <c r="G248" s="1630" t="s">
        <v>1491</v>
      </c>
      <c r="H248" s="3411"/>
      <c r="I248" s="3411"/>
      <c r="J248" s="3411"/>
      <c r="K248" s="3411"/>
      <c r="L248" s="4385"/>
      <c r="M248" s="4384"/>
      <c r="N248" s="4386"/>
      <c r="O248" s="4385"/>
      <c r="P248" s="4384"/>
      <c r="Q248" s="4386"/>
      <c r="R248" s="4387"/>
      <c r="S248" s="4384"/>
      <c r="T248" s="4386"/>
      <c r="U248" s="4385"/>
      <c r="V248" s="4384"/>
      <c r="W248" s="4388"/>
      <c r="X248" s="2200">
        <f t="shared" si="142"/>
        <v>0</v>
      </c>
      <c r="Y248" s="1652"/>
      <c r="AB248" s="15"/>
      <c r="AC248" s="15"/>
    </row>
    <row r="249" spans="1:29" s="1579" customFormat="1" ht="17.25" customHeight="1">
      <c r="A249" s="5135"/>
      <c r="B249" s="5138"/>
      <c r="C249" s="15"/>
      <c r="D249" s="15"/>
      <c r="E249" s="4873"/>
      <c r="F249" s="15" t="str">
        <f t="shared" si="143"/>
        <v>Others Part</v>
      </c>
      <c r="G249" s="1630" t="s">
        <v>1491</v>
      </c>
      <c r="H249" s="3411"/>
      <c r="I249" s="3411"/>
      <c r="J249" s="3411"/>
      <c r="K249" s="3411"/>
      <c r="L249" s="4385"/>
      <c r="M249" s="4384"/>
      <c r="N249" s="4386"/>
      <c r="O249" s="4385"/>
      <c r="P249" s="4384"/>
      <c r="Q249" s="4386"/>
      <c r="R249" s="4387"/>
      <c r="S249" s="4384"/>
      <c r="T249" s="4386"/>
      <c r="U249" s="4385"/>
      <c r="V249" s="4384"/>
      <c r="W249" s="4388"/>
      <c r="X249" s="2200">
        <f t="shared" si="142"/>
        <v>0</v>
      </c>
      <c r="Y249" s="1652"/>
      <c r="AB249" s="15"/>
      <c r="AC249" s="15"/>
    </row>
    <row r="250" spans="1:29" s="1579" customFormat="1" ht="17.25" hidden="1" customHeight="1">
      <c r="A250" s="5135"/>
      <c r="B250" s="5138"/>
      <c r="C250" s="15"/>
      <c r="D250" s="15"/>
      <c r="E250" s="4873"/>
      <c r="F250" s="2444"/>
      <c r="G250" s="1561"/>
      <c r="H250" s="3411"/>
      <c r="I250" s="3411"/>
      <c r="J250" s="3411"/>
      <c r="K250" s="3411"/>
      <c r="L250" s="4385"/>
      <c r="M250" s="4384">
        <f t="shared" ref="M250:W250" si="144">L164</f>
        <v>0</v>
      </c>
      <c r="N250" s="4386">
        <f t="shared" si="144"/>
        <v>0</v>
      </c>
      <c r="O250" s="4385">
        <f t="shared" si="144"/>
        <v>0</v>
      </c>
      <c r="P250" s="4384">
        <f t="shared" si="144"/>
        <v>0</v>
      </c>
      <c r="Q250" s="4386">
        <f t="shared" si="144"/>
        <v>0</v>
      </c>
      <c r="R250" s="4387">
        <f t="shared" si="144"/>
        <v>0</v>
      </c>
      <c r="S250" s="4384">
        <f t="shared" si="144"/>
        <v>0</v>
      </c>
      <c r="T250" s="4386">
        <f t="shared" si="144"/>
        <v>0</v>
      </c>
      <c r="U250" s="4385">
        <f t="shared" si="144"/>
        <v>0</v>
      </c>
      <c r="V250" s="4384">
        <f t="shared" si="144"/>
        <v>0</v>
      </c>
      <c r="W250" s="4388">
        <f t="shared" si="144"/>
        <v>0</v>
      </c>
      <c r="X250" s="2200">
        <f t="shared" si="142"/>
        <v>0</v>
      </c>
      <c r="Y250" s="1652"/>
      <c r="AB250" s="15"/>
      <c r="AC250" s="15"/>
    </row>
    <row r="251" spans="1:29" s="1579" customFormat="1" ht="17.25" hidden="1" customHeight="1">
      <c r="A251" s="5135"/>
      <c r="B251" s="5138"/>
      <c r="C251" s="15"/>
      <c r="D251" s="15"/>
      <c r="E251" s="4873"/>
      <c r="F251" s="2444"/>
      <c r="G251" s="1561"/>
      <c r="H251" s="3411"/>
      <c r="I251" s="3411"/>
      <c r="J251" s="3411"/>
      <c r="K251" s="3411"/>
      <c r="L251" s="4385"/>
      <c r="M251" s="4384">
        <f t="shared" ref="M251:W251" si="145">L165</f>
        <v>0</v>
      </c>
      <c r="N251" s="4386">
        <f t="shared" si="145"/>
        <v>0</v>
      </c>
      <c r="O251" s="4385">
        <f t="shared" si="145"/>
        <v>0</v>
      </c>
      <c r="P251" s="4384">
        <f t="shared" si="145"/>
        <v>0</v>
      </c>
      <c r="Q251" s="4386">
        <f t="shared" si="145"/>
        <v>0</v>
      </c>
      <c r="R251" s="4387">
        <f t="shared" si="145"/>
        <v>0</v>
      </c>
      <c r="S251" s="4384">
        <f t="shared" si="145"/>
        <v>0</v>
      </c>
      <c r="T251" s="4386">
        <f t="shared" si="145"/>
        <v>0</v>
      </c>
      <c r="U251" s="4385">
        <f t="shared" si="145"/>
        <v>0</v>
      </c>
      <c r="V251" s="4384">
        <f t="shared" si="145"/>
        <v>0</v>
      </c>
      <c r="W251" s="4388">
        <f t="shared" si="145"/>
        <v>0</v>
      </c>
      <c r="X251" s="2200">
        <f t="shared" si="142"/>
        <v>0</v>
      </c>
      <c r="Y251" s="1652"/>
      <c r="AB251" s="15"/>
      <c r="AC251" s="15"/>
    </row>
    <row r="252" spans="1:29" s="1579" customFormat="1" ht="17.25" hidden="1" customHeight="1">
      <c r="A252" s="5135"/>
      <c r="B252" s="5138"/>
      <c r="C252" s="15"/>
      <c r="D252" s="15"/>
      <c r="E252" s="4873"/>
      <c r="F252" s="2444"/>
      <c r="G252" s="1561"/>
      <c r="H252" s="3411"/>
      <c r="I252" s="3411"/>
      <c r="J252" s="3411"/>
      <c r="K252" s="3411"/>
      <c r="L252" s="4385"/>
      <c r="M252" s="4384">
        <f t="shared" ref="M252:W252" si="146">L166</f>
        <v>0</v>
      </c>
      <c r="N252" s="4386">
        <f t="shared" si="146"/>
        <v>0</v>
      </c>
      <c r="O252" s="4385">
        <f t="shared" si="146"/>
        <v>0</v>
      </c>
      <c r="P252" s="4384">
        <f t="shared" si="146"/>
        <v>0</v>
      </c>
      <c r="Q252" s="4386">
        <f t="shared" si="146"/>
        <v>0</v>
      </c>
      <c r="R252" s="4387">
        <f t="shared" si="146"/>
        <v>0</v>
      </c>
      <c r="S252" s="4384">
        <f t="shared" si="146"/>
        <v>0</v>
      </c>
      <c r="T252" s="4386">
        <f t="shared" si="146"/>
        <v>0</v>
      </c>
      <c r="U252" s="4385">
        <f t="shared" si="146"/>
        <v>0</v>
      </c>
      <c r="V252" s="4384">
        <f t="shared" si="146"/>
        <v>0</v>
      </c>
      <c r="W252" s="4388">
        <f t="shared" si="146"/>
        <v>0</v>
      </c>
      <c r="X252" s="2200">
        <f t="shared" si="142"/>
        <v>0</v>
      </c>
      <c r="Y252" s="1652"/>
      <c r="AB252" s="15"/>
      <c r="AC252" s="15"/>
    </row>
    <row r="253" spans="1:29" s="1579" customFormat="1" ht="17.25" hidden="1" customHeight="1">
      <c r="A253" s="5135"/>
      <c r="B253" s="5138"/>
      <c r="C253" s="15"/>
      <c r="D253" s="15"/>
      <c r="E253" s="4873"/>
      <c r="F253" s="2444"/>
      <c r="G253" s="1561"/>
      <c r="H253" s="3411"/>
      <c r="I253" s="3411"/>
      <c r="J253" s="3411"/>
      <c r="K253" s="3411"/>
      <c r="L253" s="4385"/>
      <c r="M253" s="4384">
        <f t="shared" ref="M253:W253" si="147">L167</f>
        <v>0</v>
      </c>
      <c r="N253" s="4386">
        <f t="shared" si="147"/>
        <v>0</v>
      </c>
      <c r="O253" s="4385">
        <f t="shared" si="147"/>
        <v>0</v>
      </c>
      <c r="P253" s="4384">
        <f t="shared" si="147"/>
        <v>0</v>
      </c>
      <c r="Q253" s="4386">
        <f t="shared" si="147"/>
        <v>0</v>
      </c>
      <c r="R253" s="4387">
        <f t="shared" si="147"/>
        <v>0</v>
      </c>
      <c r="S253" s="4384">
        <f t="shared" si="147"/>
        <v>0</v>
      </c>
      <c r="T253" s="4386">
        <f t="shared" si="147"/>
        <v>0</v>
      </c>
      <c r="U253" s="4385">
        <f t="shared" si="147"/>
        <v>0</v>
      </c>
      <c r="V253" s="4384">
        <f t="shared" si="147"/>
        <v>0</v>
      </c>
      <c r="W253" s="4388">
        <f t="shared" si="147"/>
        <v>0</v>
      </c>
      <c r="X253" s="2200">
        <f t="shared" si="142"/>
        <v>0</v>
      </c>
      <c r="Y253" s="1652"/>
      <c r="AB253" s="15"/>
      <c r="AC253" s="15"/>
    </row>
    <row r="254" spans="1:29" s="1579" customFormat="1" ht="17.25" hidden="1" customHeight="1">
      <c r="A254" s="5135"/>
      <c r="B254" s="5138"/>
      <c r="C254" s="11"/>
      <c r="D254" s="11"/>
      <c r="E254" s="4875"/>
      <c r="F254" s="3961"/>
      <c r="G254" s="1556"/>
      <c r="H254" s="3410"/>
      <c r="I254" s="3410"/>
      <c r="J254" s="3410"/>
      <c r="K254" s="3410"/>
      <c r="L254" s="4398"/>
      <c r="M254" s="4399">
        <f t="shared" ref="M254:W254" si="148">L168</f>
        <v>0</v>
      </c>
      <c r="N254" s="4400">
        <f t="shared" si="148"/>
        <v>0</v>
      </c>
      <c r="O254" s="4398">
        <f t="shared" si="148"/>
        <v>0</v>
      </c>
      <c r="P254" s="4399">
        <f t="shared" si="148"/>
        <v>0</v>
      </c>
      <c r="Q254" s="4400">
        <f t="shared" si="148"/>
        <v>0</v>
      </c>
      <c r="R254" s="4411">
        <f t="shared" si="148"/>
        <v>0</v>
      </c>
      <c r="S254" s="4399">
        <f t="shared" si="148"/>
        <v>0</v>
      </c>
      <c r="T254" s="4400">
        <f t="shared" si="148"/>
        <v>0</v>
      </c>
      <c r="U254" s="4398">
        <f t="shared" si="148"/>
        <v>0</v>
      </c>
      <c r="V254" s="4399">
        <f t="shared" si="148"/>
        <v>0</v>
      </c>
      <c r="W254" s="4401">
        <f t="shared" si="148"/>
        <v>0</v>
      </c>
      <c r="X254" s="2214">
        <f t="shared" si="142"/>
        <v>0</v>
      </c>
      <c r="Y254" s="1652"/>
      <c r="AB254" s="15"/>
      <c r="AC254" s="15"/>
    </row>
    <row r="255" spans="1:29" s="1544" customFormat="1" ht="17.25" customHeight="1">
      <c r="A255" s="5136"/>
      <c r="B255" s="5139"/>
      <c r="C255" s="5164" t="s">
        <v>44</v>
      </c>
      <c r="D255" s="5164"/>
      <c r="E255" s="5164"/>
      <c r="F255" s="5165"/>
      <c r="G255" s="1637"/>
      <c r="H255" s="2520"/>
      <c r="I255" s="2520"/>
      <c r="J255" s="2520"/>
      <c r="K255" s="2520"/>
      <c r="L255" s="1829">
        <f t="shared" ref="L255:X255" si="149">SUM(L191:L254)</f>
        <v>1891995.6763955662</v>
      </c>
      <c r="M255" s="4158">
        <f t="shared" si="149"/>
        <v>1720536.7912957382</v>
      </c>
      <c r="N255" s="1754">
        <f t="shared" si="149"/>
        <v>2047703.4933541564</v>
      </c>
      <c r="O255" s="1829">
        <f t="shared" si="149"/>
        <v>2218128.6241706205</v>
      </c>
      <c r="P255" s="4158">
        <f t="shared" si="149"/>
        <v>1856757.7187399967</v>
      </c>
      <c r="Q255" s="1754">
        <f t="shared" si="149"/>
        <v>2014461.8877692993</v>
      </c>
      <c r="R255" s="1830">
        <f t="shared" si="149"/>
        <v>1873418.6671153761</v>
      </c>
      <c r="S255" s="1753">
        <f t="shared" si="149"/>
        <v>1883007.9363244458</v>
      </c>
      <c r="T255" s="1754">
        <f t="shared" si="149"/>
        <v>1869511.3637819751</v>
      </c>
      <c r="U255" s="1829">
        <f t="shared" si="149"/>
        <v>1854786.7060706171</v>
      </c>
      <c r="V255" s="1753">
        <f t="shared" si="149"/>
        <v>1835592.381270617</v>
      </c>
      <c r="W255" s="2245">
        <f t="shared" si="149"/>
        <v>1829559.9825466371</v>
      </c>
      <c r="X255" s="2204">
        <f t="shared" si="149"/>
        <v>22895461.228835039</v>
      </c>
      <c r="Y255" s="1652"/>
    </row>
    <row r="256" spans="1:29" s="1544" customFormat="1" ht="18" customHeight="1">
      <c r="A256" s="5162">
        <v>5</v>
      </c>
      <c r="B256" s="5166" t="str">
        <f>B170</f>
        <v xml:space="preserve">    Others (Mold)</v>
      </c>
      <c r="C256" s="5168" t="s">
        <v>91</v>
      </c>
      <c r="D256" s="5169"/>
      <c r="E256" s="5169"/>
      <c r="F256" s="5170"/>
      <c r="G256" s="1637"/>
      <c r="H256" s="2520"/>
      <c r="I256" s="2520"/>
      <c r="J256" s="2520"/>
      <c r="K256" s="2520"/>
      <c r="L256" s="4283">
        <v>40000</v>
      </c>
      <c r="M256" s="3731">
        <f t="shared" ref="M256:W256" si="150">+L170</f>
        <v>40900</v>
      </c>
      <c r="N256" s="4284">
        <f t="shared" si="150"/>
        <v>0</v>
      </c>
      <c r="O256" s="4283">
        <f t="shared" si="150"/>
        <v>20000</v>
      </c>
      <c r="P256" s="3731">
        <f t="shared" si="150"/>
        <v>45359.999999999993</v>
      </c>
      <c r="Q256" s="4284">
        <f t="shared" si="150"/>
        <v>30000</v>
      </c>
      <c r="R256" s="4285">
        <f t="shared" si="150"/>
        <v>45000</v>
      </c>
      <c r="S256" s="1614">
        <f t="shared" si="150"/>
        <v>50000</v>
      </c>
      <c r="T256" s="4286">
        <f t="shared" si="150"/>
        <v>45000</v>
      </c>
      <c r="U256" s="4283">
        <f t="shared" si="150"/>
        <v>0</v>
      </c>
      <c r="V256" s="1614">
        <f t="shared" si="150"/>
        <v>50000</v>
      </c>
      <c r="W256" s="4286">
        <f t="shared" si="150"/>
        <v>122800</v>
      </c>
      <c r="X256" s="2223">
        <f>SUM(L256:W256)</f>
        <v>489060</v>
      </c>
      <c r="Y256" s="1652"/>
    </row>
    <row r="257" spans="1:29" s="1544" customFormat="1" ht="17.25" customHeight="1">
      <c r="A257" s="5136"/>
      <c r="B257" s="5167"/>
      <c r="C257" s="5171" t="s">
        <v>1001</v>
      </c>
      <c r="D257" s="5172"/>
      <c r="E257" s="5172"/>
      <c r="F257" s="5173"/>
      <c r="G257" s="1637"/>
      <c r="H257" s="3410"/>
      <c r="I257" s="3410"/>
      <c r="J257" s="3410"/>
      <c r="K257" s="3410"/>
      <c r="L257" s="4283">
        <v>120000</v>
      </c>
      <c r="M257" s="3731">
        <f t="shared" ref="M257:W257" si="151">+L171</f>
        <v>130000</v>
      </c>
      <c r="N257" s="4284">
        <f t="shared" si="151"/>
        <v>110000</v>
      </c>
      <c r="O257" s="4283">
        <f t="shared" si="151"/>
        <v>130000</v>
      </c>
      <c r="P257" s="3731">
        <f t="shared" si="151"/>
        <v>130000</v>
      </c>
      <c r="Q257" s="4284">
        <f t="shared" si="151"/>
        <v>130000</v>
      </c>
      <c r="R257" s="3732">
        <f t="shared" si="151"/>
        <v>130000</v>
      </c>
      <c r="S257" s="1614">
        <f t="shared" si="151"/>
        <v>130000</v>
      </c>
      <c r="T257" s="4284">
        <f t="shared" si="151"/>
        <v>130000</v>
      </c>
      <c r="U257" s="3732">
        <f t="shared" si="151"/>
        <v>130000</v>
      </c>
      <c r="V257" s="1614">
        <f t="shared" si="151"/>
        <v>130000</v>
      </c>
      <c r="W257" s="4284">
        <f t="shared" si="151"/>
        <v>130000</v>
      </c>
      <c r="X257" s="2223">
        <f>SUM(L257:W257)</f>
        <v>1530000</v>
      </c>
      <c r="Y257" s="1652"/>
    </row>
    <row r="258" spans="1:29" s="1544" customFormat="1">
      <c r="A258" s="1679">
        <v>6</v>
      </c>
      <c r="B258" s="5145" t="s">
        <v>1204</v>
      </c>
      <c r="C258" s="5146"/>
      <c r="D258" s="5146"/>
      <c r="E258" s="5146"/>
      <c r="F258" s="5147"/>
      <c r="G258" s="1637"/>
      <c r="H258" s="3410"/>
      <c r="I258" s="3410"/>
      <c r="J258" s="3410"/>
      <c r="K258" s="3410"/>
      <c r="L258" s="4283"/>
      <c r="M258" s="3731"/>
      <c r="N258" s="4284"/>
      <c r="O258" s="4283"/>
      <c r="P258" s="3731"/>
      <c r="Q258" s="4284"/>
      <c r="R258" s="3732"/>
      <c r="S258" s="1614"/>
      <c r="T258" s="4284"/>
      <c r="U258" s="3732"/>
      <c r="V258" s="1614"/>
      <c r="W258" s="4284"/>
      <c r="X258" s="2223">
        <f>SUM(L258:W258)</f>
        <v>0</v>
      </c>
      <c r="Y258" s="1652"/>
    </row>
    <row r="259" spans="1:29" s="1544" customFormat="1" ht="17.25" customHeight="1" thickBot="1">
      <c r="A259" s="82">
        <v>7</v>
      </c>
      <c r="B259" s="1680" t="s">
        <v>471</v>
      </c>
      <c r="C259" s="1681"/>
      <c r="D259" s="1681"/>
      <c r="E259" s="4876"/>
      <c r="F259" s="4282" t="s">
        <v>1380</v>
      </c>
      <c r="G259" s="1561"/>
      <c r="H259" s="3411"/>
      <c r="I259" s="3411"/>
      <c r="J259" s="3411"/>
      <c r="K259" s="3411"/>
      <c r="L259" s="5084">
        <v>250000</v>
      </c>
      <c r="M259" s="4020">
        <v>450000</v>
      </c>
      <c r="N259" s="5085">
        <v>450000</v>
      </c>
      <c r="O259" s="5086">
        <v>350000</v>
      </c>
      <c r="P259" s="2295">
        <v>350000</v>
      </c>
      <c r="Q259" s="5087">
        <v>350000</v>
      </c>
      <c r="R259" s="5088">
        <v>243045.79571428604</v>
      </c>
      <c r="S259" s="4020">
        <v>99128.857142857145</v>
      </c>
      <c r="T259" s="5085">
        <v>120467.35714285714</v>
      </c>
      <c r="U259" s="5088">
        <v>82860.357142857145</v>
      </c>
      <c r="V259" s="4020">
        <v>86975.357142857145</v>
      </c>
      <c r="W259" s="4020">
        <v>110740.35714285714</v>
      </c>
      <c r="X259" s="2200">
        <f>SUM(L259:W259)</f>
        <v>2943218.0814285725</v>
      </c>
      <c r="Y259" s="1652"/>
      <c r="AB259" s="1681"/>
      <c r="AC259" s="1681"/>
    </row>
    <row r="260" spans="1:29" s="1544" customFormat="1" ht="17.25" customHeight="1" thickBot="1">
      <c r="A260" s="5148" t="s">
        <v>138</v>
      </c>
      <c r="B260" s="5149"/>
      <c r="C260" s="5149"/>
      <c r="D260" s="5149"/>
      <c r="E260" s="5149"/>
      <c r="F260" s="5150"/>
      <c r="G260" s="4610"/>
      <c r="H260" s="3422"/>
      <c r="I260" s="3422"/>
      <c r="J260" s="3422"/>
      <c r="K260" s="3422"/>
      <c r="L260" s="1850">
        <f t="shared" ref="L260:X260" si="152">+L190+L255+L256+L257+L258+L259-SUM(L184:L189)</f>
        <v>3707984.8825734188</v>
      </c>
      <c r="M260" s="1799">
        <f t="shared" si="152"/>
        <v>3545396.5295196869</v>
      </c>
      <c r="N260" s="1800">
        <f t="shared" si="152"/>
        <v>3887800.4741625758</v>
      </c>
      <c r="O260" s="1850">
        <f t="shared" si="152"/>
        <v>4369151.9526981013</v>
      </c>
      <c r="P260" s="1799">
        <f t="shared" si="152"/>
        <v>4050466.8278202461</v>
      </c>
      <c r="Q260" s="1800">
        <f t="shared" si="152"/>
        <v>4186880.9639544534</v>
      </c>
      <c r="R260" s="1801">
        <f t="shared" si="152"/>
        <v>4096419.9903265173</v>
      </c>
      <c r="S260" s="1799">
        <f t="shared" si="152"/>
        <v>3850316.5677114138</v>
      </c>
      <c r="T260" s="1800">
        <f t="shared" si="152"/>
        <v>3760589.812948944</v>
      </c>
      <c r="U260" s="1850">
        <f t="shared" si="152"/>
        <v>3711109.4870793344</v>
      </c>
      <c r="V260" s="1799">
        <f t="shared" si="152"/>
        <v>3707508.2353597409</v>
      </c>
      <c r="W260" s="1800">
        <f t="shared" si="152"/>
        <v>3523134.342577483</v>
      </c>
      <c r="X260" s="3576">
        <f t="shared" si="152"/>
        <v>46396760.066731907</v>
      </c>
      <c r="Y260" s="2386"/>
    </row>
    <row r="261" spans="1:29" s="1544" customFormat="1" ht="19.5" customHeight="1" outlineLevel="1" thickBot="1">
      <c r="A261" s="1685"/>
      <c r="B261" s="1686" t="s">
        <v>1580</v>
      </c>
      <c r="C261" s="1686"/>
      <c r="D261" s="1686"/>
      <c r="E261" s="2573"/>
      <c r="F261" s="1687"/>
      <c r="G261" s="3527"/>
      <c r="H261" s="3419"/>
      <c r="I261" s="3419"/>
      <c r="J261" s="3419"/>
      <c r="K261" s="3419"/>
      <c r="L261" s="3578"/>
      <c r="M261" s="16"/>
      <c r="N261" s="3579">
        <v>350000</v>
      </c>
      <c r="O261" s="3578"/>
      <c r="P261" s="16"/>
      <c r="Q261" s="3579">
        <v>300000</v>
      </c>
      <c r="R261" s="2510"/>
      <c r="S261" s="16"/>
      <c r="T261" s="16">
        <v>300000</v>
      </c>
      <c r="U261" s="3578"/>
      <c r="V261" s="16"/>
      <c r="W261" s="2289">
        <v>350000</v>
      </c>
      <c r="X261" s="2606">
        <f>SUM(L261:W261)</f>
        <v>1300000</v>
      </c>
      <c r="Y261" s="1652"/>
      <c r="AB261" s="1686"/>
      <c r="AC261" s="1686"/>
    </row>
    <row r="262" spans="1:29" ht="18" customHeight="1" thickBot="1">
      <c r="A262" s="5142"/>
      <c r="B262" s="5143"/>
      <c r="C262" s="5143"/>
      <c r="D262" s="5143"/>
      <c r="E262" s="5143"/>
      <c r="F262" s="5144"/>
      <c r="G262" s="4611" t="s">
        <v>857</v>
      </c>
      <c r="H262" s="3424"/>
      <c r="I262" s="3424"/>
      <c r="J262" s="3424"/>
      <c r="K262" s="3424"/>
      <c r="L262" s="2584">
        <f t="shared" ref="L262:W262" si="153">L169+L98+L99+L103</f>
        <v>2302166.0527420491</v>
      </c>
      <c r="M262" s="2585">
        <f t="shared" si="153"/>
        <v>2048809.7758828537</v>
      </c>
      <c r="N262" s="2586">
        <f t="shared" si="153"/>
        <v>2209745.7449121568</v>
      </c>
      <c r="O262" s="2584">
        <f t="shared" si="153"/>
        <v>1998307.5242582331</v>
      </c>
      <c r="P262" s="2585">
        <f t="shared" si="153"/>
        <v>1979826.7934673028</v>
      </c>
      <c r="Q262" s="2586">
        <f t="shared" si="153"/>
        <v>1960410.2209248322</v>
      </c>
      <c r="R262" s="4157">
        <f t="shared" si="153"/>
        <v>1962909.0632134741</v>
      </c>
      <c r="S262" s="2585">
        <f t="shared" si="153"/>
        <v>1910222.7384134741</v>
      </c>
      <c r="T262" s="2585">
        <f t="shared" si="153"/>
        <v>1904190.3396894941</v>
      </c>
      <c r="U262" s="2584">
        <f t="shared" si="153"/>
        <v>1883619.1950886576</v>
      </c>
      <c r="V262" s="2585">
        <f t="shared" si="153"/>
        <v>1822983.2175383682</v>
      </c>
      <c r="W262" s="3580">
        <f t="shared" si="153"/>
        <v>1820632.1495956813</v>
      </c>
      <c r="X262" s="3581"/>
      <c r="AB262" s="9"/>
      <c r="AC262" s="9"/>
    </row>
    <row r="263" spans="1:29" ht="16.5" customHeight="1">
      <c r="L263" s="1542"/>
      <c r="M263" s="1542"/>
    </row>
    <row r="264" spans="1:29" hidden="1">
      <c r="A264" s="1539" t="s">
        <v>1021</v>
      </c>
      <c r="N264" s="1542"/>
    </row>
    <row r="265" spans="1:29" ht="13.5" hidden="1" customHeight="1">
      <c r="A265" s="1539"/>
    </row>
    <row r="266" spans="1:29" ht="14.25" hidden="1" thickBot="1">
      <c r="A266" s="1539" t="s">
        <v>1022</v>
      </c>
    </row>
    <row r="267" spans="1:29" ht="36" hidden="1" customHeight="1" thickBot="1">
      <c r="A267" s="1548" t="s">
        <v>1027</v>
      </c>
      <c r="B267" s="5184" t="s">
        <v>107</v>
      </c>
      <c r="C267" s="5184"/>
      <c r="D267" s="5184" t="s">
        <v>106</v>
      </c>
      <c r="E267" s="5184"/>
      <c r="F267" s="5184"/>
      <c r="G267" s="1698" t="s">
        <v>1025</v>
      </c>
      <c r="H267" s="1698"/>
      <c r="I267" s="1698"/>
      <c r="J267" s="1698"/>
      <c r="K267" s="1698"/>
      <c r="L267" s="1877" t="str">
        <f t="shared" ref="L267:X267" si="154">L175</f>
        <v>Jan.26</v>
      </c>
      <c r="M267" s="1877" t="str">
        <f t="shared" si="154"/>
        <v>Feb.26</v>
      </c>
      <c r="N267" s="1877" t="str">
        <f t="shared" si="154"/>
        <v>Mar.26</v>
      </c>
      <c r="O267" s="1877" t="str">
        <f t="shared" si="154"/>
        <v>Apr.26</v>
      </c>
      <c r="P267" s="1877" t="str">
        <f t="shared" si="154"/>
        <v>May.26</v>
      </c>
      <c r="Q267" s="1877" t="str">
        <f t="shared" si="154"/>
        <v>Jun.26</v>
      </c>
      <c r="R267" s="1877" t="str">
        <f t="shared" si="154"/>
        <v>Jul.26</v>
      </c>
      <c r="S267" s="1877" t="str">
        <f t="shared" si="154"/>
        <v>Aug.26</v>
      </c>
      <c r="T267" s="1877" t="str">
        <f t="shared" si="154"/>
        <v>Sep.26</v>
      </c>
      <c r="U267" s="1877" t="str">
        <f t="shared" si="154"/>
        <v>Oct.26</v>
      </c>
      <c r="V267" s="1877" t="str">
        <f t="shared" si="154"/>
        <v>Nov.26</v>
      </c>
      <c r="W267" s="1877" t="str">
        <f t="shared" si="154"/>
        <v>Dec.26</v>
      </c>
      <c r="X267" s="3582" t="str">
        <f t="shared" si="154"/>
        <v>2026
Total</v>
      </c>
      <c r="Y267" s="4739"/>
      <c r="AB267" s="9"/>
      <c r="AC267" s="9"/>
    </row>
    <row r="268" spans="1:29" ht="18" hidden="1" customHeight="1">
      <c r="A268" s="5189">
        <v>1</v>
      </c>
      <c r="B268" s="5187" t="s">
        <v>861</v>
      </c>
      <c r="C268" s="5187"/>
      <c r="D268" s="5187" t="s">
        <v>19</v>
      </c>
      <c r="E268" s="5187"/>
      <c r="F268" s="5187"/>
      <c r="G268" s="1700">
        <f>X268/$X$278</f>
        <v>0.67703730399487327</v>
      </c>
      <c r="H268" s="1700"/>
      <c r="I268" s="1700"/>
      <c r="J268" s="1700"/>
      <c r="K268" s="1700"/>
      <c r="L268" s="3583">
        <f t="shared" ref="L268:W269" si="155">SUMIF($AB$5:$AB$83,$D268,L$5:L$83)</f>
        <v>1530000</v>
      </c>
      <c r="M268" s="3583">
        <f t="shared" si="155"/>
        <v>1584690</v>
      </c>
      <c r="N268" s="3583">
        <f t="shared" si="155"/>
        <v>2132000</v>
      </c>
      <c r="O268" s="3583">
        <f t="shared" si="155"/>
        <v>2138909</v>
      </c>
      <c r="P268" s="3583">
        <f t="shared" si="155"/>
        <v>2148000</v>
      </c>
      <c r="Q268" s="3583">
        <f t="shared" si="155"/>
        <v>2318000</v>
      </c>
      <c r="R268" s="3583">
        <f t="shared" si="155"/>
        <v>2130000</v>
      </c>
      <c r="S268" s="3583">
        <f t="shared" si="155"/>
        <v>1980000</v>
      </c>
      <c r="T268" s="3583">
        <f t="shared" si="155"/>
        <v>2080000</v>
      </c>
      <c r="U268" s="3583">
        <f t="shared" si="155"/>
        <v>2030000</v>
      </c>
      <c r="V268" s="3583">
        <f t="shared" si="155"/>
        <v>1650000</v>
      </c>
      <c r="W268" s="3583">
        <f t="shared" si="155"/>
        <v>1458000</v>
      </c>
      <c r="X268" s="3579">
        <f>SUM(L268:W268)</f>
        <v>23179599</v>
      </c>
      <c r="Y268" s="5"/>
      <c r="AB268" s="9"/>
      <c r="AC268" s="9"/>
    </row>
    <row r="269" spans="1:29" ht="18" hidden="1" customHeight="1">
      <c r="A269" s="5190"/>
      <c r="B269" s="5186"/>
      <c r="C269" s="5186"/>
      <c r="D269" s="5188" t="s">
        <v>24</v>
      </c>
      <c r="E269" s="5188"/>
      <c r="F269" s="5188"/>
      <c r="G269" s="1703">
        <f>X269/$X$278</f>
        <v>1.3628526369824454E-2</v>
      </c>
      <c r="H269" s="1703"/>
      <c r="I269" s="1703"/>
      <c r="J269" s="1703"/>
      <c r="K269" s="1703"/>
      <c r="L269" s="2472">
        <f t="shared" si="155"/>
        <v>37833.20463320463</v>
      </c>
      <c r="M269" s="2472">
        <f t="shared" si="155"/>
        <v>37466.409266409268</v>
      </c>
      <c r="N269" s="2472">
        <f t="shared" si="155"/>
        <v>40466.409266409268</v>
      </c>
      <c r="O269" s="2472">
        <f t="shared" si="155"/>
        <v>58966.409266409268</v>
      </c>
      <c r="P269" s="2472">
        <f t="shared" si="155"/>
        <v>44966.409266409268</v>
      </c>
      <c r="Q269" s="2472">
        <f t="shared" si="155"/>
        <v>41266.409266409268</v>
      </c>
      <c r="R269" s="2472">
        <f t="shared" si="155"/>
        <v>41316.409266409268</v>
      </c>
      <c r="S269" s="2472">
        <f t="shared" si="155"/>
        <v>30816.409266409268</v>
      </c>
      <c r="T269" s="2472">
        <f t="shared" si="155"/>
        <v>31316.409266409268</v>
      </c>
      <c r="U269" s="2472">
        <f t="shared" si="155"/>
        <v>44316.409266409268</v>
      </c>
      <c r="V269" s="2472">
        <f t="shared" si="155"/>
        <v>30183.204633204634</v>
      </c>
      <c r="W269" s="2472">
        <f t="shared" si="155"/>
        <v>27683.204633204634</v>
      </c>
      <c r="X269" s="4280">
        <f>SUM(L269:W269)</f>
        <v>466597.29729729734</v>
      </c>
      <c r="Y269" s="5"/>
      <c r="AB269" s="9"/>
      <c r="AC269" s="9"/>
    </row>
    <row r="270" spans="1:29" ht="18" hidden="1" customHeight="1" thickBot="1">
      <c r="A270" s="5191"/>
      <c r="B270" s="5185"/>
      <c r="C270" s="5185"/>
      <c r="D270" s="5185" t="s">
        <v>123</v>
      </c>
      <c r="E270" s="5185"/>
      <c r="F270" s="5185"/>
      <c r="G270" s="1704"/>
      <c r="H270" s="1704"/>
      <c r="I270" s="1704"/>
      <c r="J270" s="1704"/>
      <c r="K270" s="1704"/>
      <c r="L270" s="2342">
        <f>SUM(L268:L269)</f>
        <v>1567833.2046332047</v>
      </c>
      <c r="M270" s="2342">
        <f t="shared" ref="M270" si="156">SUM(M268:M269)</f>
        <v>1622156.4092664092</v>
      </c>
      <c r="N270" s="2342">
        <f t="shared" ref="N270" si="157">SUM(N268:N269)</f>
        <v>2172466.4092664095</v>
      </c>
      <c r="O270" s="2342">
        <f t="shared" ref="O270" si="158">SUM(O268:O269)</f>
        <v>2197875.4092664095</v>
      </c>
      <c r="P270" s="2342">
        <f t="shared" ref="P270" si="159">SUM(P268:P269)</f>
        <v>2192966.4092664095</v>
      </c>
      <c r="Q270" s="2342">
        <f t="shared" ref="Q270" si="160">SUM(Q268:Q269)</f>
        <v>2359266.4092664095</v>
      </c>
      <c r="R270" s="2342">
        <f t="shared" ref="R270" si="161">SUM(R268:R269)</f>
        <v>2171316.4092664095</v>
      </c>
      <c r="S270" s="2342">
        <f t="shared" ref="S270" si="162">SUM(S268:S269)</f>
        <v>2010816.4092664092</v>
      </c>
      <c r="T270" s="2342">
        <f t="shared" ref="T270" si="163">SUM(T268:T269)</f>
        <v>2111316.4092664095</v>
      </c>
      <c r="U270" s="2342">
        <f t="shared" ref="U270" si="164">SUM(U268:U269)</f>
        <v>2074316.4092664092</v>
      </c>
      <c r="V270" s="2342">
        <f t="shared" ref="V270" si="165">SUM(V268:V269)</f>
        <v>1680183.2046332047</v>
      </c>
      <c r="W270" s="2342">
        <f t="shared" ref="W270" si="166">SUM(W268:W269)</f>
        <v>1485683.2046332047</v>
      </c>
      <c r="X270" s="2343">
        <f>SUM(X268:X269)</f>
        <v>23646196.297297299</v>
      </c>
      <c r="Y270" s="1652"/>
      <c r="AB270" s="9"/>
      <c r="AC270" s="9"/>
    </row>
    <row r="271" spans="1:29" ht="18" hidden="1" customHeight="1">
      <c r="A271" s="5189">
        <v>2</v>
      </c>
      <c r="B271" s="5187" t="s">
        <v>23</v>
      </c>
      <c r="C271" s="5187"/>
      <c r="D271" s="5187" t="s">
        <v>20</v>
      </c>
      <c r="E271" s="5187"/>
      <c r="F271" s="5187"/>
      <c r="G271" s="1700">
        <f t="shared" ref="G271:G277" si="167">X271/$X$278</f>
        <v>1.5090674640416579E-2</v>
      </c>
      <c r="H271" s="1700"/>
      <c r="I271" s="1700"/>
      <c r="J271" s="1700"/>
      <c r="K271" s="1700"/>
      <c r="L271" s="3583">
        <f t="shared" ref="L271:W275" si="168">SUMIF($AB$5:$AB$83,$D271,L$5:L$83)</f>
        <v>42644.343617920385</v>
      </c>
      <c r="M271" s="3583">
        <f t="shared" si="168"/>
        <v>53771.335161473238</v>
      </c>
      <c r="N271" s="3583">
        <f t="shared" si="168"/>
        <v>39744.165877475076</v>
      </c>
      <c r="O271" s="3583">
        <f t="shared" si="168"/>
        <v>46926.721935602989</v>
      </c>
      <c r="P271" s="3583">
        <f t="shared" si="168"/>
        <v>48709.037573572416</v>
      </c>
      <c r="Q271" s="3583">
        <f t="shared" si="168"/>
        <v>40694.426973837886</v>
      </c>
      <c r="R271" s="3583">
        <f t="shared" si="168"/>
        <v>40694.426973837886</v>
      </c>
      <c r="S271" s="3583">
        <f t="shared" si="168"/>
        <v>40694.426973837886</v>
      </c>
      <c r="T271" s="3583">
        <f t="shared" si="168"/>
        <v>40694.426973837886</v>
      </c>
      <c r="U271" s="3583">
        <f t="shared" si="168"/>
        <v>40694.426973837886</v>
      </c>
      <c r="V271" s="3583">
        <f t="shared" si="168"/>
        <v>40694.426973837886</v>
      </c>
      <c r="W271" s="3583">
        <f t="shared" si="168"/>
        <v>40694.426973837886</v>
      </c>
      <c r="X271" s="3579">
        <f>SUM(L271:W271)</f>
        <v>516656.59298290935</v>
      </c>
      <c r="Y271" s="5"/>
      <c r="AB271" s="9"/>
      <c r="AC271" s="9"/>
    </row>
    <row r="272" spans="1:29" ht="18" hidden="1" customHeight="1">
      <c r="A272" s="5190"/>
      <c r="B272" s="5186"/>
      <c r="C272" s="5186"/>
      <c r="D272" s="5186" t="s">
        <v>403</v>
      </c>
      <c r="E272" s="5186"/>
      <c r="F272" s="5186"/>
      <c r="G272" s="1705">
        <f t="shared" si="167"/>
        <v>6.8011948344603446E-2</v>
      </c>
      <c r="H272" s="1705"/>
      <c r="I272" s="1705"/>
      <c r="J272" s="1705"/>
      <c r="K272" s="1705"/>
      <c r="L272" s="2415">
        <f t="shared" si="168"/>
        <v>224689.87701433216</v>
      </c>
      <c r="M272" s="2415">
        <f t="shared" si="168"/>
        <v>182006.58467622145</v>
      </c>
      <c r="N272" s="2415">
        <f t="shared" si="168"/>
        <v>209933.73699456023</v>
      </c>
      <c r="O272" s="2415">
        <f t="shared" si="168"/>
        <v>182246.15939316733</v>
      </c>
      <c r="P272" s="2415">
        <f t="shared" si="168"/>
        <v>196412.82605983398</v>
      </c>
      <c r="Q272" s="2415">
        <f t="shared" si="168"/>
        <v>196412.82605983398</v>
      </c>
      <c r="R272" s="2415">
        <f t="shared" si="168"/>
        <v>191412.82605983398</v>
      </c>
      <c r="S272" s="2415">
        <f t="shared" si="168"/>
        <v>191412.82605983398</v>
      </c>
      <c r="T272" s="2415">
        <f t="shared" si="168"/>
        <v>191412.82605983398</v>
      </c>
      <c r="U272" s="2415">
        <f t="shared" si="168"/>
        <v>186412.82605983398</v>
      </c>
      <c r="V272" s="2415">
        <f t="shared" si="168"/>
        <v>189412.82605983401</v>
      </c>
      <c r="W272" s="2415">
        <f t="shared" si="168"/>
        <v>186746.15939316733</v>
      </c>
      <c r="X272" s="2416">
        <f>SUM(L272:W272)</f>
        <v>2328512.2998902868</v>
      </c>
      <c r="Y272" s="5"/>
      <c r="AB272" s="9"/>
      <c r="AC272" s="9"/>
    </row>
    <row r="273" spans="1:29" ht="18" hidden="1" customHeight="1">
      <c r="A273" s="5190"/>
      <c r="B273" s="5186"/>
      <c r="C273" s="5186"/>
      <c r="D273" s="5186" t="s">
        <v>402</v>
      </c>
      <c r="E273" s="5186"/>
      <c r="F273" s="5186"/>
      <c r="G273" s="1705">
        <f t="shared" si="167"/>
        <v>0</v>
      </c>
      <c r="H273" s="1705"/>
      <c r="I273" s="1705"/>
      <c r="J273" s="1705"/>
      <c r="K273" s="1705"/>
      <c r="L273" s="2415">
        <f t="shared" si="168"/>
        <v>0</v>
      </c>
      <c r="M273" s="2415">
        <f t="shared" si="168"/>
        <v>0</v>
      </c>
      <c r="N273" s="2415">
        <f t="shared" si="168"/>
        <v>0</v>
      </c>
      <c r="O273" s="2415">
        <f t="shared" si="168"/>
        <v>0</v>
      </c>
      <c r="P273" s="2415">
        <f t="shared" si="168"/>
        <v>0</v>
      </c>
      <c r="Q273" s="2415">
        <f t="shared" si="168"/>
        <v>0</v>
      </c>
      <c r="R273" s="2415">
        <f t="shared" si="168"/>
        <v>0</v>
      </c>
      <c r="S273" s="2415">
        <f t="shared" si="168"/>
        <v>0</v>
      </c>
      <c r="T273" s="2415">
        <f t="shared" si="168"/>
        <v>0</v>
      </c>
      <c r="U273" s="2415">
        <f t="shared" si="168"/>
        <v>0</v>
      </c>
      <c r="V273" s="2415">
        <f t="shared" si="168"/>
        <v>0</v>
      </c>
      <c r="W273" s="2415">
        <f t="shared" si="168"/>
        <v>0</v>
      </c>
      <c r="X273" s="2416">
        <f>SUM(L273:W273)</f>
        <v>0</v>
      </c>
      <c r="Y273" s="5"/>
      <c r="AB273" s="9"/>
      <c r="AC273" s="9"/>
    </row>
    <row r="274" spans="1:29" ht="18" hidden="1" customHeight="1">
      <c r="A274" s="5190"/>
      <c r="B274" s="5186"/>
      <c r="C274" s="5186"/>
      <c r="D274" s="5186" t="s">
        <v>405</v>
      </c>
      <c r="E274" s="5186"/>
      <c r="F274" s="5186"/>
      <c r="G274" s="1705">
        <f t="shared" si="167"/>
        <v>0.22621460582070554</v>
      </c>
      <c r="H274" s="1705"/>
      <c r="I274" s="1705"/>
      <c r="J274" s="1705"/>
      <c r="K274" s="1705"/>
      <c r="L274" s="2415">
        <f t="shared" si="168"/>
        <v>594467.63632514933</v>
      </c>
      <c r="M274" s="2415">
        <f t="shared" si="168"/>
        <v>591375.29858788697</v>
      </c>
      <c r="N274" s="2415">
        <f t="shared" si="168"/>
        <v>664228.2231197278</v>
      </c>
      <c r="O274" s="2415">
        <f t="shared" si="168"/>
        <v>646324.7620164071</v>
      </c>
      <c r="P274" s="2415">
        <f t="shared" si="168"/>
        <v>662719.8699436367</v>
      </c>
      <c r="Q274" s="2415">
        <f t="shared" si="168"/>
        <v>684071.45429617399</v>
      </c>
      <c r="R274" s="2415">
        <f t="shared" si="168"/>
        <v>677696.15077743842</v>
      </c>
      <c r="S274" s="2415">
        <f t="shared" si="168"/>
        <v>676721.68730277545</v>
      </c>
      <c r="T274" s="2415">
        <f t="shared" si="168"/>
        <v>673839.76453992829</v>
      </c>
      <c r="U274" s="2415">
        <f t="shared" si="168"/>
        <v>645800.52647956752</v>
      </c>
      <c r="V274" s="2415">
        <f t="shared" si="168"/>
        <v>608343.46625781641</v>
      </c>
      <c r="W274" s="2415">
        <f t="shared" si="168"/>
        <v>619278.12695527042</v>
      </c>
      <c r="X274" s="2416">
        <f>SUM(L274:W274)</f>
        <v>7744866.9666017788</v>
      </c>
      <c r="Y274" s="5"/>
      <c r="AB274" s="9"/>
      <c r="AC274" s="9"/>
    </row>
    <row r="275" spans="1:29" ht="18" hidden="1" customHeight="1">
      <c r="A275" s="5190"/>
      <c r="B275" s="5186"/>
      <c r="C275" s="5186"/>
      <c r="D275" s="5188" t="s">
        <v>903</v>
      </c>
      <c r="E275" s="5188"/>
      <c r="F275" s="5188"/>
      <c r="G275" s="1703">
        <f t="shared" si="167"/>
        <v>0</v>
      </c>
      <c r="H275" s="1703"/>
      <c r="I275" s="1703"/>
      <c r="J275" s="1703"/>
      <c r="K275" s="1703"/>
      <c r="L275" s="2472">
        <f t="shared" si="168"/>
        <v>0</v>
      </c>
      <c r="M275" s="2472">
        <f t="shared" si="168"/>
        <v>0</v>
      </c>
      <c r="N275" s="2472">
        <f t="shared" si="168"/>
        <v>0</v>
      </c>
      <c r="O275" s="2472">
        <f t="shared" si="168"/>
        <v>0</v>
      </c>
      <c r="P275" s="2472">
        <f t="shared" si="168"/>
        <v>0</v>
      </c>
      <c r="Q275" s="2472">
        <f t="shared" si="168"/>
        <v>0</v>
      </c>
      <c r="R275" s="2472">
        <f t="shared" si="168"/>
        <v>0</v>
      </c>
      <c r="S275" s="2472">
        <f t="shared" si="168"/>
        <v>0</v>
      </c>
      <c r="T275" s="2472">
        <f t="shared" si="168"/>
        <v>0</v>
      </c>
      <c r="U275" s="2472">
        <f t="shared" si="168"/>
        <v>0</v>
      </c>
      <c r="V275" s="2472">
        <f t="shared" si="168"/>
        <v>0</v>
      </c>
      <c r="W275" s="2472">
        <f t="shared" si="168"/>
        <v>0</v>
      </c>
      <c r="X275" s="4280">
        <f>SUM(L275:W275)</f>
        <v>0</v>
      </c>
      <c r="Y275" s="5"/>
      <c r="AB275" s="9"/>
      <c r="AC275" s="9"/>
    </row>
    <row r="276" spans="1:29" ht="18" hidden="1" customHeight="1" thickBot="1">
      <c r="A276" s="5191"/>
      <c r="B276" s="5185"/>
      <c r="C276" s="5185"/>
      <c r="D276" s="5185" t="s">
        <v>123</v>
      </c>
      <c r="E276" s="5185"/>
      <c r="F276" s="5185"/>
      <c r="G276" s="1704"/>
      <c r="H276" s="1704"/>
      <c r="I276" s="1704"/>
      <c r="J276" s="1704"/>
      <c r="K276" s="1704"/>
      <c r="L276" s="2342">
        <f>SUM(L271:L275)</f>
        <v>861801.85695740185</v>
      </c>
      <c r="M276" s="2342">
        <f t="shared" ref="M276" si="169">SUM(M271:M275)</f>
        <v>827153.2184255817</v>
      </c>
      <c r="N276" s="2342">
        <f t="shared" ref="N276" si="170">SUM(N271:N275)</f>
        <v>913906.12599176308</v>
      </c>
      <c r="O276" s="2342">
        <f t="shared" ref="O276" si="171">SUM(O271:O275)</f>
        <v>875497.64334517741</v>
      </c>
      <c r="P276" s="2342">
        <f t="shared" ref="P276" si="172">SUM(P271:P275)</f>
        <v>907841.73357704305</v>
      </c>
      <c r="Q276" s="2342">
        <f t="shared" ref="Q276" si="173">SUM(Q271:Q275)</f>
        <v>921178.70732984587</v>
      </c>
      <c r="R276" s="2342">
        <f t="shared" ref="R276" si="174">SUM(R271:R275)</f>
        <v>909803.4038111103</v>
      </c>
      <c r="S276" s="2342">
        <f t="shared" ref="S276" si="175">SUM(S271:S275)</f>
        <v>908828.94033644733</v>
      </c>
      <c r="T276" s="2342">
        <f t="shared" ref="T276" si="176">SUM(T271:T275)</f>
        <v>905947.01757360017</v>
      </c>
      <c r="U276" s="2342">
        <f t="shared" ref="U276" si="177">SUM(U271:U275)</f>
        <v>872907.77951323939</v>
      </c>
      <c r="V276" s="2342">
        <f t="shared" ref="V276" si="178">SUM(V271:V275)</f>
        <v>838450.71929148829</v>
      </c>
      <c r="W276" s="2342">
        <f t="shared" ref="W276" si="179">SUM(W271:W275)</f>
        <v>846718.71332227567</v>
      </c>
      <c r="X276" s="2343">
        <f t="shared" ref="X276" si="180">SUM(X271:X275)</f>
        <v>10590035.859474976</v>
      </c>
      <c r="Y276" s="1652"/>
      <c r="AB276" s="9"/>
      <c r="AC276" s="9"/>
    </row>
    <row r="277" spans="1:29" ht="18" hidden="1" customHeight="1" thickBot="1">
      <c r="A277" s="1548">
        <v>3</v>
      </c>
      <c r="B277" s="5192" t="s">
        <v>1328</v>
      </c>
      <c r="C277" s="5192"/>
      <c r="D277" s="5192" t="s">
        <v>1327</v>
      </c>
      <c r="E277" s="5192"/>
      <c r="F277" s="5192"/>
      <c r="G277" s="1703">
        <f t="shared" si="167"/>
        <v>1.6940829576776824E-5</v>
      </c>
      <c r="H277" s="1706"/>
      <c r="I277" s="1706"/>
      <c r="J277" s="1706"/>
      <c r="K277" s="1706"/>
      <c r="L277" s="3584">
        <f t="shared" ref="L277:W277" si="181">SUMIF($AB$5:$AB$83,$D277,L$5:L$83)</f>
        <v>0</v>
      </c>
      <c r="M277" s="3584">
        <f t="shared" si="181"/>
        <v>270</v>
      </c>
      <c r="N277" s="3584">
        <f t="shared" si="181"/>
        <v>110</v>
      </c>
      <c r="O277" s="3584">
        <f t="shared" si="181"/>
        <v>0</v>
      </c>
      <c r="P277" s="3584">
        <f t="shared" si="181"/>
        <v>0</v>
      </c>
      <c r="Q277" s="3584">
        <f t="shared" si="181"/>
        <v>0</v>
      </c>
      <c r="R277" s="3584">
        <f t="shared" si="181"/>
        <v>200</v>
      </c>
      <c r="S277" s="3584">
        <f t="shared" si="181"/>
        <v>0</v>
      </c>
      <c r="T277" s="3584">
        <f t="shared" si="181"/>
        <v>0</v>
      </c>
      <c r="U277" s="3584">
        <f t="shared" si="181"/>
        <v>0</v>
      </c>
      <c r="V277" s="3584">
        <f t="shared" si="181"/>
        <v>0</v>
      </c>
      <c r="W277" s="3584">
        <f t="shared" si="181"/>
        <v>0</v>
      </c>
      <c r="X277" s="2586">
        <f>SUM(L277:W277)</f>
        <v>580</v>
      </c>
      <c r="Y277" s="5"/>
      <c r="AB277" s="9"/>
      <c r="AC277" s="9"/>
    </row>
    <row r="278" spans="1:29" ht="18" hidden="1" customHeight="1" thickBot="1">
      <c r="A278" s="76"/>
      <c r="B278" s="5185" t="s">
        <v>15</v>
      </c>
      <c r="C278" s="5185"/>
      <c r="D278" s="5185"/>
      <c r="E278" s="5185"/>
      <c r="F278" s="5185"/>
      <c r="G278" s="1704"/>
      <c r="H278" s="1704"/>
      <c r="I278" s="1704"/>
      <c r="J278" s="1704"/>
      <c r="K278" s="1704"/>
      <c r="L278" s="2342">
        <f>SUM(+L276,L277,L270)</f>
        <v>2429635.0615906063</v>
      </c>
      <c r="M278" s="2342">
        <f t="shared" ref="M278" si="182">SUM(+M276,M277,M270)</f>
        <v>2449579.6276919907</v>
      </c>
      <c r="N278" s="2342">
        <f t="shared" ref="N278" si="183">SUM(+N276,N277,N270)</f>
        <v>3086482.5352581725</v>
      </c>
      <c r="O278" s="2342">
        <f t="shared" ref="O278" si="184">SUM(+O276,O277,O270)</f>
        <v>3073373.0526115866</v>
      </c>
      <c r="P278" s="2342">
        <f t="shared" ref="P278" si="185">SUM(+P276,P277,P270)</f>
        <v>3100808.1428434523</v>
      </c>
      <c r="Q278" s="2342">
        <f t="shared" ref="Q278" si="186">SUM(+Q276,Q277,Q270)</f>
        <v>3280445.1165962555</v>
      </c>
      <c r="R278" s="2342">
        <f t="shared" ref="R278" si="187">SUM(+R276,R277,R270)</f>
        <v>3081319.8130775196</v>
      </c>
      <c r="S278" s="2342">
        <f t="shared" ref="S278" si="188">SUM(+S276,S277,S270)</f>
        <v>2919645.3496028567</v>
      </c>
      <c r="T278" s="2342">
        <f t="shared" ref="T278" si="189">SUM(+T276,T277,T270)</f>
        <v>3017263.4268400096</v>
      </c>
      <c r="U278" s="2342">
        <f t="shared" ref="U278" si="190">SUM(+U276,U277,U270)</f>
        <v>2947224.1887796484</v>
      </c>
      <c r="V278" s="2342">
        <f t="shared" ref="V278" si="191">SUM(+V276,V277,V270)</f>
        <v>2518633.9239246929</v>
      </c>
      <c r="W278" s="2342">
        <f t="shared" ref="W278" si="192">SUM(+W276,W277,W270)</f>
        <v>2332401.9179554805</v>
      </c>
      <c r="X278" s="2343">
        <f t="shared" ref="X278" si="193">SUM(+X276,X277,X270)</f>
        <v>34236812.156772271</v>
      </c>
      <c r="Y278" s="1652"/>
      <c r="AB278" s="9"/>
      <c r="AC278" s="9"/>
    </row>
    <row r="279" spans="1:29" hidden="1">
      <c r="A279" s="1539"/>
      <c r="X279" s="1542">
        <f>X278-X86</f>
        <v>-2987528.1259707883</v>
      </c>
      <c r="Y279" s="5"/>
    </row>
    <row r="280" spans="1:29" hidden="1">
      <c r="A280" s="1539"/>
      <c r="G280" s="1707" t="str">
        <f>B268</f>
        <v>Mobile</v>
      </c>
      <c r="H280" s="1707"/>
      <c r="I280" s="1707"/>
      <c r="J280" s="1707"/>
      <c r="K280" s="1707"/>
      <c r="L280" s="3585">
        <f t="shared" ref="L280:X280" si="194">L270/L278</f>
        <v>0.64529576042864367</v>
      </c>
      <c r="M280" s="3585">
        <f t="shared" si="194"/>
        <v>0.66221828060956534</v>
      </c>
      <c r="N280" s="3585">
        <f t="shared" si="194"/>
        <v>0.70386479899024956</v>
      </c>
      <c r="O280" s="3585">
        <f t="shared" si="194"/>
        <v>0.71513460020701802</v>
      </c>
      <c r="P280" s="3585">
        <f t="shared" si="194"/>
        <v>0.70722415197718469</v>
      </c>
      <c r="Q280" s="3585">
        <f t="shared" si="194"/>
        <v>0.71919094068379097</v>
      </c>
      <c r="R280" s="3585">
        <f t="shared" si="194"/>
        <v>0.70467090110252817</v>
      </c>
      <c r="S280" s="3585">
        <f t="shared" si="194"/>
        <v>0.68871940543735199</v>
      </c>
      <c r="T280" s="3585">
        <f t="shared" si="194"/>
        <v>0.69974546818989503</v>
      </c>
      <c r="U280" s="3585">
        <f t="shared" si="194"/>
        <v>0.70382036669063763</v>
      </c>
      <c r="V280" s="3585">
        <f t="shared" si="194"/>
        <v>0.66710099815341095</v>
      </c>
      <c r="W280" s="3585">
        <f t="shared" si="194"/>
        <v>0.63697564008844321</v>
      </c>
      <c r="X280" s="3585">
        <f t="shared" si="194"/>
        <v>0.69066583036469775</v>
      </c>
      <c r="Y280" s="4742"/>
    </row>
    <row r="281" spans="1:29" hidden="1">
      <c r="A281" s="1539"/>
      <c r="G281" s="1707" t="str">
        <f>B271</f>
        <v>Automotive</v>
      </c>
      <c r="H281" s="1707"/>
      <c r="I281" s="1707"/>
      <c r="J281" s="1707"/>
      <c r="K281" s="1707"/>
      <c r="L281" s="3585">
        <f>L276/L278</f>
        <v>0.35470423957135644</v>
      </c>
      <c r="M281" s="3585">
        <f t="shared" ref="M281:X281" si="195">M276/M278</f>
        <v>0.33767149639668204</v>
      </c>
      <c r="N281" s="3585">
        <f t="shared" si="195"/>
        <v>0.29609956173470403</v>
      </c>
      <c r="O281" s="3585">
        <f t="shared" si="195"/>
        <v>0.28486539979298209</v>
      </c>
      <c r="P281" s="3585">
        <f t="shared" si="195"/>
        <v>0.29277584802281542</v>
      </c>
      <c r="Q281" s="3585">
        <f t="shared" si="195"/>
        <v>0.28080905931620892</v>
      </c>
      <c r="R281" s="3585">
        <f t="shared" si="195"/>
        <v>0.2952641916459911</v>
      </c>
      <c r="S281" s="3585">
        <f t="shared" si="195"/>
        <v>0.31128059456264795</v>
      </c>
      <c r="T281" s="3585">
        <f t="shared" si="195"/>
        <v>0.30025453181010503</v>
      </c>
      <c r="U281" s="3585">
        <f t="shared" si="195"/>
        <v>0.29617963330936242</v>
      </c>
      <c r="V281" s="3585">
        <f t="shared" si="195"/>
        <v>0.3328990018465891</v>
      </c>
      <c r="W281" s="3585">
        <f t="shared" si="195"/>
        <v>0.36302435991155679</v>
      </c>
      <c r="X281" s="3585">
        <f t="shared" si="195"/>
        <v>0.3093172288057256</v>
      </c>
      <c r="Y281" s="4742"/>
    </row>
    <row r="282" spans="1:29" hidden="1">
      <c r="A282" s="1539"/>
    </row>
    <row r="283" spans="1:29" hidden="1">
      <c r="A283" s="1539"/>
    </row>
    <row r="284" spans="1:29" hidden="1">
      <c r="A284" s="1539"/>
    </row>
    <row r="285" spans="1:29" ht="14.25" hidden="1" thickBot="1">
      <c r="A285" s="1539" t="s">
        <v>1023</v>
      </c>
    </row>
    <row r="286" spans="1:29" ht="27.75" hidden="1" thickBot="1">
      <c r="A286" s="1548" t="s">
        <v>1027</v>
      </c>
      <c r="B286" s="5184" t="s">
        <v>107</v>
      </c>
      <c r="C286" s="5184"/>
      <c r="D286" s="5184" t="s">
        <v>106</v>
      </c>
      <c r="E286" s="5184"/>
      <c r="F286" s="5184"/>
      <c r="G286" s="1698" t="s">
        <v>1025</v>
      </c>
      <c r="H286" s="1698"/>
      <c r="I286" s="1698"/>
      <c r="J286" s="1698"/>
      <c r="K286" s="1698"/>
      <c r="L286" s="1877" t="str">
        <f>L267</f>
        <v>Jan.26</v>
      </c>
      <c r="M286" s="1877" t="str">
        <f t="shared" ref="M286:X286" si="196">M267</f>
        <v>Feb.26</v>
      </c>
      <c r="N286" s="1877" t="str">
        <f t="shared" si="196"/>
        <v>Mar.26</v>
      </c>
      <c r="O286" s="1877" t="str">
        <f t="shared" si="196"/>
        <v>Apr.26</v>
      </c>
      <c r="P286" s="1877" t="str">
        <f t="shared" si="196"/>
        <v>May.26</v>
      </c>
      <c r="Q286" s="1877" t="str">
        <f t="shared" si="196"/>
        <v>Jun.26</v>
      </c>
      <c r="R286" s="1877" t="str">
        <f t="shared" si="196"/>
        <v>Jul.26</v>
      </c>
      <c r="S286" s="1877" t="str">
        <f t="shared" si="196"/>
        <v>Aug.26</v>
      </c>
      <c r="T286" s="1877" t="str">
        <f t="shared" si="196"/>
        <v>Sep.26</v>
      </c>
      <c r="U286" s="1877" t="str">
        <f t="shared" si="196"/>
        <v>Oct.26</v>
      </c>
      <c r="V286" s="1877" t="str">
        <f t="shared" si="196"/>
        <v>Nov.26</v>
      </c>
      <c r="W286" s="1877" t="str">
        <f t="shared" si="196"/>
        <v>Dec.26</v>
      </c>
      <c r="X286" s="3582" t="str">
        <f t="shared" si="196"/>
        <v>2026
Total</v>
      </c>
      <c r="Y286" s="4739"/>
      <c r="AB286" s="9"/>
      <c r="AC286" s="9"/>
    </row>
    <row r="287" spans="1:29" hidden="1">
      <c r="A287" s="5189">
        <v>1</v>
      </c>
      <c r="B287" s="5187" t="s">
        <v>16</v>
      </c>
      <c r="C287" s="5187"/>
      <c r="D287" s="5187" t="s">
        <v>19</v>
      </c>
      <c r="E287" s="5187"/>
      <c r="F287" s="5187"/>
      <c r="G287" s="1700">
        <f>X287/$X$298</f>
        <v>0</v>
      </c>
      <c r="H287" s="1700"/>
      <c r="I287" s="1700"/>
      <c r="J287" s="1700"/>
      <c r="K287" s="1700"/>
      <c r="L287" s="4382">
        <f t="shared" ref="L287:W288" si="197">SUMIF($AB$90:$AB$168,$D287,L$90:L$168)</f>
        <v>0</v>
      </c>
      <c r="M287" s="4382">
        <f t="shared" si="197"/>
        <v>0</v>
      </c>
      <c r="N287" s="4382">
        <f t="shared" si="197"/>
        <v>0</v>
      </c>
      <c r="O287" s="4382">
        <f t="shared" si="197"/>
        <v>0</v>
      </c>
      <c r="P287" s="4382">
        <f t="shared" si="197"/>
        <v>0</v>
      </c>
      <c r="Q287" s="4382">
        <f t="shared" si="197"/>
        <v>0</v>
      </c>
      <c r="R287" s="4382">
        <f t="shared" si="197"/>
        <v>0</v>
      </c>
      <c r="S287" s="4382">
        <f t="shared" si="197"/>
        <v>0</v>
      </c>
      <c r="T287" s="4382">
        <f t="shared" si="197"/>
        <v>0</v>
      </c>
      <c r="U287" s="4382">
        <f t="shared" si="197"/>
        <v>0</v>
      </c>
      <c r="V287" s="4382">
        <f t="shared" si="197"/>
        <v>0</v>
      </c>
      <c r="W287" s="4382">
        <f t="shared" si="197"/>
        <v>0</v>
      </c>
      <c r="X287" s="3579">
        <f>SUM(L287:W287)</f>
        <v>0</v>
      </c>
      <c r="Y287" s="5"/>
      <c r="AB287" s="4012"/>
      <c r="AC287" s="4012"/>
    </row>
    <row r="288" spans="1:29" hidden="1">
      <c r="A288" s="5190"/>
      <c r="B288" s="5186"/>
      <c r="C288" s="5186"/>
      <c r="D288" s="5188" t="s">
        <v>24</v>
      </c>
      <c r="E288" s="5188"/>
      <c r="F288" s="5188"/>
      <c r="G288" s="1703">
        <f>X288/$X$298</f>
        <v>0</v>
      </c>
      <c r="H288" s="1703"/>
      <c r="I288" s="1703"/>
      <c r="J288" s="1703"/>
      <c r="K288" s="1703"/>
      <c r="L288" s="4399">
        <f t="shared" si="197"/>
        <v>0</v>
      </c>
      <c r="M288" s="4399">
        <f t="shared" si="197"/>
        <v>0</v>
      </c>
      <c r="N288" s="4399">
        <f t="shared" si="197"/>
        <v>0</v>
      </c>
      <c r="O288" s="4399">
        <f t="shared" si="197"/>
        <v>0</v>
      </c>
      <c r="P288" s="4399">
        <f t="shared" si="197"/>
        <v>0</v>
      </c>
      <c r="Q288" s="4399">
        <f t="shared" si="197"/>
        <v>0</v>
      </c>
      <c r="R288" s="4399">
        <f t="shared" si="197"/>
        <v>0</v>
      </c>
      <c r="S288" s="4399">
        <f t="shared" si="197"/>
        <v>0</v>
      </c>
      <c r="T288" s="4399">
        <f t="shared" si="197"/>
        <v>0</v>
      </c>
      <c r="U288" s="4399">
        <f t="shared" si="197"/>
        <v>0</v>
      </c>
      <c r="V288" s="4399">
        <f t="shared" si="197"/>
        <v>0</v>
      </c>
      <c r="W288" s="4399">
        <f t="shared" si="197"/>
        <v>0</v>
      </c>
      <c r="X288" s="4280">
        <f>SUM(L288:W288)</f>
        <v>0</v>
      </c>
      <c r="Y288" s="5"/>
      <c r="AB288" s="4012"/>
      <c r="AC288" s="4012"/>
    </row>
    <row r="289" spans="1:29" ht="14.25" hidden="1" thickBot="1">
      <c r="A289" s="5191"/>
      <c r="B289" s="5185"/>
      <c r="C289" s="5185"/>
      <c r="D289" s="5185" t="s">
        <v>123</v>
      </c>
      <c r="E289" s="5185"/>
      <c r="F289" s="5185"/>
      <c r="G289" s="1704"/>
      <c r="H289" s="1704"/>
      <c r="I289" s="1704"/>
      <c r="J289" s="1704"/>
      <c r="K289" s="1704"/>
      <c r="L289" s="2342">
        <f t="shared" ref="L289:W289" si="198">SUM(L287:L288)</f>
        <v>0</v>
      </c>
      <c r="M289" s="2342">
        <f t="shared" si="198"/>
        <v>0</v>
      </c>
      <c r="N289" s="2342">
        <f t="shared" si="198"/>
        <v>0</v>
      </c>
      <c r="O289" s="2342">
        <f t="shared" si="198"/>
        <v>0</v>
      </c>
      <c r="P289" s="2342">
        <f t="shared" si="198"/>
        <v>0</v>
      </c>
      <c r="Q289" s="2342">
        <f t="shared" si="198"/>
        <v>0</v>
      </c>
      <c r="R289" s="2342">
        <f t="shared" si="198"/>
        <v>0</v>
      </c>
      <c r="S289" s="2342">
        <f t="shared" si="198"/>
        <v>0</v>
      </c>
      <c r="T289" s="2342">
        <f t="shared" si="198"/>
        <v>0</v>
      </c>
      <c r="U289" s="2342">
        <f t="shared" si="198"/>
        <v>0</v>
      </c>
      <c r="V289" s="2342">
        <f t="shared" si="198"/>
        <v>0</v>
      </c>
      <c r="W289" s="2342">
        <f t="shared" si="198"/>
        <v>0</v>
      </c>
      <c r="X289" s="2343">
        <f t="shared" ref="X289" si="199">SUM(X287:X288)</f>
        <v>0</v>
      </c>
      <c r="Y289" s="1652"/>
      <c r="AB289" s="4012"/>
      <c r="AC289" s="4012"/>
    </row>
    <row r="290" spans="1:29" hidden="1">
      <c r="A290" s="5189">
        <v>2</v>
      </c>
      <c r="B290" s="5187" t="s">
        <v>499</v>
      </c>
      <c r="C290" s="5187"/>
      <c r="D290" s="5187" t="s">
        <v>556</v>
      </c>
      <c r="E290" s="5187"/>
      <c r="F290" s="5187"/>
      <c r="G290" s="1700">
        <f t="shared" ref="G290:G294" si="200">X290/$X$298</f>
        <v>0</v>
      </c>
      <c r="H290" s="1700"/>
      <c r="I290" s="1700"/>
      <c r="J290" s="1700"/>
      <c r="K290" s="1700"/>
      <c r="L290" s="4382">
        <f t="shared" ref="L290:W294" si="201">SUMIF($AB$90:$AB$168,$D290,L$90:L$168)</f>
        <v>0</v>
      </c>
      <c r="M290" s="4382">
        <f t="shared" si="201"/>
        <v>0</v>
      </c>
      <c r="N290" s="4382">
        <f t="shared" si="201"/>
        <v>0</v>
      </c>
      <c r="O290" s="4382">
        <f t="shared" si="201"/>
        <v>0</v>
      </c>
      <c r="P290" s="4382">
        <f t="shared" si="201"/>
        <v>0</v>
      </c>
      <c r="Q290" s="4382">
        <f t="shared" si="201"/>
        <v>0</v>
      </c>
      <c r="R290" s="4382">
        <f t="shared" si="201"/>
        <v>0</v>
      </c>
      <c r="S290" s="4382">
        <f t="shared" si="201"/>
        <v>0</v>
      </c>
      <c r="T290" s="4382">
        <f t="shared" si="201"/>
        <v>0</v>
      </c>
      <c r="U290" s="4382">
        <f t="shared" si="201"/>
        <v>0</v>
      </c>
      <c r="V290" s="4382">
        <f t="shared" si="201"/>
        <v>0</v>
      </c>
      <c r="W290" s="4382">
        <f t="shared" si="201"/>
        <v>0</v>
      </c>
      <c r="X290" s="3579">
        <f>SUM(L290:W290)</f>
        <v>0</v>
      </c>
      <c r="Y290" s="5"/>
      <c r="AB290" s="4012"/>
      <c r="AC290" s="4012"/>
    </row>
    <row r="291" spans="1:29" hidden="1">
      <c r="A291" s="5190"/>
      <c r="B291" s="5186"/>
      <c r="C291" s="5186"/>
      <c r="D291" s="5186" t="s">
        <v>403</v>
      </c>
      <c r="E291" s="5186"/>
      <c r="F291" s="5186"/>
      <c r="G291" s="1705">
        <f t="shared" si="200"/>
        <v>0</v>
      </c>
      <c r="H291" s="1705"/>
      <c r="I291" s="1705"/>
      <c r="J291" s="1705"/>
      <c r="K291" s="1705"/>
      <c r="L291" s="4384">
        <f t="shared" si="201"/>
        <v>0</v>
      </c>
      <c r="M291" s="4384">
        <f t="shared" si="201"/>
        <v>0</v>
      </c>
      <c r="N291" s="4384">
        <f t="shared" si="201"/>
        <v>0</v>
      </c>
      <c r="O291" s="4384">
        <f t="shared" si="201"/>
        <v>0</v>
      </c>
      <c r="P291" s="4384">
        <f t="shared" si="201"/>
        <v>0</v>
      </c>
      <c r="Q291" s="4384">
        <f t="shared" si="201"/>
        <v>0</v>
      </c>
      <c r="R291" s="4384">
        <f t="shared" si="201"/>
        <v>0</v>
      </c>
      <c r="S291" s="4384">
        <f t="shared" si="201"/>
        <v>0</v>
      </c>
      <c r="T291" s="4384">
        <f t="shared" si="201"/>
        <v>0</v>
      </c>
      <c r="U291" s="4384">
        <f t="shared" si="201"/>
        <v>0</v>
      </c>
      <c r="V291" s="4384">
        <f t="shared" si="201"/>
        <v>0</v>
      </c>
      <c r="W291" s="4384">
        <f t="shared" si="201"/>
        <v>0</v>
      </c>
      <c r="X291" s="2416">
        <f>SUM(L291:W291)</f>
        <v>0</v>
      </c>
      <c r="Y291" s="5"/>
      <c r="AB291" s="4012"/>
      <c r="AC291" s="4012"/>
    </row>
    <row r="292" spans="1:29" hidden="1">
      <c r="A292" s="5190"/>
      <c r="B292" s="5186"/>
      <c r="C292" s="5186"/>
      <c r="D292" s="5186" t="s">
        <v>402</v>
      </c>
      <c r="E292" s="5186"/>
      <c r="F292" s="5186"/>
      <c r="G292" s="1705">
        <f t="shared" si="200"/>
        <v>0</v>
      </c>
      <c r="H292" s="1705"/>
      <c r="I292" s="1705"/>
      <c r="J292" s="1705"/>
      <c r="K292" s="1705"/>
      <c r="L292" s="4384">
        <f t="shared" si="201"/>
        <v>0</v>
      </c>
      <c r="M292" s="4384">
        <f t="shared" si="201"/>
        <v>0</v>
      </c>
      <c r="N292" s="4384">
        <f t="shared" si="201"/>
        <v>0</v>
      </c>
      <c r="O292" s="4384">
        <f t="shared" si="201"/>
        <v>0</v>
      </c>
      <c r="P292" s="4384">
        <f t="shared" si="201"/>
        <v>0</v>
      </c>
      <c r="Q292" s="4384">
        <f t="shared" si="201"/>
        <v>0</v>
      </c>
      <c r="R292" s="4384">
        <f t="shared" si="201"/>
        <v>0</v>
      </c>
      <c r="S292" s="4384">
        <f t="shared" si="201"/>
        <v>0</v>
      </c>
      <c r="T292" s="4384">
        <f t="shared" si="201"/>
        <v>0</v>
      </c>
      <c r="U292" s="4384">
        <f t="shared" si="201"/>
        <v>0</v>
      </c>
      <c r="V292" s="4384">
        <f t="shared" si="201"/>
        <v>0</v>
      </c>
      <c r="W292" s="4384">
        <f t="shared" si="201"/>
        <v>0</v>
      </c>
      <c r="X292" s="2416">
        <f>SUM(L292:W292)</f>
        <v>0</v>
      </c>
      <c r="Y292" s="5"/>
      <c r="AB292" s="4012"/>
      <c r="AC292" s="4012"/>
    </row>
    <row r="293" spans="1:29" hidden="1">
      <c r="A293" s="5190"/>
      <c r="B293" s="5186"/>
      <c r="C293" s="5186"/>
      <c r="D293" s="5186" t="s">
        <v>405</v>
      </c>
      <c r="E293" s="5186"/>
      <c r="F293" s="5186"/>
      <c r="G293" s="1705">
        <f t="shared" si="200"/>
        <v>0</v>
      </c>
      <c r="H293" s="1705"/>
      <c r="I293" s="1705"/>
      <c r="J293" s="1705"/>
      <c r="K293" s="1705"/>
      <c r="L293" s="4384">
        <f t="shared" si="201"/>
        <v>0</v>
      </c>
      <c r="M293" s="4384">
        <f t="shared" si="201"/>
        <v>0</v>
      </c>
      <c r="N293" s="4384">
        <f t="shared" si="201"/>
        <v>0</v>
      </c>
      <c r="O293" s="4384">
        <f t="shared" si="201"/>
        <v>0</v>
      </c>
      <c r="P293" s="4384">
        <f t="shared" si="201"/>
        <v>0</v>
      </c>
      <c r="Q293" s="4384">
        <f t="shared" si="201"/>
        <v>0</v>
      </c>
      <c r="R293" s="4384">
        <f t="shared" si="201"/>
        <v>0</v>
      </c>
      <c r="S293" s="4384">
        <f t="shared" si="201"/>
        <v>0</v>
      </c>
      <c r="T293" s="4384">
        <f t="shared" si="201"/>
        <v>0</v>
      </c>
      <c r="U293" s="4384">
        <f t="shared" si="201"/>
        <v>0</v>
      </c>
      <c r="V293" s="4384">
        <f t="shared" si="201"/>
        <v>0</v>
      </c>
      <c r="W293" s="4384">
        <f t="shared" si="201"/>
        <v>0</v>
      </c>
      <c r="X293" s="2416">
        <f>SUM(L293:W293)</f>
        <v>0</v>
      </c>
      <c r="Y293" s="5"/>
      <c r="AB293" s="4012"/>
      <c r="AC293" s="4012"/>
    </row>
    <row r="294" spans="1:29" hidden="1">
      <c r="A294" s="5190"/>
      <c r="B294" s="5186"/>
      <c r="C294" s="5186"/>
      <c r="D294" s="5188" t="s">
        <v>903</v>
      </c>
      <c r="E294" s="5188"/>
      <c r="F294" s="5188"/>
      <c r="G294" s="1703">
        <f t="shared" si="200"/>
        <v>0</v>
      </c>
      <c r="H294" s="1703"/>
      <c r="I294" s="1703"/>
      <c r="J294" s="1703"/>
      <c r="K294" s="1703"/>
      <c r="L294" s="4399">
        <f t="shared" si="201"/>
        <v>0</v>
      </c>
      <c r="M294" s="4399">
        <f t="shared" si="201"/>
        <v>0</v>
      </c>
      <c r="N294" s="4399">
        <f t="shared" si="201"/>
        <v>0</v>
      </c>
      <c r="O294" s="4399">
        <f t="shared" si="201"/>
        <v>0</v>
      </c>
      <c r="P294" s="4399">
        <f t="shared" si="201"/>
        <v>0</v>
      </c>
      <c r="Q294" s="4399">
        <f t="shared" si="201"/>
        <v>0</v>
      </c>
      <c r="R294" s="4399">
        <f t="shared" si="201"/>
        <v>0</v>
      </c>
      <c r="S294" s="4399">
        <f t="shared" si="201"/>
        <v>0</v>
      </c>
      <c r="T294" s="4399">
        <f t="shared" si="201"/>
        <v>0</v>
      </c>
      <c r="U294" s="4399">
        <f t="shared" si="201"/>
        <v>0</v>
      </c>
      <c r="V294" s="4399">
        <f t="shared" si="201"/>
        <v>0</v>
      </c>
      <c r="W294" s="4399">
        <f t="shared" si="201"/>
        <v>0</v>
      </c>
      <c r="X294" s="4280">
        <f>SUM(L294:W294)</f>
        <v>0</v>
      </c>
      <c r="Y294" s="5"/>
      <c r="AB294" s="4012"/>
      <c r="AC294" s="4012"/>
    </row>
    <row r="295" spans="1:29" ht="14.25" hidden="1" thickBot="1">
      <c r="A295" s="5191"/>
      <c r="B295" s="5185"/>
      <c r="C295" s="5185"/>
      <c r="D295" s="5185" t="s">
        <v>123</v>
      </c>
      <c r="E295" s="5185"/>
      <c r="F295" s="5185"/>
      <c r="G295" s="1704"/>
      <c r="H295" s="1704"/>
      <c r="I295" s="1704"/>
      <c r="J295" s="1704"/>
      <c r="K295" s="1704"/>
      <c r="L295" s="2342">
        <f t="shared" ref="L295:W295" si="202">SUM(L290:L294)</f>
        <v>0</v>
      </c>
      <c r="M295" s="2342">
        <f t="shared" si="202"/>
        <v>0</v>
      </c>
      <c r="N295" s="2342">
        <f t="shared" si="202"/>
        <v>0</v>
      </c>
      <c r="O295" s="2342">
        <f t="shared" si="202"/>
        <v>0</v>
      </c>
      <c r="P295" s="2342">
        <f t="shared" si="202"/>
        <v>0</v>
      </c>
      <c r="Q295" s="2342">
        <f t="shared" si="202"/>
        <v>0</v>
      </c>
      <c r="R295" s="2342">
        <f t="shared" si="202"/>
        <v>0</v>
      </c>
      <c r="S295" s="2342">
        <f t="shared" si="202"/>
        <v>0</v>
      </c>
      <c r="T295" s="2342">
        <f t="shared" si="202"/>
        <v>0</v>
      </c>
      <c r="U295" s="2342">
        <f t="shared" si="202"/>
        <v>0</v>
      </c>
      <c r="V295" s="2342">
        <f t="shared" si="202"/>
        <v>0</v>
      </c>
      <c r="W295" s="2342">
        <f t="shared" si="202"/>
        <v>0</v>
      </c>
      <c r="X295" s="2343">
        <f t="shared" ref="X295" si="203">SUM(X290:X294)</f>
        <v>0</v>
      </c>
      <c r="Y295" s="1652"/>
      <c r="AB295" s="4281"/>
      <c r="AC295" s="4012"/>
    </row>
    <row r="296" spans="1:29" ht="14.25" hidden="1" thickBot="1">
      <c r="A296" s="76"/>
      <c r="B296" s="5192" t="s">
        <v>1328</v>
      </c>
      <c r="C296" s="5192"/>
      <c r="D296" s="5192" t="s">
        <v>1327</v>
      </c>
      <c r="E296" s="5192"/>
      <c r="F296" s="5192"/>
      <c r="G296" s="1704"/>
      <c r="H296" s="1704"/>
      <c r="I296" s="1704"/>
      <c r="J296" s="1704"/>
      <c r="K296" s="1704"/>
      <c r="L296" s="4384">
        <f t="shared" ref="L296:W296" si="204">SUMIF($AB$90:$AB$168,$D296,L$90:L$168)</f>
        <v>0</v>
      </c>
      <c r="M296" s="4384">
        <f t="shared" si="204"/>
        <v>0</v>
      </c>
      <c r="N296" s="4384">
        <f t="shared" si="204"/>
        <v>0</v>
      </c>
      <c r="O296" s="4384">
        <f t="shared" si="204"/>
        <v>0</v>
      </c>
      <c r="P296" s="4384">
        <f t="shared" si="204"/>
        <v>0</v>
      </c>
      <c r="Q296" s="4384">
        <f t="shared" si="204"/>
        <v>0</v>
      </c>
      <c r="R296" s="4384">
        <f t="shared" si="204"/>
        <v>0</v>
      </c>
      <c r="S296" s="4384">
        <f t="shared" si="204"/>
        <v>0</v>
      </c>
      <c r="T296" s="4384">
        <f t="shared" si="204"/>
        <v>0</v>
      </c>
      <c r="U296" s="4384">
        <f t="shared" si="204"/>
        <v>0</v>
      </c>
      <c r="V296" s="4384">
        <f t="shared" si="204"/>
        <v>0</v>
      </c>
      <c r="W296" s="4384">
        <f t="shared" si="204"/>
        <v>0</v>
      </c>
      <c r="X296" s="2416">
        <f>SUM(L296:W296)</f>
        <v>0</v>
      </c>
      <c r="Y296" s="5"/>
      <c r="AB296" s="4281"/>
      <c r="AC296" s="4012"/>
    </row>
    <row r="297" spans="1:29" ht="14.25" hidden="1" thickBot="1">
      <c r="A297" s="1548">
        <v>3</v>
      </c>
      <c r="B297" s="5192" t="s">
        <v>1020</v>
      </c>
      <c r="C297" s="5192"/>
      <c r="D297" s="5192" t="s">
        <v>1020</v>
      </c>
      <c r="E297" s="5192"/>
      <c r="F297" s="5192"/>
      <c r="G297" s="1706">
        <f>X297/$X$298</f>
        <v>1</v>
      </c>
      <c r="H297" s="1706"/>
      <c r="I297" s="1706"/>
      <c r="J297" s="1706"/>
      <c r="K297" s="1706"/>
      <c r="L297" s="4125">
        <f t="shared" ref="L297:W297" si="205">L170+L171</f>
        <v>170900</v>
      </c>
      <c r="M297" s="4125">
        <f t="shared" si="205"/>
        <v>110000</v>
      </c>
      <c r="N297" s="4125">
        <f t="shared" si="205"/>
        <v>150000</v>
      </c>
      <c r="O297" s="4125">
        <f t="shared" si="205"/>
        <v>175360</v>
      </c>
      <c r="P297" s="4125">
        <f t="shared" si="205"/>
        <v>160000</v>
      </c>
      <c r="Q297" s="4125">
        <f t="shared" si="205"/>
        <v>175000</v>
      </c>
      <c r="R297" s="4125">
        <f t="shared" si="205"/>
        <v>180000</v>
      </c>
      <c r="S297" s="4125">
        <f t="shared" si="205"/>
        <v>175000</v>
      </c>
      <c r="T297" s="4125">
        <f t="shared" si="205"/>
        <v>130000</v>
      </c>
      <c r="U297" s="4125">
        <f t="shared" si="205"/>
        <v>180000</v>
      </c>
      <c r="V297" s="4125">
        <f t="shared" si="205"/>
        <v>252800</v>
      </c>
      <c r="W297" s="4125">
        <f t="shared" si="205"/>
        <v>225600</v>
      </c>
      <c r="X297" s="2586">
        <f>SUM(L297:W297)</f>
        <v>2084660</v>
      </c>
      <c r="Y297" s="5"/>
      <c r="AB297" s="4281"/>
      <c r="AC297" s="4012"/>
    </row>
    <row r="298" spans="1:29" ht="14.25" hidden="1" thickBot="1">
      <c r="A298" s="76"/>
      <c r="B298" s="5185"/>
      <c r="C298" s="5185"/>
      <c r="D298" s="5185" t="s">
        <v>15</v>
      </c>
      <c r="E298" s="5185"/>
      <c r="F298" s="5185"/>
      <c r="G298" s="1704"/>
      <c r="H298" s="1704"/>
      <c r="I298" s="1704"/>
      <c r="J298" s="1704"/>
      <c r="K298" s="1704"/>
      <c r="L298" s="2342">
        <f>SUM(+L295,L297,L289,L296)</f>
        <v>170900</v>
      </c>
      <c r="M298" s="2342">
        <f t="shared" ref="M298:W298" si="206">SUM(+M295,M297,M289,M296)</f>
        <v>110000</v>
      </c>
      <c r="N298" s="2342">
        <f t="shared" si="206"/>
        <v>150000</v>
      </c>
      <c r="O298" s="2342">
        <f t="shared" si="206"/>
        <v>175360</v>
      </c>
      <c r="P298" s="2342">
        <f t="shared" si="206"/>
        <v>160000</v>
      </c>
      <c r="Q298" s="2342">
        <f t="shared" si="206"/>
        <v>175000</v>
      </c>
      <c r="R298" s="2342">
        <f t="shared" si="206"/>
        <v>180000</v>
      </c>
      <c r="S298" s="2342">
        <f t="shared" si="206"/>
        <v>175000</v>
      </c>
      <c r="T298" s="2342">
        <f t="shared" si="206"/>
        <v>130000</v>
      </c>
      <c r="U298" s="2342">
        <f t="shared" si="206"/>
        <v>180000</v>
      </c>
      <c r="V298" s="2342">
        <f t="shared" si="206"/>
        <v>252800</v>
      </c>
      <c r="W298" s="2342">
        <f t="shared" si="206"/>
        <v>225600</v>
      </c>
      <c r="X298" s="2343">
        <f>SUM(+X295,X296,X297,X289)</f>
        <v>2084660</v>
      </c>
      <c r="Y298" s="1652"/>
      <c r="AB298" s="4012"/>
      <c r="AC298" s="4012"/>
    </row>
    <row r="299" spans="1:29" hidden="1">
      <c r="A299" s="1539"/>
      <c r="B299" s="1537"/>
      <c r="D299" s="9"/>
      <c r="X299" s="1544" t="b">
        <f>X298=X172</f>
        <v>0</v>
      </c>
      <c r="AC299" s="9"/>
    </row>
    <row r="300" spans="1:29" hidden="1">
      <c r="A300" s="1539"/>
      <c r="B300" s="1537"/>
      <c r="D300" s="9"/>
      <c r="G300" s="1707" t="str">
        <f>B287</f>
        <v>Mobile</v>
      </c>
      <c r="H300" s="1707"/>
      <c r="I300" s="1707"/>
      <c r="J300" s="1707"/>
      <c r="K300" s="1707"/>
      <c r="L300" s="3585">
        <f>L289/L298</f>
        <v>0</v>
      </c>
      <c r="M300" s="3585">
        <f>M289/M298</f>
        <v>0</v>
      </c>
      <c r="N300" s="3585">
        <f t="shared" ref="N300:V300" si="207">N289/N298</f>
        <v>0</v>
      </c>
      <c r="O300" s="3585">
        <f t="shared" si="207"/>
        <v>0</v>
      </c>
      <c r="P300" s="3585">
        <f t="shared" si="207"/>
        <v>0</v>
      </c>
      <c r="Q300" s="3585">
        <f t="shared" si="207"/>
        <v>0</v>
      </c>
      <c r="R300" s="3585">
        <f t="shared" si="207"/>
        <v>0</v>
      </c>
      <c r="S300" s="3585">
        <f t="shared" si="207"/>
        <v>0</v>
      </c>
      <c r="T300" s="3585">
        <f t="shared" si="207"/>
        <v>0</v>
      </c>
      <c r="U300" s="3585">
        <f t="shared" si="207"/>
        <v>0</v>
      </c>
      <c r="V300" s="3585">
        <f t="shared" si="207"/>
        <v>0</v>
      </c>
      <c r="W300" s="3585">
        <f>W289/W298</f>
        <v>0</v>
      </c>
      <c r="X300" s="3585">
        <f t="shared" ref="X300" si="208">X289/X298</f>
        <v>0</v>
      </c>
      <c r="Y300" s="4742"/>
      <c r="AC300" s="9"/>
    </row>
    <row r="301" spans="1:29" hidden="1">
      <c r="A301" s="1539"/>
      <c r="B301" s="1537"/>
      <c r="D301" s="9"/>
      <c r="G301" s="1707" t="str">
        <f>B290</f>
        <v>Automotive</v>
      </c>
      <c r="H301" s="1707"/>
      <c r="I301" s="1707"/>
      <c r="J301" s="1707"/>
      <c r="K301" s="1707"/>
      <c r="L301" s="3585">
        <f>L295/L298</f>
        <v>0</v>
      </c>
      <c r="M301" s="3585">
        <f>M295/M298</f>
        <v>0</v>
      </c>
      <c r="N301" s="3585">
        <f t="shared" ref="N301:X301" si="209">N295/N298</f>
        <v>0</v>
      </c>
      <c r="O301" s="3585">
        <f t="shared" si="209"/>
        <v>0</v>
      </c>
      <c r="P301" s="3585">
        <f t="shared" si="209"/>
        <v>0</v>
      </c>
      <c r="Q301" s="3585">
        <f t="shared" si="209"/>
        <v>0</v>
      </c>
      <c r="R301" s="3585">
        <f t="shared" si="209"/>
        <v>0</v>
      </c>
      <c r="S301" s="3585">
        <f t="shared" si="209"/>
        <v>0</v>
      </c>
      <c r="T301" s="3585">
        <f t="shared" si="209"/>
        <v>0</v>
      </c>
      <c r="U301" s="3585">
        <f t="shared" si="209"/>
        <v>0</v>
      </c>
      <c r="V301" s="3585">
        <f t="shared" si="209"/>
        <v>0</v>
      </c>
      <c r="W301" s="3585">
        <f t="shared" si="209"/>
        <v>0</v>
      </c>
      <c r="X301" s="3585">
        <f t="shared" si="209"/>
        <v>0</v>
      </c>
      <c r="Y301" s="4742"/>
      <c r="AC301" s="9"/>
    </row>
    <row r="302" spans="1:29" hidden="1">
      <c r="A302" s="1539"/>
      <c r="B302" s="1537"/>
      <c r="D302" s="9"/>
      <c r="G302" s="3946" t="s">
        <v>1317</v>
      </c>
      <c r="H302" s="3946"/>
      <c r="I302" s="3946"/>
      <c r="J302" s="3946"/>
      <c r="K302" s="3946"/>
      <c r="L302" s="3954">
        <f>L296/L298</f>
        <v>0</v>
      </c>
      <c r="M302" s="3954">
        <f t="shared" ref="M302:X302" si="210">M296/M298</f>
        <v>0</v>
      </c>
      <c r="N302" s="3954">
        <f t="shared" si="210"/>
        <v>0</v>
      </c>
      <c r="O302" s="3954">
        <f t="shared" si="210"/>
        <v>0</v>
      </c>
      <c r="P302" s="3954">
        <f t="shared" si="210"/>
        <v>0</v>
      </c>
      <c r="Q302" s="3954">
        <f t="shared" si="210"/>
        <v>0</v>
      </c>
      <c r="R302" s="3954">
        <f t="shared" si="210"/>
        <v>0</v>
      </c>
      <c r="S302" s="3954">
        <f t="shared" si="210"/>
        <v>0</v>
      </c>
      <c r="T302" s="3954">
        <f t="shared" si="210"/>
        <v>0</v>
      </c>
      <c r="U302" s="3954">
        <f t="shared" si="210"/>
        <v>0</v>
      </c>
      <c r="V302" s="3954">
        <f t="shared" si="210"/>
        <v>0</v>
      </c>
      <c r="W302" s="3954">
        <f t="shared" si="210"/>
        <v>0</v>
      </c>
      <c r="X302" s="3954">
        <f t="shared" si="210"/>
        <v>0</v>
      </c>
      <c r="Y302" s="4743"/>
      <c r="AC302" s="9"/>
    </row>
    <row r="303" spans="1:29" hidden="1">
      <c r="A303" s="1539"/>
      <c r="B303" s="1537"/>
      <c r="D303" s="9"/>
      <c r="AC303" s="9"/>
    </row>
    <row r="304" spans="1:29" hidden="1">
      <c r="A304" s="1539"/>
      <c r="B304" s="1537"/>
      <c r="D304" s="9"/>
      <c r="AC304" s="9"/>
    </row>
    <row r="305" spans="1:29" hidden="1">
      <c r="A305" s="1539"/>
      <c r="B305" s="1537"/>
      <c r="D305" s="9"/>
      <c r="AC305" s="9"/>
    </row>
    <row r="306" spans="1:29" ht="14.25" hidden="1" thickBot="1">
      <c r="A306" s="1539" t="s">
        <v>1024</v>
      </c>
      <c r="B306" s="1537"/>
      <c r="D306" s="9"/>
      <c r="AC306" s="9"/>
    </row>
    <row r="307" spans="1:29" ht="27.75" hidden="1" thickBot="1">
      <c r="A307" s="1548" t="s">
        <v>1027</v>
      </c>
      <c r="B307" s="5184" t="s">
        <v>107</v>
      </c>
      <c r="C307" s="5184"/>
      <c r="D307" s="5184" t="s">
        <v>1006</v>
      </c>
      <c r="E307" s="5184"/>
      <c r="F307" s="5184"/>
      <c r="G307" s="81" t="s">
        <v>1468</v>
      </c>
      <c r="H307" s="81"/>
      <c r="I307" s="81"/>
      <c r="J307" s="81"/>
      <c r="K307" s="81"/>
      <c r="L307" s="1877" t="str">
        <f>L286</f>
        <v>Jan.26</v>
      </c>
      <c r="M307" s="1877" t="str">
        <f t="shared" ref="M307:X307" si="211">M286</f>
        <v>Feb.26</v>
      </c>
      <c r="N307" s="1877" t="str">
        <f t="shared" si="211"/>
        <v>Mar.26</v>
      </c>
      <c r="O307" s="1877" t="str">
        <f t="shared" si="211"/>
        <v>Apr.26</v>
      </c>
      <c r="P307" s="1877" t="str">
        <f t="shared" si="211"/>
        <v>May.26</v>
      </c>
      <c r="Q307" s="1877" t="str">
        <f t="shared" si="211"/>
        <v>Jun.26</v>
      </c>
      <c r="R307" s="1877" t="str">
        <f t="shared" si="211"/>
        <v>Jul.26</v>
      </c>
      <c r="S307" s="1877" t="str">
        <f t="shared" si="211"/>
        <v>Aug.26</v>
      </c>
      <c r="T307" s="1877" t="str">
        <f t="shared" si="211"/>
        <v>Sep.26</v>
      </c>
      <c r="U307" s="1877" t="str">
        <f t="shared" si="211"/>
        <v>Oct.26</v>
      </c>
      <c r="V307" s="1877" t="str">
        <f t="shared" si="211"/>
        <v>Nov.26</v>
      </c>
      <c r="W307" s="1877" t="str">
        <f t="shared" si="211"/>
        <v>Dec.26</v>
      </c>
      <c r="X307" s="3582" t="str">
        <f t="shared" si="211"/>
        <v>2026
Total</v>
      </c>
      <c r="Y307" s="4739"/>
      <c r="AB307" s="9"/>
      <c r="AC307" s="9"/>
    </row>
    <row r="308" spans="1:29" ht="15.6" hidden="1" customHeight="1">
      <c r="A308" s="5189">
        <v>1</v>
      </c>
      <c r="B308" s="5187" t="s">
        <v>16</v>
      </c>
      <c r="C308" s="5187"/>
      <c r="D308" s="5194" t="s">
        <v>16</v>
      </c>
      <c r="E308" s="5194"/>
      <c r="F308" s="5194"/>
      <c r="G308" s="1708">
        <f>X308/$X$319</f>
        <v>0.69066583036469775</v>
      </c>
      <c r="H308" s="1708"/>
      <c r="I308" s="1708"/>
      <c r="J308" s="1708"/>
      <c r="K308" s="1708"/>
      <c r="L308" s="2488">
        <f t="shared" ref="L308:W308" si="212">SUMIF($AC$5:$AC$83,$D308,L$5:L$83)</f>
        <v>1567833.2046332047</v>
      </c>
      <c r="M308" s="2488">
        <f t="shared" si="212"/>
        <v>1622156.4092664092</v>
      </c>
      <c r="N308" s="2488">
        <f t="shared" si="212"/>
        <v>2172466.4092664095</v>
      </c>
      <c r="O308" s="2488">
        <f t="shared" si="212"/>
        <v>2197875.4092664095</v>
      </c>
      <c r="P308" s="2488">
        <f t="shared" si="212"/>
        <v>2192966.4092664095</v>
      </c>
      <c r="Q308" s="2488">
        <f t="shared" si="212"/>
        <v>2359266.4092664095</v>
      </c>
      <c r="R308" s="2488">
        <f t="shared" si="212"/>
        <v>2171316.4092664095</v>
      </c>
      <c r="S308" s="2488">
        <f t="shared" si="212"/>
        <v>2010816.4092664092</v>
      </c>
      <c r="T308" s="2488">
        <f t="shared" si="212"/>
        <v>2111316.4092664095</v>
      </c>
      <c r="U308" s="2488">
        <f t="shared" si="212"/>
        <v>2074316.4092664092</v>
      </c>
      <c r="V308" s="2488">
        <f t="shared" si="212"/>
        <v>1680183.2046332047</v>
      </c>
      <c r="W308" s="2488">
        <f t="shared" si="212"/>
        <v>1485683.2046332047</v>
      </c>
      <c r="X308" s="4325">
        <f t="shared" ref="X308:X319" si="213">SUM(L308:W308)</f>
        <v>23646196.297297299</v>
      </c>
      <c r="Y308" s="4744"/>
      <c r="AB308" s="4012"/>
      <c r="AC308" s="4012"/>
    </row>
    <row r="309" spans="1:29" ht="15.6" hidden="1" customHeight="1" thickBot="1">
      <c r="A309" s="5191"/>
      <c r="B309" s="5185"/>
      <c r="C309" s="5185"/>
      <c r="D309" s="5185" t="s">
        <v>123</v>
      </c>
      <c r="E309" s="5185"/>
      <c r="F309" s="5185"/>
      <c r="G309" s="1710"/>
      <c r="H309" s="1710"/>
      <c r="I309" s="1710"/>
      <c r="J309" s="1710"/>
      <c r="K309" s="1710"/>
      <c r="L309" s="4020">
        <f>L308</f>
        <v>1567833.2046332047</v>
      </c>
      <c r="M309" s="4020">
        <f t="shared" ref="M309" si="214">M308</f>
        <v>1622156.4092664092</v>
      </c>
      <c r="N309" s="4020">
        <f t="shared" ref="N309" si="215">N308</f>
        <v>2172466.4092664095</v>
      </c>
      <c r="O309" s="4020">
        <f t="shared" ref="O309" si="216">O308</f>
        <v>2197875.4092664095</v>
      </c>
      <c r="P309" s="4020">
        <f t="shared" ref="P309" si="217">P308</f>
        <v>2192966.4092664095</v>
      </c>
      <c r="Q309" s="4020">
        <f t="shared" ref="Q309" si="218">Q308</f>
        <v>2359266.4092664095</v>
      </c>
      <c r="R309" s="4020">
        <f t="shared" ref="R309" si="219">R308</f>
        <v>2171316.4092664095</v>
      </c>
      <c r="S309" s="4020">
        <f t="shared" ref="S309" si="220">S308</f>
        <v>2010816.4092664092</v>
      </c>
      <c r="T309" s="4020">
        <f t="shared" ref="T309" si="221">T308</f>
        <v>2111316.4092664095</v>
      </c>
      <c r="U309" s="4020">
        <f t="shared" ref="U309" si="222">U308</f>
        <v>2074316.4092664092</v>
      </c>
      <c r="V309" s="4020">
        <f t="shared" ref="V309" si="223">V308</f>
        <v>1680183.2046332047</v>
      </c>
      <c r="W309" s="4020">
        <f t="shared" ref="W309" si="224">W308</f>
        <v>1485683.2046332047</v>
      </c>
      <c r="X309" s="4326">
        <f t="shared" si="213"/>
        <v>23646196.297297299</v>
      </c>
      <c r="Y309" s="4744"/>
      <c r="AB309" s="4012"/>
      <c r="AC309" s="4012"/>
    </row>
    <row r="310" spans="1:29" ht="16.149999999999999" hidden="1" customHeight="1">
      <c r="A310" s="5189">
        <v>2</v>
      </c>
      <c r="B310" s="5187" t="s">
        <v>499</v>
      </c>
      <c r="C310" s="5187"/>
      <c r="D310" s="5195" t="s">
        <v>865</v>
      </c>
      <c r="E310" s="5195"/>
      <c r="F310" s="5195"/>
      <c r="G310" s="1700">
        <f t="shared" ref="G310:G316" si="225">X310/$X$319</f>
        <v>9.0102122632984186E-2</v>
      </c>
      <c r="H310" s="1700"/>
      <c r="I310" s="1700"/>
      <c r="J310" s="1700"/>
      <c r="K310" s="1700"/>
      <c r="L310" s="3583">
        <f t="shared" ref="L310:W316" si="226">SUMIF($AC$5:$AC$83,$D310,L$5:L$83)</f>
        <v>256457.94977659127</v>
      </c>
      <c r="M310" s="3583">
        <f t="shared" si="226"/>
        <v>264608.28997252724</v>
      </c>
      <c r="N310" s="3583">
        <f t="shared" si="226"/>
        <v>250566.93591183494</v>
      </c>
      <c r="O310" s="3583">
        <f t="shared" si="226"/>
        <v>257472.4917015206</v>
      </c>
      <c r="P310" s="3583">
        <f t="shared" si="226"/>
        <v>264258.70332312596</v>
      </c>
      <c r="Q310" s="3583">
        <f t="shared" si="226"/>
        <v>271118.77287043468</v>
      </c>
      <c r="R310" s="3583">
        <f t="shared" si="226"/>
        <v>266914.1966155371</v>
      </c>
      <c r="S310" s="3583">
        <f t="shared" si="226"/>
        <v>266914.1966155371</v>
      </c>
      <c r="T310" s="3583">
        <f t="shared" si="226"/>
        <v>260447.79535993881</v>
      </c>
      <c r="U310" s="3583">
        <f t="shared" si="226"/>
        <v>249777.69146779308</v>
      </c>
      <c r="V310" s="3583">
        <f t="shared" si="226"/>
        <v>234903.01132074982</v>
      </c>
      <c r="W310" s="3583">
        <f t="shared" si="226"/>
        <v>241369.41257634814</v>
      </c>
      <c r="X310" s="3579">
        <f t="shared" si="213"/>
        <v>3084809.4475119389</v>
      </c>
      <c r="Y310" s="5"/>
      <c r="AB310" s="4012"/>
      <c r="AC310" s="4012"/>
    </row>
    <row r="311" spans="1:29" ht="17.45" hidden="1" customHeight="1">
      <c r="A311" s="5190"/>
      <c r="B311" s="5186"/>
      <c r="C311" s="5186"/>
      <c r="D311" s="5196" t="s">
        <v>874</v>
      </c>
      <c r="E311" s="5196"/>
      <c r="F311" s="5196"/>
      <c r="G311" s="1711">
        <f t="shared" si="225"/>
        <v>0.1210366259695099</v>
      </c>
      <c r="H311" s="1711"/>
      <c r="I311" s="1711"/>
      <c r="J311" s="1711"/>
      <c r="K311" s="1711"/>
      <c r="L311" s="3586">
        <f t="shared" si="226"/>
        <v>345141.09632173425</v>
      </c>
      <c r="M311" s="3586">
        <f t="shared" si="226"/>
        <v>334703.77484537661</v>
      </c>
      <c r="N311" s="3586">
        <f t="shared" si="226"/>
        <v>351205.42547012836</v>
      </c>
      <c r="O311" s="3586">
        <f t="shared" si="226"/>
        <v>333525.50217496598</v>
      </c>
      <c r="P311" s="3586">
        <f t="shared" si="226"/>
        <v>353098.698018611</v>
      </c>
      <c r="Q311" s="3586">
        <f t="shared" si="226"/>
        <v>367628.34015871194</v>
      </c>
      <c r="R311" s="3586">
        <f t="shared" si="226"/>
        <v>358521.29464711004</v>
      </c>
      <c r="S311" s="3586">
        <f t="shared" si="226"/>
        <v>358521.29464711004</v>
      </c>
      <c r="T311" s="3586">
        <f t="shared" si="226"/>
        <v>351678.41576970741</v>
      </c>
      <c r="U311" s="3586">
        <f t="shared" si="226"/>
        <v>336255.81914120837</v>
      </c>
      <c r="V311" s="3586">
        <f t="shared" si="226"/>
        <v>324726.17700110748</v>
      </c>
      <c r="W311" s="3586">
        <f t="shared" si="226"/>
        <v>328902.38921184349</v>
      </c>
      <c r="X311" s="4327">
        <f t="shared" si="213"/>
        <v>4143908.2274076147</v>
      </c>
      <c r="Y311" s="5"/>
      <c r="AB311" s="4012"/>
      <c r="AC311" s="4012"/>
    </row>
    <row r="312" spans="1:29" ht="17.45" hidden="1" customHeight="1">
      <c r="A312" s="5190"/>
      <c r="B312" s="5186"/>
      <c r="C312" s="5186"/>
      <c r="D312" s="5197" t="s">
        <v>885</v>
      </c>
      <c r="E312" s="5197"/>
      <c r="F312" s="5197"/>
      <c r="G312" s="1712">
        <f t="shared" si="225"/>
        <v>7.1094316163323512E-2</v>
      </c>
      <c r="H312" s="1712"/>
      <c r="I312" s="1712"/>
      <c r="J312" s="1712"/>
      <c r="K312" s="1712"/>
      <c r="L312" s="3587">
        <f t="shared" si="226"/>
        <v>147443.5323287572</v>
      </c>
      <c r="M312" s="3587">
        <f t="shared" si="226"/>
        <v>148245.16741546954</v>
      </c>
      <c r="N312" s="3587">
        <f t="shared" si="226"/>
        <v>221368.92728703574</v>
      </c>
      <c r="O312" s="3587">
        <f t="shared" si="226"/>
        <v>216358.70799508365</v>
      </c>
      <c r="P312" s="3587">
        <f t="shared" si="226"/>
        <v>216358.70799508365</v>
      </c>
      <c r="Q312" s="3587">
        <f t="shared" si="226"/>
        <v>208305.97006047683</v>
      </c>
      <c r="R312" s="3587">
        <f t="shared" si="226"/>
        <v>208305.97006047683</v>
      </c>
      <c r="S312" s="3587">
        <f t="shared" si="226"/>
        <v>213316.18935242895</v>
      </c>
      <c r="T312" s="3587">
        <f t="shared" si="226"/>
        <v>221368.92728703574</v>
      </c>
      <c r="U312" s="3587">
        <f t="shared" si="226"/>
        <v>216358.70799508365</v>
      </c>
      <c r="V312" s="3587">
        <f t="shared" si="226"/>
        <v>208305.97006047683</v>
      </c>
      <c r="W312" s="3587">
        <f t="shared" si="226"/>
        <v>208305.97006047683</v>
      </c>
      <c r="X312" s="4328">
        <f t="shared" si="213"/>
        <v>2434042.7478978857</v>
      </c>
      <c r="Y312" s="5"/>
      <c r="AB312" s="4012"/>
      <c r="AC312" s="4012"/>
    </row>
    <row r="313" spans="1:29" ht="17.45" hidden="1" customHeight="1">
      <c r="A313" s="5190"/>
      <c r="B313" s="5186"/>
      <c r="C313" s="5186"/>
      <c r="D313" s="5186" t="s">
        <v>905</v>
      </c>
      <c r="E313" s="5186"/>
      <c r="F313" s="5186"/>
      <c r="G313" s="1705">
        <f t="shared" si="225"/>
        <v>0</v>
      </c>
      <c r="H313" s="1705"/>
      <c r="I313" s="1705"/>
      <c r="J313" s="1705"/>
      <c r="K313" s="1705"/>
      <c r="L313" s="2415">
        <f t="shared" si="226"/>
        <v>0</v>
      </c>
      <c r="M313" s="2415">
        <f t="shared" si="226"/>
        <v>0</v>
      </c>
      <c r="N313" s="2415">
        <f t="shared" si="226"/>
        <v>0</v>
      </c>
      <c r="O313" s="2415">
        <f t="shared" si="226"/>
        <v>0</v>
      </c>
      <c r="P313" s="2415">
        <f t="shared" si="226"/>
        <v>0</v>
      </c>
      <c r="Q313" s="2415">
        <f t="shared" si="226"/>
        <v>0</v>
      </c>
      <c r="R313" s="2415">
        <f t="shared" si="226"/>
        <v>0</v>
      </c>
      <c r="S313" s="2415">
        <f t="shared" si="226"/>
        <v>0</v>
      </c>
      <c r="T313" s="2415">
        <f t="shared" si="226"/>
        <v>0</v>
      </c>
      <c r="U313" s="2415">
        <f t="shared" si="226"/>
        <v>0</v>
      </c>
      <c r="V313" s="2415">
        <f t="shared" si="226"/>
        <v>0</v>
      </c>
      <c r="W313" s="2415">
        <f t="shared" si="226"/>
        <v>0</v>
      </c>
      <c r="X313" s="2416">
        <f t="shared" si="213"/>
        <v>0</v>
      </c>
      <c r="Y313" s="5"/>
      <c r="AB313" s="4012"/>
      <c r="AC313" s="4012"/>
    </row>
    <row r="314" spans="1:29" ht="17.45" hidden="1" customHeight="1">
      <c r="A314" s="5190"/>
      <c r="B314" s="5186"/>
      <c r="C314" s="5186"/>
      <c r="D314" s="5196" t="s">
        <v>882</v>
      </c>
      <c r="E314" s="5196"/>
      <c r="F314" s="5196"/>
      <c r="G314" s="1711">
        <f t="shared" si="225"/>
        <v>0</v>
      </c>
      <c r="H314" s="1711"/>
      <c r="I314" s="1711"/>
      <c r="J314" s="1711"/>
      <c r="K314" s="1711"/>
      <c r="L314" s="3586">
        <f t="shared" si="226"/>
        <v>0</v>
      </c>
      <c r="M314" s="3586">
        <f t="shared" si="226"/>
        <v>0</v>
      </c>
      <c r="N314" s="3586">
        <f t="shared" si="226"/>
        <v>0</v>
      </c>
      <c r="O314" s="3586">
        <f t="shared" si="226"/>
        <v>0</v>
      </c>
      <c r="P314" s="3586">
        <f t="shared" si="226"/>
        <v>0</v>
      </c>
      <c r="Q314" s="3586">
        <f t="shared" si="226"/>
        <v>0</v>
      </c>
      <c r="R314" s="3586">
        <f t="shared" si="226"/>
        <v>0</v>
      </c>
      <c r="S314" s="3586">
        <f t="shared" si="226"/>
        <v>0</v>
      </c>
      <c r="T314" s="3586">
        <f t="shared" si="226"/>
        <v>0</v>
      </c>
      <c r="U314" s="3586">
        <f t="shared" si="226"/>
        <v>0</v>
      </c>
      <c r="V314" s="3586">
        <f t="shared" si="226"/>
        <v>0</v>
      </c>
      <c r="W314" s="3586">
        <f t="shared" si="226"/>
        <v>0</v>
      </c>
      <c r="X314" s="4327">
        <f t="shared" si="213"/>
        <v>0</v>
      </c>
      <c r="Y314" s="5"/>
      <c r="AB314" s="4012"/>
      <c r="AC314" s="4012"/>
    </row>
    <row r="315" spans="1:29" ht="17.45" hidden="1" customHeight="1">
      <c r="A315" s="5190"/>
      <c r="B315" s="5186"/>
      <c r="C315" s="5186"/>
      <c r="D315" s="5202" t="s">
        <v>1296</v>
      </c>
      <c r="E315" s="5203"/>
      <c r="F315" s="5204"/>
      <c r="G315" s="1711">
        <f t="shared" si="225"/>
        <v>0</v>
      </c>
      <c r="H315" s="1711"/>
      <c r="I315" s="1711"/>
      <c r="J315" s="1711"/>
      <c r="K315" s="1711"/>
      <c r="L315" s="3586">
        <f t="shared" si="226"/>
        <v>0</v>
      </c>
      <c r="M315" s="3586">
        <f t="shared" si="226"/>
        <v>0</v>
      </c>
      <c r="N315" s="3586">
        <f t="shared" si="226"/>
        <v>0</v>
      </c>
      <c r="O315" s="3586">
        <f t="shared" si="226"/>
        <v>0</v>
      </c>
      <c r="P315" s="3586">
        <f t="shared" si="226"/>
        <v>0</v>
      </c>
      <c r="Q315" s="3586">
        <f t="shared" si="226"/>
        <v>0</v>
      </c>
      <c r="R315" s="3586">
        <f t="shared" si="226"/>
        <v>0</v>
      </c>
      <c r="S315" s="3586">
        <f t="shared" si="226"/>
        <v>0</v>
      </c>
      <c r="T315" s="3586">
        <f t="shared" si="226"/>
        <v>0</v>
      </c>
      <c r="U315" s="3586">
        <f t="shared" si="226"/>
        <v>0</v>
      </c>
      <c r="V315" s="3586">
        <f t="shared" si="226"/>
        <v>0</v>
      </c>
      <c r="W315" s="3586">
        <f t="shared" si="226"/>
        <v>0</v>
      </c>
      <c r="X315" s="4327">
        <f t="shared" si="213"/>
        <v>0</v>
      </c>
      <c r="Y315" s="5"/>
      <c r="AB315" s="4012"/>
      <c r="AC315" s="4012"/>
    </row>
    <row r="316" spans="1:29" ht="17.45" hidden="1" customHeight="1">
      <c r="A316" s="5190"/>
      <c r="B316" s="5186"/>
      <c r="C316" s="5186"/>
      <c r="D316" s="5188" t="s">
        <v>892</v>
      </c>
      <c r="E316" s="5188"/>
      <c r="F316" s="5188"/>
      <c r="G316" s="1703">
        <f t="shared" si="225"/>
        <v>2.7084164039907946E-2</v>
      </c>
      <c r="H316" s="1703"/>
      <c r="I316" s="1703"/>
      <c r="J316" s="1703"/>
      <c r="K316" s="1703"/>
      <c r="L316" s="2472">
        <f t="shared" si="226"/>
        <v>112759.2785303191</v>
      </c>
      <c r="M316" s="2472">
        <f t="shared" si="226"/>
        <v>79595.986192208366</v>
      </c>
      <c r="N316" s="2472">
        <f t="shared" si="226"/>
        <v>90764.837322763953</v>
      </c>
      <c r="O316" s="2472">
        <f t="shared" si="226"/>
        <v>68140.941473607192</v>
      </c>
      <c r="P316" s="2472">
        <f t="shared" si="226"/>
        <v>74125.624240222402</v>
      </c>
      <c r="Q316" s="2472">
        <f t="shared" si="226"/>
        <v>74125.624240222402</v>
      </c>
      <c r="R316" s="2472">
        <f t="shared" si="226"/>
        <v>76061.942487986264</v>
      </c>
      <c r="S316" s="2472">
        <f t="shared" si="226"/>
        <v>70077.259721371069</v>
      </c>
      <c r="T316" s="2472">
        <f t="shared" si="226"/>
        <v>72451.879156918105</v>
      </c>
      <c r="U316" s="2472">
        <f t="shared" si="226"/>
        <v>70515.560909154243</v>
      </c>
      <c r="V316" s="2472">
        <f t="shared" si="226"/>
        <v>70515.560909154243</v>
      </c>
      <c r="W316" s="2472">
        <f t="shared" si="226"/>
        <v>68140.941473607192</v>
      </c>
      <c r="X316" s="4280">
        <f t="shared" si="213"/>
        <v>927275.43665753468</v>
      </c>
      <c r="Y316" s="5"/>
      <c r="AB316" s="4012"/>
      <c r="AC316" s="4012"/>
    </row>
    <row r="317" spans="1:29" ht="18" hidden="1" customHeight="1" thickBot="1">
      <c r="A317" s="5191"/>
      <c r="B317" s="5185"/>
      <c r="C317" s="5185"/>
      <c r="D317" s="5185" t="s">
        <v>123</v>
      </c>
      <c r="E317" s="5185"/>
      <c r="F317" s="5185"/>
      <c r="G317" s="1710"/>
      <c r="H317" s="1710"/>
      <c r="I317" s="1710"/>
      <c r="J317" s="1710"/>
      <c r="K317" s="1710"/>
      <c r="L317" s="2342">
        <f>SUM(L310:L316)</f>
        <v>861801.85695740185</v>
      </c>
      <c r="M317" s="2342">
        <f t="shared" ref="M317" si="227">SUM(M310:M316)</f>
        <v>827153.2184255817</v>
      </c>
      <c r="N317" s="2342">
        <f t="shared" ref="N317" si="228">SUM(N310:N316)</f>
        <v>913906.12599176308</v>
      </c>
      <c r="O317" s="2342">
        <f t="shared" ref="O317" si="229">SUM(O310:O316)</f>
        <v>875497.64334517741</v>
      </c>
      <c r="P317" s="2342">
        <f t="shared" ref="P317" si="230">SUM(P310:P316)</f>
        <v>907841.73357704305</v>
      </c>
      <c r="Q317" s="2342">
        <f t="shared" ref="Q317" si="231">SUM(Q310:Q316)</f>
        <v>921178.70732984575</v>
      </c>
      <c r="R317" s="2342">
        <f t="shared" ref="R317" si="232">SUM(R310:R316)</f>
        <v>909803.40381111018</v>
      </c>
      <c r="S317" s="2342">
        <f t="shared" ref="S317" si="233">SUM(S310:S316)</f>
        <v>908828.94033644721</v>
      </c>
      <c r="T317" s="2342">
        <f t="shared" ref="T317" si="234">SUM(T310:T316)</f>
        <v>905947.01757360017</v>
      </c>
      <c r="U317" s="2342">
        <f t="shared" ref="U317" si="235">SUM(U310:U316)</f>
        <v>872907.77951323928</v>
      </c>
      <c r="V317" s="2342">
        <f t="shared" ref="V317" si="236">SUM(V310:V316)</f>
        <v>838450.71929148829</v>
      </c>
      <c r="W317" s="2342">
        <f t="shared" ref="W317" si="237">SUM(W310:W316)</f>
        <v>846718.71332227567</v>
      </c>
      <c r="X317" s="2343">
        <f t="shared" si="213"/>
        <v>10590035.859474974</v>
      </c>
      <c r="Y317" s="1652"/>
      <c r="AB317" s="4012"/>
      <c r="AC317" s="4012"/>
    </row>
    <row r="318" spans="1:29" ht="14.25" hidden="1" thickBot="1">
      <c r="A318" s="1548">
        <v>3</v>
      </c>
      <c r="B318" s="5192" t="s">
        <v>1328</v>
      </c>
      <c r="C318" s="5192"/>
      <c r="D318" s="5192" t="s">
        <v>1327</v>
      </c>
      <c r="E318" s="5192"/>
      <c r="F318" s="5192"/>
      <c r="G318" s="1706">
        <f>X318/$X$319</f>
        <v>1.6940829576776824E-5</v>
      </c>
      <c r="H318" s="1706"/>
      <c r="I318" s="1706"/>
      <c r="J318" s="1706"/>
      <c r="K318" s="1706"/>
      <c r="L318" s="3584">
        <f>L277</f>
        <v>0</v>
      </c>
      <c r="M318" s="3584">
        <f t="shared" ref="M318:W318" si="238">M277</f>
        <v>270</v>
      </c>
      <c r="N318" s="3584">
        <f t="shared" si="238"/>
        <v>110</v>
      </c>
      <c r="O318" s="3584">
        <f t="shared" si="238"/>
        <v>0</v>
      </c>
      <c r="P318" s="3584">
        <f t="shared" si="238"/>
        <v>0</v>
      </c>
      <c r="Q318" s="3584">
        <f t="shared" si="238"/>
        <v>0</v>
      </c>
      <c r="R318" s="3584">
        <f t="shared" si="238"/>
        <v>200</v>
      </c>
      <c r="S318" s="3584">
        <f t="shared" si="238"/>
        <v>0</v>
      </c>
      <c r="T318" s="3584">
        <f t="shared" si="238"/>
        <v>0</v>
      </c>
      <c r="U318" s="3584">
        <f t="shared" si="238"/>
        <v>0</v>
      </c>
      <c r="V318" s="3584">
        <f t="shared" si="238"/>
        <v>0</v>
      </c>
      <c r="W318" s="3584">
        <f t="shared" si="238"/>
        <v>0</v>
      </c>
      <c r="X318" s="2586">
        <f t="shared" si="213"/>
        <v>580</v>
      </c>
      <c r="Y318" s="5"/>
      <c r="AB318" s="4012"/>
      <c r="AC318" s="4012"/>
    </row>
    <row r="319" spans="1:29" ht="18" hidden="1" customHeight="1" thickBot="1">
      <c r="A319" s="1713"/>
      <c r="B319" s="5185" t="s">
        <v>15</v>
      </c>
      <c r="C319" s="5185"/>
      <c r="D319" s="5185"/>
      <c r="E319" s="5185"/>
      <c r="F319" s="5185"/>
      <c r="G319" s="1710"/>
      <c r="H319" s="1710"/>
      <c r="I319" s="1710"/>
      <c r="J319" s="1710"/>
      <c r="K319" s="1710"/>
      <c r="L319" s="2342">
        <f>L309+L317+L318</f>
        <v>2429635.0615906063</v>
      </c>
      <c r="M319" s="2342">
        <f t="shared" ref="M319" si="239">M309+M317+M318</f>
        <v>2449579.6276919907</v>
      </c>
      <c r="N319" s="2342">
        <f t="shared" ref="N319" si="240">N309+N317+N318</f>
        <v>3086482.5352581725</v>
      </c>
      <c r="O319" s="2342">
        <f t="shared" ref="O319" si="241">O309+O317+O318</f>
        <v>3073373.0526115866</v>
      </c>
      <c r="P319" s="2342">
        <f t="shared" ref="P319" si="242">P309+P317+P318</f>
        <v>3100808.1428434523</v>
      </c>
      <c r="Q319" s="2342">
        <f t="shared" ref="Q319" si="243">Q309+Q317+Q318</f>
        <v>3280445.1165962555</v>
      </c>
      <c r="R319" s="2342">
        <f t="shared" ref="R319" si="244">R309+R317+R318</f>
        <v>3081319.8130775196</v>
      </c>
      <c r="S319" s="2342">
        <f t="shared" ref="S319" si="245">S309+S317+S318</f>
        <v>2919645.3496028567</v>
      </c>
      <c r="T319" s="2342">
        <f t="shared" ref="T319" si="246">T309+T317+T318</f>
        <v>3017263.4268400096</v>
      </c>
      <c r="U319" s="2342">
        <f t="shared" ref="U319" si="247">U309+U317+U318</f>
        <v>2947224.1887796484</v>
      </c>
      <c r="V319" s="2342">
        <f t="shared" ref="V319" si="248">V309+V317+V318</f>
        <v>2518633.9239246929</v>
      </c>
      <c r="W319" s="2342">
        <f t="shared" ref="W319" si="249">W309+W317+W318</f>
        <v>2332401.9179554805</v>
      </c>
      <c r="X319" s="2343">
        <f t="shared" si="213"/>
        <v>34236812.156772271</v>
      </c>
      <c r="Y319" s="1652"/>
      <c r="AB319" s="4012"/>
      <c r="AC319" s="4012"/>
    </row>
    <row r="320" spans="1:29" hidden="1">
      <c r="A320" s="1539"/>
      <c r="B320" s="1537"/>
      <c r="D320" s="9"/>
      <c r="L320" s="1542">
        <f>L319-L278</f>
        <v>0</v>
      </c>
      <c r="M320" s="1542">
        <f t="shared" ref="M320:W320" si="250">M319-M278</f>
        <v>0</v>
      </c>
      <c r="N320" s="1542">
        <f t="shared" si="250"/>
        <v>0</v>
      </c>
      <c r="O320" s="1542">
        <f t="shared" si="250"/>
        <v>0</v>
      </c>
      <c r="P320" s="1542">
        <f t="shared" si="250"/>
        <v>0</v>
      </c>
      <c r="Q320" s="1542">
        <f t="shared" si="250"/>
        <v>0</v>
      </c>
      <c r="R320" s="1542">
        <f t="shared" si="250"/>
        <v>0</v>
      </c>
      <c r="S320" s="1542">
        <f t="shared" si="250"/>
        <v>0</v>
      </c>
      <c r="T320" s="1542">
        <f t="shared" si="250"/>
        <v>0</v>
      </c>
      <c r="U320" s="1542">
        <f t="shared" si="250"/>
        <v>0</v>
      </c>
      <c r="V320" s="1542">
        <f t="shared" si="250"/>
        <v>0</v>
      </c>
      <c r="W320" s="1542">
        <f t="shared" si="250"/>
        <v>0</v>
      </c>
      <c r="X320" s="1542">
        <f>X319-X278</f>
        <v>0</v>
      </c>
      <c r="Y320" s="5"/>
      <c r="AC320" s="9"/>
    </row>
    <row r="321" spans="1:29" ht="16.149999999999999" hidden="1" customHeight="1">
      <c r="A321" s="1539"/>
      <c r="B321" s="1537"/>
      <c r="D321" s="9"/>
      <c r="W321" s="1623"/>
      <c r="X321" s="1719">
        <f>X319-X86</f>
        <v>-2987528.1259707883</v>
      </c>
      <c r="Y321" s="1871"/>
      <c r="AC321" s="9"/>
    </row>
    <row r="322" spans="1:29" hidden="1">
      <c r="A322" s="1539"/>
      <c r="B322" s="1537"/>
      <c r="D322" s="9"/>
      <c r="AC322" s="9"/>
    </row>
    <row r="323" spans="1:29" hidden="1">
      <c r="A323" s="1539"/>
      <c r="B323" s="1537"/>
      <c r="D323" s="9"/>
      <c r="AC323" s="9"/>
    </row>
    <row r="324" spans="1:29" ht="14.25" hidden="1" thickBot="1">
      <c r="A324" s="1539" t="s">
        <v>1026</v>
      </c>
      <c r="B324" s="1537"/>
      <c r="D324" s="9"/>
      <c r="AC324" s="9"/>
    </row>
    <row r="325" spans="1:29" ht="27.75" hidden="1" thickBot="1">
      <c r="A325" s="1714" t="s">
        <v>1027</v>
      </c>
      <c r="B325" s="5184" t="s">
        <v>107</v>
      </c>
      <c r="C325" s="5184"/>
      <c r="D325" s="5184" t="s">
        <v>1006</v>
      </c>
      <c r="E325" s="5184"/>
      <c r="F325" s="5184"/>
      <c r="G325" s="81" t="s">
        <v>1025</v>
      </c>
      <c r="H325" s="81"/>
      <c r="I325" s="81"/>
      <c r="J325" s="81"/>
      <c r="K325" s="81"/>
      <c r="L325" s="1877" t="str">
        <f>L307</f>
        <v>Jan.26</v>
      </c>
      <c r="M325" s="1877" t="str">
        <f t="shared" ref="M325:X325" si="251">M307</f>
        <v>Feb.26</v>
      </c>
      <c r="N325" s="1877" t="str">
        <f t="shared" si="251"/>
        <v>Mar.26</v>
      </c>
      <c r="O325" s="1877" t="str">
        <f t="shared" si="251"/>
        <v>Apr.26</v>
      </c>
      <c r="P325" s="1877" t="str">
        <f t="shared" si="251"/>
        <v>May.26</v>
      </c>
      <c r="Q325" s="1877" t="str">
        <f t="shared" si="251"/>
        <v>Jun.26</v>
      </c>
      <c r="R325" s="1877" t="str">
        <f t="shared" si="251"/>
        <v>Jul.26</v>
      </c>
      <c r="S325" s="1877" t="str">
        <f t="shared" si="251"/>
        <v>Aug.26</v>
      </c>
      <c r="T325" s="1877" t="str">
        <f t="shared" si="251"/>
        <v>Sep.26</v>
      </c>
      <c r="U325" s="1877" t="str">
        <f t="shared" si="251"/>
        <v>Oct.26</v>
      </c>
      <c r="V325" s="1877" t="str">
        <f t="shared" si="251"/>
        <v>Nov.26</v>
      </c>
      <c r="W325" s="1877" t="str">
        <f t="shared" si="251"/>
        <v>Dec.26</v>
      </c>
      <c r="X325" s="3582" t="str">
        <f t="shared" si="251"/>
        <v>2026
Total</v>
      </c>
      <c r="Y325" s="4739"/>
      <c r="AB325" s="9"/>
      <c r="AC325" s="9"/>
    </row>
    <row r="326" spans="1:29" hidden="1">
      <c r="A326" s="5189">
        <v>1</v>
      </c>
      <c r="B326" s="5187" t="s">
        <v>16</v>
      </c>
      <c r="C326" s="5187"/>
      <c r="D326" s="5194" t="s">
        <v>16</v>
      </c>
      <c r="E326" s="5194"/>
      <c r="F326" s="5194"/>
      <c r="G326" s="1708">
        <f>X326/$X$319</f>
        <v>0</v>
      </c>
      <c r="H326" s="1708"/>
      <c r="I326" s="1708"/>
      <c r="J326" s="1708"/>
      <c r="K326" s="1708"/>
      <c r="L326" s="4418">
        <f t="shared" ref="L326:W326" si="252">SUMIF($AC$90:$AC$168,$D326,L$90:L$168)</f>
        <v>0</v>
      </c>
      <c r="M326" s="4418">
        <f t="shared" si="252"/>
        <v>0</v>
      </c>
      <c r="N326" s="4418">
        <f t="shared" si="252"/>
        <v>0</v>
      </c>
      <c r="O326" s="4418">
        <f t="shared" si="252"/>
        <v>0</v>
      </c>
      <c r="P326" s="4418">
        <f t="shared" si="252"/>
        <v>0</v>
      </c>
      <c r="Q326" s="4418">
        <f t="shared" si="252"/>
        <v>0</v>
      </c>
      <c r="R326" s="4418">
        <f t="shared" si="252"/>
        <v>0</v>
      </c>
      <c r="S326" s="4418">
        <f t="shared" si="252"/>
        <v>0</v>
      </c>
      <c r="T326" s="4418">
        <f t="shared" si="252"/>
        <v>0</v>
      </c>
      <c r="U326" s="4418">
        <f t="shared" si="252"/>
        <v>0</v>
      </c>
      <c r="V326" s="4418">
        <f t="shared" si="252"/>
        <v>0</v>
      </c>
      <c r="W326" s="4418">
        <f t="shared" si="252"/>
        <v>0</v>
      </c>
      <c r="X326" s="4325">
        <f>SUM(L326:W326)</f>
        <v>0</v>
      </c>
      <c r="Y326" s="4744"/>
      <c r="AB326" s="9"/>
      <c r="AC326" s="9"/>
    </row>
    <row r="327" spans="1:29" ht="18" hidden="1" customHeight="1" thickBot="1">
      <c r="A327" s="5191"/>
      <c r="B327" s="5185"/>
      <c r="C327" s="5185"/>
      <c r="D327" s="5185" t="s">
        <v>123</v>
      </c>
      <c r="E327" s="5185"/>
      <c r="F327" s="5185"/>
      <c r="G327" s="1710"/>
      <c r="H327" s="1710"/>
      <c r="I327" s="1710"/>
      <c r="J327" s="1710"/>
      <c r="K327" s="1710"/>
      <c r="L327" s="4020">
        <f t="shared" ref="L327:W327" si="253">L326</f>
        <v>0</v>
      </c>
      <c r="M327" s="4020">
        <f t="shared" si="253"/>
        <v>0</v>
      </c>
      <c r="N327" s="4020">
        <f t="shared" si="253"/>
        <v>0</v>
      </c>
      <c r="O327" s="4020">
        <f t="shared" si="253"/>
        <v>0</v>
      </c>
      <c r="P327" s="4020">
        <f t="shared" si="253"/>
        <v>0</v>
      </c>
      <c r="Q327" s="4020">
        <f t="shared" si="253"/>
        <v>0</v>
      </c>
      <c r="R327" s="4020">
        <f t="shared" si="253"/>
        <v>0</v>
      </c>
      <c r="S327" s="4020">
        <f t="shared" si="253"/>
        <v>0</v>
      </c>
      <c r="T327" s="4020">
        <f t="shared" si="253"/>
        <v>0</v>
      </c>
      <c r="U327" s="4020">
        <f t="shared" si="253"/>
        <v>0</v>
      </c>
      <c r="V327" s="4020">
        <f t="shared" si="253"/>
        <v>0</v>
      </c>
      <c r="W327" s="4020">
        <f t="shared" si="253"/>
        <v>0</v>
      </c>
      <c r="X327" s="4326">
        <f t="shared" ref="X327:X330" si="254">SUM(L327:W327)</f>
        <v>0</v>
      </c>
      <c r="Y327" s="4744"/>
      <c r="AB327" s="9"/>
      <c r="AC327" s="9"/>
    </row>
    <row r="328" spans="1:29" hidden="1">
      <c r="A328" s="5189">
        <v>2</v>
      </c>
      <c r="B328" s="5187" t="s">
        <v>499</v>
      </c>
      <c r="C328" s="5187"/>
      <c r="D328" s="5154" t="s">
        <v>865</v>
      </c>
      <c r="E328" s="5154"/>
      <c r="F328" s="5154"/>
      <c r="G328" s="1700">
        <f t="shared" ref="G328:G334" si="255">X328/$X$319</f>
        <v>0</v>
      </c>
      <c r="H328" s="1700"/>
      <c r="I328" s="1700"/>
      <c r="J328" s="1700"/>
      <c r="K328" s="1700"/>
      <c r="L328" s="4382">
        <f t="shared" ref="L328:W334" si="256">SUMIF($AC$90:$AC$168,$D328,L$90:L$168)</f>
        <v>0</v>
      </c>
      <c r="M328" s="4382">
        <f t="shared" si="256"/>
        <v>0</v>
      </c>
      <c r="N328" s="4382">
        <f t="shared" si="256"/>
        <v>0</v>
      </c>
      <c r="O328" s="4382">
        <f t="shared" si="256"/>
        <v>0</v>
      </c>
      <c r="P328" s="4382">
        <f t="shared" si="256"/>
        <v>0</v>
      </c>
      <c r="Q328" s="4382">
        <f t="shared" si="256"/>
        <v>0</v>
      </c>
      <c r="R328" s="4382">
        <f t="shared" si="256"/>
        <v>0</v>
      </c>
      <c r="S328" s="4382">
        <f t="shared" si="256"/>
        <v>0</v>
      </c>
      <c r="T328" s="4382">
        <f t="shared" si="256"/>
        <v>0</v>
      </c>
      <c r="U328" s="4382">
        <f t="shared" si="256"/>
        <v>0</v>
      </c>
      <c r="V328" s="4382">
        <f t="shared" si="256"/>
        <v>0</v>
      </c>
      <c r="W328" s="4382">
        <f t="shared" si="256"/>
        <v>0</v>
      </c>
      <c r="X328" s="3579">
        <f t="shared" si="254"/>
        <v>0</v>
      </c>
      <c r="Y328" s="5"/>
      <c r="AB328" s="9"/>
      <c r="AC328" s="9"/>
    </row>
    <row r="329" spans="1:29" ht="17.45" hidden="1" customHeight="1">
      <c r="A329" s="5190"/>
      <c r="B329" s="5186"/>
      <c r="C329" s="5186"/>
      <c r="D329" s="5198" t="s">
        <v>874</v>
      </c>
      <c r="E329" s="5198"/>
      <c r="F329" s="5198"/>
      <c r="G329" s="1711">
        <f t="shared" si="255"/>
        <v>0</v>
      </c>
      <c r="H329" s="1711"/>
      <c r="I329" s="1711"/>
      <c r="J329" s="1711"/>
      <c r="K329" s="1711"/>
      <c r="L329" s="4419">
        <f t="shared" si="256"/>
        <v>0</v>
      </c>
      <c r="M329" s="4419">
        <f t="shared" si="256"/>
        <v>0</v>
      </c>
      <c r="N329" s="4419">
        <f t="shared" si="256"/>
        <v>0</v>
      </c>
      <c r="O329" s="4419">
        <f t="shared" si="256"/>
        <v>0</v>
      </c>
      <c r="P329" s="4419">
        <f t="shared" si="256"/>
        <v>0</v>
      </c>
      <c r="Q329" s="4419">
        <f t="shared" si="256"/>
        <v>0</v>
      </c>
      <c r="R329" s="4419">
        <f t="shared" si="256"/>
        <v>0</v>
      </c>
      <c r="S329" s="4419">
        <f t="shared" si="256"/>
        <v>0</v>
      </c>
      <c r="T329" s="4419">
        <f t="shared" si="256"/>
        <v>0</v>
      </c>
      <c r="U329" s="4419">
        <f t="shared" si="256"/>
        <v>0</v>
      </c>
      <c r="V329" s="4419">
        <f t="shared" si="256"/>
        <v>0</v>
      </c>
      <c r="W329" s="4419">
        <f t="shared" si="256"/>
        <v>0</v>
      </c>
      <c r="X329" s="4327">
        <f t="shared" si="254"/>
        <v>0</v>
      </c>
      <c r="Y329" s="5"/>
      <c r="AB329" s="9"/>
      <c r="AC329" s="9"/>
    </row>
    <row r="330" spans="1:29" ht="17.45" hidden="1" customHeight="1">
      <c r="A330" s="5190"/>
      <c r="B330" s="5186"/>
      <c r="C330" s="5186"/>
      <c r="D330" s="5199" t="s">
        <v>885</v>
      </c>
      <c r="E330" s="5199"/>
      <c r="F330" s="5199"/>
      <c r="G330" s="1712">
        <f t="shared" si="255"/>
        <v>0</v>
      </c>
      <c r="H330" s="1712"/>
      <c r="I330" s="1712"/>
      <c r="J330" s="1712"/>
      <c r="K330" s="1712"/>
      <c r="L330" s="4420">
        <f t="shared" si="256"/>
        <v>0</v>
      </c>
      <c r="M330" s="4420">
        <f t="shared" si="256"/>
        <v>0</v>
      </c>
      <c r="N330" s="4420">
        <f t="shared" si="256"/>
        <v>0</v>
      </c>
      <c r="O330" s="4420">
        <f t="shared" si="256"/>
        <v>0</v>
      </c>
      <c r="P330" s="4420">
        <f t="shared" si="256"/>
        <v>0</v>
      </c>
      <c r="Q330" s="4420">
        <f t="shared" si="256"/>
        <v>0</v>
      </c>
      <c r="R330" s="4420">
        <f t="shared" si="256"/>
        <v>0</v>
      </c>
      <c r="S330" s="4420">
        <f t="shared" si="256"/>
        <v>0</v>
      </c>
      <c r="T330" s="4420">
        <f t="shared" si="256"/>
        <v>0</v>
      </c>
      <c r="U330" s="4420">
        <f t="shared" si="256"/>
        <v>0</v>
      </c>
      <c r="V330" s="4420">
        <f t="shared" si="256"/>
        <v>0</v>
      </c>
      <c r="W330" s="4420">
        <f t="shared" si="256"/>
        <v>0</v>
      </c>
      <c r="X330" s="4328">
        <f t="shared" si="254"/>
        <v>0</v>
      </c>
      <c r="Y330" s="5"/>
      <c r="AB330" s="9"/>
      <c r="AC330" s="9"/>
    </row>
    <row r="331" spans="1:29" ht="17.45" hidden="1" customHeight="1">
      <c r="A331" s="5190"/>
      <c r="B331" s="5186"/>
      <c r="C331" s="5186"/>
      <c r="D331" s="5200" t="s">
        <v>905</v>
      </c>
      <c r="E331" s="5200"/>
      <c r="F331" s="5200"/>
      <c r="G331" s="1705">
        <f t="shared" si="255"/>
        <v>0</v>
      </c>
      <c r="H331" s="1705"/>
      <c r="I331" s="1705"/>
      <c r="J331" s="1705"/>
      <c r="K331" s="1705"/>
      <c r="L331" s="4384">
        <f t="shared" si="256"/>
        <v>0</v>
      </c>
      <c r="M331" s="4384">
        <f t="shared" si="256"/>
        <v>0</v>
      </c>
      <c r="N331" s="4384">
        <f t="shared" si="256"/>
        <v>0</v>
      </c>
      <c r="O331" s="4384">
        <f t="shared" si="256"/>
        <v>0</v>
      </c>
      <c r="P331" s="4384">
        <f t="shared" si="256"/>
        <v>0</v>
      </c>
      <c r="Q331" s="4384">
        <f t="shared" si="256"/>
        <v>0</v>
      </c>
      <c r="R331" s="4384">
        <f t="shared" si="256"/>
        <v>0</v>
      </c>
      <c r="S331" s="4384">
        <f t="shared" si="256"/>
        <v>0</v>
      </c>
      <c r="T331" s="4384">
        <f t="shared" si="256"/>
        <v>0</v>
      </c>
      <c r="U331" s="4384">
        <f t="shared" si="256"/>
        <v>0</v>
      </c>
      <c r="V331" s="4384">
        <f t="shared" si="256"/>
        <v>0</v>
      </c>
      <c r="W331" s="4384">
        <f t="shared" si="256"/>
        <v>0</v>
      </c>
      <c r="X331" s="2416">
        <f>SUM(L331:W331)</f>
        <v>0</v>
      </c>
      <c r="Y331" s="5"/>
      <c r="AB331" s="9"/>
      <c r="AC331" s="9"/>
    </row>
    <row r="332" spans="1:29" ht="17.45" hidden="1" customHeight="1">
      <c r="A332" s="5190"/>
      <c r="B332" s="5186"/>
      <c r="C332" s="5186"/>
      <c r="D332" s="5198" t="s">
        <v>882</v>
      </c>
      <c r="E332" s="5198"/>
      <c r="F332" s="5198"/>
      <c r="G332" s="1711">
        <f t="shared" si="255"/>
        <v>0</v>
      </c>
      <c r="H332" s="1711"/>
      <c r="I332" s="1711"/>
      <c r="J332" s="1711"/>
      <c r="K332" s="1711"/>
      <c r="L332" s="4419">
        <f t="shared" si="256"/>
        <v>0</v>
      </c>
      <c r="M332" s="4419">
        <f t="shared" si="256"/>
        <v>0</v>
      </c>
      <c r="N332" s="4419">
        <f t="shared" si="256"/>
        <v>0</v>
      </c>
      <c r="O332" s="4419">
        <f t="shared" si="256"/>
        <v>0</v>
      </c>
      <c r="P332" s="4419">
        <f t="shared" si="256"/>
        <v>0</v>
      </c>
      <c r="Q332" s="4419">
        <f t="shared" si="256"/>
        <v>0</v>
      </c>
      <c r="R332" s="4419">
        <f t="shared" si="256"/>
        <v>0</v>
      </c>
      <c r="S332" s="4419">
        <f t="shared" si="256"/>
        <v>0</v>
      </c>
      <c r="T332" s="4419">
        <f t="shared" si="256"/>
        <v>0</v>
      </c>
      <c r="U332" s="4419">
        <f t="shared" si="256"/>
        <v>0</v>
      </c>
      <c r="V332" s="4419">
        <f t="shared" si="256"/>
        <v>0</v>
      </c>
      <c r="W332" s="4419">
        <f t="shared" si="256"/>
        <v>0</v>
      </c>
      <c r="X332" s="4327">
        <f t="shared" ref="X332:X338" si="257">SUM(L332:W332)</f>
        <v>0</v>
      </c>
      <c r="Y332" s="5"/>
      <c r="AB332" s="9"/>
      <c r="AC332" s="9"/>
    </row>
    <row r="333" spans="1:29" ht="17.45" hidden="1" customHeight="1">
      <c r="A333" s="5190"/>
      <c r="B333" s="5186"/>
      <c r="C333" s="5186"/>
      <c r="D333" s="5202" t="s">
        <v>1314</v>
      </c>
      <c r="E333" s="5203"/>
      <c r="F333" s="5204"/>
      <c r="G333" s="1705">
        <f t="shared" si="255"/>
        <v>0</v>
      </c>
      <c r="H333" s="1705"/>
      <c r="I333" s="1705"/>
      <c r="J333" s="1705"/>
      <c r="K333" s="1705"/>
      <c r="L333" s="4384">
        <f t="shared" si="256"/>
        <v>0</v>
      </c>
      <c r="M333" s="4384">
        <f t="shared" si="256"/>
        <v>0</v>
      </c>
      <c r="N333" s="4384">
        <f t="shared" si="256"/>
        <v>0</v>
      </c>
      <c r="O333" s="4384">
        <f t="shared" si="256"/>
        <v>0</v>
      </c>
      <c r="P333" s="4384">
        <f t="shared" si="256"/>
        <v>0</v>
      </c>
      <c r="Q333" s="4384">
        <f t="shared" si="256"/>
        <v>0</v>
      </c>
      <c r="R333" s="4384">
        <f t="shared" si="256"/>
        <v>0</v>
      </c>
      <c r="S333" s="4384">
        <f t="shared" si="256"/>
        <v>0</v>
      </c>
      <c r="T333" s="4384">
        <f t="shared" si="256"/>
        <v>0</v>
      </c>
      <c r="U333" s="4384">
        <f t="shared" si="256"/>
        <v>0</v>
      </c>
      <c r="V333" s="4384">
        <f t="shared" si="256"/>
        <v>0</v>
      </c>
      <c r="W333" s="4384">
        <f t="shared" si="256"/>
        <v>0</v>
      </c>
      <c r="X333" s="2416">
        <f t="shared" si="257"/>
        <v>0</v>
      </c>
      <c r="Y333" s="5"/>
      <c r="AB333" s="9"/>
      <c r="AC333" s="9"/>
    </row>
    <row r="334" spans="1:29" ht="17.45" hidden="1" customHeight="1">
      <c r="A334" s="5190"/>
      <c r="B334" s="5186"/>
      <c r="C334" s="5186"/>
      <c r="D334" s="5201" t="s">
        <v>892</v>
      </c>
      <c r="E334" s="5201"/>
      <c r="F334" s="5201"/>
      <c r="G334" s="1703">
        <f t="shared" si="255"/>
        <v>0</v>
      </c>
      <c r="H334" s="1703"/>
      <c r="I334" s="1703"/>
      <c r="J334" s="1703"/>
      <c r="K334" s="1703"/>
      <c r="L334" s="4399">
        <f t="shared" si="256"/>
        <v>0</v>
      </c>
      <c r="M334" s="4399">
        <f t="shared" si="256"/>
        <v>0</v>
      </c>
      <c r="N334" s="4399">
        <f t="shared" si="256"/>
        <v>0</v>
      </c>
      <c r="O334" s="4399">
        <f t="shared" si="256"/>
        <v>0</v>
      </c>
      <c r="P334" s="4399">
        <f t="shared" si="256"/>
        <v>0</v>
      </c>
      <c r="Q334" s="4399">
        <f t="shared" si="256"/>
        <v>0</v>
      </c>
      <c r="R334" s="4399">
        <f t="shared" si="256"/>
        <v>0</v>
      </c>
      <c r="S334" s="4399">
        <f t="shared" si="256"/>
        <v>0</v>
      </c>
      <c r="T334" s="4399">
        <f t="shared" si="256"/>
        <v>0</v>
      </c>
      <c r="U334" s="4399">
        <f t="shared" si="256"/>
        <v>0</v>
      </c>
      <c r="V334" s="4399">
        <f t="shared" si="256"/>
        <v>0</v>
      </c>
      <c r="W334" s="4399">
        <f t="shared" si="256"/>
        <v>0</v>
      </c>
      <c r="X334" s="4280">
        <f t="shared" si="257"/>
        <v>0</v>
      </c>
      <c r="Y334" s="5"/>
      <c r="AB334" s="9"/>
      <c r="AC334" s="9"/>
    </row>
    <row r="335" spans="1:29" ht="18" hidden="1" customHeight="1" thickBot="1">
      <c r="A335" s="5191"/>
      <c r="B335" s="5185"/>
      <c r="C335" s="5185"/>
      <c r="D335" s="5185" t="s">
        <v>123</v>
      </c>
      <c r="E335" s="5185"/>
      <c r="F335" s="5185"/>
      <c r="G335" s="1710"/>
      <c r="H335" s="1710"/>
      <c r="I335" s="1710"/>
      <c r="J335" s="1710"/>
      <c r="K335" s="1710"/>
      <c r="L335" s="2342">
        <f t="shared" ref="L335:W335" si="258">SUM(L328:L334)</f>
        <v>0</v>
      </c>
      <c r="M335" s="2342">
        <f t="shared" si="258"/>
        <v>0</v>
      </c>
      <c r="N335" s="2342">
        <f t="shared" si="258"/>
        <v>0</v>
      </c>
      <c r="O335" s="2342">
        <f t="shared" si="258"/>
        <v>0</v>
      </c>
      <c r="P335" s="2342">
        <f t="shared" si="258"/>
        <v>0</v>
      </c>
      <c r="Q335" s="2342">
        <f t="shared" si="258"/>
        <v>0</v>
      </c>
      <c r="R335" s="2342">
        <f t="shared" si="258"/>
        <v>0</v>
      </c>
      <c r="S335" s="2342">
        <f t="shared" si="258"/>
        <v>0</v>
      </c>
      <c r="T335" s="2342">
        <f t="shared" si="258"/>
        <v>0</v>
      </c>
      <c r="U335" s="2342">
        <f t="shared" si="258"/>
        <v>0</v>
      </c>
      <c r="V335" s="2342">
        <f t="shared" si="258"/>
        <v>0</v>
      </c>
      <c r="W335" s="2342">
        <f t="shared" si="258"/>
        <v>0</v>
      </c>
      <c r="X335" s="2343">
        <f t="shared" si="257"/>
        <v>0</v>
      </c>
      <c r="Y335" s="1652"/>
      <c r="AB335" s="9"/>
      <c r="AC335" s="9"/>
    </row>
    <row r="336" spans="1:29" ht="18" hidden="1" customHeight="1" thickBot="1">
      <c r="A336" s="76"/>
      <c r="B336" s="5192" t="s">
        <v>1328</v>
      </c>
      <c r="C336" s="5192"/>
      <c r="D336" s="5192" t="s">
        <v>1327</v>
      </c>
      <c r="E336" s="5192"/>
      <c r="F336" s="5192"/>
      <c r="G336" s="1710"/>
      <c r="H336" s="1710"/>
      <c r="I336" s="1710"/>
      <c r="J336" s="1710"/>
      <c r="K336" s="1710"/>
      <c r="L336" s="2342">
        <f t="shared" ref="L336:W336" si="259">SUMIF($AB$90:$AB$168,$D296,L$90:L$168)</f>
        <v>0</v>
      </c>
      <c r="M336" s="2342">
        <f t="shared" si="259"/>
        <v>0</v>
      </c>
      <c r="N336" s="2342">
        <f t="shared" si="259"/>
        <v>0</v>
      </c>
      <c r="O336" s="2342">
        <f t="shared" si="259"/>
        <v>0</v>
      </c>
      <c r="P336" s="2342">
        <f t="shared" si="259"/>
        <v>0</v>
      </c>
      <c r="Q336" s="2342">
        <f t="shared" si="259"/>
        <v>0</v>
      </c>
      <c r="R336" s="2342">
        <f t="shared" si="259"/>
        <v>0</v>
      </c>
      <c r="S336" s="2342">
        <f t="shared" si="259"/>
        <v>0</v>
      </c>
      <c r="T336" s="2342">
        <f t="shared" si="259"/>
        <v>0</v>
      </c>
      <c r="U336" s="2342">
        <f t="shared" si="259"/>
        <v>0</v>
      </c>
      <c r="V336" s="2342">
        <f t="shared" si="259"/>
        <v>0</v>
      </c>
      <c r="W336" s="2342">
        <f t="shared" si="259"/>
        <v>0</v>
      </c>
      <c r="X336" s="4280">
        <f t="shared" si="257"/>
        <v>0</v>
      </c>
      <c r="Y336" s="5"/>
      <c r="AB336" s="9"/>
      <c r="AC336" s="9"/>
    </row>
    <row r="337" spans="1:29" ht="14.25" hidden="1" thickBot="1">
      <c r="A337" s="78">
        <v>3</v>
      </c>
      <c r="B337" s="5193" t="s">
        <v>1020</v>
      </c>
      <c r="C337" s="5193"/>
      <c r="D337" s="5193" t="s">
        <v>1020</v>
      </c>
      <c r="E337" s="5193"/>
      <c r="F337" s="5193"/>
      <c r="G337" s="1700">
        <f>X337/$X$319</f>
        <v>6.0889430664695814E-2</v>
      </c>
      <c r="H337" s="1700"/>
      <c r="I337" s="1700"/>
      <c r="J337" s="1700"/>
      <c r="K337" s="1700"/>
      <c r="L337" s="4384">
        <f>L297</f>
        <v>170900</v>
      </c>
      <c r="M337" s="4384">
        <f t="shared" ref="M337:W337" si="260">M297</f>
        <v>110000</v>
      </c>
      <c r="N337" s="4384">
        <f t="shared" si="260"/>
        <v>150000</v>
      </c>
      <c r="O337" s="4384">
        <f t="shared" si="260"/>
        <v>175360</v>
      </c>
      <c r="P337" s="4384">
        <f t="shared" si="260"/>
        <v>160000</v>
      </c>
      <c r="Q337" s="4384">
        <f t="shared" si="260"/>
        <v>175000</v>
      </c>
      <c r="R337" s="4384">
        <f t="shared" si="260"/>
        <v>180000</v>
      </c>
      <c r="S337" s="4384">
        <f t="shared" si="260"/>
        <v>175000</v>
      </c>
      <c r="T337" s="4384">
        <f t="shared" si="260"/>
        <v>130000</v>
      </c>
      <c r="U337" s="4384">
        <f t="shared" si="260"/>
        <v>180000</v>
      </c>
      <c r="V337" s="4384">
        <f t="shared" si="260"/>
        <v>252800</v>
      </c>
      <c r="W337" s="4384">
        <f t="shared" si="260"/>
        <v>225600</v>
      </c>
      <c r="X337" s="2416">
        <f t="shared" si="257"/>
        <v>2084660</v>
      </c>
      <c r="Y337" s="5"/>
      <c r="AB337" s="9"/>
      <c r="AC337" s="9"/>
    </row>
    <row r="338" spans="1:29" ht="18" hidden="1" customHeight="1" thickBot="1">
      <c r="A338" s="1714"/>
      <c r="B338" s="5184" t="s">
        <v>15</v>
      </c>
      <c r="C338" s="5184"/>
      <c r="D338" s="5184"/>
      <c r="E338" s="5184"/>
      <c r="F338" s="5184"/>
      <c r="G338" s="1698"/>
      <c r="H338" s="1698"/>
      <c r="I338" s="1698"/>
      <c r="J338" s="1698"/>
      <c r="K338" s="1698"/>
      <c r="L338" s="1799">
        <f t="shared" ref="L338:V338" si="261">L327+L335+L337+L336</f>
        <v>170900</v>
      </c>
      <c r="M338" s="1799">
        <f t="shared" si="261"/>
        <v>110000</v>
      </c>
      <c r="N338" s="1799">
        <f t="shared" si="261"/>
        <v>150000</v>
      </c>
      <c r="O338" s="1799">
        <f t="shared" si="261"/>
        <v>175360</v>
      </c>
      <c r="P338" s="1799">
        <f t="shared" si="261"/>
        <v>160000</v>
      </c>
      <c r="Q338" s="1799">
        <f t="shared" si="261"/>
        <v>175000</v>
      </c>
      <c r="R338" s="1799">
        <f t="shared" si="261"/>
        <v>180000</v>
      </c>
      <c r="S338" s="1799">
        <f t="shared" si="261"/>
        <v>175000</v>
      </c>
      <c r="T338" s="1799">
        <f t="shared" si="261"/>
        <v>130000</v>
      </c>
      <c r="U338" s="1799">
        <f t="shared" si="261"/>
        <v>180000</v>
      </c>
      <c r="V338" s="1799">
        <f t="shared" si="261"/>
        <v>252800</v>
      </c>
      <c r="W338" s="1799">
        <f>W327+W335+W337+W336</f>
        <v>225600</v>
      </c>
      <c r="X338" s="1800">
        <f t="shared" si="257"/>
        <v>2084660</v>
      </c>
      <c r="Y338" s="1652"/>
      <c r="AB338" s="9"/>
      <c r="AC338" s="9"/>
    </row>
    <row r="339" spans="1:29" hidden="1">
      <c r="L339" s="1543" t="b">
        <f t="shared" ref="L339" si="262">L338=L298</f>
        <v>1</v>
      </c>
      <c r="M339" s="1543" t="b">
        <f t="shared" ref="M339" si="263">M338=M298</f>
        <v>1</v>
      </c>
      <c r="N339" s="1543" t="b">
        <f t="shared" ref="N339" si="264">N338=N298</f>
        <v>1</v>
      </c>
      <c r="O339" s="1543" t="b">
        <f t="shared" ref="O339" si="265">O338=O298</f>
        <v>1</v>
      </c>
      <c r="P339" s="1543" t="b">
        <f t="shared" ref="P339" si="266">P338=P298</f>
        <v>1</v>
      </c>
      <c r="Q339" s="1543" t="b">
        <f t="shared" ref="Q339" si="267">Q338=Q298</f>
        <v>1</v>
      </c>
      <c r="R339" s="1543" t="b">
        <f t="shared" ref="R339" si="268">R338=R298</f>
        <v>1</v>
      </c>
      <c r="S339" s="1543" t="b">
        <f t="shared" ref="S339" si="269">S338=S298</f>
        <v>1</v>
      </c>
      <c r="T339" s="1543" t="b">
        <f t="shared" ref="T339" si="270">T338=T298</f>
        <v>1</v>
      </c>
      <c r="U339" s="1543" t="b">
        <f t="shared" ref="U339" si="271">U338=U298</f>
        <v>1</v>
      </c>
      <c r="V339" s="1543" t="b">
        <f t="shared" ref="V339" si="272">V338=V298</f>
        <v>1</v>
      </c>
      <c r="W339" s="1543" t="b">
        <f t="shared" ref="W339" si="273">W338=W298</f>
        <v>1</v>
      </c>
      <c r="X339" s="1543">
        <f>X338-X298</f>
        <v>0</v>
      </c>
      <c r="Y339" s="2814"/>
    </row>
    <row r="340" spans="1:29" hidden="1">
      <c r="L340" s="1543"/>
      <c r="M340" s="1543"/>
      <c r="N340" s="1543"/>
      <c r="O340" s="1543"/>
      <c r="P340" s="1543"/>
      <c r="Q340" s="1543"/>
      <c r="R340" s="1543"/>
      <c r="S340" s="1543"/>
      <c r="T340" s="1543"/>
      <c r="U340" s="1543"/>
      <c r="V340" s="1543"/>
      <c r="W340" s="1543"/>
      <c r="X340" s="1543"/>
      <c r="Y340" s="2814"/>
    </row>
    <row r="341" spans="1:29" hidden="1"/>
    <row r="342" spans="1:29" hidden="1"/>
  </sheetData>
  <autoFilter ref="A4:X86" xr:uid="{00000000-0009-0000-0000-000004000000}"/>
  <mergeCells count="113">
    <mergeCell ref="A326:A327"/>
    <mergeCell ref="A328:A335"/>
    <mergeCell ref="A287:A289"/>
    <mergeCell ref="A290:A295"/>
    <mergeCell ref="B298:F298"/>
    <mergeCell ref="A308:A309"/>
    <mergeCell ref="A310:A317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4:F334"/>
    <mergeCell ref="D335:F335"/>
    <mergeCell ref="D297:F297"/>
    <mergeCell ref="B297:C297"/>
    <mergeCell ref="D333:F333"/>
    <mergeCell ref="D315:F315"/>
    <mergeCell ref="B296:C296"/>
    <mergeCell ref="D296:F296"/>
    <mergeCell ref="D337:F337"/>
    <mergeCell ref="B338:F338"/>
    <mergeCell ref="B319:F319"/>
    <mergeCell ref="B325:C325"/>
    <mergeCell ref="B326:C327"/>
    <mergeCell ref="B328:C335"/>
    <mergeCell ref="B337:C337"/>
    <mergeCell ref="B318:C318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6:F316"/>
    <mergeCell ref="D317:F317"/>
    <mergeCell ref="D318:F318"/>
    <mergeCell ref="B307:C307"/>
    <mergeCell ref="B308:C309"/>
    <mergeCell ref="B310:C317"/>
    <mergeCell ref="D336:F336"/>
    <mergeCell ref="B336:C336"/>
    <mergeCell ref="A268:A270"/>
    <mergeCell ref="A271:A276"/>
    <mergeCell ref="D269:F269"/>
    <mergeCell ref="D268:F268"/>
    <mergeCell ref="D270:F270"/>
    <mergeCell ref="D271:F271"/>
    <mergeCell ref="B268:C270"/>
    <mergeCell ref="B271:C276"/>
    <mergeCell ref="B277:C277"/>
    <mergeCell ref="D272:F272"/>
    <mergeCell ref="D273:F273"/>
    <mergeCell ref="D274:F274"/>
    <mergeCell ref="D275:F275"/>
    <mergeCell ref="D276:F276"/>
    <mergeCell ref="D277:F277"/>
    <mergeCell ref="B267:C267"/>
    <mergeCell ref="D267:F267"/>
    <mergeCell ref="B278:F278"/>
    <mergeCell ref="D292:F292"/>
    <mergeCell ref="D293:F293"/>
    <mergeCell ref="B286:C286"/>
    <mergeCell ref="B287:C289"/>
    <mergeCell ref="B290:C295"/>
    <mergeCell ref="D286:F286"/>
    <mergeCell ref="D287:F287"/>
    <mergeCell ref="D288:F288"/>
    <mergeCell ref="D289:F289"/>
    <mergeCell ref="D290:F290"/>
    <mergeCell ref="D291:F291"/>
    <mergeCell ref="D294:F294"/>
    <mergeCell ref="D295:F295"/>
    <mergeCell ref="C256:F256"/>
    <mergeCell ref="C257:F257"/>
    <mergeCell ref="B85:F85"/>
    <mergeCell ref="C169:F169"/>
    <mergeCell ref="A172:F172"/>
    <mergeCell ref="A105:A169"/>
    <mergeCell ref="B105:B169"/>
    <mergeCell ref="B170:F170"/>
    <mergeCell ref="B171:F171"/>
    <mergeCell ref="D90:D97"/>
    <mergeCell ref="D98:D103"/>
    <mergeCell ref="D5:D11"/>
    <mergeCell ref="A5:A19"/>
    <mergeCell ref="A20:A84"/>
    <mergeCell ref="B20:B84"/>
    <mergeCell ref="C5:C12"/>
    <mergeCell ref="B5:B18"/>
    <mergeCell ref="C13:C18"/>
    <mergeCell ref="A262:F262"/>
    <mergeCell ref="B258:F258"/>
    <mergeCell ref="A260:F260"/>
    <mergeCell ref="A86:F86"/>
    <mergeCell ref="A90:A104"/>
    <mergeCell ref="C90:C97"/>
    <mergeCell ref="B90:B103"/>
    <mergeCell ref="C98:C103"/>
    <mergeCell ref="A176:A190"/>
    <mergeCell ref="B176:B189"/>
    <mergeCell ref="C176:C180"/>
    <mergeCell ref="C184:C189"/>
    <mergeCell ref="A191:A255"/>
    <mergeCell ref="B191:B255"/>
    <mergeCell ref="C255:F255"/>
    <mergeCell ref="A256:A257"/>
    <mergeCell ref="B256:B257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1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I31"/>
  <sheetViews>
    <sheetView workbookViewId="0">
      <selection sqref="A1:F2"/>
    </sheetView>
  </sheetViews>
  <sheetFormatPr defaultColWidth="9" defaultRowHeight="16.5"/>
  <cols>
    <col min="1" max="1" width="5.875" style="273" customWidth="1"/>
    <col min="2" max="2" width="19.625" style="273" bestFit="1" customWidth="1"/>
    <col min="3" max="3" width="10.125" style="273" customWidth="1"/>
    <col min="4" max="4" width="21.125" style="274" bestFit="1" customWidth="1"/>
    <col min="5" max="5" width="81.125" style="273" customWidth="1"/>
    <col min="6" max="6" width="14.125" style="274" bestFit="1" customWidth="1"/>
    <col min="7" max="7" width="14.125" style="273" customWidth="1"/>
    <col min="8" max="8" width="9" style="273" customWidth="1"/>
    <col min="9" max="16384" width="9" style="273"/>
  </cols>
  <sheetData>
    <row r="1" spans="1:9">
      <c r="A1" s="5205" t="s">
        <v>216</v>
      </c>
      <c r="B1" s="5205"/>
      <c r="C1" s="5205"/>
      <c r="D1" s="5205"/>
      <c r="E1" s="5205"/>
      <c r="F1" s="5205"/>
    </row>
    <row r="2" spans="1:9">
      <c r="A2" s="5205"/>
      <c r="B2" s="5205"/>
      <c r="C2" s="5205"/>
      <c r="D2" s="5205"/>
      <c r="E2" s="5205"/>
      <c r="F2" s="5205"/>
    </row>
    <row r="3" spans="1:9">
      <c r="A3" s="273" t="s">
        <v>222</v>
      </c>
    </row>
    <row r="4" spans="1:9" ht="17.25" thickBot="1">
      <c r="A4" s="783" t="s">
        <v>41</v>
      </c>
      <c r="B4" s="783" t="s">
        <v>763</v>
      </c>
      <c r="C4" s="783" t="s">
        <v>119</v>
      </c>
      <c r="D4" s="784" t="s">
        <v>109</v>
      </c>
      <c r="E4" s="784" t="s">
        <v>764</v>
      </c>
      <c r="F4" s="783" t="s">
        <v>765</v>
      </c>
    </row>
    <row r="5" spans="1:9" ht="82.5">
      <c r="A5" s="5206">
        <v>1</v>
      </c>
      <c r="B5" s="5208" t="s">
        <v>766</v>
      </c>
      <c r="C5" s="5210" t="s">
        <v>767</v>
      </c>
      <c r="D5" s="1140" t="s">
        <v>768</v>
      </c>
      <c r="E5" s="1141" t="s">
        <v>769</v>
      </c>
      <c r="F5" s="98"/>
    </row>
    <row r="6" spans="1:9" ht="49.5">
      <c r="A6" s="5207"/>
      <c r="B6" s="5209"/>
      <c r="C6" s="5211"/>
      <c r="D6" s="1140" t="s">
        <v>770</v>
      </c>
      <c r="E6" s="1141" t="s">
        <v>771</v>
      </c>
      <c r="F6" s="1144"/>
    </row>
    <row r="7" spans="1:9" ht="18" customHeight="1">
      <c r="A7" s="5212">
        <v>2</v>
      </c>
      <c r="B7" s="5214" t="s">
        <v>772</v>
      </c>
      <c r="C7" s="5216" t="s">
        <v>773</v>
      </c>
      <c r="D7" s="1144" t="s">
        <v>796</v>
      </c>
      <c r="E7" s="1145" t="s">
        <v>798</v>
      </c>
      <c r="F7" s="1144"/>
      <c r="I7" s="275"/>
    </row>
    <row r="8" spans="1:9" ht="18" customHeight="1">
      <c r="A8" s="5213"/>
      <c r="B8" s="5215"/>
      <c r="C8" s="5217"/>
      <c r="D8" s="1144" t="s">
        <v>797</v>
      </c>
      <c r="E8" s="1145" t="s">
        <v>804</v>
      </c>
      <c r="F8" s="1144"/>
    </row>
    <row r="9" spans="1:9" ht="49.5">
      <c r="A9" s="97">
        <v>3</v>
      </c>
      <c r="B9" s="96" t="s">
        <v>774</v>
      </c>
      <c r="C9" s="95" t="s">
        <v>775</v>
      </c>
      <c r="D9" s="1140" t="s">
        <v>776</v>
      </c>
      <c r="E9" s="1141" t="s">
        <v>777</v>
      </c>
      <c r="F9" s="1144"/>
    </row>
    <row r="10" spans="1:9" ht="49.5">
      <c r="A10" s="5212">
        <v>4</v>
      </c>
      <c r="B10" s="5214" t="s">
        <v>778</v>
      </c>
      <c r="C10" s="5216" t="s">
        <v>779</v>
      </c>
      <c r="D10" s="1139" t="s">
        <v>794</v>
      </c>
      <c r="E10" s="101" t="s">
        <v>795</v>
      </c>
      <c r="F10" s="1144" t="s">
        <v>793</v>
      </c>
    </row>
    <row r="11" spans="1:9" ht="30" customHeight="1">
      <c r="A11" s="5213"/>
      <c r="B11" s="5215"/>
      <c r="C11" s="5217"/>
      <c r="D11" s="1139" t="s">
        <v>802</v>
      </c>
      <c r="E11" s="101" t="s">
        <v>803</v>
      </c>
      <c r="F11" s="1144"/>
    </row>
    <row r="12" spans="1:9" ht="49.5">
      <c r="A12" s="5213"/>
      <c r="B12" s="5215"/>
      <c r="C12" s="5217"/>
      <c r="D12" s="1139" t="s">
        <v>780</v>
      </c>
      <c r="E12" s="1146" t="s">
        <v>781</v>
      </c>
      <c r="F12" s="1144"/>
    </row>
    <row r="13" spans="1:9" ht="49.5">
      <c r="A13" s="5213"/>
      <c r="B13" s="5215"/>
      <c r="C13" s="5217"/>
      <c r="D13" s="1139" t="s">
        <v>782</v>
      </c>
      <c r="E13" s="1146" t="s">
        <v>783</v>
      </c>
      <c r="F13" s="1144"/>
    </row>
    <row r="14" spans="1:9" ht="33">
      <c r="A14" s="5207"/>
      <c r="B14" s="5211"/>
      <c r="C14" s="5209"/>
      <c r="D14" s="1139" t="s">
        <v>784</v>
      </c>
      <c r="E14" s="1146" t="s">
        <v>785</v>
      </c>
      <c r="F14" s="1144"/>
    </row>
    <row r="15" spans="1:9" ht="33">
      <c r="A15" s="97">
        <v>5</v>
      </c>
      <c r="B15" s="95" t="s">
        <v>772</v>
      </c>
      <c r="C15" s="95" t="s">
        <v>786</v>
      </c>
      <c r="D15" s="1147" t="s">
        <v>805</v>
      </c>
      <c r="E15" s="1148" t="s">
        <v>806</v>
      </c>
      <c r="F15" s="1149"/>
    </row>
    <row r="16" spans="1:9" ht="18" customHeight="1">
      <c r="A16" s="97">
        <v>6</v>
      </c>
      <c r="B16" s="96" t="s">
        <v>772</v>
      </c>
      <c r="C16" s="95" t="s">
        <v>787</v>
      </c>
      <c r="D16" s="1147" t="s">
        <v>807</v>
      </c>
      <c r="E16" s="1150" t="s">
        <v>808</v>
      </c>
      <c r="F16" s="1149"/>
    </row>
    <row r="17" spans="1:6" ht="18" customHeight="1">
      <c r="A17" s="5212">
        <v>7</v>
      </c>
      <c r="B17" s="5214" t="s">
        <v>788</v>
      </c>
      <c r="C17" s="5216" t="s">
        <v>789</v>
      </c>
      <c r="D17" s="1143"/>
      <c r="E17" s="1142"/>
      <c r="F17" s="806"/>
    </row>
    <row r="18" spans="1:6" ht="18" customHeight="1">
      <c r="A18" s="5213"/>
      <c r="B18" s="5215"/>
      <c r="C18" s="5217"/>
      <c r="D18" s="1143"/>
      <c r="E18" s="1142"/>
      <c r="F18" s="807"/>
    </row>
    <row r="19" spans="1:6" ht="18" customHeight="1">
      <c r="A19" s="5213"/>
      <c r="B19" s="5215"/>
      <c r="C19" s="5217"/>
      <c r="D19" s="1143"/>
      <c r="E19" s="1142"/>
      <c r="F19" s="808"/>
    </row>
    <row r="20" spans="1:6" ht="18" customHeight="1">
      <c r="A20" s="5213"/>
      <c r="B20" s="5215"/>
      <c r="C20" s="5217"/>
      <c r="D20" s="1143"/>
      <c r="E20" s="1142"/>
      <c r="F20" s="809"/>
    </row>
    <row r="21" spans="1:6" ht="18" customHeight="1">
      <c r="A21" s="5207"/>
      <c r="B21" s="5211"/>
      <c r="C21" s="5209"/>
      <c r="D21" s="1143"/>
      <c r="E21" s="1142"/>
      <c r="F21" s="810"/>
    </row>
    <row r="22" spans="1:6" ht="18" customHeight="1">
      <c r="A22" s="5212">
        <v>8</v>
      </c>
      <c r="B22" s="5216" t="s">
        <v>790</v>
      </c>
      <c r="C22" s="5216" t="s">
        <v>791</v>
      </c>
      <c r="D22" s="1143"/>
      <c r="E22" s="1142"/>
      <c r="F22" s="806"/>
    </row>
    <row r="23" spans="1:6" ht="18" customHeight="1">
      <c r="A23" s="5213"/>
      <c r="B23" s="5217"/>
      <c r="C23" s="5217"/>
      <c r="D23" s="1143"/>
      <c r="E23" s="1142"/>
      <c r="F23" s="807"/>
    </row>
    <row r="24" spans="1:6" ht="18" customHeight="1">
      <c r="A24" s="5213"/>
      <c r="B24" s="5217"/>
      <c r="C24" s="5217"/>
      <c r="D24" s="1143"/>
      <c r="E24" s="1142"/>
      <c r="F24" s="808"/>
    </row>
    <row r="25" spans="1:6" ht="18" customHeight="1">
      <c r="A25" s="5213"/>
      <c r="B25" s="5217"/>
      <c r="C25" s="5217"/>
      <c r="D25" s="1143"/>
      <c r="E25" s="1142"/>
      <c r="F25" s="809"/>
    </row>
    <row r="26" spans="1:6" ht="18" customHeight="1">
      <c r="A26" s="5207"/>
      <c r="B26" s="5209"/>
      <c r="C26" s="5209"/>
      <c r="D26" s="1143"/>
      <c r="E26" s="1142"/>
      <c r="F26" s="810"/>
    </row>
    <row r="27" spans="1:6" ht="18" customHeight="1">
      <c r="A27" s="5212">
        <v>9</v>
      </c>
      <c r="B27" s="5214" t="s">
        <v>788</v>
      </c>
      <c r="C27" s="5216" t="s">
        <v>792</v>
      </c>
      <c r="D27" s="1143"/>
      <c r="E27" s="1142"/>
      <c r="F27" s="806"/>
    </row>
    <row r="28" spans="1:6" ht="18" customHeight="1">
      <c r="A28" s="5213"/>
      <c r="B28" s="5215"/>
      <c r="C28" s="5217"/>
      <c r="D28" s="1143"/>
      <c r="E28" s="1142"/>
      <c r="F28" s="807"/>
    </row>
    <row r="29" spans="1:6" ht="18" customHeight="1">
      <c r="A29" s="5213"/>
      <c r="B29" s="5215"/>
      <c r="C29" s="5217"/>
      <c r="D29" s="1143"/>
      <c r="E29" s="1142"/>
      <c r="F29" s="808"/>
    </row>
    <row r="30" spans="1:6" ht="18" customHeight="1">
      <c r="A30" s="5213"/>
      <c r="B30" s="5215"/>
      <c r="C30" s="5217"/>
      <c r="D30" s="1143"/>
      <c r="E30" s="1142"/>
      <c r="F30" s="809"/>
    </row>
    <row r="31" spans="1:6" ht="18" customHeight="1">
      <c r="A31" s="5207"/>
      <c r="B31" s="5211"/>
      <c r="C31" s="5209"/>
      <c r="D31" s="1143"/>
      <c r="E31" s="1142"/>
      <c r="F31" s="810"/>
    </row>
  </sheetData>
  <mergeCells count="19">
    <mergeCell ref="A27:A31"/>
    <mergeCell ref="B27:B31"/>
    <mergeCell ref="C27:C31"/>
    <mergeCell ref="A10:A14"/>
    <mergeCell ref="B10:B14"/>
    <mergeCell ref="C10:C14"/>
    <mergeCell ref="A17:A21"/>
    <mergeCell ref="B17:B21"/>
    <mergeCell ref="C17:C21"/>
    <mergeCell ref="A22:A26"/>
    <mergeCell ref="B22:B26"/>
    <mergeCell ref="C22:C26"/>
    <mergeCell ref="A1:F2"/>
    <mergeCell ref="A5:A6"/>
    <mergeCell ref="B5:B6"/>
    <mergeCell ref="C5:C6"/>
    <mergeCell ref="A7:A8"/>
    <mergeCell ref="B7:B8"/>
    <mergeCell ref="C7:C8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285"/>
  <sheetViews>
    <sheetView workbookViewId="0">
      <selection sqref="A1:A2"/>
    </sheetView>
  </sheetViews>
  <sheetFormatPr defaultColWidth="9" defaultRowHeight="17.25" outlineLevelCol="1"/>
  <cols>
    <col min="1" max="1" width="13.625" style="1133" customWidth="1"/>
    <col min="2" max="2" width="27.75" style="869" customWidth="1"/>
    <col min="3" max="3" width="13.625" style="869" customWidth="1"/>
    <col min="4" max="7" width="8.375" style="577" hidden="1" customWidth="1" outlineLevel="1"/>
    <col min="8" max="8" width="8.125" style="577" hidden="1" customWidth="1" outlineLevel="1" collapsed="1"/>
    <col min="9" max="11" width="8.125" style="577" hidden="1" customWidth="1" outlineLevel="1"/>
    <col min="12" max="12" width="0.125" style="577" customWidth="1" collapsed="1"/>
    <col min="13" max="24" width="10.125" style="562" hidden="1" customWidth="1" outlineLevel="1"/>
    <col min="25" max="25" width="10.125" style="562" bestFit="1" customWidth="1" collapsed="1"/>
    <col min="26" max="28" width="10.125" style="869" hidden="1" customWidth="1" outlineLevel="1"/>
    <col min="29" max="29" width="13" style="869" hidden="1" customWidth="1" outlineLevel="1"/>
    <col min="30" max="31" width="10.125" style="869" hidden="1" customWidth="1" outlineLevel="1"/>
    <col min="32" max="37" width="13.125" style="869" hidden="1" customWidth="1" outlineLevel="1"/>
    <col min="38" max="38" width="14.625" style="578" customWidth="1" collapsed="1"/>
    <col min="39" max="50" width="13.625" style="562" customWidth="1" outlineLevel="1"/>
    <col min="51" max="51" width="14.625" style="562" customWidth="1"/>
    <col min="52" max="54" width="13.875" style="869" customWidth="1" outlineLevel="1"/>
    <col min="55" max="63" width="13.125" style="869" customWidth="1" outlineLevel="1"/>
    <col min="64" max="64" width="14.625" style="578" customWidth="1"/>
    <col min="65" max="76" width="13.625" style="562" hidden="1" customWidth="1" outlineLevel="1"/>
    <col min="77" max="77" width="14.625" style="562" customWidth="1" collapsed="1"/>
    <col min="78" max="80" width="13.875" style="869" hidden="1" customWidth="1" outlineLevel="1"/>
    <col min="81" max="89" width="13.125" style="869" hidden="1" customWidth="1" outlineLevel="1"/>
    <col min="90" max="90" width="14.625" style="578" customWidth="1" collapsed="1"/>
    <col min="91" max="102" width="13.625" style="562" hidden="1" customWidth="1" outlineLevel="1"/>
    <col min="103" max="103" width="14.625" style="562" customWidth="1" collapsed="1"/>
    <col min="104" max="106" width="13.875" style="869" hidden="1" customWidth="1" outlineLevel="1"/>
    <col min="107" max="115" width="13.125" style="869" hidden="1" customWidth="1" outlineLevel="1"/>
    <col min="116" max="116" width="14.625" style="578" customWidth="1" collapsed="1"/>
    <col min="117" max="128" width="13.625" style="562" hidden="1" customWidth="1" outlineLevel="1"/>
    <col min="129" max="129" width="14.625" style="562" customWidth="1" collapsed="1"/>
    <col min="130" max="132" width="13.875" style="869" hidden="1" customWidth="1" outlineLevel="1"/>
    <col min="133" max="141" width="13.125" style="869" hidden="1" customWidth="1" outlineLevel="1"/>
    <col min="142" max="142" width="14.625" style="578" customWidth="1" collapsed="1"/>
    <col min="143" max="16384" width="9" style="869"/>
  </cols>
  <sheetData>
    <row r="1" spans="1:142" ht="20.25" customHeight="1" thickTop="1">
      <c r="A1" s="5237" t="s">
        <v>46</v>
      </c>
      <c r="B1" s="5239" t="s">
        <v>101</v>
      </c>
      <c r="C1" s="5239" t="s">
        <v>47</v>
      </c>
      <c r="D1" s="5233" t="s">
        <v>601</v>
      </c>
      <c r="E1" s="5235" t="s">
        <v>602</v>
      </c>
      <c r="F1" s="5235" t="s">
        <v>603</v>
      </c>
      <c r="G1" s="5231" t="s">
        <v>604</v>
      </c>
      <c r="H1" s="5233" t="s">
        <v>605</v>
      </c>
      <c r="I1" s="5235" t="s">
        <v>606</v>
      </c>
      <c r="J1" s="5235" t="s">
        <v>607</v>
      </c>
      <c r="K1" s="5231" t="s">
        <v>608</v>
      </c>
      <c r="L1" s="868"/>
      <c r="M1" s="5230" t="s">
        <v>609</v>
      </c>
      <c r="N1" s="5227"/>
      <c r="O1" s="5227"/>
      <c r="P1" s="5227"/>
      <c r="Q1" s="5227"/>
      <c r="R1" s="5227"/>
      <c r="S1" s="5227"/>
      <c r="T1" s="5227"/>
      <c r="U1" s="5227"/>
      <c r="V1" s="5227"/>
      <c r="W1" s="5227"/>
      <c r="X1" s="5227"/>
      <c r="Y1" s="5228"/>
      <c r="Z1" s="5224" t="s">
        <v>610</v>
      </c>
      <c r="AA1" s="5225"/>
      <c r="AB1" s="5225"/>
      <c r="AC1" s="5225"/>
      <c r="AD1" s="5225"/>
      <c r="AE1" s="5225"/>
      <c r="AF1" s="5225"/>
      <c r="AG1" s="5225"/>
      <c r="AH1" s="5225"/>
      <c r="AI1" s="5225"/>
      <c r="AJ1" s="5225"/>
      <c r="AK1" s="5225"/>
      <c r="AL1" s="5226"/>
      <c r="AM1" s="5230" t="s">
        <v>611</v>
      </c>
      <c r="AN1" s="5227"/>
      <c r="AO1" s="5227"/>
      <c r="AP1" s="5227"/>
      <c r="AQ1" s="5227"/>
      <c r="AR1" s="5227"/>
      <c r="AS1" s="5227"/>
      <c r="AT1" s="5227"/>
      <c r="AU1" s="5227"/>
      <c r="AV1" s="5227"/>
      <c r="AW1" s="5227"/>
      <c r="AX1" s="5227"/>
      <c r="AY1" s="5228"/>
      <c r="AZ1" s="5224" t="s">
        <v>612</v>
      </c>
      <c r="BA1" s="5225"/>
      <c r="BB1" s="5225"/>
      <c r="BC1" s="5225"/>
      <c r="BD1" s="5225"/>
      <c r="BE1" s="5225"/>
      <c r="BF1" s="5225"/>
      <c r="BG1" s="5225"/>
      <c r="BH1" s="5225"/>
      <c r="BI1" s="5225"/>
      <c r="BJ1" s="5225"/>
      <c r="BK1" s="5225"/>
      <c r="BL1" s="5226"/>
      <c r="BM1" s="5230" t="s">
        <v>613</v>
      </c>
      <c r="BN1" s="5227"/>
      <c r="BO1" s="5227"/>
      <c r="BP1" s="5227"/>
      <c r="BQ1" s="5227"/>
      <c r="BR1" s="5227"/>
      <c r="BS1" s="5227"/>
      <c r="BT1" s="5227"/>
      <c r="BU1" s="5227"/>
      <c r="BV1" s="5227"/>
      <c r="BW1" s="5227"/>
      <c r="BX1" s="5227"/>
      <c r="BY1" s="5228"/>
      <c r="BZ1" s="5225" t="s">
        <v>614</v>
      </c>
      <c r="CA1" s="5225"/>
      <c r="CB1" s="5225"/>
      <c r="CC1" s="5225"/>
      <c r="CD1" s="5225"/>
      <c r="CE1" s="5225"/>
      <c r="CF1" s="5225"/>
      <c r="CG1" s="5225"/>
      <c r="CH1" s="5225"/>
      <c r="CI1" s="5225"/>
      <c r="CJ1" s="5225"/>
      <c r="CK1" s="5225"/>
      <c r="CL1" s="5225"/>
      <c r="CM1" s="5230" t="s">
        <v>615</v>
      </c>
      <c r="CN1" s="5227"/>
      <c r="CO1" s="5227"/>
      <c r="CP1" s="5227"/>
      <c r="CQ1" s="5227"/>
      <c r="CR1" s="5227"/>
      <c r="CS1" s="5227"/>
      <c r="CT1" s="5227"/>
      <c r="CU1" s="5227"/>
      <c r="CV1" s="5227"/>
      <c r="CW1" s="5227"/>
      <c r="CX1" s="5227"/>
      <c r="CY1" s="5228"/>
      <c r="CZ1" s="5224" t="s">
        <v>616</v>
      </c>
      <c r="DA1" s="5225"/>
      <c r="DB1" s="5225"/>
      <c r="DC1" s="5225"/>
      <c r="DD1" s="5225"/>
      <c r="DE1" s="5225"/>
      <c r="DF1" s="5225"/>
      <c r="DG1" s="5225"/>
      <c r="DH1" s="5225"/>
      <c r="DI1" s="5225"/>
      <c r="DJ1" s="5225"/>
      <c r="DK1" s="5225"/>
      <c r="DL1" s="5226"/>
      <c r="DM1" s="5227" t="s">
        <v>617</v>
      </c>
      <c r="DN1" s="5227"/>
      <c r="DO1" s="5227"/>
      <c r="DP1" s="5227"/>
      <c r="DQ1" s="5227"/>
      <c r="DR1" s="5227"/>
      <c r="DS1" s="5227"/>
      <c r="DT1" s="5227"/>
      <c r="DU1" s="5227"/>
      <c r="DV1" s="5227"/>
      <c r="DW1" s="5227"/>
      <c r="DX1" s="5227"/>
      <c r="DY1" s="5228"/>
      <c r="DZ1" s="5229" t="s">
        <v>618</v>
      </c>
      <c r="EA1" s="5225"/>
      <c r="EB1" s="5225"/>
      <c r="EC1" s="5225"/>
      <c r="ED1" s="5225"/>
      <c r="EE1" s="5225"/>
      <c r="EF1" s="5225"/>
      <c r="EG1" s="5225"/>
      <c r="EH1" s="5225"/>
      <c r="EI1" s="5225"/>
      <c r="EJ1" s="5225"/>
      <c r="EK1" s="5225"/>
      <c r="EL1" s="5226"/>
    </row>
    <row r="2" spans="1:142" s="477" customFormat="1" ht="17.25" customHeight="1">
      <c r="A2" s="5238"/>
      <c r="B2" s="5240"/>
      <c r="C2" s="5240"/>
      <c r="D2" s="5234"/>
      <c r="E2" s="5236"/>
      <c r="F2" s="5236"/>
      <c r="G2" s="5232"/>
      <c r="H2" s="5234"/>
      <c r="I2" s="5236"/>
      <c r="J2" s="5236"/>
      <c r="K2" s="5232"/>
      <c r="L2" s="870"/>
      <c r="M2" s="871" t="s">
        <v>619</v>
      </c>
      <c r="N2" s="872" t="s">
        <v>620</v>
      </c>
      <c r="O2" s="871" t="s">
        <v>621</v>
      </c>
      <c r="P2" s="872" t="s">
        <v>622</v>
      </c>
      <c r="Q2" s="871" t="s">
        <v>516</v>
      </c>
      <c r="R2" s="872" t="s">
        <v>571</v>
      </c>
      <c r="S2" s="871" t="s">
        <v>623</v>
      </c>
      <c r="T2" s="872" t="s">
        <v>517</v>
      </c>
      <c r="U2" s="871" t="s">
        <v>518</v>
      </c>
      <c r="V2" s="872" t="s">
        <v>414</v>
      </c>
      <c r="W2" s="871" t="s">
        <v>415</v>
      </c>
      <c r="X2" s="872" t="s">
        <v>624</v>
      </c>
      <c r="Y2" s="873" t="s">
        <v>625</v>
      </c>
      <c r="Z2" s="874">
        <v>45293</v>
      </c>
      <c r="AA2" s="875">
        <v>45324</v>
      </c>
      <c r="AB2" s="875">
        <v>45353</v>
      </c>
      <c r="AC2" s="875">
        <v>45384</v>
      </c>
      <c r="AD2" s="875">
        <v>45414</v>
      </c>
      <c r="AE2" s="875">
        <v>45445</v>
      </c>
      <c r="AF2" s="875">
        <v>45475</v>
      </c>
      <c r="AG2" s="875">
        <v>45506</v>
      </c>
      <c r="AH2" s="875">
        <v>45537</v>
      </c>
      <c r="AI2" s="875">
        <v>45567</v>
      </c>
      <c r="AJ2" s="875">
        <v>45598</v>
      </c>
      <c r="AK2" s="875">
        <v>45628</v>
      </c>
      <c r="AL2" s="876" t="s">
        <v>625</v>
      </c>
      <c r="AM2" s="877" t="s">
        <v>619</v>
      </c>
      <c r="AN2" s="872" t="s">
        <v>620</v>
      </c>
      <c r="AO2" s="871" t="s">
        <v>621</v>
      </c>
      <c r="AP2" s="872" t="s">
        <v>622</v>
      </c>
      <c r="AQ2" s="871" t="s">
        <v>516</v>
      </c>
      <c r="AR2" s="872" t="s">
        <v>571</v>
      </c>
      <c r="AS2" s="871" t="s">
        <v>623</v>
      </c>
      <c r="AT2" s="872" t="s">
        <v>517</v>
      </c>
      <c r="AU2" s="871" t="s">
        <v>518</v>
      </c>
      <c r="AV2" s="872" t="s">
        <v>414</v>
      </c>
      <c r="AW2" s="871" t="s">
        <v>415</v>
      </c>
      <c r="AX2" s="872" t="s">
        <v>624</v>
      </c>
      <c r="AY2" s="873" t="s">
        <v>626</v>
      </c>
      <c r="AZ2" s="874" t="s">
        <v>568</v>
      </c>
      <c r="BA2" s="875" t="s">
        <v>569</v>
      </c>
      <c r="BB2" s="875" t="s">
        <v>570</v>
      </c>
      <c r="BC2" s="875" t="s">
        <v>515</v>
      </c>
      <c r="BD2" s="875" t="s">
        <v>516</v>
      </c>
      <c r="BE2" s="875" t="s">
        <v>571</v>
      </c>
      <c r="BF2" s="875" t="s">
        <v>623</v>
      </c>
      <c r="BG2" s="875" t="s">
        <v>517</v>
      </c>
      <c r="BH2" s="875" t="s">
        <v>518</v>
      </c>
      <c r="BI2" s="875" t="s">
        <v>414</v>
      </c>
      <c r="BJ2" s="875" t="s">
        <v>415</v>
      </c>
      <c r="BK2" s="875" t="s">
        <v>416</v>
      </c>
      <c r="BL2" s="876" t="s">
        <v>627</v>
      </c>
      <c r="BM2" s="877" t="s">
        <v>619</v>
      </c>
      <c r="BN2" s="872" t="s">
        <v>620</v>
      </c>
      <c r="BO2" s="871" t="s">
        <v>621</v>
      </c>
      <c r="BP2" s="872" t="s">
        <v>622</v>
      </c>
      <c r="BQ2" s="871" t="s">
        <v>516</v>
      </c>
      <c r="BR2" s="872" t="s">
        <v>571</v>
      </c>
      <c r="BS2" s="871" t="s">
        <v>623</v>
      </c>
      <c r="BT2" s="872" t="s">
        <v>517</v>
      </c>
      <c r="BU2" s="871" t="s">
        <v>518</v>
      </c>
      <c r="BV2" s="872" t="s">
        <v>414</v>
      </c>
      <c r="BW2" s="871" t="s">
        <v>415</v>
      </c>
      <c r="BX2" s="872" t="s">
        <v>624</v>
      </c>
      <c r="BY2" s="873" t="s">
        <v>628</v>
      </c>
      <c r="BZ2" s="878" t="s">
        <v>568</v>
      </c>
      <c r="CA2" s="875" t="s">
        <v>569</v>
      </c>
      <c r="CB2" s="875" t="s">
        <v>570</v>
      </c>
      <c r="CC2" s="875" t="s">
        <v>515</v>
      </c>
      <c r="CD2" s="875" t="s">
        <v>516</v>
      </c>
      <c r="CE2" s="875" t="s">
        <v>571</v>
      </c>
      <c r="CF2" s="875" t="s">
        <v>623</v>
      </c>
      <c r="CG2" s="875" t="s">
        <v>517</v>
      </c>
      <c r="CH2" s="875" t="s">
        <v>518</v>
      </c>
      <c r="CI2" s="875" t="s">
        <v>414</v>
      </c>
      <c r="CJ2" s="875" t="s">
        <v>415</v>
      </c>
      <c r="CK2" s="875" t="s">
        <v>416</v>
      </c>
      <c r="CL2" s="879" t="s">
        <v>629</v>
      </c>
      <c r="CM2" s="877" t="s">
        <v>619</v>
      </c>
      <c r="CN2" s="872" t="s">
        <v>620</v>
      </c>
      <c r="CO2" s="871" t="s">
        <v>621</v>
      </c>
      <c r="CP2" s="872" t="s">
        <v>622</v>
      </c>
      <c r="CQ2" s="871" t="s">
        <v>516</v>
      </c>
      <c r="CR2" s="872" t="s">
        <v>571</v>
      </c>
      <c r="CS2" s="871" t="s">
        <v>623</v>
      </c>
      <c r="CT2" s="872" t="s">
        <v>517</v>
      </c>
      <c r="CU2" s="871" t="s">
        <v>518</v>
      </c>
      <c r="CV2" s="872" t="s">
        <v>414</v>
      </c>
      <c r="CW2" s="871" t="s">
        <v>415</v>
      </c>
      <c r="CX2" s="872" t="s">
        <v>624</v>
      </c>
      <c r="CY2" s="873" t="s">
        <v>630</v>
      </c>
      <c r="CZ2" s="874" t="s">
        <v>568</v>
      </c>
      <c r="DA2" s="875" t="s">
        <v>569</v>
      </c>
      <c r="DB2" s="875" t="s">
        <v>570</v>
      </c>
      <c r="DC2" s="875" t="s">
        <v>515</v>
      </c>
      <c r="DD2" s="875" t="s">
        <v>516</v>
      </c>
      <c r="DE2" s="875" t="s">
        <v>571</v>
      </c>
      <c r="DF2" s="875" t="s">
        <v>623</v>
      </c>
      <c r="DG2" s="875" t="s">
        <v>517</v>
      </c>
      <c r="DH2" s="875" t="s">
        <v>518</v>
      </c>
      <c r="DI2" s="875" t="s">
        <v>414</v>
      </c>
      <c r="DJ2" s="875" t="s">
        <v>415</v>
      </c>
      <c r="DK2" s="875" t="s">
        <v>416</v>
      </c>
      <c r="DL2" s="876" t="s">
        <v>630</v>
      </c>
      <c r="DM2" s="871" t="s">
        <v>619</v>
      </c>
      <c r="DN2" s="872" t="s">
        <v>620</v>
      </c>
      <c r="DO2" s="871" t="s">
        <v>621</v>
      </c>
      <c r="DP2" s="872" t="s">
        <v>622</v>
      </c>
      <c r="DQ2" s="871" t="s">
        <v>516</v>
      </c>
      <c r="DR2" s="872" t="s">
        <v>571</v>
      </c>
      <c r="DS2" s="871" t="s">
        <v>623</v>
      </c>
      <c r="DT2" s="872" t="s">
        <v>517</v>
      </c>
      <c r="DU2" s="871" t="s">
        <v>518</v>
      </c>
      <c r="DV2" s="872" t="s">
        <v>414</v>
      </c>
      <c r="DW2" s="871" t="s">
        <v>415</v>
      </c>
      <c r="DX2" s="872" t="s">
        <v>624</v>
      </c>
      <c r="DY2" s="873" t="s">
        <v>631</v>
      </c>
      <c r="DZ2" s="875" t="s">
        <v>568</v>
      </c>
      <c r="EA2" s="875" t="s">
        <v>569</v>
      </c>
      <c r="EB2" s="875" t="s">
        <v>570</v>
      </c>
      <c r="EC2" s="875" t="s">
        <v>515</v>
      </c>
      <c r="ED2" s="875" t="s">
        <v>516</v>
      </c>
      <c r="EE2" s="875" t="s">
        <v>571</v>
      </c>
      <c r="EF2" s="875" t="s">
        <v>623</v>
      </c>
      <c r="EG2" s="875" t="s">
        <v>517</v>
      </c>
      <c r="EH2" s="875" t="s">
        <v>518</v>
      </c>
      <c r="EI2" s="875" t="s">
        <v>414</v>
      </c>
      <c r="EJ2" s="875" t="s">
        <v>415</v>
      </c>
      <c r="EK2" s="875" t="s">
        <v>416</v>
      </c>
      <c r="EL2" s="876" t="s">
        <v>631</v>
      </c>
    </row>
    <row r="3" spans="1:142" ht="17.25" customHeight="1">
      <c r="A3" s="880" t="s">
        <v>21</v>
      </c>
      <c r="B3" s="881" t="s">
        <v>632</v>
      </c>
      <c r="C3" s="882"/>
      <c r="D3" s="536">
        <v>3.99</v>
      </c>
      <c r="E3" s="537">
        <v>3.5779999999999998</v>
      </c>
      <c r="F3" s="537">
        <v>3.5779999999999998</v>
      </c>
      <c r="G3" s="537">
        <v>3.5779999999999998</v>
      </c>
      <c r="H3" s="536">
        <f>G3</f>
        <v>3.5779999999999998</v>
      </c>
      <c r="I3" s="537">
        <v>3.79</v>
      </c>
      <c r="J3" s="537">
        <v>3.79</v>
      </c>
      <c r="K3" s="883">
        <v>3.79</v>
      </c>
      <c r="L3" s="884"/>
      <c r="M3" s="564">
        <v>105000</v>
      </c>
      <c r="N3" s="539">
        <v>75000</v>
      </c>
      <c r="O3" s="539">
        <v>90000</v>
      </c>
      <c r="P3" s="539">
        <v>150000</v>
      </c>
      <c r="Q3" s="539">
        <v>200000</v>
      </c>
      <c r="R3" s="539">
        <v>250000</v>
      </c>
      <c r="S3" s="539">
        <v>250000</v>
      </c>
      <c r="T3" s="539">
        <v>230000</v>
      </c>
      <c r="U3" s="539">
        <v>130000</v>
      </c>
      <c r="V3" s="539">
        <v>130000</v>
      </c>
      <c r="W3" s="539">
        <v>130000</v>
      </c>
      <c r="X3" s="539">
        <v>130000</v>
      </c>
      <c r="Y3" s="885">
        <f>SUM(M3:X3)</f>
        <v>1870000</v>
      </c>
      <c r="Z3" s="886">
        <f>M3*$D3</f>
        <v>418950</v>
      </c>
      <c r="AA3" s="257">
        <f>N3*$D3</f>
        <v>299250</v>
      </c>
      <c r="AB3" s="257">
        <f>O3*3.578</f>
        <v>322020</v>
      </c>
      <c r="AC3" s="257">
        <f>P3*3.578</f>
        <v>536700</v>
      </c>
      <c r="AD3" s="257">
        <f>17534800000/25000</f>
        <v>701392</v>
      </c>
      <c r="AE3" s="257">
        <f>R3*3.507</f>
        <v>876750</v>
      </c>
      <c r="AF3" s="257">
        <f t="shared" ref="AF3:AK3" si="0">S3*3.778</f>
        <v>944500</v>
      </c>
      <c r="AG3" s="257">
        <f t="shared" si="0"/>
        <v>868940</v>
      </c>
      <c r="AH3" s="257">
        <f t="shared" si="0"/>
        <v>491140</v>
      </c>
      <c r="AI3" s="257">
        <f t="shared" si="0"/>
        <v>491140</v>
      </c>
      <c r="AJ3" s="257">
        <f t="shared" si="0"/>
        <v>491140</v>
      </c>
      <c r="AK3" s="257">
        <f t="shared" si="0"/>
        <v>491140</v>
      </c>
      <c r="AL3" s="887">
        <f>SUM(Z3:AK3)</f>
        <v>6933062</v>
      </c>
      <c r="AM3" s="888">
        <v>25000</v>
      </c>
      <c r="AN3" s="889">
        <v>25000</v>
      </c>
      <c r="AO3" s="889">
        <v>25000</v>
      </c>
      <c r="AP3" s="889">
        <v>25000</v>
      </c>
      <c r="AQ3" s="889">
        <v>25000</v>
      </c>
      <c r="AR3" s="889">
        <v>25000</v>
      </c>
      <c r="AS3" s="889">
        <v>25000</v>
      </c>
      <c r="AT3" s="889">
        <v>25000</v>
      </c>
      <c r="AU3" s="889">
        <v>25000</v>
      </c>
      <c r="AV3" s="889">
        <v>25000</v>
      </c>
      <c r="AW3" s="889">
        <v>25000</v>
      </c>
      <c r="AX3" s="889">
        <v>25000</v>
      </c>
      <c r="AY3" s="885">
        <f>SUM(AM3:AX3)</f>
        <v>300000</v>
      </c>
      <c r="AZ3" s="886">
        <f t="shared" ref="AZ3:BK4" si="1">AM3*$H3</f>
        <v>89450</v>
      </c>
      <c r="BA3" s="257">
        <f t="shared" si="1"/>
        <v>89450</v>
      </c>
      <c r="BB3" s="257">
        <f t="shared" si="1"/>
        <v>89450</v>
      </c>
      <c r="BC3" s="257">
        <f t="shared" si="1"/>
        <v>89450</v>
      </c>
      <c r="BD3" s="257">
        <f t="shared" si="1"/>
        <v>89450</v>
      </c>
      <c r="BE3" s="257">
        <f t="shared" si="1"/>
        <v>89450</v>
      </c>
      <c r="BF3" s="257">
        <f t="shared" si="1"/>
        <v>89450</v>
      </c>
      <c r="BG3" s="257">
        <f t="shared" si="1"/>
        <v>89450</v>
      </c>
      <c r="BH3" s="257">
        <f t="shared" si="1"/>
        <v>89450</v>
      </c>
      <c r="BI3" s="257">
        <f t="shared" si="1"/>
        <v>89450</v>
      </c>
      <c r="BJ3" s="257">
        <f t="shared" si="1"/>
        <v>89450</v>
      </c>
      <c r="BK3" s="257">
        <f t="shared" si="1"/>
        <v>89450</v>
      </c>
      <c r="BL3" s="887">
        <f t="shared" ref="BL3:BL19" si="2">SUM(AZ3:BK3)</f>
        <v>1073400</v>
      </c>
      <c r="BM3" s="890"/>
      <c r="BN3" s="539"/>
      <c r="BO3" s="539"/>
      <c r="BP3" s="539"/>
      <c r="BQ3" s="539"/>
      <c r="BR3" s="539"/>
      <c r="BS3" s="539"/>
      <c r="BT3" s="539"/>
      <c r="BU3" s="539"/>
      <c r="BV3" s="539"/>
      <c r="BW3" s="539"/>
      <c r="BX3" s="539"/>
      <c r="BY3" s="885">
        <f>SUM(BM3:BX3)</f>
        <v>0</v>
      </c>
      <c r="BZ3" s="891">
        <f t="shared" ref="BZ3:CK4" si="3">BM3*$I3</f>
        <v>0</v>
      </c>
      <c r="CA3" s="257">
        <f t="shared" si="3"/>
        <v>0</v>
      </c>
      <c r="CB3" s="257">
        <f t="shared" si="3"/>
        <v>0</v>
      </c>
      <c r="CC3" s="257">
        <f t="shared" si="3"/>
        <v>0</v>
      </c>
      <c r="CD3" s="257">
        <f t="shared" si="3"/>
        <v>0</v>
      </c>
      <c r="CE3" s="257">
        <f t="shared" si="3"/>
        <v>0</v>
      </c>
      <c r="CF3" s="257">
        <f t="shared" si="3"/>
        <v>0</v>
      </c>
      <c r="CG3" s="257">
        <f t="shared" si="3"/>
        <v>0</v>
      </c>
      <c r="CH3" s="257">
        <f t="shared" si="3"/>
        <v>0</v>
      </c>
      <c r="CI3" s="257">
        <f t="shared" si="3"/>
        <v>0</v>
      </c>
      <c r="CJ3" s="257">
        <f t="shared" si="3"/>
        <v>0</v>
      </c>
      <c r="CK3" s="257">
        <f t="shared" si="3"/>
        <v>0</v>
      </c>
      <c r="CL3" s="892">
        <f t="shared" ref="CL3:CL23" si="4">SUM(BZ3:CK3)</f>
        <v>0</v>
      </c>
      <c r="CM3" s="890"/>
      <c r="CN3" s="539"/>
      <c r="CO3" s="539"/>
      <c r="CP3" s="539"/>
      <c r="CQ3" s="539"/>
      <c r="CR3" s="539"/>
      <c r="CS3" s="539"/>
      <c r="CT3" s="539"/>
      <c r="CU3" s="539"/>
      <c r="CV3" s="539"/>
      <c r="CW3" s="539"/>
      <c r="CX3" s="539"/>
      <c r="CY3" s="885">
        <f>SUM(CM3:CX3)</f>
        <v>0</v>
      </c>
      <c r="CZ3" s="886">
        <f t="shared" ref="CZ3:DK4" si="5">CM3*$J3</f>
        <v>0</v>
      </c>
      <c r="DA3" s="257">
        <f t="shared" si="5"/>
        <v>0</v>
      </c>
      <c r="DB3" s="257">
        <f t="shared" si="5"/>
        <v>0</v>
      </c>
      <c r="DC3" s="257">
        <f t="shared" si="5"/>
        <v>0</v>
      </c>
      <c r="DD3" s="257">
        <f t="shared" si="5"/>
        <v>0</v>
      </c>
      <c r="DE3" s="257">
        <f t="shared" si="5"/>
        <v>0</v>
      </c>
      <c r="DF3" s="257">
        <f t="shared" si="5"/>
        <v>0</v>
      </c>
      <c r="DG3" s="257">
        <f t="shared" si="5"/>
        <v>0</v>
      </c>
      <c r="DH3" s="257">
        <f t="shared" si="5"/>
        <v>0</v>
      </c>
      <c r="DI3" s="257">
        <f t="shared" si="5"/>
        <v>0</v>
      </c>
      <c r="DJ3" s="257">
        <f t="shared" si="5"/>
        <v>0</v>
      </c>
      <c r="DK3" s="257">
        <f t="shared" si="5"/>
        <v>0</v>
      </c>
      <c r="DL3" s="887">
        <f t="shared" ref="DL3:DL23" si="6">SUM(CZ3:DK3)</f>
        <v>0</v>
      </c>
      <c r="DM3" s="564"/>
      <c r="DN3" s="539"/>
      <c r="DO3" s="539"/>
      <c r="DP3" s="539"/>
      <c r="DQ3" s="539"/>
      <c r="DR3" s="539"/>
      <c r="DS3" s="539"/>
      <c r="DT3" s="539"/>
      <c r="DU3" s="539"/>
      <c r="DV3" s="539"/>
      <c r="DW3" s="539"/>
      <c r="DX3" s="539"/>
      <c r="DY3" s="885">
        <f>SUM(DM3:DX3)</f>
        <v>0</v>
      </c>
      <c r="DZ3" s="257">
        <f t="shared" ref="DZ3:EK4" si="7">DM3*$K3</f>
        <v>0</v>
      </c>
      <c r="EA3" s="257">
        <f t="shared" si="7"/>
        <v>0</v>
      </c>
      <c r="EB3" s="257">
        <f t="shared" si="7"/>
        <v>0</v>
      </c>
      <c r="EC3" s="257">
        <f t="shared" si="7"/>
        <v>0</v>
      </c>
      <c r="ED3" s="257">
        <f t="shared" si="7"/>
        <v>0</v>
      </c>
      <c r="EE3" s="257">
        <f t="shared" si="7"/>
        <v>0</v>
      </c>
      <c r="EF3" s="257">
        <f t="shared" si="7"/>
        <v>0</v>
      </c>
      <c r="EG3" s="257">
        <f t="shared" si="7"/>
        <v>0</v>
      </c>
      <c r="EH3" s="257">
        <f t="shared" si="7"/>
        <v>0</v>
      </c>
      <c r="EI3" s="257">
        <f t="shared" si="7"/>
        <v>0</v>
      </c>
      <c r="EJ3" s="257">
        <f t="shared" si="7"/>
        <v>0</v>
      </c>
      <c r="EK3" s="257">
        <f t="shared" si="7"/>
        <v>0</v>
      </c>
      <c r="EL3" s="887">
        <f t="shared" ref="EL3:EL23" si="8">SUM(DZ3:EK3)</f>
        <v>0</v>
      </c>
    </row>
    <row r="4" spans="1:142" ht="21" customHeight="1" thickBot="1">
      <c r="A4" s="893" t="s">
        <v>21</v>
      </c>
      <c r="B4" s="894" t="s">
        <v>633</v>
      </c>
      <c r="C4" s="895"/>
      <c r="D4" s="541"/>
      <c r="E4" s="542"/>
      <c r="F4" s="542"/>
      <c r="G4" s="543"/>
      <c r="H4" s="541"/>
      <c r="I4" s="542"/>
      <c r="J4" s="542"/>
      <c r="K4" s="896"/>
      <c r="L4" s="884"/>
      <c r="M4" s="565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885">
        <f>SUM(M4:X4)</f>
        <v>0</v>
      </c>
      <c r="Z4" s="886">
        <f>-(70333362+68963060+425415309+11353023+19844715)/24000</f>
        <v>-24829.561208333333</v>
      </c>
      <c r="AA4" s="257">
        <f>-(286963809+114084036+35604541)/24000</f>
        <v>-18193.849416666668</v>
      </c>
      <c r="AB4" s="257">
        <v>0</v>
      </c>
      <c r="AC4" s="257">
        <f>-(642)</f>
        <v>-642</v>
      </c>
      <c r="AD4" s="257">
        <f>-5692</f>
        <v>-5692</v>
      </c>
      <c r="AE4" s="257">
        <f>-(15101)</f>
        <v>-15101</v>
      </c>
      <c r="AF4" s="257">
        <f>-(4506+8946)</f>
        <v>-13452</v>
      </c>
      <c r="AG4" s="257"/>
      <c r="AH4" s="257">
        <f>U4*$F4</f>
        <v>0</v>
      </c>
      <c r="AI4" s="257">
        <f>V4*$G4</f>
        <v>0</v>
      </c>
      <c r="AJ4" s="257">
        <f>W4*$G4</f>
        <v>0</v>
      </c>
      <c r="AK4" s="257">
        <f>X4*$G4</f>
        <v>0</v>
      </c>
      <c r="AL4" s="887">
        <f>SUM(Z4:AK4)</f>
        <v>-77910.410625000004</v>
      </c>
      <c r="AM4" s="897"/>
      <c r="AN4" s="256"/>
      <c r="AO4" s="256"/>
      <c r="AP4" s="256"/>
      <c r="AQ4" s="256"/>
      <c r="AR4" s="256"/>
      <c r="AS4" s="256"/>
      <c r="AT4" s="256"/>
      <c r="AU4" s="256"/>
      <c r="AV4" s="256"/>
      <c r="AW4" s="256"/>
      <c r="AX4" s="256"/>
      <c r="AY4" s="885">
        <f>SUM(AM4:AX4)</f>
        <v>0</v>
      </c>
      <c r="AZ4" s="886">
        <f t="shared" si="1"/>
        <v>0</v>
      </c>
      <c r="BA4" s="257">
        <f t="shared" si="1"/>
        <v>0</v>
      </c>
      <c r="BB4" s="257">
        <f t="shared" si="1"/>
        <v>0</v>
      </c>
      <c r="BC4" s="257">
        <f t="shared" si="1"/>
        <v>0</v>
      </c>
      <c r="BD4" s="257">
        <f t="shared" si="1"/>
        <v>0</v>
      </c>
      <c r="BE4" s="257">
        <f t="shared" si="1"/>
        <v>0</v>
      </c>
      <c r="BF4" s="257">
        <f t="shared" si="1"/>
        <v>0</v>
      </c>
      <c r="BG4" s="257">
        <f t="shared" si="1"/>
        <v>0</v>
      </c>
      <c r="BH4" s="257">
        <f t="shared" si="1"/>
        <v>0</v>
      </c>
      <c r="BI4" s="257">
        <f t="shared" si="1"/>
        <v>0</v>
      </c>
      <c r="BJ4" s="257">
        <f t="shared" si="1"/>
        <v>0</v>
      </c>
      <c r="BK4" s="257">
        <f t="shared" si="1"/>
        <v>0</v>
      </c>
      <c r="BL4" s="887">
        <f t="shared" si="2"/>
        <v>0</v>
      </c>
      <c r="BM4" s="897"/>
      <c r="BN4" s="256"/>
      <c r="BO4" s="256"/>
      <c r="BP4" s="256"/>
      <c r="BQ4" s="256"/>
      <c r="BR4" s="256"/>
      <c r="BS4" s="256"/>
      <c r="BT4" s="256"/>
      <c r="BU4" s="256"/>
      <c r="BV4" s="256"/>
      <c r="BW4" s="256"/>
      <c r="BX4" s="256"/>
      <c r="BY4" s="885">
        <f>SUM(BM4:BX4)</f>
        <v>0</v>
      </c>
      <c r="BZ4" s="891">
        <f t="shared" si="3"/>
        <v>0</v>
      </c>
      <c r="CA4" s="257">
        <f t="shared" si="3"/>
        <v>0</v>
      </c>
      <c r="CB4" s="257">
        <f t="shared" si="3"/>
        <v>0</v>
      </c>
      <c r="CC4" s="257">
        <f t="shared" si="3"/>
        <v>0</v>
      </c>
      <c r="CD4" s="257">
        <f t="shared" si="3"/>
        <v>0</v>
      </c>
      <c r="CE4" s="257">
        <f t="shared" si="3"/>
        <v>0</v>
      </c>
      <c r="CF4" s="257">
        <f t="shared" si="3"/>
        <v>0</v>
      </c>
      <c r="CG4" s="257">
        <f t="shared" si="3"/>
        <v>0</v>
      </c>
      <c r="CH4" s="257">
        <f t="shared" si="3"/>
        <v>0</v>
      </c>
      <c r="CI4" s="257">
        <f t="shared" si="3"/>
        <v>0</v>
      </c>
      <c r="CJ4" s="257">
        <f t="shared" si="3"/>
        <v>0</v>
      </c>
      <c r="CK4" s="257">
        <f t="shared" si="3"/>
        <v>0</v>
      </c>
      <c r="CL4" s="892">
        <f t="shared" si="4"/>
        <v>0</v>
      </c>
      <c r="CM4" s="897"/>
      <c r="CN4" s="256"/>
      <c r="CO4" s="256"/>
      <c r="CP4" s="256"/>
      <c r="CQ4" s="256"/>
      <c r="CR4" s="256"/>
      <c r="CS4" s="256"/>
      <c r="CT4" s="256"/>
      <c r="CU4" s="256"/>
      <c r="CV4" s="256"/>
      <c r="CW4" s="256"/>
      <c r="CX4" s="256"/>
      <c r="CY4" s="885">
        <f>SUM(CM4:CX4)</f>
        <v>0</v>
      </c>
      <c r="CZ4" s="886">
        <f t="shared" si="5"/>
        <v>0</v>
      </c>
      <c r="DA4" s="257">
        <f t="shared" si="5"/>
        <v>0</v>
      </c>
      <c r="DB4" s="257">
        <f t="shared" si="5"/>
        <v>0</v>
      </c>
      <c r="DC4" s="257">
        <f t="shared" si="5"/>
        <v>0</v>
      </c>
      <c r="DD4" s="257">
        <f t="shared" si="5"/>
        <v>0</v>
      </c>
      <c r="DE4" s="257">
        <f t="shared" si="5"/>
        <v>0</v>
      </c>
      <c r="DF4" s="257">
        <f t="shared" si="5"/>
        <v>0</v>
      </c>
      <c r="DG4" s="257">
        <f t="shared" si="5"/>
        <v>0</v>
      </c>
      <c r="DH4" s="257">
        <f t="shared" si="5"/>
        <v>0</v>
      </c>
      <c r="DI4" s="257">
        <f t="shared" si="5"/>
        <v>0</v>
      </c>
      <c r="DJ4" s="257">
        <f t="shared" si="5"/>
        <v>0</v>
      </c>
      <c r="DK4" s="257">
        <f t="shared" si="5"/>
        <v>0</v>
      </c>
      <c r="DL4" s="887">
        <f t="shared" si="6"/>
        <v>0</v>
      </c>
      <c r="DM4" s="565"/>
      <c r="DN4" s="256"/>
      <c r="DO4" s="256"/>
      <c r="DP4" s="256"/>
      <c r="DQ4" s="256"/>
      <c r="DR4" s="256"/>
      <c r="DS4" s="256"/>
      <c r="DT4" s="256"/>
      <c r="DU4" s="256"/>
      <c r="DV4" s="256"/>
      <c r="DW4" s="256"/>
      <c r="DX4" s="256"/>
      <c r="DY4" s="885">
        <f>SUM(DM4:DX4)</f>
        <v>0</v>
      </c>
      <c r="DZ4" s="257">
        <f t="shared" si="7"/>
        <v>0</v>
      </c>
      <c r="EA4" s="257">
        <f t="shared" si="7"/>
        <v>0</v>
      </c>
      <c r="EB4" s="257">
        <f t="shared" si="7"/>
        <v>0</v>
      </c>
      <c r="EC4" s="257">
        <f t="shared" si="7"/>
        <v>0</v>
      </c>
      <c r="ED4" s="257">
        <f t="shared" si="7"/>
        <v>0</v>
      </c>
      <c r="EE4" s="257">
        <f t="shared" si="7"/>
        <v>0</v>
      </c>
      <c r="EF4" s="257">
        <f t="shared" si="7"/>
        <v>0</v>
      </c>
      <c r="EG4" s="257">
        <f t="shared" si="7"/>
        <v>0</v>
      </c>
      <c r="EH4" s="257">
        <f t="shared" si="7"/>
        <v>0</v>
      </c>
      <c r="EI4" s="257">
        <f t="shared" si="7"/>
        <v>0</v>
      </c>
      <c r="EJ4" s="257">
        <f t="shared" si="7"/>
        <v>0</v>
      </c>
      <c r="EK4" s="257">
        <f t="shared" si="7"/>
        <v>0</v>
      </c>
      <c r="EL4" s="887">
        <f t="shared" si="8"/>
        <v>0</v>
      </c>
    </row>
    <row r="5" spans="1:142" ht="18.75" thickTop="1" thickBot="1">
      <c r="A5" s="5218" t="s">
        <v>86</v>
      </c>
      <c r="B5" s="5219"/>
      <c r="C5" s="5220"/>
      <c r="D5" s="898"/>
      <c r="E5" s="898"/>
      <c r="F5" s="898"/>
      <c r="G5" s="898"/>
      <c r="H5" s="898"/>
      <c r="I5" s="898"/>
      <c r="J5" s="898"/>
      <c r="K5" s="899"/>
      <c r="L5" s="900"/>
      <c r="M5" s="901">
        <f>SUM(M3:M4)</f>
        <v>105000</v>
      </c>
      <c r="N5" s="544">
        <f t="shared" ref="N5:BY5" si="9">SUM(N3:N4)</f>
        <v>75000</v>
      </c>
      <c r="O5" s="544">
        <f t="shared" si="9"/>
        <v>90000</v>
      </c>
      <c r="P5" s="544">
        <f t="shared" si="9"/>
        <v>150000</v>
      </c>
      <c r="Q5" s="544">
        <f t="shared" si="9"/>
        <v>200000</v>
      </c>
      <c r="R5" s="544">
        <f t="shared" si="9"/>
        <v>250000</v>
      </c>
      <c r="S5" s="544">
        <f t="shared" si="9"/>
        <v>250000</v>
      </c>
      <c r="T5" s="544">
        <f t="shared" si="9"/>
        <v>230000</v>
      </c>
      <c r="U5" s="544">
        <f t="shared" si="9"/>
        <v>130000</v>
      </c>
      <c r="V5" s="544">
        <f t="shared" si="9"/>
        <v>130000</v>
      </c>
      <c r="W5" s="544">
        <f t="shared" si="9"/>
        <v>130000</v>
      </c>
      <c r="X5" s="544">
        <f t="shared" si="9"/>
        <v>130000</v>
      </c>
      <c r="Y5" s="545">
        <f t="shared" si="9"/>
        <v>1870000</v>
      </c>
      <c r="Z5" s="546">
        <f t="shared" si="9"/>
        <v>394120.43879166665</v>
      </c>
      <c r="AA5" s="546">
        <f t="shared" si="9"/>
        <v>281056.15058333334</v>
      </c>
      <c r="AB5" s="546">
        <f>SUM(AB3:AB4)</f>
        <v>322020</v>
      </c>
      <c r="AC5" s="546">
        <f>SUM(AC3:AC4)</f>
        <v>536058</v>
      </c>
      <c r="AD5" s="546">
        <f>SUM(AD3:AD4)</f>
        <v>695700</v>
      </c>
      <c r="AE5" s="546">
        <f>SUM(AE3:AE4)</f>
        <v>861649</v>
      </c>
      <c r="AF5" s="546">
        <f>SUM(AF3:AF4)</f>
        <v>931048</v>
      </c>
      <c r="AG5" s="546">
        <f t="shared" si="9"/>
        <v>868940</v>
      </c>
      <c r="AH5" s="546">
        <f t="shared" si="9"/>
        <v>491140</v>
      </c>
      <c r="AI5" s="546">
        <f t="shared" si="9"/>
        <v>491140</v>
      </c>
      <c r="AJ5" s="546">
        <f t="shared" si="9"/>
        <v>491140</v>
      </c>
      <c r="AK5" s="546">
        <f t="shared" si="9"/>
        <v>491140</v>
      </c>
      <c r="AL5" s="547">
        <f t="shared" si="9"/>
        <v>6855151.5893750004</v>
      </c>
      <c r="AM5" s="544">
        <f t="shared" si="9"/>
        <v>25000</v>
      </c>
      <c r="AN5" s="544">
        <f t="shared" si="9"/>
        <v>25000</v>
      </c>
      <c r="AO5" s="544">
        <f t="shared" si="9"/>
        <v>25000</v>
      </c>
      <c r="AP5" s="544">
        <f t="shared" si="9"/>
        <v>25000</v>
      </c>
      <c r="AQ5" s="544">
        <f t="shared" si="9"/>
        <v>25000</v>
      </c>
      <c r="AR5" s="544">
        <f t="shared" si="9"/>
        <v>25000</v>
      </c>
      <c r="AS5" s="544">
        <f t="shared" si="9"/>
        <v>25000</v>
      </c>
      <c r="AT5" s="544">
        <f t="shared" si="9"/>
        <v>25000</v>
      </c>
      <c r="AU5" s="544">
        <f t="shared" si="9"/>
        <v>25000</v>
      </c>
      <c r="AV5" s="544">
        <f t="shared" si="9"/>
        <v>25000</v>
      </c>
      <c r="AW5" s="544">
        <f t="shared" si="9"/>
        <v>25000</v>
      </c>
      <c r="AX5" s="544">
        <f t="shared" si="9"/>
        <v>25000</v>
      </c>
      <c r="AY5" s="545">
        <f t="shared" si="9"/>
        <v>300000</v>
      </c>
      <c r="AZ5" s="546">
        <f t="shared" si="9"/>
        <v>89450</v>
      </c>
      <c r="BA5" s="546">
        <f t="shared" si="9"/>
        <v>89450</v>
      </c>
      <c r="BB5" s="546">
        <f t="shared" si="9"/>
        <v>89450</v>
      </c>
      <c r="BC5" s="546">
        <f t="shared" si="9"/>
        <v>89450</v>
      </c>
      <c r="BD5" s="546">
        <f t="shared" si="9"/>
        <v>89450</v>
      </c>
      <c r="BE5" s="546">
        <f t="shared" si="9"/>
        <v>89450</v>
      </c>
      <c r="BF5" s="546">
        <f t="shared" si="9"/>
        <v>89450</v>
      </c>
      <c r="BG5" s="546">
        <f t="shared" si="9"/>
        <v>89450</v>
      </c>
      <c r="BH5" s="546">
        <f t="shared" si="9"/>
        <v>89450</v>
      </c>
      <c r="BI5" s="546">
        <f t="shared" si="9"/>
        <v>89450</v>
      </c>
      <c r="BJ5" s="546">
        <f t="shared" si="9"/>
        <v>89450</v>
      </c>
      <c r="BK5" s="546">
        <f t="shared" si="9"/>
        <v>89450</v>
      </c>
      <c r="BL5" s="547">
        <f t="shared" si="9"/>
        <v>1073400</v>
      </c>
      <c r="BM5" s="544">
        <f t="shared" si="9"/>
        <v>0</v>
      </c>
      <c r="BN5" s="544">
        <f t="shared" si="9"/>
        <v>0</v>
      </c>
      <c r="BO5" s="544">
        <f t="shared" si="9"/>
        <v>0</v>
      </c>
      <c r="BP5" s="544">
        <f t="shared" si="9"/>
        <v>0</v>
      </c>
      <c r="BQ5" s="544">
        <f t="shared" si="9"/>
        <v>0</v>
      </c>
      <c r="BR5" s="544">
        <f t="shared" si="9"/>
        <v>0</v>
      </c>
      <c r="BS5" s="544">
        <f t="shared" si="9"/>
        <v>0</v>
      </c>
      <c r="BT5" s="544">
        <f t="shared" si="9"/>
        <v>0</v>
      </c>
      <c r="BU5" s="544">
        <f t="shared" si="9"/>
        <v>0</v>
      </c>
      <c r="BV5" s="544">
        <f t="shared" si="9"/>
        <v>0</v>
      </c>
      <c r="BW5" s="544">
        <f t="shared" si="9"/>
        <v>0</v>
      </c>
      <c r="BX5" s="544">
        <f t="shared" si="9"/>
        <v>0</v>
      </c>
      <c r="BY5" s="545">
        <f t="shared" si="9"/>
        <v>0</v>
      </c>
      <c r="BZ5" s="902">
        <f t="shared" ref="BZ5:EK5" si="10">SUM(BZ3:BZ4)</f>
        <v>0</v>
      </c>
      <c r="CA5" s="546">
        <f t="shared" si="10"/>
        <v>0</v>
      </c>
      <c r="CB5" s="546">
        <f t="shared" si="10"/>
        <v>0</v>
      </c>
      <c r="CC5" s="546">
        <f t="shared" si="10"/>
        <v>0</v>
      </c>
      <c r="CD5" s="546">
        <f t="shared" si="10"/>
        <v>0</v>
      </c>
      <c r="CE5" s="546">
        <f t="shared" si="10"/>
        <v>0</v>
      </c>
      <c r="CF5" s="546">
        <f t="shared" si="10"/>
        <v>0</v>
      </c>
      <c r="CG5" s="546">
        <f t="shared" si="10"/>
        <v>0</v>
      </c>
      <c r="CH5" s="546">
        <f t="shared" si="10"/>
        <v>0</v>
      </c>
      <c r="CI5" s="546">
        <f t="shared" si="10"/>
        <v>0</v>
      </c>
      <c r="CJ5" s="546">
        <f t="shared" si="10"/>
        <v>0</v>
      </c>
      <c r="CK5" s="546">
        <f t="shared" si="10"/>
        <v>0</v>
      </c>
      <c r="CL5" s="903">
        <f t="shared" si="10"/>
        <v>0</v>
      </c>
      <c r="CM5" s="544">
        <f t="shared" si="10"/>
        <v>0</v>
      </c>
      <c r="CN5" s="544">
        <f t="shared" si="10"/>
        <v>0</v>
      </c>
      <c r="CO5" s="544">
        <f t="shared" si="10"/>
        <v>0</v>
      </c>
      <c r="CP5" s="544">
        <f t="shared" si="10"/>
        <v>0</v>
      </c>
      <c r="CQ5" s="544">
        <f t="shared" si="10"/>
        <v>0</v>
      </c>
      <c r="CR5" s="544">
        <f t="shared" si="10"/>
        <v>0</v>
      </c>
      <c r="CS5" s="544">
        <f t="shared" si="10"/>
        <v>0</v>
      </c>
      <c r="CT5" s="544">
        <f t="shared" si="10"/>
        <v>0</v>
      </c>
      <c r="CU5" s="544">
        <f t="shared" si="10"/>
        <v>0</v>
      </c>
      <c r="CV5" s="544">
        <f t="shared" si="10"/>
        <v>0</v>
      </c>
      <c r="CW5" s="544">
        <f t="shared" si="10"/>
        <v>0</v>
      </c>
      <c r="CX5" s="544">
        <f t="shared" si="10"/>
        <v>0</v>
      </c>
      <c r="CY5" s="545">
        <f t="shared" si="10"/>
        <v>0</v>
      </c>
      <c r="CZ5" s="546">
        <f t="shared" si="10"/>
        <v>0</v>
      </c>
      <c r="DA5" s="546">
        <f t="shared" si="10"/>
        <v>0</v>
      </c>
      <c r="DB5" s="546">
        <f t="shared" si="10"/>
        <v>0</v>
      </c>
      <c r="DC5" s="546">
        <f t="shared" si="10"/>
        <v>0</v>
      </c>
      <c r="DD5" s="546">
        <f t="shared" si="10"/>
        <v>0</v>
      </c>
      <c r="DE5" s="546">
        <f t="shared" si="10"/>
        <v>0</v>
      </c>
      <c r="DF5" s="546">
        <f t="shared" si="10"/>
        <v>0</v>
      </c>
      <c r="DG5" s="546">
        <f t="shared" si="10"/>
        <v>0</v>
      </c>
      <c r="DH5" s="546">
        <f t="shared" si="10"/>
        <v>0</v>
      </c>
      <c r="DI5" s="546">
        <f t="shared" si="10"/>
        <v>0</v>
      </c>
      <c r="DJ5" s="546">
        <f t="shared" si="10"/>
        <v>0</v>
      </c>
      <c r="DK5" s="546">
        <f t="shared" si="10"/>
        <v>0</v>
      </c>
      <c r="DL5" s="547">
        <f t="shared" si="10"/>
        <v>0</v>
      </c>
      <c r="DM5" s="901">
        <f t="shared" si="10"/>
        <v>0</v>
      </c>
      <c r="DN5" s="544">
        <f t="shared" si="10"/>
        <v>0</v>
      </c>
      <c r="DO5" s="544">
        <f t="shared" si="10"/>
        <v>0</v>
      </c>
      <c r="DP5" s="544">
        <f t="shared" si="10"/>
        <v>0</v>
      </c>
      <c r="DQ5" s="544">
        <f t="shared" si="10"/>
        <v>0</v>
      </c>
      <c r="DR5" s="544">
        <f t="shared" si="10"/>
        <v>0</v>
      </c>
      <c r="DS5" s="544">
        <f t="shared" si="10"/>
        <v>0</v>
      </c>
      <c r="DT5" s="544">
        <f t="shared" si="10"/>
        <v>0</v>
      </c>
      <c r="DU5" s="544">
        <f t="shared" si="10"/>
        <v>0</v>
      </c>
      <c r="DV5" s="544">
        <f t="shared" si="10"/>
        <v>0</v>
      </c>
      <c r="DW5" s="544">
        <f t="shared" si="10"/>
        <v>0</v>
      </c>
      <c r="DX5" s="544">
        <f t="shared" si="10"/>
        <v>0</v>
      </c>
      <c r="DY5" s="545">
        <f t="shared" si="10"/>
        <v>0</v>
      </c>
      <c r="DZ5" s="546">
        <f t="shared" si="10"/>
        <v>0</v>
      </c>
      <c r="EA5" s="546">
        <f t="shared" si="10"/>
        <v>0</v>
      </c>
      <c r="EB5" s="546">
        <f t="shared" si="10"/>
        <v>0</v>
      </c>
      <c r="EC5" s="546">
        <f t="shared" si="10"/>
        <v>0</v>
      </c>
      <c r="ED5" s="546">
        <f t="shared" si="10"/>
        <v>0</v>
      </c>
      <c r="EE5" s="546">
        <f t="shared" si="10"/>
        <v>0</v>
      </c>
      <c r="EF5" s="546">
        <f t="shared" si="10"/>
        <v>0</v>
      </c>
      <c r="EG5" s="546">
        <f t="shared" si="10"/>
        <v>0</v>
      </c>
      <c r="EH5" s="546">
        <f t="shared" si="10"/>
        <v>0</v>
      </c>
      <c r="EI5" s="546">
        <f t="shared" si="10"/>
        <v>0</v>
      </c>
      <c r="EJ5" s="546">
        <f t="shared" si="10"/>
        <v>0</v>
      </c>
      <c r="EK5" s="546">
        <f t="shared" si="10"/>
        <v>0</v>
      </c>
      <c r="EL5" s="547">
        <f>SUM(EL3:EL4)</f>
        <v>0</v>
      </c>
    </row>
    <row r="6" spans="1:142" ht="18" thickTop="1">
      <c r="A6" s="904" t="s">
        <v>634</v>
      </c>
      <c r="B6" s="905" t="s">
        <v>250</v>
      </c>
      <c r="C6" s="906" t="s">
        <v>251</v>
      </c>
      <c r="D6" s="536">
        <v>0.74480000000000002</v>
      </c>
      <c r="E6" s="907">
        <v>0.729904</v>
      </c>
      <c r="F6" s="537">
        <v>0.71530592000000004</v>
      </c>
      <c r="G6" s="538">
        <v>0.71530592000000004</v>
      </c>
      <c r="H6" s="536">
        <f t="shared" ref="H6:H11" si="11">G6</f>
        <v>0.71530592000000004</v>
      </c>
      <c r="I6" s="907"/>
      <c r="J6" s="537"/>
      <c r="K6" s="883"/>
      <c r="L6" s="884"/>
      <c r="M6" s="908">
        <v>71200</v>
      </c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909">
        <f t="shared" ref="Y6:Y13" si="12">SUM(M6:X6)</f>
        <v>71200</v>
      </c>
      <c r="Z6" s="886">
        <f t="shared" ref="Z6:AA9" si="13">M6*$D6</f>
        <v>53029.760000000002</v>
      </c>
      <c r="AA6" s="257">
        <f t="shared" si="13"/>
        <v>0</v>
      </c>
      <c r="AB6" s="257">
        <f t="shared" ref="AB6:AD11" si="14">O6*$E6</f>
        <v>0</v>
      </c>
      <c r="AC6" s="257">
        <f t="shared" si="14"/>
        <v>0</v>
      </c>
      <c r="AD6" s="257">
        <f t="shared" si="14"/>
        <v>0</v>
      </c>
      <c r="AE6" s="257">
        <f t="shared" ref="AE6:AG11" si="15">R6*$F6</f>
        <v>0</v>
      </c>
      <c r="AF6" s="257">
        <f t="shared" si="15"/>
        <v>0</v>
      </c>
      <c r="AG6" s="257">
        <f t="shared" si="15"/>
        <v>0</v>
      </c>
      <c r="AH6" s="257">
        <f t="shared" ref="AH6:AK13" si="16">U6*$G6</f>
        <v>0</v>
      </c>
      <c r="AI6" s="257">
        <f t="shared" si="16"/>
        <v>0</v>
      </c>
      <c r="AJ6" s="257">
        <f t="shared" si="16"/>
        <v>0</v>
      </c>
      <c r="AK6" s="257">
        <f t="shared" si="16"/>
        <v>0</v>
      </c>
      <c r="AL6" s="910">
        <f t="shared" ref="AL6:AL13" si="17">SUM(Z6:AK6)</f>
        <v>53029.760000000002</v>
      </c>
      <c r="AM6" s="911"/>
      <c r="AN6" s="269"/>
      <c r="AO6" s="269"/>
      <c r="AP6" s="269"/>
      <c r="AQ6" s="269"/>
      <c r="AR6" s="269"/>
      <c r="AS6" s="269"/>
      <c r="AT6" s="269"/>
      <c r="AU6" s="269"/>
      <c r="AV6" s="269"/>
      <c r="AW6" s="269"/>
      <c r="AX6" s="269"/>
      <c r="AY6" s="909">
        <f t="shared" ref="AY6:AY23" si="18">SUM(AM6:AX6)</f>
        <v>0</v>
      </c>
      <c r="AZ6" s="886">
        <f t="shared" ref="AZ6:BK13" si="19">AM6*$H6</f>
        <v>0</v>
      </c>
      <c r="BA6" s="257">
        <f t="shared" si="19"/>
        <v>0</v>
      </c>
      <c r="BB6" s="257">
        <f t="shared" si="19"/>
        <v>0</v>
      </c>
      <c r="BC6" s="257">
        <f t="shared" si="19"/>
        <v>0</v>
      </c>
      <c r="BD6" s="257">
        <f t="shared" si="19"/>
        <v>0</v>
      </c>
      <c r="BE6" s="257">
        <f t="shared" si="19"/>
        <v>0</v>
      </c>
      <c r="BF6" s="257">
        <f t="shared" si="19"/>
        <v>0</v>
      </c>
      <c r="BG6" s="257">
        <f t="shared" si="19"/>
        <v>0</v>
      </c>
      <c r="BH6" s="257">
        <f t="shared" si="19"/>
        <v>0</v>
      </c>
      <c r="BI6" s="257">
        <f t="shared" si="19"/>
        <v>0</v>
      </c>
      <c r="BJ6" s="257">
        <f t="shared" si="19"/>
        <v>0</v>
      </c>
      <c r="BK6" s="257">
        <f t="shared" si="19"/>
        <v>0</v>
      </c>
      <c r="BL6" s="910">
        <f t="shared" si="2"/>
        <v>0</v>
      </c>
      <c r="BM6" s="911"/>
      <c r="BN6" s="269"/>
      <c r="BO6" s="269"/>
      <c r="BP6" s="269"/>
      <c r="BQ6" s="269"/>
      <c r="BR6" s="269"/>
      <c r="BS6" s="269"/>
      <c r="BT6" s="269"/>
      <c r="BU6" s="269"/>
      <c r="BV6" s="269"/>
      <c r="BW6" s="269"/>
      <c r="BX6" s="269"/>
      <c r="BY6" s="909">
        <f t="shared" ref="BY6:BY23" si="20">SUM(BM6:BX6)</f>
        <v>0</v>
      </c>
      <c r="BZ6" s="891">
        <f t="shared" ref="BZ6:CK13" si="21">BM6*$I6</f>
        <v>0</v>
      </c>
      <c r="CA6" s="257">
        <f t="shared" si="21"/>
        <v>0</v>
      </c>
      <c r="CB6" s="257">
        <f t="shared" si="21"/>
        <v>0</v>
      </c>
      <c r="CC6" s="257">
        <f t="shared" si="21"/>
        <v>0</v>
      </c>
      <c r="CD6" s="257">
        <f t="shared" si="21"/>
        <v>0</v>
      </c>
      <c r="CE6" s="257">
        <f t="shared" si="21"/>
        <v>0</v>
      </c>
      <c r="CF6" s="257">
        <f t="shared" si="21"/>
        <v>0</v>
      </c>
      <c r="CG6" s="257">
        <f t="shared" si="21"/>
        <v>0</v>
      </c>
      <c r="CH6" s="257">
        <f t="shared" si="21"/>
        <v>0</v>
      </c>
      <c r="CI6" s="257">
        <f t="shared" si="21"/>
        <v>0</v>
      </c>
      <c r="CJ6" s="257">
        <f t="shared" si="21"/>
        <v>0</v>
      </c>
      <c r="CK6" s="257">
        <f t="shared" si="21"/>
        <v>0</v>
      </c>
      <c r="CL6" s="912">
        <f t="shared" si="4"/>
        <v>0</v>
      </c>
      <c r="CM6" s="911"/>
      <c r="CN6" s="269"/>
      <c r="CO6" s="269"/>
      <c r="CP6" s="269"/>
      <c r="CQ6" s="269"/>
      <c r="CR6" s="269"/>
      <c r="CS6" s="269"/>
      <c r="CT6" s="269"/>
      <c r="CU6" s="269"/>
      <c r="CV6" s="269"/>
      <c r="CW6" s="269"/>
      <c r="CX6" s="269"/>
      <c r="CY6" s="909">
        <f t="shared" ref="CY6:CY23" si="22">SUM(CM6:CX6)</f>
        <v>0</v>
      </c>
      <c r="CZ6" s="886">
        <f t="shared" ref="CZ6:DK13" si="23">CM6*$J6</f>
        <v>0</v>
      </c>
      <c r="DA6" s="257">
        <f t="shared" si="23"/>
        <v>0</v>
      </c>
      <c r="DB6" s="257">
        <f t="shared" si="23"/>
        <v>0</v>
      </c>
      <c r="DC6" s="257">
        <f t="shared" si="23"/>
        <v>0</v>
      </c>
      <c r="DD6" s="257">
        <f t="shared" si="23"/>
        <v>0</v>
      </c>
      <c r="DE6" s="257">
        <f t="shared" si="23"/>
        <v>0</v>
      </c>
      <c r="DF6" s="257">
        <f t="shared" si="23"/>
        <v>0</v>
      </c>
      <c r="DG6" s="257">
        <f t="shared" si="23"/>
        <v>0</v>
      </c>
      <c r="DH6" s="257">
        <f t="shared" si="23"/>
        <v>0</v>
      </c>
      <c r="DI6" s="257">
        <f t="shared" si="23"/>
        <v>0</v>
      </c>
      <c r="DJ6" s="257">
        <f t="shared" si="23"/>
        <v>0</v>
      </c>
      <c r="DK6" s="257">
        <f t="shared" si="23"/>
        <v>0</v>
      </c>
      <c r="DL6" s="910">
        <f t="shared" si="6"/>
        <v>0</v>
      </c>
      <c r="DM6" s="908"/>
      <c r="DN6" s="269"/>
      <c r="DO6" s="269"/>
      <c r="DP6" s="269"/>
      <c r="DQ6" s="269"/>
      <c r="DR6" s="269"/>
      <c r="DS6" s="269"/>
      <c r="DT6" s="269"/>
      <c r="DU6" s="269"/>
      <c r="DV6" s="269"/>
      <c r="DW6" s="269"/>
      <c r="DX6" s="269"/>
      <c r="DY6" s="909">
        <f t="shared" ref="DY6:DY23" si="24">SUM(DM6:DX6)</f>
        <v>0</v>
      </c>
      <c r="DZ6" s="257">
        <f t="shared" ref="DZ6:EK13" si="25">DM6*$K6</f>
        <v>0</v>
      </c>
      <c r="EA6" s="257">
        <f t="shared" si="25"/>
        <v>0</v>
      </c>
      <c r="EB6" s="257">
        <f t="shared" si="25"/>
        <v>0</v>
      </c>
      <c r="EC6" s="257">
        <f t="shared" si="25"/>
        <v>0</v>
      </c>
      <c r="ED6" s="257">
        <f t="shared" si="25"/>
        <v>0</v>
      </c>
      <c r="EE6" s="257">
        <f t="shared" si="25"/>
        <v>0</v>
      </c>
      <c r="EF6" s="257">
        <f t="shared" si="25"/>
        <v>0</v>
      </c>
      <c r="EG6" s="257">
        <f t="shared" si="25"/>
        <v>0</v>
      </c>
      <c r="EH6" s="257">
        <f t="shared" si="25"/>
        <v>0</v>
      </c>
      <c r="EI6" s="257">
        <f t="shared" si="25"/>
        <v>0</v>
      </c>
      <c r="EJ6" s="257">
        <f t="shared" si="25"/>
        <v>0</v>
      </c>
      <c r="EK6" s="257">
        <f t="shared" si="25"/>
        <v>0</v>
      </c>
      <c r="EL6" s="910">
        <f t="shared" si="8"/>
        <v>0</v>
      </c>
    </row>
    <row r="7" spans="1:142">
      <c r="A7" s="904" t="s">
        <v>634</v>
      </c>
      <c r="B7" s="913" t="s">
        <v>285</v>
      </c>
      <c r="C7" s="906" t="s">
        <v>251</v>
      </c>
      <c r="D7" s="536">
        <v>0.76350166666666663</v>
      </c>
      <c r="E7" s="907">
        <v>0.73669387755102045</v>
      </c>
      <c r="F7" s="537">
        <v>0.73326700066666661</v>
      </c>
      <c r="G7" s="538">
        <v>0.73326700066666661</v>
      </c>
      <c r="H7" s="536">
        <f t="shared" si="11"/>
        <v>0.73326700066666661</v>
      </c>
      <c r="I7" s="907"/>
      <c r="J7" s="537"/>
      <c r="K7" s="883"/>
      <c r="L7" s="884"/>
      <c r="M7" s="908">
        <v>86400</v>
      </c>
      <c r="N7" s="269">
        <v>66800</v>
      </c>
      <c r="O7" s="269">
        <v>73800</v>
      </c>
      <c r="P7" s="269"/>
      <c r="Q7" s="269"/>
      <c r="R7" s="269"/>
      <c r="S7" s="269"/>
      <c r="T7" s="269"/>
      <c r="U7" s="269"/>
      <c r="V7" s="269"/>
      <c r="W7" s="269"/>
      <c r="X7" s="269"/>
      <c r="Y7" s="909">
        <f t="shared" si="12"/>
        <v>227000</v>
      </c>
      <c r="Z7" s="886">
        <f t="shared" si="13"/>
        <v>65966.543999999994</v>
      </c>
      <c r="AA7" s="257">
        <f t="shared" si="13"/>
        <v>51001.91133333333</v>
      </c>
      <c r="AB7" s="257">
        <f t="shared" si="14"/>
        <v>54368.008163265309</v>
      </c>
      <c r="AC7" s="257">
        <f t="shared" si="14"/>
        <v>0</v>
      </c>
      <c r="AD7" s="257">
        <f t="shared" si="14"/>
        <v>0</v>
      </c>
      <c r="AE7" s="257">
        <f t="shared" si="15"/>
        <v>0</v>
      </c>
      <c r="AF7" s="257">
        <f t="shared" si="15"/>
        <v>0</v>
      </c>
      <c r="AG7" s="257">
        <f t="shared" si="15"/>
        <v>0</v>
      </c>
      <c r="AH7" s="257">
        <f t="shared" si="16"/>
        <v>0</v>
      </c>
      <c r="AI7" s="257">
        <f t="shared" si="16"/>
        <v>0</v>
      </c>
      <c r="AJ7" s="257">
        <f t="shared" si="16"/>
        <v>0</v>
      </c>
      <c r="AK7" s="257">
        <f t="shared" si="16"/>
        <v>0</v>
      </c>
      <c r="AL7" s="910">
        <f t="shared" si="17"/>
        <v>171336.46349659862</v>
      </c>
      <c r="AM7" s="911"/>
      <c r="AN7" s="269"/>
      <c r="AO7" s="269"/>
      <c r="AP7" s="269"/>
      <c r="AQ7" s="269"/>
      <c r="AR7" s="269"/>
      <c r="AS7" s="269"/>
      <c r="AT7" s="269"/>
      <c r="AU7" s="269"/>
      <c r="AV7" s="269"/>
      <c r="AW7" s="269"/>
      <c r="AX7" s="269"/>
      <c r="AY7" s="909">
        <f t="shared" si="18"/>
        <v>0</v>
      </c>
      <c r="AZ7" s="886">
        <f t="shared" si="19"/>
        <v>0</v>
      </c>
      <c r="BA7" s="257">
        <f t="shared" si="19"/>
        <v>0</v>
      </c>
      <c r="BB7" s="257">
        <f t="shared" si="19"/>
        <v>0</v>
      </c>
      <c r="BC7" s="257">
        <f t="shared" si="19"/>
        <v>0</v>
      </c>
      <c r="BD7" s="257">
        <f t="shared" si="19"/>
        <v>0</v>
      </c>
      <c r="BE7" s="257">
        <f t="shared" si="19"/>
        <v>0</v>
      </c>
      <c r="BF7" s="257">
        <f t="shared" si="19"/>
        <v>0</v>
      </c>
      <c r="BG7" s="257">
        <f t="shared" si="19"/>
        <v>0</v>
      </c>
      <c r="BH7" s="257">
        <f t="shared" si="19"/>
        <v>0</v>
      </c>
      <c r="BI7" s="257">
        <f t="shared" si="19"/>
        <v>0</v>
      </c>
      <c r="BJ7" s="257">
        <f t="shared" si="19"/>
        <v>0</v>
      </c>
      <c r="BK7" s="257">
        <f t="shared" si="19"/>
        <v>0</v>
      </c>
      <c r="BL7" s="910">
        <f t="shared" si="2"/>
        <v>0</v>
      </c>
      <c r="BM7" s="911"/>
      <c r="BN7" s="269"/>
      <c r="BO7" s="269"/>
      <c r="BP7" s="269"/>
      <c r="BQ7" s="269"/>
      <c r="BR7" s="269"/>
      <c r="BS7" s="269"/>
      <c r="BT7" s="269"/>
      <c r="BU7" s="269"/>
      <c r="BV7" s="269"/>
      <c r="BW7" s="269"/>
      <c r="BX7" s="269"/>
      <c r="BY7" s="909">
        <f t="shared" si="20"/>
        <v>0</v>
      </c>
      <c r="BZ7" s="891">
        <f t="shared" si="21"/>
        <v>0</v>
      </c>
      <c r="CA7" s="257">
        <f t="shared" si="21"/>
        <v>0</v>
      </c>
      <c r="CB7" s="257">
        <f t="shared" si="21"/>
        <v>0</v>
      </c>
      <c r="CC7" s="257">
        <f t="shared" si="21"/>
        <v>0</v>
      </c>
      <c r="CD7" s="257">
        <f t="shared" si="21"/>
        <v>0</v>
      </c>
      <c r="CE7" s="257">
        <f t="shared" si="21"/>
        <v>0</v>
      </c>
      <c r="CF7" s="257">
        <f t="shared" si="21"/>
        <v>0</v>
      </c>
      <c r="CG7" s="257">
        <f t="shared" si="21"/>
        <v>0</v>
      </c>
      <c r="CH7" s="257">
        <f t="shared" si="21"/>
        <v>0</v>
      </c>
      <c r="CI7" s="257">
        <f t="shared" si="21"/>
        <v>0</v>
      </c>
      <c r="CJ7" s="257">
        <f t="shared" si="21"/>
        <v>0</v>
      </c>
      <c r="CK7" s="257">
        <f t="shared" si="21"/>
        <v>0</v>
      </c>
      <c r="CL7" s="912">
        <f t="shared" si="4"/>
        <v>0</v>
      </c>
      <c r="CM7" s="911"/>
      <c r="CN7" s="269"/>
      <c r="CO7" s="269"/>
      <c r="CP7" s="269"/>
      <c r="CQ7" s="269"/>
      <c r="CR7" s="269"/>
      <c r="CS7" s="269"/>
      <c r="CT7" s="269"/>
      <c r="CU7" s="269"/>
      <c r="CV7" s="269"/>
      <c r="CW7" s="269"/>
      <c r="CX7" s="269"/>
      <c r="CY7" s="909">
        <f t="shared" si="22"/>
        <v>0</v>
      </c>
      <c r="CZ7" s="886">
        <f t="shared" si="23"/>
        <v>0</v>
      </c>
      <c r="DA7" s="257">
        <f>CL4*$J7</f>
        <v>0</v>
      </c>
      <c r="DB7" s="257">
        <f t="shared" si="23"/>
        <v>0</v>
      </c>
      <c r="DC7" s="257">
        <f t="shared" si="23"/>
        <v>0</v>
      </c>
      <c r="DD7" s="257">
        <f t="shared" si="23"/>
        <v>0</v>
      </c>
      <c r="DE7" s="257">
        <f t="shared" si="23"/>
        <v>0</v>
      </c>
      <c r="DF7" s="257">
        <f t="shared" si="23"/>
        <v>0</v>
      </c>
      <c r="DG7" s="257">
        <f t="shared" si="23"/>
        <v>0</v>
      </c>
      <c r="DH7" s="257">
        <f t="shared" si="23"/>
        <v>0</v>
      </c>
      <c r="DI7" s="257">
        <f t="shared" si="23"/>
        <v>0</v>
      </c>
      <c r="DJ7" s="257">
        <f t="shared" si="23"/>
        <v>0</v>
      </c>
      <c r="DK7" s="257">
        <f t="shared" si="23"/>
        <v>0</v>
      </c>
      <c r="DL7" s="910">
        <f t="shared" si="6"/>
        <v>0</v>
      </c>
      <c r="DM7" s="908"/>
      <c r="DN7" s="269"/>
      <c r="DO7" s="269"/>
      <c r="DP7" s="269"/>
      <c r="DQ7" s="269"/>
      <c r="DR7" s="269"/>
      <c r="DS7" s="269"/>
      <c r="DT7" s="269"/>
      <c r="DU7" s="269"/>
      <c r="DV7" s="269"/>
      <c r="DW7" s="269"/>
      <c r="DX7" s="269"/>
      <c r="DY7" s="909">
        <f t="shared" si="24"/>
        <v>0</v>
      </c>
      <c r="DZ7" s="257">
        <f t="shared" si="25"/>
        <v>0</v>
      </c>
      <c r="EA7" s="257">
        <f t="shared" si="25"/>
        <v>0</v>
      </c>
      <c r="EB7" s="257">
        <f t="shared" si="25"/>
        <v>0</v>
      </c>
      <c r="EC7" s="257">
        <f t="shared" si="25"/>
        <v>0</v>
      </c>
      <c r="ED7" s="257">
        <f t="shared" si="25"/>
        <v>0</v>
      </c>
      <c r="EE7" s="257">
        <f t="shared" si="25"/>
        <v>0</v>
      </c>
      <c r="EF7" s="257">
        <f t="shared" si="25"/>
        <v>0</v>
      </c>
      <c r="EG7" s="257">
        <f t="shared" si="25"/>
        <v>0</v>
      </c>
      <c r="EH7" s="257">
        <f t="shared" si="25"/>
        <v>0</v>
      </c>
      <c r="EI7" s="257">
        <f t="shared" si="25"/>
        <v>0</v>
      </c>
      <c r="EJ7" s="257">
        <f t="shared" si="25"/>
        <v>0</v>
      </c>
      <c r="EK7" s="257">
        <f t="shared" si="25"/>
        <v>0</v>
      </c>
      <c r="EL7" s="910">
        <f t="shared" si="8"/>
        <v>0</v>
      </c>
    </row>
    <row r="8" spans="1:142">
      <c r="A8" s="904" t="s">
        <v>634</v>
      </c>
      <c r="B8" s="905" t="s">
        <v>635</v>
      </c>
      <c r="C8" s="906" t="s">
        <v>252</v>
      </c>
      <c r="D8" s="536">
        <v>0.77272999999999992</v>
      </c>
      <c r="E8" s="907">
        <f>D8*0.98</f>
        <v>0.75727539999999993</v>
      </c>
      <c r="F8" s="537">
        <f>E8*0.98</f>
        <v>0.7421298919999999</v>
      </c>
      <c r="G8" s="538">
        <f>F8</f>
        <v>0.7421298919999999</v>
      </c>
      <c r="H8" s="536">
        <f t="shared" si="11"/>
        <v>0.7421298919999999</v>
      </c>
      <c r="I8" s="907"/>
      <c r="J8" s="537"/>
      <c r="K8" s="883"/>
      <c r="L8" s="884"/>
      <c r="M8" s="908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909">
        <f t="shared" si="12"/>
        <v>0</v>
      </c>
      <c r="Z8" s="886">
        <f t="shared" si="13"/>
        <v>0</v>
      </c>
      <c r="AA8" s="257">
        <f t="shared" si="13"/>
        <v>0</v>
      </c>
      <c r="AB8" s="257">
        <f t="shared" si="14"/>
        <v>0</v>
      </c>
      <c r="AC8" s="257">
        <f t="shared" si="14"/>
        <v>0</v>
      </c>
      <c r="AD8" s="257">
        <f t="shared" si="14"/>
        <v>0</v>
      </c>
      <c r="AE8" s="257">
        <f t="shared" si="15"/>
        <v>0</v>
      </c>
      <c r="AF8" s="257">
        <f t="shared" si="15"/>
        <v>0</v>
      </c>
      <c r="AG8" s="257">
        <f t="shared" si="15"/>
        <v>0</v>
      </c>
      <c r="AH8" s="257">
        <f t="shared" si="16"/>
        <v>0</v>
      </c>
      <c r="AI8" s="257">
        <f t="shared" si="16"/>
        <v>0</v>
      </c>
      <c r="AJ8" s="257">
        <f t="shared" si="16"/>
        <v>0</v>
      </c>
      <c r="AK8" s="257">
        <f t="shared" si="16"/>
        <v>0</v>
      </c>
      <c r="AL8" s="910">
        <f t="shared" si="17"/>
        <v>0</v>
      </c>
      <c r="AM8" s="911"/>
      <c r="AN8" s="269"/>
      <c r="AO8" s="269"/>
      <c r="AP8" s="269"/>
      <c r="AQ8" s="269"/>
      <c r="AR8" s="269"/>
      <c r="AS8" s="269"/>
      <c r="AT8" s="269"/>
      <c r="AU8" s="269"/>
      <c r="AV8" s="269"/>
      <c r="AW8" s="269"/>
      <c r="AX8" s="269"/>
      <c r="AY8" s="909">
        <f t="shared" si="18"/>
        <v>0</v>
      </c>
      <c r="AZ8" s="886">
        <f t="shared" si="19"/>
        <v>0</v>
      </c>
      <c r="BA8" s="257">
        <f t="shared" si="19"/>
        <v>0</v>
      </c>
      <c r="BB8" s="257">
        <f t="shared" si="19"/>
        <v>0</v>
      </c>
      <c r="BC8" s="257">
        <f t="shared" si="19"/>
        <v>0</v>
      </c>
      <c r="BD8" s="257">
        <f t="shared" si="19"/>
        <v>0</v>
      </c>
      <c r="BE8" s="257">
        <f t="shared" si="19"/>
        <v>0</v>
      </c>
      <c r="BF8" s="257">
        <f t="shared" si="19"/>
        <v>0</v>
      </c>
      <c r="BG8" s="257">
        <f t="shared" si="19"/>
        <v>0</v>
      </c>
      <c r="BH8" s="257">
        <f t="shared" si="19"/>
        <v>0</v>
      </c>
      <c r="BI8" s="257">
        <f t="shared" si="19"/>
        <v>0</v>
      </c>
      <c r="BJ8" s="257">
        <f t="shared" si="19"/>
        <v>0</v>
      </c>
      <c r="BK8" s="257">
        <f t="shared" si="19"/>
        <v>0</v>
      </c>
      <c r="BL8" s="910">
        <f t="shared" si="2"/>
        <v>0</v>
      </c>
      <c r="BM8" s="911"/>
      <c r="BN8" s="269"/>
      <c r="BO8" s="269"/>
      <c r="BP8" s="269"/>
      <c r="BQ8" s="269"/>
      <c r="BR8" s="269"/>
      <c r="BS8" s="269"/>
      <c r="BT8" s="269"/>
      <c r="BU8" s="269"/>
      <c r="BV8" s="269"/>
      <c r="BW8" s="269"/>
      <c r="BX8" s="269"/>
      <c r="BY8" s="909">
        <f t="shared" si="20"/>
        <v>0</v>
      </c>
      <c r="BZ8" s="891">
        <f t="shared" si="21"/>
        <v>0</v>
      </c>
      <c r="CA8" s="257">
        <f t="shared" si="21"/>
        <v>0</v>
      </c>
      <c r="CB8" s="257">
        <f t="shared" si="21"/>
        <v>0</v>
      </c>
      <c r="CC8" s="257">
        <f t="shared" si="21"/>
        <v>0</v>
      </c>
      <c r="CD8" s="257">
        <f t="shared" si="21"/>
        <v>0</v>
      </c>
      <c r="CE8" s="257">
        <f t="shared" si="21"/>
        <v>0</v>
      </c>
      <c r="CF8" s="257">
        <f t="shared" si="21"/>
        <v>0</v>
      </c>
      <c r="CG8" s="257">
        <f t="shared" si="21"/>
        <v>0</v>
      </c>
      <c r="CH8" s="257">
        <f t="shared" si="21"/>
        <v>0</v>
      </c>
      <c r="CI8" s="257">
        <f t="shared" si="21"/>
        <v>0</v>
      </c>
      <c r="CJ8" s="257">
        <f t="shared" si="21"/>
        <v>0</v>
      </c>
      <c r="CK8" s="257">
        <f t="shared" si="21"/>
        <v>0</v>
      </c>
      <c r="CL8" s="912">
        <f t="shared" si="4"/>
        <v>0</v>
      </c>
      <c r="CM8" s="911"/>
      <c r="CN8" s="269"/>
      <c r="CO8" s="269"/>
      <c r="CP8" s="269"/>
      <c r="CQ8" s="269"/>
      <c r="CR8" s="269"/>
      <c r="CS8" s="269"/>
      <c r="CT8" s="269"/>
      <c r="CU8" s="269"/>
      <c r="CV8" s="269"/>
      <c r="CW8" s="269"/>
      <c r="CX8" s="269"/>
      <c r="CY8" s="909">
        <f t="shared" si="22"/>
        <v>0</v>
      </c>
      <c r="CZ8" s="886">
        <f t="shared" si="23"/>
        <v>0</v>
      </c>
      <c r="DA8" s="257">
        <f t="shared" si="23"/>
        <v>0</v>
      </c>
      <c r="DB8" s="257">
        <f t="shared" si="23"/>
        <v>0</v>
      </c>
      <c r="DC8" s="257">
        <f t="shared" si="23"/>
        <v>0</v>
      </c>
      <c r="DD8" s="257">
        <f t="shared" si="23"/>
        <v>0</v>
      </c>
      <c r="DE8" s="257">
        <f t="shared" si="23"/>
        <v>0</v>
      </c>
      <c r="DF8" s="257">
        <f t="shared" si="23"/>
        <v>0</v>
      </c>
      <c r="DG8" s="257">
        <f t="shared" si="23"/>
        <v>0</v>
      </c>
      <c r="DH8" s="257">
        <f t="shared" si="23"/>
        <v>0</v>
      </c>
      <c r="DI8" s="257">
        <f t="shared" si="23"/>
        <v>0</v>
      </c>
      <c r="DJ8" s="257">
        <f t="shared" si="23"/>
        <v>0</v>
      </c>
      <c r="DK8" s="257">
        <f t="shared" si="23"/>
        <v>0</v>
      </c>
      <c r="DL8" s="910">
        <f t="shared" si="6"/>
        <v>0</v>
      </c>
      <c r="DM8" s="908"/>
      <c r="DN8" s="269"/>
      <c r="DO8" s="269"/>
      <c r="DP8" s="269"/>
      <c r="DQ8" s="269"/>
      <c r="DR8" s="269"/>
      <c r="DS8" s="269"/>
      <c r="DT8" s="269"/>
      <c r="DU8" s="269"/>
      <c r="DV8" s="269"/>
      <c r="DW8" s="269"/>
      <c r="DX8" s="269"/>
      <c r="DY8" s="909">
        <f t="shared" si="24"/>
        <v>0</v>
      </c>
      <c r="DZ8" s="257">
        <f t="shared" si="25"/>
        <v>0</v>
      </c>
      <c r="EA8" s="257">
        <f t="shared" si="25"/>
        <v>0</v>
      </c>
      <c r="EB8" s="257">
        <f t="shared" si="25"/>
        <v>0</v>
      </c>
      <c r="EC8" s="257">
        <f t="shared" si="25"/>
        <v>0</v>
      </c>
      <c r="ED8" s="257">
        <f t="shared" si="25"/>
        <v>0</v>
      </c>
      <c r="EE8" s="257">
        <f t="shared" si="25"/>
        <v>0</v>
      </c>
      <c r="EF8" s="257">
        <f t="shared" si="25"/>
        <v>0</v>
      </c>
      <c r="EG8" s="257">
        <f t="shared" si="25"/>
        <v>0</v>
      </c>
      <c r="EH8" s="257">
        <f t="shared" si="25"/>
        <v>0</v>
      </c>
      <c r="EI8" s="257">
        <f t="shared" si="25"/>
        <v>0</v>
      </c>
      <c r="EJ8" s="257">
        <f t="shared" si="25"/>
        <v>0</v>
      </c>
      <c r="EK8" s="257">
        <f t="shared" si="25"/>
        <v>0</v>
      </c>
      <c r="EL8" s="910">
        <f t="shared" si="8"/>
        <v>0</v>
      </c>
    </row>
    <row r="9" spans="1:142">
      <c r="A9" s="904" t="s">
        <v>634</v>
      </c>
      <c r="B9" s="905" t="s">
        <v>253</v>
      </c>
      <c r="C9" s="906" t="s">
        <v>254</v>
      </c>
      <c r="D9" s="536">
        <v>0.77791583333333336</v>
      </c>
      <c r="E9" s="907">
        <f>D9*0.98</f>
        <v>0.76235751666666673</v>
      </c>
      <c r="F9" s="537">
        <f>E9*0.98</f>
        <v>0.74711036633333339</v>
      </c>
      <c r="G9" s="538">
        <f>F9</f>
        <v>0.74711036633333339</v>
      </c>
      <c r="H9" s="536">
        <f t="shared" si="11"/>
        <v>0.74711036633333339</v>
      </c>
      <c r="I9" s="907"/>
      <c r="J9" s="537"/>
      <c r="K9" s="883"/>
      <c r="L9" s="884"/>
      <c r="M9" s="565">
        <v>0</v>
      </c>
      <c r="N9" s="269"/>
      <c r="O9" s="269"/>
      <c r="P9" s="269"/>
      <c r="Q9" s="269"/>
      <c r="R9" s="548"/>
      <c r="S9" s="548"/>
      <c r="T9" s="269"/>
      <c r="U9" s="269"/>
      <c r="V9" s="269"/>
      <c r="W9" s="269"/>
      <c r="X9" s="269"/>
      <c r="Y9" s="885">
        <f t="shared" si="12"/>
        <v>0</v>
      </c>
      <c r="Z9" s="886">
        <f t="shared" si="13"/>
        <v>0</v>
      </c>
      <c r="AA9" s="257">
        <f t="shared" si="13"/>
        <v>0</v>
      </c>
      <c r="AB9" s="257">
        <f t="shared" si="14"/>
        <v>0</v>
      </c>
      <c r="AC9" s="257">
        <f t="shared" si="14"/>
        <v>0</v>
      </c>
      <c r="AD9" s="257">
        <f t="shared" si="14"/>
        <v>0</v>
      </c>
      <c r="AE9" s="257">
        <f t="shared" si="15"/>
        <v>0</v>
      </c>
      <c r="AF9" s="257">
        <f t="shared" si="15"/>
        <v>0</v>
      </c>
      <c r="AG9" s="257">
        <f t="shared" si="15"/>
        <v>0</v>
      </c>
      <c r="AH9" s="257">
        <f t="shared" si="16"/>
        <v>0</v>
      </c>
      <c r="AI9" s="257">
        <f t="shared" si="16"/>
        <v>0</v>
      </c>
      <c r="AJ9" s="257">
        <f t="shared" si="16"/>
        <v>0</v>
      </c>
      <c r="AK9" s="257">
        <f t="shared" si="16"/>
        <v>0</v>
      </c>
      <c r="AL9" s="910">
        <f t="shared" si="17"/>
        <v>0</v>
      </c>
      <c r="AM9" s="911"/>
      <c r="AN9" s="269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885">
        <f t="shared" si="18"/>
        <v>0</v>
      </c>
      <c r="AZ9" s="886">
        <f t="shared" si="19"/>
        <v>0</v>
      </c>
      <c r="BA9" s="257">
        <f t="shared" si="19"/>
        <v>0</v>
      </c>
      <c r="BB9" s="257">
        <f t="shared" si="19"/>
        <v>0</v>
      </c>
      <c r="BC9" s="257">
        <f t="shared" si="19"/>
        <v>0</v>
      </c>
      <c r="BD9" s="257">
        <f t="shared" si="19"/>
        <v>0</v>
      </c>
      <c r="BE9" s="257">
        <f t="shared" si="19"/>
        <v>0</v>
      </c>
      <c r="BF9" s="257">
        <f t="shared" si="19"/>
        <v>0</v>
      </c>
      <c r="BG9" s="257">
        <f t="shared" si="19"/>
        <v>0</v>
      </c>
      <c r="BH9" s="257">
        <f t="shared" si="19"/>
        <v>0</v>
      </c>
      <c r="BI9" s="257">
        <f t="shared" si="19"/>
        <v>0</v>
      </c>
      <c r="BJ9" s="257">
        <f t="shared" si="19"/>
        <v>0</v>
      </c>
      <c r="BK9" s="257">
        <f t="shared" si="19"/>
        <v>0</v>
      </c>
      <c r="BL9" s="910">
        <f t="shared" si="2"/>
        <v>0</v>
      </c>
      <c r="BM9" s="911"/>
      <c r="BN9" s="269"/>
      <c r="BO9" s="269"/>
      <c r="BP9" s="269"/>
      <c r="BQ9" s="269"/>
      <c r="BR9" s="269"/>
      <c r="BS9" s="269"/>
      <c r="BT9" s="269"/>
      <c r="BU9" s="269"/>
      <c r="BV9" s="269"/>
      <c r="BW9" s="269"/>
      <c r="BX9" s="269"/>
      <c r="BY9" s="885">
        <f t="shared" si="20"/>
        <v>0</v>
      </c>
      <c r="BZ9" s="891">
        <f t="shared" si="21"/>
        <v>0</v>
      </c>
      <c r="CA9" s="257">
        <f t="shared" si="21"/>
        <v>0</v>
      </c>
      <c r="CB9" s="257">
        <f t="shared" si="21"/>
        <v>0</v>
      </c>
      <c r="CC9" s="257">
        <f t="shared" si="21"/>
        <v>0</v>
      </c>
      <c r="CD9" s="257">
        <f t="shared" si="21"/>
        <v>0</v>
      </c>
      <c r="CE9" s="257">
        <f t="shared" si="21"/>
        <v>0</v>
      </c>
      <c r="CF9" s="257">
        <f t="shared" si="21"/>
        <v>0</v>
      </c>
      <c r="CG9" s="257">
        <f t="shared" si="21"/>
        <v>0</v>
      </c>
      <c r="CH9" s="257">
        <f t="shared" si="21"/>
        <v>0</v>
      </c>
      <c r="CI9" s="257">
        <f t="shared" si="21"/>
        <v>0</v>
      </c>
      <c r="CJ9" s="257">
        <f t="shared" si="21"/>
        <v>0</v>
      </c>
      <c r="CK9" s="257">
        <f t="shared" si="21"/>
        <v>0</v>
      </c>
      <c r="CL9" s="912">
        <f t="shared" si="4"/>
        <v>0</v>
      </c>
      <c r="CM9" s="911"/>
      <c r="CN9" s="269"/>
      <c r="CO9" s="269"/>
      <c r="CP9" s="269"/>
      <c r="CQ9" s="269"/>
      <c r="CR9" s="269"/>
      <c r="CS9" s="269"/>
      <c r="CT9" s="269"/>
      <c r="CU9" s="269"/>
      <c r="CV9" s="269"/>
      <c r="CW9" s="269"/>
      <c r="CX9" s="269"/>
      <c r="CY9" s="885">
        <f t="shared" si="22"/>
        <v>0</v>
      </c>
      <c r="CZ9" s="886">
        <f t="shared" si="23"/>
        <v>0</v>
      </c>
      <c r="DA9" s="257">
        <f t="shared" si="23"/>
        <v>0</v>
      </c>
      <c r="DB9" s="257">
        <f t="shared" si="23"/>
        <v>0</v>
      </c>
      <c r="DC9" s="257">
        <f t="shared" si="23"/>
        <v>0</v>
      </c>
      <c r="DD9" s="257">
        <f t="shared" si="23"/>
        <v>0</v>
      </c>
      <c r="DE9" s="257">
        <f t="shared" si="23"/>
        <v>0</v>
      </c>
      <c r="DF9" s="257">
        <f t="shared" si="23"/>
        <v>0</v>
      </c>
      <c r="DG9" s="257">
        <f t="shared" si="23"/>
        <v>0</v>
      </c>
      <c r="DH9" s="257">
        <f t="shared" si="23"/>
        <v>0</v>
      </c>
      <c r="DI9" s="257">
        <f t="shared" si="23"/>
        <v>0</v>
      </c>
      <c r="DJ9" s="257">
        <f t="shared" si="23"/>
        <v>0</v>
      </c>
      <c r="DK9" s="257">
        <f t="shared" si="23"/>
        <v>0</v>
      </c>
      <c r="DL9" s="910">
        <f t="shared" si="6"/>
        <v>0</v>
      </c>
      <c r="DM9" s="908"/>
      <c r="DN9" s="269"/>
      <c r="DO9" s="269"/>
      <c r="DP9" s="269"/>
      <c r="DQ9" s="269"/>
      <c r="DR9" s="269"/>
      <c r="DS9" s="269"/>
      <c r="DT9" s="269"/>
      <c r="DU9" s="269"/>
      <c r="DV9" s="269"/>
      <c r="DW9" s="269"/>
      <c r="DX9" s="269"/>
      <c r="DY9" s="885">
        <f t="shared" si="24"/>
        <v>0</v>
      </c>
      <c r="DZ9" s="257">
        <f t="shared" si="25"/>
        <v>0</v>
      </c>
      <c r="EA9" s="257">
        <f t="shared" si="25"/>
        <v>0</v>
      </c>
      <c r="EB9" s="257">
        <f t="shared" si="25"/>
        <v>0</v>
      </c>
      <c r="EC9" s="257">
        <f t="shared" si="25"/>
        <v>0</v>
      </c>
      <c r="ED9" s="257">
        <f t="shared" si="25"/>
        <v>0</v>
      </c>
      <c r="EE9" s="257">
        <f t="shared" si="25"/>
        <v>0</v>
      </c>
      <c r="EF9" s="257">
        <f t="shared" si="25"/>
        <v>0</v>
      </c>
      <c r="EG9" s="257">
        <f t="shared" si="25"/>
        <v>0</v>
      </c>
      <c r="EH9" s="257">
        <f t="shared" si="25"/>
        <v>0</v>
      </c>
      <c r="EI9" s="257">
        <f t="shared" si="25"/>
        <v>0</v>
      </c>
      <c r="EJ9" s="257">
        <f t="shared" si="25"/>
        <v>0</v>
      </c>
      <c r="EK9" s="257">
        <f t="shared" si="25"/>
        <v>0</v>
      </c>
      <c r="EL9" s="910">
        <f t="shared" si="8"/>
        <v>0</v>
      </c>
    </row>
    <row r="10" spans="1:142">
      <c r="A10" s="904" t="s">
        <v>634</v>
      </c>
      <c r="B10" s="905" t="s">
        <v>636</v>
      </c>
      <c r="C10" s="906" t="s">
        <v>637</v>
      </c>
      <c r="D10" s="549">
        <v>0.78169999999999995</v>
      </c>
      <c r="E10" s="914">
        <v>0.75428571428571434</v>
      </c>
      <c r="F10" s="553">
        <v>0.71799999999999997</v>
      </c>
      <c r="G10" s="554">
        <f>F10*0.98</f>
        <v>0.70363999999999993</v>
      </c>
      <c r="H10" s="549">
        <f t="shared" si="11"/>
        <v>0.70363999999999993</v>
      </c>
      <c r="I10" s="914"/>
      <c r="J10" s="553"/>
      <c r="K10" s="915"/>
      <c r="L10" s="884"/>
      <c r="M10" s="565">
        <v>821300</v>
      </c>
      <c r="N10" s="256">
        <v>610000</v>
      </c>
      <c r="O10" s="256">
        <v>785200</v>
      </c>
      <c r="P10" s="256">
        <v>800400</v>
      </c>
      <c r="Q10" s="256">
        <v>753500</v>
      </c>
      <c r="R10" s="256">
        <v>767650</v>
      </c>
      <c r="S10" s="256">
        <v>800000</v>
      </c>
      <c r="T10" s="256">
        <v>800000</v>
      </c>
      <c r="U10" s="256">
        <v>800000</v>
      </c>
      <c r="V10" s="256">
        <v>600000</v>
      </c>
      <c r="W10" s="256">
        <v>400000</v>
      </c>
      <c r="X10" s="256">
        <v>300000</v>
      </c>
      <c r="Y10" s="885">
        <f t="shared" si="12"/>
        <v>8238050</v>
      </c>
      <c r="Z10" s="886">
        <v>642010.21</v>
      </c>
      <c r="AA10" s="257">
        <v>476836.99999999994</v>
      </c>
      <c r="AB10" s="257">
        <v>592265.14285714284</v>
      </c>
      <c r="AC10" s="257">
        <v>603730.2857142858</v>
      </c>
      <c r="AD10" s="257">
        <f>556987.2+528</f>
        <v>557515.19999999995</v>
      </c>
      <c r="AE10" s="257">
        <f>R10*$F10+400-30-17385</f>
        <v>534157.69999999995</v>
      </c>
      <c r="AF10" s="257">
        <f>S10*$F10</f>
        <v>574400</v>
      </c>
      <c r="AG10" s="257">
        <f>T10*$F10</f>
        <v>574400</v>
      </c>
      <c r="AH10" s="257">
        <f t="shared" si="16"/>
        <v>562912</v>
      </c>
      <c r="AI10" s="257">
        <f>V10*$G10</f>
        <v>422183.99999999994</v>
      </c>
      <c r="AJ10" s="257">
        <f t="shared" si="16"/>
        <v>281456</v>
      </c>
      <c r="AK10" s="257">
        <f>X10*$H10</f>
        <v>211091.99999999997</v>
      </c>
      <c r="AL10" s="910">
        <f t="shared" si="17"/>
        <v>6032959.5385714285</v>
      </c>
      <c r="AM10" s="911">
        <v>100000</v>
      </c>
      <c r="AN10" s="269">
        <v>50000</v>
      </c>
      <c r="AO10" s="269"/>
      <c r="AP10" s="269"/>
      <c r="AQ10" s="269"/>
      <c r="AR10" s="269"/>
      <c r="AS10" s="269"/>
      <c r="AT10" s="269"/>
      <c r="AU10" s="269"/>
      <c r="AV10" s="269"/>
      <c r="AW10" s="269"/>
      <c r="AX10" s="269"/>
      <c r="AY10" s="885">
        <f>SUM(AM10:AX10)</f>
        <v>150000</v>
      </c>
      <c r="AZ10" s="886">
        <f t="shared" si="19"/>
        <v>70364</v>
      </c>
      <c r="BA10" s="257">
        <f t="shared" si="19"/>
        <v>35182</v>
      </c>
      <c r="BB10" s="257">
        <f t="shared" si="19"/>
        <v>0</v>
      </c>
      <c r="BC10" s="257">
        <f t="shared" si="19"/>
        <v>0</v>
      </c>
      <c r="BD10" s="257">
        <f t="shared" si="19"/>
        <v>0</v>
      </c>
      <c r="BE10" s="257">
        <f t="shared" si="19"/>
        <v>0</v>
      </c>
      <c r="BF10" s="257">
        <f t="shared" si="19"/>
        <v>0</v>
      </c>
      <c r="BG10" s="257">
        <f t="shared" si="19"/>
        <v>0</v>
      </c>
      <c r="BH10" s="257">
        <f t="shared" si="19"/>
        <v>0</v>
      </c>
      <c r="BI10" s="257">
        <f t="shared" si="19"/>
        <v>0</v>
      </c>
      <c r="BJ10" s="257">
        <f t="shared" si="19"/>
        <v>0</v>
      </c>
      <c r="BK10" s="257">
        <f t="shared" si="19"/>
        <v>0</v>
      </c>
      <c r="BL10" s="910">
        <f>SUM(AZ10:BK10)</f>
        <v>105546</v>
      </c>
      <c r="BM10" s="911"/>
      <c r="BN10" s="269"/>
      <c r="BO10" s="269"/>
      <c r="BP10" s="269"/>
      <c r="BQ10" s="269"/>
      <c r="BR10" s="269"/>
      <c r="BS10" s="269"/>
      <c r="BT10" s="269"/>
      <c r="BU10" s="269"/>
      <c r="BV10" s="269"/>
      <c r="BW10" s="269"/>
      <c r="BX10" s="269"/>
      <c r="BY10" s="885">
        <f>SUM(BM10:BX10)</f>
        <v>0</v>
      </c>
      <c r="BZ10" s="891">
        <f t="shared" si="21"/>
        <v>0</v>
      </c>
      <c r="CA10" s="257">
        <f t="shared" si="21"/>
        <v>0</v>
      </c>
      <c r="CB10" s="257">
        <f t="shared" si="21"/>
        <v>0</v>
      </c>
      <c r="CC10" s="257">
        <f t="shared" si="21"/>
        <v>0</v>
      </c>
      <c r="CD10" s="257">
        <f t="shared" si="21"/>
        <v>0</v>
      </c>
      <c r="CE10" s="257">
        <f t="shared" si="21"/>
        <v>0</v>
      </c>
      <c r="CF10" s="257">
        <f t="shared" si="21"/>
        <v>0</v>
      </c>
      <c r="CG10" s="257">
        <f t="shared" si="21"/>
        <v>0</v>
      </c>
      <c r="CH10" s="257">
        <f t="shared" si="21"/>
        <v>0</v>
      </c>
      <c r="CI10" s="257">
        <f t="shared" si="21"/>
        <v>0</v>
      </c>
      <c r="CJ10" s="257">
        <f t="shared" si="21"/>
        <v>0</v>
      </c>
      <c r="CK10" s="257">
        <f t="shared" si="21"/>
        <v>0</v>
      </c>
      <c r="CL10" s="912">
        <f>SUM(BZ10:CK10)</f>
        <v>0</v>
      </c>
      <c r="CM10" s="911"/>
      <c r="CN10" s="269"/>
      <c r="CO10" s="269"/>
      <c r="CP10" s="269"/>
      <c r="CQ10" s="269"/>
      <c r="CR10" s="269"/>
      <c r="CS10" s="269"/>
      <c r="CT10" s="269"/>
      <c r="CU10" s="269"/>
      <c r="CV10" s="269"/>
      <c r="CW10" s="269"/>
      <c r="CX10" s="269"/>
      <c r="CY10" s="885">
        <f>SUM(CM10:CX10)</f>
        <v>0</v>
      </c>
      <c r="CZ10" s="886">
        <f t="shared" si="23"/>
        <v>0</v>
      </c>
      <c r="DA10" s="257">
        <f t="shared" si="23"/>
        <v>0</v>
      </c>
      <c r="DB10" s="257">
        <f t="shared" si="23"/>
        <v>0</v>
      </c>
      <c r="DC10" s="257">
        <f t="shared" si="23"/>
        <v>0</v>
      </c>
      <c r="DD10" s="257">
        <f t="shared" si="23"/>
        <v>0</v>
      </c>
      <c r="DE10" s="257">
        <f t="shared" si="23"/>
        <v>0</v>
      </c>
      <c r="DF10" s="257">
        <f t="shared" si="23"/>
        <v>0</v>
      </c>
      <c r="DG10" s="257">
        <f t="shared" si="23"/>
        <v>0</v>
      </c>
      <c r="DH10" s="257">
        <f t="shared" si="23"/>
        <v>0</v>
      </c>
      <c r="DI10" s="257">
        <f t="shared" si="23"/>
        <v>0</v>
      </c>
      <c r="DJ10" s="257">
        <f t="shared" si="23"/>
        <v>0</v>
      </c>
      <c r="DK10" s="257">
        <f t="shared" si="23"/>
        <v>0</v>
      </c>
      <c r="DL10" s="910">
        <f>SUM(CZ10:DK10)</f>
        <v>0</v>
      </c>
      <c r="DM10" s="908"/>
      <c r="DN10" s="269"/>
      <c r="DO10" s="269"/>
      <c r="DP10" s="269"/>
      <c r="DQ10" s="269"/>
      <c r="DR10" s="269"/>
      <c r="DS10" s="269"/>
      <c r="DT10" s="269"/>
      <c r="DU10" s="269"/>
      <c r="DV10" s="269"/>
      <c r="DW10" s="269"/>
      <c r="DX10" s="269"/>
      <c r="DY10" s="885">
        <f>SUM(DM10:DX10)</f>
        <v>0</v>
      </c>
      <c r="DZ10" s="257">
        <f t="shared" si="25"/>
        <v>0</v>
      </c>
      <c r="EA10" s="257">
        <f t="shared" si="25"/>
        <v>0</v>
      </c>
      <c r="EB10" s="257">
        <f t="shared" si="25"/>
        <v>0</v>
      </c>
      <c r="EC10" s="257">
        <f t="shared" si="25"/>
        <v>0</v>
      </c>
      <c r="ED10" s="257">
        <f t="shared" si="25"/>
        <v>0</v>
      </c>
      <c r="EE10" s="257">
        <f t="shared" si="25"/>
        <v>0</v>
      </c>
      <c r="EF10" s="257">
        <f t="shared" si="25"/>
        <v>0</v>
      </c>
      <c r="EG10" s="257">
        <f t="shared" si="25"/>
        <v>0</v>
      </c>
      <c r="EH10" s="257">
        <f t="shared" si="25"/>
        <v>0</v>
      </c>
      <c r="EI10" s="257">
        <f t="shared" si="25"/>
        <v>0</v>
      </c>
      <c r="EJ10" s="257">
        <f t="shared" si="25"/>
        <v>0</v>
      </c>
      <c r="EK10" s="257">
        <f t="shared" si="25"/>
        <v>0</v>
      </c>
      <c r="EL10" s="910">
        <f>SUM(DZ10:EK10)</f>
        <v>0</v>
      </c>
    </row>
    <row r="11" spans="1:142">
      <c r="A11" s="916" t="s">
        <v>634</v>
      </c>
      <c r="B11" s="905" t="s">
        <v>638</v>
      </c>
      <c r="C11" s="917" t="s">
        <v>639</v>
      </c>
      <c r="D11" s="549">
        <v>0.83</v>
      </c>
      <c r="E11" s="914">
        <v>0.8133061224489796</v>
      </c>
      <c r="F11" s="553">
        <f>E11*0.97</f>
        <v>0.78890693877551021</v>
      </c>
      <c r="G11" s="554">
        <f>F11*0.97</f>
        <v>0.76523973061224493</v>
      </c>
      <c r="H11" s="549">
        <f t="shared" si="11"/>
        <v>0.76523973061224493</v>
      </c>
      <c r="I11" s="914"/>
      <c r="J11" s="553"/>
      <c r="K11" s="915"/>
      <c r="L11" s="918"/>
      <c r="M11" s="565">
        <v>92149</v>
      </c>
      <c r="N11" s="256">
        <v>312000</v>
      </c>
      <c r="O11" s="256">
        <v>453100</v>
      </c>
      <c r="P11" s="256">
        <v>116300</v>
      </c>
      <c r="Q11" s="256"/>
      <c r="R11" s="256"/>
      <c r="S11" s="256"/>
      <c r="T11" s="256"/>
      <c r="U11" s="256"/>
      <c r="V11" s="256"/>
      <c r="W11" s="256"/>
      <c r="X11" s="256"/>
      <c r="Y11" s="909">
        <f t="shared" si="12"/>
        <v>973549</v>
      </c>
      <c r="Z11" s="886">
        <f>M11*$D11+2000-400</f>
        <v>78083.67</v>
      </c>
      <c r="AA11" s="257">
        <f>N11*$D11</f>
        <v>258960</v>
      </c>
      <c r="AB11" s="257">
        <f t="shared" si="14"/>
        <v>368509.00408163265</v>
      </c>
      <c r="AC11" s="257">
        <f>P11*$E11</f>
        <v>94587.502040816325</v>
      </c>
      <c r="AD11" s="257">
        <f>Q11*$E11</f>
        <v>0</v>
      </c>
      <c r="AE11" s="257">
        <f t="shared" si="15"/>
        <v>0</v>
      </c>
      <c r="AF11" s="257">
        <f t="shared" si="15"/>
        <v>0</v>
      </c>
      <c r="AG11" s="257">
        <f t="shared" si="15"/>
        <v>0</v>
      </c>
      <c r="AH11" s="257">
        <f t="shared" si="16"/>
        <v>0</v>
      </c>
      <c r="AI11" s="257">
        <f t="shared" si="16"/>
        <v>0</v>
      </c>
      <c r="AJ11" s="257">
        <f t="shared" si="16"/>
        <v>0</v>
      </c>
      <c r="AK11" s="257">
        <f t="shared" si="16"/>
        <v>0</v>
      </c>
      <c r="AL11" s="910">
        <f t="shared" si="17"/>
        <v>800140.17612244899</v>
      </c>
      <c r="AM11" s="911"/>
      <c r="AN11" s="269"/>
      <c r="AO11" s="269"/>
      <c r="AP11" s="269"/>
      <c r="AQ11" s="269"/>
      <c r="AR11" s="269"/>
      <c r="AS11" s="269"/>
      <c r="AT11" s="269"/>
      <c r="AU11" s="269"/>
      <c r="AV11" s="269"/>
      <c r="AW11" s="269"/>
      <c r="AX11" s="269"/>
      <c r="AY11" s="909">
        <f>SUM(AM11:AX11)</f>
        <v>0</v>
      </c>
      <c r="AZ11" s="886">
        <f t="shared" si="19"/>
        <v>0</v>
      </c>
      <c r="BA11" s="257">
        <f t="shared" si="19"/>
        <v>0</v>
      </c>
      <c r="BB11" s="257">
        <f t="shared" si="19"/>
        <v>0</v>
      </c>
      <c r="BC11" s="257">
        <f t="shared" si="19"/>
        <v>0</v>
      </c>
      <c r="BD11" s="257">
        <f t="shared" si="19"/>
        <v>0</v>
      </c>
      <c r="BE11" s="257">
        <f t="shared" si="19"/>
        <v>0</v>
      </c>
      <c r="BF11" s="257">
        <f t="shared" si="19"/>
        <v>0</v>
      </c>
      <c r="BG11" s="257">
        <f t="shared" si="19"/>
        <v>0</v>
      </c>
      <c r="BH11" s="257">
        <f t="shared" si="19"/>
        <v>0</v>
      </c>
      <c r="BI11" s="257">
        <f t="shared" si="19"/>
        <v>0</v>
      </c>
      <c r="BJ11" s="257">
        <f t="shared" si="19"/>
        <v>0</v>
      </c>
      <c r="BK11" s="257">
        <f t="shared" si="19"/>
        <v>0</v>
      </c>
      <c r="BL11" s="910">
        <f>SUM(AZ11:BK11)</f>
        <v>0</v>
      </c>
      <c r="BM11" s="911"/>
      <c r="BN11" s="269"/>
      <c r="BO11" s="269"/>
      <c r="BP11" s="269"/>
      <c r="BQ11" s="269"/>
      <c r="BR11" s="269"/>
      <c r="BS11" s="269"/>
      <c r="BT11" s="269"/>
      <c r="BU11" s="269"/>
      <c r="BV11" s="269"/>
      <c r="BW11" s="269"/>
      <c r="BX11" s="269"/>
      <c r="BY11" s="909">
        <f>SUM(BM11:BX11)</f>
        <v>0</v>
      </c>
      <c r="BZ11" s="891">
        <f t="shared" si="21"/>
        <v>0</v>
      </c>
      <c r="CA11" s="257">
        <f t="shared" si="21"/>
        <v>0</v>
      </c>
      <c r="CB11" s="257">
        <f t="shared" si="21"/>
        <v>0</v>
      </c>
      <c r="CC11" s="257">
        <f t="shared" si="21"/>
        <v>0</v>
      </c>
      <c r="CD11" s="257">
        <f t="shared" si="21"/>
        <v>0</v>
      </c>
      <c r="CE11" s="257">
        <f t="shared" si="21"/>
        <v>0</v>
      </c>
      <c r="CF11" s="257">
        <f t="shared" si="21"/>
        <v>0</v>
      </c>
      <c r="CG11" s="257">
        <f t="shared" si="21"/>
        <v>0</v>
      </c>
      <c r="CH11" s="257">
        <f t="shared" si="21"/>
        <v>0</v>
      </c>
      <c r="CI11" s="257">
        <f t="shared" si="21"/>
        <v>0</v>
      </c>
      <c r="CJ11" s="257">
        <f t="shared" si="21"/>
        <v>0</v>
      </c>
      <c r="CK11" s="257">
        <f t="shared" si="21"/>
        <v>0</v>
      </c>
      <c r="CL11" s="912">
        <f>SUM(BZ11:CK11)</f>
        <v>0</v>
      </c>
      <c r="CM11" s="911"/>
      <c r="CN11" s="269"/>
      <c r="CO11" s="269"/>
      <c r="CP11" s="269"/>
      <c r="CQ11" s="269"/>
      <c r="CR11" s="269"/>
      <c r="CS11" s="269"/>
      <c r="CT11" s="269"/>
      <c r="CU11" s="269"/>
      <c r="CV11" s="269"/>
      <c r="CW11" s="269"/>
      <c r="CX11" s="269"/>
      <c r="CY11" s="909">
        <f>SUM(CM11:CX11)</f>
        <v>0</v>
      </c>
      <c r="CZ11" s="886">
        <f t="shared" si="23"/>
        <v>0</v>
      </c>
      <c r="DA11" s="257">
        <f t="shared" si="23"/>
        <v>0</v>
      </c>
      <c r="DB11" s="257">
        <f t="shared" si="23"/>
        <v>0</v>
      </c>
      <c r="DC11" s="257">
        <f t="shared" si="23"/>
        <v>0</v>
      </c>
      <c r="DD11" s="257">
        <f t="shared" si="23"/>
        <v>0</v>
      </c>
      <c r="DE11" s="257">
        <f t="shared" si="23"/>
        <v>0</v>
      </c>
      <c r="DF11" s="257">
        <f t="shared" si="23"/>
        <v>0</v>
      </c>
      <c r="DG11" s="257">
        <f t="shared" si="23"/>
        <v>0</v>
      </c>
      <c r="DH11" s="257">
        <f t="shared" si="23"/>
        <v>0</v>
      </c>
      <c r="DI11" s="257">
        <f t="shared" si="23"/>
        <v>0</v>
      </c>
      <c r="DJ11" s="257">
        <f t="shared" si="23"/>
        <v>0</v>
      </c>
      <c r="DK11" s="257">
        <f t="shared" si="23"/>
        <v>0</v>
      </c>
      <c r="DL11" s="910">
        <f>SUM(CZ11:DK11)</f>
        <v>0</v>
      </c>
      <c r="DM11" s="908"/>
      <c r="DN11" s="269"/>
      <c r="DO11" s="269"/>
      <c r="DP11" s="269"/>
      <c r="DQ11" s="269"/>
      <c r="DR11" s="269"/>
      <c r="DS11" s="269"/>
      <c r="DT11" s="269"/>
      <c r="DU11" s="269"/>
      <c r="DV11" s="269"/>
      <c r="DW11" s="269"/>
      <c r="DX11" s="269"/>
      <c r="DY11" s="909">
        <f>SUM(DM11:DX11)</f>
        <v>0</v>
      </c>
      <c r="DZ11" s="257">
        <f t="shared" si="25"/>
        <v>0</v>
      </c>
      <c r="EA11" s="257">
        <f t="shared" si="25"/>
        <v>0</v>
      </c>
      <c r="EB11" s="257">
        <f t="shared" si="25"/>
        <v>0</v>
      </c>
      <c r="EC11" s="257">
        <f t="shared" si="25"/>
        <v>0</v>
      </c>
      <c r="ED11" s="257">
        <f t="shared" si="25"/>
        <v>0</v>
      </c>
      <c r="EE11" s="257">
        <f t="shared" si="25"/>
        <v>0</v>
      </c>
      <c r="EF11" s="257">
        <f t="shared" si="25"/>
        <v>0</v>
      </c>
      <c r="EG11" s="257">
        <f t="shared" si="25"/>
        <v>0</v>
      </c>
      <c r="EH11" s="257">
        <f t="shared" si="25"/>
        <v>0</v>
      </c>
      <c r="EI11" s="257">
        <f t="shared" si="25"/>
        <v>0</v>
      </c>
      <c r="EJ11" s="257">
        <f t="shared" si="25"/>
        <v>0</v>
      </c>
      <c r="EK11" s="257">
        <f t="shared" si="25"/>
        <v>0</v>
      </c>
      <c r="EL11" s="910">
        <f>SUM(DZ11:EK11)</f>
        <v>0</v>
      </c>
    </row>
    <row r="12" spans="1:142" s="936" customFormat="1">
      <c r="A12" s="919" t="s">
        <v>634</v>
      </c>
      <c r="B12" s="920" t="s">
        <v>640</v>
      </c>
      <c r="C12" s="921"/>
      <c r="D12" s="922"/>
      <c r="E12" s="923">
        <v>0.69</v>
      </c>
      <c r="F12" s="923">
        <v>0.69</v>
      </c>
      <c r="G12" s="924">
        <v>0.69</v>
      </c>
      <c r="H12" s="922">
        <f t="shared" ref="H12:K13" si="26">G12*0.98</f>
        <v>0.67619999999999991</v>
      </c>
      <c r="I12" s="923">
        <f t="shared" si="26"/>
        <v>0.66267599999999993</v>
      </c>
      <c r="J12" s="923">
        <f t="shared" si="26"/>
        <v>0.64942247999999991</v>
      </c>
      <c r="K12" s="925">
        <f t="shared" si="26"/>
        <v>0.63643403039999991</v>
      </c>
      <c r="L12" s="926"/>
      <c r="M12" s="927"/>
      <c r="N12" s="928"/>
      <c r="O12" s="928"/>
      <c r="P12" s="928"/>
      <c r="Q12" s="928"/>
      <c r="R12" s="928"/>
      <c r="S12" s="928"/>
      <c r="T12" s="928"/>
      <c r="U12" s="928"/>
      <c r="V12" s="928"/>
      <c r="W12" s="928"/>
      <c r="X12" s="928"/>
      <c r="Y12" s="929">
        <f t="shared" si="12"/>
        <v>0</v>
      </c>
      <c r="Z12" s="930">
        <f>M12*$D12</f>
        <v>0</v>
      </c>
      <c r="AA12" s="931">
        <f>N12*$D12</f>
        <v>0</v>
      </c>
      <c r="AB12" s="931">
        <f t="shared" ref="AB12:AG13" si="27">O12*$D12</f>
        <v>0</v>
      </c>
      <c r="AC12" s="931">
        <f t="shared" si="27"/>
        <v>0</v>
      </c>
      <c r="AD12" s="931">
        <f t="shared" si="27"/>
        <v>0</v>
      </c>
      <c r="AE12" s="931">
        <f t="shared" si="27"/>
        <v>0</v>
      </c>
      <c r="AF12" s="931">
        <f t="shared" si="27"/>
        <v>0</v>
      </c>
      <c r="AG12" s="931">
        <f t="shared" si="27"/>
        <v>0</v>
      </c>
      <c r="AH12" s="931">
        <f t="shared" si="16"/>
        <v>0</v>
      </c>
      <c r="AI12" s="931">
        <f t="shared" si="16"/>
        <v>0</v>
      </c>
      <c r="AJ12" s="931">
        <f t="shared" si="16"/>
        <v>0</v>
      </c>
      <c r="AK12" s="931">
        <f>X12*$H12</f>
        <v>0</v>
      </c>
      <c r="AL12" s="932">
        <f t="shared" si="17"/>
        <v>0</v>
      </c>
      <c r="AM12" s="933"/>
      <c r="AN12" s="928"/>
      <c r="AO12" s="928"/>
      <c r="AP12" s="928"/>
      <c r="AQ12" s="928"/>
      <c r="AR12" s="928"/>
      <c r="AS12" s="928"/>
      <c r="AT12" s="928"/>
      <c r="AU12" s="928"/>
      <c r="AV12" s="928"/>
      <c r="AW12" s="928"/>
      <c r="AX12" s="928"/>
      <c r="AY12" s="929">
        <f t="shared" si="18"/>
        <v>0</v>
      </c>
      <c r="AZ12" s="930">
        <f t="shared" si="19"/>
        <v>0</v>
      </c>
      <c r="BA12" s="931">
        <f t="shared" si="19"/>
        <v>0</v>
      </c>
      <c r="BB12" s="931">
        <f t="shared" si="19"/>
        <v>0</v>
      </c>
      <c r="BC12" s="931">
        <f t="shared" si="19"/>
        <v>0</v>
      </c>
      <c r="BD12" s="931">
        <f t="shared" si="19"/>
        <v>0</v>
      </c>
      <c r="BE12" s="931">
        <f t="shared" si="19"/>
        <v>0</v>
      </c>
      <c r="BF12" s="931">
        <f t="shared" si="19"/>
        <v>0</v>
      </c>
      <c r="BG12" s="931">
        <f t="shared" si="19"/>
        <v>0</v>
      </c>
      <c r="BH12" s="931">
        <f t="shared" si="19"/>
        <v>0</v>
      </c>
      <c r="BI12" s="931">
        <f t="shared" si="19"/>
        <v>0</v>
      </c>
      <c r="BJ12" s="931">
        <f t="shared" si="19"/>
        <v>0</v>
      </c>
      <c r="BK12" s="931">
        <f t="shared" si="19"/>
        <v>0</v>
      </c>
      <c r="BL12" s="932">
        <f t="shared" si="2"/>
        <v>0</v>
      </c>
      <c r="BM12" s="933">
        <v>500000</v>
      </c>
      <c r="BN12" s="928">
        <v>300000</v>
      </c>
      <c r="BO12" s="928">
        <v>300000</v>
      </c>
      <c r="BP12" s="928">
        <v>400000</v>
      </c>
      <c r="BQ12" s="928">
        <f>25000*24</f>
        <v>600000</v>
      </c>
      <c r="BR12" s="928">
        <f>25000*24</f>
        <v>600000</v>
      </c>
      <c r="BS12" s="928">
        <f t="shared" ref="BS12:BX12" si="28">30000*26</f>
        <v>780000</v>
      </c>
      <c r="BT12" s="928">
        <f t="shared" si="28"/>
        <v>780000</v>
      </c>
      <c r="BU12" s="928">
        <f t="shared" si="28"/>
        <v>780000</v>
      </c>
      <c r="BV12" s="928">
        <f t="shared" si="28"/>
        <v>780000</v>
      </c>
      <c r="BW12" s="928">
        <f t="shared" si="28"/>
        <v>780000</v>
      </c>
      <c r="BX12" s="928">
        <f t="shared" si="28"/>
        <v>780000</v>
      </c>
      <c r="BY12" s="929">
        <f t="shared" si="20"/>
        <v>7380000</v>
      </c>
      <c r="BZ12" s="934">
        <f t="shared" si="21"/>
        <v>331337.99999999994</v>
      </c>
      <c r="CA12" s="931">
        <f t="shared" si="21"/>
        <v>198802.8</v>
      </c>
      <c r="CB12" s="931">
        <f t="shared" si="21"/>
        <v>198802.8</v>
      </c>
      <c r="CC12" s="931">
        <f t="shared" si="21"/>
        <v>265070.39999999997</v>
      </c>
      <c r="CD12" s="931">
        <f t="shared" si="21"/>
        <v>397605.6</v>
      </c>
      <c r="CE12" s="931">
        <f t="shared" si="21"/>
        <v>397605.6</v>
      </c>
      <c r="CF12" s="931">
        <f t="shared" si="21"/>
        <v>516887.27999999997</v>
      </c>
      <c r="CG12" s="931">
        <f t="shared" si="21"/>
        <v>516887.27999999997</v>
      </c>
      <c r="CH12" s="931">
        <f t="shared" si="21"/>
        <v>516887.27999999997</v>
      </c>
      <c r="CI12" s="931">
        <f t="shared" si="21"/>
        <v>516887.27999999997</v>
      </c>
      <c r="CJ12" s="931">
        <f t="shared" si="21"/>
        <v>516887.27999999997</v>
      </c>
      <c r="CK12" s="931">
        <f t="shared" si="21"/>
        <v>516887.27999999997</v>
      </c>
      <c r="CL12" s="935">
        <f t="shared" si="4"/>
        <v>4890548.879999999</v>
      </c>
      <c r="CM12" s="933">
        <v>500000</v>
      </c>
      <c r="CN12" s="928">
        <v>300000</v>
      </c>
      <c r="CO12" s="928">
        <v>300000</v>
      </c>
      <c r="CP12" s="928">
        <v>400000</v>
      </c>
      <c r="CQ12" s="928">
        <f>25000*24</f>
        <v>600000</v>
      </c>
      <c r="CR12" s="928">
        <f>25000*24</f>
        <v>600000</v>
      </c>
      <c r="CS12" s="928">
        <f t="shared" ref="CS12:CX12" si="29">30000*26</f>
        <v>780000</v>
      </c>
      <c r="CT12" s="928">
        <f t="shared" si="29"/>
        <v>780000</v>
      </c>
      <c r="CU12" s="928">
        <f t="shared" si="29"/>
        <v>780000</v>
      </c>
      <c r="CV12" s="928">
        <f t="shared" si="29"/>
        <v>780000</v>
      </c>
      <c r="CW12" s="928">
        <f t="shared" si="29"/>
        <v>780000</v>
      </c>
      <c r="CX12" s="928">
        <f t="shared" si="29"/>
        <v>780000</v>
      </c>
      <c r="CY12" s="929">
        <f t="shared" si="22"/>
        <v>7380000</v>
      </c>
      <c r="CZ12" s="930">
        <f t="shared" si="23"/>
        <v>324711.23999999993</v>
      </c>
      <c r="DA12" s="931">
        <f t="shared" si="23"/>
        <v>194826.74399999998</v>
      </c>
      <c r="DB12" s="931">
        <f t="shared" si="23"/>
        <v>194826.74399999998</v>
      </c>
      <c r="DC12" s="931">
        <f t="shared" si="23"/>
        <v>259768.99199999997</v>
      </c>
      <c r="DD12" s="931">
        <f t="shared" si="23"/>
        <v>389653.48799999995</v>
      </c>
      <c r="DE12" s="931">
        <f t="shared" si="23"/>
        <v>389653.48799999995</v>
      </c>
      <c r="DF12" s="931">
        <f t="shared" si="23"/>
        <v>506549.53439999995</v>
      </c>
      <c r="DG12" s="931">
        <f t="shared" si="23"/>
        <v>506549.53439999995</v>
      </c>
      <c r="DH12" s="931">
        <f t="shared" si="23"/>
        <v>506549.53439999995</v>
      </c>
      <c r="DI12" s="931">
        <f t="shared" si="23"/>
        <v>506549.53439999995</v>
      </c>
      <c r="DJ12" s="931">
        <f t="shared" si="23"/>
        <v>506549.53439999995</v>
      </c>
      <c r="DK12" s="931">
        <f t="shared" si="23"/>
        <v>506549.53439999995</v>
      </c>
      <c r="DL12" s="932">
        <f t="shared" si="6"/>
        <v>4792737.9023999991</v>
      </c>
      <c r="DM12" s="927">
        <v>500000</v>
      </c>
      <c r="DN12" s="928">
        <v>300000</v>
      </c>
      <c r="DO12" s="928">
        <v>300000</v>
      </c>
      <c r="DP12" s="928">
        <v>400000</v>
      </c>
      <c r="DQ12" s="928">
        <f>25000*24</f>
        <v>600000</v>
      </c>
      <c r="DR12" s="928">
        <f>25000*24</f>
        <v>600000</v>
      </c>
      <c r="DS12" s="928">
        <f t="shared" ref="DS12:DX12" si="30">30000*26</f>
        <v>780000</v>
      </c>
      <c r="DT12" s="928">
        <f t="shared" si="30"/>
        <v>780000</v>
      </c>
      <c r="DU12" s="928">
        <f t="shared" si="30"/>
        <v>780000</v>
      </c>
      <c r="DV12" s="928">
        <f t="shared" si="30"/>
        <v>780000</v>
      </c>
      <c r="DW12" s="928">
        <f t="shared" si="30"/>
        <v>780000</v>
      </c>
      <c r="DX12" s="928">
        <f t="shared" si="30"/>
        <v>780000</v>
      </c>
      <c r="DY12" s="929">
        <f t="shared" si="24"/>
        <v>7380000</v>
      </c>
      <c r="DZ12" s="931">
        <f t="shared" si="25"/>
        <v>318217.01519999997</v>
      </c>
      <c r="EA12" s="931">
        <f t="shared" si="25"/>
        <v>190930.20911999998</v>
      </c>
      <c r="EB12" s="931">
        <f t="shared" si="25"/>
        <v>190930.20911999998</v>
      </c>
      <c r="EC12" s="931">
        <f t="shared" si="25"/>
        <v>254573.61215999996</v>
      </c>
      <c r="ED12" s="931">
        <f t="shared" si="25"/>
        <v>381860.41823999997</v>
      </c>
      <c r="EE12" s="931">
        <f t="shared" si="25"/>
        <v>381860.41823999997</v>
      </c>
      <c r="EF12" s="931">
        <f t="shared" si="25"/>
        <v>496418.54371199996</v>
      </c>
      <c r="EG12" s="931">
        <f t="shared" si="25"/>
        <v>496418.54371199996</v>
      </c>
      <c r="EH12" s="931">
        <f t="shared" si="25"/>
        <v>496418.54371199996</v>
      </c>
      <c r="EI12" s="931">
        <f t="shared" si="25"/>
        <v>496418.54371199996</v>
      </c>
      <c r="EJ12" s="931">
        <f t="shared" si="25"/>
        <v>496418.54371199996</v>
      </c>
      <c r="EK12" s="931">
        <f t="shared" si="25"/>
        <v>496418.54371199996</v>
      </c>
      <c r="EL12" s="932">
        <f t="shared" si="8"/>
        <v>4696883.1443520002</v>
      </c>
    </row>
    <row r="13" spans="1:142" s="936" customFormat="1" ht="18" thickBot="1">
      <c r="A13" s="937" t="s">
        <v>634</v>
      </c>
      <c r="B13" s="920" t="s">
        <v>641</v>
      </c>
      <c r="C13" s="938"/>
      <c r="D13" s="922"/>
      <c r="E13" s="939"/>
      <c r="F13" s="939">
        <v>0.8</v>
      </c>
      <c r="G13" s="940">
        <v>0.8</v>
      </c>
      <c r="H13" s="922">
        <f t="shared" si="26"/>
        <v>0.78400000000000003</v>
      </c>
      <c r="I13" s="939">
        <f t="shared" si="26"/>
        <v>0.76832</v>
      </c>
      <c r="J13" s="939">
        <f t="shared" si="26"/>
        <v>0.7529536</v>
      </c>
      <c r="K13" s="941">
        <f t="shared" si="26"/>
        <v>0.73789452799999999</v>
      </c>
      <c r="L13" s="942"/>
      <c r="M13" s="943"/>
      <c r="N13" s="944"/>
      <c r="O13" s="944"/>
      <c r="P13" s="944"/>
      <c r="Q13" s="944"/>
      <c r="R13" s="944"/>
      <c r="S13" s="944"/>
      <c r="T13" s="944"/>
      <c r="U13" s="944"/>
      <c r="V13" s="944"/>
      <c r="W13" s="944"/>
      <c r="X13" s="944"/>
      <c r="Y13" s="945">
        <f t="shared" si="12"/>
        <v>0</v>
      </c>
      <c r="Z13" s="930">
        <f>M13*$D13</f>
        <v>0</v>
      </c>
      <c r="AA13" s="931">
        <f>N13*$D13</f>
        <v>0</v>
      </c>
      <c r="AB13" s="931">
        <f t="shared" si="27"/>
        <v>0</v>
      </c>
      <c r="AC13" s="931">
        <f t="shared" si="27"/>
        <v>0</v>
      </c>
      <c r="AD13" s="931">
        <f t="shared" si="27"/>
        <v>0</v>
      </c>
      <c r="AE13" s="931">
        <f t="shared" si="27"/>
        <v>0</v>
      </c>
      <c r="AF13" s="931">
        <f t="shared" si="27"/>
        <v>0</v>
      </c>
      <c r="AG13" s="931">
        <f>T13*$D13</f>
        <v>0</v>
      </c>
      <c r="AH13" s="931">
        <f t="shared" si="16"/>
        <v>0</v>
      </c>
      <c r="AI13" s="931">
        <f t="shared" si="16"/>
        <v>0</v>
      </c>
      <c r="AJ13" s="931">
        <f t="shared" si="16"/>
        <v>0</v>
      </c>
      <c r="AK13" s="931">
        <f>X13*$H13</f>
        <v>0</v>
      </c>
      <c r="AL13" s="932">
        <f t="shared" si="17"/>
        <v>0</v>
      </c>
      <c r="AM13" s="933"/>
      <c r="AN13" s="928"/>
      <c r="AO13" s="928"/>
      <c r="AP13" s="928"/>
      <c r="AQ13" s="928"/>
      <c r="AR13" s="928"/>
      <c r="AS13" s="928"/>
      <c r="AT13" s="928"/>
      <c r="AU13" s="928"/>
      <c r="AV13" s="928"/>
      <c r="AW13" s="928"/>
      <c r="AX13" s="928"/>
      <c r="AY13" s="945">
        <f t="shared" si="18"/>
        <v>0</v>
      </c>
      <c r="AZ13" s="930">
        <f t="shared" si="19"/>
        <v>0</v>
      </c>
      <c r="BA13" s="931">
        <f t="shared" si="19"/>
        <v>0</v>
      </c>
      <c r="BB13" s="931">
        <f t="shared" si="19"/>
        <v>0</v>
      </c>
      <c r="BC13" s="931">
        <f t="shared" si="19"/>
        <v>0</v>
      </c>
      <c r="BD13" s="931">
        <f t="shared" si="19"/>
        <v>0</v>
      </c>
      <c r="BE13" s="931">
        <f t="shared" si="19"/>
        <v>0</v>
      </c>
      <c r="BF13" s="931">
        <f t="shared" si="19"/>
        <v>0</v>
      </c>
      <c r="BG13" s="931">
        <f t="shared" si="19"/>
        <v>0</v>
      </c>
      <c r="BH13" s="931">
        <f t="shared" si="19"/>
        <v>0</v>
      </c>
      <c r="BI13" s="931">
        <f t="shared" si="19"/>
        <v>0</v>
      </c>
      <c r="BJ13" s="931">
        <f t="shared" si="19"/>
        <v>0</v>
      </c>
      <c r="BK13" s="931">
        <f t="shared" si="19"/>
        <v>0</v>
      </c>
      <c r="BL13" s="932">
        <f t="shared" si="2"/>
        <v>0</v>
      </c>
      <c r="BM13" s="933">
        <v>300000</v>
      </c>
      <c r="BN13" s="928">
        <v>300000</v>
      </c>
      <c r="BO13" s="928">
        <v>400000</v>
      </c>
      <c r="BP13" s="928">
        <v>500000</v>
      </c>
      <c r="BQ13" s="928">
        <v>400000</v>
      </c>
      <c r="BR13" s="928">
        <v>500000</v>
      </c>
      <c r="BS13" s="928">
        <v>400000</v>
      </c>
      <c r="BT13" s="928">
        <v>200000</v>
      </c>
      <c r="BU13" s="928">
        <v>100000</v>
      </c>
      <c r="BV13" s="928">
        <v>50000</v>
      </c>
      <c r="BW13" s="928"/>
      <c r="BX13" s="928"/>
      <c r="BY13" s="945">
        <f t="shared" si="20"/>
        <v>3150000</v>
      </c>
      <c r="BZ13" s="934">
        <f t="shared" si="21"/>
        <v>230496</v>
      </c>
      <c r="CA13" s="931">
        <f t="shared" si="21"/>
        <v>230496</v>
      </c>
      <c r="CB13" s="931">
        <f t="shared" si="21"/>
        <v>307328</v>
      </c>
      <c r="CC13" s="931">
        <f t="shared" si="21"/>
        <v>384160</v>
      </c>
      <c r="CD13" s="931">
        <f t="shared" si="21"/>
        <v>307328</v>
      </c>
      <c r="CE13" s="931">
        <f t="shared" si="21"/>
        <v>384160</v>
      </c>
      <c r="CF13" s="931">
        <f t="shared" si="21"/>
        <v>307328</v>
      </c>
      <c r="CG13" s="931">
        <f t="shared" si="21"/>
        <v>153664</v>
      </c>
      <c r="CH13" s="931">
        <f t="shared" si="21"/>
        <v>76832</v>
      </c>
      <c r="CI13" s="931">
        <f t="shared" si="21"/>
        <v>38416</v>
      </c>
      <c r="CJ13" s="931">
        <f t="shared" si="21"/>
        <v>0</v>
      </c>
      <c r="CK13" s="931">
        <f t="shared" si="21"/>
        <v>0</v>
      </c>
      <c r="CL13" s="935">
        <f t="shared" si="4"/>
        <v>2420208</v>
      </c>
      <c r="CM13" s="933">
        <v>300000</v>
      </c>
      <c r="CN13" s="928">
        <v>300000</v>
      </c>
      <c r="CO13" s="928">
        <v>400000</v>
      </c>
      <c r="CP13" s="928">
        <v>500000</v>
      </c>
      <c r="CQ13" s="928">
        <v>400000</v>
      </c>
      <c r="CR13" s="928">
        <v>500000</v>
      </c>
      <c r="CS13" s="928">
        <v>400000</v>
      </c>
      <c r="CT13" s="928">
        <v>200000</v>
      </c>
      <c r="CU13" s="928">
        <v>100000</v>
      </c>
      <c r="CV13" s="928">
        <v>50000</v>
      </c>
      <c r="CW13" s="928"/>
      <c r="CX13" s="928"/>
      <c r="CY13" s="945">
        <f t="shared" si="22"/>
        <v>3150000</v>
      </c>
      <c r="CZ13" s="930">
        <f t="shared" si="23"/>
        <v>225886.07999999999</v>
      </c>
      <c r="DA13" s="931">
        <f t="shared" si="23"/>
        <v>225886.07999999999</v>
      </c>
      <c r="DB13" s="931">
        <f t="shared" si="23"/>
        <v>301181.44</v>
      </c>
      <c r="DC13" s="931">
        <f t="shared" si="23"/>
        <v>376476.8</v>
      </c>
      <c r="DD13" s="931">
        <f t="shared" si="23"/>
        <v>301181.44</v>
      </c>
      <c r="DE13" s="931">
        <f t="shared" si="23"/>
        <v>376476.8</v>
      </c>
      <c r="DF13" s="931">
        <f t="shared" si="23"/>
        <v>301181.44</v>
      </c>
      <c r="DG13" s="931">
        <f t="shared" si="23"/>
        <v>150590.72</v>
      </c>
      <c r="DH13" s="931">
        <f t="shared" si="23"/>
        <v>75295.360000000001</v>
      </c>
      <c r="DI13" s="931">
        <f t="shared" si="23"/>
        <v>37647.68</v>
      </c>
      <c r="DJ13" s="931">
        <f t="shared" si="23"/>
        <v>0</v>
      </c>
      <c r="DK13" s="931">
        <f t="shared" si="23"/>
        <v>0</v>
      </c>
      <c r="DL13" s="932">
        <f t="shared" si="6"/>
        <v>2371803.8400000003</v>
      </c>
      <c r="DM13" s="927">
        <v>300000</v>
      </c>
      <c r="DN13" s="928">
        <v>300000</v>
      </c>
      <c r="DO13" s="928">
        <v>400000</v>
      </c>
      <c r="DP13" s="928">
        <v>500000</v>
      </c>
      <c r="DQ13" s="928">
        <v>400000</v>
      </c>
      <c r="DR13" s="928">
        <v>500000</v>
      </c>
      <c r="DS13" s="928">
        <v>400000</v>
      </c>
      <c r="DT13" s="928">
        <v>200000</v>
      </c>
      <c r="DU13" s="928">
        <v>100000</v>
      </c>
      <c r="DV13" s="928">
        <v>50000</v>
      </c>
      <c r="DW13" s="928"/>
      <c r="DX13" s="928"/>
      <c r="DY13" s="945">
        <f t="shared" si="24"/>
        <v>3150000</v>
      </c>
      <c r="DZ13" s="931">
        <f t="shared" si="25"/>
        <v>221368.3584</v>
      </c>
      <c r="EA13" s="931">
        <f t="shared" si="25"/>
        <v>221368.3584</v>
      </c>
      <c r="EB13" s="931">
        <f t="shared" si="25"/>
        <v>295157.8112</v>
      </c>
      <c r="EC13" s="931">
        <f t="shared" si="25"/>
        <v>368947.26400000002</v>
      </c>
      <c r="ED13" s="931">
        <f t="shared" si="25"/>
        <v>295157.8112</v>
      </c>
      <c r="EE13" s="931">
        <f t="shared" si="25"/>
        <v>368947.26400000002</v>
      </c>
      <c r="EF13" s="931">
        <f t="shared" si="25"/>
        <v>295157.8112</v>
      </c>
      <c r="EG13" s="931">
        <f t="shared" si="25"/>
        <v>147578.9056</v>
      </c>
      <c r="EH13" s="931">
        <f t="shared" si="25"/>
        <v>73789.452799999999</v>
      </c>
      <c r="EI13" s="931">
        <f t="shared" si="25"/>
        <v>36894.7264</v>
      </c>
      <c r="EJ13" s="931">
        <f t="shared" si="25"/>
        <v>0</v>
      </c>
      <c r="EK13" s="931">
        <f t="shared" si="25"/>
        <v>0</v>
      </c>
      <c r="EL13" s="932">
        <f t="shared" si="8"/>
        <v>2324367.7631999999</v>
      </c>
    </row>
    <row r="14" spans="1:142" ht="18.75" thickTop="1" thickBot="1">
      <c r="A14" s="5218" t="s">
        <v>48</v>
      </c>
      <c r="B14" s="5219"/>
      <c r="C14" s="5220"/>
      <c r="D14" s="898"/>
      <c r="E14" s="898"/>
      <c r="F14" s="898"/>
      <c r="G14" s="898"/>
      <c r="H14" s="898"/>
      <c r="I14" s="898"/>
      <c r="J14" s="898"/>
      <c r="K14" s="899"/>
      <c r="L14" s="900"/>
      <c r="M14" s="901">
        <f t="shared" ref="M14:BX14" si="31">SUM(M6:M13)</f>
        <v>1071049</v>
      </c>
      <c r="N14" s="544">
        <f t="shared" si="31"/>
        <v>988800</v>
      </c>
      <c r="O14" s="544">
        <f t="shared" si="31"/>
        <v>1312100</v>
      </c>
      <c r="P14" s="544">
        <f t="shared" si="31"/>
        <v>916700</v>
      </c>
      <c r="Q14" s="544">
        <f t="shared" si="31"/>
        <v>753500</v>
      </c>
      <c r="R14" s="544">
        <f t="shared" si="31"/>
        <v>767650</v>
      </c>
      <c r="S14" s="544">
        <f t="shared" si="31"/>
        <v>800000</v>
      </c>
      <c r="T14" s="544">
        <f t="shared" si="31"/>
        <v>800000</v>
      </c>
      <c r="U14" s="544">
        <f t="shared" si="31"/>
        <v>800000</v>
      </c>
      <c r="V14" s="544">
        <f t="shared" si="31"/>
        <v>600000</v>
      </c>
      <c r="W14" s="544">
        <f t="shared" si="31"/>
        <v>400000</v>
      </c>
      <c r="X14" s="544">
        <f t="shared" si="31"/>
        <v>300000</v>
      </c>
      <c r="Y14" s="545">
        <f t="shared" si="31"/>
        <v>9509799</v>
      </c>
      <c r="Z14" s="550">
        <f t="shared" si="31"/>
        <v>839090.18400000001</v>
      </c>
      <c r="AA14" s="550">
        <f t="shared" si="31"/>
        <v>786798.91133333324</v>
      </c>
      <c r="AB14" s="550">
        <f t="shared" si="31"/>
        <v>1015142.1551020409</v>
      </c>
      <c r="AC14" s="550">
        <f t="shared" si="31"/>
        <v>698317.78775510215</v>
      </c>
      <c r="AD14" s="550">
        <f t="shared" si="31"/>
        <v>557515.19999999995</v>
      </c>
      <c r="AE14" s="550">
        <f>SUM(AE6:AE13)</f>
        <v>534157.69999999995</v>
      </c>
      <c r="AF14" s="550">
        <f t="shared" si="31"/>
        <v>574400</v>
      </c>
      <c r="AG14" s="550">
        <f t="shared" si="31"/>
        <v>574400</v>
      </c>
      <c r="AH14" s="550">
        <f t="shared" si="31"/>
        <v>562912</v>
      </c>
      <c r="AI14" s="550">
        <f t="shared" si="31"/>
        <v>422183.99999999994</v>
      </c>
      <c r="AJ14" s="550">
        <f t="shared" si="31"/>
        <v>281456</v>
      </c>
      <c r="AK14" s="550">
        <f t="shared" si="31"/>
        <v>211091.99999999997</v>
      </c>
      <c r="AL14" s="547">
        <f t="shared" si="31"/>
        <v>7057465.938190476</v>
      </c>
      <c r="AM14" s="544">
        <f t="shared" si="31"/>
        <v>100000</v>
      </c>
      <c r="AN14" s="544">
        <f t="shared" si="31"/>
        <v>50000</v>
      </c>
      <c r="AO14" s="544">
        <f t="shared" si="31"/>
        <v>0</v>
      </c>
      <c r="AP14" s="544">
        <f t="shared" si="31"/>
        <v>0</v>
      </c>
      <c r="AQ14" s="544">
        <f t="shared" si="31"/>
        <v>0</v>
      </c>
      <c r="AR14" s="544">
        <f t="shared" si="31"/>
        <v>0</v>
      </c>
      <c r="AS14" s="544">
        <f t="shared" si="31"/>
        <v>0</v>
      </c>
      <c r="AT14" s="544">
        <f t="shared" si="31"/>
        <v>0</v>
      </c>
      <c r="AU14" s="544">
        <f t="shared" si="31"/>
        <v>0</v>
      </c>
      <c r="AV14" s="544">
        <f t="shared" si="31"/>
        <v>0</v>
      </c>
      <c r="AW14" s="544">
        <f t="shared" si="31"/>
        <v>0</v>
      </c>
      <c r="AX14" s="544">
        <f t="shared" si="31"/>
        <v>0</v>
      </c>
      <c r="AY14" s="545">
        <f t="shared" si="31"/>
        <v>150000</v>
      </c>
      <c r="AZ14" s="550">
        <f t="shared" si="31"/>
        <v>70364</v>
      </c>
      <c r="BA14" s="550">
        <f t="shared" si="31"/>
        <v>35182</v>
      </c>
      <c r="BB14" s="550">
        <f t="shared" si="31"/>
        <v>0</v>
      </c>
      <c r="BC14" s="550">
        <f t="shared" si="31"/>
        <v>0</v>
      </c>
      <c r="BD14" s="550">
        <f t="shared" si="31"/>
        <v>0</v>
      </c>
      <c r="BE14" s="550">
        <f t="shared" si="31"/>
        <v>0</v>
      </c>
      <c r="BF14" s="550">
        <f t="shared" si="31"/>
        <v>0</v>
      </c>
      <c r="BG14" s="550">
        <f t="shared" si="31"/>
        <v>0</v>
      </c>
      <c r="BH14" s="550">
        <f t="shared" si="31"/>
        <v>0</v>
      </c>
      <c r="BI14" s="550">
        <f t="shared" si="31"/>
        <v>0</v>
      </c>
      <c r="BJ14" s="550">
        <f t="shared" si="31"/>
        <v>0</v>
      </c>
      <c r="BK14" s="550">
        <f t="shared" si="31"/>
        <v>0</v>
      </c>
      <c r="BL14" s="547">
        <f t="shared" si="31"/>
        <v>105546</v>
      </c>
      <c r="BM14" s="544">
        <f t="shared" si="31"/>
        <v>800000</v>
      </c>
      <c r="BN14" s="544">
        <f t="shared" si="31"/>
        <v>600000</v>
      </c>
      <c r="BO14" s="544">
        <f t="shared" si="31"/>
        <v>700000</v>
      </c>
      <c r="BP14" s="544">
        <f t="shared" si="31"/>
        <v>900000</v>
      </c>
      <c r="BQ14" s="544">
        <f t="shared" si="31"/>
        <v>1000000</v>
      </c>
      <c r="BR14" s="544">
        <f t="shared" si="31"/>
        <v>1100000</v>
      </c>
      <c r="BS14" s="544">
        <f t="shared" si="31"/>
        <v>1180000</v>
      </c>
      <c r="BT14" s="544">
        <f t="shared" si="31"/>
        <v>980000</v>
      </c>
      <c r="BU14" s="544">
        <f t="shared" si="31"/>
        <v>880000</v>
      </c>
      <c r="BV14" s="544">
        <f t="shared" si="31"/>
        <v>830000</v>
      </c>
      <c r="BW14" s="544">
        <f t="shared" si="31"/>
        <v>780000</v>
      </c>
      <c r="BX14" s="544">
        <f t="shared" si="31"/>
        <v>780000</v>
      </c>
      <c r="BY14" s="545">
        <f t="shared" ref="BY14:EJ14" si="32">SUM(BY6:BY13)</f>
        <v>10530000</v>
      </c>
      <c r="BZ14" s="946">
        <f t="shared" si="32"/>
        <v>561834</v>
      </c>
      <c r="CA14" s="550">
        <f t="shared" si="32"/>
        <v>429298.8</v>
      </c>
      <c r="CB14" s="550">
        <f t="shared" si="32"/>
        <v>506130.8</v>
      </c>
      <c r="CC14" s="550">
        <f t="shared" si="32"/>
        <v>649230.39999999991</v>
      </c>
      <c r="CD14" s="550">
        <f t="shared" si="32"/>
        <v>704933.6</v>
      </c>
      <c r="CE14" s="550">
        <f t="shared" si="32"/>
        <v>781765.6</v>
      </c>
      <c r="CF14" s="550">
        <f t="shared" si="32"/>
        <v>824215.28</v>
      </c>
      <c r="CG14" s="550">
        <f t="shared" si="32"/>
        <v>670551.28</v>
      </c>
      <c r="CH14" s="550">
        <f t="shared" si="32"/>
        <v>593719.28</v>
      </c>
      <c r="CI14" s="550">
        <f t="shared" si="32"/>
        <v>555303.28</v>
      </c>
      <c r="CJ14" s="550">
        <f t="shared" si="32"/>
        <v>516887.27999999997</v>
      </c>
      <c r="CK14" s="550">
        <f t="shared" si="32"/>
        <v>516887.27999999997</v>
      </c>
      <c r="CL14" s="903">
        <f t="shared" si="32"/>
        <v>7310756.879999999</v>
      </c>
      <c r="CM14" s="544">
        <f t="shared" si="32"/>
        <v>800000</v>
      </c>
      <c r="CN14" s="544">
        <f t="shared" si="32"/>
        <v>600000</v>
      </c>
      <c r="CO14" s="544">
        <f t="shared" si="32"/>
        <v>700000</v>
      </c>
      <c r="CP14" s="544">
        <f t="shared" si="32"/>
        <v>900000</v>
      </c>
      <c r="CQ14" s="544">
        <f t="shared" si="32"/>
        <v>1000000</v>
      </c>
      <c r="CR14" s="544">
        <f t="shared" si="32"/>
        <v>1100000</v>
      </c>
      <c r="CS14" s="544">
        <f t="shared" si="32"/>
        <v>1180000</v>
      </c>
      <c r="CT14" s="544">
        <f t="shared" si="32"/>
        <v>980000</v>
      </c>
      <c r="CU14" s="544">
        <f t="shared" si="32"/>
        <v>880000</v>
      </c>
      <c r="CV14" s="544">
        <f t="shared" si="32"/>
        <v>830000</v>
      </c>
      <c r="CW14" s="544">
        <f t="shared" si="32"/>
        <v>780000</v>
      </c>
      <c r="CX14" s="544">
        <f t="shared" si="32"/>
        <v>780000</v>
      </c>
      <c r="CY14" s="545">
        <f t="shared" si="32"/>
        <v>10530000</v>
      </c>
      <c r="CZ14" s="550">
        <f t="shared" si="32"/>
        <v>550597.31999999995</v>
      </c>
      <c r="DA14" s="550">
        <f t="shared" si="32"/>
        <v>420712.82399999996</v>
      </c>
      <c r="DB14" s="550">
        <f t="shared" si="32"/>
        <v>496008.18400000001</v>
      </c>
      <c r="DC14" s="550">
        <f t="shared" si="32"/>
        <v>636245.7919999999</v>
      </c>
      <c r="DD14" s="550">
        <f t="shared" si="32"/>
        <v>690834.92799999996</v>
      </c>
      <c r="DE14" s="550">
        <f t="shared" si="32"/>
        <v>766130.28799999994</v>
      </c>
      <c r="DF14" s="550">
        <f t="shared" si="32"/>
        <v>807730.97439999995</v>
      </c>
      <c r="DG14" s="550">
        <f t="shared" si="32"/>
        <v>657140.25439999998</v>
      </c>
      <c r="DH14" s="550">
        <f t="shared" si="32"/>
        <v>581844.89439999999</v>
      </c>
      <c r="DI14" s="550">
        <f t="shared" si="32"/>
        <v>544197.21439999994</v>
      </c>
      <c r="DJ14" s="550">
        <f t="shared" si="32"/>
        <v>506549.53439999995</v>
      </c>
      <c r="DK14" s="550">
        <f t="shared" si="32"/>
        <v>506549.53439999995</v>
      </c>
      <c r="DL14" s="547">
        <f t="shared" si="32"/>
        <v>7164541.7423999999</v>
      </c>
      <c r="DM14" s="901">
        <f t="shared" si="32"/>
        <v>800000</v>
      </c>
      <c r="DN14" s="544">
        <f t="shared" si="32"/>
        <v>600000</v>
      </c>
      <c r="DO14" s="544">
        <f t="shared" si="32"/>
        <v>700000</v>
      </c>
      <c r="DP14" s="544">
        <f t="shared" si="32"/>
        <v>900000</v>
      </c>
      <c r="DQ14" s="544">
        <f t="shared" si="32"/>
        <v>1000000</v>
      </c>
      <c r="DR14" s="544">
        <f t="shared" si="32"/>
        <v>1100000</v>
      </c>
      <c r="DS14" s="544">
        <f t="shared" si="32"/>
        <v>1180000</v>
      </c>
      <c r="DT14" s="544">
        <f t="shared" si="32"/>
        <v>980000</v>
      </c>
      <c r="DU14" s="544">
        <f t="shared" si="32"/>
        <v>880000</v>
      </c>
      <c r="DV14" s="544">
        <f t="shared" si="32"/>
        <v>830000</v>
      </c>
      <c r="DW14" s="544">
        <f t="shared" si="32"/>
        <v>780000</v>
      </c>
      <c r="DX14" s="544">
        <f t="shared" si="32"/>
        <v>780000</v>
      </c>
      <c r="DY14" s="545">
        <f t="shared" si="32"/>
        <v>10530000</v>
      </c>
      <c r="DZ14" s="550">
        <f t="shared" si="32"/>
        <v>539585.37359999993</v>
      </c>
      <c r="EA14" s="550">
        <f t="shared" si="32"/>
        <v>412298.56751999998</v>
      </c>
      <c r="EB14" s="550">
        <f t="shared" si="32"/>
        <v>486088.02032000001</v>
      </c>
      <c r="EC14" s="550">
        <f t="shared" si="32"/>
        <v>623520.87615999999</v>
      </c>
      <c r="ED14" s="550">
        <f t="shared" si="32"/>
        <v>677018.22943999991</v>
      </c>
      <c r="EE14" s="550">
        <f t="shared" si="32"/>
        <v>750807.68223999999</v>
      </c>
      <c r="EF14" s="550">
        <f t="shared" si="32"/>
        <v>791576.35491200001</v>
      </c>
      <c r="EG14" s="550">
        <f t="shared" si="32"/>
        <v>643997.44931199995</v>
      </c>
      <c r="EH14" s="550">
        <f t="shared" si="32"/>
        <v>570207.99651199998</v>
      </c>
      <c r="EI14" s="550">
        <f t="shared" si="32"/>
        <v>533313.27011199994</v>
      </c>
      <c r="EJ14" s="550">
        <f t="shared" si="32"/>
        <v>496418.54371199996</v>
      </c>
      <c r="EK14" s="550">
        <f>SUM(EK6:EK13)</f>
        <v>496418.54371199996</v>
      </c>
      <c r="EL14" s="547">
        <f>SUM(EL6:EL13)</f>
        <v>7021250.9075520001</v>
      </c>
    </row>
    <row r="15" spans="1:142" ht="18" thickTop="1">
      <c r="A15" s="904" t="s">
        <v>642</v>
      </c>
      <c r="B15" s="905" t="s">
        <v>643</v>
      </c>
      <c r="C15" s="947" t="s">
        <v>644</v>
      </c>
      <c r="D15" s="551">
        <v>1.3049999999999999</v>
      </c>
      <c r="E15" s="551">
        <v>1.3049999999999999</v>
      </c>
      <c r="F15" s="551">
        <v>1.3049999999999999</v>
      </c>
      <c r="G15" s="571">
        <v>1.34</v>
      </c>
      <c r="H15" s="549">
        <v>1.34</v>
      </c>
      <c r="I15" s="551">
        <v>1.34</v>
      </c>
      <c r="J15" s="551">
        <v>1.34</v>
      </c>
      <c r="K15" s="948">
        <v>1.34</v>
      </c>
      <c r="L15" s="884"/>
      <c r="M15" s="949">
        <v>80500</v>
      </c>
      <c r="N15" s="575">
        <v>66800</v>
      </c>
      <c r="O15" s="271">
        <v>89800</v>
      </c>
      <c r="P15" s="271">
        <v>78900</v>
      </c>
      <c r="Q15" s="271">
        <v>44204</v>
      </c>
      <c r="R15" s="271">
        <v>20900</v>
      </c>
      <c r="S15" s="271">
        <v>115000</v>
      </c>
      <c r="T15" s="271">
        <v>80000</v>
      </c>
      <c r="U15" s="271">
        <v>70000</v>
      </c>
      <c r="V15" s="271">
        <v>80000</v>
      </c>
      <c r="W15" s="271">
        <v>80000</v>
      </c>
      <c r="X15" s="271">
        <v>60000</v>
      </c>
      <c r="Y15" s="950">
        <f t="shared" ref="Y15:Y23" si="33">SUM(M15:X15)</f>
        <v>866104</v>
      </c>
      <c r="Z15" s="886">
        <v>107870</v>
      </c>
      <c r="AA15" s="257">
        <v>89512</v>
      </c>
      <c r="AB15" s="257">
        <v>120332</v>
      </c>
      <c r="AC15" s="257">
        <v>104263.9346938774</v>
      </c>
      <c r="AD15" s="257">
        <v>58349.280000000006</v>
      </c>
      <c r="AE15" s="257">
        <v>27588</v>
      </c>
      <c r="AF15" s="257">
        <f>S15*$E15</f>
        <v>150075</v>
      </c>
      <c r="AG15" s="257">
        <f>T15*$E15</f>
        <v>104400</v>
      </c>
      <c r="AH15" s="257">
        <f t="shared" ref="AH15:AK23" si="34">U15*$E15</f>
        <v>91350</v>
      </c>
      <c r="AI15" s="257">
        <f t="shared" si="34"/>
        <v>104400</v>
      </c>
      <c r="AJ15" s="257">
        <f t="shared" si="34"/>
        <v>104400</v>
      </c>
      <c r="AK15" s="257">
        <f t="shared" si="34"/>
        <v>78300</v>
      </c>
      <c r="AL15" s="910">
        <f t="shared" ref="AL15:AL23" si="35">SUM(Z15:AK15)</f>
        <v>1140840.2146938774</v>
      </c>
      <c r="AM15" s="951">
        <v>80500</v>
      </c>
      <c r="AN15" s="575">
        <v>66800</v>
      </c>
      <c r="AO15" s="271">
        <v>50000</v>
      </c>
      <c r="AP15" s="271">
        <v>40000</v>
      </c>
      <c r="AQ15" s="271"/>
      <c r="AR15" s="271"/>
      <c r="AS15" s="271"/>
      <c r="AT15" s="271"/>
      <c r="AU15" s="271"/>
      <c r="AV15" s="271"/>
      <c r="AW15" s="271"/>
      <c r="AX15" s="271"/>
      <c r="AY15" s="909">
        <f t="shared" si="18"/>
        <v>237300</v>
      </c>
      <c r="AZ15" s="886">
        <f t="shared" ref="AZ15:BK20" si="36">AM15*$H15</f>
        <v>107870</v>
      </c>
      <c r="BA15" s="257">
        <f t="shared" si="36"/>
        <v>89512</v>
      </c>
      <c r="BB15" s="257">
        <f t="shared" si="36"/>
        <v>67000</v>
      </c>
      <c r="BC15" s="257">
        <f t="shared" si="36"/>
        <v>53600</v>
      </c>
      <c r="BD15" s="257">
        <f t="shared" si="36"/>
        <v>0</v>
      </c>
      <c r="BE15" s="257">
        <f t="shared" si="36"/>
        <v>0</v>
      </c>
      <c r="BF15" s="257">
        <f t="shared" si="36"/>
        <v>0</v>
      </c>
      <c r="BG15" s="257">
        <f t="shared" si="36"/>
        <v>0</v>
      </c>
      <c r="BH15" s="257">
        <f t="shared" si="36"/>
        <v>0</v>
      </c>
      <c r="BI15" s="257">
        <f t="shared" si="36"/>
        <v>0</v>
      </c>
      <c r="BJ15" s="257">
        <f t="shared" si="36"/>
        <v>0</v>
      </c>
      <c r="BK15" s="257">
        <f t="shared" si="36"/>
        <v>0</v>
      </c>
      <c r="BL15" s="910">
        <f t="shared" si="2"/>
        <v>317982</v>
      </c>
      <c r="BM15" s="951"/>
      <c r="BN15" s="575"/>
      <c r="BO15" s="271"/>
      <c r="BP15" s="271"/>
      <c r="BQ15" s="271"/>
      <c r="BR15" s="271"/>
      <c r="BS15" s="271"/>
      <c r="BT15" s="271"/>
      <c r="BU15" s="271"/>
      <c r="BV15" s="271"/>
      <c r="BW15" s="271"/>
      <c r="BX15" s="271"/>
      <c r="BY15" s="909">
        <f t="shared" si="20"/>
        <v>0</v>
      </c>
      <c r="BZ15" s="891">
        <f t="shared" ref="BZ15:CK20" si="37">BM15*$I15</f>
        <v>0</v>
      </c>
      <c r="CA15" s="257">
        <f t="shared" si="37"/>
        <v>0</v>
      </c>
      <c r="CB15" s="257">
        <f t="shared" si="37"/>
        <v>0</v>
      </c>
      <c r="CC15" s="257">
        <f t="shared" si="37"/>
        <v>0</v>
      </c>
      <c r="CD15" s="257">
        <f t="shared" si="37"/>
        <v>0</v>
      </c>
      <c r="CE15" s="257">
        <f t="shared" si="37"/>
        <v>0</v>
      </c>
      <c r="CF15" s="257">
        <f t="shared" si="37"/>
        <v>0</v>
      </c>
      <c r="CG15" s="257">
        <f t="shared" si="37"/>
        <v>0</v>
      </c>
      <c r="CH15" s="257">
        <f t="shared" si="37"/>
        <v>0</v>
      </c>
      <c r="CI15" s="257">
        <f t="shared" si="37"/>
        <v>0</v>
      </c>
      <c r="CJ15" s="257">
        <f t="shared" si="37"/>
        <v>0</v>
      </c>
      <c r="CK15" s="257">
        <f t="shared" si="37"/>
        <v>0</v>
      </c>
      <c r="CL15" s="912">
        <f t="shared" si="4"/>
        <v>0</v>
      </c>
      <c r="CM15" s="951"/>
      <c r="CN15" s="575"/>
      <c r="CO15" s="271"/>
      <c r="CP15" s="271"/>
      <c r="CQ15" s="271"/>
      <c r="CR15" s="271"/>
      <c r="CS15" s="271"/>
      <c r="CT15" s="271"/>
      <c r="CU15" s="271"/>
      <c r="CV15" s="271"/>
      <c r="CW15" s="271"/>
      <c r="CX15" s="271"/>
      <c r="CY15" s="909">
        <f t="shared" si="22"/>
        <v>0</v>
      </c>
      <c r="CZ15" s="886">
        <f t="shared" ref="CZ15:DK20" si="38">CM15*$J15</f>
        <v>0</v>
      </c>
      <c r="DA15" s="257">
        <f t="shared" si="38"/>
        <v>0</v>
      </c>
      <c r="DB15" s="257">
        <f t="shared" si="38"/>
        <v>0</v>
      </c>
      <c r="DC15" s="257">
        <f t="shared" si="38"/>
        <v>0</v>
      </c>
      <c r="DD15" s="257">
        <f t="shared" si="38"/>
        <v>0</v>
      </c>
      <c r="DE15" s="257">
        <f t="shared" si="38"/>
        <v>0</v>
      </c>
      <c r="DF15" s="257">
        <f t="shared" si="38"/>
        <v>0</v>
      </c>
      <c r="DG15" s="257">
        <f t="shared" si="38"/>
        <v>0</v>
      </c>
      <c r="DH15" s="257">
        <f t="shared" si="38"/>
        <v>0</v>
      </c>
      <c r="DI15" s="257">
        <f t="shared" si="38"/>
        <v>0</v>
      </c>
      <c r="DJ15" s="257">
        <f t="shared" si="38"/>
        <v>0</v>
      </c>
      <c r="DK15" s="257">
        <f t="shared" si="38"/>
        <v>0</v>
      </c>
      <c r="DL15" s="910">
        <f t="shared" si="6"/>
        <v>0</v>
      </c>
      <c r="DM15" s="949"/>
      <c r="DN15" s="575"/>
      <c r="DO15" s="271"/>
      <c r="DP15" s="271"/>
      <c r="DQ15" s="271"/>
      <c r="DR15" s="271"/>
      <c r="DS15" s="271"/>
      <c r="DT15" s="271"/>
      <c r="DU15" s="271"/>
      <c r="DV15" s="271"/>
      <c r="DW15" s="271"/>
      <c r="DX15" s="271"/>
      <c r="DY15" s="909">
        <f t="shared" si="24"/>
        <v>0</v>
      </c>
      <c r="DZ15" s="257">
        <f t="shared" ref="DZ15:EK20" si="39">DM15*$K15</f>
        <v>0</v>
      </c>
      <c r="EA15" s="257">
        <f t="shared" si="39"/>
        <v>0</v>
      </c>
      <c r="EB15" s="257">
        <f t="shared" si="39"/>
        <v>0</v>
      </c>
      <c r="EC15" s="257">
        <f t="shared" si="39"/>
        <v>0</v>
      </c>
      <c r="ED15" s="257">
        <f t="shared" si="39"/>
        <v>0</v>
      </c>
      <c r="EE15" s="257">
        <f t="shared" si="39"/>
        <v>0</v>
      </c>
      <c r="EF15" s="257">
        <f t="shared" si="39"/>
        <v>0</v>
      </c>
      <c r="EG15" s="257">
        <f t="shared" si="39"/>
        <v>0</v>
      </c>
      <c r="EH15" s="257">
        <f t="shared" si="39"/>
        <v>0</v>
      </c>
      <c r="EI15" s="257">
        <f t="shared" si="39"/>
        <v>0</v>
      </c>
      <c r="EJ15" s="257">
        <f t="shared" si="39"/>
        <v>0</v>
      </c>
      <c r="EK15" s="257">
        <f t="shared" si="39"/>
        <v>0</v>
      </c>
      <c r="EL15" s="910">
        <f t="shared" si="8"/>
        <v>0</v>
      </c>
    </row>
    <row r="16" spans="1:142">
      <c r="A16" s="904" t="s">
        <v>642</v>
      </c>
      <c r="B16" s="905" t="s">
        <v>645</v>
      </c>
      <c r="C16" s="917" t="s">
        <v>646</v>
      </c>
      <c r="D16" s="952">
        <v>0.8</v>
      </c>
      <c r="E16" s="952">
        <v>0.8</v>
      </c>
      <c r="F16" s="952">
        <v>0.8</v>
      </c>
      <c r="G16" s="953">
        <v>0.79</v>
      </c>
      <c r="H16" s="953">
        <v>0.79</v>
      </c>
      <c r="I16" s="953">
        <v>0.79</v>
      </c>
      <c r="J16" s="953">
        <v>0.79</v>
      </c>
      <c r="K16" s="954">
        <f t="shared" ref="K16:K21" si="40">J16*0.98</f>
        <v>0.7742</v>
      </c>
      <c r="L16" s="955"/>
      <c r="M16" s="949">
        <v>157900</v>
      </c>
      <c r="N16" s="575">
        <v>93500</v>
      </c>
      <c r="O16" s="575">
        <v>129000</v>
      </c>
      <c r="P16" s="575">
        <v>94640</v>
      </c>
      <c r="Q16" s="575">
        <v>75282</v>
      </c>
      <c r="R16" s="575">
        <v>71000</v>
      </c>
      <c r="S16" s="575"/>
      <c r="T16" s="575">
        <v>10000</v>
      </c>
      <c r="U16" s="575">
        <v>20000</v>
      </c>
      <c r="V16" s="575">
        <v>20000</v>
      </c>
      <c r="W16" s="575">
        <v>20000</v>
      </c>
      <c r="X16" s="575">
        <v>20000</v>
      </c>
      <c r="Y16" s="909">
        <f t="shared" si="33"/>
        <v>711322</v>
      </c>
      <c r="Z16" s="886">
        <v>126320</v>
      </c>
      <c r="AA16" s="257">
        <v>74800</v>
      </c>
      <c r="AB16" s="257">
        <v>103200</v>
      </c>
      <c r="AC16" s="257">
        <v>75712</v>
      </c>
      <c r="AD16" s="257">
        <v>61454.693877551021</v>
      </c>
      <c r="AE16" s="257">
        <v>56800</v>
      </c>
      <c r="AF16" s="257">
        <f t="shared" ref="AF16:AG23" si="41">S16*$E16</f>
        <v>0</v>
      </c>
      <c r="AG16" s="257">
        <f t="shared" si="41"/>
        <v>8000</v>
      </c>
      <c r="AH16" s="257">
        <f t="shared" si="34"/>
        <v>16000</v>
      </c>
      <c r="AI16" s="257">
        <f t="shared" si="34"/>
        <v>16000</v>
      </c>
      <c r="AJ16" s="257">
        <f t="shared" si="34"/>
        <v>16000</v>
      </c>
      <c r="AK16" s="257">
        <f t="shared" si="34"/>
        <v>16000</v>
      </c>
      <c r="AL16" s="910">
        <f t="shared" si="35"/>
        <v>570286.69387755101</v>
      </c>
      <c r="AM16" s="951">
        <v>157900</v>
      </c>
      <c r="AN16" s="575">
        <v>93500</v>
      </c>
      <c r="AO16" s="575">
        <v>150000</v>
      </c>
      <c r="AP16" s="575">
        <v>120000</v>
      </c>
      <c r="AQ16" s="575">
        <v>100000</v>
      </c>
      <c r="AR16" s="575">
        <v>110000</v>
      </c>
      <c r="AS16" s="575">
        <v>100000</v>
      </c>
      <c r="AT16" s="575">
        <v>100000</v>
      </c>
      <c r="AU16" s="575">
        <v>100000</v>
      </c>
      <c r="AV16" s="575">
        <v>100000</v>
      </c>
      <c r="AW16" s="575">
        <v>100000</v>
      </c>
      <c r="AX16" s="575">
        <v>100000</v>
      </c>
      <c r="AY16" s="909">
        <f t="shared" si="18"/>
        <v>1331400</v>
      </c>
      <c r="AZ16" s="886">
        <f t="shared" si="36"/>
        <v>124741</v>
      </c>
      <c r="BA16" s="257">
        <f t="shared" si="36"/>
        <v>73865</v>
      </c>
      <c r="BB16" s="257">
        <f t="shared" si="36"/>
        <v>118500</v>
      </c>
      <c r="BC16" s="257">
        <f t="shared" si="36"/>
        <v>94800</v>
      </c>
      <c r="BD16" s="257">
        <f t="shared" si="36"/>
        <v>79000</v>
      </c>
      <c r="BE16" s="257">
        <f t="shared" si="36"/>
        <v>86900</v>
      </c>
      <c r="BF16" s="257">
        <f t="shared" si="36"/>
        <v>79000</v>
      </c>
      <c r="BG16" s="257">
        <f t="shared" si="36"/>
        <v>79000</v>
      </c>
      <c r="BH16" s="257">
        <f t="shared" si="36"/>
        <v>79000</v>
      </c>
      <c r="BI16" s="257">
        <f t="shared" si="36"/>
        <v>79000</v>
      </c>
      <c r="BJ16" s="257">
        <f t="shared" si="36"/>
        <v>79000</v>
      </c>
      <c r="BK16" s="257">
        <f t="shared" si="36"/>
        <v>79000</v>
      </c>
      <c r="BL16" s="910">
        <f t="shared" si="2"/>
        <v>1051806</v>
      </c>
      <c r="BM16" s="951"/>
      <c r="BN16" s="575"/>
      <c r="BO16" s="575"/>
      <c r="BP16" s="575"/>
      <c r="BQ16" s="575"/>
      <c r="BR16" s="575"/>
      <c r="BS16" s="575"/>
      <c r="BT16" s="575"/>
      <c r="BU16" s="575"/>
      <c r="BV16" s="575"/>
      <c r="BW16" s="575"/>
      <c r="BX16" s="575"/>
      <c r="BY16" s="909">
        <f t="shared" si="20"/>
        <v>0</v>
      </c>
      <c r="BZ16" s="891">
        <f t="shared" si="37"/>
        <v>0</v>
      </c>
      <c r="CA16" s="257">
        <f t="shared" si="37"/>
        <v>0</v>
      </c>
      <c r="CB16" s="257">
        <f t="shared" si="37"/>
        <v>0</v>
      </c>
      <c r="CC16" s="257">
        <f t="shared" si="37"/>
        <v>0</v>
      </c>
      <c r="CD16" s="257">
        <f t="shared" si="37"/>
        <v>0</v>
      </c>
      <c r="CE16" s="257">
        <f t="shared" si="37"/>
        <v>0</v>
      </c>
      <c r="CF16" s="257">
        <f t="shared" si="37"/>
        <v>0</v>
      </c>
      <c r="CG16" s="257">
        <f t="shared" si="37"/>
        <v>0</v>
      </c>
      <c r="CH16" s="257">
        <f t="shared" si="37"/>
        <v>0</v>
      </c>
      <c r="CI16" s="257">
        <f t="shared" si="37"/>
        <v>0</v>
      </c>
      <c r="CJ16" s="257">
        <f t="shared" si="37"/>
        <v>0</v>
      </c>
      <c r="CK16" s="257">
        <f t="shared" si="37"/>
        <v>0</v>
      </c>
      <c r="CL16" s="912">
        <f t="shared" si="4"/>
        <v>0</v>
      </c>
      <c r="CM16" s="951"/>
      <c r="CN16" s="575"/>
      <c r="CO16" s="575"/>
      <c r="CP16" s="575"/>
      <c r="CQ16" s="575"/>
      <c r="CR16" s="575"/>
      <c r="CS16" s="575"/>
      <c r="CT16" s="575"/>
      <c r="CU16" s="575"/>
      <c r="CV16" s="575"/>
      <c r="CW16" s="575"/>
      <c r="CX16" s="575"/>
      <c r="CY16" s="909">
        <f t="shared" si="22"/>
        <v>0</v>
      </c>
      <c r="CZ16" s="886">
        <f t="shared" si="38"/>
        <v>0</v>
      </c>
      <c r="DA16" s="257">
        <f t="shared" si="38"/>
        <v>0</v>
      </c>
      <c r="DB16" s="257">
        <f t="shared" si="38"/>
        <v>0</v>
      </c>
      <c r="DC16" s="257">
        <f t="shared" si="38"/>
        <v>0</v>
      </c>
      <c r="DD16" s="257">
        <f t="shared" si="38"/>
        <v>0</v>
      </c>
      <c r="DE16" s="257">
        <f t="shared" si="38"/>
        <v>0</v>
      </c>
      <c r="DF16" s="257">
        <f t="shared" si="38"/>
        <v>0</v>
      </c>
      <c r="DG16" s="257">
        <f t="shared" si="38"/>
        <v>0</v>
      </c>
      <c r="DH16" s="257">
        <f t="shared" si="38"/>
        <v>0</v>
      </c>
      <c r="DI16" s="257">
        <f t="shared" si="38"/>
        <v>0</v>
      </c>
      <c r="DJ16" s="257">
        <f t="shared" si="38"/>
        <v>0</v>
      </c>
      <c r="DK16" s="257">
        <f t="shared" si="38"/>
        <v>0</v>
      </c>
      <c r="DL16" s="910">
        <f t="shared" si="6"/>
        <v>0</v>
      </c>
      <c r="DM16" s="949"/>
      <c r="DN16" s="575"/>
      <c r="DO16" s="575"/>
      <c r="DP16" s="575"/>
      <c r="DQ16" s="575"/>
      <c r="DR16" s="575"/>
      <c r="DS16" s="575"/>
      <c r="DT16" s="575"/>
      <c r="DU16" s="575"/>
      <c r="DV16" s="575"/>
      <c r="DW16" s="575"/>
      <c r="DX16" s="575"/>
      <c r="DY16" s="909">
        <f t="shared" si="24"/>
        <v>0</v>
      </c>
      <c r="DZ16" s="257">
        <f t="shared" si="39"/>
        <v>0</v>
      </c>
      <c r="EA16" s="257">
        <f t="shared" si="39"/>
        <v>0</v>
      </c>
      <c r="EB16" s="257">
        <f t="shared" si="39"/>
        <v>0</v>
      </c>
      <c r="EC16" s="257">
        <f t="shared" si="39"/>
        <v>0</v>
      </c>
      <c r="ED16" s="257">
        <f t="shared" si="39"/>
        <v>0</v>
      </c>
      <c r="EE16" s="257">
        <f t="shared" si="39"/>
        <v>0</v>
      </c>
      <c r="EF16" s="257">
        <f t="shared" si="39"/>
        <v>0</v>
      </c>
      <c r="EG16" s="257">
        <f t="shared" si="39"/>
        <v>0</v>
      </c>
      <c r="EH16" s="257">
        <f t="shared" si="39"/>
        <v>0</v>
      </c>
      <c r="EI16" s="257">
        <f t="shared" si="39"/>
        <v>0</v>
      </c>
      <c r="EJ16" s="257">
        <f t="shared" si="39"/>
        <v>0</v>
      </c>
      <c r="EK16" s="257">
        <f t="shared" si="39"/>
        <v>0</v>
      </c>
      <c r="EL16" s="910">
        <f t="shared" si="8"/>
        <v>0</v>
      </c>
    </row>
    <row r="17" spans="1:142">
      <c r="A17" s="904" t="s">
        <v>642</v>
      </c>
      <c r="B17" s="956" t="s">
        <v>647</v>
      </c>
      <c r="C17" s="917" t="s">
        <v>648</v>
      </c>
      <c r="D17" s="952">
        <v>0.92</v>
      </c>
      <c r="E17" s="952">
        <v>0.92</v>
      </c>
      <c r="F17" s="952">
        <v>0.92</v>
      </c>
      <c r="G17" s="953">
        <v>0.94293877551020411</v>
      </c>
      <c r="H17" s="953">
        <v>0.94293877551020411</v>
      </c>
      <c r="I17" s="953">
        <v>0.94293877551020411</v>
      </c>
      <c r="J17" s="953">
        <v>0.94293877551020411</v>
      </c>
      <c r="K17" s="954">
        <f t="shared" si="40"/>
        <v>0.92408000000000001</v>
      </c>
      <c r="L17" s="955"/>
      <c r="M17" s="949">
        <v>7000</v>
      </c>
      <c r="N17" s="575"/>
      <c r="O17" s="575"/>
      <c r="P17" s="575"/>
      <c r="Q17" s="575">
        <v>37400</v>
      </c>
      <c r="R17" s="575">
        <v>4400</v>
      </c>
      <c r="S17" s="575">
        <v>1700</v>
      </c>
      <c r="T17" s="575"/>
      <c r="U17" s="575"/>
      <c r="V17" s="575"/>
      <c r="W17" s="575"/>
      <c r="X17" s="575"/>
      <c r="Y17" s="909">
        <f t="shared" si="33"/>
        <v>50500</v>
      </c>
      <c r="Z17" s="886">
        <v>6300</v>
      </c>
      <c r="AA17" s="257">
        <v>0</v>
      </c>
      <c r="AB17" s="257">
        <v>0</v>
      </c>
      <c r="AC17" s="257">
        <v>0</v>
      </c>
      <c r="AD17" s="257">
        <v>35265.910204081636</v>
      </c>
      <c r="AE17" s="257">
        <v>4048</v>
      </c>
      <c r="AF17" s="257">
        <f t="shared" si="41"/>
        <v>1564</v>
      </c>
      <c r="AG17" s="257">
        <f t="shared" si="41"/>
        <v>0</v>
      </c>
      <c r="AH17" s="257">
        <f t="shared" si="34"/>
        <v>0</v>
      </c>
      <c r="AI17" s="257">
        <f t="shared" si="34"/>
        <v>0</v>
      </c>
      <c r="AJ17" s="257">
        <f t="shared" si="34"/>
        <v>0</v>
      </c>
      <c r="AK17" s="257">
        <f t="shared" si="34"/>
        <v>0</v>
      </c>
      <c r="AL17" s="910">
        <f t="shared" si="35"/>
        <v>47177.910204081636</v>
      </c>
      <c r="AM17" s="951">
        <v>7000</v>
      </c>
      <c r="AN17" s="575"/>
      <c r="AO17" s="575"/>
      <c r="AP17" s="575"/>
      <c r="AQ17" s="575"/>
      <c r="AR17" s="575"/>
      <c r="AS17" s="575"/>
      <c r="AT17" s="575"/>
      <c r="AU17" s="575"/>
      <c r="AV17" s="575"/>
      <c r="AW17" s="575"/>
      <c r="AX17" s="575"/>
      <c r="AY17" s="909">
        <f t="shared" si="18"/>
        <v>7000</v>
      </c>
      <c r="AZ17" s="886">
        <f t="shared" si="36"/>
        <v>6600.5714285714284</v>
      </c>
      <c r="BA17" s="257">
        <f t="shared" si="36"/>
        <v>0</v>
      </c>
      <c r="BB17" s="257">
        <f t="shared" si="36"/>
        <v>0</v>
      </c>
      <c r="BC17" s="257">
        <f t="shared" si="36"/>
        <v>0</v>
      </c>
      <c r="BD17" s="257">
        <f t="shared" si="36"/>
        <v>0</v>
      </c>
      <c r="BE17" s="257">
        <f t="shared" si="36"/>
        <v>0</v>
      </c>
      <c r="BF17" s="257">
        <f t="shared" si="36"/>
        <v>0</v>
      </c>
      <c r="BG17" s="257">
        <f t="shared" si="36"/>
        <v>0</v>
      </c>
      <c r="BH17" s="257">
        <f t="shared" si="36"/>
        <v>0</v>
      </c>
      <c r="BI17" s="257">
        <f t="shared" si="36"/>
        <v>0</v>
      </c>
      <c r="BJ17" s="257">
        <f t="shared" si="36"/>
        <v>0</v>
      </c>
      <c r="BK17" s="257">
        <f t="shared" si="36"/>
        <v>0</v>
      </c>
      <c r="BL17" s="910">
        <f t="shared" si="2"/>
        <v>6600.5714285714284</v>
      </c>
      <c r="BM17" s="951"/>
      <c r="BN17" s="575"/>
      <c r="BO17" s="575"/>
      <c r="BP17" s="575"/>
      <c r="BQ17" s="575"/>
      <c r="BR17" s="575"/>
      <c r="BS17" s="575"/>
      <c r="BT17" s="575"/>
      <c r="BU17" s="575"/>
      <c r="BV17" s="575"/>
      <c r="BW17" s="575"/>
      <c r="BX17" s="575"/>
      <c r="BY17" s="909">
        <f t="shared" si="20"/>
        <v>0</v>
      </c>
      <c r="BZ17" s="891">
        <f t="shared" si="37"/>
        <v>0</v>
      </c>
      <c r="CA17" s="257">
        <f t="shared" si="37"/>
        <v>0</v>
      </c>
      <c r="CB17" s="257">
        <f t="shared" si="37"/>
        <v>0</v>
      </c>
      <c r="CC17" s="257">
        <f t="shared" si="37"/>
        <v>0</v>
      </c>
      <c r="CD17" s="257">
        <f t="shared" si="37"/>
        <v>0</v>
      </c>
      <c r="CE17" s="257">
        <f t="shared" si="37"/>
        <v>0</v>
      </c>
      <c r="CF17" s="257">
        <f t="shared" si="37"/>
        <v>0</v>
      </c>
      <c r="CG17" s="257">
        <f t="shared" si="37"/>
        <v>0</v>
      </c>
      <c r="CH17" s="257">
        <f t="shared" si="37"/>
        <v>0</v>
      </c>
      <c r="CI17" s="257">
        <f t="shared" si="37"/>
        <v>0</v>
      </c>
      <c r="CJ17" s="257">
        <f t="shared" si="37"/>
        <v>0</v>
      </c>
      <c r="CK17" s="257">
        <f t="shared" si="37"/>
        <v>0</v>
      </c>
      <c r="CL17" s="912">
        <f t="shared" si="4"/>
        <v>0</v>
      </c>
      <c r="CM17" s="951"/>
      <c r="CN17" s="575"/>
      <c r="CO17" s="575"/>
      <c r="CP17" s="575"/>
      <c r="CQ17" s="575"/>
      <c r="CR17" s="575"/>
      <c r="CS17" s="575"/>
      <c r="CT17" s="575"/>
      <c r="CU17" s="575"/>
      <c r="CV17" s="575"/>
      <c r="CW17" s="575"/>
      <c r="CX17" s="575"/>
      <c r="CY17" s="909">
        <f t="shared" si="22"/>
        <v>0</v>
      </c>
      <c r="CZ17" s="886">
        <f t="shared" si="38"/>
        <v>0</v>
      </c>
      <c r="DA17" s="257">
        <f t="shared" si="38"/>
        <v>0</v>
      </c>
      <c r="DB17" s="257">
        <f t="shared" si="38"/>
        <v>0</v>
      </c>
      <c r="DC17" s="257">
        <f t="shared" si="38"/>
        <v>0</v>
      </c>
      <c r="DD17" s="257">
        <f t="shared" si="38"/>
        <v>0</v>
      </c>
      <c r="DE17" s="257">
        <f t="shared" si="38"/>
        <v>0</v>
      </c>
      <c r="DF17" s="257">
        <f t="shared" si="38"/>
        <v>0</v>
      </c>
      <c r="DG17" s="257">
        <f t="shared" si="38"/>
        <v>0</v>
      </c>
      <c r="DH17" s="257">
        <f t="shared" si="38"/>
        <v>0</v>
      </c>
      <c r="DI17" s="257">
        <f t="shared" si="38"/>
        <v>0</v>
      </c>
      <c r="DJ17" s="257">
        <f t="shared" si="38"/>
        <v>0</v>
      </c>
      <c r="DK17" s="257">
        <f t="shared" si="38"/>
        <v>0</v>
      </c>
      <c r="DL17" s="910">
        <f t="shared" si="6"/>
        <v>0</v>
      </c>
      <c r="DM17" s="949"/>
      <c r="DN17" s="575"/>
      <c r="DO17" s="575"/>
      <c r="DP17" s="575"/>
      <c r="DQ17" s="575"/>
      <c r="DR17" s="575"/>
      <c r="DS17" s="575"/>
      <c r="DT17" s="575"/>
      <c r="DU17" s="575"/>
      <c r="DV17" s="575"/>
      <c r="DW17" s="575"/>
      <c r="DX17" s="575"/>
      <c r="DY17" s="909">
        <f t="shared" si="24"/>
        <v>0</v>
      </c>
      <c r="DZ17" s="257">
        <f t="shared" si="39"/>
        <v>0</v>
      </c>
      <c r="EA17" s="257">
        <f t="shared" si="39"/>
        <v>0</v>
      </c>
      <c r="EB17" s="257">
        <f t="shared" si="39"/>
        <v>0</v>
      </c>
      <c r="EC17" s="257">
        <f t="shared" si="39"/>
        <v>0</v>
      </c>
      <c r="ED17" s="257">
        <f t="shared" si="39"/>
        <v>0</v>
      </c>
      <c r="EE17" s="257">
        <f t="shared" si="39"/>
        <v>0</v>
      </c>
      <c r="EF17" s="257">
        <f t="shared" si="39"/>
        <v>0</v>
      </c>
      <c r="EG17" s="257">
        <f t="shared" si="39"/>
        <v>0</v>
      </c>
      <c r="EH17" s="257">
        <f t="shared" si="39"/>
        <v>0</v>
      </c>
      <c r="EI17" s="257">
        <f t="shared" si="39"/>
        <v>0</v>
      </c>
      <c r="EJ17" s="257">
        <f t="shared" si="39"/>
        <v>0</v>
      </c>
      <c r="EK17" s="257">
        <f t="shared" si="39"/>
        <v>0</v>
      </c>
      <c r="EL17" s="910">
        <f t="shared" si="8"/>
        <v>0</v>
      </c>
    </row>
    <row r="18" spans="1:142" hidden="1">
      <c r="A18" s="904" t="s">
        <v>642</v>
      </c>
      <c r="B18" s="956" t="s">
        <v>649</v>
      </c>
      <c r="C18" s="917" t="s">
        <v>650</v>
      </c>
      <c r="D18" s="952">
        <v>1.1000000000000001</v>
      </c>
      <c r="E18" s="953">
        <v>1.1000000000000001</v>
      </c>
      <c r="F18" s="953">
        <v>1.1000000000000001</v>
      </c>
      <c r="G18" s="953">
        <v>1.1000000000000001</v>
      </c>
      <c r="H18" s="953">
        <v>1.1000000000000001</v>
      </c>
      <c r="I18" s="953">
        <v>1.1000000000000001</v>
      </c>
      <c r="J18" s="953">
        <v>1.1000000000000001</v>
      </c>
      <c r="K18" s="954">
        <f t="shared" si="40"/>
        <v>1.0780000000000001</v>
      </c>
      <c r="L18" s="955"/>
      <c r="M18" s="949">
        <v>17353</v>
      </c>
      <c r="N18" s="575"/>
      <c r="O18" s="575"/>
      <c r="P18" s="575"/>
      <c r="Q18" s="575"/>
      <c r="R18" s="575"/>
      <c r="S18" s="575"/>
      <c r="T18" s="575"/>
      <c r="U18" s="575"/>
      <c r="V18" s="575"/>
      <c r="W18" s="575"/>
      <c r="X18" s="575"/>
      <c r="Y18" s="909">
        <f t="shared" si="33"/>
        <v>17353</v>
      </c>
      <c r="Z18" s="886">
        <v>19088.300000000003</v>
      </c>
      <c r="AA18" s="257">
        <v>0</v>
      </c>
      <c r="AB18" s="257">
        <v>0</v>
      </c>
      <c r="AC18" s="257">
        <v>0</v>
      </c>
      <c r="AD18" s="257">
        <v>0</v>
      </c>
      <c r="AE18" s="257">
        <v>0</v>
      </c>
      <c r="AF18" s="257">
        <f t="shared" si="41"/>
        <v>0</v>
      </c>
      <c r="AG18" s="257">
        <f t="shared" si="41"/>
        <v>0</v>
      </c>
      <c r="AH18" s="257">
        <f t="shared" si="34"/>
        <v>0</v>
      </c>
      <c r="AI18" s="257">
        <f t="shared" si="34"/>
        <v>0</v>
      </c>
      <c r="AJ18" s="257">
        <f t="shared" si="34"/>
        <v>0</v>
      </c>
      <c r="AK18" s="257">
        <f t="shared" si="34"/>
        <v>0</v>
      </c>
      <c r="AL18" s="910">
        <f t="shared" si="35"/>
        <v>19088.300000000003</v>
      </c>
      <c r="AM18" s="951">
        <v>17353</v>
      </c>
      <c r="AN18" s="575"/>
      <c r="AO18" s="575"/>
      <c r="AP18" s="575"/>
      <c r="AQ18" s="575"/>
      <c r="AR18" s="575"/>
      <c r="AS18" s="575"/>
      <c r="AT18" s="575"/>
      <c r="AU18" s="575"/>
      <c r="AV18" s="575"/>
      <c r="AW18" s="575"/>
      <c r="AX18" s="575"/>
      <c r="AY18" s="909">
        <f t="shared" si="18"/>
        <v>17353</v>
      </c>
      <c r="AZ18" s="886">
        <f t="shared" si="36"/>
        <v>19088.300000000003</v>
      </c>
      <c r="BA18" s="257">
        <f t="shared" si="36"/>
        <v>0</v>
      </c>
      <c r="BB18" s="257">
        <f t="shared" si="36"/>
        <v>0</v>
      </c>
      <c r="BC18" s="257">
        <f t="shared" si="36"/>
        <v>0</v>
      </c>
      <c r="BD18" s="257">
        <f t="shared" si="36"/>
        <v>0</v>
      </c>
      <c r="BE18" s="257">
        <f t="shared" si="36"/>
        <v>0</v>
      </c>
      <c r="BF18" s="257">
        <f t="shared" si="36"/>
        <v>0</v>
      </c>
      <c r="BG18" s="257">
        <f t="shared" si="36"/>
        <v>0</v>
      </c>
      <c r="BH18" s="257">
        <f t="shared" si="36"/>
        <v>0</v>
      </c>
      <c r="BI18" s="257">
        <f t="shared" si="36"/>
        <v>0</v>
      </c>
      <c r="BJ18" s="257">
        <f t="shared" si="36"/>
        <v>0</v>
      </c>
      <c r="BK18" s="257">
        <f t="shared" si="36"/>
        <v>0</v>
      </c>
      <c r="BL18" s="910">
        <f t="shared" si="2"/>
        <v>19088.300000000003</v>
      </c>
      <c r="BM18" s="951"/>
      <c r="BN18" s="575"/>
      <c r="BO18" s="575"/>
      <c r="BP18" s="575"/>
      <c r="BQ18" s="575"/>
      <c r="BR18" s="575"/>
      <c r="BS18" s="575"/>
      <c r="BT18" s="575"/>
      <c r="BU18" s="575"/>
      <c r="BV18" s="575"/>
      <c r="BW18" s="575"/>
      <c r="BX18" s="575"/>
      <c r="BY18" s="909">
        <f t="shared" si="20"/>
        <v>0</v>
      </c>
      <c r="BZ18" s="891">
        <f t="shared" si="37"/>
        <v>0</v>
      </c>
      <c r="CA18" s="257">
        <f t="shared" si="37"/>
        <v>0</v>
      </c>
      <c r="CB18" s="257">
        <f t="shared" si="37"/>
        <v>0</v>
      </c>
      <c r="CC18" s="257">
        <f t="shared" si="37"/>
        <v>0</v>
      </c>
      <c r="CD18" s="257">
        <f t="shared" si="37"/>
        <v>0</v>
      </c>
      <c r="CE18" s="257">
        <f t="shared" si="37"/>
        <v>0</v>
      </c>
      <c r="CF18" s="257">
        <f t="shared" si="37"/>
        <v>0</v>
      </c>
      <c r="CG18" s="257">
        <f t="shared" si="37"/>
        <v>0</v>
      </c>
      <c r="CH18" s="257">
        <f t="shared" si="37"/>
        <v>0</v>
      </c>
      <c r="CI18" s="257">
        <f t="shared" si="37"/>
        <v>0</v>
      </c>
      <c r="CJ18" s="257">
        <f t="shared" si="37"/>
        <v>0</v>
      </c>
      <c r="CK18" s="257">
        <f t="shared" si="37"/>
        <v>0</v>
      </c>
      <c r="CL18" s="912">
        <f t="shared" si="4"/>
        <v>0</v>
      </c>
      <c r="CM18" s="951"/>
      <c r="CN18" s="575"/>
      <c r="CO18" s="575"/>
      <c r="CP18" s="575"/>
      <c r="CQ18" s="575"/>
      <c r="CR18" s="575"/>
      <c r="CS18" s="575"/>
      <c r="CT18" s="575"/>
      <c r="CU18" s="575"/>
      <c r="CV18" s="575"/>
      <c r="CW18" s="575"/>
      <c r="CX18" s="575"/>
      <c r="CY18" s="909">
        <f t="shared" si="22"/>
        <v>0</v>
      </c>
      <c r="CZ18" s="886">
        <f t="shared" si="38"/>
        <v>0</v>
      </c>
      <c r="DA18" s="257">
        <f t="shared" si="38"/>
        <v>0</v>
      </c>
      <c r="DB18" s="257">
        <f t="shared" si="38"/>
        <v>0</v>
      </c>
      <c r="DC18" s="257">
        <f t="shared" si="38"/>
        <v>0</v>
      </c>
      <c r="DD18" s="257">
        <f t="shared" si="38"/>
        <v>0</v>
      </c>
      <c r="DE18" s="257">
        <f t="shared" si="38"/>
        <v>0</v>
      </c>
      <c r="DF18" s="257">
        <f t="shared" si="38"/>
        <v>0</v>
      </c>
      <c r="DG18" s="257">
        <f t="shared" si="38"/>
        <v>0</v>
      </c>
      <c r="DH18" s="257">
        <f t="shared" si="38"/>
        <v>0</v>
      </c>
      <c r="DI18" s="257">
        <f t="shared" si="38"/>
        <v>0</v>
      </c>
      <c r="DJ18" s="257">
        <f t="shared" si="38"/>
        <v>0</v>
      </c>
      <c r="DK18" s="257">
        <f t="shared" si="38"/>
        <v>0</v>
      </c>
      <c r="DL18" s="910">
        <f t="shared" si="6"/>
        <v>0</v>
      </c>
      <c r="DM18" s="949"/>
      <c r="DN18" s="575"/>
      <c r="DO18" s="575"/>
      <c r="DP18" s="575"/>
      <c r="DQ18" s="575"/>
      <c r="DR18" s="575"/>
      <c r="DS18" s="575"/>
      <c r="DT18" s="575"/>
      <c r="DU18" s="575"/>
      <c r="DV18" s="575"/>
      <c r="DW18" s="575"/>
      <c r="DX18" s="575"/>
      <c r="DY18" s="909">
        <f t="shared" si="24"/>
        <v>0</v>
      </c>
      <c r="DZ18" s="257">
        <f t="shared" si="39"/>
        <v>0</v>
      </c>
      <c r="EA18" s="257">
        <f t="shared" si="39"/>
        <v>0</v>
      </c>
      <c r="EB18" s="257">
        <f t="shared" si="39"/>
        <v>0</v>
      </c>
      <c r="EC18" s="257">
        <f t="shared" si="39"/>
        <v>0</v>
      </c>
      <c r="ED18" s="257">
        <f t="shared" si="39"/>
        <v>0</v>
      </c>
      <c r="EE18" s="257">
        <f t="shared" si="39"/>
        <v>0</v>
      </c>
      <c r="EF18" s="257">
        <f t="shared" si="39"/>
        <v>0</v>
      </c>
      <c r="EG18" s="257">
        <f t="shared" si="39"/>
        <v>0</v>
      </c>
      <c r="EH18" s="257">
        <f t="shared" si="39"/>
        <v>0</v>
      </c>
      <c r="EI18" s="257">
        <f t="shared" si="39"/>
        <v>0</v>
      </c>
      <c r="EJ18" s="257">
        <f t="shared" si="39"/>
        <v>0</v>
      </c>
      <c r="EK18" s="257">
        <f t="shared" si="39"/>
        <v>0</v>
      </c>
      <c r="EL18" s="910">
        <f t="shared" si="8"/>
        <v>0</v>
      </c>
    </row>
    <row r="19" spans="1:142">
      <c r="A19" s="904" t="s">
        <v>642</v>
      </c>
      <c r="B19" s="956" t="s">
        <v>651</v>
      </c>
      <c r="C19" s="957" t="s">
        <v>652</v>
      </c>
      <c r="D19" s="958">
        <v>1.19</v>
      </c>
      <c r="E19" s="958">
        <v>1.19</v>
      </c>
      <c r="F19" s="958">
        <v>1.19</v>
      </c>
      <c r="G19" s="958">
        <v>1.2030000000000001</v>
      </c>
      <c r="H19" s="958">
        <v>1.2030000000000001</v>
      </c>
      <c r="I19" s="958">
        <v>1.2030000000000001</v>
      </c>
      <c r="J19" s="958">
        <v>1.2030000000000001</v>
      </c>
      <c r="K19" s="954">
        <f t="shared" si="40"/>
        <v>1.1789400000000001</v>
      </c>
      <c r="L19" s="955"/>
      <c r="M19" s="949">
        <v>59600</v>
      </c>
      <c r="N19" s="575">
        <v>34200</v>
      </c>
      <c r="O19" s="575">
        <v>56805</v>
      </c>
      <c r="P19" s="575">
        <v>37207</v>
      </c>
      <c r="Q19" s="575">
        <v>28440</v>
      </c>
      <c r="R19" s="575">
        <v>72400</v>
      </c>
      <c r="S19" s="575">
        <v>100000</v>
      </c>
      <c r="T19" s="575">
        <v>75000</v>
      </c>
      <c r="U19" s="575">
        <v>75000</v>
      </c>
      <c r="V19" s="575">
        <v>80000</v>
      </c>
      <c r="W19" s="575">
        <v>80000</v>
      </c>
      <c r="X19" s="575">
        <v>80000</v>
      </c>
      <c r="Y19" s="909">
        <f t="shared" si="33"/>
        <v>778652</v>
      </c>
      <c r="Z19" s="886">
        <v>73308</v>
      </c>
      <c r="AA19" s="257">
        <v>42066</v>
      </c>
      <c r="AB19" s="257">
        <v>69870.149999999994</v>
      </c>
      <c r="AC19" s="257">
        <v>44980.985020408167</v>
      </c>
      <c r="AD19" s="257">
        <v>35172.734693877552</v>
      </c>
      <c r="AE19" s="257">
        <v>87604</v>
      </c>
      <c r="AF19" s="257">
        <f>S19*$E19</f>
        <v>119000</v>
      </c>
      <c r="AG19" s="257">
        <f t="shared" si="41"/>
        <v>89250</v>
      </c>
      <c r="AH19" s="257">
        <f t="shared" si="34"/>
        <v>89250</v>
      </c>
      <c r="AI19" s="257">
        <f t="shared" si="34"/>
        <v>95200</v>
      </c>
      <c r="AJ19" s="257">
        <f t="shared" si="34"/>
        <v>95200</v>
      </c>
      <c r="AK19" s="257">
        <f t="shared" si="34"/>
        <v>95200</v>
      </c>
      <c r="AL19" s="910">
        <f t="shared" si="35"/>
        <v>936101.86971428571</v>
      </c>
      <c r="AM19" s="951">
        <v>59600</v>
      </c>
      <c r="AN19" s="575">
        <v>34200</v>
      </c>
      <c r="AO19" s="575">
        <v>40000</v>
      </c>
      <c r="AP19" s="575">
        <v>70000</v>
      </c>
      <c r="AQ19" s="575">
        <v>100000</v>
      </c>
      <c r="AR19" s="575">
        <v>120000</v>
      </c>
      <c r="AS19" s="575">
        <v>120000</v>
      </c>
      <c r="AT19" s="575">
        <v>120000</v>
      </c>
      <c r="AU19" s="575">
        <v>100000</v>
      </c>
      <c r="AV19" s="575">
        <v>100000</v>
      </c>
      <c r="AW19" s="575">
        <v>100000</v>
      </c>
      <c r="AX19" s="575">
        <v>100000</v>
      </c>
      <c r="AY19" s="909">
        <f t="shared" si="18"/>
        <v>1063800</v>
      </c>
      <c r="AZ19" s="886">
        <f t="shared" si="36"/>
        <v>71698.8</v>
      </c>
      <c r="BA19" s="257">
        <f t="shared" si="36"/>
        <v>41142.600000000006</v>
      </c>
      <c r="BB19" s="257">
        <f t="shared" si="36"/>
        <v>48120</v>
      </c>
      <c r="BC19" s="257">
        <f t="shared" si="36"/>
        <v>84210</v>
      </c>
      <c r="BD19" s="257">
        <f t="shared" si="36"/>
        <v>120300</v>
      </c>
      <c r="BE19" s="257">
        <f t="shared" si="36"/>
        <v>144360</v>
      </c>
      <c r="BF19" s="257">
        <f t="shared" si="36"/>
        <v>144360</v>
      </c>
      <c r="BG19" s="257">
        <f t="shared" si="36"/>
        <v>144360</v>
      </c>
      <c r="BH19" s="257">
        <f t="shared" si="36"/>
        <v>120300</v>
      </c>
      <c r="BI19" s="257">
        <f t="shared" si="36"/>
        <v>120300</v>
      </c>
      <c r="BJ19" s="257">
        <f t="shared" si="36"/>
        <v>120300</v>
      </c>
      <c r="BK19" s="257">
        <f t="shared" si="36"/>
        <v>120300</v>
      </c>
      <c r="BL19" s="910">
        <f t="shared" si="2"/>
        <v>1279751.3999999999</v>
      </c>
      <c r="BM19" s="951">
        <v>150000</v>
      </c>
      <c r="BN19" s="575">
        <v>100000</v>
      </c>
      <c r="BO19" s="575">
        <v>150000</v>
      </c>
      <c r="BP19" s="575">
        <v>150000</v>
      </c>
      <c r="BQ19" s="575">
        <v>150000</v>
      </c>
      <c r="BR19" s="575">
        <v>150000</v>
      </c>
      <c r="BS19" s="575">
        <v>150000</v>
      </c>
      <c r="BT19" s="575">
        <v>150000</v>
      </c>
      <c r="BU19" s="575">
        <v>150000</v>
      </c>
      <c r="BV19" s="575">
        <v>150000</v>
      </c>
      <c r="BW19" s="575">
        <v>150000</v>
      </c>
      <c r="BX19" s="575">
        <v>150000</v>
      </c>
      <c r="BY19" s="909">
        <f t="shared" si="20"/>
        <v>1750000</v>
      </c>
      <c r="BZ19" s="891">
        <f t="shared" si="37"/>
        <v>180450</v>
      </c>
      <c r="CA19" s="257">
        <f t="shared" si="37"/>
        <v>120300</v>
      </c>
      <c r="CB19" s="257">
        <f t="shared" si="37"/>
        <v>180450</v>
      </c>
      <c r="CC19" s="257">
        <f t="shared" si="37"/>
        <v>180450</v>
      </c>
      <c r="CD19" s="257">
        <f t="shared" si="37"/>
        <v>180450</v>
      </c>
      <c r="CE19" s="257">
        <f t="shared" si="37"/>
        <v>180450</v>
      </c>
      <c r="CF19" s="257">
        <f t="shared" si="37"/>
        <v>180450</v>
      </c>
      <c r="CG19" s="257">
        <f t="shared" si="37"/>
        <v>180450</v>
      </c>
      <c r="CH19" s="257">
        <f t="shared" si="37"/>
        <v>180450</v>
      </c>
      <c r="CI19" s="257">
        <f t="shared" si="37"/>
        <v>180450</v>
      </c>
      <c r="CJ19" s="257">
        <f t="shared" si="37"/>
        <v>180450</v>
      </c>
      <c r="CK19" s="257">
        <f t="shared" si="37"/>
        <v>180450</v>
      </c>
      <c r="CL19" s="912">
        <f t="shared" si="4"/>
        <v>2105250</v>
      </c>
      <c r="CM19" s="951">
        <v>150000</v>
      </c>
      <c r="CN19" s="575">
        <v>100000</v>
      </c>
      <c r="CO19" s="575">
        <v>150000</v>
      </c>
      <c r="CP19" s="575">
        <v>150000</v>
      </c>
      <c r="CQ19" s="575">
        <v>150000</v>
      </c>
      <c r="CR19" s="575">
        <v>150000</v>
      </c>
      <c r="CS19" s="575">
        <v>150000</v>
      </c>
      <c r="CT19" s="575">
        <v>150000</v>
      </c>
      <c r="CU19" s="575">
        <v>150000</v>
      </c>
      <c r="CV19" s="575">
        <v>150000</v>
      </c>
      <c r="CW19" s="575">
        <v>150000</v>
      </c>
      <c r="CX19" s="575">
        <v>150000</v>
      </c>
      <c r="CY19" s="909">
        <f t="shared" si="22"/>
        <v>1750000</v>
      </c>
      <c r="CZ19" s="886">
        <f t="shared" si="38"/>
        <v>180450</v>
      </c>
      <c r="DA19" s="257">
        <f t="shared" si="38"/>
        <v>120300</v>
      </c>
      <c r="DB19" s="257">
        <f t="shared" si="38"/>
        <v>180450</v>
      </c>
      <c r="DC19" s="257">
        <f t="shared" si="38"/>
        <v>180450</v>
      </c>
      <c r="DD19" s="257">
        <f t="shared" si="38"/>
        <v>180450</v>
      </c>
      <c r="DE19" s="257">
        <f t="shared" si="38"/>
        <v>180450</v>
      </c>
      <c r="DF19" s="257">
        <f t="shared" si="38"/>
        <v>180450</v>
      </c>
      <c r="DG19" s="257">
        <f t="shared" si="38"/>
        <v>180450</v>
      </c>
      <c r="DH19" s="257">
        <f t="shared" si="38"/>
        <v>180450</v>
      </c>
      <c r="DI19" s="257">
        <f t="shared" si="38"/>
        <v>180450</v>
      </c>
      <c r="DJ19" s="257">
        <f t="shared" si="38"/>
        <v>180450</v>
      </c>
      <c r="DK19" s="257">
        <f t="shared" si="38"/>
        <v>180450</v>
      </c>
      <c r="DL19" s="910">
        <f t="shared" si="6"/>
        <v>2105250</v>
      </c>
      <c r="DM19" s="949">
        <v>150000</v>
      </c>
      <c r="DN19" s="575">
        <v>100000</v>
      </c>
      <c r="DO19" s="575">
        <v>150000</v>
      </c>
      <c r="DP19" s="575">
        <v>150000</v>
      </c>
      <c r="DQ19" s="575">
        <v>150000</v>
      </c>
      <c r="DR19" s="575">
        <v>150000</v>
      </c>
      <c r="DS19" s="575">
        <v>150000</v>
      </c>
      <c r="DT19" s="575">
        <v>150000</v>
      </c>
      <c r="DU19" s="575">
        <v>150000</v>
      </c>
      <c r="DV19" s="575">
        <v>150000</v>
      </c>
      <c r="DW19" s="575">
        <v>150000</v>
      </c>
      <c r="DX19" s="575">
        <v>150000</v>
      </c>
      <c r="DY19" s="909">
        <f t="shared" si="24"/>
        <v>1750000</v>
      </c>
      <c r="DZ19" s="257">
        <f t="shared" si="39"/>
        <v>176841.00000000003</v>
      </c>
      <c r="EA19" s="257">
        <f t="shared" si="39"/>
        <v>117894.00000000001</v>
      </c>
      <c r="EB19" s="257">
        <f t="shared" si="39"/>
        <v>176841.00000000003</v>
      </c>
      <c r="EC19" s="257">
        <f t="shared" si="39"/>
        <v>176841.00000000003</v>
      </c>
      <c r="ED19" s="257">
        <f t="shared" si="39"/>
        <v>176841.00000000003</v>
      </c>
      <c r="EE19" s="257">
        <f t="shared" si="39"/>
        <v>176841.00000000003</v>
      </c>
      <c r="EF19" s="257">
        <f t="shared" si="39"/>
        <v>176841.00000000003</v>
      </c>
      <c r="EG19" s="257">
        <f t="shared" si="39"/>
        <v>176841.00000000003</v>
      </c>
      <c r="EH19" s="257">
        <f t="shared" si="39"/>
        <v>176841.00000000003</v>
      </c>
      <c r="EI19" s="257">
        <f t="shared" si="39"/>
        <v>176841.00000000003</v>
      </c>
      <c r="EJ19" s="257">
        <f t="shared" si="39"/>
        <v>176841.00000000003</v>
      </c>
      <c r="EK19" s="257">
        <f t="shared" si="39"/>
        <v>176841.00000000003</v>
      </c>
      <c r="EL19" s="910">
        <f t="shared" si="8"/>
        <v>2063145.0000000002</v>
      </c>
    </row>
    <row r="20" spans="1:142">
      <c r="A20" s="904" t="s">
        <v>642</v>
      </c>
      <c r="B20" s="956" t="s">
        <v>653</v>
      </c>
      <c r="C20" s="957" t="s">
        <v>654</v>
      </c>
      <c r="D20" s="914">
        <v>1.18</v>
      </c>
      <c r="E20" s="914">
        <v>1.18</v>
      </c>
      <c r="F20" s="914">
        <v>1.18</v>
      </c>
      <c r="G20" s="914">
        <v>1.2040816326530612</v>
      </c>
      <c r="H20" s="914">
        <v>1.2040816326530612</v>
      </c>
      <c r="I20" s="914">
        <v>1.2040816326530612</v>
      </c>
      <c r="J20" s="914">
        <v>1.2040816326530599</v>
      </c>
      <c r="K20" s="915">
        <f t="shared" si="40"/>
        <v>1.1799999999999986</v>
      </c>
      <c r="L20" s="955"/>
      <c r="M20" s="949">
        <v>156400</v>
      </c>
      <c r="N20" s="575">
        <v>129500</v>
      </c>
      <c r="O20" s="575">
        <v>181500</v>
      </c>
      <c r="P20" s="575">
        <v>127500</v>
      </c>
      <c r="Q20" s="575">
        <v>111260</v>
      </c>
      <c r="R20" s="575">
        <v>13000</v>
      </c>
      <c r="S20" s="575">
        <v>80000</v>
      </c>
      <c r="T20" s="575">
        <v>80000</v>
      </c>
      <c r="U20" s="575">
        <v>75000</v>
      </c>
      <c r="V20" s="575">
        <v>80000</v>
      </c>
      <c r="W20" s="575">
        <v>80000</v>
      </c>
      <c r="X20" s="575">
        <v>80000</v>
      </c>
      <c r="Y20" s="909">
        <f t="shared" si="33"/>
        <v>1194160</v>
      </c>
      <c r="Z20" s="886">
        <v>189244</v>
      </c>
      <c r="AA20" s="257">
        <v>156695</v>
      </c>
      <c r="AB20" s="257">
        <v>223604</v>
      </c>
      <c r="AC20" s="257">
        <v>151136.53061224491</v>
      </c>
      <c r="AD20" s="257">
        <v>133966.12244897959</v>
      </c>
      <c r="AE20" s="257">
        <v>15340</v>
      </c>
      <c r="AF20" s="257">
        <f t="shared" si="41"/>
        <v>94400</v>
      </c>
      <c r="AG20" s="257">
        <f t="shared" si="41"/>
        <v>94400</v>
      </c>
      <c r="AH20" s="257">
        <f t="shared" si="34"/>
        <v>88500</v>
      </c>
      <c r="AI20" s="257">
        <f t="shared" si="34"/>
        <v>94400</v>
      </c>
      <c r="AJ20" s="257">
        <f t="shared" si="34"/>
        <v>94400</v>
      </c>
      <c r="AK20" s="257">
        <f t="shared" si="34"/>
        <v>94400</v>
      </c>
      <c r="AL20" s="910">
        <f t="shared" si="35"/>
        <v>1430485.6530612246</v>
      </c>
      <c r="AM20" s="951">
        <v>156400</v>
      </c>
      <c r="AN20" s="575">
        <v>129500</v>
      </c>
      <c r="AO20" s="575">
        <v>200000</v>
      </c>
      <c r="AP20" s="575">
        <v>180000</v>
      </c>
      <c r="AQ20" s="575">
        <v>180000</v>
      </c>
      <c r="AR20" s="575">
        <v>220000</v>
      </c>
      <c r="AS20" s="575">
        <v>220000</v>
      </c>
      <c r="AT20" s="575">
        <v>220000</v>
      </c>
      <c r="AU20" s="575">
        <v>200000</v>
      </c>
      <c r="AV20" s="575">
        <v>200000</v>
      </c>
      <c r="AW20" s="575">
        <v>200000</v>
      </c>
      <c r="AX20" s="575">
        <v>200000</v>
      </c>
      <c r="AY20" s="909">
        <f t="shared" si="18"/>
        <v>2305900</v>
      </c>
      <c r="AZ20" s="886">
        <f t="shared" si="36"/>
        <v>188318.36734693879</v>
      </c>
      <c r="BA20" s="257">
        <f t="shared" si="36"/>
        <v>155928.57142857142</v>
      </c>
      <c r="BB20" s="257">
        <f t="shared" si="36"/>
        <v>240816.32653061225</v>
      </c>
      <c r="BC20" s="257">
        <f t="shared" si="36"/>
        <v>216734.69387755104</v>
      </c>
      <c r="BD20" s="257">
        <f t="shared" si="36"/>
        <v>216734.69387755104</v>
      </c>
      <c r="BE20" s="257">
        <f t="shared" si="36"/>
        <v>264897.95918367349</v>
      </c>
      <c r="BF20" s="257">
        <f t="shared" si="36"/>
        <v>264897.95918367349</v>
      </c>
      <c r="BG20" s="257">
        <f t="shared" si="36"/>
        <v>264897.95918367349</v>
      </c>
      <c r="BH20" s="257">
        <f t="shared" si="36"/>
        <v>240816.32653061225</v>
      </c>
      <c r="BI20" s="257">
        <f t="shared" si="36"/>
        <v>240816.32653061225</v>
      </c>
      <c r="BJ20" s="257">
        <f t="shared" si="36"/>
        <v>240816.32653061225</v>
      </c>
      <c r="BK20" s="257">
        <f t="shared" si="36"/>
        <v>240816.32653061225</v>
      </c>
      <c r="BL20" s="910">
        <f>SUM(AZ20:BK20)</f>
        <v>2776491.8367346935</v>
      </c>
      <c r="BM20" s="951">
        <v>250000</v>
      </c>
      <c r="BN20" s="575">
        <v>129500</v>
      </c>
      <c r="BO20" s="575">
        <v>250000</v>
      </c>
      <c r="BP20" s="575">
        <v>250000</v>
      </c>
      <c r="BQ20" s="575">
        <v>250000</v>
      </c>
      <c r="BR20" s="575">
        <v>250000</v>
      </c>
      <c r="BS20" s="575">
        <v>250000</v>
      </c>
      <c r="BT20" s="575">
        <v>250000</v>
      </c>
      <c r="BU20" s="575">
        <v>250000</v>
      </c>
      <c r="BV20" s="575">
        <v>250000</v>
      </c>
      <c r="BW20" s="575">
        <v>250000</v>
      </c>
      <c r="BX20" s="575">
        <v>250000</v>
      </c>
      <c r="BY20" s="909">
        <f t="shared" si="20"/>
        <v>2879500</v>
      </c>
      <c r="BZ20" s="891">
        <f t="shared" si="37"/>
        <v>301020.40816326533</v>
      </c>
      <c r="CA20" s="257">
        <f t="shared" si="37"/>
        <v>155928.57142857142</v>
      </c>
      <c r="CB20" s="257">
        <f t="shared" si="37"/>
        <v>301020.40816326533</v>
      </c>
      <c r="CC20" s="257">
        <f t="shared" si="37"/>
        <v>301020.40816326533</v>
      </c>
      <c r="CD20" s="257">
        <f t="shared" si="37"/>
        <v>301020.40816326533</v>
      </c>
      <c r="CE20" s="257">
        <f t="shared" si="37"/>
        <v>301020.40816326533</v>
      </c>
      <c r="CF20" s="257">
        <f t="shared" si="37"/>
        <v>301020.40816326533</v>
      </c>
      <c r="CG20" s="257">
        <f t="shared" si="37"/>
        <v>301020.40816326533</v>
      </c>
      <c r="CH20" s="257">
        <f t="shared" si="37"/>
        <v>301020.40816326533</v>
      </c>
      <c r="CI20" s="257">
        <f t="shared" si="37"/>
        <v>301020.40816326533</v>
      </c>
      <c r="CJ20" s="257">
        <f t="shared" si="37"/>
        <v>301020.40816326533</v>
      </c>
      <c r="CK20" s="257">
        <f t="shared" si="37"/>
        <v>301020.40816326533</v>
      </c>
      <c r="CL20" s="912">
        <f t="shared" si="4"/>
        <v>3467153.0612244899</v>
      </c>
      <c r="CM20" s="951">
        <v>250000</v>
      </c>
      <c r="CN20" s="575">
        <v>129500</v>
      </c>
      <c r="CO20" s="575">
        <v>250000</v>
      </c>
      <c r="CP20" s="575">
        <v>250000</v>
      </c>
      <c r="CQ20" s="575">
        <v>250000</v>
      </c>
      <c r="CR20" s="575">
        <v>250000</v>
      </c>
      <c r="CS20" s="575">
        <v>250000</v>
      </c>
      <c r="CT20" s="575">
        <v>250000</v>
      </c>
      <c r="CU20" s="575">
        <v>250000</v>
      </c>
      <c r="CV20" s="575">
        <v>250000</v>
      </c>
      <c r="CW20" s="575">
        <v>250000</v>
      </c>
      <c r="CX20" s="575">
        <v>250000</v>
      </c>
      <c r="CY20" s="909">
        <f t="shared" si="22"/>
        <v>2879500</v>
      </c>
      <c r="CZ20" s="886">
        <f t="shared" si="38"/>
        <v>301020.40816326498</v>
      </c>
      <c r="DA20" s="257">
        <f t="shared" si="38"/>
        <v>155928.57142857125</v>
      </c>
      <c r="DB20" s="257">
        <f t="shared" si="38"/>
        <v>301020.40816326498</v>
      </c>
      <c r="DC20" s="257">
        <f t="shared" si="38"/>
        <v>301020.40816326498</v>
      </c>
      <c r="DD20" s="257">
        <f t="shared" si="38"/>
        <v>301020.40816326498</v>
      </c>
      <c r="DE20" s="257">
        <f t="shared" si="38"/>
        <v>301020.40816326498</v>
      </c>
      <c r="DF20" s="257">
        <f t="shared" si="38"/>
        <v>301020.40816326498</v>
      </c>
      <c r="DG20" s="257">
        <f t="shared" si="38"/>
        <v>301020.40816326498</v>
      </c>
      <c r="DH20" s="257">
        <f t="shared" si="38"/>
        <v>301020.40816326498</v>
      </c>
      <c r="DI20" s="257">
        <f t="shared" si="38"/>
        <v>301020.40816326498</v>
      </c>
      <c r="DJ20" s="257">
        <f t="shared" si="38"/>
        <v>301020.40816326498</v>
      </c>
      <c r="DK20" s="257">
        <f t="shared" si="38"/>
        <v>301020.40816326498</v>
      </c>
      <c r="DL20" s="910">
        <f t="shared" si="6"/>
        <v>3467153.0612244853</v>
      </c>
      <c r="DM20" s="949">
        <v>250000</v>
      </c>
      <c r="DN20" s="575">
        <v>129500</v>
      </c>
      <c r="DO20" s="575">
        <v>250000</v>
      </c>
      <c r="DP20" s="575">
        <v>250000</v>
      </c>
      <c r="DQ20" s="575">
        <v>250000</v>
      </c>
      <c r="DR20" s="575">
        <v>250000</v>
      </c>
      <c r="DS20" s="575">
        <v>250000</v>
      </c>
      <c r="DT20" s="575">
        <v>250000</v>
      </c>
      <c r="DU20" s="575">
        <v>250000</v>
      </c>
      <c r="DV20" s="575">
        <v>250000</v>
      </c>
      <c r="DW20" s="575">
        <v>250000</v>
      </c>
      <c r="DX20" s="575">
        <v>250000</v>
      </c>
      <c r="DY20" s="909">
        <f t="shared" si="24"/>
        <v>2879500</v>
      </c>
      <c r="DZ20" s="257">
        <f t="shared" si="39"/>
        <v>294999.99999999965</v>
      </c>
      <c r="EA20" s="257">
        <f t="shared" si="39"/>
        <v>152809.99999999983</v>
      </c>
      <c r="EB20" s="257">
        <f t="shared" si="39"/>
        <v>294999.99999999965</v>
      </c>
      <c r="EC20" s="257">
        <f t="shared" si="39"/>
        <v>294999.99999999965</v>
      </c>
      <c r="ED20" s="257">
        <f t="shared" si="39"/>
        <v>294999.99999999965</v>
      </c>
      <c r="EE20" s="257">
        <f t="shared" si="39"/>
        <v>294999.99999999965</v>
      </c>
      <c r="EF20" s="257">
        <f t="shared" si="39"/>
        <v>294999.99999999965</v>
      </c>
      <c r="EG20" s="257">
        <f t="shared" si="39"/>
        <v>294999.99999999965</v>
      </c>
      <c r="EH20" s="257">
        <f t="shared" si="39"/>
        <v>294999.99999999965</v>
      </c>
      <c r="EI20" s="257">
        <f t="shared" si="39"/>
        <v>294999.99999999965</v>
      </c>
      <c r="EJ20" s="257">
        <f t="shared" si="39"/>
        <v>294999.99999999965</v>
      </c>
      <c r="EK20" s="257">
        <f t="shared" si="39"/>
        <v>294999.99999999965</v>
      </c>
      <c r="EL20" s="910">
        <f t="shared" si="8"/>
        <v>3397809.9999999953</v>
      </c>
    </row>
    <row r="21" spans="1:142">
      <c r="A21" s="904" t="s">
        <v>642</v>
      </c>
      <c r="B21" s="107" t="s">
        <v>655</v>
      </c>
      <c r="C21" s="957" t="s">
        <v>656</v>
      </c>
      <c r="D21" s="907">
        <v>0.63</v>
      </c>
      <c r="E21" s="907">
        <v>0.63</v>
      </c>
      <c r="F21" s="907">
        <v>0.63</v>
      </c>
      <c r="G21" s="907">
        <v>0.6</v>
      </c>
      <c r="H21" s="907">
        <v>0.6</v>
      </c>
      <c r="I21" s="907">
        <v>0.6</v>
      </c>
      <c r="J21" s="907">
        <v>0.6</v>
      </c>
      <c r="K21" s="915">
        <f t="shared" si="40"/>
        <v>0.58799999999999997</v>
      </c>
      <c r="L21" s="955"/>
      <c r="M21" s="949"/>
      <c r="N21" s="575"/>
      <c r="O21" s="575"/>
      <c r="P21" s="575"/>
      <c r="Q21" s="575">
        <v>29000</v>
      </c>
      <c r="R21" s="575">
        <v>185544</v>
      </c>
      <c r="S21" s="575">
        <v>75000</v>
      </c>
      <c r="T21" s="575">
        <v>80000</v>
      </c>
      <c r="U21" s="575">
        <v>110000</v>
      </c>
      <c r="V21" s="575">
        <v>140000</v>
      </c>
      <c r="W21" s="575">
        <v>150000</v>
      </c>
      <c r="X21" s="575">
        <v>150000</v>
      </c>
      <c r="Y21" s="909">
        <f t="shared" si="33"/>
        <v>919544</v>
      </c>
      <c r="Z21" s="959"/>
      <c r="AA21" s="960"/>
      <c r="AB21" s="257"/>
      <c r="AC21" s="257"/>
      <c r="AD21" s="257">
        <v>11278.857142857101</v>
      </c>
      <c r="AE21" s="257">
        <v>113181.84</v>
      </c>
      <c r="AF21" s="257">
        <f>S21*$E21</f>
        <v>47250</v>
      </c>
      <c r="AG21" s="257">
        <f t="shared" si="41"/>
        <v>50400</v>
      </c>
      <c r="AH21" s="257">
        <f t="shared" si="34"/>
        <v>69300</v>
      </c>
      <c r="AI21" s="257">
        <f t="shared" si="34"/>
        <v>88200</v>
      </c>
      <c r="AJ21" s="257">
        <f t="shared" si="34"/>
        <v>94500</v>
      </c>
      <c r="AK21" s="257">
        <f t="shared" si="34"/>
        <v>94500</v>
      </c>
      <c r="AL21" s="910">
        <f t="shared" si="35"/>
        <v>568610.69714285713</v>
      </c>
      <c r="AM21" s="961"/>
      <c r="AN21" s="962"/>
      <c r="AO21" s="962"/>
      <c r="AP21" s="962"/>
      <c r="AQ21" s="962"/>
      <c r="AR21" s="962"/>
      <c r="AS21" s="962"/>
      <c r="AT21" s="962"/>
      <c r="AU21" s="962"/>
      <c r="AV21" s="962"/>
      <c r="AW21" s="962"/>
      <c r="AX21" s="962"/>
      <c r="AY21" s="909">
        <f t="shared" si="18"/>
        <v>0</v>
      </c>
      <c r="AZ21" s="959"/>
      <c r="BA21" s="960"/>
      <c r="BB21" s="960"/>
      <c r="BC21" s="960"/>
      <c r="BD21" s="960"/>
      <c r="BE21" s="960"/>
      <c r="BF21" s="960"/>
      <c r="BG21" s="960"/>
      <c r="BH21" s="960"/>
      <c r="BI21" s="960"/>
      <c r="BJ21" s="960"/>
      <c r="BK21" s="960"/>
      <c r="BL21" s="910">
        <f>SUM(AZ21:BK21)</f>
        <v>0</v>
      </c>
      <c r="BM21" s="961"/>
      <c r="BN21" s="962"/>
      <c r="BO21" s="962"/>
      <c r="BP21" s="962"/>
      <c r="BQ21" s="962"/>
      <c r="BR21" s="962"/>
      <c r="BS21" s="962"/>
      <c r="BT21" s="962"/>
      <c r="BU21" s="962"/>
      <c r="BV21" s="962"/>
      <c r="BW21" s="962"/>
      <c r="BX21" s="962"/>
      <c r="BY21" s="909">
        <f t="shared" si="20"/>
        <v>0</v>
      </c>
      <c r="BZ21" s="960"/>
      <c r="CA21" s="960"/>
      <c r="CB21" s="960"/>
      <c r="CC21" s="960"/>
      <c r="CD21" s="960"/>
      <c r="CE21" s="960"/>
      <c r="CF21" s="960"/>
      <c r="CG21" s="960"/>
      <c r="CH21" s="960"/>
      <c r="CI21" s="960"/>
      <c r="CJ21" s="960"/>
      <c r="CK21" s="960"/>
      <c r="CL21" s="912">
        <f t="shared" si="4"/>
        <v>0</v>
      </c>
      <c r="CM21" s="961"/>
      <c r="CN21" s="962"/>
      <c r="CO21" s="962"/>
      <c r="CP21" s="962"/>
      <c r="CQ21" s="962"/>
      <c r="CR21" s="962"/>
      <c r="CS21" s="962"/>
      <c r="CT21" s="962"/>
      <c r="CU21" s="962"/>
      <c r="CV21" s="962"/>
      <c r="CW21" s="962"/>
      <c r="CX21" s="962"/>
      <c r="CY21" s="909">
        <f t="shared" si="22"/>
        <v>0</v>
      </c>
      <c r="CZ21" s="959"/>
      <c r="DA21" s="960"/>
      <c r="DB21" s="960"/>
      <c r="DC21" s="960"/>
      <c r="DD21" s="960"/>
      <c r="DE21" s="960"/>
      <c r="DF21" s="960"/>
      <c r="DG21" s="960"/>
      <c r="DH21" s="960"/>
      <c r="DI21" s="960"/>
      <c r="DJ21" s="960"/>
      <c r="DK21" s="960"/>
      <c r="DL21" s="910">
        <f t="shared" si="6"/>
        <v>0</v>
      </c>
      <c r="DM21" s="963"/>
      <c r="DN21" s="962"/>
      <c r="DO21" s="962"/>
      <c r="DP21" s="962"/>
      <c r="DQ21" s="962"/>
      <c r="DR21" s="962"/>
      <c r="DS21" s="962"/>
      <c r="DT21" s="962"/>
      <c r="DU21" s="962"/>
      <c r="DV21" s="962"/>
      <c r="DW21" s="962"/>
      <c r="DX21" s="962"/>
      <c r="DY21" s="909">
        <f t="shared" si="24"/>
        <v>0</v>
      </c>
      <c r="DZ21" s="960"/>
      <c r="EA21" s="960"/>
      <c r="EB21" s="960"/>
      <c r="EC21" s="960"/>
      <c r="ED21" s="960"/>
      <c r="EE21" s="960"/>
      <c r="EF21" s="960"/>
      <c r="EG21" s="960"/>
      <c r="EH21" s="960"/>
      <c r="EI21" s="960"/>
      <c r="EJ21" s="960"/>
      <c r="EK21" s="960"/>
      <c r="EL21" s="910">
        <f t="shared" si="8"/>
        <v>0</v>
      </c>
    </row>
    <row r="22" spans="1:142" ht="18" thickBot="1">
      <c r="A22" s="904" t="s">
        <v>642</v>
      </c>
      <c r="B22" s="107" t="s">
        <v>657</v>
      </c>
      <c r="C22" s="957" t="s">
        <v>658</v>
      </c>
      <c r="D22" s="907">
        <v>0.7</v>
      </c>
      <c r="E22" s="907">
        <v>0.7</v>
      </c>
      <c r="F22" s="907">
        <v>0.7</v>
      </c>
      <c r="G22" s="907">
        <v>0.74</v>
      </c>
      <c r="H22" s="907">
        <v>0.74</v>
      </c>
      <c r="I22" s="907">
        <v>0.74</v>
      </c>
      <c r="J22" s="907">
        <v>0.74</v>
      </c>
      <c r="K22" s="883">
        <v>0.69477551020408168</v>
      </c>
      <c r="L22" s="955"/>
      <c r="M22" s="949"/>
      <c r="N22" s="575"/>
      <c r="O22" s="575"/>
      <c r="P22" s="575"/>
      <c r="Q22" s="575">
        <v>3000</v>
      </c>
      <c r="R22" s="575">
        <f>65398+13676</f>
        <v>79074</v>
      </c>
      <c r="S22" s="575">
        <v>42000</v>
      </c>
      <c r="T22" s="575">
        <v>35000</v>
      </c>
      <c r="U22" s="575">
        <v>80000</v>
      </c>
      <c r="V22" s="575">
        <v>160000</v>
      </c>
      <c r="W22" s="575">
        <v>160000</v>
      </c>
      <c r="X22" s="575">
        <v>160000</v>
      </c>
      <c r="Y22" s="909">
        <f t="shared" si="33"/>
        <v>719074</v>
      </c>
      <c r="Z22" s="959"/>
      <c r="AA22" s="960"/>
      <c r="AB22" s="257"/>
      <c r="AC22" s="257"/>
      <c r="AD22" s="257">
        <v>3904.3265306122448</v>
      </c>
      <c r="AE22" s="257">
        <v>53770.320000000007</v>
      </c>
      <c r="AF22" s="257">
        <f t="shared" si="41"/>
        <v>29399.999999999996</v>
      </c>
      <c r="AG22" s="257">
        <f t="shared" si="41"/>
        <v>24500</v>
      </c>
      <c r="AH22" s="257">
        <f t="shared" si="34"/>
        <v>56000</v>
      </c>
      <c r="AI22" s="257">
        <f t="shared" si="34"/>
        <v>112000</v>
      </c>
      <c r="AJ22" s="257">
        <f t="shared" si="34"/>
        <v>112000</v>
      </c>
      <c r="AK22" s="257">
        <f t="shared" si="34"/>
        <v>112000</v>
      </c>
      <c r="AL22" s="910">
        <f t="shared" si="35"/>
        <v>503574.64653061226</v>
      </c>
      <c r="AM22" s="961"/>
      <c r="AN22" s="962"/>
      <c r="AO22" s="962"/>
      <c r="AP22" s="962"/>
      <c r="AQ22" s="962"/>
      <c r="AR22" s="962"/>
      <c r="AS22" s="962"/>
      <c r="AT22" s="962"/>
      <c r="AU22" s="962"/>
      <c r="AV22" s="962"/>
      <c r="AW22" s="962"/>
      <c r="AX22" s="962"/>
      <c r="AY22" s="909">
        <f t="shared" si="18"/>
        <v>0</v>
      </c>
      <c r="AZ22" s="959"/>
      <c r="BA22" s="960"/>
      <c r="BB22" s="960"/>
      <c r="BC22" s="960"/>
      <c r="BD22" s="960"/>
      <c r="BE22" s="960"/>
      <c r="BF22" s="960"/>
      <c r="BG22" s="960"/>
      <c r="BH22" s="960"/>
      <c r="BI22" s="960"/>
      <c r="BJ22" s="960"/>
      <c r="BK22" s="960"/>
      <c r="BL22" s="910">
        <f>SUM(AZ22:BK22)</f>
        <v>0</v>
      </c>
      <c r="BM22" s="961"/>
      <c r="BN22" s="962"/>
      <c r="BO22" s="962"/>
      <c r="BP22" s="962"/>
      <c r="BQ22" s="962"/>
      <c r="BR22" s="962"/>
      <c r="BS22" s="962"/>
      <c r="BT22" s="962"/>
      <c r="BU22" s="962"/>
      <c r="BV22" s="962"/>
      <c r="BW22" s="962"/>
      <c r="BX22" s="962"/>
      <c r="BY22" s="909">
        <f t="shared" si="20"/>
        <v>0</v>
      </c>
      <c r="BZ22" s="960"/>
      <c r="CA22" s="960"/>
      <c r="CB22" s="960"/>
      <c r="CC22" s="960"/>
      <c r="CD22" s="960"/>
      <c r="CE22" s="960"/>
      <c r="CF22" s="960"/>
      <c r="CG22" s="960"/>
      <c r="CH22" s="960"/>
      <c r="CI22" s="960"/>
      <c r="CJ22" s="960"/>
      <c r="CK22" s="960"/>
      <c r="CL22" s="912">
        <f t="shared" si="4"/>
        <v>0</v>
      </c>
      <c r="CM22" s="961"/>
      <c r="CN22" s="962"/>
      <c r="CO22" s="962"/>
      <c r="CP22" s="962"/>
      <c r="CQ22" s="962"/>
      <c r="CR22" s="962"/>
      <c r="CS22" s="962"/>
      <c r="CT22" s="962"/>
      <c r="CU22" s="962"/>
      <c r="CV22" s="962"/>
      <c r="CW22" s="962"/>
      <c r="CX22" s="962"/>
      <c r="CY22" s="909">
        <f t="shared" si="22"/>
        <v>0</v>
      </c>
      <c r="CZ22" s="959"/>
      <c r="DA22" s="960"/>
      <c r="DB22" s="960"/>
      <c r="DC22" s="960"/>
      <c r="DD22" s="960"/>
      <c r="DE22" s="960"/>
      <c r="DF22" s="960"/>
      <c r="DG22" s="960"/>
      <c r="DH22" s="960"/>
      <c r="DI22" s="960"/>
      <c r="DJ22" s="960"/>
      <c r="DK22" s="960"/>
      <c r="DL22" s="910">
        <f t="shared" si="6"/>
        <v>0</v>
      </c>
      <c r="DM22" s="963"/>
      <c r="DN22" s="962"/>
      <c r="DO22" s="962"/>
      <c r="DP22" s="962"/>
      <c r="DQ22" s="962"/>
      <c r="DR22" s="962"/>
      <c r="DS22" s="962"/>
      <c r="DT22" s="962"/>
      <c r="DU22" s="962"/>
      <c r="DV22" s="962"/>
      <c r="DW22" s="962"/>
      <c r="DX22" s="962"/>
      <c r="DY22" s="909">
        <f t="shared" si="24"/>
        <v>0</v>
      </c>
      <c r="DZ22" s="960"/>
      <c r="EA22" s="960"/>
      <c r="EB22" s="960"/>
      <c r="EC22" s="960"/>
      <c r="ED22" s="960"/>
      <c r="EE22" s="960"/>
      <c r="EF22" s="960"/>
      <c r="EG22" s="960"/>
      <c r="EH22" s="960"/>
      <c r="EI22" s="960"/>
      <c r="EJ22" s="960"/>
      <c r="EK22" s="960"/>
      <c r="EL22" s="910">
        <f t="shared" si="8"/>
        <v>0</v>
      </c>
    </row>
    <row r="23" spans="1:142" ht="18" hidden="1" thickBot="1">
      <c r="A23" s="904" t="s">
        <v>642</v>
      </c>
      <c r="B23" s="107" t="s">
        <v>659</v>
      </c>
      <c r="C23" s="957" t="s">
        <v>660</v>
      </c>
      <c r="D23" s="549">
        <v>1.3</v>
      </c>
      <c r="E23" s="551">
        <v>1.346938775510204</v>
      </c>
      <c r="F23" s="551">
        <v>1.3</v>
      </c>
      <c r="G23" s="571">
        <v>1.3</v>
      </c>
      <c r="H23" s="549">
        <v>1.3</v>
      </c>
      <c r="I23" s="551">
        <v>1.3</v>
      </c>
      <c r="J23" s="551">
        <v>1.3</v>
      </c>
      <c r="K23" s="948">
        <v>1.3</v>
      </c>
      <c r="L23" s="955"/>
      <c r="M23" s="964"/>
      <c r="N23" s="965"/>
      <c r="O23" s="966">
        <v>4750</v>
      </c>
      <c r="P23" s="270">
        <v>17548</v>
      </c>
      <c r="Q23" s="270"/>
      <c r="R23" s="270"/>
      <c r="S23" s="270"/>
      <c r="T23" s="270"/>
      <c r="U23" s="270"/>
      <c r="V23" s="270"/>
      <c r="W23" s="270"/>
      <c r="X23" s="270"/>
      <c r="Y23" s="885">
        <f t="shared" si="33"/>
        <v>22298</v>
      </c>
      <c r="Z23" s="959">
        <f>M23*$D23</f>
        <v>0</v>
      </c>
      <c r="AA23" s="960">
        <f>N23*$D23</f>
        <v>0</v>
      </c>
      <c r="AB23" s="257">
        <f>O23*$D23</f>
        <v>6175</v>
      </c>
      <c r="AC23" s="257">
        <f>P23*$E23+2000+8000-300</f>
        <v>33336.081632653062</v>
      </c>
      <c r="AD23" s="257">
        <f>Q23*$E23</f>
        <v>0</v>
      </c>
      <c r="AE23" s="257">
        <f>R23*$E23</f>
        <v>0</v>
      </c>
      <c r="AF23" s="257">
        <f t="shared" si="41"/>
        <v>0</v>
      </c>
      <c r="AG23" s="257">
        <f t="shared" si="41"/>
        <v>0</v>
      </c>
      <c r="AH23" s="257">
        <f t="shared" si="34"/>
        <v>0</v>
      </c>
      <c r="AI23" s="257">
        <f t="shared" si="34"/>
        <v>0</v>
      </c>
      <c r="AJ23" s="257">
        <f t="shared" si="34"/>
        <v>0</v>
      </c>
      <c r="AK23" s="257">
        <f t="shared" si="34"/>
        <v>0</v>
      </c>
      <c r="AL23" s="910">
        <f t="shared" si="35"/>
        <v>39511.081632653062</v>
      </c>
      <c r="AM23" s="967"/>
      <c r="AN23" s="968"/>
      <c r="AO23" s="968"/>
      <c r="AP23" s="968"/>
      <c r="AQ23" s="968"/>
      <c r="AR23" s="968"/>
      <c r="AS23" s="968"/>
      <c r="AT23" s="968"/>
      <c r="AU23" s="968"/>
      <c r="AV23" s="968"/>
      <c r="AW23" s="968"/>
      <c r="AX23" s="968"/>
      <c r="AY23" s="909">
        <f t="shared" si="18"/>
        <v>0</v>
      </c>
      <c r="AZ23" s="959"/>
      <c r="BA23" s="960"/>
      <c r="BB23" s="960"/>
      <c r="BC23" s="960"/>
      <c r="BD23" s="960"/>
      <c r="BE23" s="960"/>
      <c r="BF23" s="960"/>
      <c r="BG23" s="960"/>
      <c r="BH23" s="960"/>
      <c r="BI23" s="960"/>
      <c r="BJ23" s="960"/>
      <c r="BK23" s="960"/>
      <c r="BL23" s="910">
        <f>SUM(AZ23:BK23)</f>
        <v>0</v>
      </c>
      <c r="BM23" s="967"/>
      <c r="BN23" s="968"/>
      <c r="BO23" s="968"/>
      <c r="BP23" s="968"/>
      <c r="BQ23" s="968"/>
      <c r="BR23" s="968"/>
      <c r="BS23" s="968"/>
      <c r="BT23" s="968"/>
      <c r="BU23" s="968"/>
      <c r="BV23" s="968"/>
      <c r="BW23" s="968"/>
      <c r="BX23" s="968"/>
      <c r="BY23" s="909">
        <f t="shared" si="20"/>
        <v>0</v>
      </c>
      <c r="BZ23" s="960"/>
      <c r="CA23" s="960"/>
      <c r="CB23" s="960"/>
      <c r="CC23" s="960"/>
      <c r="CD23" s="960"/>
      <c r="CE23" s="960"/>
      <c r="CF23" s="960"/>
      <c r="CG23" s="960"/>
      <c r="CH23" s="960"/>
      <c r="CI23" s="960"/>
      <c r="CJ23" s="960"/>
      <c r="CK23" s="960"/>
      <c r="CL23" s="912">
        <f t="shared" si="4"/>
        <v>0</v>
      </c>
      <c r="CM23" s="967"/>
      <c r="CN23" s="968"/>
      <c r="CO23" s="968"/>
      <c r="CP23" s="968"/>
      <c r="CQ23" s="968"/>
      <c r="CR23" s="968"/>
      <c r="CS23" s="968"/>
      <c r="CT23" s="968"/>
      <c r="CU23" s="968"/>
      <c r="CV23" s="968"/>
      <c r="CW23" s="968"/>
      <c r="CX23" s="968"/>
      <c r="CY23" s="909">
        <f t="shared" si="22"/>
        <v>0</v>
      </c>
      <c r="CZ23" s="959"/>
      <c r="DA23" s="960"/>
      <c r="DB23" s="960"/>
      <c r="DC23" s="960"/>
      <c r="DD23" s="960"/>
      <c r="DE23" s="960"/>
      <c r="DF23" s="960"/>
      <c r="DG23" s="960"/>
      <c r="DH23" s="960"/>
      <c r="DI23" s="960"/>
      <c r="DJ23" s="960"/>
      <c r="DK23" s="960"/>
      <c r="DL23" s="910">
        <f t="shared" si="6"/>
        <v>0</v>
      </c>
      <c r="DM23" s="969"/>
      <c r="DN23" s="968"/>
      <c r="DO23" s="968"/>
      <c r="DP23" s="968"/>
      <c r="DQ23" s="968"/>
      <c r="DR23" s="968"/>
      <c r="DS23" s="968"/>
      <c r="DT23" s="968"/>
      <c r="DU23" s="968"/>
      <c r="DV23" s="968"/>
      <c r="DW23" s="968"/>
      <c r="DX23" s="968"/>
      <c r="DY23" s="909">
        <f t="shared" si="24"/>
        <v>0</v>
      </c>
      <c r="DZ23" s="960"/>
      <c r="EA23" s="960"/>
      <c r="EB23" s="960"/>
      <c r="EC23" s="960"/>
      <c r="ED23" s="960"/>
      <c r="EE23" s="960"/>
      <c r="EF23" s="960"/>
      <c r="EG23" s="960"/>
      <c r="EH23" s="960"/>
      <c r="EI23" s="960"/>
      <c r="EJ23" s="960"/>
      <c r="EK23" s="960"/>
      <c r="EL23" s="910">
        <f t="shared" si="8"/>
        <v>0</v>
      </c>
    </row>
    <row r="24" spans="1:142" ht="18.75" thickTop="1" thickBot="1">
      <c r="A24" s="5218" t="s">
        <v>49</v>
      </c>
      <c r="B24" s="5219"/>
      <c r="C24" s="5220"/>
      <c r="D24" s="898"/>
      <c r="E24" s="898"/>
      <c r="F24" s="898"/>
      <c r="G24" s="898"/>
      <c r="H24" s="898"/>
      <c r="I24" s="898"/>
      <c r="J24" s="898"/>
      <c r="K24" s="899"/>
      <c r="L24" s="900"/>
      <c r="M24" s="901">
        <f t="shared" ref="M24:AR24" si="42">SUM(M15:M23)</f>
        <v>478753</v>
      </c>
      <c r="N24" s="544">
        <f t="shared" si="42"/>
        <v>324000</v>
      </c>
      <c r="O24" s="544">
        <f t="shared" si="42"/>
        <v>461855</v>
      </c>
      <c r="P24" s="544">
        <f t="shared" si="42"/>
        <v>355795</v>
      </c>
      <c r="Q24" s="544">
        <f>SUM(Q15:Q23)</f>
        <v>328586</v>
      </c>
      <c r="R24" s="544">
        <f>SUM(R15:R23)</f>
        <v>446318</v>
      </c>
      <c r="S24" s="544">
        <f t="shared" si="42"/>
        <v>413700</v>
      </c>
      <c r="T24" s="544">
        <f t="shared" si="42"/>
        <v>360000</v>
      </c>
      <c r="U24" s="544">
        <f t="shared" si="42"/>
        <v>430000</v>
      </c>
      <c r="V24" s="544">
        <f t="shared" si="42"/>
        <v>560000</v>
      </c>
      <c r="W24" s="544">
        <f t="shared" si="42"/>
        <v>570000</v>
      </c>
      <c r="X24" s="544">
        <f t="shared" si="42"/>
        <v>550000</v>
      </c>
      <c r="Y24" s="545">
        <f t="shared" si="42"/>
        <v>5279007</v>
      </c>
      <c r="Z24" s="550">
        <f t="shared" si="42"/>
        <v>522130.3</v>
      </c>
      <c r="AA24" s="550">
        <f t="shared" si="42"/>
        <v>363073</v>
      </c>
      <c r="AB24" s="550">
        <f t="shared" si="42"/>
        <v>523181.15</v>
      </c>
      <c r="AC24" s="550">
        <f t="shared" si="42"/>
        <v>409429.53195918357</v>
      </c>
      <c r="AD24" s="550">
        <f>SUM(AD15:AD23)</f>
        <v>339391.92489795911</v>
      </c>
      <c r="AE24" s="550">
        <f>SUM(AE15:AE23)-300+16000+700</f>
        <v>374732.16</v>
      </c>
      <c r="AF24" s="550">
        <f t="shared" si="42"/>
        <v>441689</v>
      </c>
      <c r="AG24" s="550">
        <f t="shared" si="42"/>
        <v>370950</v>
      </c>
      <c r="AH24" s="550">
        <f t="shared" si="42"/>
        <v>410400</v>
      </c>
      <c r="AI24" s="550">
        <f t="shared" si="42"/>
        <v>510200</v>
      </c>
      <c r="AJ24" s="550">
        <f t="shared" si="42"/>
        <v>516500</v>
      </c>
      <c r="AK24" s="550">
        <f t="shared" si="42"/>
        <v>490400</v>
      </c>
      <c r="AL24" s="547">
        <f t="shared" si="42"/>
        <v>5255677.0668571433</v>
      </c>
      <c r="AM24" s="544">
        <f t="shared" si="42"/>
        <v>478753</v>
      </c>
      <c r="AN24" s="544">
        <f t="shared" si="42"/>
        <v>324000</v>
      </c>
      <c r="AO24" s="544">
        <f t="shared" si="42"/>
        <v>440000</v>
      </c>
      <c r="AP24" s="544">
        <f t="shared" si="42"/>
        <v>410000</v>
      </c>
      <c r="AQ24" s="544">
        <f t="shared" si="42"/>
        <v>380000</v>
      </c>
      <c r="AR24" s="544">
        <f t="shared" si="42"/>
        <v>450000</v>
      </c>
      <c r="AS24" s="544">
        <f t="shared" ref="AS24:BX24" si="43">SUM(AS15:AS23)</f>
        <v>440000</v>
      </c>
      <c r="AT24" s="544">
        <f t="shared" si="43"/>
        <v>440000</v>
      </c>
      <c r="AU24" s="544">
        <f t="shared" si="43"/>
        <v>400000</v>
      </c>
      <c r="AV24" s="544">
        <f t="shared" si="43"/>
        <v>400000</v>
      </c>
      <c r="AW24" s="544">
        <f t="shared" si="43"/>
        <v>400000</v>
      </c>
      <c r="AX24" s="544">
        <f t="shared" si="43"/>
        <v>400000</v>
      </c>
      <c r="AY24" s="545">
        <f t="shared" si="43"/>
        <v>4962753</v>
      </c>
      <c r="AZ24" s="550">
        <f t="shared" si="43"/>
        <v>518317.03877551015</v>
      </c>
      <c r="BA24" s="550">
        <f t="shared" si="43"/>
        <v>360448.17142857146</v>
      </c>
      <c r="BB24" s="550">
        <f t="shared" si="43"/>
        <v>474436.32653061225</v>
      </c>
      <c r="BC24" s="550">
        <f t="shared" si="43"/>
        <v>449344.69387755101</v>
      </c>
      <c r="BD24" s="550">
        <f t="shared" si="43"/>
        <v>416034.69387755101</v>
      </c>
      <c r="BE24" s="550">
        <f t="shared" si="43"/>
        <v>496157.95918367349</v>
      </c>
      <c r="BF24" s="550">
        <f t="shared" si="43"/>
        <v>488257.95918367349</v>
      </c>
      <c r="BG24" s="550">
        <f t="shared" si="43"/>
        <v>488257.95918367349</v>
      </c>
      <c r="BH24" s="550">
        <f t="shared" si="43"/>
        <v>440116.32653061225</v>
      </c>
      <c r="BI24" s="550">
        <f t="shared" si="43"/>
        <v>440116.32653061225</v>
      </c>
      <c r="BJ24" s="550">
        <f t="shared" si="43"/>
        <v>440116.32653061225</v>
      </c>
      <c r="BK24" s="550">
        <f t="shared" si="43"/>
        <v>440116.32653061225</v>
      </c>
      <c r="BL24" s="547">
        <f t="shared" si="43"/>
        <v>5451720.1081632646</v>
      </c>
      <c r="BM24" s="544">
        <f t="shared" si="43"/>
        <v>400000</v>
      </c>
      <c r="BN24" s="544">
        <f t="shared" si="43"/>
        <v>229500</v>
      </c>
      <c r="BO24" s="544">
        <f t="shared" si="43"/>
        <v>400000</v>
      </c>
      <c r="BP24" s="544">
        <f t="shared" si="43"/>
        <v>400000</v>
      </c>
      <c r="BQ24" s="544">
        <f t="shared" si="43"/>
        <v>400000</v>
      </c>
      <c r="BR24" s="544">
        <f t="shared" si="43"/>
        <v>400000</v>
      </c>
      <c r="BS24" s="544">
        <f t="shared" si="43"/>
        <v>400000</v>
      </c>
      <c r="BT24" s="544">
        <f t="shared" si="43"/>
        <v>400000</v>
      </c>
      <c r="BU24" s="544">
        <f t="shared" si="43"/>
        <v>400000</v>
      </c>
      <c r="BV24" s="544">
        <f t="shared" si="43"/>
        <v>400000</v>
      </c>
      <c r="BW24" s="544">
        <f t="shared" si="43"/>
        <v>400000</v>
      </c>
      <c r="BX24" s="544">
        <f t="shared" si="43"/>
        <v>400000</v>
      </c>
      <c r="BY24" s="545">
        <f t="shared" ref="BY24:EJ24" si="44">SUM(BY15:BY23)</f>
        <v>4629500</v>
      </c>
      <c r="BZ24" s="946">
        <f t="shared" si="44"/>
        <v>481470.40816326533</v>
      </c>
      <c r="CA24" s="550">
        <f t="shared" si="44"/>
        <v>276228.57142857142</v>
      </c>
      <c r="CB24" s="550">
        <f t="shared" si="44"/>
        <v>481470.40816326533</v>
      </c>
      <c r="CC24" s="550">
        <f t="shared" si="44"/>
        <v>481470.40816326533</v>
      </c>
      <c r="CD24" s="550">
        <f t="shared" si="44"/>
        <v>481470.40816326533</v>
      </c>
      <c r="CE24" s="550">
        <f t="shared" si="44"/>
        <v>481470.40816326533</v>
      </c>
      <c r="CF24" s="550">
        <f t="shared" si="44"/>
        <v>481470.40816326533</v>
      </c>
      <c r="CG24" s="550">
        <f t="shared" si="44"/>
        <v>481470.40816326533</v>
      </c>
      <c r="CH24" s="550">
        <f t="shared" si="44"/>
        <v>481470.40816326533</v>
      </c>
      <c r="CI24" s="550">
        <f t="shared" si="44"/>
        <v>481470.40816326533</v>
      </c>
      <c r="CJ24" s="550">
        <f t="shared" si="44"/>
        <v>481470.40816326533</v>
      </c>
      <c r="CK24" s="550">
        <f t="shared" si="44"/>
        <v>481470.40816326533</v>
      </c>
      <c r="CL24" s="903">
        <f t="shared" si="44"/>
        <v>5572403.0612244904</v>
      </c>
      <c r="CM24" s="544">
        <f t="shared" si="44"/>
        <v>400000</v>
      </c>
      <c r="CN24" s="544">
        <f t="shared" si="44"/>
        <v>229500</v>
      </c>
      <c r="CO24" s="544">
        <f t="shared" si="44"/>
        <v>400000</v>
      </c>
      <c r="CP24" s="544">
        <f t="shared" si="44"/>
        <v>400000</v>
      </c>
      <c r="CQ24" s="544">
        <f t="shared" si="44"/>
        <v>400000</v>
      </c>
      <c r="CR24" s="544">
        <f t="shared" si="44"/>
        <v>400000</v>
      </c>
      <c r="CS24" s="544">
        <f t="shared" si="44"/>
        <v>400000</v>
      </c>
      <c r="CT24" s="544">
        <f t="shared" si="44"/>
        <v>400000</v>
      </c>
      <c r="CU24" s="544">
        <f t="shared" si="44"/>
        <v>400000</v>
      </c>
      <c r="CV24" s="544">
        <f t="shared" si="44"/>
        <v>400000</v>
      </c>
      <c r="CW24" s="544">
        <f t="shared" si="44"/>
        <v>400000</v>
      </c>
      <c r="CX24" s="544">
        <f t="shared" si="44"/>
        <v>400000</v>
      </c>
      <c r="CY24" s="545">
        <f t="shared" si="44"/>
        <v>4629500</v>
      </c>
      <c r="CZ24" s="550">
        <f t="shared" si="44"/>
        <v>481470.40816326498</v>
      </c>
      <c r="DA24" s="550">
        <f t="shared" si="44"/>
        <v>276228.57142857125</v>
      </c>
      <c r="DB24" s="550">
        <f t="shared" si="44"/>
        <v>481470.40816326498</v>
      </c>
      <c r="DC24" s="550">
        <f t="shared" si="44"/>
        <v>481470.40816326498</v>
      </c>
      <c r="DD24" s="550">
        <f t="shared" si="44"/>
        <v>481470.40816326498</v>
      </c>
      <c r="DE24" s="550">
        <f t="shared" si="44"/>
        <v>481470.40816326498</v>
      </c>
      <c r="DF24" s="550">
        <f t="shared" si="44"/>
        <v>481470.40816326498</v>
      </c>
      <c r="DG24" s="550">
        <f t="shared" si="44"/>
        <v>481470.40816326498</v>
      </c>
      <c r="DH24" s="550">
        <f t="shared" si="44"/>
        <v>481470.40816326498</v>
      </c>
      <c r="DI24" s="550">
        <f t="shared" si="44"/>
        <v>481470.40816326498</v>
      </c>
      <c r="DJ24" s="550">
        <f t="shared" si="44"/>
        <v>481470.40816326498</v>
      </c>
      <c r="DK24" s="550">
        <f t="shared" si="44"/>
        <v>481470.40816326498</v>
      </c>
      <c r="DL24" s="547">
        <f t="shared" si="44"/>
        <v>5572403.0612244848</v>
      </c>
      <c r="DM24" s="901">
        <f t="shared" si="44"/>
        <v>400000</v>
      </c>
      <c r="DN24" s="544">
        <f t="shared" si="44"/>
        <v>229500</v>
      </c>
      <c r="DO24" s="544">
        <f t="shared" si="44"/>
        <v>400000</v>
      </c>
      <c r="DP24" s="544">
        <f t="shared" si="44"/>
        <v>400000</v>
      </c>
      <c r="DQ24" s="544">
        <f t="shared" si="44"/>
        <v>400000</v>
      </c>
      <c r="DR24" s="544">
        <f t="shared" si="44"/>
        <v>400000</v>
      </c>
      <c r="DS24" s="544">
        <f t="shared" si="44"/>
        <v>400000</v>
      </c>
      <c r="DT24" s="544">
        <f t="shared" si="44"/>
        <v>400000</v>
      </c>
      <c r="DU24" s="544">
        <f t="shared" si="44"/>
        <v>400000</v>
      </c>
      <c r="DV24" s="544">
        <f t="shared" si="44"/>
        <v>400000</v>
      </c>
      <c r="DW24" s="544">
        <f t="shared" si="44"/>
        <v>400000</v>
      </c>
      <c r="DX24" s="544">
        <f t="shared" si="44"/>
        <v>400000</v>
      </c>
      <c r="DY24" s="545">
        <f t="shared" si="44"/>
        <v>4629500</v>
      </c>
      <c r="DZ24" s="550">
        <f t="shared" si="44"/>
        <v>471840.99999999965</v>
      </c>
      <c r="EA24" s="550">
        <f t="shared" si="44"/>
        <v>270703.99999999983</v>
      </c>
      <c r="EB24" s="550">
        <f t="shared" si="44"/>
        <v>471840.99999999965</v>
      </c>
      <c r="EC24" s="550">
        <f t="shared" si="44"/>
        <v>471840.99999999965</v>
      </c>
      <c r="ED24" s="550">
        <f t="shared" si="44"/>
        <v>471840.99999999965</v>
      </c>
      <c r="EE24" s="550">
        <f t="shared" si="44"/>
        <v>471840.99999999965</v>
      </c>
      <c r="EF24" s="550">
        <f t="shared" si="44"/>
        <v>471840.99999999965</v>
      </c>
      <c r="EG24" s="550">
        <f t="shared" si="44"/>
        <v>471840.99999999965</v>
      </c>
      <c r="EH24" s="550">
        <f t="shared" si="44"/>
        <v>471840.99999999965</v>
      </c>
      <c r="EI24" s="550">
        <f t="shared" si="44"/>
        <v>471840.99999999965</v>
      </c>
      <c r="EJ24" s="550">
        <f t="shared" si="44"/>
        <v>471840.99999999965</v>
      </c>
      <c r="EK24" s="550">
        <f>SUM(EK15:EK23)</f>
        <v>471840.99999999965</v>
      </c>
      <c r="EL24" s="547">
        <f>SUM(EL15:EL23)</f>
        <v>5460954.9999999953</v>
      </c>
    </row>
    <row r="25" spans="1:142" ht="18" thickTop="1">
      <c r="A25" s="970" t="s">
        <v>661</v>
      </c>
      <c r="B25" s="913" t="s">
        <v>662</v>
      </c>
      <c r="C25" s="917" t="s">
        <v>663</v>
      </c>
      <c r="D25" s="549">
        <v>5</v>
      </c>
      <c r="E25" s="551">
        <v>5</v>
      </c>
      <c r="F25" s="551">
        <v>5</v>
      </c>
      <c r="G25" s="571">
        <v>5</v>
      </c>
      <c r="H25" s="549">
        <v>5</v>
      </c>
      <c r="I25" s="551">
        <v>5</v>
      </c>
      <c r="J25" s="551">
        <v>5</v>
      </c>
      <c r="K25" s="948">
        <v>5</v>
      </c>
      <c r="L25" s="884"/>
      <c r="M25" s="908">
        <v>18000</v>
      </c>
      <c r="N25" s="269">
        <v>15000</v>
      </c>
      <c r="O25" s="269">
        <v>25500</v>
      </c>
      <c r="P25" s="269">
        <v>5819</v>
      </c>
      <c r="Q25" s="269">
        <v>40476</v>
      </c>
      <c r="R25" s="269">
        <v>6750</v>
      </c>
      <c r="S25" s="269">
        <v>10050</v>
      </c>
      <c r="T25" s="269">
        <v>17000</v>
      </c>
      <c r="U25" s="269">
        <v>20000</v>
      </c>
      <c r="V25" s="269">
        <v>13000</v>
      </c>
      <c r="W25" s="269">
        <v>30000</v>
      </c>
      <c r="X25" s="269">
        <v>20000</v>
      </c>
      <c r="Y25" s="885">
        <f>SUM(M25:X25)</f>
        <v>221595</v>
      </c>
      <c r="Z25" s="971">
        <v>9324</v>
      </c>
      <c r="AA25" s="268">
        <v>20895</v>
      </c>
      <c r="AB25" s="268">
        <v>33589.5</v>
      </c>
      <c r="AC25" s="268">
        <v>43319.29</v>
      </c>
      <c r="AD25" s="268">
        <v>141093.84799999997</v>
      </c>
      <c r="AE25" s="268">
        <v>28959.200000000001</v>
      </c>
      <c r="AF25" s="268">
        <v>7037.45</v>
      </c>
      <c r="AG25" s="268">
        <f t="shared" ref="AG25:AK27" si="45">+T25*$G$25</f>
        <v>85000</v>
      </c>
      <c r="AH25" s="268">
        <f t="shared" si="45"/>
        <v>100000</v>
      </c>
      <c r="AI25" s="268">
        <f t="shared" si="45"/>
        <v>65000</v>
      </c>
      <c r="AJ25" s="268">
        <f t="shared" si="45"/>
        <v>150000</v>
      </c>
      <c r="AK25" s="268">
        <f t="shared" si="45"/>
        <v>100000</v>
      </c>
      <c r="AL25" s="887">
        <f>SUM(Z25:AK25)</f>
        <v>784218.28799999994</v>
      </c>
      <c r="AM25" s="911">
        <v>16000</v>
      </c>
      <c r="AN25" s="269">
        <f>N25*90%</f>
        <v>13500</v>
      </c>
      <c r="AO25" s="269">
        <v>20000</v>
      </c>
      <c r="AP25" s="269">
        <v>12000</v>
      </c>
      <c r="AQ25" s="269">
        <f>Q25*90%</f>
        <v>36428.400000000001</v>
      </c>
      <c r="AR25" s="269">
        <f>R25*90%</f>
        <v>6075</v>
      </c>
      <c r="AS25" s="269">
        <f>S25*90%</f>
        <v>9045</v>
      </c>
      <c r="AT25" s="269">
        <f>T25*90%</f>
        <v>15300</v>
      </c>
      <c r="AU25" s="269">
        <v>14000</v>
      </c>
      <c r="AV25" s="269">
        <v>10000</v>
      </c>
      <c r="AW25" s="269">
        <v>12000</v>
      </c>
      <c r="AX25" s="269">
        <f>X25*90%</f>
        <v>18000</v>
      </c>
      <c r="AY25" s="885">
        <f>SUM(AM25:AX25)</f>
        <v>182348.4</v>
      </c>
      <c r="AZ25" s="886">
        <f t="shared" ref="AZ25:BK28" si="46">AM25*$H25</f>
        <v>80000</v>
      </c>
      <c r="BA25" s="257">
        <f t="shared" si="46"/>
        <v>67500</v>
      </c>
      <c r="BB25" s="257">
        <f t="shared" si="46"/>
        <v>100000</v>
      </c>
      <c r="BC25" s="257">
        <f t="shared" si="46"/>
        <v>60000</v>
      </c>
      <c r="BD25" s="257">
        <f t="shared" si="46"/>
        <v>182142</v>
      </c>
      <c r="BE25" s="257">
        <f t="shared" si="46"/>
        <v>30375</v>
      </c>
      <c r="BF25" s="257">
        <f t="shared" si="46"/>
        <v>45225</v>
      </c>
      <c r="BG25" s="257">
        <f t="shared" si="46"/>
        <v>76500</v>
      </c>
      <c r="BH25" s="257">
        <f t="shared" si="46"/>
        <v>70000</v>
      </c>
      <c r="BI25" s="257">
        <f t="shared" si="46"/>
        <v>50000</v>
      </c>
      <c r="BJ25" s="257">
        <f t="shared" si="46"/>
        <v>60000</v>
      </c>
      <c r="BK25" s="257">
        <f t="shared" si="46"/>
        <v>90000</v>
      </c>
      <c r="BL25" s="887">
        <f t="shared" ref="BL25:BL72" si="47">SUM(AZ25:BK25)</f>
        <v>911742</v>
      </c>
      <c r="BM25" s="911">
        <v>25000</v>
      </c>
      <c r="BN25" s="269">
        <v>15000</v>
      </c>
      <c r="BO25" s="269">
        <f>AO25*90%</f>
        <v>18000</v>
      </c>
      <c r="BP25" s="269">
        <v>12000</v>
      </c>
      <c r="BQ25" s="269">
        <v>9000</v>
      </c>
      <c r="BR25" s="269">
        <v>9000</v>
      </c>
      <c r="BS25" s="269">
        <v>10000</v>
      </c>
      <c r="BT25" s="269">
        <v>14000</v>
      </c>
      <c r="BU25" s="269">
        <v>14000</v>
      </c>
      <c r="BV25" s="269">
        <v>10000</v>
      </c>
      <c r="BW25" s="269">
        <v>20000</v>
      </c>
      <c r="BX25" s="269">
        <v>10000</v>
      </c>
      <c r="BY25" s="885">
        <f>SUM(BM25:BX25)</f>
        <v>166000</v>
      </c>
      <c r="BZ25" s="972">
        <f t="shared" ref="BZ25:CK27" si="48">+BM25*$G$25</f>
        <v>125000</v>
      </c>
      <c r="CA25" s="268">
        <f t="shared" si="48"/>
        <v>75000</v>
      </c>
      <c r="CB25" s="268">
        <f t="shared" si="48"/>
        <v>90000</v>
      </c>
      <c r="CC25" s="268">
        <f t="shared" si="48"/>
        <v>60000</v>
      </c>
      <c r="CD25" s="268">
        <f t="shared" si="48"/>
        <v>45000</v>
      </c>
      <c r="CE25" s="268">
        <f t="shared" si="48"/>
        <v>45000</v>
      </c>
      <c r="CF25" s="268">
        <f t="shared" si="48"/>
        <v>50000</v>
      </c>
      <c r="CG25" s="268">
        <f t="shared" si="48"/>
        <v>70000</v>
      </c>
      <c r="CH25" s="268">
        <f t="shared" si="48"/>
        <v>70000</v>
      </c>
      <c r="CI25" s="268">
        <f t="shared" si="48"/>
        <v>50000</v>
      </c>
      <c r="CJ25" s="268">
        <f t="shared" si="48"/>
        <v>100000</v>
      </c>
      <c r="CK25" s="268">
        <f t="shared" si="48"/>
        <v>50000</v>
      </c>
      <c r="CL25" s="892">
        <f>SUM(BZ25:CK25)</f>
        <v>830000</v>
      </c>
      <c r="CM25" s="911">
        <v>18000</v>
      </c>
      <c r="CN25" s="269">
        <f>BN25*90%</f>
        <v>13500</v>
      </c>
      <c r="CO25" s="269">
        <f>BO25*90%</f>
        <v>16200</v>
      </c>
      <c r="CP25" s="269">
        <v>12000</v>
      </c>
      <c r="CQ25" s="269">
        <f>BQ25*90%</f>
        <v>8100</v>
      </c>
      <c r="CR25" s="269">
        <v>12000</v>
      </c>
      <c r="CS25" s="269">
        <v>12000</v>
      </c>
      <c r="CT25" s="269">
        <v>15000</v>
      </c>
      <c r="CU25" s="269">
        <v>14000</v>
      </c>
      <c r="CV25" s="269">
        <v>15000</v>
      </c>
      <c r="CW25" s="269">
        <v>12000</v>
      </c>
      <c r="CX25" s="269">
        <f>BX25*90%</f>
        <v>9000</v>
      </c>
      <c r="CY25" s="885">
        <f>SUM(CM25:CX25)</f>
        <v>156800</v>
      </c>
      <c r="CZ25" s="971">
        <f t="shared" ref="CZ25:DK27" si="49">+CM25*$G$25</f>
        <v>90000</v>
      </c>
      <c r="DA25" s="268">
        <f t="shared" si="49"/>
        <v>67500</v>
      </c>
      <c r="DB25" s="268">
        <f t="shared" si="49"/>
        <v>81000</v>
      </c>
      <c r="DC25" s="268">
        <f t="shared" si="49"/>
        <v>60000</v>
      </c>
      <c r="DD25" s="268">
        <f t="shared" si="49"/>
        <v>40500</v>
      </c>
      <c r="DE25" s="268">
        <f t="shared" si="49"/>
        <v>60000</v>
      </c>
      <c r="DF25" s="268">
        <f t="shared" si="49"/>
        <v>60000</v>
      </c>
      <c r="DG25" s="268">
        <f t="shared" si="49"/>
        <v>75000</v>
      </c>
      <c r="DH25" s="268">
        <f t="shared" si="49"/>
        <v>70000</v>
      </c>
      <c r="DI25" s="268">
        <f t="shared" si="49"/>
        <v>75000</v>
      </c>
      <c r="DJ25" s="268">
        <f t="shared" si="49"/>
        <v>60000</v>
      </c>
      <c r="DK25" s="268">
        <f t="shared" si="49"/>
        <v>45000</v>
      </c>
      <c r="DL25" s="887">
        <f t="shared" ref="DL25:DL72" si="50">SUM(CZ25:DK25)</f>
        <v>784000</v>
      </c>
      <c r="DM25" s="911">
        <v>16000</v>
      </c>
      <c r="DN25" s="269">
        <f>CN25*90%</f>
        <v>12150</v>
      </c>
      <c r="DO25" s="269">
        <f>CO25*90%</f>
        <v>14580</v>
      </c>
      <c r="DP25" s="269">
        <v>12000</v>
      </c>
      <c r="DQ25" s="269">
        <f>CQ25*90%</f>
        <v>7290</v>
      </c>
      <c r="DR25" s="269">
        <f>CR25*90%</f>
        <v>10800</v>
      </c>
      <c r="DS25" s="269">
        <f>CS25*90%</f>
        <v>10800</v>
      </c>
      <c r="DT25" s="269">
        <f>CT25*90%</f>
        <v>13500</v>
      </c>
      <c r="DU25" s="269">
        <v>14000</v>
      </c>
      <c r="DV25" s="269">
        <v>10000</v>
      </c>
      <c r="DW25" s="269">
        <v>12000</v>
      </c>
      <c r="DX25" s="269">
        <f>CX25*90%</f>
        <v>8100</v>
      </c>
      <c r="DY25" s="540">
        <f>SUM(DM25:DX25)</f>
        <v>141220</v>
      </c>
      <c r="DZ25" s="268">
        <v>71809</v>
      </c>
      <c r="EA25" s="268">
        <v>100856</v>
      </c>
      <c r="EB25" s="268">
        <f t="shared" ref="EB25:EK27" si="51">+DO25*$G$25</f>
        <v>72900</v>
      </c>
      <c r="EC25" s="268">
        <f t="shared" si="51"/>
        <v>60000</v>
      </c>
      <c r="ED25" s="268">
        <f t="shared" si="51"/>
        <v>36450</v>
      </c>
      <c r="EE25" s="268">
        <f t="shared" si="51"/>
        <v>54000</v>
      </c>
      <c r="EF25" s="268">
        <f t="shared" si="51"/>
        <v>54000</v>
      </c>
      <c r="EG25" s="268">
        <f t="shared" si="51"/>
        <v>67500</v>
      </c>
      <c r="EH25" s="268">
        <f t="shared" si="51"/>
        <v>70000</v>
      </c>
      <c r="EI25" s="268">
        <f t="shared" si="51"/>
        <v>50000</v>
      </c>
      <c r="EJ25" s="268">
        <f t="shared" si="51"/>
        <v>60000</v>
      </c>
      <c r="EK25" s="268">
        <f t="shared" si="51"/>
        <v>40500</v>
      </c>
      <c r="EL25" s="887">
        <f t="shared" ref="EL25:EL72" si="52">SUM(DZ25:EK25)</f>
        <v>738015</v>
      </c>
    </row>
    <row r="26" spans="1:142">
      <c r="A26" s="973" t="s">
        <v>661</v>
      </c>
      <c r="B26" s="913" t="s">
        <v>664</v>
      </c>
      <c r="C26" s="917" t="s">
        <v>663</v>
      </c>
      <c r="D26" s="549">
        <v>5</v>
      </c>
      <c r="E26" s="551">
        <v>5</v>
      </c>
      <c r="F26" s="551">
        <v>5</v>
      </c>
      <c r="G26" s="571">
        <v>5</v>
      </c>
      <c r="H26" s="549">
        <v>5</v>
      </c>
      <c r="I26" s="551">
        <v>5</v>
      </c>
      <c r="J26" s="551">
        <v>5</v>
      </c>
      <c r="K26" s="948">
        <v>5</v>
      </c>
      <c r="L26" s="884"/>
      <c r="M26" s="908">
        <v>4030</v>
      </c>
      <c r="N26" s="269">
        <v>17154</v>
      </c>
      <c r="O26" s="269">
        <v>16482</v>
      </c>
      <c r="P26" s="269">
        <v>3700</v>
      </c>
      <c r="Q26" s="269">
        <v>3100</v>
      </c>
      <c r="R26" s="269">
        <v>2459</v>
      </c>
      <c r="S26" s="269">
        <f>2460+3164</f>
        <v>5624</v>
      </c>
      <c r="T26" s="269">
        <v>25000</v>
      </c>
      <c r="U26" s="269">
        <v>30000</v>
      </c>
      <c r="V26" s="269">
        <v>29000</v>
      </c>
      <c r="W26" s="269">
        <v>26500</v>
      </c>
      <c r="X26" s="269">
        <v>20000</v>
      </c>
      <c r="Y26" s="885">
        <f>SUM(M26:X26)</f>
        <v>183049</v>
      </c>
      <c r="Z26" s="971">
        <f>37810.08-12651</f>
        <v>25159.08</v>
      </c>
      <c r="AA26" s="268">
        <f>35512.008+29047-6856</f>
        <v>57703.008000000002</v>
      </c>
      <c r="AB26" s="268">
        <v>70867.096000000005</v>
      </c>
      <c r="AC26" s="268">
        <v>30306.5</v>
      </c>
      <c r="AD26" s="268">
        <f>33535.6+2322</f>
        <v>35857.599999999999</v>
      </c>
      <c r="AE26" s="268">
        <v>43003.97</v>
      </c>
      <c r="AF26" s="268">
        <v>64432.619999999995</v>
      </c>
      <c r="AG26" s="268">
        <f>+T26*$G$25-39000</f>
        <v>86000</v>
      </c>
      <c r="AH26" s="268">
        <f t="shared" si="45"/>
        <v>150000</v>
      </c>
      <c r="AI26" s="268">
        <f t="shared" si="45"/>
        <v>145000</v>
      </c>
      <c r="AJ26" s="268">
        <f t="shared" si="45"/>
        <v>132500</v>
      </c>
      <c r="AK26" s="268">
        <f t="shared" si="45"/>
        <v>100000</v>
      </c>
      <c r="AL26" s="887">
        <f>SUM(Z26:AK26)</f>
        <v>940829.87400000007</v>
      </c>
      <c r="AM26" s="911">
        <v>15000</v>
      </c>
      <c r="AN26" s="269">
        <f>N26*90%</f>
        <v>15438.6</v>
      </c>
      <c r="AO26" s="269">
        <v>15000</v>
      </c>
      <c r="AP26" s="269">
        <v>12000</v>
      </c>
      <c r="AQ26" s="269">
        <f>Q26*90%</f>
        <v>2790</v>
      </c>
      <c r="AR26" s="269">
        <f>R26*90%</f>
        <v>2213.1</v>
      </c>
      <c r="AS26" s="269">
        <f>S26*90%</f>
        <v>5061.6000000000004</v>
      </c>
      <c r="AT26" s="269">
        <v>25000</v>
      </c>
      <c r="AU26" s="269">
        <v>30000</v>
      </c>
      <c r="AV26" s="269">
        <v>20000</v>
      </c>
      <c r="AW26" s="269">
        <v>20000</v>
      </c>
      <c r="AX26" s="269">
        <f>X26*90%</f>
        <v>18000</v>
      </c>
      <c r="AY26" s="885">
        <f>SUM(AM26:AX26)</f>
        <v>180503.3</v>
      </c>
      <c r="AZ26" s="886">
        <f t="shared" si="46"/>
        <v>75000</v>
      </c>
      <c r="BA26" s="257">
        <f t="shared" si="46"/>
        <v>77193</v>
      </c>
      <c r="BB26" s="257">
        <f t="shared" si="46"/>
        <v>75000</v>
      </c>
      <c r="BC26" s="257">
        <f t="shared" si="46"/>
        <v>60000</v>
      </c>
      <c r="BD26" s="257">
        <f t="shared" si="46"/>
        <v>13950</v>
      </c>
      <c r="BE26" s="257">
        <f t="shared" si="46"/>
        <v>11065.5</v>
      </c>
      <c r="BF26" s="257">
        <f t="shared" si="46"/>
        <v>25308</v>
      </c>
      <c r="BG26" s="257">
        <f t="shared" si="46"/>
        <v>125000</v>
      </c>
      <c r="BH26" s="257">
        <f t="shared" si="46"/>
        <v>150000</v>
      </c>
      <c r="BI26" s="257">
        <f t="shared" si="46"/>
        <v>100000</v>
      </c>
      <c r="BJ26" s="257">
        <f t="shared" si="46"/>
        <v>100000</v>
      </c>
      <c r="BK26" s="257">
        <f t="shared" si="46"/>
        <v>90000</v>
      </c>
      <c r="BL26" s="887">
        <f>SUM(AZ26:BK26)</f>
        <v>902516.5</v>
      </c>
      <c r="BM26" s="911">
        <v>15000</v>
      </c>
      <c r="BN26" s="269">
        <v>15000</v>
      </c>
      <c r="BO26" s="269">
        <v>15000</v>
      </c>
      <c r="BP26" s="269">
        <f>AP26*90%</f>
        <v>10800</v>
      </c>
      <c r="BQ26" s="269">
        <v>16000</v>
      </c>
      <c r="BR26" s="269">
        <v>16000</v>
      </c>
      <c r="BS26" s="269">
        <v>16000</v>
      </c>
      <c r="BT26" s="269">
        <v>25000</v>
      </c>
      <c r="BU26" s="269">
        <v>30000</v>
      </c>
      <c r="BV26" s="269">
        <v>20000</v>
      </c>
      <c r="BW26" s="269">
        <v>20000</v>
      </c>
      <c r="BX26" s="269">
        <v>15000</v>
      </c>
      <c r="BY26" s="885">
        <f>SUM(BM26:BX26)</f>
        <v>213800</v>
      </c>
      <c r="BZ26" s="972">
        <f t="shared" si="48"/>
        <v>75000</v>
      </c>
      <c r="CA26" s="268">
        <f t="shared" si="48"/>
        <v>75000</v>
      </c>
      <c r="CB26" s="268">
        <f t="shared" si="48"/>
        <v>75000</v>
      </c>
      <c r="CC26" s="268">
        <f t="shared" si="48"/>
        <v>54000</v>
      </c>
      <c r="CD26" s="268">
        <f t="shared" si="48"/>
        <v>80000</v>
      </c>
      <c r="CE26" s="268">
        <f t="shared" si="48"/>
        <v>80000</v>
      </c>
      <c r="CF26" s="268">
        <f t="shared" si="48"/>
        <v>80000</v>
      </c>
      <c r="CG26" s="268">
        <f t="shared" si="48"/>
        <v>125000</v>
      </c>
      <c r="CH26" s="268">
        <f t="shared" si="48"/>
        <v>150000</v>
      </c>
      <c r="CI26" s="268">
        <f t="shared" si="48"/>
        <v>100000</v>
      </c>
      <c r="CJ26" s="268">
        <f t="shared" si="48"/>
        <v>100000</v>
      </c>
      <c r="CK26" s="268">
        <f t="shared" si="48"/>
        <v>75000</v>
      </c>
      <c r="CL26" s="892">
        <f>SUM(BZ26:CK26)</f>
        <v>1069000</v>
      </c>
      <c r="CM26" s="911">
        <v>15000</v>
      </c>
      <c r="CN26" s="269">
        <f>BN26*90%</f>
        <v>13500</v>
      </c>
      <c r="CO26" s="269">
        <v>20000</v>
      </c>
      <c r="CP26" s="269">
        <v>15000</v>
      </c>
      <c r="CQ26" s="269">
        <f>BQ26*90%</f>
        <v>14400</v>
      </c>
      <c r="CR26" s="269">
        <f>BR26*90%</f>
        <v>14400</v>
      </c>
      <c r="CS26" s="269">
        <f>BS26*90%</f>
        <v>14400</v>
      </c>
      <c r="CT26" s="269">
        <v>25000</v>
      </c>
      <c r="CU26" s="269">
        <v>30000</v>
      </c>
      <c r="CV26" s="269">
        <v>22000</v>
      </c>
      <c r="CW26" s="269">
        <v>20000</v>
      </c>
      <c r="CX26" s="269">
        <f>BX26*90%</f>
        <v>13500</v>
      </c>
      <c r="CY26" s="885">
        <f>SUM(CM26:CX26)</f>
        <v>217200</v>
      </c>
      <c r="CZ26" s="971">
        <f t="shared" si="49"/>
        <v>75000</v>
      </c>
      <c r="DA26" s="268">
        <f t="shared" si="49"/>
        <v>67500</v>
      </c>
      <c r="DB26" s="268">
        <f t="shared" si="49"/>
        <v>100000</v>
      </c>
      <c r="DC26" s="268">
        <f t="shared" si="49"/>
        <v>75000</v>
      </c>
      <c r="DD26" s="268">
        <f t="shared" si="49"/>
        <v>72000</v>
      </c>
      <c r="DE26" s="268">
        <f t="shared" si="49"/>
        <v>72000</v>
      </c>
      <c r="DF26" s="268">
        <f t="shared" si="49"/>
        <v>72000</v>
      </c>
      <c r="DG26" s="268">
        <f t="shared" si="49"/>
        <v>125000</v>
      </c>
      <c r="DH26" s="268">
        <f t="shared" si="49"/>
        <v>150000</v>
      </c>
      <c r="DI26" s="268">
        <f t="shared" si="49"/>
        <v>110000</v>
      </c>
      <c r="DJ26" s="268">
        <f t="shared" si="49"/>
        <v>100000</v>
      </c>
      <c r="DK26" s="268">
        <f t="shared" si="49"/>
        <v>67500</v>
      </c>
      <c r="DL26" s="887">
        <f>SUM(CZ26:DK26)</f>
        <v>1086000</v>
      </c>
      <c r="DM26" s="911">
        <v>3000</v>
      </c>
      <c r="DN26" s="269">
        <f>CN26*90%</f>
        <v>12150</v>
      </c>
      <c r="DO26" s="269">
        <f>CO26*90%</f>
        <v>18000</v>
      </c>
      <c r="DP26" s="269">
        <f>CP26*90%</f>
        <v>13500</v>
      </c>
      <c r="DQ26" s="269">
        <f>CQ26*90%</f>
        <v>12960</v>
      </c>
      <c r="DR26" s="269">
        <f>CR26*90%</f>
        <v>12960</v>
      </c>
      <c r="DS26" s="269">
        <f>CS26*90%</f>
        <v>12960</v>
      </c>
      <c r="DT26" s="269">
        <v>25000</v>
      </c>
      <c r="DU26" s="269">
        <v>30000</v>
      </c>
      <c r="DV26" s="269">
        <v>20000</v>
      </c>
      <c r="DW26" s="269">
        <v>20000</v>
      </c>
      <c r="DX26" s="269">
        <f>CX26*90%</f>
        <v>12150</v>
      </c>
      <c r="DY26" s="540">
        <f>SUM(DM26:DX26)</f>
        <v>192680</v>
      </c>
      <c r="DZ26" s="268">
        <v>71809</v>
      </c>
      <c r="EA26" s="268">
        <v>100856</v>
      </c>
      <c r="EB26" s="268">
        <f t="shared" si="51"/>
        <v>90000</v>
      </c>
      <c r="EC26" s="268">
        <f t="shared" si="51"/>
        <v>67500</v>
      </c>
      <c r="ED26" s="268">
        <f t="shared" si="51"/>
        <v>64800</v>
      </c>
      <c r="EE26" s="268">
        <f t="shared" si="51"/>
        <v>64800</v>
      </c>
      <c r="EF26" s="268">
        <f t="shared" si="51"/>
        <v>64800</v>
      </c>
      <c r="EG26" s="268">
        <f t="shared" si="51"/>
        <v>125000</v>
      </c>
      <c r="EH26" s="268">
        <f t="shared" si="51"/>
        <v>150000</v>
      </c>
      <c r="EI26" s="268">
        <f t="shared" si="51"/>
        <v>100000</v>
      </c>
      <c r="EJ26" s="268">
        <f t="shared" si="51"/>
        <v>100000</v>
      </c>
      <c r="EK26" s="268">
        <f t="shared" si="51"/>
        <v>60750</v>
      </c>
      <c r="EL26" s="887">
        <f>SUM(DZ26:EK26)</f>
        <v>1060315</v>
      </c>
    </row>
    <row r="27" spans="1:142">
      <c r="A27" s="973" t="s">
        <v>661</v>
      </c>
      <c r="B27" s="913" t="s">
        <v>665</v>
      </c>
      <c r="C27" s="917" t="s">
        <v>666</v>
      </c>
      <c r="D27" s="549">
        <v>9.3800000000000008</v>
      </c>
      <c r="E27" s="551">
        <v>9.3800000000000008</v>
      </c>
      <c r="F27" s="551">
        <v>9.3800000000000008</v>
      </c>
      <c r="G27" s="571">
        <v>9.3800000000000008</v>
      </c>
      <c r="H27" s="549">
        <v>9.3800000000000008</v>
      </c>
      <c r="I27" s="551">
        <v>9.3800000000000008</v>
      </c>
      <c r="J27" s="551">
        <v>9.3800000000000008</v>
      </c>
      <c r="K27" s="948">
        <v>9.3800000000000008</v>
      </c>
      <c r="L27" s="884"/>
      <c r="M27" s="908">
        <v>3980</v>
      </c>
      <c r="N27" s="269">
        <v>6109</v>
      </c>
      <c r="O27" s="269">
        <v>10411</v>
      </c>
      <c r="P27" s="269">
        <v>2302</v>
      </c>
      <c r="Q27" s="269">
        <v>5570</v>
      </c>
      <c r="R27" s="269">
        <v>1728</v>
      </c>
      <c r="S27" s="269">
        <f>850+500</f>
        <v>1350</v>
      </c>
      <c r="T27" s="269">
        <v>2000</v>
      </c>
      <c r="U27" s="269">
        <v>5000</v>
      </c>
      <c r="V27" s="269">
        <v>7000</v>
      </c>
      <c r="W27" s="269">
        <v>9000</v>
      </c>
      <c r="X27" s="269">
        <v>2000</v>
      </c>
      <c r="Y27" s="885">
        <f>SUM(M27:X27)</f>
        <v>56450</v>
      </c>
      <c r="Z27" s="971">
        <v>37326</v>
      </c>
      <c r="AA27" s="268">
        <v>22258</v>
      </c>
      <c r="AB27" s="268">
        <v>83632.506999999998</v>
      </c>
      <c r="AC27" s="268">
        <v>14608.99</v>
      </c>
      <c r="AD27" s="268">
        <v>57085.126000000004</v>
      </c>
      <c r="AE27" s="268">
        <v>15921</v>
      </c>
      <c r="AF27" s="268">
        <v>17686.2</v>
      </c>
      <c r="AG27" s="268">
        <f t="shared" si="45"/>
        <v>10000</v>
      </c>
      <c r="AH27" s="268">
        <f t="shared" si="45"/>
        <v>25000</v>
      </c>
      <c r="AI27" s="268">
        <f t="shared" si="45"/>
        <v>35000</v>
      </c>
      <c r="AJ27" s="268">
        <f t="shared" si="45"/>
        <v>45000</v>
      </c>
      <c r="AK27" s="268">
        <f t="shared" si="45"/>
        <v>10000</v>
      </c>
      <c r="AL27" s="887">
        <f>SUM(Z27:AK27)</f>
        <v>373517.82299999997</v>
      </c>
      <c r="AM27" s="911">
        <v>10000</v>
      </c>
      <c r="AN27" s="269">
        <v>5500</v>
      </c>
      <c r="AO27" s="269">
        <v>5600</v>
      </c>
      <c r="AP27" s="269">
        <v>4500</v>
      </c>
      <c r="AQ27" s="269">
        <v>1500</v>
      </c>
      <c r="AR27" s="269">
        <v>1500</v>
      </c>
      <c r="AS27" s="269">
        <v>2000</v>
      </c>
      <c r="AT27" s="269">
        <v>2500</v>
      </c>
      <c r="AU27" s="269">
        <f>U27*90%</f>
        <v>4500</v>
      </c>
      <c r="AV27" s="269">
        <v>6000</v>
      </c>
      <c r="AW27" s="269">
        <f>W27*90%</f>
        <v>8100</v>
      </c>
      <c r="AX27" s="269">
        <v>4000</v>
      </c>
      <c r="AY27" s="885">
        <f>SUM(AM27:AX27)</f>
        <v>55700</v>
      </c>
      <c r="AZ27" s="886">
        <f t="shared" si="46"/>
        <v>93800.000000000015</v>
      </c>
      <c r="BA27" s="257">
        <f t="shared" si="46"/>
        <v>51590.000000000007</v>
      </c>
      <c r="BB27" s="257">
        <f t="shared" si="46"/>
        <v>52528.000000000007</v>
      </c>
      <c r="BC27" s="257">
        <f t="shared" si="46"/>
        <v>42210</v>
      </c>
      <c r="BD27" s="257">
        <f t="shared" si="46"/>
        <v>14070.000000000002</v>
      </c>
      <c r="BE27" s="257">
        <f t="shared" si="46"/>
        <v>14070.000000000002</v>
      </c>
      <c r="BF27" s="257">
        <f t="shared" si="46"/>
        <v>18760</v>
      </c>
      <c r="BG27" s="257">
        <f t="shared" si="46"/>
        <v>23450.000000000004</v>
      </c>
      <c r="BH27" s="257">
        <f t="shared" si="46"/>
        <v>42210</v>
      </c>
      <c r="BI27" s="257">
        <f t="shared" si="46"/>
        <v>56280.000000000007</v>
      </c>
      <c r="BJ27" s="257">
        <f t="shared" si="46"/>
        <v>75978</v>
      </c>
      <c r="BK27" s="257">
        <f t="shared" si="46"/>
        <v>37520</v>
      </c>
      <c r="BL27" s="887">
        <f>SUM(AZ27:BK27)</f>
        <v>522466.00000000006</v>
      </c>
      <c r="BM27" s="911">
        <v>3500</v>
      </c>
      <c r="BN27" s="269">
        <v>5500</v>
      </c>
      <c r="BO27" s="269">
        <v>5600</v>
      </c>
      <c r="BP27" s="269">
        <v>4500</v>
      </c>
      <c r="BQ27" s="269">
        <v>1500</v>
      </c>
      <c r="BR27" s="269">
        <v>1500</v>
      </c>
      <c r="BS27" s="269">
        <v>2000</v>
      </c>
      <c r="BT27" s="269">
        <v>2500</v>
      </c>
      <c r="BU27" s="269">
        <f>AU27*90%</f>
        <v>4050</v>
      </c>
      <c r="BV27" s="269">
        <v>6000</v>
      </c>
      <c r="BW27" s="269">
        <f>AW27*90%</f>
        <v>7290</v>
      </c>
      <c r="BX27" s="269">
        <v>4000</v>
      </c>
      <c r="BY27" s="885">
        <f>SUM(BM27:BX27)</f>
        <v>47940</v>
      </c>
      <c r="BZ27" s="972">
        <f t="shared" si="48"/>
        <v>17500</v>
      </c>
      <c r="CA27" s="268">
        <f t="shared" si="48"/>
        <v>27500</v>
      </c>
      <c r="CB27" s="268">
        <f t="shared" si="48"/>
        <v>28000</v>
      </c>
      <c r="CC27" s="268">
        <f t="shared" si="48"/>
        <v>22500</v>
      </c>
      <c r="CD27" s="268">
        <f t="shared" si="48"/>
        <v>7500</v>
      </c>
      <c r="CE27" s="268">
        <f t="shared" si="48"/>
        <v>7500</v>
      </c>
      <c r="CF27" s="268">
        <f t="shared" si="48"/>
        <v>10000</v>
      </c>
      <c r="CG27" s="268">
        <f t="shared" si="48"/>
        <v>12500</v>
      </c>
      <c r="CH27" s="268">
        <f t="shared" si="48"/>
        <v>20250</v>
      </c>
      <c r="CI27" s="268">
        <f t="shared" si="48"/>
        <v>30000</v>
      </c>
      <c r="CJ27" s="268">
        <f t="shared" si="48"/>
        <v>36450</v>
      </c>
      <c r="CK27" s="268">
        <f t="shared" si="48"/>
        <v>20000</v>
      </c>
      <c r="CL27" s="892">
        <f>SUM(BZ27:CK27)</f>
        <v>239700</v>
      </c>
      <c r="CM27" s="911">
        <v>5000</v>
      </c>
      <c r="CN27" s="269">
        <v>5500</v>
      </c>
      <c r="CO27" s="269">
        <v>5600</v>
      </c>
      <c r="CP27" s="269">
        <v>4500</v>
      </c>
      <c r="CQ27" s="269">
        <v>1500</v>
      </c>
      <c r="CR27" s="269">
        <v>1500</v>
      </c>
      <c r="CS27" s="269">
        <v>2000</v>
      </c>
      <c r="CT27" s="269">
        <v>2500</v>
      </c>
      <c r="CU27" s="269">
        <f>BU27*90%</f>
        <v>3645</v>
      </c>
      <c r="CV27" s="269">
        <v>6000</v>
      </c>
      <c r="CW27" s="269">
        <f>BW27*90%</f>
        <v>6561</v>
      </c>
      <c r="CX27" s="269">
        <v>4000</v>
      </c>
      <c r="CY27" s="885">
        <f>SUM(CM27:CX27)</f>
        <v>48306</v>
      </c>
      <c r="CZ27" s="971">
        <f t="shared" si="49"/>
        <v>25000</v>
      </c>
      <c r="DA27" s="268">
        <f t="shared" si="49"/>
        <v>27500</v>
      </c>
      <c r="DB27" s="268">
        <f t="shared" si="49"/>
        <v>28000</v>
      </c>
      <c r="DC27" s="268">
        <f t="shared" si="49"/>
        <v>22500</v>
      </c>
      <c r="DD27" s="268">
        <f t="shared" si="49"/>
        <v>7500</v>
      </c>
      <c r="DE27" s="268">
        <f t="shared" si="49"/>
        <v>7500</v>
      </c>
      <c r="DF27" s="268">
        <f t="shared" si="49"/>
        <v>10000</v>
      </c>
      <c r="DG27" s="268">
        <f t="shared" si="49"/>
        <v>12500</v>
      </c>
      <c r="DH27" s="268">
        <f t="shared" si="49"/>
        <v>18225</v>
      </c>
      <c r="DI27" s="268">
        <f t="shared" si="49"/>
        <v>30000</v>
      </c>
      <c r="DJ27" s="268">
        <f t="shared" si="49"/>
        <v>32805</v>
      </c>
      <c r="DK27" s="268">
        <f t="shared" si="49"/>
        <v>20000</v>
      </c>
      <c r="DL27" s="887">
        <f>SUM(CZ27:DK27)</f>
        <v>241530</v>
      </c>
      <c r="DM27" s="911">
        <v>3500</v>
      </c>
      <c r="DN27" s="269">
        <v>5500</v>
      </c>
      <c r="DO27" s="269">
        <v>5600</v>
      </c>
      <c r="DP27" s="269">
        <v>4500</v>
      </c>
      <c r="DQ27" s="269">
        <v>1500</v>
      </c>
      <c r="DR27" s="269">
        <v>1500</v>
      </c>
      <c r="DS27" s="269">
        <v>2000</v>
      </c>
      <c r="DT27" s="269">
        <v>2500</v>
      </c>
      <c r="DU27" s="269">
        <f>CU27*90%</f>
        <v>3280.5</v>
      </c>
      <c r="DV27" s="269">
        <v>6000</v>
      </c>
      <c r="DW27" s="269">
        <f>CW27*90%</f>
        <v>5904.9000000000005</v>
      </c>
      <c r="DX27" s="269">
        <v>4000</v>
      </c>
      <c r="DY27" s="540">
        <f>SUM(DM27:DX27)</f>
        <v>45785.4</v>
      </c>
      <c r="DZ27" s="268">
        <v>71809</v>
      </c>
      <c r="EA27" s="268">
        <v>100856</v>
      </c>
      <c r="EB27" s="268">
        <f t="shared" si="51"/>
        <v>28000</v>
      </c>
      <c r="EC27" s="268">
        <f t="shared" si="51"/>
        <v>22500</v>
      </c>
      <c r="ED27" s="268">
        <f t="shared" si="51"/>
        <v>7500</v>
      </c>
      <c r="EE27" s="268">
        <f t="shared" si="51"/>
        <v>7500</v>
      </c>
      <c r="EF27" s="268">
        <f t="shared" si="51"/>
        <v>10000</v>
      </c>
      <c r="EG27" s="268">
        <f t="shared" si="51"/>
        <v>12500</v>
      </c>
      <c r="EH27" s="268">
        <f t="shared" si="51"/>
        <v>16402.5</v>
      </c>
      <c r="EI27" s="268">
        <f t="shared" si="51"/>
        <v>30000</v>
      </c>
      <c r="EJ27" s="268">
        <f t="shared" si="51"/>
        <v>29524.500000000004</v>
      </c>
      <c r="EK27" s="268">
        <f t="shared" si="51"/>
        <v>20000</v>
      </c>
      <c r="EL27" s="887">
        <f>SUM(DZ27:EK27)</f>
        <v>356592</v>
      </c>
    </row>
    <row r="28" spans="1:142" ht="18" thickBot="1">
      <c r="A28" s="974" t="s">
        <v>661</v>
      </c>
      <c r="B28" s="975" t="s">
        <v>50</v>
      </c>
      <c r="C28" s="976" t="s">
        <v>51</v>
      </c>
      <c r="D28" s="555">
        <v>10000</v>
      </c>
      <c r="E28" s="556">
        <v>10000</v>
      </c>
      <c r="F28" s="556">
        <v>10000</v>
      </c>
      <c r="G28" s="557">
        <v>10000</v>
      </c>
      <c r="H28" s="555">
        <v>10000</v>
      </c>
      <c r="I28" s="556">
        <v>10000</v>
      </c>
      <c r="J28" s="556">
        <v>10000</v>
      </c>
      <c r="K28" s="977">
        <v>10000</v>
      </c>
      <c r="L28" s="978"/>
      <c r="M28" s="979"/>
      <c r="N28" s="270"/>
      <c r="O28" s="270"/>
      <c r="P28" s="270">
        <v>18</v>
      </c>
      <c r="Q28" s="270">
        <v>4</v>
      </c>
      <c r="R28" s="270">
        <v>5</v>
      </c>
      <c r="S28" s="270"/>
      <c r="T28" s="270">
        <v>7</v>
      </c>
      <c r="U28" s="270"/>
      <c r="V28" s="270">
        <v>5</v>
      </c>
      <c r="W28" s="270"/>
      <c r="X28" s="270">
        <v>5</v>
      </c>
      <c r="Y28" s="885">
        <f>SUM(M28:X28)</f>
        <v>44</v>
      </c>
      <c r="Z28" s="971">
        <v>0</v>
      </c>
      <c r="AA28" s="268"/>
      <c r="AB28" s="268">
        <f>O28*$D$25</f>
        <v>0</v>
      </c>
      <c r="AC28" s="268">
        <v>14233.85</v>
      </c>
      <c r="AD28" s="268">
        <f>8841.91-1403.36</f>
        <v>7438.55</v>
      </c>
      <c r="AE28" s="268">
        <v>10497.5</v>
      </c>
      <c r="AF28" s="268"/>
      <c r="AG28" s="268">
        <v>39000</v>
      </c>
      <c r="AH28" s="268">
        <f>U28*$D$28</f>
        <v>0</v>
      </c>
      <c r="AI28" s="268">
        <f>V28*$D$28</f>
        <v>50000</v>
      </c>
      <c r="AJ28" s="268">
        <f>W28*$D$28</f>
        <v>0</v>
      </c>
      <c r="AK28" s="268">
        <f>X28*$D$28</f>
        <v>50000</v>
      </c>
      <c r="AL28" s="887">
        <f>SUM(Z28:AK28)</f>
        <v>171169.9</v>
      </c>
      <c r="AM28" s="980">
        <f>M28*90%</f>
        <v>0</v>
      </c>
      <c r="AN28" s="270">
        <f>N28*90%</f>
        <v>0</v>
      </c>
      <c r="AO28" s="270">
        <f>O28*90%</f>
        <v>0</v>
      </c>
      <c r="AP28" s="270">
        <f>P28*90%</f>
        <v>16.2</v>
      </c>
      <c r="AQ28" s="270">
        <v>4</v>
      </c>
      <c r="AR28" s="270">
        <f>R28*90%</f>
        <v>4.5</v>
      </c>
      <c r="AS28" s="270">
        <v>4</v>
      </c>
      <c r="AT28" s="270">
        <f>T28*90%</f>
        <v>6.3</v>
      </c>
      <c r="AU28" s="270">
        <f>U28*90%</f>
        <v>0</v>
      </c>
      <c r="AV28" s="270">
        <v>4</v>
      </c>
      <c r="AW28" s="270">
        <f>W28*90%</f>
        <v>0</v>
      </c>
      <c r="AX28" s="270">
        <v>4</v>
      </c>
      <c r="AY28" s="885">
        <f>SUM(AM28:AX28)</f>
        <v>43</v>
      </c>
      <c r="AZ28" s="886">
        <f t="shared" si="46"/>
        <v>0</v>
      </c>
      <c r="BA28" s="257">
        <f t="shared" si="46"/>
        <v>0</v>
      </c>
      <c r="BB28" s="257">
        <f t="shared" si="46"/>
        <v>0</v>
      </c>
      <c r="BC28" s="257">
        <f t="shared" si="46"/>
        <v>162000</v>
      </c>
      <c r="BD28" s="257">
        <f t="shared" si="46"/>
        <v>40000</v>
      </c>
      <c r="BE28" s="257">
        <f t="shared" si="46"/>
        <v>45000</v>
      </c>
      <c r="BF28" s="257">
        <f t="shared" si="46"/>
        <v>40000</v>
      </c>
      <c r="BG28" s="257">
        <f t="shared" si="46"/>
        <v>63000</v>
      </c>
      <c r="BH28" s="257">
        <f t="shared" si="46"/>
        <v>0</v>
      </c>
      <c r="BI28" s="257">
        <f t="shared" si="46"/>
        <v>40000</v>
      </c>
      <c r="BJ28" s="257">
        <f t="shared" si="46"/>
        <v>0</v>
      </c>
      <c r="BK28" s="257">
        <f t="shared" si="46"/>
        <v>40000</v>
      </c>
      <c r="BL28" s="887">
        <f t="shared" si="47"/>
        <v>430000</v>
      </c>
      <c r="BM28" s="980">
        <f>AM28*90%</f>
        <v>0</v>
      </c>
      <c r="BN28" s="270">
        <f>AN28*90%</f>
        <v>0</v>
      </c>
      <c r="BO28" s="270">
        <f>AO28*90%</f>
        <v>0</v>
      </c>
      <c r="BP28" s="270">
        <f>AP28*90%</f>
        <v>14.58</v>
      </c>
      <c r="BQ28" s="270">
        <v>4</v>
      </c>
      <c r="BR28" s="270">
        <f>AR28*90%</f>
        <v>4.05</v>
      </c>
      <c r="BS28" s="270">
        <v>4</v>
      </c>
      <c r="BT28" s="270">
        <f>AT28*90%</f>
        <v>5.67</v>
      </c>
      <c r="BU28" s="270">
        <f>AU28*90%</f>
        <v>0</v>
      </c>
      <c r="BV28" s="270">
        <v>4</v>
      </c>
      <c r="BW28" s="270">
        <f>AW28*90%</f>
        <v>0</v>
      </c>
      <c r="BX28" s="270">
        <v>4</v>
      </c>
      <c r="BY28" s="885">
        <f>SUM(BM28:BX28)</f>
        <v>40.299999999999997</v>
      </c>
      <c r="BZ28" s="972">
        <v>0</v>
      </c>
      <c r="CA28" s="268"/>
      <c r="CB28" s="268">
        <f>BO28*$D$25</f>
        <v>0</v>
      </c>
      <c r="CC28" s="268">
        <f>BP28*$D$25</f>
        <v>72.900000000000006</v>
      </c>
      <c r="CD28" s="268">
        <f t="shared" ref="CD28:CK28" si="53">BQ28*$D$28</f>
        <v>40000</v>
      </c>
      <c r="CE28" s="268">
        <f t="shared" si="53"/>
        <v>40500</v>
      </c>
      <c r="CF28" s="268">
        <f t="shared" si="53"/>
        <v>40000</v>
      </c>
      <c r="CG28" s="268">
        <f t="shared" si="53"/>
        <v>56700</v>
      </c>
      <c r="CH28" s="268">
        <f t="shared" si="53"/>
        <v>0</v>
      </c>
      <c r="CI28" s="268">
        <f t="shared" si="53"/>
        <v>40000</v>
      </c>
      <c r="CJ28" s="268">
        <f t="shared" si="53"/>
        <v>0</v>
      </c>
      <c r="CK28" s="268">
        <f t="shared" si="53"/>
        <v>40000</v>
      </c>
      <c r="CL28" s="892">
        <f>SUM(BZ28:CK28)</f>
        <v>257272.9</v>
      </c>
      <c r="CM28" s="980">
        <f>BM28*90%</f>
        <v>0</v>
      </c>
      <c r="CN28" s="270">
        <f>BN28*90%</f>
        <v>0</v>
      </c>
      <c r="CO28" s="270">
        <f>BO28*90%</f>
        <v>0</v>
      </c>
      <c r="CP28" s="270">
        <f>BP28*90%</f>
        <v>13.122</v>
      </c>
      <c r="CQ28" s="270">
        <v>4</v>
      </c>
      <c r="CR28" s="270">
        <f>BR28*90%</f>
        <v>3.645</v>
      </c>
      <c r="CS28" s="270">
        <v>4</v>
      </c>
      <c r="CT28" s="270">
        <f>BT28*90%</f>
        <v>5.1029999999999998</v>
      </c>
      <c r="CU28" s="270">
        <f>BU28*90%</f>
        <v>0</v>
      </c>
      <c r="CV28" s="270">
        <v>4</v>
      </c>
      <c r="CW28" s="270">
        <f>BW28*90%</f>
        <v>0</v>
      </c>
      <c r="CX28" s="270">
        <v>4</v>
      </c>
      <c r="CY28" s="885">
        <f>SUM(CM28:CX28)</f>
        <v>37.869999999999997</v>
      </c>
      <c r="CZ28" s="971">
        <v>0</v>
      </c>
      <c r="DA28" s="268"/>
      <c r="DB28" s="268">
        <f>CO28*$D$25</f>
        <v>0</v>
      </c>
      <c r="DC28" s="268">
        <f>CP28*$D$25</f>
        <v>65.61</v>
      </c>
      <c r="DD28" s="268">
        <f t="shared" ref="DD28:DK28" si="54">CQ28*$D$28</f>
        <v>40000</v>
      </c>
      <c r="DE28" s="268">
        <f t="shared" si="54"/>
        <v>36450</v>
      </c>
      <c r="DF28" s="268">
        <f t="shared" si="54"/>
        <v>40000</v>
      </c>
      <c r="DG28" s="268">
        <f t="shared" si="54"/>
        <v>51030</v>
      </c>
      <c r="DH28" s="268">
        <f t="shared" si="54"/>
        <v>0</v>
      </c>
      <c r="DI28" s="268">
        <f t="shared" si="54"/>
        <v>40000</v>
      </c>
      <c r="DJ28" s="268">
        <f t="shared" si="54"/>
        <v>0</v>
      </c>
      <c r="DK28" s="268">
        <f t="shared" si="54"/>
        <v>40000</v>
      </c>
      <c r="DL28" s="887">
        <f t="shared" si="50"/>
        <v>247545.61</v>
      </c>
      <c r="DM28" s="980">
        <f>CM28*90%</f>
        <v>0</v>
      </c>
      <c r="DN28" s="270">
        <f>CN28*90%</f>
        <v>0</v>
      </c>
      <c r="DO28" s="270">
        <f>CO28*90%</f>
        <v>0</v>
      </c>
      <c r="DP28" s="270">
        <f>CP28*90%</f>
        <v>11.809800000000001</v>
      </c>
      <c r="DQ28" s="270">
        <v>4</v>
      </c>
      <c r="DR28" s="270">
        <f>CR28*90%</f>
        <v>3.2805</v>
      </c>
      <c r="DS28" s="270">
        <v>4</v>
      </c>
      <c r="DT28" s="270">
        <f>CT28*90%</f>
        <v>4.5926999999999998</v>
      </c>
      <c r="DU28" s="270">
        <f>CU28*90%</f>
        <v>0</v>
      </c>
      <c r="DV28" s="270">
        <v>4</v>
      </c>
      <c r="DW28" s="270">
        <f>CW28*90%</f>
        <v>0</v>
      </c>
      <c r="DX28" s="270">
        <v>4</v>
      </c>
      <c r="DY28" s="540">
        <f>SUM(DM28:DX28)</f>
        <v>35.683</v>
      </c>
      <c r="DZ28" s="268">
        <v>0</v>
      </c>
      <c r="EA28" s="268"/>
      <c r="EB28" s="268">
        <f>DO28*$D$25</f>
        <v>0</v>
      </c>
      <c r="EC28" s="268">
        <f>DP28*$D$25</f>
        <v>59.049000000000007</v>
      </c>
      <c r="ED28" s="268">
        <f t="shared" ref="ED28:EK28" si="55">DQ28*$D$28</f>
        <v>40000</v>
      </c>
      <c r="EE28" s="268">
        <f t="shared" si="55"/>
        <v>32805</v>
      </c>
      <c r="EF28" s="268">
        <f t="shared" si="55"/>
        <v>40000</v>
      </c>
      <c r="EG28" s="268">
        <f t="shared" si="55"/>
        <v>45927</v>
      </c>
      <c r="EH28" s="268">
        <f t="shared" si="55"/>
        <v>0</v>
      </c>
      <c r="EI28" s="268">
        <f t="shared" si="55"/>
        <v>40000</v>
      </c>
      <c r="EJ28" s="268">
        <f t="shared" si="55"/>
        <v>0</v>
      </c>
      <c r="EK28" s="268">
        <f t="shared" si="55"/>
        <v>40000</v>
      </c>
      <c r="EL28" s="887">
        <f t="shared" si="52"/>
        <v>238791.049</v>
      </c>
    </row>
    <row r="29" spans="1:142" ht="18.75" thickTop="1" thickBot="1">
      <c r="A29" s="5218" t="s">
        <v>52</v>
      </c>
      <c r="B29" s="5219"/>
      <c r="C29" s="5220"/>
      <c r="D29" s="898"/>
      <c r="E29" s="898"/>
      <c r="F29" s="898"/>
      <c r="G29" s="898"/>
      <c r="H29" s="898"/>
      <c r="I29" s="898"/>
      <c r="J29" s="898"/>
      <c r="K29" s="899"/>
      <c r="L29" s="900"/>
      <c r="M29" s="901">
        <f t="shared" ref="M29:BX29" si="56">SUM(M25:M28)</f>
        <v>26010</v>
      </c>
      <c r="N29" s="901">
        <f t="shared" si="56"/>
        <v>38263</v>
      </c>
      <c r="O29" s="901">
        <f t="shared" si="56"/>
        <v>52393</v>
      </c>
      <c r="P29" s="901">
        <f t="shared" si="56"/>
        <v>11839</v>
      </c>
      <c r="Q29" s="901">
        <f t="shared" si="56"/>
        <v>49150</v>
      </c>
      <c r="R29" s="901">
        <f t="shared" si="56"/>
        <v>10942</v>
      </c>
      <c r="S29" s="901">
        <f t="shared" si="56"/>
        <v>17024</v>
      </c>
      <c r="T29" s="901">
        <f t="shared" si="56"/>
        <v>44007</v>
      </c>
      <c r="U29" s="901">
        <f t="shared" si="56"/>
        <v>55000</v>
      </c>
      <c r="V29" s="901">
        <f t="shared" si="56"/>
        <v>49005</v>
      </c>
      <c r="W29" s="901">
        <f t="shared" si="56"/>
        <v>65500</v>
      </c>
      <c r="X29" s="901">
        <f t="shared" si="56"/>
        <v>42005</v>
      </c>
      <c r="Y29" s="545">
        <f t="shared" si="56"/>
        <v>461138</v>
      </c>
      <c r="Z29" s="550">
        <f t="shared" si="56"/>
        <v>71809.08</v>
      </c>
      <c r="AA29" s="550">
        <f t="shared" si="56"/>
        <v>100856.008</v>
      </c>
      <c r="AB29" s="550">
        <f>SUM(AB25:AB28)</f>
        <v>188089.103</v>
      </c>
      <c r="AC29" s="550">
        <f>SUM(AC25:AC28)</f>
        <v>102468.63000000002</v>
      </c>
      <c r="AD29" s="550">
        <f>SUM(AD25:AD28)</f>
        <v>241475.12399999995</v>
      </c>
      <c r="AE29" s="550">
        <f>SUM(AE25:AE28)</f>
        <v>98381.67</v>
      </c>
      <c r="AF29" s="550">
        <f t="shared" si="56"/>
        <v>89156.26999999999</v>
      </c>
      <c r="AG29" s="550">
        <f t="shared" si="56"/>
        <v>220000</v>
      </c>
      <c r="AH29" s="550">
        <f t="shared" si="56"/>
        <v>275000</v>
      </c>
      <c r="AI29" s="550">
        <f t="shared" si="56"/>
        <v>295000</v>
      </c>
      <c r="AJ29" s="550">
        <f t="shared" si="56"/>
        <v>327500</v>
      </c>
      <c r="AK29" s="550">
        <f t="shared" si="56"/>
        <v>260000</v>
      </c>
      <c r="AL29" s="547">
        <f t="shared" si="56"/>
        <v>2269735.8849999998</v>
      </c>
      <c r="AM29" s="544">
        <f t="shared" si="56"/>
        <v>41000</v>
      </c>
      <c r="AN29" s="544">
        <f t="shared" si="56"/>
        <v>34438.6</v>
      </c>
      <c r="AO29" s="544">
        <f t="shared" si="56"/>
        <v>40600</v>
      </c>
      <c r="AP29" s="544">
        <f t="shared" si="56"/>
        <v>28516.2</v>
      </c>
      <c r="AQ29" s="544">
        <f t="shared" si="56"/>
        <v>40722.400000000001</v>
      </c>
      <c r="AR29" s="544">
        <f t="shared" si="56"/>
        <v>9792.6</v>
      </c>
      <c r="AS29" s="544">
        <f t="shared" si="56"/>
        <v>16110.6</v>
      </c>
      <c r="AT29" s="544">
        <f t="shared" si="56"/>
        <v>42806.3</v>
      </c>
      <c r="AU29" s="544">
        <f t="shared" si="56"/>
        <v>48500</v>
      </c>
      <c r="AV29" s="544">
        <f t="shared" si="56"/>
        <v>36004</v>
      </c>
      <c r="AW29" s="544">
        <f t="shared" si="56"/>
        <v>40100</v>
      </c>
      <c r="AX29" s="544">
        <f t="shared" si="56"/>
        <v>40004</v>
      </c>
      <c r="AY29" s="545">
        <f t="shared" si="56"/>
        <v>418594.69999999995</v>
      </c>
      <c r="AZ29" s="550">
        <f t="shared" si="56"/>
        <v>248800</v>
      </c>
      <c r="BA29" s="550">
        <f t="shared" si="56"/>
        <v>196283</v>
      </c>
      <c r="BB29" s="550">
        <f t="shared" si="56"/>
        <v>227528</v>
      </c>
      <c r="BC29" s="550">
        <f t="shared" si="56"/>
        <v>324210</v>
      </c>
      <c r="BD29" s="550">
        <f t="shared" si="56"/>
        <v>250162</v>
      </c>
      <c r="BE29" s="550">
        <f t="shared" si="56"/>
        <v>100510.5</v>
      </c>
      <c r="BF29" s="550">
        <f t="shared" si="56"/>
        <v>129293</v>
      </c>
      <c r="BG29" s="550">
        <f t="shared" si="56"/>
        <v>287950</v>
      </c>
      <c r="BH29" s="550">
        <f t="shared" si="56"/>
        <v>262210</v>
      </c>
      <c r="BI29" s="550">
        <f t="shared" si="56"/>
        <v>246280</v>
      </c>
      <c r="BJ29" s="550">
        <f t="shared" si="56"/>
        <v>235978</v>
      </c>
      <c r="BK29" s="550">
        <f t="shared" si="56"/>
        <v>257520</v>
      </c>
      <c r="BL29" s="547">
        <f t="shared" si="56"/>
        <v>2766724.5</v>
      </c>
      <c r="BM29" s="544">
        <f t="shared" si="56"/>
        <v>43500</v>
      </c>
      <c r="BN29" s="544">
        <f t="shared" si="56"/>
        <v>35500</v>
      </c>
      <c r="BO29" s="544">
        <f t="shared" si="56"/>
        <v>38600</v>
      </c>
      <c r="BP29" s="544">
        <f t="shared" si="56"/>
        <v>27314.58</v>
      </c>
      <c r="BQ29" s="544">
        <f t="shared" si="56"/>
        <v>26504</v>
      </c>
      <c r="BR29" s="544">
        <f t="shared" si="56"/>
        <v>26504.05</v>
      </c>
      <c r="BS29" s="544">
        <f t="shared" si="56"/>
        <v>28004</v>
      </c>
      <c r="BT29" s="544">
        <f t="shared" si="56"/>
        <v>41505.67</v>
      </c>
      <c r="BU29" s="544">
        <f t="shared" si="56"/>
        <v>48050</v>
      </c>
      <c r="BV29" s="544">
        <f t="shared" si="56"/>
        <v>36004</v>
      </c>
      <c r="BW29" s="544">
        <f t="shared" si="56"/>
        <v>47290</v>
      </c>
      <c r="BX29" s="544">
        <f t="shared" si="56"/>
        <v>29004</v>
      </c>
      <c r="BY29" s="545">
        <f t="shared" ref="BY29:EJ29" si="57">SUM(BY25:BY28)</f>
        <v>427780.3</v>
      </c>
      <c r="BZ29" s="946">
        <f t="shared" si="57"/>
        <v>217500</v>
      </c>
      <c r="CA29" s="550">
        <f t="shared" si="57"/>
        <v>177500</v>
      </c>
      <c r="CB29" s="550">
        <f t="shared" si="57"/>
        <v>193000</v>
      </c>
      <c r="CC29" s="550">
        <f t="shared" si="57"/>
        <v>136572.9</v>
      </c>
      <c r="CD29" s="550">
        <f t="shared" si="57"/>
        <v>172500</v>
      </c>
      <c r="CE29" s="550">
        <f t="shared" si="57"/>
        <v>173000</v>
      </c>
      <c r="CF29" s="550">
        <f t="shared" si="57"/>
        <v>180000</v>
      </c>
      <c r="CG29" s="550">
        <f t="shared" si="57"/>
        <v>264200</v>
      </c>
      <c r="CH29" s="550">
        <f t="shared" si="57"/>
        <v>240250</v>
      </c>
      <c r="CI29" s="550">
        <f t="shared" si="57"/>
        <v>220000</v>
      </c>
      <c r="CJ29" s="550">
        <f t="shared" si="57"/>
        <v>236450</v>
      </c>
      <c r="CK29" s="550">
        <f t="shared" si="57"/>
        <v>185000</v>
      </c>
      <c r="CL29" s="903">
        <f t="shared" si="57"/>
        <v>2395972.9</v>
      </c>
      <c r="CM29" s="544">
        <f t="shared" si="57"/>
        <v>38000</v>
      </c>
      <c r="CN29" s="544">
        <f t="shared" si="57"/>
        <v>32500</v>
      </c>
      <c r="CO29" s="544">
        <f t="shared" si="57"/>
        <v>41800</v>
      </c>
      <c r="CP29" s="544">
        <f t="shared" si="57"/>
        <v>31513.121999999999</v>
      </c>
      <c r="CQ29" s="544">
        <f t="shared" si="57"/>
        <v>24004</v>
      </c>
      <c r="CR29" s="544">
        <f t="shared" si="57"/>
        <v>27903.645</v>
      </c>
      <c r="CS29" s="544">
        <f t="shared" si="57"/>
        <v>28404</v>
      </c>
      <c r="CT29" s="544">
        <f t="shared" si="57"/>
        <v>42505.103000000003</v>
      </c>
      <c r="CU29" s="544">
        <f t="shared" si="57"/>
        <v>47645</v>
      </c>
      <c r="CV29" s="544">
        <f t="shared" si="57"/>
        <v>43004</v>
      </c>
      <c r="CW29" s="544">
        <f t="shared" si="57"/>
        <v>38561</v>
      </c>
      <c r="CX29" s="544">
        <f t="shared" si="57"/>
        <v>26504</v>
      </c>
      <c r="CY29" s="545">
        <f t="shared" si="57"/>
        <v>422343.87</v>
      </c>
      <c r="CZ29" s="550">
        <f t="shared" si="57"/>
        <v>190000</v>
      </c>
      <c r="DA29" s="550">
        <f t="shared" si="57"/>
        <v>162500</v>
      </c>
      <c r="DB29" s="550">
        <f t="shared" si="57"/>
        <v>209000</v>
      </c>
      <c r="DC29" s="550">
        <f t="shared" si="57"/>
        <v>157565.60999999999</v>
      </c>
      <c r="DD29" s="550">
        <f t="shared" si="57"/>
        <v>160000</v>
      </c>
      <c r="DE29" s="550">
        <f t="shared" si="57"/>
        <v>175950</v>
      </c>
      <c r="DF29" s="550">
        <f t="shared" si="57"/>
        <v>182000</v>
      </c>
      <c r="DG29" s="550">
        <f t="shared" si="57"/>
        <v>263530</v>
      </c>
      <c r="DH29" s="550">
        <f t="shared" si="57"/>
        <v>238225</v>
      </c>
      <c r="DI29" s="550">
        <f t="shared" si="57"/>
        <v>255000</v>
      </c>
      <c r="DJ29" s="550">
        <f t="shared" si="57"/>
        <v>192805</v>
      </c>
      <c r="DK29" s="550">
        <f t="shared" si="57"/>
        <v>172500</v>
      </c>
      <c r="DL29" s="547">
        <f t="shared" si="57"/>
        <v>2359075.61</v>
      </c>
      <c r="DM29" s="901">
        <f t="shared" si="57"/>
        <v>22500</v>
      </c>
      <c r="DN29" s="544">
        <f t="shared" si="57"/>
        <v>29800</v>
      </c>
      <c r="DO29" s="544">
        <f t="shared" si="57"/>
        <v>38180</v>
      </c>
      <c r="DP29" s="544">
        <f t="shared" si="57"/>
        <v>30011.809799999999</v>
      </c>
      <c r="DQ29" s="544">
        <f t="shared" si="57"/>
        <v>21754</v>
      </c>
      <c r="DR29" s="544">
        <f t="shared" si="57"/>
        <v>25263.280500000001</v>
      </c>
      <c r="DS29" s="544">
        <f t="shared" si="57"/>
        <v>25764</v>
      </c>
      <c r="DT29" s="544">
        <f t="shared" si="57"/>
        <v>41004.592700000001</v>
      </c>
      <c r="DU29" s="544">
        <f t="shared" si="57"/>
        <v>47280.5</v>
      </c>
      <c r="DV29" s="544">
        <f t="shared" si="57"/>
        <v>36004</v>
      </c>
      <c r="DW29" s="544">
        <f t="shared" si="57"/>
        <v>37904.9</v>
      </c>
      <c r="DX29" s="544">
        <f t="shared" si="57"/>
        <v>24254</v>
      </c>
      <c r="DY29" s="545">
        <f t="shared" si="57"/>
        <v>379721.08300000004</v>
      </c>
      <c r="DZ29" s="550">
        <f t="shared" si="57"/>
        <v>215427</v>
      </c>
      <c r="EA29" s="550">
        <f t="shared" si="57"/>
        <v>302568</v>
      </c>
      <c r="EB29" s="550">
        <f t="shared" si="57"/>
        <v>190900</v>
      </c>
      <c r="EC29" s="550">
        <f t="shared" si="57"/>
        <v>150059.049</v>
      </c>
      <c r="ED29" s="550">
        <f t="shared" si="57"/>
        <v>148750</v>
      </c>
      <c r="EE29" s="550">
        <f t="shared" si="57"/>
        <v>159105</v>
      </c>
      <c r="EF29" s="550">
        <f t="shared" si="57"/>
        <v>168800</v>
      </c>
      <c r="EG29" s="550">
        <f t="shared" si="57"/>
        <v>250927</v>
      </c>
      <c r="EH29" s="550">
        <f t="shared" si="57"/>
        <v>236402.5</v>
      </c>
      <c r="EI29" s="550">
        <f t="shared" si="57"/>
        <v>220000</v>
      </c>
      <c r="EJ29" s="550">
        <f t="shared" si="57"/>
        <v>189524.5</v>
      </c>
      <c r="EK29" s="550">
        <f>SUM(EK25:EK28)</f>
        <v>161250</v>
      </c>
      <c r="EL29" s="547">
        <f>SUM(EL25:EL28)</f>
        <v>2393713.0490000001</v>
      </c>
    </row>
    <row r="30" spans="1:142" ht="18" thickTop="1">
      <c r="A30" s="970" t="s">
        <v>667</v>
      </c>
      <c r="B30" s="913" t="s">
        <v>668</v>
      </c>
      <c r="C30" s="981" t="s">
        <v>53</v>
      </c>
      <c r="D30" s="558">
        <v>2.1800000000000002</v>
      </c>
      <c r="E30" s="559">
        <v>2.1925240205091026</v>
      </c>
      <c r="F30" s="559">
        <v>2.2047276812941963</v>
      </c>
      <c r="G30" s="560">
        <v>2.2400000000000002</v>
      </c>
      <c r="H30" s="558">
        <f>G30</f>
        <v>2.2400000000000002</v>
      </c>
      <c r="I30" s="559">
        <f>H30</f>
        <v>2.2400000000000002</v>
      </c>
      <c r="J30" s="559">
        <f>I30</f>
        <v>2.2400000000000002</v>
      </c>
      <c r="K30" s="982">
        <f>J30</f>
        <v>2.2400000000000002</v>
      </c>
      <c r="L30" s="983"/>
      <c r="M30" s="564">
        <v>30240</v>
      </c>
      <c r="N30" s="539">
        <v>31968</v>
      </c>
      <c r="O30" s="539">
        <v>44664</v>
      </c>
      <c r="P30" s="539"/>
      <c r="Q30" s="539">
        <v>22140</v>
      </c>
      <c r="R30" s="539">
        <v>36288</v>
      </c>
      <c r="S30" s="539">
        <v>12612</v>
      </c>
      <c r="T30" s="539">
        <v>15000</v>
      </c>
      <c r="U30" s="539">
        <v>20000</v>
      </c>
      <c r="V30" s="539">
        <v>25000</v>
      </c>
      <c r="W30" s="539">
        <v>25000</v>
      </c>
      <c r="X30" s="539">
        <v>25000</v>
      </c>
      <c r="Y30" s="885">
        <f t="shared" ref="Y30:Y73" si="58">SUM(M30:X30)</f>
        <v>287912</v>
      </c>
      <c r="Z30" s="886">
        <v>65923.200000000012</v>
      </c>
      <c r="AA30" s="257">
        <v>69690.240000000005</v>
      </c>
      <c r="AB30" s="257">
        <v>97367.52</v>
      </c>
      <c r="AC30" s="257">
        <f t="shared" ref="AC30:AC37" si="59">P30*$E30</f>
        <v>0</v>
      </c>
      <c r="AD30" s="257">
        <f>48265.2</f>
        <v>48265.2</v>
      </c>
      <c r="AE30" s="257">
        <v>79447.92</v>
      </c>
      <c r="AF30" s="257">
        <f>S30*2.19</f>
        <v>27620.28</v>
      </c>
      <c r="AG30" s="257">
        <f t="shared" ref="AG30:AH42" si="60">T30*$F30</f>
        <v>33070.915219412942</v>
      </c>
      <c r="AH30" s="257">
        <f t="shared" si="60"/>
        <v>44094.553625883927</v>
      </c>
      <c r="AI30" s="257">
        <f t="shared" ref="AI30:AK59" si="61">V30*$G30</f>
        <v>56000.000000000007</v>
      </c>
      <c r="AJ30" s="257">
        <f t="shared" si="61"/>
        <v>56000.000000000007</v>
      </c>
      <c r="AK30" s="257">
        <f t="shared" si="61"/>
        <v>56000.000000000007</v>
      </c>
      <c r="AL30" s="887">
        <f t="shared" ref="AL30:AL73" si="62">SUM(Z30:AK30)</f>
        <v>633479.82884529687</v>
      </c>
      <c r="AM30" s="984">
        <f>291388/12</f>
        <v>24282.333333333332</v>
      </c>
      <c r="AN30" s="985">
        <f t="shared" ref="AN30:AX30" si="63">291388/12</f>
        <v>24282.333333333332</v>
      </c>
      <c r="AO30" s="985">
        <f t="shared" si="63"/>
        <v>24282.333333333332</v>
      </c>
      <c r="AP30" s="985">
        <f t="shared" si="63"/>
        <v>24282.333333333332</v>
      </c>
      <c r="AQ30" s="985">
        <f t="shared" si="63"/>
        <v>24282.333333333332</v>
      </c>
      <c r="AR30" s="985">
        <f t="shared" si="63"/>
        <v>24282.333333333332</v>
      </c>
      <c r="AS30" s="985">
        <f t="shared" si="63"/>
        <v>24282.333333333332</v>
      </c>
      <c r="AT30" s="985">
        <f t="shared" si="63"/>
        <v>24282.333333333332</v>
      </c>
      <c r="AU30" s="985">
        <f t="shared" si="63"/>
        <v>24282.333333333332</v>
      </c>
      <c r="AV30" s="985">
        <f t="shared" si="63"/>
        <v>24282.333333333332</v>
      </c>
      <c r="AW30" s="985">
        <f t="shared" si="63"/>
        <v>24282.333333333332</v>
      </c>
      <c r="AX30" s="985">
        <f t="shared" si="63"/>
        <v>24282.333333333332</v>
      </c>
      <c r="AY30" s="986">
        <f t="shared" ref="AY30:AY72" si="64">SUM(AM30:AX30)</f>
        <v>291388</v>
      </c>
      <c r="AZ30" s="886">
        <f t="shared" ref="AZ30:BK51" si="65">AM30*$H30</f>
        <v>54392.426666666666</v>
      </c>
      <c r="BA30" s="257">
        <f t="shared" si="65"/>
        <v>54392.426666666666</v>
      </c>
      <c r="BB30" s="257">
        <f t="shared" si="65"/>
        <v>54392.426666666666</v>
      </c>
      <c r="BC30" s="257">
        <f t="shared" si="65"/>
        <v>54392.426666666666</v>
      </c>
      <c r="BD30" s="257">
        <f t="shared" si="65"/>
        <v>54392.426666666666</v>
      </c>
      <c r="BE30" s="257">
        <f t="shared" si="65"/>
        <v>54392.426666666666</v>
      </c>
      <c r="BF30" s="257">
        <f t="shared" si="65"/>
        <v>54392.426666666666</v>
      </c>
      <c r="BG30" s="257">
        <f t="shared" si="65"/>
        <v>54392.426666666666</v>
      </c>
      <c r="BH30" s="257">
        <f t="shared" si="65"/>
        <v>54392.426666666666</v>
      </c>
      <c r="BI30" s="257">
        <f t="shared" si="65"/>
        <v>54392.426666666666</v>
      </c>
      <c r="BJ30" s="257">
        <f t="shared" si="65"/>
        <v>54392.426666666666</v>
      </c>
      <c r="BK30" s="257">
        <f t="shared" si="65"/>
        <v>54392.426666666666</v>
      </c>
      <c r="BL30" s="887">
        <f t="shared" si="47"/>
        <v>652709.11999999976</v>
      </c>
      <c r="BM30" s="984"/>
      <c r="BN30" s="985"/>
      <c r="BO30" s="985"/>
      <c r="BP30" s="985"/>
      <c r="BQ30" s="985"/>
      <c r="BR30" s="985"/>
      <c r="BS30" s="985"/>
      <c r="BT30" s="985"/>
      <c r="BU30" s="985"/>
      <c r="BV30" s="985"/>
      <c r="BW30" s="985"/>
      <c r="BX30" s="985"/>
      <c r="BY30" s="986">
        <f t="shared" ref="BY30:BY72" si="66">SUM(BM30:BX30)</f>
        <v>0</v>
      </c>
      <c r="BZ30" s="886">
        <f t="shared" ref="BZ30:CK51" si="67">BM30*$I30</f>
        <v>0</v>
      </c>
      <c r="CA30" s="257">
        <f t="shared" si="67"/>
        <v>0</v>
      </c>
      <c r="CB30" s="257">
        <f t="shared" si="67"/>
        <v>0</v>
      </c>
      <c r="CC30" s="257">
        <f t="shared" si="67"/>
        <v>0</v>
      </c>
      <c r="CD30" s="257">
        <f t="shared" si="67"/>
        <v>0</v>
      </c>
      <c r="CE30" s="257">
        <f t="shared" si="67"/>
        <v>0</v>
      </c>
      <c r="CF30" s="257">
        <f t="shared" si="67"/>
        <v>0</v>
      </c>
      <c r="CG30" s="257">
        <f t="shared" si="67"/>
        <v>0</v>
      </c>
      <c r="CH30" s="257">
        <f t="shared" si="67"/>
        <v>0</v>
      </c>
      <c r="CI30" s="257">
        <f t="shared" si="67"/>
        <v>0</v>
      </c>
      <c r="CJ30" s="257">
        <f t="shared" si="67"/>
        <v>0</v>
      </c>
      <c r="CK30" s="257">
        <f t="shared" si="67"/>
        <v>0</v>
      </c>
      <c r="CL30" s="887">
        <f t="shared" ref="CL30:CL72" si="68">SUM(BZ30:CK30)</f>
        <v>0</v>
      </c>
      <c r="CM30" s="984"/>
      <c r="CN30" s="985"/>
      <c r="CO30" s="985"/>
      <c r="CP30" s="985"/>
      <c r="CQ30" s="985"/>
      <c r="CR30" s="985"/>
      <c r="CS30" s="985"/>
      <c r="CT30" s="985"/>
      <c r="CU30" s="985"/>
      <c r="CV30" s="985"/>
      <c r="CW30" s="985"/>
      <c r="CX30" s="985"/>
      <c r="CY30" s="986">
        <f t="shared" ref="CY30:CY72" si="69">SUM(CM30:CX30)</f>
        <v>0</v>
      </c>
      <c r="CZ30" s="886">
        <f t="shared" ref="CZ30:DK51" si="70">CM30*$J30</f>
        <v>0</v>
      </c>
      <c r="DA30" s="257">
        <f t="shared" si="70"/>
        <v>0</v>
      </c>
      <c r="DB30" s="257">
        <f t="shared" si="70"/>
        <v>0</v>
      </c>
      <c r="DC30" s="257">
        <f t="shared" si="70"/>
        <v>0</v>
      </c>
      <c r="DD30" s="257">
        <f t="shared" si="70"/>
        <v>0</v>
      </c>
      <c r="DE30" s="257">
        <f t="shared" si="70"/>
        <v>0</v>
      </c>
      <c r="DF30" s="257">
        <f t="shared" si="70"/>
        <v>0</v>
      </c>
      <c r="DG30" s="257">
        <f t="shared" si="70"/>
        <v>0</v>
      </c>
      <c r="DH30" s="257">
        <f t="shared" si="70"/>
        <v>0</v>
      </c>
      <c r="DI30" s="257">
        <f t="shared" si="70"/>
        <v>0</v>
      </c>
      <c r="DJ30" s="257">
        <f t="shared" si="70"/>
        <v>0</v>
      </c>
      <c r="DK30" s="257">
        <f t="shared" si="70"/>
        <v>0</v>
      </c>
      <c r="DL30" s="887">
        <f t="shared" si="50"/>
        <v>0</v>
      </c>
      <c r="DM30" s="984"/>
      <c r="DN30" s="985"/>
      <c r="DO30" s="985"/>
      <c r="DP30" s="985"/>
      <c r="DQ30" s="985"/>
      <c r="DR30" s="985"/>
      <c r="DS30" s="985"/>
      <c r="DT30" s="985"/>
      <c r="DU30" s="985"/>
      <c r="DV30" s="985"/>
      <c r="DW30" s="985"/>
      <c r="DX30" s="985"/>
      <c r="DY30" s="986">
        <f t="shared" ref="DY30:DY72" si="71">SUM(DM30:DX30)</f>
        <v>0</v>
      </c>
      <c r="DZ30" s="886">
        <f t="shared" ref="DZ30:EK51" si="72">DM30*$K30</f>
        <v>0</v>
      </c>
      <c r="EA30" s="257">
        <f t="shared" si="72"/>
        <v>0</v>
      </c>
      <c r="EB30" s="257">
        <f t="shared" si="72"/>
        <v>0</v>
      </c>
      <c r="EC30" s="257">
        <f t="shared" si="72"/>
        <v>0</v>
      </c>
      <c r="ED30" s="257">
        <f t="shared" si="72"/>
        <v>0</v>
      </c>
      <c r="EE30" s="257">
        <f t="shared" si="72"/>
        <v>0</v>
      </c>
      <c r="EF30" s="257">
        <f t="shared" si="72"/>
        <v>0</v>
      </c>
      <c r="EG30" s="257">
        <f t="shared" si="72"/>
        <v>0</v>
      </c>
      <c r="EH30" s="257">
        <f t="shared" si="72"/>
        <v>0</v>
      </c>
      <c r="EI30" s="257">
        <f t="shared" si="72"/>
        <v>0</v>
      </c>
      <c r="EJ30" s="257">
        <f t="shared" si="72"/>
        <v>0</v>
      </c>
      <c r="EK30" s="257">
        <f t="shared" si="72"/>
        <v>0</v>
      </c>
      <c r="EL30" s="887">
        <f t="shared" si="52"/>
        <v>0</v>
      </c>
    </row>
    <row r="31" spans="1:142">
      <c r="A31" s="973" t="s">
        <v>667</v>
      </c>
      <c r="B31" s="913" t="s">
        <v>669</v>
      </c>
      <c r="C31" s="981" t="s">
        <v>54</v>
      </c>
      <c r="D31" s="558">
        <v>2.2200000000000002</v>
      </c>
      <c r="E31" s="559">
        <v>2.0829703505343731</v>
      </c>
      <c r="F31" s="559">
        <v>2.2452525452034688</v>
      </c>
      <c r="G31" s="560">
        <v>2.2799999999999998</v>
      </c>
      <c r="H31" s="558">
        <f t="shared" ref="H31:K72" si="73">G31</f>
        <v>2.2799999999999998</v>
      </c>
      <c r="I31" s="559">
        <f t="shared" si="73"/>
        <v>2.2799999999999998</v>
      </c>
      <c r="J31" s="559">
        <f t="shared" si="73"/>
        <v>2.2799999999999998</v>
      </c>
      <c r="K31" s="982">
        <f t="shared" si="73"/>
        <v>2.2799999999999998</v>
      </c>
      <c r="L31" s="983"/>
      <c r="M31" s="564">
        <v>1512</v>
      </c>
      <c r="N31" s="539">
        <v>1728</v>
      </c>
      <c r="O31" s="539">
        <v>1728</v>
      </c>
      <c r="P31" s="539">
        <v>1728</v>
      </c>
      <c r="Q31" s="539">
        <v>0</v>
      </c>
      <c r="R31" s="539">
        <v>0</v>
      </c>
      <c r="S31" s="539">
        <v>0</v>
      </c>
      <c r="T31" s="539">
        <v>0</v>
      </c>
      <c r="U31" s="539">
        <v>0</v>
      </c>
      <c r="V31" s="539">
        <v>2000</v>
      </c>
      <c r="W31" s="539">
        <v>2000</v>
      </c>
      <c r="X31" s="539">
        <v>2000</v>
      </c>
      <c r="Y31" s="885">
        <f t="shared" si="58"/>
        <v>12696</v>
      </c>
      <c r="Z31" s="886">
        <v>3356.6400000000003</v>
      </c>
      <c r="AA31" s="257">
        <v>3629</v>
      </c>
      <c r="AB31" s="257">
        <v>3836.1600000000003</v>
      </c>
      <c r="AC31" s="257">
        <v>3836.16</v>
      </c>
      <c r="AD31" s="257">
        <v>0</v>
      </c>
      <c r="AE31" s="257">
        <v>0</v>
      </c>
      <c r="AF31" s="257">
        <f t="shared" ref="AF31:AF41" si="74">S31*$F31</f>
        <v>0</v>
      </c>
      <c r="AG31" s="257">
        <f t="shared" si="60"/>
        <v>0</v>
      </c>
      <c r="AH31" s="257">
        <f t="shared" si="60"/>
        <v>0</v>
      </c>
      <c r="AI31" s="257">
        <f t="shared" si="61"/>
        <v>4560</v>
      </c>
      <c r="AJ31" s="257">
        <f t="shared" si="61"/>
        <v>4560</v>
      </c>
      <c r="AK31" s="257">
        <f t="shared" si="61"/>
        <v>4560</v>
      </c>
      <c r="AL31" s="887">
        <f t="shared" si="62"/>
        <v>28337.96</v>
      </c>
      <c r="AM31" s="984">
        <f>41547/12</f>
        <v>3462.25</v>
      </c>
      <c r="AN31" s="985">
        <f t="shared" ref="AN31:AX31" si="75">41547/12</f>
        <v>3462.25</v>
      </c>
      <c r="AO31" s="985">
        <f t="shared" si="75"/>
        <v>3462.25</v>
      </c>
      <c r="AP31" s="985">
        <f t="shared" si="75"/>
        <v>3462.25</v>
      </c>
      <c r="AQ31" s="985">
        <f t="shared" si="75"/>
        <v>3462.25</v>
      </c>
      <c r="AR31" s="985">
        <f t="shared" si="75"/>
        <v>3462.25</v>
      </c>
      <c r="AS31" s="985">
        <f t="shared" si="75"/>
        <v>3462.25</v>
      </c>
      <c r="AT31" s="985">
        <f t="shared" si="75"/>
        <v>3462.25</v>
      </c>
      <c r="AU31" s="985">
        <f t="shared" si="75"/>
        <v>3462.25</v>
      </c>
      <c r="AV31" s="985">
        <f t="shared" si="75"/>
        <v>3462.25</v>
      </c>
      <c r="AW31" s="985">
        <f t="shared" si="75"/>
        <v>3462.25</v>
      </c>
      <c r="AX31" s="985">
        <f t="shared" si="75"/>
        <v>3462.25</v>
      </c>
      <c r="AY31" s="986">
        <f t="shared" si="64"/>
        <v>41547</v>
      </c>
      <c r="AZ31" s="886">
        <f t="shared" si="65"/>
        <v>7893.9299999999994</v>
      </c>
      <c r="BA31" s="257">
        <f t="shared" si="65"/>
        <v>7893.9299999999994</v>
      </c>
      <c r="BB31" s="257">
        <f t="shared" si="65"/>
        <v>7893.9299999999994</v>
      </c>
      <c r="BC31" s="257">
        <f t="shared" si="65"/>
        <v>7893.9299999999994</v>
      </c>
      <c r="BD31" s="257">
        <f t="shared" si="65"/>
        <v>7893.9299999999994</v>
      </c>
      <c r="BE31" s="257">
        <f t="shared" si="65"/>
        <v>7893.9299999999994</v>
      </c>
      <c r="BF31" s="257">
        <f t="shared" si="65"/>
        <v>7893.9299999999994</v>
      </c>
      <c r="BG31" s="257">
        <f t="shared" si="65"/>
        <v>7893.9299999999994</v>
      </c>
      <c r="BH31" s="257">
        <f t="shared" si="65"/>
        <v>7893.9299999999994</v>
      </c>
      <c r="BI31" s="257">
        <f t="shared" si="65"/>
        <v>7893.9299999999994</v>
      </c>
      <c r="BJ31" s="257">
        <f t="shared" si="65"/>
        <v>7893.9299999999994</v>
      </c>
      <c r="BK31" s="257">
        <f t="shared" si="65"/>
        <v>7893.9299999999994</v>
      </c>
      <c r="BL31" s="887">
        <f t="shared" si="47"/>
        <v>94727.159999999974</v>
      </c>
      <c r="BM31" s="984"/>
      <c r="BN31" s="985"/>
      <c r="BO31" s="985"/>
      <c r="BP31" s="985"/>
      <c r="BQ31" s="985"/>
      <c r="BR31" s="985"/>
      <c r="BS31" s="985"/>
      <c r="BT31" s="985"/>
      <c r="BU31" s="985"/>
      <c r="BV31" s="985"/>
      <c r="BW31" s="985"/>
      <c r="BX31" s="985"/>
      <c r="BY31" s="986">
        <f t="shared" si="66"/>
        <v>0</v>
      </c>
      <c r="BZ31" s="886">
        <f t="shared" si="67"/>
        <v>0</v>
      </c>
      <c r="CA31" s="257">
        <f t="shared" si="67"/>
        <v>0</v>
      </c>
      <c r="CB31" s="257">
        <f t="shared" si="67"/>
        <v>0</v>
      </c>
      <c r="CC31" s="257">
        <f t="shared" si="67"/>
        <v>0</v>
      </c>
      <c r="CD31" s="257">
        <f t="shared" si="67"/>
        <v>0</v>
      </c>
      <c r="CE31" s="257">
        <f t="shared" si="67"/>
        <v>0</v>
      </c>
      <c r="CF31" s="257">
        <f t="shared" si="67"/>
        <v>0</v>
      </c>
      <c r="CG31" s="257">
        <f t="shared" si="67"/>
        <v>0</v>
      </c>
      <c r="CH31" s="257">
        <f t="shared" si="67"/>
        <v>0</v>
      </c>
      <c r="CI31" s="257">
        <f t="shared" si="67"/>
        <v>0</v>
      </c>
      <c r="CJ31" s="257">
        <f t="shared" si="67"/>
        <v>0</v>
      </c>
      <c r="CK31" s="257">
        <f t="shared" si="67"/>
        <v>0</v>
      </c>
      <c r="CL31" s="887">
        <f t="shared" si="68"/>
        <v>0</v>
      </c>
      <c r="CM31" s="984"/>
      <c r="CN31" s="985"/>
      <c r="CO31" s="985"/>
      <c r="CP31" s="985"/>
      <c r="CQ31" s="985"/>
      <c r="CR31" s="985"/>
      <c r="CS31" s="985"/>
      <c r="CT31" s="985"/>
      <c r="CU31" s="985"/>
      <c r="CV31" s="985"/>
      <c r="CW31" s="985"/>
      <c r="CX31" s="985"/>
      <c r="CY31" s="986">
        <f t="shared" si="69"/>
        <v>0</v>
      </c>
      <c r="CZ31" s="886">
        <f t="shared" si="70"/>
        <v>0</v>
      </c>
      <c r="DA31" s="257">
        <f t="shared" si="70"/>
        <v>0</v>
      </c>
      <c r="DB31" s="257">
        <f t="shared" si="70"/>
        <v>0</v>
      </c>
      <c r="DC31" s="257">
        <f t="shared" si="70"/>
        <v>0</v>
      </c>
      <c r="DD31" s="257">
        <f t="shared" si="70"/>
        <v>0</v>
      </c>
      <c r="DE31" s="257">
        <f t="shared" si="70"/>
        <v>0</v>
      </c>
      <c r="DF31" s="257">
        <f t="shared" si="70"/>
        <v>0</v>
      </c>
      <c r="DG31" s="257">
        <f t="shared" si="70"/>
        <v>0</v>
      </c>
      <c r="DH31" s="257">
        <f t="shared" si="70"/>
        <v>0</v>
      </c>
      <c r="DI31" s="257">
        <f t="shared" si="70"/>
        <v>0</v>
      </c>
      <c r="DJ31" s="257">
        <f t="shared" si="70"/>
        <v>0</v>
      </c>
      <c r="DK31" s="257">
        <f t="shared" si="70"/>
        <v>0</v>
      </c>
      <c r="DL31" s="887">
        <f t="shared" si="50"/>
        <v>0</v>
      </c>
      <c r="DM31" s="984"/>
      <c r="DN31" s="985"/>
      <c r="DO31" s="985"/>
      <c r="DP31" s="985"/>
      <c r="DQ31" s="985"/>
      <c r="DR31" s="985"/>
      <c r="DS31" s="985"/>
      <c r="DT31" s="985"/>
      <c r="DU31" s="985"/>
      <c r="DV31" s="985"/>
      <c r="DW31" s="985"/>
      <c r="DX31" s="985"/>
      <c r="DY31" s="986">
        <f t="shared" si="71"/>
        <v>0</v>
      </c>
      <c r="DZ31" s="886">
        <f t="shared" si="72"/>
        <v>0</v>
      </c>
      <c r="EA31" s="257">
        <f t="shared" si="72"/>
        <v>0</v>
      </c>
      <c r="EB31" s="257">
        <f t="shared" si="72"/>
        <v>0</v>
      </c>
      <c r="EC31" s="257">
        <f t="shared" si="72"/>
        <v>0</v>
      </c>
      <c r="ED31" s="257">
        <f t="shared" si="72"/>
        <v>0</v>
      </c>
      <c r="EE31" s="257">
        <f t="shared" si="72"/>
        <v>0</v>
      </c>
      <c r="EF31" s="257">
        <f t="shared" si="72"/>
        <v>0</v>
      </c>
      <c r="EG31" s="257">
        <f t="shared" si="72"/>
        <v>0</v>
      </c>
      <c r="EH31" s="257">
        <f t="shared" si="72"/>
        <v>0</v>
      </c>
      <c r="EI31" s="257">
        <f t="shared" si="72"/>
        <v>0</v>
      </c>
      <c r="EJ31" s="257">
        <f t="shared" si="72"/>
        <v>0</v>
      </c>
      <c r="EK31" s="257">
        <f t="shared" si="72"/>
        <v>0</v>
      </c>
      <c r="EL31" s="887">
        <f t="shared" si="52"/>
        <v>0</v>
      </c>
    </row>
    <row r="32" spans="1:142">
      <c r="A32" s="973" t="s">
        <v>667</v>
      </c>
      <c r="B32" s="913" t="s">
        <v>55</v>
      </c>
      <c r="C32" s="981" t="s">
        <v>670</v>
      </c>
      <c r="D32" s="558">
        <v>2.04</v>
      </c>
      <c r="E32" s="559">
        <v>2.0525240205091024</v>
      </c>
      <c r="F32" s="559">
        <v>2.0647276812941961</v>
      </c>
      <c r="G32" s="560">
        <v>2.1</v>
      </c>
      <c r="H32" s="558">
        <f t="shared" si="73"/>
        <v>2.1</v>
      </c>
      <c r="I32" s="559">
        <f t="shared" si="73"/>
        <v>2.1</v>
      </c>
      <c r="J32" s="559">
        <f t="shared" si="73"/>
        <v>2.1</v>
      </c>
      <c r="K32" s="982">
        <f t="shared" si="73"/>
        <v>2.1</v>
      </c>
      <c r="L32" s="983"/>
      <c r="M32" s="564">
        <v>50976</v>
      </c>
      <c r="N32" s="539">
        <v>55296</v>
      </c>
      <c r="O32" s="539">
        <v>62708</v>
      </c>
      <c r="P32" s="539">
        <v>60736</v>
      </c>
      <c r="Q32" s="539">
        <f>79508-250</f>
        <v>79258</v>
      </c>
      <c r="R32" s="539">
        <v>57664</v>
      </c>
      <c r="S32" s="539">
        <f>8640+8640</f>
        <v>17280</v>
      </c>
      <c r="T32" s="539"/>
      <c r="U32" s="539"/>
      <c r="V32" s="539">
        <v>12960</v>
      </c>
      <c r="W32" s="539">
        <v>12960</v>
      </c>
      <c r="X32" s="539">
        <v>12960</v>
      </c>
      <c r="Y32" s="885">
        <f t="shared" si="58"/>
        <v>422798</v>
      </c>
      <c r="Z32" s="886">
        <v>106600.32000000001</v>
      </c>
      <c r="AA32" s="257">
        <v>114612.90999999999</v>
      </c>
      <c r="AB32" s="257">
        <v>134262.48000000001</v>
      </c>
      <c r="AC32" s="257">
        <v>123901.44</v>
      </c>
      <c r="AD32" s="257">
        <f>166766.32-2625</f>
        <v>164141.32</v>
      </c>
      <c r="AE32" s="257">
        <v>117824.64</v>
      </c>
      <c r="AF32" s="257">
        <f>17280*2.05</f>
        <v>35424</v>
      </c>
      <c r="AG32" s="257">
        <f t="shared" si="60"/>
        <v>0</v>
      </c>
      <c r="AH32" s="257">
        <f t="shared" si="60"/>
        <v>0</v>
      </c>
      <c r="AI32" s="257">
        <f t="shared" si="61"/>
        <v>27216</v>
      </c>
      <c r="AJ32" s="257">
        <f t="shared" si="61"/>
        <v>27216</v>
      </c>
      <c r="AK32" s="257">
        <f t="shared" si="61"/>
        <v>27216</v>
      </c>
      <c r="AL32" s="887">
        <f t="shared" si="62"/>
        <v>878415.11</v>
      </c>
      <c r="AM32" s="984">
        <f>317402/12</f>
        <v>26450.166666666668</v>
      </c>
      <c r="AN32" s="985">
        <f t="shared" ref="AN32:AX32" si="76">317402/12</f>
        <v>26450.166666666668</v>
      </c>
      <c r="AO32" s="985">
        <f t="shared" si="76"/>
        <v>26450.166666666668</v>
      </c>
      <c r="AP32" s="985">
        <f t="shared" si="76"/>
        <v>26450.166666666668</v>
      </c>
      <c r="AQ32" s="985">
        <f t="shared" si="76"/>
        <v>26450.166666666668</v>
      </c>
      <c r="AR32" s="985">
        <f t="shared" si="76"/>
        <v>26450.166666666668</v>
      </c>
      <c r="AS32" s="985">
        <f t="shared" si="76"/>
        <v>26450.166666666668</v>
      </c>
      <c r="AT32" s="985">
        <f t="shared" si="76"/>
        <v>26450.166666666668</v>
      </c>
      <c r="AU32" s="985">
        <f t="shared" si="76"/>
        <v>26450.166666666668</v>
      </c>
      <c r="AV32" s="985">
        <f t="shared" si="76"/>
        <v>26450.166666666668</v>
      </c>
      <c r="AW32" s="985">
        <f t="shared" si="76"/>
        <v>26450.166666666668</v>
      </c>
      <c r="AX32" s="985">
        <f t="shared" si="76"/>
        <v>26450.166666666668</v>
      </c>
      <c r="AY32" s="986">
        <f t="shared" si="64"/>
        <v>317402</v>
      </c>
      <c r="AZ32" s="886">
        <f t="shared" si="65"/>
        <v>55545.350000000006</v>
      </c>
      <c r="BA32" s="257">
        <f t="shared" si="65"/>
        <v>55545.350000000006</v>
      </c>
      <c r="BB32" s="257">
        <f t="shared" si="65"/>
        <v>55545.350000000006</v>
      </c>
      <c r="BC32" s="257">
        <f t="shared" si="65"/>
        <v>55545.350000000006</v>
      </c>
      <c r="BD32" s="257">
        <f t="shared" si="65"/>
        <v>55545.350000000006</v>
      </c>
      <c r="BE32" s="257">
        <f t="shared" si="65"/>
        <v>55545.350000000006</v>
      </c>
      <c r="BF32" s="257">
        <f t="shared" si="65"/>
        <v>55545.350000000006</v>
      </c>
      <c r="BG32" s="257">
        <f t="shared" si="65"/>
        <v>55545.350000000006</v>
      </c>
      <c r="BH32" s="257">
        <f t="shared" si="65"/>
        <v>55545.350000000006</v>
      </c>
      <c r="BI32" s="257">
        <f t="shared" si="65"/>
        <v>55545.350000000006</v>
      </c>
      <c r="BJ32" s="257">
        <f t="shared" si="65"/>
        <v>55545.350000000006</v>
      </c>
      <c r="BK32" s="257">
        <f t="shared" si="65"/>
        <v>55545.350000000006</v>
      </c>
      <c r="BL32" s="887">
        <f t="shared" si="47"/>
        <v>666544.19999999984</v>
      </c>
      <c r="BM32" s="984"/>
      <c r="BN32" s="985"/>
      <c r="BO32" s="985"/>
      <c r="BP32" s="985"/>
      <c r="BQ32" s="985"/>
      <c r="BR32" s="985"/>
      <c r="BS32" s="985"/>
      <c r="BT32" s="985"/>
      <c r="BU32" s="985"/>
      <c r="BV32" s="985"/>
      <c r="BW32" s="985"/>
      <c r="BX32" s="985"/>
      <c r="BY32" s="986">
        <f t="shared" si="66"/>
        <v>0</v>
      </c>
      <c r="BZ32" s="886">
        <f t="shared" si="67"/>
        <v>0</v>
      </c>
      <c r="CA32" s="257">
        <f t="shared" si="67"/>
        <v>0</v>
      </c>
      <c r="CB32" s="257">
        <f t="shared" si="67"/>
        <v>0</v>
      </c>
      <c r="CC32" s="257">
        <f t="shared" si="67"/>
        <v>0</v>
      </c>
      <c r="CD32" s="257">
        <f t="shared" si="67"/>
        <v>0</v>
      </c>
      <c r="CE32" s="257">
        <f t="shared" si="67"/>
        <v>0</v>
      </c>
      <c r="CF32" s="257">
        <f t="shared" si="67"/>
        <v>0</v>
      </c>
      <c r="CG32" s="257">
        <f t="shared" si="67"/>
        <v>0</v>
      </c>
      <c r="CH32" s="257">
        <f t="shared" si="67"/>
        <v>0</v>
      </c>
      <c r="CI32" s="257">
        <f t="shared" si="67"/>
        <v>0</v>
      </c>
      <c r="CJ32" s="257">
        <f t="shared" si="67"/>
        <v>0</v>
      </c>
      <c r="CK32" s="257">
        <f t="shared" si="67"/>
        <v>0</v>
      </c>
      <c r="CL32" s="887">
        <f t="shared" si="68"/>
        <v>0</v>
      </c>
      <c r="CM32" s="984"/>
      <c r="CN32" s="985"/>
      <c r="CO32" s="985"/>
      <c r="CP32" s="985"/>
      <c r="CQ32" s="985"/>
      <c r="CR32" s="985"/>
      <c r="CS32" s="985"/>
      <c r="CT32" s="985"/>
      <c r="CU32" s="985"/>
      <c r="CV32" s="985"/>
      <c r="CW32" s="985"/>
      <c r="CX32" s="985"/>
      <c r="CY32" s="986">
        <f t="shared" si="69"/>
        <v>0</v>
      </c>
      <c r="CZ32" s="886">
        <f t="shared" si="70"/>
        <v>0</v>
      </c>
      <c r="DA32" s="257">
        <f t="shared" si="70"/>
        <v>0</v>
      </c>
      <c r="DB32" s="257">
        <f t="shared" si="70"/>
        <v>0</v>
      </c>
      <c r="DC32" s="257">
        <f t="shared" si="70"/>
        <v>0</v>
      </c>
      <c r="DD32" s="257">
        <f t="shared" si="70"/>
        <v>0</v>
      </c>
      <c r="DE32" s="257">
        <f t="shared" si="70"/>
        <v>0</v>
      </c>
      <c r="DF32" s="257">
        <f t="shared" si="70"/>
        <v>0</v>
      </c>
      <c r="DG32" s="257">
        <f t="shared" si="70"/>
        <v>0</v>
      </c>
      <c r="DH32" s="257">
        <f t="shared" si="70"/>
        <v>0</v>
      </c>
      <c r="DI32" s="257">
        <f t="shared" si="70"/>
        <v>0</v>
      </c>
      <c r="DJ32" s="257">
        <f t="shared" si="70"/>
        <v>0</v>
      </c>
      <c r="DK32" s="257">
        <f t="shared" si="70"/>
        <v>0</v>
      </c>
      <c r="DL32" s="887">
        <f t="shared" si="50"/>
        <v>0</v>
      </c>
      <c r="DM32" s="984"/>
      <c r="DN32" s="985"/>
      <c r="DO32" s="985"/>
      <c r="DP32" s="985"/>
      <c r="DQ32" s="985"/>
      <c r="DR32" s="985"/>
      <c r="DS32" s="985"/>
      <c r="DT32" s="985"/>
      <c r="DU32" s="985"/>
      <c r="DV32" s="985"/>
      <c r="DW32" s="985"/>
      <c r="DX32" s="985"/>
      <c r="DY32" s="986">
        <f t="shared" si="71"/>
        <v>0</v>
      </c>
      <c r="DZ32" s="886">
        <f t="shared" si="72"/>
        <v>0</v>
      </c>
      <c r="EA32" s="257">
        <f t="shared" si="72"/>
        <v>0</v>
      </c>
      <c r="EB32" s="257">
        <f t="shared" si="72"/>
        <v>0</v>
      </c>
      <c r="EC32" s="257">
        <f t="shared" si="72"/>
        <v>0</v>
      </c>
      <c r="ED32" s="257">
        <f t="shared" si="72"/>
        <v>0</v>
      </c>
      <c r="EE32" s="257">
        <f t="shared" si="72"/>
        <v>0</v>
      </c>
      <c r="EF32" s="257">
        <f t="shared" si="72"/>
        <v>0</v>
      </c>
      <c r="EG32" s="257">
        <f t="shared" si="72"/>
        <v>0</v>
      </c>
      <c r="EH32" s="257">
        <f t="shared" si="72"/>
        <v>0</v>
      </c>
      <c r="EI32" s="257">
        <f t="shared" si="72"/>
        <v>0</v>
      </c>
      <c r="EJ32" s="257">
        <f t="shared" si="72"/>
        <v>0</v>
      </c>
      <c r="EK32" s="257">
        <f t="shared" si="72"/>
        <v>0</v>
      </c>
      <c r="EL32" s="887">
        <f t="shared" si="52"/>
        <v>0</v>
      </c>
    </row>
    <row r="33" spans="1:142">
      <c r="A33" s="973" t="s">
        <v>667</v>
      </c>
      <c r="B33" s="913" t="s">
        <v>56</v>
      </c>
      <c r="C33" s="981" t="s">
        <v>671</v>
      </c>
      <c r="D33" s="558">
        <v>2.0699999999999998</v>
      </c>
      <c r="E33" s="559">
        <v>2.0829703505343731</v>
      </c>
      <c r="F33" s="559">
        <v>2.0952525452034689</v>
      </c>
      <c r="G33" s="560">
        <v>2.13</v>
      </c>
      <c r="H33" s="558">
        <f t="shared" si="73"/>
        <v>2.13</v>
      </c>
      <c r="I33" s="559">
        <f t="shared" si="73"/>
        <v>2.13</v>
      </c>
      <c r="J33" s="559">
        <f t="shared" si="73"/>
        <v>2.13</v>
      </c>
      <c r="K33" s="982">
        <f t="shared" si="73"/>
        <v>2.13</v>
      </c>
      <c r="L33" s="983"/>
      <c r="M33" s="564">
        <v>2592</v>
      </c>
      <c r="N33" s="539">
        <v>6912</v>
      </c>
      <c r="O33" s="539">
        <v>8928</v>
      </c>
      <c r="P33" s="539">
        <v>0</v>
      </c>
      <c r="Q33" s="539"/>
      <c r="R33" s="539"/>
      <c r="S33" s="539">
        <v>8640</v>
      </c>
      <c r="T33" s="539"/>
      <c r="U33" s="539"/>
      <c r="V33" s="539">
        <v>14688</v>
      </c>
      <c r="W33" s="539">
        <v>11232</v>
      </c>
      <c r="X33" s="539">
        <v>10000</v>
      </c>
      <c r="Y33" s="885">
        <f t="shared" si="58"/>
        <v>62992</v>
      </c>
      <c r="Z33" s="886">
        <v>42347.519999999997</v>
      </c>
      <c r="AA33" s="257">
        <v>14584.32</v>
      </c>
      <c r="AB33" s="257">
        <v>18838.080000000002</v>
      </c>
      <c r="AC33" s="257">
        <f t="shared" si="59"/>
        <v>0</v>
      </c>
      <c r="AD33" s="257">
        <f>Q33*$E33</f>
        <v>0</v>
      </c>
      <c r="AE33" s="257"/>
      <c r="AF33" s="257">
        <f>8640*2.1</f>
        <v>18144</v>
      </c>
      <c r="AG33" s="257">
        <f t="shared" si="60"/>
        <v>0</v>
      </c>
      <c r="AH33" s="257">
        <f t="shared" si="60"/>
        <v>0</v>
      </c>
      <c r="AI33" s="257">
        <f t="shared" si="61"/>
        <v>31285.439999999999</v>
      </c>
      <c r="AJ33" s="257">
        <f t="shared" si="61"/>
        <v>23924.16</v>
      </c>
      <c r="AK33" s="257">
        <f t="shared" si="61"/>
        <v>21300</v>
      </c>
      <c r="AL33" s="887">
        <f t="shared" si="62"/>
        <v>170423.52</v>
      </c>
      <c r="AM33" s="984">
        <f>111436/12</f>
        <v>9286.3333333333339</v>
      </c>
      <c r="AN33" s="985">
        <f t="shared" ref="AN33:AX33" si="77">111436/12</f>
        <v>9286.3333333333339</v>
      </c>
      <c r="AO33" s="985">
        <f t="shared" si="77"/>
        <v>9286.3333333333339</v>
      </c>
      <c r="AP33" s="985">
        <f t="shared" si="77"/>
        <v>9286.3333333333339</v>
      </c>
      <c r="AQ33" s="985">
        <f t="shared" si="77"/>
        <v>9286.3333333333339</v>
      </c>
      <c r="AR33" s="985">
        <f t="shared" si="77"/>
        <v>9286.3333333333339</v>
      </c>
      <c r="AS33" s="985">
        <f t="shared" si="77"/>
        <v>9286.3333333333339</v>
      </c>
      <c r="AT33" s="985">
        <f t="shared" si="77"/>
        <v>9286.3333333333339</v>
      </c>
      <c r="AU33" s="985">
        <f t="shared" si="77"/>
        <v>9286.3333333333339</v>
      </c>
      <c r="AV33" s="985">
        <f t="shared" si="77"/>
        <v>9286.3333333333339</v>
      </c>
      <c r="AW33" s="985">
        <f t="shared" si="77"/>
        <v>9286.3333333333339</v>
      </c>
      <c r="AX33" s="985">
        <f t="shared" si="77"/>
        <v>9286.3333333333339</v>
      </c>
      <c r="AY33" s="986">
        <f t="shared" si="64"/>
        <v>111435.99999999999</v>
      </c>
      <c r="AZ33" s="886">
        <f t="shared" si="65"/>
        <v>19779.89</v>
      </c>
      <c r="BA33" s="257">
        <f t="shared" si="65"/>
        <v>19779.89</v>
      </c>
      <c r="BB33" s="257">
        <f t="shared" si="65"/>
        <v>19779.89</v>
      </c>
      <c r="BC33" s="257">
        <f t="shared" si="65"/>
        <v>19779.89</v>
      </c>
      <c r="BD33" s="257">
        <f t="shared" si="65"/>
        <v>19779.89</v>
      </c>
      <c r="BE33" s="257">
        <f t="shared" si="65"/>
        <v>19779.89</v>
      </c>
      <c r="BF33" s="257">
        <f t="shared" si="65"/>
        <v>19779.89</v>
      </c>
      <c r="BG33" s="257">
        <f t="shared" si="65"/>
        <v>19779.89</v>
      </c>
      <c r="BH33" s="257">
        <f t="shared" si="65"/>
        <v>19779.89</v>
      </c>
      <c r="BI33" s="257">
        <f t="shared" si="65"/>
        <v>19779.89</v>
      </c>
      <c r="BJ33" s="257">
        <f t="shared" si="65"/>
        <v>19779.89</v>
      </c>
      <c r="BK33" s="257">
        <f t="shared" si="65"/>
        <v>19779.89</v>
      </c>
      <c r="BL33" s="887">
        <f t="shared" si="47"/>
        <v>237358.68000000005</v>
      </c>
      <c r="BM33" s="984"/>
      <c r="BN33" s="985"/>
      <c r="BO33" s="985"/>
      <c r="BP33" s="985"/>
      <c r="BQ33" s="985"/>
      <c r="BR33" s="985"/>
      <c r="BS33" s="985"/>
      <c r="BT33" s="985"/>
      <c r="BU33" s="985"/>
      <c r="BV33" s="985"/>
      <c r="BW33" s="985"/>
      <c r="BX33" s="985"/>
      <c r="BY33" s="986">
        <f t="shared" si="66"/>
        <v>0</v>
      </c>
      <c r="BZ33" s="886">
        <f t="shared" si="67"/>
        <v>0</v>
      </c>
      <c r="CA33" s="257">
        <f t="shared" si="67"/>
        <v>0</v>
      </c>
      <c r="CB33" s="257">
        <f t="shared" si="67"/>
        <v>0</v>
      </c>
      <c r="CC33" s="257">
        <f t="shared" si="67"/>
        <v>0</v>
      </c>
      <c r="CD33" s="257">
        <f t="shared" si="67"/>
        <v>0</v>
      </c>
      <c r="CE33" s="257">
        <f t="shared" si="67"/>
        <v>0</v>
      </c>
      <c r="CF33" s="257">
        <f t="shared" si="67"/>
        <v>0</v>
      </c>
      <c r="CG33" s="257">
        <f t="shared" si="67"/>
        <v>0</v>
      </c>
      <c r="CH33" s="257">
        <f t="shared" si="67"/>
        <v>0</v>
      </c>
      <c r="CI33" s="257">
        <f t="shared" si="67"/>
        <v>0</v>
      </c>
      <c r="CJ33" s="257">
        <f t="shared" si="67"/>
        <v>0</v>
      </c>
      <c r="CK33" s="257">
        <f t="shared" si="67"/>
        <v>0</v>
      </c>
      <c r="CL33" s="887">
        <f t="shared" si="68"/>
        <v>0</v>
      </c>
      <c r="CM33" s="984"/>
      <c r="CN33" s="985"/>
      <c r="CO33" s="985"/>
      <c r="CP33" s="985"/>
      <c r="CQ33" s="985"/>
      <c r="CR33" s="985"/>
      <c r="CS33" s="985"/>
      <c r="CT33" s="985"/>
      <c r="CU33" s="985"/>
      <c r="CV33" s="985"/>
      <c r="CW33" s="985"/>
      <c r="CX33" s="985"/>
      <c r="CY33" s="986">
        <f t="shared" si="69"/>
        <v>0</v>
      </c>
      <c r="CZ33" s="886">
        <f t="shared" si="70"/>
        <v>0</v>
      </c>
      <c r="DA33" s="257">
        <f t="shared" si="70"/>
        <v>0</v>
      </c>
      <c r="DB33" s="257">
        <f t="shared" si="70"/>
        <v>0</v>
      </c>
      <c r="DC33" s="257">
        <f t="shared" si="70"/>
        <v>0</v>
      </c>
      <c r="DD33" s="257">
        <f t="shared" si="70"/>
        <v>0</v>
      </c>
      <c r="DE33" s="257">
        <f t="shared" si="70"/>
        <v>0</v>
      </c>
      <c r="DF33" s="257">
        <f t="shared" si="70"/>
        <v>0</v>
      </c>
      <c r="DG33" s="257">
        <f t="shared" si="70"/>
        <v>0</v>
      </c>
      <c r="DH33" s="257">
        <f t="shared" si="70"/>
        <v>0</v>
      </c>
      <c r="DI33" s="257">
        <f t="shared" si="70"/>
        <v>0</v>
      </c>
      <c r="DJ33" s="257">
        <f t="shared" si="70"/>
        <v>0</v>
      </c>
      <c r="DK33" s="257">
        <f t="shared" si="70"/>
        <v>0</v>
      </c>
      <c r="DL33" s="887">
        <f t="shared" si="50"/>
        <v>0</v>
      </c>
      <c r="DM33" s="984"/>
      <c r="DN33" s="985"/>
      <c r="DO33" s="985"/>
      <c r="DP33" s="985"/>
      <c r="DQ33" s="985"/>
      <c r="DR33" s="985"/>
      <c r="DS33" s="985"/>
      <c r="DT33" s="985"/>
      <c r="DU33" s="985"/>
      <c r="DV33" s="985"/>
      <c r="DW33" s="985"/>
      <c r="DX33" s="985"/>
      <c r="DY33" s="986">
        <f t="shared" si="71"/>
        <v>0</v>
      </c>
      <c r="DZ33" s="886">
        <f t="shared" si="72"/>
        <v>0</v>
      </c>
      <c r="EA33" s="257">
        <f t="shared" si="72"/>
        <v>0</v>
      </c>
      <c r="EB33" s="257">
        <f t="shared" si="72"/>
        <v>0</v>
      </c>
      <c r="EC33" s="257">
        <f t="shared" si="72"/>
        <v>0</v>
      </c>
      <c r="ED33" s="257">
        <f t="shared" si="72"/>
        <v>0</v>
      </c>
      <c r="EE33" s="257">
        <f t="shared" si="72"/>
        <v>0</v>
      </c>
      <c r="EF33" s="257">
        <f t="shared" si="72"/>
        <v>0</v>
      </c>
      <c r="EG33" s="257">
        <f t="shared" si="72"/>
        <v>0</v>
      </c>
      <c r="EH33" s="257">
        <f t="shared" si="72"/>
        <v>0</v>
      </c>
      <c r="EI33" s="257">
        <f t="shared" si="72"/>
        <v>0</v>
      </c>
      <c r="EJ33" s="257">
        <f t="shared" si="72"/>
        <v>0</v>
      </c>
      <c r="EK33" s="257">
        <f t="shared" si="72"/>
        <v>0</v>
      </c>
      <c r="EL33" s="887">
        <f t="shared" si="52"/>
        <v>0</v>
      </c>
    </row>
    <row r="34" spans="1:142" s="936" customFormat="1">
      <c r="A34" s="987" t="s">
        <v>667</v>
      </c>
      <c r="B34" s="913" t="s">
        <v>672</v>
      </c>
      <c r="C34" s="988" t="s">
        <v>53</v>
      </c>
      <c r="D34" s="989"/>
      <c r="E34" s="990"/>
      <c r="F34" s="990"/>
      <c r="G34" s="991"/>
      <c r="H34" s="989">
        <v>2.44</v>
      </c>
      <c r="I34" s="990">
        <f t="shared" si="73"/>
        <v>2.44</v>
      </c>
      <c r="J34" s="990">
        <f t="shared" si="73"/>
        <v>2.44</v>
      </c>
      <c r="K34" s="992">
        <f t="shared" si="73"/>
        <v>2.44</v>
      </c>
      <c r="L34" s="993"/>
      <c r="M34" s="994"/>
      <c r="N34" s="995"/>
      <c r="O34" s="995"/>
      <c r="P34" s="995"/>
      <c r="Q34" s="995"/>
      <c r="R34" s="995"/>
      <c r="S34" s="995"/>
      <c r="T34" s="995"/>
      <c r="U34" s="995"/>
      <c r="V34" s="995"/>
      <c r="W34" s="995"/>
      <c r="X34" s="995"/>
      <c r="Y34" s="945">
        <f t="shared" si="58"/>
        <v>0</v>
      </c>
      <c r="Z34" s="930">
        <f t="shared" ref="Z34:AA37" si="78">M34*$D34</f>
        <v>0</v>
      </c>
      <c r="AA34" s="931">
        <f t="shared" si="78"/>
        <v>0</v>
      </c>
      <c r="AB34" s="931">
        <v>0</v>
      </c>
      <c r="AC34" s="931">
        <f t="shared" si="59"/>
        <v>0</v>
      </c>
      <c r="AD34" s="257">
        <f>Q34*$E34</f>
        <v>0</v>
      </c>
      <c r="AE34" s="931">
        <v>0</v>
      </c>
      <c r="AF34" s="931">
        <f t="shared" si="74"/>
        <v>0</v>
      </c>
      <c r="AG34" s="931">
        <f t="shared" si="60"/>
        <v>0</v>
      </c>
      <c r="AH34" s="931">
        <f t="shared" si="60"/>
        <v>0</v>
      </c>
      <c r="AI34" s="931">
        <f t="shared" si="61"/>
        <v>0</v>
      </c>
      <c r="AJ34" s="931">
        <f t="shared" si="61"/>
        <v>0</v>
      </c>
      <c r="AK34" s="931">
        <f t="shared" si="61"/>
        <v>0</v>
      </c>
      <c r="AL34" s="996">
        <f t="shared" si="62"/>
        <v>0</v>
      </c>
      <c r="AM34" s="997"/>
      <c r="AN34" s="998"/>
      <c r="AO34" s="998"/>
      <c r="AP34" s="998"/>
      <c r="AQ34" s="998"/>
      <c r="AR34" s="998"/>
      <c r="AS34" s="998"/>
      <c r="AT34" s="998"/>
      <c r="AU34" s="998"/>
      <c r="AV34" s="998"/>
      <c r="AW34" s="998"/>
      <c r="AX34" s="998"/>
      <c r="AY34" s="999">
        <f t="shared" si="64"/>
        <v>0</v>
      </c>
      <c r="AZ34" s="1000">
        <f t="shared" si="65"/>
        <v>0</v>
      </c>
      <c r="BA34" s="1001">
        <f t="shared" si="65"/>
        <v>0</v>
      </c>
      <c r="BB34" s="1001">
        <f t="shared" si="65"/>
        <v>0</v>
      </c>
      <c r="BC34" s="1001">
        <f t="shared" si="65"/>
        <v>0</v>
      </c>
      <c r="BD34" s="1001">
        <f t="shared" si="65"/>
        <v>0</v>
      </c>
      <c r="BE34" s="1001">
        <f t="shared" si="65"/>
        <v>0</v>
      </c>
      <c r="BF34" s="1001">
        <f t="shared" si="65"/>
        <v>0</v>
      </c>
      <c r="BG34" s="1001">
        <f t="shared" si="65"/>
        <v>0</v>
      </c>
      <c r="BH34" s="1001">
        <f t="shared" si="65"/>
        <v>0</v>
      </c>
      <c r="BI34" s="1001">
        <f t="shared" si="65"/>
        <v>0</v>
      </c>
      <c r="BJ34" s="1001">
        <f t="shared" si="65"/>
        <v>0</v>
      </c>
      <c r="BK34" s="1001">
        <f t="shared" si="65"/>
        <v>0</v>
      </c>
      <c r="BL34" s="1002">
        <f t="shared" si="47"/>
        <v>0</v>
      </c>
      <c r="BM34" s="997">
        <f>522815/12</f>
        <v>43567.916666666664</v>
      </c>
      <c r="BN34" s="998">
        <f t="shared" ref="BN34:BX34" si="79">522815/12</f>
        <v>43567.916666666664</v>
      </c>
      <c r="BO34" s="998">
        <f t="shared" si="79"/>
        <v>43567.916666666664</v>
      </c>
      <c r="BP34" s="998">
        <f t="shared" si="79"/>
        <v>43567.916666666664</v>
      </c>
      <c r="BQ34" s="998">
        <f t="shared" si="79"/>
        <v>43567.916666666664</v>
      </c>
      <c r="BR34" s="998">
        <f t="shared" si="79"/>
        <v>43567.916666666664</v>
      </c>
      <c r="BS34" s="998">
        <f t="shared" si="79"/>
        <v>43567.916666666664</v>
      </c>
      <c r="BT34" s="998">
        <f t="shared" si="79"/>
        <v>43567.916666666664</v>
      </c>
      <c r="BU34" s="998">
        <f t="shared" si="79"/>
        <v>43567.916666666664</v>
      </c>
      <c r="BV34" s="998">
        <f t="shared" si="79"/>
        <v>43567.916666666664</v>
      </c>
      <c r="BW34" s="998">
        <f t="shared" si="79"/>
        <v>43567.916666666664</v>
      </c>
      <c r="BX34" s="998">
        <f t="shared" si="79"/>
        <v>43567.916666666664</v>
      </c>
      <c r="BY34" s="999">
        <f t="shared" si="66"/>
        <v>522815.00000000006</v>
      </c>
      <c r="BZ34" s="1000">
        <f t="shared" si="67"/>
        <v>106305.71666666666</v>
      </c>
      <c r="CA34" s="1001">
        <f t="shared" si="67"/>
        <v>106305.71666666666</v>
      </c>
      <c r="CB34" s="1001">
        <f t="shared" si="67"/>
        <v>106305.71666666666</v>
      </c>
      <c r="CC34" s="1001">
        <f t="shared" si="67"/>
        <v>106305.71666666666</v>
      </c>
      <c r="CD34" s="1001">
        <f t="shared" si="67"/>
        <v>106305.71666666666</v>
      </c>
      <c r="CE34" s="1001">
        <f t="shared" si="67"/>
        <v>106305.71666666666</v>
      </c>
      <c r="CF34" s="1001">
        <f t="shared" si="67"/>
        <v>106305.71666666666</v>
      </c>
      <c r="CG34" s="1001">
        <f t="shared" si="67"/>
        <v>106305.71666666666</v>
      </c>
      <c r="CH34" s="1001">
        <f t="shared" si="67"/>
        <v>106305.71666666666</v>
      </c>
      <c r="CI34" s="1001">
        <f t="shared" si="67"/>
        <v>106305.71666666666</v>
      </c>
      <c r="CJ34" s="1001">
        <f t="shared" si="67"/>
        <v>106305.71666666666</v>
      </c>
      <c r="CK34" s="1001">
        <f t="shared" si="67"/>
        <v>106305.71666666666</v>
      </c>
      <c r="CL34" s="1002">
        <f t="shared" si="68"/>
        <v>1275668.5999999996</v>
      </c>
      <c r="CM34" s="997">
        <f>351187/12</f>
        <v>29265.583333333332</v>
      </c>
      <c r="CN34" s="998">
        <f t="shared" ref="CN34:CX34" si="80">351187/12</f>
        <v>29265.583333333332</v>
      </c>
      <c r="CO34" s="998">
        <f t="shared" si="80"/>
        <v>29265.583333333332</v>
      </c>
      <c r="CP34" s="998">
        <f t="shared" si="80"/>
        <v>29265.583333333332</v>
      </c>
      <c r="CQ34" s="998">
        <f t="shared" si="80"/>
        <v>29265.583333333332</v>
      </c>
      <c r="CR34" s="998">
        <f t="shared" si="80"/>
        <v>29265.583333333332</v>
      </c>
      <c r="CS34" s="998">
        <f t="shared" si="80"/>
        <v>29265.583333333332</v>
      </c>
      <c r="CT34" s="998">
        <f t="shared" si="80"/>
        <v>29265.583333333332</v>
      </c>
      <c r="CU34" s="998">
        <f t="shared" si="80"/>
        <v>29265.583333333332</v>
      </c>
      <c r="CV34" s="998">
        <f t="shared" si="80"/>
        <v>29265.583333333332</v>
      </c>
      <c r="CW34" s="998">
        <f t="shared" si="80"/>
        <v>29265.583333333332</v>
      </c>
      <c r="CX34" s="998">
        <f t="shared" si="80"/>
        <v>29265.583333333332</v>
      </c>
      <c r="CY34" s="999">
        <f t="shared" si="69"/>
        <v>351186.99999999994</v>
      </c>
      <c r="CZ34" s="1000">
        <f t="shared" si="70"/>
        <v>71408.023333333331</v>
      </c>
      <c r="DA34" s="1001">
        <f t="shared" si="70"/>
        <v>71408.023333333331</v>
      </c>
      <c r="DB34" s="1001">
        <f t="shared" si="70"/>
        <v>71408.023333333331</v>
      </c>
      <c r="DC34" s="1001">
        <f t="shared" si="70"/>
        <v>71408.023333333331</v>
      </c>
      <c r="DD34" s="1001">
        <f t="shared" si="70"/>
        <v>71408.023333333331</v>
      </c>
      <c r="DE34" s="1001">
        <f t="shared" si="70"/>
        <v>71408.023333333331</v>
      </c>
      <c r="DF34" s="1001">
        <f t="shared" si="70"/>
        <v>71408.023333333331</v>
      </c>
      <c r="DG34" s="1001">
        <f t="shared" si="70"/>
        <v>71408.023333333331</v>
      </c>
      <c r="DH34" s="1001">
        <f t="shared" si="70"/>
        <v>71408.023333333331</v>
      </c>
      <c r="DI34" s="1001">
        <f t="shared" si="70"/>
        <v>71408.023333333331</v>
      </c>
      <c r="DJ34" s="1001">
        <f t="shared" si="70"/>
        <v>71408.023333333331</v>
      </c>
      <c r="DK34" s="1001">
        <f t="shared" si="70"/>
        <v>71408.023333333331</v>
      </c>
      <c r="DL34" s="1002">
        <f t="shared" si="50"/>
        <v>856896.27999999991</v>
      </c>
      <c r="DM34" s="997">
        <f>330065/12</f>
        <v>27505.416666666668</v>
      </c>
      <c r="DN34" s="998">
        <f t="shared" ref="DN34:DX34" si="81">330065/12</f>
        <v>27505.416666666668</v>
      </c>
      <c r="DO34" s="998">
        <f t="shared" si="81"/>
        <v>27505.416666666668</v>
      </c>
      <c r="DP34" s="998">
        <f t="shared" si="81"/>
        <v>27505.416666666668</v>
      </c>
      <c r="DQ34" s="998">
        <f t="shared" si="81"/>
        <v>27505.416666666668</v>
      </c>
      <c r="DR34" s="998">
        <f t="shared" si="81"/>
        <v>27505.416666666668</v>
      </c>
      <c r="DS34" s="998">
        <f t="shared" si="81"/>
        <v>27505.416666666668</v>
      </c>
      <c r="DT34" s="998">
        <f t="shared" si="81"/>
        <v>27505.416666666668</v>
      </c>
      <c r="DU34" s="998">
        <f t="shared" si="81"/>
        <v>27505.416666666668</v>
      </c>
      <c r="DV34" s="998">
        <f t="shared" si="81"/>
        <v>27505.416666666668</v>
      </c>
      <c r="DW34" s="998">
        <f t="shared" si="81"/>
        <v>27505.416666666668</v>
      </c>
      <c r="DX34" s="998">
        <f t="shared" si="81"/>
        <v>27505.416666666668</v>
      </c>
      <c r="DY34" s="999">
        <f t="shared" si="71"/>
        <v>330065</v>
      </c>
      <c r="DZ34" s="1000">
        <f t="shared" si="72"/>
        <v>67113.216666666674</v>
      </c>
      <c r="EA34" s="1001">
        <f t="shared" si="72"/>
        <v>67113.216666666674</v>
      </c>
      <c r="EB34" s="1001">
        <f t="shared" si="72"/>
        <v>67113.216666666674</v>
      </c>
      <c r="EC34" s="1001">
        <f t="shared" si="72"/>
        <v>67113.216666666674</v>
      </c>
      <c r="ED34" s="1001">
        <f t="shared" si="72"/>
        <v>67113.216666666674</v>
      </c>
      <c r="EE34" s="1001">
        <f t="shared" si="72"/>
        <v>67113.216666666674</v>
      </c>
      <c r="EF34" s="1001">
        <f t="shared" si="72"/>
        <v>67113.216666666674</v>
      </c>
      <c r="EG34" s="1001">
        <f t="shared" si="72"/>
        <v>67113.216666666674</v>
      </c>
      <c r="EH34" s="1001">
        <f t="shared" si="72"/>
        <v>67113.216666666674</v>
      </c>
      <c r="EI34" s="1001">
        <f t="shared" si="72"/>
        <v>67113.216666666674</v>
      </c>
      <c r="EJ34" s="1001">
        <f t="shared" si="72"/>
        <v>67113.216666666674</v>
      </c>
      <c r="EK34" s="1001">
        <f t="shared" si="72"/>
        <v>67113.216666666674</v>
      </c>
      <c r="EL34" s="1002">
        <f t="shared" si="52"/>
        <v>805358.60000000009</v>
      </c>
    </row>
    <row r="35" spans="1:142" s="936" customFormat="1">
      <c r="A35" s="987" t="s">
        <v>667</v>
      </c>
      <c r="B35" s="913" t="s">
        <v>673</v>
      </c>
      <c r="C35" s="988" t="s">
        <v>54</v>
      </c>
      <c r="D35" s="989"/>
      <c r="E35" s="990"/>
      <c r="F35" s="990"/>
      <c r="G35" s="991"/>
      <c r="H35" s="989">
        <v>2.66</v>
      </c>
      <c r="I35" s="990">
        <f>H35</f>
        <v>2.66</v>
      </c>
      <c r="J35" s="990">
        <f t="shared" si="73"/>
        <v>2.66</v>
      </c>
      <c r="K35" s="992">
        <f t="shared" si="73"/>
        <v>2.66</v>
      </c>
      <c r="L35" s="993"/>
      <c r="M35" s="994"/>
      <c r="N35" s="995"/>
      <c r="O35" s="995"/>
      <c r="P35" s="995"/>
      <c r="Q35" s="995"/>
      <c r="R35" s="995"/>
      <c r="S35" s="995"/>
      <c r="T35" s="995"/>
      <c r="U35" s="995"/>
      <c r="V35" s="995"/>
      <c r="W35" s="995"/>
      <c r="X35" s="995"/>
      <c r="Y35" s="945">
        <f t="shared" si="58"/>
        <v>0</v>
      </c>
      <c r="Z35" s="930">
        <f t="shared" si="78"/>
        <v>0</v>
      </c>
      <c r="AA35" s="931">
        <f t="shared" si="78"/>
        <v>0</v>
      </c>
      <c r="AB35" s="931">
        <v>0</v>
      </c>
      <c r="AC35" s="931">
        <f t="shared" si="59"/>
        <v>0</v>
      </c>
      <c r="AD35" s="257">
        <f>Q35*$E35</f>
        <v>0</v>
      </c>
      <c r="AE35" s="931">
        <v>0</v>
      </c>
      <c r="AF35" s="931">
        <f t="shared" si="74"/>
        <v>0</v>
      </c>
      <c r="AG35" s="931">
        <f t="shared" si="60"/>
        <v>0</v>
      </c>
      <c r="AH35" s="931">
        <f t="shared" si="60"/>
        <v>0</v>
      </c>
      <c r="AI35" s="931">
        <f t="shared" si="61"/>
        <v>0</v>
      </c>
      <c r="AJ35" s="931">
        <f t="shared" si="61"/>
        <v>0</v>
      </c>
      <c r="AK35" s="931">
        <f t="shared" si="61"/>
        <v>0</v>
      </c>
      <c r="AL35" s="996">
        <f t="shared" si="62"/>
        <v>0</v>
      </c>
      <c r="AM35" s="997"/>
      <c r="AN35" s="998"/>
      <c r="AO35" s="998"/>
      <c r="AP35" s="998"/>
      <c r="AQ35" s="998"/>
      <c r="AR35" s="998"/>
      <c r="AS35" s="998"/>
      <c r="AT35" s="998"/>
      <c r="AU35" s="998"/>
      <c r="AV35" s="998"/>
      <c r="AW35" s="998"/>
      <c r="AX35" s="998"/>
      <c r="AY35" s="999">
        <f t="shared" si="64"/>
        <v>0</v>
      </c>
      <c r="AZ35" s="1000">
        <f t="shared" si="65"/>
        <v>0</v>
      </c>
      <c r="BA35" s="1001">
        <f t="shared" si="65"/>
        <v>0</v>
      </c>
      <c r="BB35" s="1001">
        <f t="shared" si="65"/>
        <v>0</v>
      </c>
      <c r="BC35" s="1001">
        <f t="shared" si="65"/>
        <v>0</v>
      </c>
      <c r="BD35" s="1001">
        <f t="shared" si="65"/>
        <v>0</v>
      </c>
      <c r="BE35" s="1001">
        <f t="shared" si="65"/>
        <v>0</v>
      </c>
      <c r="BF35" s="1001">
        <f t="shared" si="65"/>
        <v>0</v>
      </c>
      <c r="BG35" s="1001">
        <f t="shared" si="65"/>
        <v>0</v>
      </c>
      <c r="BH35" s="1001">
        <f t="shared" si="65"/>
        <v>0</v>
      </c>
      <c r="BI35" s="1001">
        <f t="shared" si="65"/>
        <v>0</v>
      </c>
      <c r="BJ35" s="1001">
        <f t="shared" si="65"/>
        <v>0</v>
      </c>
      <c r="BK35" s="1001">
        <f t="shared" si="65"/>
        <v>0</v>
      </c>
      <c r="BL35" s="1002">
        <f t="shared" si="47"/>
        <v>0</v>
      </c>
      <c r="BM35" s="997">
        <f>(109566+50161)/12</f>
        <v>13310.583333333334</v>
      </c>
      <c r="BN35" s="998">
        <f t="shared" ref="BN35:BX35" si="82">(109566+50161)/12</f>
        <v>13310.583333333334</v>
      </c>
      <c r="BO35" s="998">
        <f t="shared" si="82"/>
        <v>13310.583333333334</v>
      </c>
      <c r="BP35" s="998">
        <f t="shared" si="82"/>
        <v>13310.583333333334</v>
      </c>
      <c r="BQ35" s="998">
        <f t="shared" si="82"/>
        <v>13310.583333333334</v>
      </c>
      <c r="BR35" s="998">
        <f t="shared" si="82"/>
        <v>13310.583333333334</v>
      </c>
      <c r="BS35" s="998">
        <f t="shared" si="82"/>
        <v>13310.583333333334</v>
      </c>
      <c r="BT35" s="998">
        <f t="shared" si="82"/>
        <v>13310.583333333334</v>
      </c>
      <c r="BU35" s="998">
        <f t="shared" si="82"/>
        <v>13310.583333333334</v>
      </c>
      <c r="BV35" s="998">
        <f t="shared" si="82"/>
        <v>13310.583333333334</v>
      </c>
      <c r="BW35" s="998">
        <f t="shared" si="82"/>
        <v>13310.583333333334</v>
      </c>
      <c r="BX35" s="998">
        <f t="shared" si="82"/>
        <v>13310.583333333334</v>
      </c>
      <c r="BY35" s="999">
        <f t="shared" si="66"/>
        <v>159727</v>
      </c>
      <c r="BZ35" s="1000">
        <f t="shared" si="67"/>
        <v>35406.151666666672</v>
      </c>
      <c r="CA35" s="1001">
        <f t="shared" si="67"/>
        <v>35406.151666666672</v>
      </c>
      <c r="CB35" s="1001">
        <f t="shared" si="67"/>
        <v>35406.151666666672</v>
      </c>
      <c r="CC35" s="1001">
        <f t="shared" si="67"/>
        <v>35406.151666666672</v>
      </c>
      <c r="CD35" s="1001">
        <f t="shared" si="67"/>
        <v>35406.151666666672</v>
      </c>
      <c r="CE35" s="1001">
        <f t="shared" si="67"/>
        <v>35406.151666666672</v>
      </c>
      <c r="CF35" s="1001">
        <f t="shared" si="67"/>
        <v>35406.151666666672</v>
      </c>
      <c r="CG35" s="1001">
        <f t="shared" si="67"/>
        <v>35406.151666666672</v>
      </c>
      <c r="CH35" s="1001">
        <f t="shared" si="67"/>
        <v>35406.151666666672</v>
      </c>
      <c r="CI35" s="1001">
        <f t="shared" si="67"/>
        <v>35406.151666666672</v>
      </c>
      <c r="CJ35" s="1001">
        <f t="shared" si="67"/>
        <v>35406.151666666672</v>
      </c>
      <c r="CK35" s="1001">
        <f t="shared" si="67"/>
        <v>35406.151666666672</v>
      </c>
      <c r="CL35" s="1002">
        <f t="shared" si="68"/>
        <v>424873.82000000007</v>
      </c>
      <c r="CM35" s="997">
        <f>(80983+60194)/12</f>
        <v>11764.75</v>
      </c>
      <c r="CN35" s="998">
        <f t="shared" ref="CN35:CX35" si="83">(80983+60194)/12</f>
        <v>11764.75</v>
      </c>
      <c r="CO35" s="998">
        <f t="shared" si="83"/>
        <v>11764.75</v>
      </c>
      <c r="CP35" s="998">
        <f t="shared" si="83"/>
        <v>11764.75</v>
      </c>
      <c r="CQ35" s="998">
        <f t="shared" si="83"/>
        <v>11764.75</v>
      </c>
      <c r="CR35" s="998">
        <f t="shared" si="83"/>
        <v>11764.75</v>
      </c>
      <c r="CS35" s="998">
        <f t="shared" si="83"/>
        <v>11764.75</v>
      </c>
      <c r="CT35" s="998">
        <f t="shared" si="83"/>
        <v>11764.75</v>
      </c>
      <c r="CU35" s="998">
        <f t="shared" si="83"/>
        <v>11764.75</v>
      </c>
      <c r="CV35" s="998">
        <f t="shared" si="83"/>
        <v>11764.75</v>
      </c>
      <c r="CW35" s="998">
        <f t="shared" si="83"/>
        <v>11764.75</v>
      </c>
      <c r="CX35" s="998">
        <f t="shared" si="83"/>
        <v>11764.75</v>
      </c>
      <c r="CY35" s="999">
        <f t="shared" si="69"/>
        <v>141177</v>
      </c>
      <c r="CZ35" s="1000">
        <f t="shared" si="70"/>
        <v>31294.235000000001</v>
      </c>
      <c r="DA35" s="1001">
        <f t="shared" si="70"/>
        <v>31294.235000000001</v>
      </c>
      <c r="DB35" s="1001">
        <f t="shared" si="70"/>
        <v>31294.235000000001</v>
      </c>
      <c r="DC35" s="1001">
        <f t="shared" si="70"/>
        <v>31294.235000000001</v>
      </c>
      <c r="DD35" s="1001">
        <f t="shared" si="70"/>
        <v>31294.235000000001</v>
      </c>
      <c r="DE35" s="1001">
        <f t="shared" si="70"/>
        <v>31294.235000000001</v>
      </c>
      <c r="DF35" s="1001">
        <f t="shared" si="70"/>
        <v>31294.235000000001</v>
      </c>
      <c r="DG35" s="1001">
        <f t="shared" si="70"/>
        <v>31294.235000000001</v>
      </c>
      <c r="DH35" s="1001">
        <f t="shared" si="70"/>
        <v>31294.235000000001</v>
      </c>
      <c r="DI35" s="1001">
        <f t="shared" si="70"/>
        <v>31294.235000000001</v>
      </c>
      <c r="DJ35" s="1001">
        <f t="shared" si="70"/>
        <v>31294.235000000001</v>
      </c>
      <c r="DK35" s="1001">
        <f t="shared" si="70"/>
        <v>31294.235000000001</v>
      </c>
      <c r="DL35" s="1002">
        <f t="shared" si="50"/>
        <v>375530.81999999989</v>
      </c>
      <c r="DM35" s="997">
        <f>(854+60194)/12</f>
        <v>5087.333333333333</v>
      </c>
      <c r="DN35" s="998">
        <f t="shared" ref="DN35:DX35" si="84">(854+60194)/12</f>
        <v>5087.333333333333</v>
      </c>
      <c r="DO35" s="998">
        <f t="shared" si="84"/>
        <v>5087.333333333333</v>
      </c>
      <c r="DP35" s="998">
        <f t="shared" si="84"/>
        <v>5087.333333333333</v>
      </c>
      <c r="DQ35" s="998">
        <f t="shared" si="84"/>
        <v>5087.333333333333</v>
      </c>
      <c r="DR35" s="998">
        <f t="shared" si="84"/>
        <v>5087.333333333333</v>
      </c>
      <c r="DS35" s="998">
        <f t="shared" si="84"/>
        <v>5087.333333333333</v>
      </c>
      <c r="DT35" s="998">
        <f t="shared" si="84"/>
        <v>5087.333333333333</v>
      </c>
      <c r="DU35" s="998">
        <f t="shared" si="84"/>
        <v>5087.333333333333</v>
      </c>
      <c r="DV35" s="998">
        <f t="shared" si="84"/>
        <v>5087.333333333333</v>
      </c>
      <c r="DW35" s="998">
        <f t="shared" si="84"/>
        <v>5087.333333333333</v>
      </c>
      <c r="DX35" s="998">
        <f t="shared" si="84"/>
        <v>5087.333333333333</v>
      </c>
      <c r="DY35" s="999">
        <f t="shared" si="71"/>
        <v>61048.000000000007</v>
      </c>
      <c r="DZ35" s="1000">
        <f t="shared" si="72"/>
        <v>13532.306666666667</v>
      </c>
      <c r="EA35" s="1001">
        <f t="shared" si="72"/>
        <v>13532.306666666667</v>
      </c>
      <c r="EB35" s="1001">
        <f t="shared" si="72"/>
        <v>13532.306666666667</v>
      </c>
      <c r="EC35" s="1001">
        <f t="shared" si="72"/>
        <v>13532.306666666667</v>
      </c>
      <c r="ED35" s="1001">
        <f t="shared" si="72"/>
        <v>13532.306666666667</v>
      </c>
      <c r="EE35" s="1001">
        <f t="shared" si="72"/>
        <v>13532.306666666667</v>
      </c>
      <c r="EF35" s="1001">
        <f t="shared" si="72"/>
        <v>13532.306666666667</v>
      </c>
      <c r="EG35" s="1001">
        <f t="shared" si="72"/>
        <v>13532.306666666667</v>
      </c>
      <c r="EH35" s="1001">
        <f t="shared" si="72"/>
        <v>13532.306666666667</v>
      </c>
      <c r="EI35" s="1001">
        <f t="shared" si="72"/>
        <v>13532.306666666667</v>
      </c>
      <c r="EJ35" s="1001">
        <f t="shared" si="72"/>
        <v>13532.306666666667</v>
      </c>
      <c r="EK35" s="1001">
        <f t="shared" si="72"/>
        <v>13532.306666666667</v>
      </c>
      <c r="EL35" s="1002">
        <f t="shared" si="52"/>
        <v>162387.68000000002</v>
      </c>
    </row>
    <row r="36" spans="1:142" s="936" customFormat="1">
      <c r="A36" s="987" t="s">
        <v>667</v>
      </c>
      <c r="B36" s="913" t="s">
        <v>674</v>
      </c>
      <c r="C36" s="988" t="s">
        <v>670</v>
      </c>
      <c r="D36" s="989"/>
      <c r="E36" s="990"/>
      <c r="F36" s="990"/>
      <c r="G36" s="991"/>
      <c r="H36" s="989">
        <f>H34-0.14</f>
        <v>2.2999999999999998</v>
      </c>
      <c r="I36" s="990">
        <f>H36</f>
        <v>2.2999999999999998</v>
      </c>
      <c r="J36" s="990">
        <f t="shared" si="73"/>
        <v>2.2999999999999998</v>
      </c>
      <c r="K36" s="992">
        <f t="shared" si="73"/>
        <v>2.2999999999999998</v>
      </c>
      <c r="L36" s="993"/>
      <c r="M36" s="994"/>
      <c r="N36" s="995"/>
      <c r="O36" s="995"/>
      <c r="P36" s="995"/>
      <c r="Q36" s="995"/>
      <c r="R36" s="995"/>
      <c r="S36" s="995"/>
      <c r="T36" s="995"/>
      <c r="U36" s="995"/>
      <c r="V36" s="995"/>
      <c r="W36" s="995"/>
      <c r="X36" s="995"/>
      <c r="Y36" s="945">
        <f t="shared" si="58"/>
        <v>0</v>
      </c>
      <c r="Z36" s="930">
        <f t="shared" si="78"/>
        <v>0</v>
      </c>
      <c r="AA36" s="931">
        <f t="shared" si="78"/>
        <v>0</v>
      </c>
      <c r="AB36" s="931">
        <v>0</v>
      </c>
      <c r="AC36" s="931">
        <f t="shared" si="59"/>
        <v>0</v>
      </c>
      <c r="AD36" s="257">
        <f>Q36*$E36</f>
        <v>0</v>
      </c>
      <c r="AE36" s="931">
        <v>0</v>
      </c>
      <c r="AF36" s="931">
        <f t="shared" si="74"/>
        <v>0</v>
      </c>
      <c r="AG36" s="931">
        <f t="shared" si="60"/>
        <v>0</v>
      </c>
      <c r="AH36" s="931">
        <f t="shared" si="60"/>
        <v>0</v>
      </c>
      <c r="AI36" s="931">
        <f t="shared" si="61"/>
        <v>0</v>
      </c>
      <c r="AJ36" s="931">
        <f t="shared" si="61"/>
        <v>0</v>
      </c>
      <c r="AK36" s="931">
        <f t="shared" si="61"/>
        <v>0</v>
      </c>
      <c r="AL36" s="996">
        <f t="shared" si="62"/>
        <v>0</v>
      </c>
      <c r="AM36" s="997"/>
      <c r="AN36" s="998"/>
      <c r="AO36" s="998"/>
      <c r="AP36" s="998"/>
      <c r="AQ36" s="998"/>
      <c r="AR36" s="998"/>
      <c r="AS36" s="998"/>
      <c r="AT36" s="998"/>
      <c r="AU36" s="998"/>
      <c r="AV36" s="998"/>
      <c r="AW36" s="998"/>
      <c r="AX36" s="998"/>
      <c r="AY36" s="999">
        <f t="shared" si="64"/>
        <v>0</v>
      </c>
      <c r="AZ36" s="1000">
        <f t="shared" si="65"/>
        <v>0</v>
      </c>
      <c r="BA36" s="1001">
        <f t="shared" si="65"/>
        <v>0</v>
      </c>
      <c r="BB36" s="1001">
        <f t="shared" si="65"/>
        <v>0</v>
      </c>
      <c r="BC36" s="1001">
        <f t="shared" si="65"/>
        <v>0</v>
      </c>
      <c r="BD36" s="1001">
        <f t="shared" si="65"/>
        <v>0</v>
      </c>
      <c r="BE36" s="1001">
        <f t="shared" si="65"/>
        <v>0</v>
      </c>
      <c r="BF36" s="1001">
        <f t="shared" si="65"/>
        <v>0</v>
      </c>
      <c r="BG36" s="1001">
        <f t="shared" si="65"/>
        <v>0</v>
      </c>
      <c r="BH36" s="1001">
        <f t="shared" si="65"/>
        <v>0</v>
      </c>
      <c r="BI36" s="1001">
        <f t="shared" si="65"/>
        <v>0</v>
      </c>
      <c r="BJ36" s="1001">
        <f t="shared" si="65"/>
        <v>0</v>
      </c>
      <c r="BK36" s="1001">
        <f t="shared" si="65"/>
        <v>0</v>
      </c>
      <c r="BL36" s="1002">
        <f t="shared" si="47"/>
        <v>0</v>
      </c>
      <c r="BM36" s="997"/>
      <c r="BN36" s="998"/>
      <c r="BO36" s="998"/>
      <c r="BP36" s="998"/>
      <c r="BQ36" s="998"/>
      <c r="BR36" s="998"/>
      <c r="BS36" s="998"/>
      <c r="BT36" s="998"/>
      <c r="BU36" s="998"/>
      <c r="BV36" s="998"/>
      <c r="BW36" s="998"/>
      <c r="BX36" s="998"/>
      <c r="BY36" s="999">
        <f t="shared" si="66"/>
        <v>0</v>
      </c>
      <c r="BZ36" s="1000">
        <f t="shared" si="67"/>
        <v>0</v>
      </c>
      <c r="CA36" s="1001">
        <f t="shared" si="67"/>
        <v>0</v>
      </c>
      <c r="CB36" s="1001">
        <f t="shared" si="67"/>
        <v>0</v>
      </c>
      <c r="CC36" s="1001">
        <f t="shared" si="67"/>
        <v>0</v>
      </c>
      <c r="CD36" s="1001">
        <f t="shared" si="67"/>
        <v>0</v>
      </c>
      <c r="CE36" s="1001">
        <f t="shared" si="67"/>
        <v>0</v>
      </c>
      <c r="CF36" s="1001">
        <f t="shared" si="67"/>
        <v>0</v>
      </c>
      <c r="CG36" s="1001">
        <f t="shared" si="67"/>
        <v>0</v>
      </c>
      <c r="CH36" s="1001">
        <f t="shared" si="67"/>
        <v>0</v>
      </c>
      <c r="CI36" s="1001">
        <f t="shared" si="67"/>
        <v>0</v>
      </c>
      <c r="CJ36" s="1001">
        <f t="shared" si="67"/>
        <v>0</v>
      </c>
      <c r="CK36" s="1001">
        <f t="shared" si="67"/>
        <v>0</v>
      </c>
      <c r="CL36" s="1002">
        <f t="shared" si="68"/>
        <v>0</v>
      </c>
      <c r="CM36" s="997"/>
      <c r="CN36" s="998"/>
      <c r="CO36" s="998"/>
      <c r="CP36" s="998"/>
      <c r="CQ36" s="998"/>
      <c r="CR36" s="998"/>
      <c r="CS36" s="998"/>
      <c r="CT36" s="998"/>
      <c r="CU36" s="998"/>
      <c r="CV36" s="998"/>
      <c r="CW36" s="998"/>
      <c r="CX36" s="998"/>
      <c r="CY36" s="999">
        <f t="shared" si="69"/>
        <v>0</v>
      </c>
      <c r="CZ36" s="1000">
        <f t="shared" si="70"/>
        <v>0</v>
      </c>
      <c r="DA36" s="1001">
        <f t="shared" si="70"/>
        <v>0</v>
      </c>
      <c r="DB36" s="1001">
        <f t="shared" si="70"/>
        <v>0</v>
      </c>
      <c r="DC36" s="1001">
        <f t="shared" si="70"/>
        <v>0</v>
      </c>
      <c r="DD36" s="1001">
        <f t="shared" si="70"/>
        <v>0</v>
      </c>
      <c r="DE36" s="1001">
        <f t="shared" si="70"/>
        <v>0</v>
      </c>
      <c r="DF36" s="1001">
        <f t="shared" si="70"/>
        <v>0</v>
      </c>
      <c r="DG36" s="1001">
        <f t="shared" si="70"/>
        <v>0</v>
      </c>
      <c r="DH36" s="1001">
        <f t="shared" si="70"/>
        <v>0</v>
      </c>
      <c r="DI36" s="1001">
        <f t="shared" si="70"/>
        <v>0</v>
      </c>
      <c r="DJ36" s="1001">
        <f t="shared" si="70"/>
        <v>0</v>
      </c>
      <c r="DK36" s="1001">
        <f t="shared" si="70"/>
        <v>0</v>
      </c>
      <c r="DL36" s="1002">
        <f t="shared" si="50"/>
        <v>0</v>
      </c>
      <c r="DM36" s="997"/>
      <c r="DN36" s="998"/>
      <c r="DO36" s="998"/>
      <c r="DP36" s="998"/>
      <c r="DQ36" s="998"/>
      <c r="DR36" s="998"/>
      <c r="DS36" s="998"/>
      <c r="DT36" s="998"/>
      <c r="DU36" s="998"/>
      <c r="DV36" s="998"/>
      <c r="DW36" s="998"/>
      <c r="DX36" s="998"/>
      <c r="DY36" s="999">
        <f t="shared" si="71"/>
        <v>0</v>
      </c>
      <c r="DZ36" s="1000">
        <f t="shared" si="72"/>
        <v>0</v>
      </c>
      <c r="EA36" s="1001">
        <f t="shared" si="72"/>
        <v>0</v>
      </c>
      <c r="EB36" s="1001">
        <f t="shared" si="72"/>
        <v>0</v>
      </c>
      <c r="EC36" s="1001">
        <f t="shared" si="72"/>
        <v>0</v>
      </c>
      <c r="ED36" s="1001">
        <f t="shared" si="72"/>
        <v>0</v>
      </c>
      <c r="EE36" s="1001">
        <f t="shared" si="72"/>
        <v>0</v>
      </c>
      <c r="EF36" s="1001">
        <f t="shared" si="72"/>
        <v>0</v>
      </c>
      <c r="EG36" s="1001">
        <f t="shared" si="72"/>
        <v>0</v>
      </c>
      <c r="EH36" s="1001">
        <f t="shared" si="72"/>
        <v>0</v>
      </c>
      <c r="EI36" s="1001">
        <f t="shared" si="72"/>
        <v>0</v>
      </c>
      <c r="EJ36" s="1001">
        <f t="shared" si="72"/>
        <v>0</v>
      </c>
      <c r="EK36" s="1001">
        <f t="shared" si="72"/>
        <v>0</v>
      </c>
      <c r="EL36" s="1002">
        <f t="shared" si="52"/>
        <v>0</v>
      </c>
    </row>
    <row r="37" spans="1:142" s="936" customFormat="1">
      <c r="A37" s="987" t="s">
        <v>667</v>
      </c>
      <c r="B37" s="913" t="s">
        <v>675</v>
      </c>
      <c r="C37" s="988" t="s">
        <v>671</v>
      </c>
      <c r="D37" s="989"/>
      <c r="E37" s="990"/>
      <c r="F37" s="990"/>
      <c r="G37" s="991"/>
      <c r="H37" s="989">
        <f>H35-0.14</f>
        <v>2.52</v>
      </c>
      <c r="I37" s="990">
        <f>H37</f>
        <v>2.52</v>
      </c>
      <c r="J37" s="990">
        <f t="shared" si="73"/>
        <v>2.52</v>
      </c>
      <c r="K37" s="992">
        <f t="shared" si="73"/>
        <v>2.52</v>
      </c>
      <c r="L37" s="993"/>
      <c r="M37" s="994"/>
      <c r="N37" s="995"/>
      <c r="O37" s="995"/>
      <c r="P37" s="995"/>
      <c r="Q37" s="995"/>
      <c r="R37" s="995"/>
      <c r="S37" s="995"/>
      <c r="T37" s="995"/>
      <c r="U37" s="995"/>
      <c r="V37" s="995"/>
      <c r="W37" s="995"/>
      <c r="X37" s="995"/>
      <c r="Y37" s="945">
        <f t="shared" si="58"/>
        <v>0</v>
      </c>
      <c r="Z37" s="930">
        <f t="shared" si="78"/>
        <v>0</v>
      </c>
      <c r="AA37" s="931">
        <f t="shared" si="78"/>
        <v>0</v>
      </c>
      <c r="AB37" s="931">
        <v>0</v>
      </c>
      <c r="AC37" s="931">
        <f t="shared" si="59"/>
        <v>0</v>
      </c>
      <c r="AD37" s="257">
        <f>Q37*$E37</f>
        <v>0</v>
      </c>
      <c r="AE37" s="931">
        <v>0</v>
      </c>
      <c r="AF37" s="931">
        <f t="shared" si="74"/>
        <v>0</v>
      </c>
      <c r="AG37" s="931">
        <f t="shared" si="60"/>
        <v>0</v>
      </c>
      <c r="AH37" s="931">
        <f t="shared" si="60"/>
        <v>0</v>
      </c>
      <c r="AI37" s="931">
        <f t="shared" si="61"/>
        <v>0</v>
      </c>
      <c r="AJ37" s="931">
        <f t="shared" si="61"/>
        <v>0</v>
      </c>
      <c r="AK37" s="931">
        <f t="shared" si="61"/>
        <v>0</v>
      </c>
      <c r="AL37" s="996">
        <f t="shared" si="62"/>
        <v>0</v>
      </c>
      <c r="AM37" s="997"/>
      <c r="AN37" s="998"/>
      <c r="AO37" s="998"/>
      <c r="AP37" s="998"/>
      <c r="AQ37" s="998"/>
      <c r="AR37" s="998"/>
      <c r="AS37" s="998"/>
      <c r="AT37" s="998"/>
      <c r="AU37" s="998"/>
      <c r="AV37" s="998"/>
      <c r="AW37" s="998"/>
      <c r="AX37" s="998"/>
      <c r="AY37" s="999">
        <f t="shared" si="64"/>
        <v>0</v>
      </c>
      <c r="AZ37" s="1000">
        <f t="shared" si="65"/>
        <v>0</v>
      </c>
      <c r="BA37" s="1001">
        <f t="shared" si="65"/>
        <v>0</v>
      </c>
      <c r="BB37" s="1001">
        <f t="shared" si="65"/>
        <v>0</v>
      </c>
      <c r="BC37" s="1001">
        <f t="shared" si="65"/>
        <v>0</v>
      </c>
      <c r="BD37" s="1001">
        <f t="shared" si="65"/>
        <v>0</v>
      </c>
      <c r="BE37" s="1001">
        <f t="shared" si="65"/>
        <v>0</v>
      </c>
      <c r="BF37" s="1001">
        <f t="shared" si="65"/>
        <v>0</v>
      </c>
      <c r="BG37" s="1001">
        <f t="shared" si="65"/>
        <v>0</v>
      </c>
      <c r="BH37" s="1001">
        <f t="shared" si="65"/>
        <v>0</v>
      </c>
      <c r="BI37" s="1001">
        <f t="shared" si="65"/>
        <v>0</v>
      </c>
      <c r="BJ37" s="1001">
        <f t="shared" si="65"/>
        <v>0</v>
      </c>
      <c r="BK37" s="1001">
        <f t="shared" si="65"/>
        <v>0</v>
      </c>
      <c r="BL37" s="1002">
        <f t="shared" si="47"/>
        <v>0</v>
      </c>
      <c r="BM37" s="997"/>
      <c r="BN37" s="998"/>
      <c r="BO37" s="998"/>
      <c r="BP37" s="998"/>
      <c r="BQ37" s="998"/>
      <c r="BR37" s="998"/>
      <c r="BS37" s="998"/>
      <c r="BT37" s="998"/>
      <c r="BU37" s="998"/>
      <c r="BV37" s="998"/>
      <c r="BW37" s="998"/>
      <c r="BX37" s="998"/>
      <c r="BY37" s="999">
        <f t="shared" si="66"/>
        <v>0</v>
      </c>
      <c r="BZ37" s="1000">
        <f t="shared" si="67"/>
        <v>0</v>
      </c>
      <c r="CA37" s="1001">
        <f t="shared" si="67"/>
        <v>0</v>
      </c>
      <c r="CB37" s="1001">
        <f t="shared" si="67"/>
        <v>0</v>
      </c>
      <c r="CC37" s="1001">
        <f t="shared" si="67"/>
        <v>0</v>
      </c>
      <c r="CD37" s="1001">
        <f t="shared" si="67"/>
        <v>0</v>
      </c>
      <c r="CE37" s="1001">
        <f t="shared" si="67"/>
        <v>0</v>
      </c>
      <c r="CF37" s="1001">
        <f t="shared" si="67"/>
        <v>0</v>
      </c>
      <c r="CG37" s="1001">
        <f t="shared" si="67"/>
        <v>0</v>
      </c>
      <c r="CH37" s="1001">
        <f t="shared" si="67"/>
        <v>0</v>
      </c>
      <c r="CI37" s="1001">
        <f t="shared" si="67"/>
        <v>0</v>
      </c>
      <c r="CJ37" s="1001">
        <f t="shared" si="67"/>
        <v>0</v>
      </c>
      <c r="CK37" s="1001">
        <f t="shared" si="67"/>
        <v>0</v>
      </c>
      <c r="CL37" s="1002">
        <f t="shared" si="68"/>
        <v>0</v>
      </c>
      <c r="CM37" s="997"/>
      <c r="CN37" s="998"/>
      <c r="CO37" s="998"/>
      <c r="CP37" s="998"/>
      <c r="CQ37" s="998"/>
      <c r="CR37" s="998"/>
      <c r="CS37" s="998"/>
      <c r="CT37" s="998"/>
      <c r="CU37" s="998"/>
      <c r="CV37" s="998"/>
      <c r="CW37" s="998"/>
      <c r="CX37" s="998"/>
      <c r="CY37" s="999">
        <f t="shared" si="69"/>
        <v>0</v>
      </c>
      <c r="CZ37" s="1000">
        <f t="shared" si="70"/>
        <v>0</v>
      </c>
      <c r="DA37" s="1001">
        <f t="shared" si="70"/>
        <v>0</v>
      </c>
      <c r="DB37" s="1001">
        <f t="shared" si="70"/>
        <v>0</v>
      </c>
      <c r="DC37" s="1001">
        <f t="shared" si="70"/>
        <v>0</v>
      </c>
      <c r="DD37" s="1001">
        <f t="shared" si="70"/>
        <v>0</v>
      </c>
      <c r="DE37" s="1001">
        <f t="shared" si="70"/>
        <v>0</v>
      </c>
      <c r="DF37" s="1001">
        <f t="shared" si="70"/>
        <v>0</v>
      </c>
      <c r="DG37" s="1001">
        <f t="shared" si="70"/>
        <v>0</v>
      </c>
      <c r="DH37" s="1001">
        <f t="shared" si="70"/>
        <v>0</v>
      </c>
      <c r="DI37" s="1001">
        <f t="shared" si="70"/>
        <v>0</v>
      </c>
      <c r="DJ37" s="1001">
        <f t="shared" si="70"/>
        <v>0</v>
      </c>
      <c r="DK37" s="1001">
        <f t="shared" si="70"/>
        <v>0</v>
      </c>
      <c r="DL37" s="1002">
        <f t="shared" si="50"/>
        <v>0</v>
      </c>
      <c r="DM37" s="997"/>
      <c r="DN37" s="998"/>
      <c r="DO37" s="998"/>
      <c r="DP37" s="998"/>
      <c r="DQ37" s="998"/>
      <c r="DR37" s="998"/>
      <c r="DS37" s="998"/>
      <c r="DT37" s="998"/>
      <c r="DU37" s="998"/>
      <c r="DV37" s="998"/>
      <c r="DW37" s="998"/>
      <c r="DX37" s="998"/>
      <c r="DY37" s="999">
        <f t="shared" si="71"/>
        <v>0</v>
      </c>
      <c r="DZ37" s="1000">
        <f t="shared" si="72"/>
        <v>0</v>
      </c>
      <c r="EA37" s="1001">
        <f t="shared" si="72"/>
        <v>0</v>
      </c>
      <c r="EB37" s="1001">
        <f t="shared" si="72"/>
        <v>0</v>
      </c>
      <c r="EC37" s="1001">
        <f t="shared" si="72"/>
        <v>0</v>
      </c>
      <c r="ED37" s="1001">
        <f t="shared" si="72"/>
        <v>0</v>
      </c>
      <c r="EE37" s="1001">
        <f t="shared" si="72"/>
        <v>0</v>
      </c>
      <c r="EF37" s="1001">
        <f t="shared" si="72"/>
        <v>0</v>
      </c>
      <c r="EG37" s="1001">
        <f t="shared" si="72"/>
        <v>0</v>
      </c>
      <c r="EH37" s="1001">
        <f t="shared" si="72"/>
        <v>0</v>
      </c>
      <c r="EI37" s="1001">
        <f t="shared" si="72"/>
        <v>0</v>
      </c>
      <c r="EJ37" s="1001">
        <f t="shared" si="72"/>
        <v>0</v>
      </c>
      <c r="EK37" s="1001">
        <f t="shared" si="72"/>
        <v>0</v>
      </c>
      <c r="EL37" s="1002">
        <f t="shared" si="52"/>
        <v>0</v>
      </c>
    </row>
    <row r="38" spans="1:142">
      <c r="A38" s="973" t="s">
        <v>667</v>
      </c>
      <c r="B38" s="913" t="s">
        <v>57</v>
      </c>
      <c r="C38" s="981" t="s">
        <v>676</v>
      </c>
      <c r="D38" s="558">
        <v>2.1</v>
      </c>
      <c r="E38" s="559">
        <v>2.1077661424397145</v>
      </c>
      <c r="F38" s="559">
        <v>2.1191326320213473</v>
      </c>
      <c r="G38" s="560">
        <v>2.17</v>
      </c>
      <c r="H38" s="558">
        <f t="shared" si="73"/>
        <v>2.17</v>
      </c>
      <c r="I38" s="559">
        <f t="shared" si="73"/>
        <v>2.17</v>
      </c>
      <c r="J38" s="559">
        <f t="shared" si="73"/>
        <v>2.17</v>
      </c>
      <c r="K38" s="982">
        <f t="shared" si="73"/>
        <v>2.17</v>
      </c>
      <c r="L38" s="983"/>
      <c r="M38" s="564">
        <v>22840</v>
      </c>
      <c r="N38" s="539">
        <v>14080</v>
      </c>
      <c r="O38" s="539">
        <v>21840</v>
      </c>
      <c r="P38" s="539">
        <v>23620</v>
      </c>
      <c r="Q38" s="539">
        <v>21180</v>
      </c>
      <c r="R38" s="539">
        <v>6713</v>
      </c>
      <c r="S38" s="539">
        <v>15120</v>
      </c>
      <c r="T38" s="539">
        <v>13927</v>
      </c>
      <c r="U38" s="539">
        <v>0</v>
      </c>
      <c r="V38" s="539">
        <v>10000</v>
      </c>
      <c r="W38" s="539"/>
      <c r="X38" s="539"/>
      <c r="Y38" s="885">
        <f t="shared" si="58"/>
        <v>149320</v>
      </c>
      <c r="Z38" s="886">
        <v>47964</v>
      </c>
      <c r="AA38" s="257">
        <v>29568</v>
      </c>
      <c r="AB38" s="257">
        <v>45864</v>
      </c>
      <c r="AC38" s="257">
        <v>49602</v>
      </c>
      <c r="AD38" s="257">
        <v>44478</v>
      </c>
      <c r="AE38" s="257">
        <v>14164.43</v>
      </c>
      <c r="AF38" s="257">
        <f>S38*2.11</f>
        <v>31903.199999999997</v>
      </c>
      <c r="AG38" s="257">
        <f t="shared" si="60"/>
        <v>29513.160166161302</v>
      </c>
      <c r="AH38" s="257">
        <f t="shared" si="60"/>
        <v>0</v>
      </c>
      <c r="AI38" s="257">
        <f t="shared" si="61"/>
        <v>21700</v>
      </c>
      <c r="AJ38" s="257">
        <f t="shared" si="61"/>
        <v>0</v>
      </c>
      <c r="AK38" s="257">
        <f t="shared" si="61"/>
        <v>0</v>
      </c>
      <c r="AL38" s="887">
        <f t="shared" si="62"/>
        <v>314756.79016616131</v>
      </c>
      <c r="AM38" s="984"/>
      <c r="AN38" s="985"/>
      <c r="AO38" s="985"/>
      <c r="AP38" s="985"/>
      <c r="AQ38" s="985"/>
      <c r="AR38" s="985"/>
      <c r="AS38" s="985"/>
      <c r="AT38" s="985"/>
      <c r="AU38" s="985"/>
      <c r="AV38" s="985"/>
      <c r="AW38" s="985"/>
      <c r="AX38" s="985"/>
      <c r="AY38" s="986">
        <f t="shared" si="64"/>
        <v>0</v>
      </c>
      <c r="AZ38" s="886">
        <f t="shared" si="65"/>
        <v>0</v>
      </c>
      <c r="BA38" s="257">
        <f t="shared" si="65"/>
        <v>0</v>
      </c>
      <c r="BB38" s="257">
        <f t="shared" si="65"/>
        <v>0</v>
      </c>
      <c r="BC38" s="257">
        <f t="shared" si="65"/>
        <v>0</v>
      </c>
      <c r="BD38" s="257">
        <f t="shared" si="65"/>
        <v>0</v>
      </c>
      <c r="BE38" s="257">
        <f t="shared" si="65"/>
        <v>0</v>
      </c>
      <c r="BF38" s="257">
        <f t="shared" si="65"/>
        <v>0</v>
      </c>
      <c r="BG38" s="257">
        <f t="shared" si="65"/>
        <v>0</v>
      </c>
      <c r="BH38" s="257">
        <f t="shared" si="65"/>
        <v>0</v>
      </c>
      <c r="BI38" s="257">
        <f t="shared" si="65"/>
        <v>0</v>
      </c>
      <c r="BJ38" s="257">
        <f t="shared" si="65"/>
        <v>0</v>
      </c>
      <c r="BK38" s="257">
        <f t="shared" si="65"/>
        <v>0</v>
      </c>
      <c r="BL38" s="887">
        <f t="shared" si="47"/>
        <v>0</v>
      </c>
      <c r="BM38" s="984"/>
      <c r="BN38" s="985"/>
      <c r="BO38" s="985"/>
      <c r="BP38" s="985"/>
      <c r="BQ38" s="985"/>
      <c r="BR38" s="985"/>
      <c r="BS38" s="985"/>
      <c r="BT38" s="985"/>
      <c r="BU38" s="985"/>
      <c r="BV38" s="985"/>
      <c r="BW38" s="985"/>
      <c r="BX38" s="985"/>
      <c r="BY38" s="986">
        <f t="shared" si="66"/>
        <v>0</v>
      </c>
      <c r="BZ38" s="886">
        <f t="shared" si="67"/>
        <v>0</v>
      </c>
      <c r="CA38" s="257">
        <f t="shared" si="67"/>
        <v>0</v>
      </c>
      <c r="CB38" s="257">
        <f t="shared" si="67"/>
        <v>0</v>
      </c>
      <c r="CC38" s="257">
        <f t="shared" si="67"/>
        <v>0</v>
      </c>
      <c r="CD38" s="257">
        <f t="shared" si="67"/>
        <v>0</v>
      </c>
      <c r="CE38" s="257">
        <f t="shared" si="67"/>
        <v>0</v>
      </c>
      <c r="CF38" s="257">
        <f t="shared" si="67"/>
        <v>0</v>
      </c>
      <c r="CG38" s="257">
        <f t="shared" si="67"/>
        <v>0</v>
      </c>
      <c r="CH38" s="257">
        <f t="shared" si="67"/>
        <v>0</v>
      </c>
      <c r="CI38" s="257">
        <f t="shared" si="67"/>
        <v>0</v>
      </c>
      <c r="CJ38" s="257">
        <f t="shared" si="67"/>
        <v>0</v>
      </c>
      <c r="CK38" s="257">
        <f t="shared" si="67"/>
        <v>0</v>
      </c>
      <c r="CL38" s="887">
        <f t="shared" si="68"/>
        <v>0</v>
      </c>
      <c r="CM38" s="984"/>
      <c r="CN38" s="985"/>
      <c r="CO38" s="985"/>
      <c r="CP38" s="985"/>
      <c r="CQ38" s="985"/>
      <c r="CR38" s="985"/>
      <c r="CS38" s="985"/>
      <c r="CT38" s="985"/>
      <c r="CU38" s="985"/>
      <c r="CV38" s="985"/>
      <c r="CW38" s="985"/>
      <c r="CX38" s="985"/>
      <c r="CY38" s="986">
        <f t="shared" si="69"/>
        <v>0</v>
      </c>
      <c r="CZ38" s="886">
        <f t="shared" si="70"/>
        <v>0</v>
      </c>
      <c r="DA38" s="257">
        <f t="shared" si="70"/>
        <v>0</v>
      </c>
      <c r="DB38" s="257">
        <f t="shared" si="70"/>
        <v>0</v>
      </c>
      <c r="DC38" s="257">
        <f t="shared" si="70"/>
        <v>0</v>
      </c>
      <c r="DD38" s="257">
        <f t="shared" si="70"/>
        <v>0</v>
      </c>
      <c r="DE38" s="257">
        <f t="shared" si="70"/>
        <v>0</v>
      </c>
      <c r="DF38" s="257">
        <f t="shared" si="70"/>
        <v>0</v>
      </c>
      <c r="DG38" s="257">
        <f t="shared" si="70"/>
        <v>0</v>
      </c>
      <c r="DH38" s="257">
        <f t="shared" si="70"/>
        <v>0</v>
      </c>
      <c r="DI38" s="257">
        <f t="shared" si="70"/>
        <v>0</v>
      </c>
      <c r="DJ38" s="257">
        <f t="shared" si="70"/>
        <v>0</v>
      </c>
      <c r="DK38" s="257">
        <f t="shared" si="70"/>
        <v>0</v>
      </c>
      <c r="DL38" s="887">
        <f t="shared" si="50"/>
        <v>0</v>
      </c>
      <c r="DM38" s="984"/>
      <c r="DN38" s="985"/>
      <c r="DO38" s="985"/>
      <c r="DP38" s="985"/>
      <c r="DQ38" s="985"/>
      <c r="DR38" s="985"/>
      <c r="DS38" s="985"/>
      <c r="DT38" s="985"/>
      <c r="DU38" s="985"/>
      <c r="DV38" s="985"/>
      <c r="DW38" s="985"/>
      <c r="DX38" s="985"/>
      <c r="DY38" s="986">
        <f t="shared" si="71"/>
        <v>0</v>
      </c>
      <c r="DZ38" s="886">
        <f t="shared" si="72"/>
        <v>0</v>
      </c>
      <c r="EA38" s="257">
        <f t="shared" si="72"/>
        <v>0</v>
      </c>
      <c r="EB38" s="257">
        <f t="shared" si="72"/>
        <v>0</v>
      </c>
      <c r="EC38" s="257">
        <f t="shared" si="72"/>
        <v>0</v>
      </c>
      <c r="ED38" s="257">
        <f t="shared" si="72"/>
        <v>0</v>
      </c>
      <c r="EE38" s="257">
        <f t="shared" si="72"/>
        <v>0</v>
      </c>
      <c r="EF38" s="257">
        <f t="shared" si="72"/>
        <v>0</v>
      </c>
      <c r="EG38" s="257">
        <f t="shared" si="72"/>
        <v>0</v>
      </c>
      <c r="EH38" s="257">
        <f t="shared" si="72"/>
        <v>0</v>
      </c>
      <c r="EI38" s="257">
        <f t="shared" si="72"/>
        <v>0</v>
      </c>
      <c r="EJ38" s="257">
        <f t="shared" si="72"/>
        <v>0</v>
      </c>
      <c r="EK38" s="257">
        <f t="shared" si="72"/>
        <v>0</v>
      </c>
      <c r="EL38" s="887">
        <f t="shared" si="52"/>
        <v>0</v>
      </c>
    </row>
    <row r="39" spans="1:142">
      <c r="A39" s="973" t="s">
        <v>667</v>
      </c>
      <c r="B39" s="913" t="s">
        <v>58</v>
      </c>
      <c r="C39" s="981" t="s">
        <v>338</v>
      </c>
      <c r="D39" s="558">
        <v>1.93</v>
      </c>
      <c r="E39" s="559">
        <v>1.9369627483942264</v>
      </c>
      <c r="F39" s="559">
        <v>1.9481878769846563</v>
      </c>
      <c r="G39" s="560">
        <v>1.96</v>
      </c>
      <c r="H39" s="558">
        <f t="shared" si="73"/>
        <v>1.96</v>
      </c>
      <c r="I39" s="559">
        <f t="shared" si="73"/>
        <v>1.96</v>
      </c>
      <c r="J39" s="559">
        <f t="shared" si="73"/>
        <v>1.96</v>
      </c>
      <c r="K39" s="982">
        <f t="shared" si="73"/>
        <v>1.96</v>
      </c>
      <c r="L39" s="983"/>
      <c r="M39" s="564">
        <v>8000</v>
      </c>
      <c r="N39" s="561">
        <v>20600</v>
      </c>
      <c r="O39" s="539">
        <v>11400</v>
      </c>
      <c r="P39" s="539">
        <f>18920+1960</f>
        <v>20880</v>
      </c>
      <c r="Q39" s="539">
        <v>31120</v>
      </c>
      <c r="R39" s="539"/>
      <c r="S39" s="539"/>
      <c r="T39" s="539"/>
      <c r="U39" s="539"/>
      <c r="V39" s="539"/>
      <c r="W39" s="539"/>
      <c r="X39" s="539"/>
      <c r="Y39" s="885">
        <f t="shared" si="58"/>
        <v>92000</v>
      </c>
      <c r="Z39" s="886">
        <v>15440</v>
      </c>
      <c r="AA39" s="257">
        <v>39758</v>
      </c>
      <c r="AB39" s="257">
        <v>22002</v>
      </c>
      <c r="AC39" s="257">
        <v>40298.400000000001</v>
      </c>
      <c r="AD39" s="257">
        <v>60061.599999999999</v>
      </c>
      <c r="AE39" s="257"/>
      <c r="AF39" s="257">
        <f t="shared" si="74"/>
        <v>0</v>
      </c>
      <c r="AG39" s="257">
        <f t="shared" si="60"/>
        <v>0</v>
      </c>
      <c r="AH39" s="257">
        <f t="shared" si="60"/>
        <v>0</v>
      </c>
      <c r="AI39" s="257">
        <f t="shared" si="61"/>
        <v>0</v>
      </c>
      <c r="AJ39" s="257">
        <f t="shared" si="61"/>
        <v>0</v>
      </c>
      <c r="AK39" s="257">
        <f t="shared" si="61"/>
        <v>0</v>
      </c>
      <c r="AL39" s="887">
        <f t="shared" si="62"/>
        <v>177560</v>
      </c>
      <c r="AM39" s="984"/>
      <c r="AN39" s="1003"/>
      <c r="AO39" s="985"/>
      <c r="AP39" s="985"/>
      <c r="AQ39" s="985"/>
      <c r="AR39" s="985"/>
      <c r="AS39" s="985"/>
      <c r="AT39" s="985"/>
      <c r="AU39" s="985"/>
      <c r="AV39" s="985"/>
      <c r="AW39" s="985"/>
      <c r="AX39" s="985"/>
      <c r="AY39" s="986">
        <f t="shared" si="64"/>
        <v>0</v>
      </c>
      <c r="AZ39" s="886">
        <f t="shared" si="65"/>
        <v>0</v>
      </c>
      <c r="BA39" s="257">
        <f t="shared" si="65"/>
        <v>0</v>
      </c>
      <c r="BB39" s="257">
        <f t="shared" si="65"/>
        <v>0</v>
      </c>
      <c r="BC39" s="257">
        <f t="shared" si="65"/>
        <v>0</v>
      </c>
      <c r="BD39" s="257">
        <f t="shared" si="65"/>
        <v>0</v>
      </c>
      <c r="BE39" s="257">
        <f t="shared" si="65"/>
        <v>0</v>
      </c>
      <c r="BF39" s="257">
        <f t="shared" si="65"/>
        <v>0</v>
      </c>
      <c r="BG39" s="257">
        <f t="shared" si="65"/>
        <v>0</v>
      </c>
      <c r="BH39" s="257">
        <f t="shared" si="65"/>
        <v>0</v>
      </c>
      <c r="BI39" s="257">
        <f t="shared" si="65"/>
        <v>0</v>
      </c>
      <c r="BJ39" s="257">
        <f t="shared" si="65"/>
        <v>0</v>
      </c>
      <c r="BK39" s="257">
        <f t="shared" si="65"/>
        <v>0</v>
      </c>
      <c r="BL39" s="887">
        <f t="shared" si="47"/>
        <v>0</v>
      </c>
      <c r="BM39" s="984"/>
      <c r="BN39" s="1003"/>
      <c r="BO39" s="985"/>
      <c r="BP39" s="985"/>
      <c r="BQ39" s="985"/>
      <c r="BR39" s="985"/>
      <c r="BS39" s="985"/>
      <c r="BT39" s="985"/>
      <c r="BU39" s="985"/>
      <c r="BV39" s="985"/>
      <c r="BW39" s="985"/>
      <c r="BX39" s="985"/>
      <c r="BY39" s="986">
        <f t="shared" si="66"/>
        <v>0</v>
      </c>
      <c r="BZ39" s="886">
        <f t="shared" si="67"/>
        <v>0</v>
      </c>
      <c r="CA39" s="257">
        <f t="shared" si="67"/>
        <v>0</v>
      </c>
      <c r="CB39" s="257">
        <f t="shared" si="67"/>
        <v>0</v>
      </c>
      <c r="CC39" s="257">
        <f t="shared" si="67"/>
        <v>0</v>
      </c>
      <c r="CD39" s="257">
        <f t="shared" si="67"/>
        <v>0</v>
      </c>
      <c r="CE39" s="257">
        <f t="shared" si="67"/>
        <v>0</v>
      </c>
      <c r="CF39" s="257">
        <f t="shared" si="67"/>
        <v>0</v>
      </c>
      <c r="CG39" s="257">
        <f t="shared" si="67"/>
        <v>0</v>
      </c>
      <c r="CH39" s="257">
        <f t="shared" si="67"/>
        <v>0</v>
      </c>
      <c r="CI39" s="257">
        <f t="shared" si="67"/>
        <v>0</v>
      </c>
      <c r="CJ39" s="257">
        <f t="shared" si="67"/>
        <v>0</v>
      </c>
      <c r="CK39" s="257">
        <f t="shared" si="67"/>
        <v>0</v>
      </c>
      <c r="CL39" s="887">
        <f t="shared" si="68"/>
        <v>0</v>
      </c>
      <c r="CM39" s="984"/>
      <c r="CN39" s="1003"/>
      <c r="CO39" s="985"/>
      <c r="CP39" s="985"/>
      <c r="CQ39" s="985"/>
      <c r="CR39" s="985"/>
      <c r="CS39" s="985"/>
      <c r="CT39" s="985"/>
      <c r="CU39" s="985"/>
      <c r="CV39" s="985"/>
      <c r="CW39" s="985"/>
      <c r="CX39" s="985"/>
      <c r="CY39" s="986">
        <f t="shared" si="69"/>
        <v>0</v>
      </c>
      <c r="CZ39" s="886">
        <f t="shared" si="70"/>
        <v>0</v>
      </c>
      <c r="DA39" s="257">
        <f t="shared" si="70"/>
        <v>0</v>
      </c>
      <c r="DB39" s="257">
        <f t="shared" si="70"/>
        <v>0</v>
      </c>
      <c r="DC39" s="257">
        <f t="shared" si="70"/>
        <v>0</v>
      </c>
      <c r="DD39" s="257">
        <f t="shared" si="70"/>
        <v>0</v>
      </c>
      <c r="DE39" s="257">
        <f t="shared" si="70"/>
        <v>0</v>
      </c>
      <c r="DF39" s="257">
        <f t="shared" si="70"/>
        <v>0</v>
      </c>
      <c r="DG39" s="257">
        <f t="shared" si="70"/>
        <v>0</v>
      </c>
      <c r="DH39" s="257">
        <f t="shared" si="70"/>
        <v>0</v>
      </c>
      <c r="DI39" s="257">
        <f t="shared" si="70"/>
        <v>0</v>
      </c>
      <c r="DJ39" s="257">
        <f t="shared" si="70"/>
        <v>0</v>
      </c>
      <c r="DK39" s="257">
        <f t="shared" si="70"/>
        <v>0</v>
      </c>
      <c r="DL39" s="887">
        <f t="shared" si="50"/>
        <v>0</v>
      </c>
      <c r="DM39" s="984"/>
      <c r="DN39" s="1003"/>
      <c r="DO39" s="985"/>
      <c r="DP39" s="985"/>
      <c r="DQ39" s="985"/>
      <c r="DR39" s="985"/>
      <c r="DS39" s="985"/>
      <c r="DT39" s="985"/>
      <c r="DU39" s="985"/>
      <c r="DV39" s="985"/>
      <c r="DW39" s="985"/>
      <c r="DX39" s="985"/>
      <c r="DY39" s="986">
        <f t="shared" si="71"/>
        <v>0</v>
      </c>
      <c r="DZ39" s="886">
        <f t="shared" si="72"/>
        <v>0</v>
      </c>
      <c r="EA39" s="257">
        <f t="shared" si="72"/>
        <v>0</v>
      </c>
      <c r="EB39" s="257">
        <f t="shared" si="72"/>
        <v>0</v>
      </c>
      <c r="EC39" s="257">
        <f t="shared" si="72"/>
        <v>0</v>
      </c>
      <c r="ED39" s="257">
        <f t="shared" si="72"/>
        <v>0</v>
      </c>
      <c r="EE39" s="257">
        <f t="shared" si="72"/>
        <v>0</v>
      </c>
      <c r="EF39" s="257">
        <f t="shared" si="72"/>
        <v>0</v>
      </c>
      <c r="EG39" s="257">
        <f t="shared" si="72"/>
        <v>0</v>
      </c>
      <c r="EH39" s="257">
        <f t="shared" si="72"/>
        <v>0</v>
      </c>
      <c r="EI39" s="257">
        <f t="shared" si="72"/>
        <v>0</v>
      </c>
      <c r="EJ39" s="257">
        <f t="shared" si="72"/>
        <v>0</v>
      </c>
      <c r="EK39" s="257">
        <f t="shared" si="72"/>
        <v>0</v>
      </c>
      <c r="EL39" s="887">
        <f t="shared" si="52"/>
        <v>0</v>
      </c>
    </row>
    <row r="40" spans="1:142">
      <c r="A40" s="973" t="s">
        <v>667</v>
      </c>
      <c r="B40" s="913" t="s">
        <v>677</v>
      </c>
      <c r="C40" s="1004" t="s">
        <v>255</v>
      </c>
      <c r="D40" s="558">
        <v>4.22</v>
      </c>
      <c r="E40" s="553">
        <v>4.2391921910866497</v>
      </c>
      <c r="F40" s="553">
        <v>4.2625691480987324</v>
      </c>
      <c r="G40" s="554">
        <v>4.38</v>
      </c>
      <c r="H40" s="558">
        <f t="shared" si="73"/>
        <v>4.38</v>
      </c>
      <c r="I40" s="553">
        <f t="shared" si="73"/>
        <v>4.38</v>
      </c>
      <c r="J40" s="553">
        <f t="shared" si="73"/>
        <v>4.38</v>
      </c>
      <c r="K40" s="915">
        <f t="shared" si="73"/>
        <v>4.38</v>
      </c>
      <c r="L40" s="884"/>
      <c r="M40" s="563">
        <v>27216</v>
      </c>
      <c r="N40" s="561">
        <v>27632</v>
      </c>
      <c r="O40" s="561">
        <v>34776</v>
      </c>
      <c r="P40" s="561">
        <f>26200+6600</f>
        <v>32800</v>
      </c>
      <c r="Q40" s="561">
        <v>13284</v>
      </c>
      <c r="R40" s="561">
        <v>23148</v>
      </c>
      <c r="S40" s="561">
        <v>22177</v>
      </c>
      <c r="T40" s="561">
        <v>25000</v>
      </c>
      <c r="U40" s="561">
        <v>25000</v>
      </c>
      <c r="V40" s="561">
        <v>25000</v>
      </c>
      <c r="W40" s="561">
        <v>25000</v>
      </c>
      <c r="X40" s="561">
        <v>25000</v>
      </c>
      <c r="Y40" s="885">
        <f t="shared" si="58"/>
        <v>306033</v>
      </c>
      <c r="Z40" s="886">
        <v>116484.48000000001</v>
      </c>
      <c r="AA40" s="257">
        <v>118265</v>
      </c>
      <c r="AB40" s="257">
        <v>146754.72</v>
      </c>
      <c r="AC40" s="257">
        <f>138416</f>
        <v>138416</v>
      </c>
      <c r="AD40" s="257">
        <v>57324.479999999996</v>
      </c>
      <c r="AE40" s="257">
        <v>97830.720000000001</v>
      </c>
      <c r="AF40" s="257">
        <f t="shared" si="74"/>
        <v>94530.995997385588</v>
      </c>
      <c r="AG40" s="257">
        <f t="shared" si="60"/>
        <v>106564.22870246832</v>
      </c>
      <c r="AH40" s="257">
        <f t="shared" si="60"/>
        <v>106564.22870246832</v>
      </c>
      <c r="AI40" s="257">
        <f t="shared" si="61"/>
        <v>109500</v>
      </c>
      <c r="AJ40" s="257">
        <f t="shared" si="61"/>
        <v>109500</v>
      </c>
      <c r="AK40" s="257">
        <f t="shared" si="61"/>
        <v>109500</v>
      </c>
      <c r="AL40" s="887">
        <f t="shared" si="62"/>
        <v>1311234.8534023222</v>
      </c>
      <c r="AM40" s="1005">
        <f>322100/12</f>
        <v>26841.666666666668</v>
      </c>
      <c r="AN40" s="1003">
        <f t="shared" ref="AN40:AX40" si="85">322100/12</f>
        <v>26841.666666666668</v>
      </c>
      <c r="AO40" s="1003">
        <f t="shared" si="85"/>
        <v>26841.666666666668</v>
      </c>
      <c r="AP40" s="1003">
        <f t="shared" si="85"/>
        <v>26841.666666666668</v>
      </c>
      <c r="AQ40" s="1003">
        <f t="shared" si="85"/>
        <v>26841.666666666668</v>
      </c>
      <c r="AR40" s="1003">
        <f t="shared" si="85"/>
        <v>26841.666666666668</v>
      </c>
      <c r="AS40" s="1003">
        <f t="shared" si="85"/>
        <v>26841.666666666668</v>
      </c>
      <c r="AT40" s="1003">
        <f t="shared" si="85"/>
        <v>26841.666666666668</v>
      </c>
      <c r="AU40" s="1003">
        <f t="shared" si="85"/>
        <v>26841.666666666668</v>
      </c>
      <c r="AV40" s="1003">
        <f t="shared" si="85"/>
        <v>26841.666666666668</v>
      </c>
      <c r="AW40" s="1003">
        <f t="shared" si="85"/>
        <v>26841.666666666668</v>
      </c>
      <c r="AX40" s="1003">
        <f t="shared" si="85"/>
        <v>26841.666666666668</v>
      </c>
      <c r="AY40" s="986">
        <f t="shared" si="64"/>
        <v>322100</v>
      </c>
      <c r="AZ40" s="886">
        <f t="shared" si="65"/>
        <v>117566.5</v>
      </c>
      <c r="BA40" s="257">
        <f t="shared" si="65"/>
        <v>117566.5</v>
      </c>
      <c r="BB40" s="257">
        <f t="shared" si="65"/>
        <v>117566.5</v>
      </c>
      <c r="BC40" s="257">
        <f t="shared" si="65"/>
        <v>117566.5</v>
      </c>
      <c r="BD40" s="257">
        <f t="shared" si="65"/>
        <v>117566.5</v>
      </c>
      <c r="BE40" s="257">
        <f t="shared" si="65"/>
        <v>117566.5</v>
      </c>
      <c r="BF40" s="257">
        <f t="shared" si="65"/>
        <v>117566.5</v>
      </c>
      <c r="BG40" s="257">
        <f t="shared" si="65"/>
        <v>117566.5</v>
      </c>
      <c r="BH40" s="257">
        <f t="shared" si="65"/>
        <v>117566.5</v>
      </c>
      <c r="BI40" s="257">
        <f t="shared" si="65"/>
        <v>117566.5</v>
      </c>
      <c r="BJ40" s="257">
        <f t="shared" si="65"/>
        <v>117566.5</v>
      </c>
      <c r="BK40" s="257">
        <f t="shared" si="65"/>
        <v>117566.5</v>
      </c>
      <c r="BL40" s="887">
        <f t="shared" si="47"/>
        <v>1410798</v>
      </c>
      <c r="BM40" s="1005">
        <f>322100/12</f>
        <v>26841.666666666668</v>
      </c>
      <c r="BN40" s="1003">
        <f t="shared" ref="BN40:BX40" si="86">322100/12</f>
        <v>26841.666666666668</v>
      </c>
      <c r="BO40" s="1003">
        <f t="shared" si="86"/>
        <v>26841.666666666668</v>
      </c>
      <c r="BP40" s="1003">
        <f t="shared" si="86"/>
        <v>26841.666666666668</v>
      </c>
      <c r="BQ40" s="1003">
        <f t="shared" si="86"/>
        <v>26841.666666666668</v>
      </c>
      <c r="BR40" s="1003">
        <f t="shared" si="86"/>
        <v>26841.666666666668</v>
      </c>
      <c r="BS40" s="1003">
        <f t="shared" si="86"/>
        <v>26841.666666666668</v>
      </c>
      <c r="BT40" s="1003">
        <f t="shared" si="86"/>
        <v>26841.666666666668</v>
      </c>
      <c r="BU40" s="1003">
        <f t="shared" si="86"/>
        <v>26841.666666666668</v>
      </c>
      <c r="BV40" s="1003">
        <f t="shared" si="86"/>
        <v>26841.666666666668</v>
      </c>
      <c r="BW40" s="1003">
        <f t="shared" si="86"/>
        <v>26841.666666666668</v>
      </c>
      <c r="BX40" s="1003">
        <f t="shared" si="86"/>
        <v>26841.666666666668</v>
      </c>
      <c r="BY40" s="986">
        <f t="shared" si="66"/>
        <v>322100</v>
      </c>
      <c r="BZ40" s="886">
        <f t="shared" si="67"/>
        <v>117566.5</v>
      </c>
      <c r="CA40" s="257">
        <f t="shared" si="67"/>
        <v>117566.5</v>
      </c>
      <c r="CB40" s="257">
        <f t="shared" si="67"/>
        <v>117566.5</v>
      </c>
      <c r="CC40" s="257">
        <f t="shared" si="67"/>
        <v>117566.5</v>
      </c>
      <c r="CD40" s="257">
        <f t="shared" si="67"/>
        <v>117566.5</v>
      </c>
      <c r="CE40" s="257">
        <f t="shared" si="67"/>
        <v>117566.5</v>
      </c>
      <c r="CF40" s="257">
        <f t="shared" si="67"/>
        <v>117566.5</v>
      </c>
      <c r="CG40" s="257">
        <f t="shared" si="67"/>
        <v>117566.5</v>
      </c>
      <c r="CH40" s="257">
        <f t="shared" si="67"/>
        <v>117566.5</v>
      </c>
      <c r="CI40" s="257">
        <f t="shared" si="67"/>
        <v>117566.5</v>
      </c>
      <c r="CJ40" s="257">
        <f t="shared" si="67"/>
        <v>117566.5</v>
      </c>
      <c r="CK40" s="257">
        <f t="shared" si="67"/>
        <v>117566.5</v>
      </c>
      <c r="CL40" s="887">
        <f t="shared" si="68"/>
        <v>1410798</v>
      </c>
      <c r="CM40" s="1005">
        <f>300000/12</f>
        <v>25000</v>
      </c>
      <c r="CN40" s="1003">
        <f t="shared" ref="CN40:CX40" si="87">300000/12</f>
        <v>25000</v>
      </c>
      <c r="CO40" s="1003">
        <f t="shared" si="87"/>
        <v>25000</v>
      </c>
      <c r="CP40" s="1003">
        <f t="shared" si="87"/>
        <v>25000</v>
      </c>
      <c r="CQ40" s="1003">
        <f t="shared" si="87"/>
        <v>25000</v>
      </c>
      <c r="CR40" s="1003">
        <f t="shared" si="87"/>
        <v>25000</v>
      </c>
      <c r="CS40" s="1003">
        <f t="shared" si="87"/>
        <v>25000</v>
      </c>
      <c r="CT40" s="1003">
        <f t="shared" si="87"/>
        <v>25000</v>
      </c>
      <c r="CU40" s="1003">
        <f t="shared" si="87"/>
        <v>25000</v>
      </c>
      <c r="CV40" s="1003">
        <f t="shared" si="87"/>
        <v>25000</v>
      </c>
      <c r="CW40" s="1003">
        <f t="shared" si="87"/>
        <v>25000</v>
      </c>
      <c r="CX40" s="1003">
        <f t="shared" si="87"/>
        <v>25000</v>
      </c>
      <c r="CY40" s="986">
        <f t="shared" si="69"/>
        <v>300000</v>
      </c>
      <c r="CZ40" s="886">
        <f t="shared" si="70"/>
        <v>109500</v>
      </c>
      <c r="DA40" s="257">
        <f t="shared" si="70"/>
        <v>109500</v>
      </c>
      <c r="DB40" s="257">
        <f t="shared" si="70"/>
        <v>109500</v>
      </c>
      <c r="DC40" s="257">
        <f t="shared" si="70"/>
        <v>109500</v>
      </c>
      <c r="DD40" s="257">
        <f t="shared" si="70"/>
        <v>109500</v>
      </c>
      <c r="DE40" s="257">
        <f t="shared" si="70"/>
        <v>109500</v>
      </c>
      <c r="DF40" s="257">
        <f t="shared" si="70"/>
        <v>109500</v>
      </c>
      <c r="DG40" s="257">
        <f t="shared" si="70"/>
        <v>109500</v>
      </c>
      <c r="DH40" s="257">
        <f t="shared" si="70"/>
        <v>109500</v>
      </c>
      <c r="DI40" s="257">
        <f t="shared" si="70"/>
        <v>109500</v>
      </c>
      <c r="DJ40" s="257">
        <f t="shared" si="70"/>
        <v>109500</v>
      </c>
      <c r="DK40" s="257">
        <f t="shared" si="70"/>
        <v>109500</v>
      </c>
      <c r="DL40" s="887">
        <f t="shared" si="50"/>
        <v>1314000</v>
      </c>
      <c r="DM40" s="1005">
        <f t="shared" ref="DM40:DX40" si="88">300000/12</f>
        <v>25000</v>
      </c>
      <c r="DN40" s="1003">
        <f t="shared" si="88"/>
        <v>25000</v>
      </c>
      <c r="DO40" s="1003">
        <f t="shared" si="88"/>
        <v>25000</v>
      </c>
      <c r="DP40" s="1003">
        <f t="shared" si="88"/>
        <v>25000</v>
      </c>
      <c r="DQ40" s="1003">
        <f t="shared" si="88"/>
        <v>25000</v>
      </c>
      <c r="DR40" s="1003">
        <f t="shared" si="88"/>
        <v>25000</v>
      </c>
      <c r="DS40" s="1003">
        <f t="shared" si="88"/>
        <v>25000</v>
      </c>
      <c r="DT40" s="1003">
        <f t="shared" si="88"/>
        <v>25000</v>
      </c>
      <c r="DU40" s="1003">
        <f t="shared" si="88"/>
        <v>25000</v>
      </c>
      <c r="DV40" s="1003">
        <f t="shared" si="88"/>
        <v>25000</v>
      </c>
      <c r="DW40" s="1003">
        <f t="shared" si="88"/>
        <v>25000</v>
      </c>
      <c r="DX40" s="1003">
        <f t="shared" si="88"/>
        <v>25000</v>
      </c>
      <c r="DY40" s="986">
        <f t="shared" si="71"/>
        <v>300000</v>
      </c>
      <c r="DZ40" s="886">
        <f t="shared" si="72"/>
        <v>109500</v>
      </c>
      <c r="EA40" s="257">
        <f t="shared" si="72"/>
        <v>109500</v>
      </c>
      <c r="EB40" s="257">
        <f t="shared" si="72"/>
        <v>109500</v>
      </c>
      <c r="EC40" s="257">
        <f t="shared" si="72"/>
        <v>109500</v>
      </c>
      <c r="ED40" s="257">
        <f t="shared" si="72"/>
        <v>109500</v>
      </c>
      <c r="EE40" s="257">
        <f t="shared" si="72"/>
        <v>109500</v>
      </c>
      <c r="EF40" s="257">
        <f t="shared" si="72"/>
        <v>109500</v>
      </c>
      <c r="EG40" s="257">
        <f t="shared" si="72"/>
        <v>109500</v>
      </c>
      <c r="EH40" s="257">
        <f t="shared" si="72"/>
        <v>109500</v>
      </c>
      <c r="EI40" s="257">
        <f t="shared" si="72"/>
        <v>109500</v>
      </c>
      <c r="EJ40" s="257">
        <f t="shared" si="72"/>
        <v>109500</v>
      </c>
      <c r="EK40" s="257">
        <f t="shared" si="72"/>
        <v>109500</v>
      </c>
      <c r="EL40" s="887">
        <f t="shared" si="52"/>
        <v>1314000</v>
      </c>
    </row>
    <row r="41" spans="1:142">
      <c r="A41" s="973" t="s">
        <v>667</v>
      </c>
      <c r="B41" s="913" t="s">
        <v>678</v>
      </c>
      <c r="C41" s="1004" t="s">
        <v>256</v>
      </c>
      <c r="D41" s="558">
        <v>4.2300000000000004</v>
      </c>
      <c r="E41" s="553">
        <v>4.2491921910866504</v>
      </c>
      <c r="F41" s="553">
        <v>4.2725691480987322</v>
      </c>
      <c r="G41" s="554">
        <v>4.4000000000000004</v>
      </c>
      <c r="H41" s="558">
        <f t="shared" si="73"/>
        <v>4.4000000000000004</v>
      </c>
      <c r="I41" s="553">
        <f t="shared" si="73"/>
        <v>4.4000000000000004</v>
      </c>
      <c r="J41" s="553">
        <f t="shared" si="73"/>
        <v>4.4000000000000004</v>
      </c>
      <c r="K41" s="915">
        <f t="shared" si="73"/>
        <v>4.4000000000000004</v>
      </c>
      <c r="L41" s="884"/>
      <c r="M41" s="563">
        <v>1841</v>
      </c>
      <c r="N41" s="561">
        <v>0</v>
      </c>
      <c r="O41" s="561">
        <v>300</v>
      </c>
      <c r="P41" s="561">
        <v>6300</v>
      </c>
      <c r="Q41" s="561">
        <v>6600</v>
      </c>
      <c r="R41" s="561">
        <v>6600</v>
      </c>
      <c r="S41" s="561">
        <v>6230</v>
      </c>
      <c r="T41" s="561">
        <v>6600</v>
      </c>
      <c r="U41" s="561">
        <v>6600</v>
      </c>
      <c r="V41" s="561">
        <v>5000</v>
      </c>
      <c r="W41" s="561">
        <v>5000</v>
      </c>
      <c r="X41" s="561">
        <v>5000</v>
      </c>
      <c r="Y41" s="885">
        <f t="shared" si="58"/>
        <v>56071</v>
      </c>
      <c r="Z41" s="886">
        <v>7916.2999999999993</v>
      </c>
      <c r="AA41" s="257">
        <v>0</v>
      </c>
      <c r="AB41" s="257">
        <v>1269.0000000000002</v>
      </c>
      <c r="AC41" s="257">
        <v>26649</v>
      </c>
      <c r="AD41" s="257">
        <v>27918.000000000004</v>
      </c>
      <c r="AE41" s="257">
        <v>27918</v>
      </c>
      <c r="AF41" s="257">
        <f t="shared" si="74"/>
        <v>26618.1057926551</v>
      </c>
      <c r="AG41" s="257">
        <f t="shared" si="60"/>
        <v>28198.956377451632</v>
      </c>
      <c r="AH41" s="257">
        <f t="shared" si="60"/>
        <v>28198.956377451632</v>
      </c>
      <c r="AI41" s="257">
        <f t="shared" si="61"/>
        <v>22000</v>
      </c>
      <c r="AJ41" s="257">
        <f t="shared" si="61"/>
        <v>22000</v>
      </c>
      <c r="AK41" s="257">
        <f t="shared" si="61"/>
        <v>22000</v>
      </c>
      <c r="AL41" s="887">
        <f t="shared" si="62"/>
        <v>240686.31854755836</v>
      </c>
      <c r="AM41" s="1005">
        <f>6095/12</f>
        <v>507.91666666666669</v>
      </c>
      <c r="AN41" s="1003">
        <f t="shared" ref="AN41:AX41" si="89">6095/12</f>
        <v>507.91666666666669</v>
      </c>
      <c r="AO41" s="1003">
        <f t="shared" si="89"/>
        <v>507.91666666666669</v>
      </c>
      <c r="AP41" s="1003">
        <f t="shared" si="89"/>
        <v>507.91666666666669</v>
      </c>
      <c r="AQ41" s="1003">
        <f t="shared" si="89"/>
        <v>507.91666666666669</v>
      </c>
      <c r="AR41" s="1003">
        <f t="shared" si="89"/>
        <v>507.91666666666669</v>
      </c>
      <c r="AS41" s="1003">
        <f t="shared" si="89"/>
        <v>507.91666666666669</v>
      </c>
      <c r="AT41" s="1003">
        <f t="shared" si="89"/>
        <v>507.91666666666669</v>
      </c>
      <c r="AU41" s="1003">
        <f t="shared" si="89"/>
        <v>507.91666666666669</v>
      </c>
      <c r="AV41" s="1003">
        <f t="shared" si="89"/>
        <v>507.91666666666669</v>
      </c>
      <c r="AW41" s="1003">
        <f t="shared" si="89"/>
        <v>507.91666666666669</v>
      </c>
      <c r="AX41" s="1003">
        <f t="shared" si="89"/>
        <v>507.91666666666669</v>
      </c>
      <c r="AY41" s="986">
        <f t="shared" si="64"/>
        <v>6095.0000000000009</v>
      </c>
      <c r="AZ41" s="886">
        <f t="shared" si="65"/>
        <v>2234.8333333333335</v>
      </c>
      <c r="BA41" s="257">
        <f t="shared" si="65"/>
        <v>2234.8333333333335</v>
      </c>
      <c r="BB41" s="257">
        <f t="shared" si="65"/>
        <v>2234.8333333333335</v>
      </c>
      <c r="BC41" s="257">
        <f t="shared" si="65"/>
        <v>2234.8333333333335</v>
      </c>
      <c r="BD41" s="257">
        <f t="shared" si="65"/>
        <v>2234.8333333333335</v>
      </c>
      <c r="BE41" s="257">
        <f t="shared" si="65"/>
        <v>2234.8333333333335</v>
      </c>
      <c r="BF41" s="257">
        <f t="shared" si="65"/>
        <v>2234.8333333333335</v>
      </c>
      <c r="BG41" s="257">
        <f t="shared" si="65"/>
        <v>2234.8333333333335</v>
      </c>
      <c r="BH41" s="257">
        <f t="shared" si="65"/>
        <v>2234.8333333333335</v>
      </c>
      <c r="BI41" s="257">
        <f t="shared" si="65"/>
        <v>2234.8333333333335</v>
      </c>
      <c r="BJ41" s="257">
        <f t="shared" si="65"/>
        <v>2234.8333333333335</v>
      </c>
      <c r="BK41" s="257">
        <f t="shared" si="65"/>
        <v>2234.8333333333335</v>
      </c>
      <c r="BL41" s="887">
        <f t="shared" si="47"/>
        <v>26817.999999999996</v>
      </c>
      <c r="BM41" s="1005">
        <f t="shared" ref="BM41:BX41" si="90">6095/12</f>
        <v>507.91666666666669</v>
      </c>
      <c r="BN41" s="1003">
        <f t="shared" si="90"/>
        <v>507.91666666666669</v>
      </c>
      <c r="BO41" s="1003">
        <f t="shared" si="90"/>
        <v>507.91666666666669</v>
      </c>
      <c r="BP41" s="1003">
        <f t="shared" si="90"/>
        <v>507.91666666666669</v>
      </c>
      <c r="BQ41" s="1003">
        <f t="shared" si="90"/>
        <v>507.91666666666669</v>
      </c>
      <c r="BR41" s="1003">
        <f t="shared" si="90"/>
        <v>507.91666666666669</v>
      </c>
      <c r="BS41" s="1003">
        <f t="shared" si="90"/>
        <v>507.91666666666669</v>
      </c>
      <c r="BT41" s="1003">
        <f t="shared" si="90"/>
        <v>507.91666666666669</v>
      </c>
      <c r="BU41" s="1003">
        <f t="shared" si="90"/>
        <v>507.91666666666669</v>
      </c>
      <c r="BV41" s="1003">
        <f t="shared" si="90"/>
        <v>507.91666666666669</v>
      </c>
      <c r="BW41" s="1003">
        <f t="shared" si="90"/>
        <v>507.91666666666669</v>
      </c>
      <c r="BX41" s="1003">
        <f t="shared" si="90"/>
        <v>507.91666666666669</v>
      </c>
      <c r="BY41" s="986">
        <f t="shared" si="66"/>
        <v>6095.0000000000009</v>
      </c>
      <c r="BZ41" s="886">
        <f t="shared" si="67"/>
        <v>2234.8333333333335</v>
      </c>
      <c r="CA41" s="257">
        <f t="shared" si="67"/>
        <v>2234.8333333333335</v>
      </c>
      <c r="CB41" s="257">
        <f t="shared" si="67"/>
        <v>2234.8333333333335</v>
      </c>
      <c r="CC41" s="257">
        <f t="shared" si="67"/>
        <v>2234.8333333333335</v>
      </c>
      <c r="CD41" s="257">
        <f t="shared" si="67"/>
        <v>2234.8333333333335</v>
      </c>
      <c r="CE41" s="257">
        <f t="shared" si="67"/>
        <v>2234.8333333333335</v>
      </c>
      <c r="CF41" s="257">
        <f t="shared" si="67"/>
        <v>2234.8333333333335</v>
      </c>
      <c r="CG41" s="257">
        <f t="shared" si="67"/>
        <v>2234.8333333333335</v>
      </c>
      <c r="CH41" s="257">
        <f t="shared" si="67"/>
        <v>2234.8333333333335</v>
      </c>
      <c r="CI41" s="257">
        <f t="shared" si="67"/>
        <v>2234.8333333333335</v>
      </c>
      <c r="CJ41" s="257">
        <f t="shared" si="67"/>
        <v>2234.8333333333335</v>
      </c>
      <c r="CK41" s="257">
        <f t="shared" si="67"/>
        <v>2234.8333333333335</v>
      </c>
      <c r="CL41" s="887">
        <f t="shared" si="68"/>
        <v>26817.999999999996</v>
      </c>
      <c r="CM41" s="1005">
        <f>30000/12</f>
        <v>2500</v>
      </c>
      <c r="CN41" s="1003">
        <f t="shared" ref="CN41:CX41" si="91">30000/12</f>
        <v>2500</v>
      </c>
      <c r="CO41" s="1003">
        <f t="shared" si="91"/>
        <v>2500</v>
      </c>
      <c r="CP41" s="1003">
        <f t="shared" si="91"/>
        <v>2500</v>
      </c>
      <c r="CQ41" s="1003">
        <f t="shared" si="91"/>
        <v>2500</v>
      </c>
      <c r="CR41" s="1003">
        <f t="shared" si="91"/>
        <v>2500</v>
      </c>
      <c r="CS41" s="1003">
        <f t="shared" si="91"/>
        <v>2500</v>
      </c>
      <c r="CT41" s="1003">
        <f t="shared" si="91"/>
        <v>2500</v>
      </c>
      <c r="CU41" s="1003">
        <f t="shared" si="91"/>
        <v>2500</v>
      </c>
      <c r="CV41" s="1003">
        <f t="shared" si="91"/>
        <v>2500</v>
      </c>
      <c r="CW41" s="1003">
        <f t="shared" si="91"/>
        <v>2500</v>
      </c>
      <c r="CX41" s="1003">
        <f t="shared" si="91"/>
        <v>2500</v>
      </c>
      <c r="CY41" s="986">
        <f t="shared" si="69"/>
        <v>30000</v>
      </c>
      <c r="CZ41" s="886">
        <f t="shared" si="70"/>
        <v>11000</v>
      </c>
      <c r="DA41" s="257">
        <f t="shared" si="70"/>
        <v>11000</v>
      </c>
      <c r="DB41" s="257">
        <f t="shared" si="70"/>
        <v>11000</v>
      </c>
      <c r="DC41" s="257">
        <f t="shared" si="70"/>
        <v>11000</v>
      </c>
      <c r="DD41" s="257">
        <f t="shared" si="70"/>
        <v>11000</v>
      </c>
      <c r="DE41" s="257">
        <f t="shared" si="70"/>
        <v>11000</v>
      </c>
      <c r="DF41" s="257">
        <f t="shared" si="70"/>
        <v>11000</v>
      </c>
      <c r="DG41" s="257">
        <f t="shared" si="70"/>
        <v>11000</v>
      </c>
      <c r="DH41" s="257">
        <f t="shared" si="70"/>
        <v>11000</v>
      </c>
      <c r="DI41" s="257">
        <f t="shared" si="70"/>
        <v>11000</v>
      </c>
      <c r="DJ41" s="257">
        <f t="shared" si="70"/>
        <v>11000</v>
      </c>
      <c r="DK41" s="257">
        <f t="shared" si="70"/>
        <v>11000</v>
      </c>
      <c r="DL41" s="887">
        <f t="shared" si="50"/>
        <v>132000</v>
      </c>
      <c r="DM41" s="1005">
        <f t="shared" ref="DM41:DX41" si="92">30000/12</f>
        <v>2500</v>
      </c>
      <c r="DN41" s="1003">
        <f t="shared" si="92"/>
        <v>2500</v>
      </c>
      <c r="DO41" s="1003">
        <f t="shared" si="92"/>
        <v>2500</v>
      </c>
      <c r="DP41" s="1003">
        <f t="shared" si="92"/>
        <v>2500</v>
      </c>
      <c r="DQ41" s="1003">
        <f t="shared" si="92"/>
        <v>2500</v>
      </c>
      <c r="DR41" s="1003">
        <f t="shared" si="92"/>
        <v>2500</v>
      </c>
      <c r="DS41" s="1003">
        <f t="shared" si="92"/>
        <v>2500</v>
      </c>
      <c r="DT41" s="1003">
        <f t="shared" si="92"/>
        <v>2500</v>
      </c>
      <c r="DU41" s="1003">
        <f t="shared" si="92"/>
        <v>2500</v>
      </c>
      <c r="DV41" s="1003">
        <f t="shared" si="92"/>
        <v>2500</v>
      </c>
      <c r="DW41" s="1003">
        <f t="shared" si="92"/>
        <v>2500</v>
      </c>
      <c r="DX41" s="1003">
        <f t="shared" si="92"/>
        <v>2500</v>
      </c>
      <c r="DY41" s="986">
        <f t="shared" si="71"/>
        <v>30000</v>
      </c>
      <c r="DZ41" s="886">
        <f t="shared" si="72"/>
        <v>11000</v>
      </c>
      <c r="EA41" s="257">
        <f t="shared" si="72"/>
        <v>11000</v>
      </c>
      <c r="EB41" s="257">
        <f t="shared" si="72"/>
        <v>11000</v>
      </c>
      <c r="EC41" s="257">
        <f t="shared" si="72"/>
        <v>11000</v>
      </c>
      <c r="ED41" s="257">
        <f t="shared" si="72"/>
        <v>11000</v>
      </c>
      <c r="EE41" s="257">
        <f t="shared" si="72"/>
        <v>11000</v>
      </c>
      <c r="EF41" s="257">
        <f t="shared" si="72"/>
        <v>11000</v>
      </c>
      <c r="EG41" s="257">
        <f t="shared" si="72"/>
        <v>11000</v>
      </c>
      <c r="EH41" s="257">
        <f t="shared" si="72"/>
        <v>11000</v>
      </c>
      <c r="EI41" s="257">
        <f t="shared" si="72"/>
        <v>11000</v>
      </c>
      <c r="EJ41" s="257">
        <f t="shared" si="72"/>
        <v>11000</v>
      </c>
      <c r="EK41" s="257">
        <f t="shared" si="72"/>
        <v>11000</v>
      </c>
      <c r="EL41" s="887">
        <f t="shared" si="52"/>
        <v>132000</v>
      </c>
    </row>
    <row r="42" spans="1:142">
      <c r="A42" s="973" t="s">
        <v>667</v>
      </c>
      <c r="B42" s="913" t="s">
        <v>679</v>
      </c>
      <c r="C42" s="1004" t="s">
        <v>257</v>
      </c>
      <c r="D42" s="558">
        <v>1.22</v>
      </c>
      <c r="E42" s="553">
        <v>1.2246864652653449</v>
      </c>
      <c r="F42" s="553">
        <v>1.2255110710473649</v>
      </c>
      <c r="G42" s="554">
        <v>1.27</v>
      </c>
      <c r="H42" s="558">
        <f t="shared" si="73"/>
        <v>1.27</v>
      </c>
      <c r="I42" s="553">
        <f t="shared" si="73"/>
        <v>1.27</v>
      </c>
      <c r="J42" s="553">
        <f t="shared" si="73"/>
        <v>1.27</v>
      </c>
      <c r="K42" s="915">
        <f t="shared" si="73"/>
        <v>1.27</v>
      </c>
      <c r="L42" s="884"/>
      <c r="M42" s="563">
        <v>42900</v>
      </c>
      <c r="N42" s="561">
        <v>33550</v>
      </c>
      <c r="O42" s="561">
        <v>23100</v>
      </c>
      <c r="P42" s="561">
        <f>26400+6600</f>
        <v>33000</v>
      </c>
      <c r="Q42" s="561">
        <v>19800</v>
      </c>
      <c r="R42" s="561">
        <v>49800</v>
      </c>
      <c r="S42" s="561">
        <v>29400</v>
      </c>
      <c r="T42" s="561">
        <v>30000</v>
      </c>
      <c r="U42" s="561">
        <v>30000</v>
      </c>
      <c r="V42" s="561">
        <v>30000</v>
      </c>
      <c r="W42" s="561">
        <v>30000</v>
      </c>
      <c r="X42" s="561">
        <v>30000</v>
      </c>
      <c r="Y42" s="885">
        <f t="shared" si="58"/>
        <v>381550</v>
      </c>
      <c r="Z42" s="886">
        <v>53064</v>
      </c>
      <c r="AA42" s="257">
        <v>40260</v>
      </c>
      <c r="AB42" s="257">
        <v>28182</v>
      </c>
      <c r="AC42" s="257">
        <v>40260</v>
      </c>
      <c r="AD42" s="257">
        <f>24156</f>
        <v>24156</v>
      </c>
      <c r="AE42" s="257">
        <v>60756</v>
      </c>
      <c r="AF42" s="257">
        <f>S42*$F42</f>
        <v>36030.025488792526</v>
      </c>
      <c r="AG42" s="257">
        <f t="shared" si="60"/>
        <v>36765.332131420946</v>
      </c>
      <c r="AH42" s="257">
        <f t="shared" si="60"/>
        <v>36765.332131420946</v>
      </c>
      <c r="AI42" s="257">
        <f t="shared" si="61"/>
        <v>38100</v>
      </c>
      <c r="AJ42" s="257">
        <f t="shared" si="61"/>
        <v>38100</v>
      </c>
      <c r="AK42" s="257">
        <f t="shared" si="61"/>
        <v>38100</v>
      </c>
      <c r="AL42" s="887">
        <f t="shared" si="62"/>
        <v>470538.68975163443</v>
      </c>
      <c r="AM42" s="1005">
        <f>262556/12</f>
        <v>21879.666666666668</v>
      </c>
      <c r="AN42" s="1003">
        <f t="shared" ref="AN42:AX42" si="93">262556/12</f>
        <v>21879.666666666668</v>
      </c>
      <c r="AO42" s="1003">
        <f t="shared" si="93"/>
        <v>21879.666666666668</v>
      </c>
      <c r="AP42" s="1003">
        <f t="shared" si="93"/>
        <v>21879.666666666668</v>
      </c>
      <c r="AQ42" s="1003">
        <f t="shared" si="93"/>
        <v>21879.666666666668</v>
      </c>
      <c r="AR42" s="1003">
        <f t="shared" si="93"/>
        <v>21879.666666666668</v>
      </c>
      <c r="AS42" s="1003">
        <f t="shared" si="93"/>
        <v>21879.666666666668</v>
      </c>
      <c r="AT42" s="1003">
        <f t="shared" si="93"/>
        <v>21879.666666666668</v>
      </c>
      <c r="AU42" s="1003">
        <f t="shared" si="93"/>
        <v>21879.666666666668</v>
      </c>
      <c r="AV42" s="1003">
        <f t="shared" si="93"/>
        <v>21879.666666666668</v>
      </c>
      <c r="AW42" s="1003">
        <f t="shared" si="93"/>
        <v>21879.666666666668</v>
      </c>
      <c r="AX42" s="1003">
        <f t="shared" si="93"/>
        <v>21879.666666666668</v>
      </c>
      <c r="AY42" s="986">
        <f t="shared" si="64"/>
        <v>262555.99999999994</v>
      </c>
      <c r="AZ42" s="886">
        <f t="shared" si="65"/>
        <v>27787.17666666667</v>
      </c>
      <c r="BA42" s="257">
        <f t="shared" si="65"/>
        <v>27787.17666666667</v>
      </c>
      <c r="BB42" s="257">
        <f t="shared" si="65"/>
        <v>27787.17666666667</v>
      </c>
      <c r="BC42" s="257">
        <f t="shared" si="65"/>
        <v>27787.17666666667</v>
      </c>
      <c r="BD42" s="257">
        <f t="shared" si="65"/>
        <v>27787.17666666667</v>
      </c>
      <c r="BE42" s="257">
        <f t="shared" si="65"/>
        <v>27787.17666666667</v>
      </c>
      <c r="BF42" s="257">
        <f t="shared" si="65"/>
        <v>27787.17666666667</v>
      </c>
      <c r="BG42" s="257">
        <f t="shared" si="65"/>
        <v>27787.17666666667</v>
      </c>
      <c r="BH42" s="257">
        <f t="shared" si="65"/>
        <v>27787.17666666667</v>
      </c>
      <c r="BI42" s="257">
        <f t="shared" si="65"/>
        <v>27787.17666666667</v>
      </c>
      <c r="BJ42" s="257">
        <f t="shared" si="65"/>
        <v>27787.17666666667</v>
      </c>
      <c r="BK42" s="257">
        <f t="shared" si="65"/>
        <v>27787.17666666667</v>
      </c>
      <c r="BL42" s="887">
        <f t="shared" si="47"/>
        <v>333446.12000000011</v>
      </c>
      <c r="BM42" s="1005">
        <f>262556/12</f>
        <v>21879.666666666668</v>
      </c>
      <c r="BN42" s="1003">
        <f t="shared" ref="BN42:BX42" si="94">262556/12</f>
        <v>21879.666666666668</v>
      </c>
      <c r="BO42" s="1003">
        <f t="shared" si="94"/>
        <v>21879.666666666668</v>
      </c>
      <c r="BP42" s="1003">
        <f t="shared" si="94"/>
        <v>21879.666666666668</v>
      </c>
      <c r="BQ42" s="1003">
        <f t="shared" si="94"/>
        <v>21879.666666666668</v>
      </c>
      <c r="BR42" s="1003">
        <f t="shared" si="94"/>
        <v>21879.666666666668</v>
      </c>
      <c r="BS42" s="1003">
        <f t="shared" si="94"/>
        <v>21879.666666666668</v>
      </c>
      <c r="BT42" s="1003">
        <f t="shared" si="94"/>
        <v>21879.666666666668</v>
      </c>
      <c r="BU42" s="1003">
        <f t="shared" si="94"/>
        <v>21879.666666666668</v>
      </c>
      <c r="BV42" s="1003">
        <f t="shared" si="94"/>
        <v>21879.666666666668</v>
      </c>
      <c r="BW42" s="1003">
        <f t="shared" si="94"/>
        <v>21879.666666666668</v>
      </c>
      <c r="BX42" s="1003">
        <f t="shared" si="94"/>
        <v>21879.666666666668</v>
      </c>
      <c r="BY42" s="986">
        <f t="shared" si="66"/>
        <v>262555.99999999994</v>
      </c>
      <c r="BZ42" s="886">
        <f t="shared" si="67"/>
        <v>27787.17666666667</v>
      </c>
      <c r="CA42" s="257">
        <f t="shared" si="67"/>
        <v>27787.17666666667</v>
      </c>
      <c r="CB42" s="257">
        <f t="shared" si="67"/>
        <v>27787.17666666667</v>
      </c>
      <c r="CC42" s="257">
        <f t="shared" si="67"/>
        <v>27787.17666666667</v>
      </c>
      <c r="CD42" s="257">
        <f t="shared" si="67"/>
        <v>27787.17666666667</v>
      </c>
      <c r="CE42" s="257">
        <f t="shared" si="67"/>
        <v>27787.17666666667</v>
      </c>
      <c r="CF42" s="257">
        <f t="shared" si="67"/>
        <v>27787.17666666667</v>
      </c>
      <c r="CG42" s="257">
        <f t="shared" si="67"/>
        <v>27787.17666666667</v>
      </c>
      <c r="CH42" s="257">
        <f t="shared" si="67"/>
        <v>27787.17666666667</v>
      </c>
      <c r="CI42" s="257">
        <f t="shared" si="67"/>
        <v>27787.17666666667</v>
      </c>
      <c r="CJ42" s="257">
        <f t="shared" si="67"/>
        <v>27787.17666666667</v>
      </c>
      <c r="CK42" s="257">
        <f t="shared" si="67"/>
        <v>27787.17666666667</v>
      </c>
      <c r="CL42" s="887">
        <f t="shared" si="68"/>
        <v>333446.12000000011</v>
      </c>
      <c r="CM42" s="1005">
        <f>260000/12</f>
        <v>21666.666666666668</v>
      </c>
      <c r="CN42" s="1003">
        <f t="shared" ref="CN42:CX42" si="95">260000/12</f>
        <v>21666.666666666668</v>
      </c>
      <c r="CO42" s="1003">
        <f t="shared" si="95"/>
        <v>21666.666666666668</v>
      </c>
      <c r="CP42" s="1003">
        <f t="shared" si="95"/>
        <v>21666.666666666668</v>
      </c>
      <c r="CQ42" s="1003">
        <f t="shared" si="95"/>
        <v>21666.666666666668</v>
      </c>
      <c r="CR42" s="1003">
        <f t="shared" si="95"/>
        <v>21666.666666666668</v>
      </c>
      <c r="CS42" s="1003">
        <f t="shared" si="95"/>
        <v>21666.666666666668</v>
      </c>
      <c r="CT42" s="1003">
        <f t="shared" si="95"/>
        <v>21666.666666666668</v>
      </c>
      <c r="CU42" s="1003">
        <f t="shared" si="95"/>
        <v>21666.666666666668</v>
      </c>
      <c r="CV42" s="1003">
        <f t="shared" si="95"/>
        <v>21666.666666666668</v>
      </c>
      <c r="CW42" s="1003">
        <f t="shared" si="95"/>
        <v>21666.666666666668</v>
      </c>
      <c r="CX42" s="1003">
        <f t="shared" si="95"/>
        <v>21666.666666666668</v>
      </c>
      <c r="CY42" s="986">
        <f t="shared" si="69"/>
        <v>259999.99999999997</v>
      </c>
      <c r="CZ42" s="886">
        <f t="shared" si="70"/>
        <v>27516.666666666668</v>
      </c>
      <c r="DA42" s="257">
        <f t="shared" si="70"/>
        <v>27516.666666666668</v>
      </c>
      <c r="DB42" s="257">
        <f t="shared" si="70"/>
        <v>27516.666666666668</v>
      </c>
      <c r="DC42" s="257">
        <f t="shared" si="70"/>
        <v>27516.666666666668</v>
      </c>
      <c r="DD42" s="257">
        <f t="shared" si="70"/>
        <v>27516.666666666668</v>
      </c>
      <c r="DE42" s="257">
        <f t="shared" si="70"/>
        <v>27516.666666666668</v>
      </c>
      <c r="DF42" s="257">
        <f t="shared" si="70"/>
        <v>27516.666666666668</v>
      </c>
      <c r="DG42" s="257">
        <f t="shared" si="70"/>
        <v>27516.666666666668</v>
      </c>
      <c r="DH42" s="257">
        <f t="shared" si="70"/>
        <v>27516.666666666668</v>
      </c>
      <c r="DI42" s="257">
        <f t="shared" si="70"/>
        <v>27516.666666666668</v>
      </c>
      <c r="DJ42" s="257">
        <f t="shared" si="70"/>
        <v>27516.666666666668</v>
      </c>
      <c r="DK42" s="257">
        <f t="shared" si="70"/>
        <v>27516.666666666668</v>
      </c>
      <c r="DL42" s="887">
        <f t="shared" si="50"/>
        <v>330200</v>
      </c>
      <c r="DM42" s="1005">
        <f t="shared" ref="DM42:DX42" si="96">260000/12</f>
        <v>21666.666666666668</v>
      </c>
      <c r="DN42" s="1003">
        <f t="shared" si="96"/>
        <v>21666.666666666668</v>
      </c>
      <c r="DO42" s="1003">
        <f t="shared" si="96"/>
        <v>21666.666666666668</v>
      </c>
      <c r="DP42" s="1003">
        <f t="shared" si="96"/>
        <v>21666.666666666668</v>
      </c>
      <c r="DQ42" s="1003">
        <f t="shared" si="96"/>
        <v>21666.666666666668</v>
      </c>
      <c r="DR42" s="1003">
        <f t="shared" si="96"/>
        <v>21666.666666666668</v>
      </c>
      <c r="DS42" s="1003">
        <f t="shared" si="96"/>
        <v>21666.666666666668</v>
      </c>
      <c r="DT42" s="1003">
        <f t="shared" si="96"/>
        <v>21666.666666666668</v>
      </c>
      <c r="DU42" s="1003">
        <f t="shared" si="96"/>
        <v>21666.666666666668</v>
      </c>
      <c r="DV42" s="1003">
        <f t="shared" si="96"/>
        <v>21666.666666666668</v>
      </c>
      <c r="DW42" s="1003">
        <f t="shared" si="96"/>
        <v>21666.666666666668</v>
      </c>
      <c r="DX42" s="1003">
        <f t="shared" si="96"/>
        <v>21666.666666666668</v>
      </c>
      <c r="DY42" s="986">
        <f t="shared" si="71"/>
        <v>259999.99999999997</v>
      </c>
      <c r="DZ42" s="886">
        <f t="shared" si="72"/>
        <v>27516.666666666668</v>
      </c>
      <c r="EA42" s="257">
        <f t="shared" si="72"/>
        <v>27516.666666666668</v>
      </c>
      <c r="EB42" s="257">
        <f t="shared" si="72"/>
        <v>27516.666666666668</v>
      </c>
      <c r="EC42" s="257">
        <f t="shared" si="72"/>
        <v>27516.666666666668</v>
      </c>
      <c r="ED42" s="257">
        <f t="shared" si="72"/>
        <v>27516.666666666668</v>
      </c>
      <c r="EE42" s="257">
        <f t="shared" si="72"/>
        <v>27516.666666666668</v>
      </c>
      <c r="EF42" s="257">
        <f t="shared" si="72"/>
        <v>27516.666666666668</v>
      </c>
      <c r="EG42" s="257">
        <f t="shared" si="72"/>
        <v>27516.666666666668</v>
      </c>
      <c r="EH42" s="257">
        <f t="shared" si="72"/>
        <v>27516.666666666668</v>
      </c>
      <c r="EI42" s="257">
        <f t="shared" si="72"/>
        <v>27516.666666666668</v>
      </c>
      <c r="EJ42" s="257">
        <f t="shared" si="72"/>
        <v>27516.666666666668</v>
      </c>
      <c r="EK42" s="257">
        <f t="shared" si="72"/>
        <v>27516.666666666668</v>
      </c>
      <c r="EL42" s="887">
        <f t="shared" si="52"/>
        <v>330200</v>
      </c>
    </row>
    <row r="43" spans="1:142" s="1019" customFormat="1">
      <c r="A43" s="1006" t="s">
        <v>680</v>
      </c>
      <c r="B43" s="913" t="s">
        <v>681</v>
      </c>
      <c r="C43" s="1007"/>
      <c r="D43" s="989"/>
      <c r="E43" s="1008"/>
      <c r="F43" s="1008"/>
      <c r="G43" s="1009">
        <v>4.774</v>
      </c>
      <c r="H43" s="989">
        <v>4.46</v>
      </c>
      <c r="I43" s="1008">
        <v>4.46</v>
      </c>
      <c r="J43" s="1008">
        <v>4.46</v>
      </c>
      <c r="K43" s="1010">
        <v>4.46</v>
      </c>
      <c r="L43" s="1011"/>
      <c r="M43" s="1012"/>
      <c r="N43" s="1013"/>
      <c r="O43" s="1013"/>
      <c r="P43" s="1013"/>
      <c r="Q43" s="1013"/>
      <c r="R43" s="1013"/>
      <c r="S43" s="1013"/>
      <c r="T43" s="1013"/>
      <c r="U43" s="1013"/>
      <c r="V43" s="1013"/>
      <c r="W43" s="1013"/>
      <c r="X43" s="1013"/>
      <c r="Y43" s="1014">
        <f t="shared" si="58"/>
        <v>0</v>
      </c>
      <c r="Z43" s="1000"/>
      <c r="AA43" s="1001"/>
      <c r="AB43" s="1001"/>
      <c r="AC43" s="1001"/>
      <c r="AD43" s="257">
        <v>0</v>
      </c>
      <c r="AE43" s="1001"/>
      <c r="AF43" s="1001"/>
      <c r="AG43" s="1001"/>
      <c r="AH43" s="1001"/>
      <c r="AI43" s="1001">
        <f t="shared" si="61"/>
        <v>0</v>
      </c>
      <c r="AJ43" s="1001">
        <f t="shared" si="61"/>
        <v>0</v>
      </c>
      <c r="AK43" s="1001">
        <f t="shared" si="61"/>
        <v>0</v>
      </c>
      <c r="AL43" s="1002">
        <f t="shared" si="62"/>
        <v>0</v>
      </c>
      <c r="AM43" s="1015"/>
      <c r="AN43" s="1016"/>
      <c r="AO43" s="1016"/>
      <c r="AP43" s="1016"/>
      <c r="AQ43" s="1016"/>
      <c r="AR43" s="1016"/>
      <c r="AS43" s="1016">
        <f t="shared" ref="AS43:AX43" si="97">317888/12</f>
        <v>26490.666666666668</v>
      </c>
      <c r="AT43" s="1016">
        <f t="shared" si="97"/>
        <v>26490.666666666668</v>
      </c>
      <c r="AU43" s="1016">
        <f t="shared" si="97"/>
        <v>26490.666666666668</v>
      </c>
      <c r="AV43" s="1016">
        <f t="shared" si="97"/>
        <v>26490.666666666668</v>
      </c>
      <c r="AW43" s="1016">
        <f t="shared" si="97"/>
        <v>26490.666666666668</v>
      </c>
      <c r="AX43" s="1016">
        <f t="shared" si="97"/>
        <v>26490.666666666668</v>
      </c>
      <c r="AY43" s="999">
        <f t="shared" si="64"/>
        <v>158944</v>
      </c>
      <c r="AZ43" s="1000">
        <f t="shared" si="65"/>
        <v>0</v>
      </c>
      <c r="BA43" s="1001">
        <f t="shared" si="65"/>
        <v>0</v>
      </c>
      <c r="BB43" s="1001">
        <f t="shared" si="65"/>
        <v>0</v>
      </c>
      <c r="BC43" s="1001">
        <f t="shared" si="65"/>
        <v>0</v>
      </c>
      <c r="BD43" s="1001">
        <f t="shared" si="65"/>
        <v>0</v>
      </c>
      <c r="BE43" s="1001">
        <f t="shared" si="65"/>
        <v>0</v>
      </c>
      <c r="BF43" s="1001">
        <f t="shared" si="65"/>
        <v>118148.37333333334</v>
      </c>
      <c r="BG43" s="1001">
        <f t="shared" si="65"/>
        <v>118148.37333333334</v>
      </c>
      <c r="BH43" s="1001">
        <f t="shared" si="65"/>
        <v>118148.37333333334</v>
      </c>
      <c r="BI43" s="1001">
        <f t="shared" si="65"/>
        <v>118148.37333333334</v>
      </c>
      <c r="BJ43" s="1001">
        <f t="shared" si="65"/>
        <v>118148.37333333334</v>
      </c>
      <c r="BK43" s="1001">
        <f t="shared" si="65"/>
        <v>118148.37333333334</v>
      </c>
      <c r="BL43" s="1002">
        <f t="shared" si="47"/>
        <v>708890.24</v>
      </c>
      <c r="BM43" s="1015">
        <f>317888/12</f>
        <v>26490.666666666668</v>
      </c>
      <c r="BN43" s="1016">
        <f t="shared" ref="BN43:BX43" si="98">317888/12</f>
        <v>26490.666666666668</v>
      </c>
      <c r="BO43" s="1016">
        <f t="shared" si="98"/>
        <v>26490.666666666668</v>
      </c>
      <c r="BP43" s="1016">
        <f t="shared" si="98"/>
        <v>26490.666666666668</v>
      </c>
      <c r="BQ43" s="1016">
        <f t="shared" si="98"/>
        <v>26490.666666666668</v>
      </c>
      <c r="BR43" s="1016">
        <f t="shared" si="98"/>
        <v>26490.666666666668</v>
      </c>
      <c r="BS43" s="1016">
        <f t="shared" si="98"/>
        <v>26490.666666666668</v>
      </c>
      <c r="BT43" s="1016">
        <f t="shared" si="98"/>
        <v>26490.666666666668</v>
      </c>
      <c r="BU43" s="1016">
        <f t="shared" si="98"/>
        <v>26490.666666666668</v>
      </c>
      <c r="BV43" s="1016">
        <f t="shared" si="98"/>
        <v>26490.666666666668</v>
      </c>
      <c r="BW43" s="1016">
        <f t="shared" si="98"/>
        <v>26490.666666666668</v>
      </c>
      <c r="BX43" s="1016">
        <f t="shared" si="98"/>
        <v>26490.666666666668</v>
      </c>
      <c r="BY43" s="999">
        <f t="shared" si="66"/>
        <v>317888</v>
      </c>
      <c r="BZ43" s="1000">
        <f t="shared" si="67"/>
        <v>118148.37333333334</v>
      </c>
      <c r="CA43" s="1001">
        <f t="shared" si="67"/>
        <v>118148.37333333334</v>
      </c>
      <c r="CB43" s="1001">
        <f t="shared" si="67"/>
        <v>118148.37333333334</v>
      </c>
      <c r="CC43" s="1001">
        <f t="shared" si="67"/>
        <v>118148.37333333334</v>
      </c>
      <c r="CD43" s="1001">
        <f t="shared" si="67"/>
        <v>118148.37333333334</v>
      </c>
      <c r="CE43" s="1001">
        <f t="shared" si="67"/>
        <v>118148.37333333334</v>
      </c>
      <c r="CF43" s="1001">
        <f t="shared" si="67"/>
        <v>118148.37333333334</v>
      </c>
      <c r="CG43" s="1001">
        <f t="shared" si="67"/>
        <v>118148.37333333334</v>
      </c>
      <c r="CH43" s="1001">
        <f t="shared" si="67"/>
        <v>118148.37333333334</v>
      </c>
      <c r="CI43" s="1001">
        <f t="shared" si="67"/>
        <v>118148.37333333334</v>
      </c>
      <c r="CJ43" s="1001">
        <f t="shared" si="67"/>
        <v>118148.37333333334</v>
      </c>
      <c r="CK43" s="1017">
        <f t="shared" si="67"/>
        <v>118148.37333333334</v>
      </c>
      <c r="CL43" s="1018">
        <f t="shared" si="68"/>
        <v>1417780.4799999997</v>
      </c>
      <c r="CM43" s="1015">
        <f>317888/12</f>
        <v>26490.666666666668</v>
      </c>
      <c r="CN43" s="1016">
        <f t="shared" ref="CN43:CX43" si="99">317888/12</f>
        <v>26490.666666666668</v>
      </c>
      <c r="CO43" s="1016">
        <f t="shared" si="99"/>
        <v>26490.666666666668</v>
      </c>
      <c r="CP43" s="1016">
        <f t="shared" si="99"/>
        <v>26490.666666666668</v>
      </c>
      <c r="CQ43" s="1016">
        <f t="shared" si="99"/>
        <v>26490.666666666668</v>
      </c>
      <c r="CR43" s="1016">
        <f t="shared" si="99"/>
        <v>26490.666666666668</v>
      </c>
      <c r="CS43" s="1016">
        <f t="shared" si="99"/>
        <v>26490.666666666668</v>
      </c>
      <c r="CT43" s="1016">
        <f t="shared" si="99"/>
        <v>26490.666666666668</v>
      </c>
      <c r="CU43" s="1016">
        <f t="shared" si="99"/>
        <v>26490.666666666668</v>
      </c>
      <c r="CV43" s="1016">
        <f t="shared" si="99"/>
        <v>26490.666666666668</v>
      </c>
      <c r="CW43" s="1016">
        <f t="shared" si="99"/>
        <v>26490.666666666668</v>
      </c>
      <c r="CX43" s="1016">
        <f t="shared" si="99"/>
        <v>26490.666666666668</v>
      </c>
      <c r="CY43" s="999">
        <f t="shared" si="69"/>
        <v>317888</v>
      </c>
      <c r="CZ43" s="1000">
        <f t="shared" si="70"/>
        <v>118148.37333333334</v>
      </c>
      <c r="DA43" s="1001">
        <f t="shared" si="70"/>
        <v>118148.37333333334</v>
      </c>
      <c r="DB43" s="1001">
        <f t="shared" si="70"/>
        <v>118148.37333333334</v>
      </c>
      <c r="DC43" s="1001">
        <f t="shared" si="70"/>
        <v>118148.37333333334</v>
      </c>
      <c r="DD43" s="1001">
        <f t="shared" si="70"/>
        <v>118148.37333333334</v>
      </c>
      <c r="DE43" s="1001">
        <f t="shared" si="70"/>
        <v>118148.37333333334</v>
      </c>
      <c r="DF43" s="1001">
        <f t="shared" si="70"/>
        <v>118148.37333333334</v>
      </c>
      <c r="DG43" s="1001">
        <f t="shared" si="70"/>
        <v>118148.37333333334</v>
      </c>
      <c r="DH43" s="1001">
        <f t="shared" si="70"/>
        <v>118148.37333333334</v>
      </c>
      <c r="DI43" s="1001">
        <f t="shared" si="70"/>
        <v>118148.37333333334</v>
      </c>
      <c r="DJ43" s="1001">
        <f t="shared" si="70"/>
        <v>118148.37333333334</v>
      </c>
      <c r="DK43" s="1017">
        <f t="shared" si="70"/>
        <v>118148.37333333334</v>
      </c>
      <c r="DL43" s="1018">
        <f t="shared" si="50"/>
        <v>1417780.4799999997</v>
      </c>
      <c r="DM43" s="1015">
        <f>317888/12</f>
        <v>26490.666666666668</v>
      </c>
      <c r="DN43" s="1016">
        <f t="shared" ref="DN43:DX43" si="100">317888/12</f>
        <v>26490.666666666668</v>
      </c>
      <c r="DO43" s="1016">
        <f t="shared" si="100"/>
        <v>26490.666666666668</v>
      </c>
      <c r="DP43" s="1016">
        <f t="shared" si="100"/>
        <v>26490.666666666668</v>
      </c>
      <c r="DQ43" s="1016">
        <f t="shared" si="100"/>
        <v>26490.666666666668</v>
      </c>
      <c r="DR43" s="1016">
        <f t="shared" si="100"/>
        <v>26490.666666666668</v>
      </c>
      <c r="DS43" s="1016">
        <f t="shared" si="100"/>
        <v>26490.666666666668</v>
      </c>
      <c r="DT43" s="1016">
        <f t="shared" si="100"/>
        <v>26490.666666666668</v>
      </c>
      <c r="DU43" s="1016">
        <f t="shared" si="100"/>
        <v>26490.666666666668</v>
      </c>
      <c r="DV43" s="1016">
        <f t="shared" si="100"/>
        <v>26490.666666666668</v>
      </c>
      <c r="DW43" s="1016">
        <f t="shared" si="100"/>
        <v>26490.666666666668</v>
      </c>
      <c r="DX43" s="1016">
        <f t="shared" si="100"/>
        <v>26490.666666666668</v>
      </c>
      <c r="DY43" s="999">
        <f t="shared" si="71"/>
        <v>317888</v>
      </c>
      <c r="DZ43" s="1000">
        <f t="shared" si="72"/>
        <v>118148.37333333334</v>
      </c>
      <c r="EA43" s="1001">
        <f t="shared" si="72"/>
        <v>118148.37333333334</v>
      </c>
      <c r="EB43" s="1001">
        <f t="shared" si="72"/>
        <v>118148.37333333334</v>
      </c>
      <c r="EC43" s="1001">
        <f t="shared" si="72"/>
        <v>118148.37333333334</v>
      </c>
      <c r="ED43" s="1001">
        <f t="shared" si="72"/>
        <v>118148.37333333334</v>
      </c>
      <c r="EE43" s="1001">
        <f t="shared" si="72"/>
        <v>118148.37333333334</v>
      </c>
      <c r="EF43" s="1001">
        <f t="shared" si="72"/>
        <v>118148.37333333334</v>
      </c>
      <c r="EG43" s="1001">
        <f t="shared" si="72"/>
        <v>118148.37333333334</v>
      </c>
      <c r="EH43" s="1001">
        <f t="shared" si="72"/>
        <v>118148.37333333334</v>
      </c>
      <c r="EI43" s="1001">
        <f t="shared" si="72"/>
        <v>118148.37333333334</v>
      </c>
      <c r="EJ43" s="1001">
        <f t="shared" si="72"/>
        <v>118148.37333333334</v>
      </c>
      <c r="EK43" s="1017">
        <f t="shared" si="72"/>
        <v>118148.37333333334</v>
      </c>
      <c r="EL43" s="1018">
        <f t="shared" si="52"/>
        <v>1417780.4799999997</v>
      </c>
    </row>
    <row r="44" spans="1:142" s="1019" customFormat="1">
      <c r="A44" s="1006" t="s">
        <v>680</v>
      </c>
      <c r="B44" s="913" t="s">
        <v>682</v>
      </c>
      <c r="C44" s="1007"/>
      <c r="D44" s="989"/>
      <c r="E44" s="1008"/>
      <c r="F44" s="1008"/>
      <c r="G44" s="1009"/>
      <c r="H44" s="989">
        <v>4.55</v>
      </c>
      <c r="I44" s="1008">
        <v>4.55</v>
      </c>
      <c r="J44" s="1008">
        <v>4.55</v>
      </c>
      <c r="K44" s="1010">
        <v>4.55</v>
      </c>
      <c r="L44" s="1011"/>
      <c r="M44" s="1012"/>
      <c r="N44" s="1013"/>
      <c r="O44" s="1013"/>
      <c r="P44" s="1013"/>
      <c r="Q44" s="1013"/>
      <c r="R44" s="1013"/>
      <c r="S44" s="1013"/>
      <c r="T44" s="1013"/>
      <c r="U44" s="1013"/>
      <c r="V44" s="1013"/>
      <c r="W44" s="1013"/>
      <c r="X44" s="1013"/>
      <c r="Y44" s="1014">
        <f t="shared" si="58"/>
        <v>0</v>
      </c>
      <c r="Z44" s="1000"/>
      <c r="AA44" s="1001"/>
      <c r="AB44" s="1001"/>
      <c r="AC44" s="1001"/>
      <c r="AD44" s="257">
        <v>0</v>
      </c>
      <c r="AE44" s="1001"/>
      <c r="AF44" s="1001"/>
      <c r="AG44" s="1001"/>
      <c r="AH44" s="1001"/>
      <c r="AI44" s="1001">
        <f t="shared" si="61"/>
        <v>0</v>
      </c>
      <c r="AJ44" s="1001">
        <f t="shared" si="61"/>
        <v>0</v>
      </c>
      <c r="AK44" s="1001">
        <f t="shared" si="61"/>
        <v>0</v>
      </c>
      <c r="AL44" s="1002">
        <f t="shared" si="62"/>
        <v>0</v>
      </c>
      <c r="AM44" s="1015"/>
      <c r="AN44" s="1016"/>
      <c r="AO44" s="1016"/>
      <c r="AP44" s="1016"/>
      <c r="AQ44" s="1016"/>
      <c r="AR44" s="1016"/>
      <c r="AS44" s="1016">
        <f t="shared" ref="AS44:AX44" si="101">78975/12</f>
        <v>6581.25</v>
      </c>
      <c r="AT44" s="1016">
        <f t="shared" si="101"/>
        <v>6581.25</v>
      </c>
      <c r="AU44" s="1016">
        <f t="shared" si="101"/>
        <v>6581.25</v>
      </c>
      <c r="AV44" s="1016">
        <f t="shared" si="101"/>
        <v>6581.25</v>
      </c>
      <c r="AW44" s="1016">
        <f t="shared" si="101"/>
        <v>6581.25</v>
      </c>
      <c r="AX44" s="1016">
        <f t="shared" si="101"/>
        <v>6581.25</v>
      </c>
      <c r="AY44" s="999">
        <f t="shared" si="64"/>
        <v>39487.5</v>
      </c>
      <c r="AZ44" s="1000">
        <f t="shared" si="65"/>
        <v>0</v>
      </c>
      <c r="BA44" s="1001">
        <f t="shared" si="65"/>
        <v>0</v>
      </c>
      <c r="BB44" s="1001">
        <f t="shared" si="65"/>
        <v>0</v>
      </c>
      <c r="BC44" s="1001">
        <f t="shared" si="65"/>
        <v>0</v>
      </c>
      <c r="BD44" s="1001">
        <f t="shared" si="65"/>
        <v>0</v>
      </c>
      <c r="BE44" s="1001">
        <f t="shared" si="65"/>
        <v>0</v>
      </c>
      <c r="BF44" s="1001">
        <f t="shared" si="65"/>
        <v>29944.6875</v>
      </c>
      <c r="BG44" s="1001">
        <f t="shared" si="65"/>
        <v>29944.6875</v>
      </c>
      <c r="BH44" s="1001">
        <f t="shared" si="65"/>
        <v>29944.6875</v>
      </c>
      <c r="BI44" s="1001">
        <f t="shared" si="65"/>
        <v>29944.6875</v>
      </c>
      <c r="BJ44" s="1001">
        <f t="shared" si="65"/>
        <v>29944.6875</v>
      </c>
      <c r="BK44" s="1001">
        <f t="shared" si="65"/>
        <v>29944.6875</v>
      </c>
      <c r="BL44" s="1002">
        <f t="shared" si="47"/>
        <v>179668.125</v>
      </c>
      <c r="BM44" s="1015">
        <f>78975/12</f>
        <v>6581.25</v>
      </c>
      <c r="BN44" s="1016">
        <f t="shared" ref="BN44:BX44" si="102">78975/12</f>
        <v>6581.25</v>
      </c>
      <c r="BO44" s="1016">
        <f t="shared" si="102"/>
        <v>6581.25</v>
      </c>
      <c r="BP44" s="1016">
        <f t="shared" si="102"/>
        <v>6581.25</v>
      </c>
      <c r="BQ44" s="1016">
        <f t="shared" si="102"/>
        <v>6581.25</v>
      </c>
      <c r="BR44" s="1016">
        <f t="shared" si="102"/>
        <v>6581.25</v>
      </c>
      <c r="BS44" s="1016">
        <f t="shared" si="102"/>
        <v>6581.25</v>
      </c>
      <c r="BT44" s="1016">
        <f t="shared" si="102"/>
        <v>6581.25</v>
      </c>
      <c r="BU44" s="1016">
        <f t="shared" si="102"/>
        <v>6581.25</v>
      </c>
      <c r="BV44" s="1016">
        <f t="shared" si="102"/>
        <v>6581.25</v>
      </c>
      <c r="BW44" s="1016">
        <f t="shared" si="102"/>
        <v>6581.25</v>
      </c>
      <c r="BX44" s="1016">
        <f t="shared" si="102"/>
        <v>6581.25</v>
      </c>
      <c r="BY44" s="999">
        <f t="shared" si="66"/>
        <v>78975</v>
      </c>
      <c r="BZ44" s="1000">
        <f t="shared" si="67"/>
        <v>29944.6875</v>
      </c>
      <c r="CA44" s="1001">
        <f t="shared" si="67"/>
        <v>29944.6875</v>
      </c>
      <c r="CB44" s="1001">
        <f t="shared" si="67"/>
        <v>29944.6875</v>
      </c>
      <c r="CC44" s="1001">
        <f t="shared" si="67"/>
        <v>29944.6875</v>
      </c>
      <c r="CD44" s="1001">
        <f t="shared" si="67"/>
        <v>29944.6875</v>
      </c>
      <c r="CE44" s="1001">
        <f t="shared" si="67"/>
        <v>29944.6875</v>
      </c>
      <c r="CF44" s="1001">
        <f t="shared" si="67"/>
        <v>29944.6875</v>
      </c>
      <c r="CG44" s="1001">
        <f t="shared" si="67"/>
        <v>29944.6875</v>
      </c>
      <c r="CH44" s="1001">
        <f t="shared" si="67"/>
        <v>29944.6875</v>
      </c>
      <c r="CI44" s="1001">
        <f t="shared" si="67"/>
        <v>29944.6875</v>
      </c>
      <c r="CJ44" s="1001">
        <f t="shared" si="67"/>
        <v>29944.6875</v>
      </c>
      <c r="CK44" s="1017">
        <f t="shared" si="67"/>
        <v>29944.6875</v>
      </c>
      <c r="CL44" s="1020">
        <f t="shared" si="68"/>
        <v>359336.25</v>
      </c>
      <c r="CM44" s="1015">
        <f>78975/12</f>
        <v>6581.25</v>
      </c>
      <c r="CN44" s="1016">
        <f t="shared" ref="CN44:CX44" si="103">78975/12</f>
        <v>6581.25</v>
      </c>
      <c r="CO44" s="1016">
        <f t="shared" si="103"/>
        <v>6581.25</v>
      </c>
      <c r="CP44" s="1016">
        <f t="shared" si="103"/>
        <v>6581.25</v>
      </c>
      <c r="CQ44" s="1016">
        <f t="shared" si="103"/>
        <v>6581.25</v>
      </c>
      <c r="CR44" s="1016">
        <f t="shared" si="103"/>
        <v>6581.25</v>
      </c>
      <c r="CS44" s="1016">
        <f t="shared" si="103"/>
        <v>6581.25</v>
      </c>
      <c r="CT44" s="1016">
        <f t="shared" si="103"/>
        <v>6581.25</v>
      </c>
      <c r="CU44" s="1016">
        <f t="shared" si="103"/>
        <v>6581.25</v>
      </c>
      <c r="CV44" s="1016">
        <f t="shared" si="103"/>
        <v>6581.25</v>
      </c>
      <c r="CW44" s="1016">
        <f t="shared" si="103"/>
        <v>6581.25</v>
      </c>
      <c r="CX44" s="1016">
        <f t="shared" si="103"/>
        <v>6581.25</v>
      </c>
      <c r="CY44" s="999">
        <f t="shared" si="69"/>
        <v>78975</v>
      </c>
      <c r="CZ44" s="1000">
        <f t="shared" si="70"/>
        <v>29944.6875</v>
      </c>
      <c r="DA44" s="1001">
        <f t="shared" si="70"/>
        <v>29944.6875</v>
      </c>
      <c r="DB44" s="1001">
        <f t="shared" si="70"/>
        <v>29944.6875</v>
      </c>
      <c r="DC44" s="1001">
        <f t="shared" si="70"/>
        <v>29944.6875</v>
      </c>
      <c r="DD44" s="1001">
        <f t="shared" si="70"/>
        <v>29944.6875</v>
      </c>
      <c r="DE44" s="1001">
        <f t="shared" si="70"/>
        <v>29944.6875</v>
      </c>
      <c r="DF44" s="1001">
        <f t="shared" si="70"/>
        <v>29944.6875</v>
      </c>
      <c r="DG44" s="1001">
        <f t="shared" si="70"/>
        <v>29944.6875</v>
      </c>
      <c r="DH44" s="1001">
        <f t="shared" si="70"/>
        <v>29944.6875</v>
      </c>
      <c r="DI44" s="1001">
        <f t="shared" si="70"/>
        <v>29944.6875</v>
      </c>
      <c r="DJ44" s="1001">
        <f t="shared" si="70"/>
        <v>29944.6875</v>
      </c>
      <c r="DK44" s="1017">
        <f t="shared" si="70"/>
        <v>29944.6875</v>
      </c>
      <c r="DL44" s="1020">
        <f t="shared" si="50"/>
        <v>359336.25</v>
      </c>
      <c r="DM44" s="1015">
        <f>78975/12</f>
        <v>6581.25</v>
      </c>
      <c r="DN44" s="1016">
        <f t="shared" ref="DN44:DX44" si="104">78975/12</f>
        <v>6581.25</v>
      </c>
      <c r="DO44" s="1016">
        <f t="shared" si="104"/>
        <v>6581.25</v>
      </c>
      <c r="DP44" s="1016">
        <f t="shared" si="104"/>
        <v>6581.25</v>
      </c>
      <c r="DQ44" s="1016">
        <f t="shared" si="104"/>
        <v>6581.25</v>
      </c>
      <c r="DR44" s="1016">
        <f t="shared" si="104"/>
        <v>6581.25</v>
      </c>
      <c r="DS44" s="1016">
        <f t="shared" si="104"/>
        <v>6581.25</v>
      </c>
      <c r="DT44" s="1016">
        <f t="shared" si="104"/>
        <v>6581.25</v>
      </c>
      <c r="DU44" s="1016">
        <f t="shared" si="104"/>
        <v>6581.25</v>
      </c>
      <c r="DV44" s="1016">
        <f t="shared" si="104"/>
        <v>6581.25</v>
      </c>
      <c r="DW44" s="1016">
        <f t="shared" si="104"/>
        <v>6581.25</v>
      </c>
      <c r="DX44" s="1016">
        <f t="shared" si="104"/>
        <v>6581.25</v>
      </c>
      <c r="DY44" s="999">
        <f t="shared" si="71"/>
        <v>78975</v>
      </c>
      <c r="DZ44" s="1000">
        <f t="shared" si="72"/>
        <v>29944.6875</v>
      </c>
      <c r="EA44" s="1001">
        <f t="shared" si="72"/>
        <v>29944.6875</v>
      </c>
      <c r="EB44" s="1001">
        <f t="shared" si="72"/>
        <v>29944.6875</v>
      </c>
      <c r="EC44" s="1001">
        <f t="shared" si="72"/>
        <v>29944.6875</v>
      </c>
      <c r="ED44" s="1001">
        <f t="shared" si="72"/>
        <v>29944.6875</v>
      </c>
      <c r="EE44" s="1001">
        <f t="shared" si="72"/>
        <v>29944.6875</v>
      </c>
      <c r="EF44" s="1001">
        <f t="shared" si="72"/>
        <v>29944.6875</v>
      </c>
      <c r="EG44" s="1001">
        <f t="shared" si="72"/>
        <v>29944.6875</v>
      </c>
      <c r="EH44" s="1001">
        <f t="shared" si="72"/>
        <v>29944.6875</v>
      </c>
      <c r="EI44" s="1001">
        <f t="shared" si="72"/>
        <v>29944.6875</v>
      </c>
      <c r="EJ44" s="1001">
        <f t="shared" si="72"/>
        <v>29944.6875</v>
      </c>
      <c r="EK44" s="1017">
        <f t="shared" si="72"/>
        <v>29944.6875</v>
      </c>
      <c r="EL44" s="1020">
        <f t="shared" si="52"/>
        <v>359336.25</v>
      </c>
    </row>
    <row r="45" spans="1:142" s="1019" customFormat="1">
      <c r="A45" s="1006" t="s">
        <v>680</v>
      </c>
      <c r="B45" s="913" t="s">
        <v>683</v>
      </c>
      <c r="C45" s="1007"/>
      <c r="D45" s="989"/>
      <c r="E45" s="1008"/>
      <c r="F45" s="1008"/>
      <c r="G45" s="1009">
        <v>4.774</v>
      </c>
      <c r="H45" s="989">
        <v>5.4</v>
      </c>
      <c r="I45" s="1008">
        <v>5.4</v>
      </c>
      <c r="J45" s="1008">
        <v>5.4</v>
      </c>
      <c r="K45" s="1010">
        <v>5.4</v>
      </c>
      <c r="L45" s="1011"/>
      <c r="M45" s="1012"/>
      <c r="N45" s="1013"/>
      <c r="O45" s="1013"/>
      <c r="P45" s="1013"/>
      <c r="Q45" s="1013"/>
      <c r="R45" s="1013"/>
      <c r="S45" s="1013"/>
      <c r="T45" s="1013"/>
      <c r="U45" s="1013"/>
      <c r="V45" s="1013"/>
      <c r="W45" s="1013"/>
      <c r="X45" s="1013"/>
      <c r="Y45" s="1014">
        <f t="shared" si="58"/>
        <v>0</v>
      </c>
      <c r="Z45" s="1000"/>
      <c r="AA45" s="1001"/>
      <c r="AB45" s="1001"/>
      <c r="AC45" s="1001"/>
      <c r="AD45" s="257">
        <v>0</v>
      </c>
      <c r="AE45" s="1001"/>
      <c r="AF45" s="1001"/>
      <c r="AG45" s="1001"/>
      <c r="AH45" s="1001"/>
      <c r="AI45" s="1001">
        <f t="shared" si="61"/>
        <v>0</v>
      </c>
      <c r="AJ45" s="1001">
        <f t="shared" si="61"/>
        <v>0</v>
      </c>
      <c r="AK45" s="1001">
        <f t="shared" si="61"/>
        <v>0</v>
      </c>
      <c r="AL45" s="1002">
        <f t="shared" si="62"/>
        <v>0</v>
      </c>
      <c r="AM45" s="1015"/>
      <c r="AN45" s="1016"/>
      <c r="AO45" s="1016"/>
      <c r="AP45" s="1016"/>
      <c r="AQ45" s="1016"/>
      <c r="AR45" s="1016"/>
      <c r="AS45" s="1016">
        <f t="shared" ref="AS45:AX45" si="105">272340/12</f>
        <v>22695</v>
      </c>
      <c r="AT45" s="1016">
        <f t="shared" si="105"/>
        <v>22695</v>
      </c>
      <c r="AU45" s="1016">
        <f t="shared" si="105"/>
        <v>22695</v>
      </c>
      <c r="AV45" s="1016">
        <f t="shared" si="105"/>
        <v>22695</v>
      </c>
      <c r="AW45" s="1016">
        <f t="shared" si="105"/>
        <v>22695</v>
      </c>
      <c r="AX45" s="1016">
        <f t="shared" si="105"/>
        <v>22695</v>
      </c>
      <c r="AY45" s="999">
        <f>SUM(AM45:AX45)</f>
        <v>136170</v>
      </c>
      <c r="AZ45" s="1000">
        <f t="shared" si="65"/>
        <v>0</v>
      </c>
      <c r="BA45" s="1001">
        <f t="shared" si="65"/>
        <v>0</v>
      </c>
      <c r="BB45" s="1001">
        <f t="shared" si="65"/>
        <v>0</v>
      </c>
      <c r="BC45" s="1001">
        <f t="shared" si="65"/>
        <v>0</v>
      </c>
      <c r="BD45" s="1001">
        <f t="shared" si="65"/>
        <v>0</v>
      </c>
      <c r="BE45" s="1001">
        <f t="shared" si="65"/>
        <v>0</v>
      </c>
      <c r="BF45" s="1001">
        <f t="shared" si="65"/>
        <v>122553.00000000001</v>
      </c>
      <c r="BG45" s="1001">
        <f t="shared" si="65"/>
        <v>122553.00000000001</v>
      </c>
      <c r="BH45" s="1001">
        <f t="shared" si="65"/>
        <v>122553.00000000001</v>
      </c>
      <c r="BI45" s="1001">
        <f t="shared" si="65"/>
        <v>122553.00000000001</v>
      </c>
      <c r="BJ45" s="1001">
        <f t="shared" si="65"/>
        <v>122553.00000000001</v>
      </c>
      <c r="BK45" s="1001">
        <f t="shared" si="65"/>
        <v>122553.00000000001</v>
      </c>
      <c r="BL45" s="1002">
        <f>SUM(AZ45:BK45)</f>
        <v>735318.00000000012</v>
      </c>
      <c r="BM45" s="1015">
        <f>146985/12</f>
        <v>12248.75</v>
      </c>
      <c r="BN45" s="1016">
        <f t="shared" ref="BN45:BX45" si="106">146985/12</f>
        <v>12248.75</v>
      </c>
      <c r="BO45" s="1016">
        <f t="shared" si="106"/>
        <v>12248.75</v>
      </c>
      <c r="BP45" s="1016">
        <f t="shared" si="106"/>
        <v>12248.75</v>
      </c>
      <c r="BQ45" s="1016">
        <f t="shared" si="106"/>
        <v>12248.75</v>
      </c>
      <c r="BR45" s="1016">
        <f t="shared" si="106"/>
        <v>12248.75</v>
      </c>
      <c r="BS45" s="1016">
        <f t="shared" si="106"/>
        <v>12248.75</v>
      </c>
      <c r="BT45" s="1016">
        <f t="shared" si="106"/>
        <v>12248.75</v>
      </c>
      <c r="BU45" s="1016">
        <f t="shared" si="106"/>
        <v>12248.75</v>
      </c>
      <c r="BV45" s="1016">
        <f t="shared" si="106"/>
        <v>12248.75</v>
      </c>
      <c r="BW45" s="1016">
        <f t="shared" si="106"/>
        <v>12248.75</v>
      </c>
      <c r="BX45" s="1016">
        <f t="shared" si="106"/>
        <v>12248.75</v>
      </c>
      <c r="BY45" s="999">
        <f>SUM(BM45:BX45)</f>
        <v>146985</v>
      </c>
      <c r="BZ45" s="1000">
        <f t="shared" si="67"/>
        <v>66143.25</v>
      </c>
      <c r="CA45" s="1001">
        <f t="shared" si="67"/>
        <v>66143.25</v>
      </c>
      <c r="CB45" s="1001">
        <f t="shared" si="67"/>
        <v>66143.25</v>
      </c>
      <c r="CC45" s="1001">
        <f t="shared" si="67"/>
        <v>66143.25</v>
      </c>
      <c r="CD45" s="1001">
        <f t="shared" si="67"/>
        <v>66143.25</v>
      </c>
      <c r="CE45" s="1001">
        <f t="shared" si="67"/>
        <v>66143.25</v>
      </c>
      <c r="CF45" s="1001">
        <f t="shared" si="67"/>
        <v>66143.25</v>
      </c>
      <c r="CG45" s="1001">
        <f t="shared" si="67"/>
        <v>66143.25</v>
      </c>
      <c r="CH45" s="1001">
        <f t="shared" si="67"/>
        <v>66143.25</v>
      </c>
      <c r="CI45" s="1001">
        <f t="shared" si="67"/>
        <v>66143.25</v>
      </c>
      <c r="CJ45" s="1001">
        <f t="shared" si="67"/>
        <v>66143.25</v>
      </c>
      <c r="CK45" s="1001">
        <f t="shared" si="67"/>
        <v>66143.25</v>
      </c>
      <c r="CL45" s="1002">
        <f>SUM(BZ45:CK45)</f>
        <v>793719</v>
      </c>
      <c r="CM45" s="1015">
        <f>121914/12</f>
        <v>10159.5</v>
      </c>
      <c r="CN45" s="1016">
        <f t="shared" ref="CN45:CX45" si="107">121914/12</f>
        <v>10159.5</v>
      </c>
      <c r="CO45" s="1016">
        <f t="shared" si="107"/>
        <v>10159.5</v>
      </c>
      <c r="CP45" s="1016">
        <f t="shared" si="107"/>
        <v>10159.5</v>
      </c>
      <c r="CQ45" s="1016">
        <f t="shared" si="107"/>
        <v>10159.5</v>
      </c>
      <c r="CR45" s="1016">
        <f t="shared" si="107"/>
        <v>10159.5</v>
      </c>
      <c r="CS45" s="1016">
        <f t="shared" si="107"/>
        <v>10159.5</v>
      </c>
      <c r="CT45" s="1016">
        <f t="shared" si="107"/>
        <v>10159.5</v>
      </c>
      <c r="CU45" s="1016">
        <f t="shared" si="107"/>
        <v>10159.5</v>
      </c>
      <c r="CV45" s="1016">
        <f t="shared" si="107"/>
        <v>10159.5</v>
      </c>
      <c r="CW45" s="1016">
        <f t="shared" si="107"/>
        <v>10159.5</v>
      </c>
      <c r="CX45" s="1016">
        <f t="shared" si="107"/>
        <v>10159.5</v>
      </c>
      <c r="CY45" s="999">
        <f>SUM(CM45:CX45)</f>
        <v>121914</v>
      </c>
      <c r="CZ45" s="1000">
        <f t="shared" si="70"/>
        <v>54861.3</v>
      </c>
      <c r="DA45" s="1001">
        <f t="shared" si="70"/>
        <v>54861.3</v>
      </c>
      <c r="DB45" s="1001">
        <f t="shared" si="70"/>
        <v>54861.3</v>
      </c>
      <c r="DC45" s="1001">
        <f t="shared" si="70"/>
        <v>54861.3</v>
      </c>
      <c r="DD45" s="1001">
        <f t="shared" si="70"/>
        <v>54861.3</v>
      </c>
      <c r="DE45" s="1001">
        <f t="shared" si="70"/>
        <v>54861.3</v>
      </c>
      <c r="DF45" s="1001">
        <f t="shared" si="70"/>
        <v>54861.3</v>
      </c>
      <c r="DG45" s="1001">
        <f t="shared" si="70"/>
        <v>54861.3</v>
      </c>
      <c r="DH45" s="1001">
        <f t="shared" si="70"/>
        <v>54861.3</v>
      </c>
      <c r="DI45" s="1001">
        <f t="shared" si="70"/>
        <v>54861.3</v>
      </c>
      <c r="DJ45" s="1001">
        <f t="shared" si="70"/>
        <v>54861.3</v>
      </c>
      <c r="DK45" s="1001">
        <f t="shared" si="70"/>
        <v>54861.3</v>
      </c>
      <c r="DL45" s="1002">
        <f>SUM(CZ45:DK45)</f>
        <v>658335.60000000009</v>
      </c>
      <c r="DM45" s="1015">
        <f>113299/12</f>
        <v>9441.5833333333339</v>
      </c>
      <c r="DN45" s="1016">
        <f t="shared" ref="DN45:DX45" si="108">113299/12</f>
        <v>9441.5833333333339</v>
      </c>
      <c r="DO45" s="1016">
        <f t="shared" si="108"/>
        <v>9441.5833333333339</v>
      </c>
      <c r="DP45" s="1016">
        <f t="shared" si="108"/>
        <v>9441.5833333333339</v>
      </c>
      <c r="DQ45" s="1016">
        <f t="shared" si="108"/>
        <v>9441.5833333333339</v>
      </c>
      <c r="DR45" s="1016">
        <f t="shared" si="108"/>
        <v>9441.5833333333339</v>
      </c>
      <c r="DS45" s="1016">
        <f t="shared" si="108"/>
        <v>9441.5833333333339</v>
      </c>
      <c r="DT45" s="1016">
        <f t="shared" si="108"/>
        <v>9441.5833333333339</v>
      </c>
      <c r="DU45" s="1016">
        <f t="shared" si="108"/>
        <v>9441.5833333333339</v>
      </c>
      <c r="DV45" s="1016">
        <f t="shared" si="108"/>
        <v>9441.5833333333339</v>
      </c>
      <c r="DW45" s="1016">
        <f t="shared" si="108"/>
        <v>9441.5833333333339</v>
      </c>
      <c r="DX45" s="1016">
        <f t="shared" si="108"/>
        <v>9441.5833333333339</v>
      </c>
      <c r="DY45" s="999">
        <f>SUM(DM45:DX45)</f>
        <v>113298.99999999999</v>
      </c>
      <c r="DZ45" s="1000">
        <f t="shared" si="72"/>
        <v>50984.55000000001</v>
      </c>
      <c r="EA45" s="1001">
        <f t="shared" si="72"/>
        <v>50984.55000000001</v>
      </c>
      <c r="EB45" s="1001">
        <f t="shared" si="72"/>
        <v>50984.55000000001</v>
      </c>
      <c r="EC45" s="1001">
        <f t="shared" si="72"/>
        <v>50984.55000000001</v>
      </c>
      <c r="ED45" s="1001">
        <f t="shared" si="72"/>
        <v>50984.55000000001</v>
      </c>
      <c r="EE45" s="1001">
        <f t="shared" si="72"/>
        <v>50984.55000000001</v>
      </c>
      <c r="EF45" s="1001">
        <f t="shared" si="72"/>
        <v>50984.55000000001</v>
      </c>
      <c r="EG45" s="1001">
        <f t="shared" si="72"/>
        <v>50984.55000000001</v>
      </c>
      <c r="EH45" s="1001">
        <f t="shared" si="72"/>
        <v>50984.55000000001</v>
      </c>
      <c r="EI45" s="1001">
        <f t="shared" si="72"/>
        <v>50984.55000000001</v>
      </c>
      <c r="EJ45" s="1001">
        <f t="shared" si="72"/>
        <v>50984.55000000001</v>
      </c>
      <c r="EK45" s="1001">
        <f t="shared" si="72"/>
        <v>50984.55000000001</v>
      </c>
      <c r="EL45" s="1002">
        <f>SUM(DZ45:EK45)</f>
        <v>611814.60000000009</v>
      </c>
    </row>
    <row r="46" spans="1:142" s="1019" customFormat="1">
      <c r="A46" s="1006" t="s">
        <v>680</v>
      </c>
      <c r="B46" s="913" t="s">
        <v>684</v>
      </c>
      <c r="C46" s="1007"/>
      <c r="D46" s="989"/>
      <c r="E46" s="1008"/>
      <c r="F46" s="1008"/>
      <c r="G46" s="1009">
        <v>1.3832500000000001</v>
      </c>
      <c r="H46" s="989">
        <v>1.29</v>
      </c>
      <c r="I46" s="1008">
        <v>1.3832500000000001</v>
      </c>
      <c r="J46" s="1008">
        <v>1.3832500000000001</v>
      </c>
      <c r="K46" s="1010">
        <v>1.3832500000000001</v>
      </c>
      <c r="L46" s="1011"/>
      <c r="M46" s="1012"/>
      <c r="N46" s="1013"/>
      <c r="O46" s="1013"/>
      <c r="P46" s="1013"/>
      <c r="Q46" s="1013"/>
      <c r="R46" s="1013"/>
      <c r="S46" s="1013"/>
      <c r="T46" s="1013"/>
      <c r="U46" s="1013"/>
      <c r="V46" s="1013"/>
      <c r="W46" s="1013"/>
      <c r="X46" s="1013"/>
      <c r="Y46" s="1014">
        <f t="shared" si="58"/>
        <v>0</v>
      </c>
      <c r="Z46" s="1000"/>
      <c r="AA46" s="1001"/>
      <c r="AB46" s="1001"/>
      <c r="AC46" s="1001"/>
      <c r="AD46" s="257">
        <v>0</v>
      </c>
      <c r="AE46" s="1001"/>
      <c r="AF46" s="1001"/>
      <c r="AG46" s="1001"/>
      <c r="AH46" s="1001"/>
      <c r="AI46" s="1001">
        <f t="shared" si="61"/>
        <v>0</v>
      </c>
      <c r="AJ46" s="1001">
        <f t="shared" si="61"/>
        <v>0</v>
      </c>
      <c r="AK46" s="1001">
        <f t="shared" si="61"/>
        <v>0</v>
      </c>
      <c r="AL46" s="1002">
        <f t="shared" si="62"/>
        <v>0</v>
      </c>
      <c r="AM46" s="1015"/>
      <c r="AN46" s="1016"/>
      <c r="AO46" s="1016"/>
      <c r="AP46" s="1016"/>
      <c r="AQ46" s="1016"/>
      <c r="AR46" s="1016"/>
      <c r="AS46" s="1016">
        <f t="shared" ref="AS46:AX46" si="109">669203/12</f>
        <v>55766.916666666664</v>
      </c>
      <c r="AT46" s="1016">
        <f t="shared" si="109"/>
        <v>55766.916666666664</v>
      </c>
      <c r="AU46" s="1016">
        <f t="shared" si="109"/>
        <v>55766.916666666664</v>
      </c>
      <c r="AV46" s="1016">
        <f t="shared" si="109"/>
        <v>55766.916666666664</v>
      </c>
      <c r="AW46" s="1016">
        <f t="shared" si="109"/>
        <v>55766.916666666664</v>
      </c>
      <c r="AX46" s="1016">
        <f t="shared" si="109"/>
        <v>55766.916666666664</v>
      </c>
      <c r="AY46" s="999">
        <f t="shared" si="64"/>
        <v>334601.5</v>
      </c>
      <c r="AZ46" s="1000">
        <f t="shared" si="65"/>
        <v>0</v>
      </c>
      <c r="BA46" s="1001">
        <f t="shared" si="65"/>
        <v>0</v>
      </c>
      <c r="BB46" s="1001">
        <f t="shared" si="65"/>
        <v>0</v>
      </c>
      <c r="BC46" s="1001">
        <f t="shared" si="65"/>
        <v>0</v>
      </c>
      <c r="BD46" s="1001">
        <f t="shared" si="65"/>
        <v>0</v>
      </c>
      <c r="BE46" s="1001">
        <f t="shared" si="65"/>
        <v>0</v>
      </c>
      <c r="BF46" s="1001">
        <f t="shared" si="65"/>
        <v>71939.322499999995</v>
      </c>
      <c r="BG46" s="1001">
        <f t="shared" si="65"/>
        <v>71939.322499999995</v>
      </c>
      <c r="BH46" s="1001">
        <f t="shared" si="65"/>
        <v>71939.322499999995</v>
      </c>
      <c r="BI46" s="1001">
        <f t="shared" si="65"/>
        <v>71939.322499999995</v>
      </c>
      <c r="BJ46" s="1001">
        <f t="shared" si="65"/>
        <v>71939.322499999995</v>
      </c>
      <c r="BK46" s="1001">
        <f t="shared" si="65"/>
        <v>71939.322499999995</v>
      </c>
      <c r="BL46" s="1002">
        <f t="shared" si="47"/>
        <v>431635.935</v>
      </c>
      <c r="BM46" s="1015">
        <f>543848/12</f>
        <v>45320.666666666664</v>
      </c>
      <c r="BN46" s="1016">
        <f t="shared" ref="BN46:BX46" si="110">543848/12</f>
        <v>45320.666666666664</v>
      </c>
      <c r="BO46" s="1016">
        <f t="shared" si="110"/>
        <v>45320.666666666664</v>
      </c>
      <c r="BP46" s="1016">
        <f t="shared" si="110"/>
        <v>45320.666666666664</v>
      </c>
      <c r="BQ46" s="1016">
        <f t="shared" si="110"/>
        <v>45320.666666666664</v>
      </c>
      <c r="BR46" s="1016">
        <f t="shared" si="110"/>
        <v>45320.666666666664</v>
      </c>
      <c r="BS46" s="1016">
        <f t="shared" si="110"/>
        <v>45320.666666666664</v>
      </c>
      <c r="BT46" s="1016">
        <f t="shared" si="110"/>
        <v>45320.666666666664</v>
      </c>
      <c r="BU46" s="1016">
        <f t="shared" si="110"/>
        <v>45320.666666666664</v>
      </c>
      <c r="BV46" s="1016">
        <f t="shared" si="110"/>
        <v>45320.666666666664</v>
      </c>
      <c r="BW46" s="1016">
        <f t="shared" si="110"/>
        <v>45320.666666666664</v>
      </c>
      <c r="BX46" s="1016">
        <f t="shared" si="110"/>
        <v>45320.666666666664</v>
      </c>
      <c r="BY46" s="999">
        <f t="shared" si="66"/>
        <v>543848.00000000012</v>
      </c>
      <c r="BZ46" s="1000">
        <f t="shared" si="67"/>
        <v>62689.81216666667</v>
      </c>
      <c r="CA46" s="1001">
        <f t="shared" si="67"/>
        <v>62689.81216666667</v>
      </c>
      <c r="CB46" s="1001">
        <f t="shared" si="67"/>
        <v>62689.81216666667</v>
      </c>
      <c r="CC46" s="1001">
        <f t="shared" si="67"/>
        <v>62689.81216666667</v>
      </c>
      <c r="CD46" s="1001">
        <f t="shared" si="67"/>
        <v>62689.81216666667</v>
      </c>
      <c r="CE46" s="1001">
        <f t="shared" si="67"/>
        <v>62689.81216666667</v>
      </c>
      <c r="CF46" s="1001">
        <f t="shared" si="67"/>
        <v>62689.81216666667</v>
      </c>
      <c r="CG46" s="1001">
        <f t="shared" si="67"/>
        <v>62689.81216666667</v>
      </c>
      <c r="CH46" s="1001">
        <f t="shared" si="67"/>
        <v>62689.81216666667</v>
      </c>
      <c r="CI46" s="1001">
        <f t="shared" si="67"/>
        <v>62689.81216666667</v>
      </c>
      <c r="CJ46" s="1001">
        <f t="shared" si="67"/>
        <v>62689.81216666667</v>
      </c>
      <c r="CK46" s="1001">
        <f t="shared" si="67"/>
        <v>62689.81216666667</v>
      </c>
      <c r="CL46" s="1002">
        <f t="shared" si="68"/>
        <v>752277.74599999981</v>
      </c>
      <c r="CM46" s="1015">
        <f>518777/12</f>
        <v>43231.416666666664</v>
      </c>
      <c r="CN46" s="1016">
        <f t="shared" ref="CN46:CX46" si="111">518777/12</f>
        <v>43231.416666666664</v>
      </c>
      <c r="CO46" s="1016">
        <f t="shared" si="111"/>
        <v>43231.416666666664</v>
      </c>
      <c r="CP46" s="1016">
        <f t="shared" si="111"/>
        <v>43231.416666666664</v>
      </c>
      <c r="CQ46" s="1016">
        <f t="shared" si="111"/>
        <v>43231.416666666664</v>
      </c>
      <c r="CR46" s="1016">
        <f t="shared" si="111"/>
        <v>43231.416666666664</v>
      </c>
      <c r="CS46" s="1016">
        <f t="shared" si="111"/>
        <v>43231.416666666664</v>
      </c>
      <c r="CT46" s="1016">
        <f t="shared" si="111"/>
        <v>43231.416666666664</v>
      </c>
      <c r="CU46" s="1016">
        <f t="shared" si="111"/>
        <v>43231.416666666664</v>
      </c>
      <c r="CV46" s="1016">
        <f t="shared" si="111"/>
        <v>43231.416666666664</v>
      </c>
      <c r="CW46" s="1016">
        <f t="shared" si="111"/>
        <v>43231.416666666664</v>
      </c>
      <c r="CX46" s="1016">
        <f t="shared" si="111"/>
        <v>43231.416666666664</v>
      </c>
      <c r="CY46" s="999">
        <f t="shared" si="69"/>
        <v>518777.00000000006</v>
      </c>
      <c r="CZ46" s="1000">
        <f t="shared" si="70"/>
        <v>59799.857104166666</v>
      </c>
      <c r="DA46" s="1001">
        <f t="shared" si="70"/>
        <v>59799.857104166666</v>
      </c>
      <c r="DB46" s="1001">
        <f t="shared" si="70"/>
        <v>59799.857104166666</v>
      </c>
      <c r="DC46" s="1001">
        <f t="shared" si="70"/>
        <v>59799.857104166666</v>
      </c>
      <c r="DD46" s="1001">
        <f t="shared" si="70"/>
        <v>59799.857104166666</v>
      </c>
      <c r="DE46" s="1001">
        <f t="shared" si="70"/>
        <v>59799.857104166666</v>
      </c>
      <c r="DF46" s="1001">
        <f t="shared" si="70"/>
        <v>59799.857104166666</v>
      </c>
      <c r="DG46" s="1001">
        <f t="shared" si="70"/>
        <v>59799.857104166666</v>
      </c>
      <c r="DH46" s="1001">
        <f t="shared" si="70"/>
        <v>59799.857104166666</v>
      </c>
      <c r="DI46" s="1001">
        <f t="shared" si="70"/>
        <v>59799.857104166666</v>
      </c>
      <c r="DJ46" s="1001">
        <f t="shared" si="70"/>
        <v>59799.857104166666</v>
      </c>
      <c r="DK46" s="1001">
        <f t="shared" si="70"/>
        <v>59799.857104166666</v>
      </c>
      <c r="DL46" s="1002">
        <f t="shared" si="50"/>
        <v>717598.28524999984</v>
      </c>
      <c r="DM46" s="1015">
        <f>510162/12</f>
        <v>42513.5</v>
      </c>
      <c r="DN46" s="1016">
        <f t="shared" ref="DN46:DX46" si="112">510162/12</f>
        <v>42513.5</v>
      </c>
      <c r="DO46" s="1016">
        <f t="shared" si="112"/>
        <v>42513.5</v>
      </c>
      <c r="DP46" s="1016">
        <f t="shared" si="112"/>
        <v>42513.5</v>
      </c>
      <c r="DQ46" s="1016">
        <f t="shared" si="112"/>
        <v>42513.5</v>
      </c>
      <c r="DR46" s="1016">
        <f t="shared" si="112"/>
        <v>42513.5</v>
      </c>
      <c r="DS46" s="1016">
        <f t="shared" si="112"/>
        <v>42513.5</v>
      </c>
      <c r="DT46" s="1016">
        <f t="shared" si="112"/>
        <v>42513.5</v>
      </c>
      <c r="DU46" s="1016">
        <f t="shared" si="112"/>
        <v>42513.5</v>
      </c>
      <c r="DV46" s="1016">
        <f t="shared" si="112"/>
        <v>42513.5</v>
      </c>
      <c r="DW46" s="1016">
        <f t="shared" si="112"/>
        <v>42513.5</v>
      </c>
      <c r="DX46" s="1016">
        <f t="shared" si="112"/>
        <v>42513.5</v>
      </c>
      <c r="DY46" s="999">
        <f t="shared" si="71"/>
        <v>510162</v>
      </c>
      <c r="DZ46" s="1000">
        <f t="shared" si="72"/>
        <v>58806.798875</v>
      </c>
      <c r="EA46" s="1001">
        <f t="shared" si="72"/>
        <v>58806.798875</v>
      </c>
      <c r="EB46" s="1001">
        <f t="shared" si="72"/>
        <v>58806.798875</v>
      </c>
      <c r="EC46" s="1001">
        <f t="shared" si="72"/>
        <v>58806.798875</v>
      </c>
      <c r="ED46" s="1001">
        <f t="shared" si="72"/>
        <v>58806.798875</v>
      </c>
      <c r="EE46" s="1001">
        <f t="shared" si="72"/>
        <v>58806.798875</v>
      </c>
      <c r="EF46" s="1001">
        <f t="shared" si="72"/>
        <v>58806.798875</v>
      </c>
      <c r="EG46" s="1001">
        <f t="shared" si="72"/>
        <v>58806.798875</v>
      </c>
      <c r="EH46" s="1001">
        <f t="shared" si="72"/>
        <v>58806.798875</v>
      </c>
      <c r="EI46" s="1001">
        <f t="shared" si="72"/>
        <v>58806.798875</v>
      </c>
      <c r="EJ46" s="1001">
        <f t="shared" si="72"/>
        <v>58806.798875</v>
      </c>
      <c r="EK46" s="1001">
        <f t="shared" si="72"/>
        <v>58806.798875</v>
      </c>
      <c r="EL46" s="1002">
        <f t="shared" si="52"/>
        <v>705681.58649999986</v>
      </c>
    </row>
    <row r="47" spans="1:142" s="1019" customFormat="1">
      <c r="A47" s="1006" t="s">
        <v>680</v>
      </c>
      <c r="B47" s="913" t="s">
        <v>685</v>
      </c>
      <c r="C47" s="1007"/>
      <c r="D47" s="989"/>
      <c r="E47" s="1008"/>
      <c r="F47" s="1008"/>
      <c r="G47" s="1009">
        <v>1.3832500000000001</v>
      </c>
      <c r="H47" s="989">
        <v>1.68</v>
      </c>
      <c r="I47" s="1008">
        <v>1.3832500000000001</v>
      </c>
      <c r="J47" s="1008">
        <v>1.3832500000000001</v>
      </c>
      <c r="K47" s="1010">
        <v>1.3832500000000001</v>
      </c>
      <c r="L47" s="1011"/>
      <c r="M47" s="1012"/>
      <c r="N47" s="1013"/>
      <c r="O47" s="1013"/>
      <c r="P47" s="1013"/>
      <c r="Q47" s="1013"/>
      <c r="R47" s="1013"/>
      <c r="S47" s="1013"/>
      <c r="T47" s="1013"/>
      <c r="U47" s="1013"/>
      <c r="V47" s="1013"/>
      <c r="W47" s="1013"/>
      <c r="X47" s="1013"/>
      <c r="Y47" s="1014">
        <f t="shared" si="58"/>
        <v>0</v>
      </c>
      <c r="Z47" s="1000"/>
      <c r="AA47" s="1001"/>
      <c r="AB47" s="1001"/>
      <c r="AC47" s="1001"/>
      <c r="AD47" s="257">
        <v>0</v>
      </c>
      <c r="AE47" s="1001"/>
      <c r="AF47" s="1001"/>
      <c r="AG47" s="1001"/>
      <c r="AH47" s="1001"/>
      <c r="AI47" s="1001">
        <f t="shared" si="61"/>
        <v>0</v>
      </c>
      <c r="AJ47" s="1001">
        <f t="shared" si="61"/>
        <v>0</v>
      </c>
      <c r="AK47" s="1001">
        <f t="shared" si="61"/>
        <v>0</v>
      </c>
      <c r="AL47" s="1002">
        <f t="shared" si="62"/>
        <v>0</v>
      </c>
      <c r="AM47" s="1015"/>
      <c r="AN47" s="1016"/>
      <c r="AO47" s="1016"/>
      <c r="AP47" s="1016"/>
      <c r="AQ47" s="1016"/>
      <c r="AR47" s="1016"/>
      <c r="AS47" s="1016">
        <f t="shared" ref="AS47:AX47" si="113">755105/12</f>
        <v>62925.416666666664</v>
      </c>
      <c r="AT47" s="1016">
        <f t="shared" si="113"/>
        <v>62925.416666666664</v>
      </c>
      <c r="AU47" s="1016">
        <f t="shared" si="113"/>
        <v>62925.416666666664</v>
      </c>
      <c r="AV47" s="1016">
        <f t="shared" si="113"/>
        <v>62925.416666666664</v>
      </c>
      <c r="AW47" s="1016">
        <f t="shared" si="113"/>
        <v>62925.416666666664</v>
      </c>
      <c r="AX47" s="1016">
        <f t="shared" si="113"/>
        <v>62925.416666666664</v>
      </c>
      <c r="AY47" s="999">
        <f t="shared" si="64"/>
        <v>377552.5</v>
      </c>
      <c r="AZ47" s="1000">
        <f t="shared" si="65"/>
        <v>0</v>
      </c>
      <c r="BA47" s="1001">
        <f t="shared" si="65"/>
        <v>0</v>
      </c>
      <c r="BB47" s="1001">
        <f t="shared" si="65"/>
        <v>0</v>
      </c>
      <c r="BC47" s="1001">
        <f t="shared" si="65"/>
        <v>0</v>
      </c>
      <c r="BD47" s="1001">
        <f t="shared" si="65"/>
        <v>0</v>
      </c>
      <c r="BE47" s="1001">
        <f t="shared" si="65"/>
        <v>0</v>
      </c>
      <c r="BF47" s="1001">
        <f t="shared" si="65"/>
        <v>105714.7</v>
      </c>
      <c r="BG47" s="1001">
        <f t="shared" si="65"/>
        <v>105714.7</v>
      </c>
      <c r="BH47" s="1001">
        <f t="shared" si="65"/>
        <v>105714.7</v>
      </c>
      <c r="BI47" s="1001">
        <f t="shared" si="65"/>
        <v>105714.7</v>
      </c>
      <c r="BJ47" s="1001">
        <f t="shared" si="65"/>
        <v>105714.7</v>
      </c>
      <c r="BK47" s="1001">
        <f t="shared" si="65"/>
        <v>105714.7</v>
      </c>
      <c r="BL47" s="1002">
        <f t="shared" si="47"/>
        <v>634288.19999999995</v>
      </c>
      <c r="BM47" s="1015">
        <f>418486/12</f>
        <v>34873.833333333336</v>
      </c>
      <c r="BN47" s="1016">
        <f t="shared" ref="BN47:BX47" si="114">418486/12</f>
        <v>34873.833333333336</v>
      </c>
      <c r="BO47" s="1016">
        <f t="shared" si="114"/>
        <v>34873.833333333336</v>
      </c>
      <c r="BP47" s="1016">
        <f t="shared" si="114"/>
        <v>34873.833333333336</v>
      </c>
      <c r="BQ47" s="1016">
        <f t="shared" si="114"/>
        <v>34873.833333333336</v>
      </c>
      <c r="BR47" s="1016">
        <f t="shared" si="114"/>
        <v>34873.833333333336</v>
      </c>
      <c r="BS47" s="1016">
        <f t="shared" si="114"/>
        <v>34873.833333333336</v>
      </c>
      <c r="BT47" s="1016">
        <f t="shared" si="114"/>
        <v>34873.833333333336</v>
      </c>
      <c r="BU47" s="1016">
        <f t="shared" si="114"/>
        <v>34873.833333333336</v>
      </c>
      <c r="BV47" s="1016">
        <f t="shared" si="114"/>
        <v>34873.833333333336</v>
      </c>
      <c r="BW47" s="1016">
        <f t="shared" si="114"/>
        <v>34873.833333333336</v>
      </c>
      <c r="BX47" s="1016">
        <f t="shared" si="114"/>
        <v>34873.833333333336</v>
      </c>
      <c r="BY47" s="999">
        <f t="shared" si="66"/>
        <v>418485.99999999994</v>
      </c>
      <c r="BZ47" s="1000">
        <f t="shared" si="67"/>
        <v>48239.229958333337</v>
      </c>
      <c r="CA47" s="1001">
        <f t="shared" si="67"/>
        <v>48239.229958333337</v>
      </c>
      <c r="CB47" s="1001">
        <f t="shared" si="67"/>
        <v>48239.229958333337</v>
      </c>
      <c r="CC47" s="1001">
        <f t="shared" si="67"/>
        <v>48239.229958333337</v>
      </c>
      <c r="CD47" s="1001">
        <f t="shared" si="67"/>
        <v>48239.229958333337</v>
      </c>
      <c r="CE47" s="1001">
        <f t="shared" si="67"/>
        <v>48239.229958333337</v>
      </c>
      <c r="CF47" s="1001">
        <f t="shared" si="67"/>
        <v>48239.229958333337</v>
      </c>
      <c r="CG47" s="1001">
        <f t="shared" si="67"/>
        <v>48239.229958333337</v>
      </c>
      <c r="CH47" s="1001">
        <f t="shared" si="67"/>
        <v>48239.229958333337</v>
      </c>
      <c r="CI47" s="1001">
        <f t="shared" si="67"/>
        <v>48239.229958333337</v>
      </c>
      <c r="CJ47" s="1001">
        <f t="shared" si="67"/>
        <v>48239.229958333337</v>
      </c>
      <c r="CK47" s="1001">
        <f t="shared" si="67"/>
        <v>48239.229958333337</v>
      </c>
      <c r="CL47" s="1002">
        <f t="shared" si="68"/>
        <v>578870.75949999993</v>
      </c>
      <c r="CM47" s="1015">
        <f>136314/12</f>
        <v>11359.5</v>
      </c>
      <c r="CN47" s="1016">
        <f t="shared" ref="CN47:CX47" si="115">136314/12</f>
        <v>11359.5</v>
      </c>
      <c r="CO47" s="1016">
        <f t="shared" si="115"/>
        <v>11359.5</v>
      </c>
      <c r="CP47" s="1016">
        <f t="shared" si="115"/>
        <v>11359.5</v>
      </c>
      <c r="CQ47" s="1016">
        <f t="shared" si="115"/>
        <v>11359.5</v>
      </c>
      <c r="CR47" s="1016">
        <f t="shared" si="115"/>
        <v>11359.5</v>
      </c>
      <c r="CS47" s="1016">
        <f t="shared" si="115"/>
        <v>11359.5</v>
      </c>
      <c r="CT47" s="1016">
        <f t="shared" si="115"/>
        <v>11359.5</v>
      </c>
      <c r="CU47" s="1016">
        <f t="shared" si="115"/>
        <v>11359.5</v>
      </c>
      <c r="CV47" s="1016">
        <f t="shared" si="115"/>
        <v>11359.5</v>
      </c>
      <c r="CW47" s="1016">
        <f t="shared" si="115"/>
        <v>11359.5</v>
      </c>
      <c r="CX47" s="1016">
        <f t="shared" si="115"/>
        <v>11359.5</v>
      </c>
      <c r="CY47" s="999">
        <f t="shared" si="69"/>
        <v>136314</v>
      </c>
      <c r="CZ47" s="1000">
        <f t="shared" si="70"/>
        <v>15713.028375000002</v>
      </c>
      <c r="DA47" s="1001">
        <f t="shared" si="70"/>
        <v>15713.028375000002</v>
      </c>
      <c r="DB47" s="1001">
        <f t="shared" si="70"/>
        <v>15713.028375000002</v>
      </c>
      <c r="DC47" s="1001">
        <f t="shared" si="70"/>
        <v>15713.028375000002</v>
      </c>
      <c r="DD47" s="1001">
        <f t="shared" si="70"/>
        <v>15713.028375000002</v>
      </c>
      <c r="DE47" s="1001">
        <f t="shared" si="70"/>
        <v>15713.028375000002</v>
      </c>
      <c r="DF47" s="1001">
        <f t="shared" si="70"/>
        <v>15713.028375000002</v>
      </c>
      <c r="DG47" s="1001">
        <f t="shared" si="70"/>
        <v>15713.028375000002</v>
      </c>
      <c r="DH47" s="1001">
        <f t="shared" si="70"/>
        <v>15713.028375000002</v>
      </c>
      <c r="DI47" s="1001">
        <f t="shared" si="70"/>
        <v>15713.028375000002</v>
      </c>
      <c r="DJ47" s="1001">
        <f t="shared" si="70"/>
        <v>15713.028375000002</v>
      </c>
      <c r="DK47" s="1001">
        <f t="shared" si="70"/>
        <v>15713.028375000002</v>
      </c>
      <c r="DL47" s="1002">
        <f t="shared" si="50"/>
        <v>188556.34049999996</v>
      </c>
      <c r="DM47" s="1015">
        <f>136314/12</f>
        <v>11359.5</v>
      </c>
      <c r="DN47" s="1016">
        <f t="shared" ref="DN47:DX47" si="116">136314/12</f>
        <v>11359.5</v>
      </c>
      <c r="DO47" s="1016">
        <f t="shared" si="116"/>
        <v>11359.5</v>
      </c>
      <c r="DP47" s="1016">
        <f t="shared" si="116"/>
        <v>11359.5</v>
      </c>
      <c r="DQ47" s="1016">
        <f t="shared" si="116"/>
        <v>11359.5</v>
      </c>
      <c r="DR47" s="1016">
        <f t="shared" si="116"/>
        <v>11359.5</v>
      </c>
      <c r="DS47" s="1016">
        <f t="shared" si="116"/>
        <v>11359.5</v>
      </c>
      <c r="DT47" s="1016">
        <f t="shared" si="116"/>
        <v>11359.5</v>
      </c>
      <c r="DU47" s="1016">
        <f t="shared" si="116"/>
        <v>11359.5</v>
      </c>
      <c r="DV47" s="1016">
        <f t="shared" si="116"/>
        <v>11359.5</v>
      </c>
      <c r="DW47" s="1016">
        <f t="shared" si="116"/>
        <v>11359.5</v>
      </c>
      <c r="DX47" s="1016">
        <f t="shared" si="116"/>
        <v>11359.5</v>
      </c>
      <c r="DY47" s="999">
        <f t="shared" si="71"/>
        <v>136314</v>
      </c>
      <c r="DZ47" s="1000">
        <f t="shared" si="72"/>
        <v>15713.028375000002</v>
      </c>
      <c r="EA47" s="1001">
        <f t="shared" si="72"/>
        <v>15713.028375000002</v>
      </c>
      <c r="EB47" s="1001">
        <f t="shared" si="72"/>
        <v>15713.028375000002</v>
      </c>
      <c r="EC47" s="1001">
        <f t="shared" si="72"/>
        <v>15713.028375000002</v>
      </c>
      <c r="ED47" s="1001">
        <f t="shared" si="72"/>
        <v>15713.028375000002</v>
      </c>
      <c r="EE47" s="1001">
        <f t="shared" si="72"/>
        <v>15713.028375000002</v>
      </c>
      <c r="EF47" s="1001">
        <f t="shared" si="72"/>
        <v>15713.028375000002</v>
      </c>
      <c r="EG47" s="1001">
        <f t="shared" si="72"/>
        <v>15713.028375000002</v>
      </c>
      <c r="EH47" s="1001">
        <f t="shared" si="72"/>
        <v>15713.028375000002</v>
      </c>
      <c r="EI47" s="1001">
        <f t="shared" si="72"/>
        <v>15713.028375000002</v>
      </c>
      <c r="EJ47" s="1001">
        <f t="shared" si="72"/>
        <v>15713.028375000002</v>
      </c>
      <c r="EK47" s="1001">
        <f t="shared" si="72"/>
        <v>15713.028375000002</v>
      </c>
      <c r="EL47" s="1002">
        <f t="shared" si="52"/>
        <v>188556.34049999996</v>
      </c>
    </row>
    <row r="48" spans="1:142">
      <c r="A48" s="973" t="s">
        <v>680</v>
      </c>
      <c r="B48" s="905" t="s">
        <v>686</v>
      </c>
      <c r="C48" s="1004" t="s">
        <v>258</v>
      </c>
      <c r="D48" s="558">
        <v>3.44</v>
      </c>
      <c r="E48" s="553">
        <v>3.4289690260740144</v>
      </c>
      <c r="F48" s="553">
        <v>3.4500748182121415</v>
      </c>
      <c r="G48" s="554">
        <v>3.45</v>
      </c>
      <c r="H48" s="558">
        <f t="shared" si="73"/>
        <v>3.45</v>
      </c>
      <c r="I48" s="553">
        <f t="shared" si="73"/>
        <v>3.45</v>
      </c>
      <c r="J48" s="553">
        <f t="shared" si="73"/>
        <v>3.45</v>
      </c>
      <c r="K48" s="915">
        <f t="shared" si="73"/>
        <v>3.45</v>
      </c>
      <c r="L48" s="884"/>
      <c r="M48" s="563">
        <v>14947</v>
      </c>
      <c r="N48" s="561">
        <v>28890</v>
      </c>
      <c r="O48" s="561">
        <v>56160</v>
      </c>
      <c r="P48" s="561">
        <v>52596</v>
      </c>
      <c r="Q48" s="561">
        <v>80652</v>
      </c>
      <c r="R48" s="561">
        <v>68340</v>
      </c>
      <c r="S48" s="561">
        <f>67229-2000</f>
        <v>65229</v>
      </c>
      <c r="T48" s="561">
        <v>79000</v>
      </c>
      <c r="U48" s="561">
        <v>79000</v>
      </c>
      <c r="V48" s="561">
        <v>79000</v>
      </c>
      <c r="W48" s="561">
        <v>79000</v>
      </c>
      <c r="X48" s="561">
        <v>79000</v>
      </c>
      <c r="Y48" s="885">
        <f t="shared" si="58"/>
        <v>761814</v>
      </c>
      <c r="Z48" s="886">
        <v>51417.68</v>
      </c>
      <c r="AA48" s="257">
        <v>99381.599999999991</v>
      </c>
      <c r="AB48" s="257">
        <v>193190.39999999999</v>
      </c>
      <c r="AC48" s="257">
        <v>180930.24</v>
      </c>
      <c r="AD48" s="257">
        <f>275868.66+1025</f>
        <v>276893.65999999997</v>
      </c>
      <c r="AE48" s="257">
        <v>234406.2</v>
      </c>
      <c r="AF48" s="257">
        <f t="shared" ref="AF48:AH59" si="117">S48*$F48</f>
        <v>225044.93031715977</v>
      </c>
      <c r="AG48" s="257">
        <f t="shared" si="117"/>
        <v>272555.9106387592</v>
      </c>
      <c r="AH48" s="257">
        <f t="shared" si="117"/>
        <v>272555.9106387592</v>
      </c>
      <c r="AI48" s="257">
        <f t="shared" si="61"/>
        <v>272550</v>
      </c>
      <c r="AJ48" s="257">
        <f t="shared" si="61"/>
        <v>272550</v>
      </c>
      <c r="AK48" s="257">
        <f t="shared" si="61"/>
        <v>272550</v>
      </c>
      <c r="AL48" s="887">
        <f t="shared" si="62"/>
        <v>2624026.5315946778</v>
      </c>
      <c r="AM48" s="1005">
        <f>579320/12</f>
        <v>48276.666666666664</v>
      </c>
      <c r="AN48" s="1003">
        <f t="shared" ref="AN48:AX48" si="118">579320/12</f>
        <v>48276.666666666664</v>
      </c>
      <c r="AO48" s="1003">
        <f t="shared" si="118"/>
        <v>48276.666666666664</v>
      </c>
      <c r="AP48" s="1003">
        <f t="shared" si="118"/>
        <v>48276.666666666664</v>
      </c>
      <c r="AQ48" s="1003">
        <f t="shared" si="118"/>
        <v>48276.666666666664</v>
      </c>
      <c r="AR48" s="1003">
        <f t="shared" si="118"/>
        <v>48276.666666666664</v>
      </c>
      <c r="AS48" s="1003">
        <f t="shared" si="118"/>
        <v>48276.666666666664</v>
      </c>
      <c r="AT48" s="1003">
        <f t="shared" si="118"/>
        <v>48276.666666666664</v>
      </c>
      <c r="AU48" s="1003">
        <f t="shared" si="118"/>
        <v>48276.666666666664</v>
      </c>
      <c r="AV48" s="1003">
        <f t="shared" si="118"/>
        <v>48276.666666666664</v>
      </c>
      <c r="AW48" s="1003">
        <f t="shared" si="118"/>
        <v>48276.666666666664</v>
      </c>
      <c r="AX48" s="1003">
        <f t="shared" si="118"/>
        <v>48276.666666666664</v>
      </c>
      <c r="AY48" s="986">
        <f t="shared" si="64"/>
        <v>579320</v>
      </c>
      <c r="AZ48" s="886">
        <f t="shared" si="65"/>
        <v>166554.5</v>
      </c>
      <c r="BA48" s="257">
        <f t="shared" si="65"/>
        <v>166554.5</v>
      </c>
      <c r="BB48" s="257">
        <f t="shared" si="65"/>
        <v>166554.5</v>
      </c>
      <c r="BC48" s="257">
        <f t="shared" si="65"/>
        <v>166554.5</v>
      </c>
      <c r="BD48" s="257">
        <f t="shared" si="65"/>
        <v>166554.5</v>
      </c>
      <c r="BE48" s="257">
        <f t="shared" si="65"/>
        <v>166554.5</v>
      </c>
      <c r="BF48" s="257">
        <f t="shared" si="65"/>
        <v>166554.5</v>
      </c>
      <c r="BG48" s="257">
        <f t="shared" si="65"/>
        <v>166554.5</v>
      </c>
      <c r="BH48" s="257">
        <f t="shared" si="65"/>
        <v>166554.5</v>
      </c>
      <c r="BI48" s="257">
        <f t="shared" si="65"/>
        <v>166554.5</v>
      </c>
      <c r="BJ48" s="257">
        <f t="shared" si="65"/>
        <v>166554.5</v>
      </c>
      <c r="BK48" s="257">
        <f t="shared" si="65"/>
        <v>166554.5</v>
      </c>
      <c r="BL48" s="887">
        <f t="shared" si="47"/>
        <v>1998654</v>
      </c>
      <c r="BM48" s="1005">
        <f>424400/12</f>
        <v>35366.666666666664</v>
      </c>
      <c r="BN48" s="1003">
        <f t="shared" ref="BN48:BX48" si="119">424400/12</f>
        <v>35366.666666666664</v>
      </c>
      <c r="BO48" s="1003">
        <f t="shared" si="119"/>
        <v>35366.666666666664</v>
      </c>
      <c r="BP48" s="1003">
        <f t="shared" si="119"/>
        <v>35366.666666666664</v>
      </c>
      <c r="BQ48" s="1003">
        <f t="shared" si="119"/>
        <v>35366.666666666664</v>
      </c>
      <c r="BR48" s="1003">
        <f t="shared" si="119"/>
        <v>35366.666666666664</v>
      </c>
      <c r="BS48" s="1003">
        <f t="shared" si="119"/>
        <v>35366.666666666664</v>
      </c>
      <c r="BT48" s="1003">
        <f t="shared" si="119"/>
        <v>35366.666666666664</v>
      </c>
      <c r="BU48" s="1003">
        <f t="shared" si="119"/>
        <v>35366.666666666664</v>
      </c>
      <c r="BV48" s="1003">
        <f t="shared" si="119"/>
        <v>35366.666666666664</v>
      </c>
      <c r="BW48" s="1003">
        <f t="shared" si="119"/>
        <v>35366.666666666664</v>
      </c>
      <c r="BX48" s="1003">
        <f t="shared" si="119"/>
        <v>35366.666666666664</v>
      </c>
      <c r="BY48" s="986">
        <f t="shared" si="66"/>
        <v>424400.00000000006</v>
      </c>
      <c r="BZ48" s="886">
        <f t="shared" si="67"/>
        <v>122015</v>
      </c>
      <c r="CA48" s="257">
        <f t="shared" si="67"/>
        <v>122015</v>
      </c>
      <c r="CB48" s="257">
        <f t="shared" si="67"/>
        <v>122015</v>
      </c>
      <c r="CC48" s="257">
        <f t="shared" si="67"/>
        <v>122015</v>
      </c>
      <c r="CD48" s="257">
        <f t="shared" si="67"/>
        <v>122015</v>
      </c>
      <c r="CE48" s="257">
        <f t="shared" si="67"/>
        <v>122015</v>
      </c>
      <c r="CF48" s="257">
        <f t="shared" si="67"/>
        <v>122015</v>
      </c>
      <c r="CG48" s="257">
        <f t="shared" si="67"/>
        <v>122015</v>
      </c>
      <c r="CH48" s="257">
        <f t="shared" si="67"/>
        <v>122015</v>
      </c>
      <c r="CI48" s="257">
        <f t="shared" si="67"/>
        <v>122015</v>
      </c>
      <c r="CJ48" s="257">
        <f t="shared" si="67"/>
        <v>122015</v>
      </c>
      <c r="CK48" s="257">
        <f t="shared" si="67"/>
        <v>122015</v>
      </c>
      <c r="CL48" s="887">
        <f t="shared" si="68"/>
        <v>1464180</v>
      </c>
      <c r="CM48" s="1005">
        <f>271610/12</f>
        <v>22634.166666666668</v>
      </c>
      <c r="CN48" s="1003">
        <f t="shared" ref="CN48:CX48" si="120">271610/12</f>
        <v>22634.166666666668</v>
      </c>
      <c r="CO48" s="1003">
        <f t="shared" si="120"/>
        <v>22634.166666666668</v>
      </c>
      <c r="CP48" s="1003">
        <f t="shared" si="120"/>
        <v>22634.166666666668</v>
      </c>
      <c r="CQ48" s="1003">
        <f t="shared" si="120"/>
        <v>22634.166666666668</v>
      </c>
      <c r="CR48" s="1003">
        <f t="shared" si="120"/>
        <v>22634.166666666668</v>
      </c>
      <c r="CS48" s="1003">
        <f t="shared" si="120"/>
        <v>22634.166666666668</v>
      </c>
      <c r="CT48" s="1003">
        <f t="shared" si="120"/>
        <v>22634.166666666668</v>
      </c>
      <c r="CU48" s="1003">
        <f t="shared" si="120"/>
        <v>22634.166666666668</v>
      </c>
      <c r="CV48" s="1003">
        <f t="shared" si="120"/>
        <v>22634.166666666668</v>
      </c>
      <c r="CW48" s="1003">
        <f t="shared" si="120"/>
        <v>22634.166666666668</v>
      </c>
      <c r="CX48" s="1003">
        <f t="shared" si="120"/>
        <v>22634.166666666668</v>
      </c>
      <c r="CY48" s="986">
        <f t="shared" si="69"/>
        <v>271609.99999999994</v>
      </c>
      <c r="CZ48" s="886">
        <f t="shared" si="70"/>
        <v>78087.875000000015</v>
      </c>
      <c r="DA48" s="257">
        <f t="shared" si="70"/>
        <v>78087.875000000015</v>
      </c>
      <c r="DB48" s="257">
        <f t="shared" si="70"/>
        <v>78087.875000000015</v>
      </c>
      <c r="DC48" s="257">
        <f t="shared" si="70"/>
        <v>78087.875000000015</v>
      </c>
      <c r="DD48" s="257">
        <f t="shared" si="70"/>
        <v>78087.875000000015</v>
      </c>
      <c r="DE48" s="257">
        <f t="shared" si="70"/>
        <v>78087.875000000015</v>
      </c>
      <c r="DF48" s="257">
        <f t="shared" si="70"/>
        <v>78087.875000000015</v>
      </c>
      <c r="DG48" s="257">
        <f t="shared" si="70"/>
        <v>78087.875000000015</v>
      </c>
      <c r="DH48" s="257">
        <f t="shared" si="70"/>
        <v>78087.875000000015</v>
      </c>
      <c r="DI48" s="257">
        <f t="shared" si="70"/>
        <v>78087.875000000015</v>
      </c>
      <c r="DJ48" s="257">
        <f t="shared" si="70"/>
        <v>78087.875000000015</v>
      </c>
      <c r="DK48" s="257">
        <f t="shared" si="70"/>
        <v>78087.875000000015</v>
      </c>
      <c r="DL48" s="887">
        <f t="shared" si="50"/>
        <v>937054.50000000012</v>
      </c>
      <c r="DM48" s="1005">
        <f>215320/12</f>
        <v>17943.333333333332</v>
      </c>
      <c r="DN48" s="1003">
        <f t="shared" ref="DN48:DX48" si="121">215320/12</f>
        <v>17943.333333333332</v>
      </c>
      <c r="DO48" s="1003">
        <f t="shared" si="121"/>
        <v>17943.333333333332</v>
      </c>
      <c r="DP48" s="1003">
        <f t="shared" si="121"/>
        <v>17943.333333333332</v>
      </c>
      <c r="DQ48" s="1003">
        <f t="shared" si="121"/>
        <v>17943.333333333332</v>
      </c>
      <c r="DR48" s="1003">
        <f t="shared" si="121"/>
        <v>17943.333333333332</v>
      </c>
      <c r="DS48" s="1003">
        <f t="shared" si="121"/>
        <v>17943.333333333332</v>
      </c>
      <c r="DT48" s="1003">
        <f t="shared" si="121"/>
        <v>17943.333333333332</v>
      </c>
      <c r="DU48" s="1003">
        <f t="shared" si="121"/>
        <v>17943.333333333332</v>
      </c>
      <c r="DV48" s="1003">
        <f t="shared" si="121"/>
        <v>17943.333333333332</v>
      </c>
      <c r="DW48" s="1003">
        <f t="shared" si="121"/>
        <v>17943.333333333332</v>
      </c>
      <c r="DX48" s="1003">
        <f t="shared" si="121"/>
        <v>17943.333333333332</v>
      </c>
      <c r="DY48" s="986">
        <f t="shared" si="71"/>
        <v>215320.00000000003</v>
      </c>
      <c r="DZ48" s="886">
        <f t="shared" si="72"/>
        <v>61904.5</v>
      </c>
      <c r="EA48" s="257">
        <f t="shared" si="72"/>
        <v>61904.5</v>
      </c>
      <c r="EB48" s="257">
        <f t="shared" si="72"/>
        <v>61904.5</v>
      </c>
      <c r="EC48" s="257">
        <f t="shared" si="72"/>
        <v>61904.5</v>
      </c>
      <c r="ED48" s="257">
        <f t="shared" si="72"/>
        <v>61904.5</v>
      </c>
      <c r="EE48" s="257">
        <f t="shared" si="72"/>
        <v>61904.5</v>
      </c>
      <c r="EF48" s="257">
        <f t="shared" si="72"/>
        <v>61904.5</v>
      </c>
      <c r="EG48" s="257">
        <f t="shared" si="72"/>
        <v>61904.5</v>
      </c>
      <c r="EH48" s="257">
        <f t="shared" si="72"/>
        <v>61904.5</v>
      </c>
      <c r="EI48" s="257">
        <f t="shared" si="72"/>
        <v>61904.5</v>
      </c>
      <c r="EJ48" s="257">
        <f t="shared" si="72"/>
        <v>61904.5</v>
      </c>
      <c r="EK48" s="257">
        <f t="shared" si="72"/>
        <v>61904.5</v>
      </c>
      <c r="EL48" s="887">
        <f t="shared" si="52"/>
        <v>742854</v>
      </c>
    </row>
    <row r="49" spans="1:142">
      <c r="A49" s="973" t="s">
        <v>680</v>
      </c>
      <c r="B49" s="905" t="s">
        <v>687</v>
      </c>
      <c r="C49" s="1004" t="s">
        <v>259</v>
      </c>
      <c r="D49" s="558">
        <v>1.35</v>
      </c>
      <c r="E49" s="553">
        <v>1.3760477718424213</v>
      </c>
      <c r="F49" s="553">
        <v>1.3763461932955305</v>
      </c>
      <c r="G49" s="554">
        <v>1.35</v>
      </c>
      <c r="H49" s="558">
        <f t="shared" si="73"/>
        <v>1.35</v>
      </c>
      <c r="I49" s="553">
        <f t="shared" si="73"/>
        <v>1.35</v>
      </c>
      <c r="J49" s="553">
        <f t="shared" si="73"/>
        <v>1.35</v>
      </c>
      <c r="K49" s="915">
        <f t="shared" si="73"/>
        <v>1.35</v>
      </c>
      <c r="L49" s="884"/>
      <c r="M49" s="563">
        <v>12626</v>
      </c>
      <c r="N49" s="561">
        <v>300</v>
      </c>
      <c r="O49" s="561">
        <v>22920</v>
      </c>
      <c r="P49" s="561">
        <v>0</v>
      </c>
      <c r="Q49" s="561">
        <v>23520</v>
      </c>
      <c r="R49" s="561">
        <v>23520</v>
      </c>
      <c r="S49" s="561">
        <v>23520</v>
      </c>
      <c r="T49" s="561">
        <v>16000</v>
      </c>
      <c r="U49" s="561">
        <v>16000</v>
      </c>
      <c r="V49" s="561">
        <v>16000</v>
      </c>
      <c r="W49" s="561">
        <v>15000</v>
      </c>
      <c r="X49" s="561">
        <v>14000</v>
      </c>
      <c r="Y49" s="885">
        <f t="shared" si="58"/>
        <v>183406</v>
      </c>
      <c r="Z49" s="886">
        <v>17045.100000000002</v>
      </c>
      <c r="AA49" s="257">
        <v>405</v>
      </c>
      <c r="AB49" s="257">
        <f>+O49*D49</f>
        <v>30942.000000000004</v>
      </c>
      <c r="AC49" s="257">
        <f t="shared" ref="AC49:AE59" si="122">P49*$E49</f>
        <v>0</v>
      </c>
      <c r="AD49" s="257">
        <v>31516.799999999999</v>
      </c>
      <c r="AE49" s="257">
        <v>32213.4</v>
      </c>
      <c r="AF49" s="257">
        <f>S49*1.37</f>
        <v>32222.400000000001</v>
      </c>
      <c r="AG49" s="257">
        <f t="shared" si="117"/>
        <v>22021.53909272849</v>
      </c>
      <c r="AH49" s="257">
        <f t="shared" si="117"/>
        <v>22021.53909272849</v>
      </c>
      <c r="AI49" s="257">
        <f t="shared" si="61"/>
        <v>21600</v>
      </c>
      <c r="AJ49" s="257">
        <f t="shared" si="61"/>
        <v>20250</v>
      </c>
      <c r="AK49" s="257">
        <f t="shared" si="61"/>
        <v>18900</v>
      </c>
      <c r="AL49" s="887">
        <f t="shared" si="62"/>
        <v>249137.77818545699</v>
      </c>
      <c r="AM49" s="1005">
        <f>190000/12</f>
        <v>15833.333333333334</v>
      </c>
      <c r="AN49" s="1003">
        <f t="shared" ref="AN49:AX49" si="123">190000/12</f>
        <v>15833.333333333334</v>
      </c>
      <c r="AO49" s="1003">
        <f t="shared" si="123"/>
        <v>15833.333333333334</v>
      </c>
      <c r="AP49" s="1003">
        <f t="shared" si="123"/>
        <v>15833.333333333334</v>
      </c>
      <c r="AQ49" s="1003">
        <f t="shared" si="123"/>
        <v>15833.333333333334</v>
      </c>
      <c r="AR49" s="1003">
        <f t="shared" si="123"/>
        <v>15833.333333333334</v>
      </c>
      <c r="AS49" s="1003">
        <f t="shared" si="123"/>
        <v>15833.333333333334</v>
      </c>
      <c r="AT49" s="1003">
        <f t="shared" si="123"/>
        <v>15833.333333333334</v>
      </c>
      <c r="AU49" s="1003">
        <f t="shared" si="123"/>
        <v>15833.333333333334</v>
      </c>
      <c r="AV49" s="1003">
        <f t="shared" si="123"/>
        <v>15833.333333333334</v>
      </c>
      <c r="AW49" s="1003">
        <f t="shared" si="123"/>
        <v>15833.333333333334</v>
      </c>
      <c r="AX49" s="1003">
        <f t="shared" si="123"/>
        <v>15833.333333333334</v>
      </c>
      <c r="AY49" s="986">
        <f t="shared" si="64"/>
        <v>190000.00000000003</v>
      </c>
      <c r="AZ49" s="886">
        <f t="shared" si="65"/>
        <v>21375.000000000004</v>
      </c>
      <c r="BA49" s="257">
        <f t="shared" si="65"/>
        <v>21375.000000000004</v>
      </c>
      <c r="BB49" s="257">
        <f t="shared" si="65"/>
        <v>21375.000000000004</v>
      </c>
      <c r="BC49" s="257">
        <f t="shared" si="65"/>
        <v>21375.000000000004</v>
      </c>
      <c r="BD49" s="257">
        <f t="shared" si="65"/>
        <v>21375.000000000004</v>
      </c>
      <c r="BE49" s="257">
        <f t="shared" si="65"/>
        <v>21375.000000000004</v>
      </c>
      <c r="BF49" s="257">
        <f t="shared" si="65"/>
        <v>21375.000000000004</v>
      </c>
      <c r="BG49" s="257">
        <f t="shared" si="65"/>
        <v>21375.000000000004</v>
      </c>
      <c r="BH49" s="257">
        <f t="shared" si="65"/>
        <v>21375.000000000004</v>
      </c>
      <c r="BI49" s="257">
        <f t="shared" si="65"/>
        <v>21375.000000000004</v>
      </c>
      <c r="BJ49" s="257">
        <f t="shared" si="65"/>
        <v>21375.000000000004</v>
      </c>
      <c r="BK49" s="257">
        <f t="shared" si="65"/>
        <v>21375.000000000004</v>
      </c>
      <c r="BL49" s="887">
        <f t="shared" si="47"/>
        <v>256500.00000000003</v>
      </c>
      <c r="BM49" s="1005">
        <f>190000/12</f>
        <v>15833.333333333334</v>
      </c>
      <c r="BN49" s="1003">
        <f t="shared" ref="BN49:BX49" si="124">190000/12</f>
        <v>15833.333333333334</v>
      </c>
      <c r="BO49" s="1003">
        <f t="shared" si="124"/>
        <v>15833.333333333334</v>
      </c>
      <c r="BP49" s="1003">
        <f t="shared" si="124"/>
        <v>15833.333333333334</v>
      </c>
      <c r="BQ49" s="1003">
        <f t="shared" si="124"/>
        <v>15833.333333333334</v>
      </c>
      <c r="BR49" s="1003">
        <f t="shared" si="124"/>
        <v>15833.333333333334</v>
      </c>
      <c r="BS49" s="1003">
        <f t="shared" si="124"/>
        <v>15833.333333333334</v>
      </c>
      <c r="BT49" s="1003">
        <f t="shared" si="124"/>
        <v>15833.333333333334</v>
      </c>
      <c r="BU49" s="1003">
        <f t="shared" si="124"/>
        <v>15833.333333333334</v>
      </c>
      <c r="BV49" s="1003">
        <f t="shared" si="124"/>
        <v>15833.333333333334</v>
      </c>
      <c r="BW49" s="1003">
        <f t="shared" si="124"/>
        <v>15833.333333333334</v>
      </c>
      <c r="BX49" s="1003">
        <f t="shared" si="124"/>
        <v>15833.333333333334</v>
      </c>
      <c r="BY49" s="986">
        <f t="shared" si="66"/>
        <v>190000.00000000003</v>
      </c>
      <c r="BZ49" s="886">
        <f t="shared" si="67"/>
        <v>21375.000000000004</v>
      </c>
      <c r="CA49" s="257">
        <f t="shared" si="67"/>
        <v>21375.000000000004</v>
      </c>
      <c r="CB49" s="257">
        <f t="shared" si="67"/>
        <v>21375.000000000004</v>
      </c>
      <c r="CC49" s="257">
        <f t="shared" si="67"/>
        <v>21375.000000000004</v>
      </c>
      <c r="CD49" s="257">
        <f t="shared" si="67"/>
        <v>21375.000000000004</v>
      </c>
      <c r="CE49" s="257">
        <f t="shared" si="67"/>
        <v>21375.000000000004</v>
      </c>
      <c r="CF49" s="257">
        <f t="shared" si="67"/>
        <v>21375.000000000004</v>
      </c>
      <c r="CG49" s="257">
        <f t="shared" si="67"/>
        <v>21375.000000000004</v>
      </c>
      <c r="CH49" s="257">
        <f t="shared" si="67"/>
        <v>21375.000000000004</v>
      </c>
      <c r="CI49" s="257">
        <f t="shared" si="67"/>
        <v>21375.000000000004</v>
      </c>
      <c r="CJ49" s="257">
        <f t="shared" si="67"/>
        <v>21375.000000000004</v>
      </c>
      <c r="CK49" s="257">
        <f t="shared" si="67"/>
        <v>21375.000000000004</v>
      </c>
      <c r="CL49" s="887">
        <f t="shared" si="68"/>
        <v>256500.00000000003</v>
      </c>
      <c r="CM49" s="1005">
        <f>190000/12</f>
        <v>15833.333333333334</v>
      </c>
      <c r="CN49" s="1003">
        <f t="shared" ref="CN49:DX49" si="125">190000/12</f>
        <v>15833.333333333334</v>
      </c>
      <c r="CO49" s="1003">
        <f t="shared" si="125"/>
        <v>15833.333333333334</v>
      </c>
      <c r="CP49" s="1003">
        <f t="shared" si="125"/>
        <v>15833.333333333334</v>
      </c>
      <c r="CQ49" s="1003">
        <f t="shared" si="125"/>
        <v>15833.333333333334</v>
      </c>
      <c r="CR49" s="1003">
        <f t="shared" si="125"/>
        <v>15833.333333333334</v>
      </c>
      <c r="CS49" s="1003">
        <f t="shared" si="125"/>
        <v>15833.333333333334</v>
      </c>
      <c r="CT49" s="1003">
        <f t="shared" si="125"/>
        <v>15833.333333333334</v>
      </c>
      <c r="CU49" s="1003">
        <f t="shared" si="125"/>
        <v>15833.333333333334</v>
      </c>
      <c r="CV49" s="1003">
        <f t="shared" si="125"/>
        <v>15833.333333333334</v>
      </c>
      <c r="CW49" s="1003">
        <f t="shared" si="125"/>
        <v>15833.333333333334</v>
      </c>
      <c r="CX49" s="1003">
        <f t="shared" si="125"/>
        <v>15833.333333333334</v>
      </c>
      <c r="CY49" s="986">
        <f t="shared" si="69"/>
        <v>190000.00000000003</v>
      </c>
      <c r="CZ49" s="886">
        <f t="shared" si="70"/>
        <v>21375.000000000004</v>
      </c>
      <c r="DA49" s="257">
        <f t="shared" si="70"/>
        <v>21375.000000000004</v>
      </c>
      <c r="DB49" s="257">
        <f t="shared" si="70"/>
        <v>21375.000000000004</v>
      </c>
      <c r="DC49" s="257">
        <f t="shared" si="70"/>
        <v>21375.000000000004</v>
      </c>
      <c r="DD49" s="257">
        <f t="shared" si="70"/>
        <v>21375.000000000004</v>
      </c>
      <c r="DE49" s="257">
        <f t="shared" si="70"/>
        <v>21375.000000000004</v>
      </c>
      <c r="DF49" s="257">
        <f t="shared" si="70"/>
        <v>21375.000000000004</v>
      </c>
      <c r="DG49" s="257">
        <f t="shared" si="70"/>
        <v>21375.000000000004</v>
      </c>
      <c r="DH49" s="257">
        <f t="shared" si="70"/>
        <v>21375.000000000004</v>
      </c>
      <c r="DI49" s="257">
        <f t="shared" si="70"/>
        <v>21375.000000000004</v>
      </c>
      <c r="DJ49" s="257">
        <f t="shared" si="70"/>
        <v>21375.000000000004</v>
      </c>
      <c r="DK49" s="257">
        <f t="shared" si="70"/>
        <v>21375.000000000004</v>
      </c>
      <c r="DL49" s="887">
        <f t="shared" si="50"/>
        <v>256500.00000000003</v>
      </c>
      <c r="DM49" s="1005">
        <f t="shared" si="125"/>
        <v>15833.333333333334</v>
      </c>
      <c r="DN49" s="1003">
        <f t="shared" si="125"/>
        <v>15833.333333333334</v>
      </c>
      <c r="DO49" s="1003">
        <f t="shared" si="125"/>
        <v>15833.333333333334</v>
      </c>
      <c r="DP49" s="1003">
        <f t="shared" si="125"/>
        <v>15833.333333333334</v>
      </c>
      <c r="DQ49" s="1003">
        <f t="shared" si="125"/>
        <v>15833.333333333334</v>
      </c>
      <c r="DR49" s="1003">
        <f t="shared" si="125"/>
        <v>15833.333333333334</v>
      </c>
      <c r="DS49" s="1003">
        <f t="shared" si="125"/>
        <v>15833.333333333334</v>
      </c>
      <c r="DT49" s="1003">
        <f t="shared" si="125"/>
        <v>15833.333333333334</v>
      </c>
      <c r="DU49" s="1003">
        <f t="shared" si="125"/>
        <v>15833.333333333334</v>
      </c>
      <c r="DV49" s="1003">
        <f t="shared" si="125"/>
        <v>15833.333333333334</v>
      </c>
      <c r="DW49" s="1003">
        <f t="shared" si="125"/>
        <v>15833.333333333334</v>
      </c>
      <c r="DX49" s="1003">
        <f t="shared" si="125"/>
        <v>15833.333333333334</v>
      </c>
      <c r="DY49" s="986">
        <f t="shared" si="71"/>
        <v>190000.00000000003</v>
      </c>
      <c r="DZ49" s="886">
        <f t="shared" si="72"/>
        <v>21375.000000000004</v>
      </c>
      <c r="EA49" s="257">
        <f t="shared" si="72"/>
        <v>21375.000000000004</v>
      </c>
      <c r="EB49" s="257">
        <f t="shared" si="72"/>
        <v>21375.000000000004</v>
      </c>
      <c r="EC49" s="257">
        <f t="shared" si="72"/>
        <v>21375.000000000004</v>
      </c>
      <c r="ED49" s="257">
        <f t="shared" si="72"/>
        <v>21375.000000000004</v>
      </c>
      <c r="EE49" s="257">
        <f t="shared" si="72"/>
        <v>21375.000000000004</v>
      </c>
      <c r="EF49" s="257">
        <f t="shared" si="72"/>
        <v>21375.000000000004</v>
      </c>
      <c r="EG49" s="257">
        <f t="shared" si="72"/>
        <v>21375.000000000004</v>
      </c>
      <c r="EH49" s="257">
        <f t="shared" si="72"/>
        <v>21375.000000000004</v>
      </c>
      <c r="EI49" s="257">
        <f t="shared" si="72"/>
        <v>21375.000000000004</v>
      </c>
      <c r="EJ49" s="257">
        <f t="shared" si="72"/>
        <v>21375.000000000004</v>
      </c>
      <c r="EK49" s="257">
        <f t="shared" si="72"/>
        <v>21375.000000000004</v>
      </c>
      <c r="EL49" s="887">
        <f t="shared" si="52"/>
        <v>256500.00000000003</v>
      </c>
    </row>
    <row r="50" spans="1:142">
      <c r="A50" s="973" t="s">
        <v>680</v>
      </c>
      <c r="B50" s="905" t="s">
        <v>688</v>
      </c>
      <c r="C50" s="1004" t="s">
        <v>689</v>
      </c>
      <c r="D50" s="558">
        <v>3.49</v>
      </c>
      <c r="E50" s="553">
        <v>3.3789690260740146</v>
      </c>
      <c r="F50" s="553">
        <v>3.400683071714476</v>
      </c>
      <c r="G50" s="554">
        <v>3.5</v>
      </c>
      <c r="H50" s="558">
        <f t="shared" si="73"/>
        <v>3.5</v>
      </c>
      <c r="I50" s="553">
        <f t="shared" si="73"/>
        <v>3.5</v>
      </c>
      <c r="J50" s="553">
        <f t="shared" si="73"/>
        <v>3.5</v>
      </c>
      <c r="K50" s="915">
        <f t="shared" si="73"/>
        <v>3.5</v>
      </c>
      <c r="L50" s="884"/>
      <c r="M50" s="563">
        <v>24820</v>
      </c>
      <c r="N50" s="561">
        <v>23760</v>
      </c>
      <c r="O50" s="561">
        <v>23760</v>
      </c>
      <c r="P50" s="561">
        <v>30002</v>
      </c>
      <c r="Q50" s="561">
        <v>23556</v>
      </c>
      <c r="R50" s="561">
        <v>35213</v>
      </c>
      <c r="S50" s="561">
        <f>27634-1000</f>
        <v>26634</v>
      </c>
      <c r="T50" s="561">
        <v>40000</v>
      </c>
      <c r="U50" s="561">
        <v>40000</v>
      </c>
      <c r="V50" s="561">
        <v>40000</v>
      </c>
      <c r="W50" s="561">
        <v>40000</v>
      </c>
      <c r="X50" s="561">
        <v>40000</v>
      </c>
      <c r="Y50" s="885">
        <f t="shared" si="58"/>
        <v>387745</v>
      </c>
      <c r="Z50" s="886">
        <v>86621.8</v>
      </c>
      <c r="AA50" s="257">
        <v>82922.400000000009</v>
      </c>
      <c r="AB50" s="257">
        <v>82922.400000000009</v>
      </c>
      <c r="AC50" s="257">
        <v>104706.98000000001</v>
      </c>
      <c r="AD50" s="257">
        <v>80578.179999999993</v>
      </c>
      <c r="AE50" s="257">
        <v>120428.46</v>
      </c>
      <c r="AF50" s="257">
        <f>S50*$F50</f>
        <v>90573.792932043361</v>
      </c>
      <c r="AG50" s="257">
        <f t="shared" si="117"/>
        <v>136027.32286857904</v>
      </c>
      <c r="AH50" s="257">
        <f t="shared" si="117"/>
        <v>136027.32286857904</v>
      </c>
      <c r="AI50" s="257">
        <f t="shared" si="61"/>
        <v>140000</v>
      </c>
      <c r="AJ50" s="257">
        <f t="shared" si="61"/>
        <v>140000</v>
      </c>
      <c r="AK50" s="257">
        <f t="shared" si="61"/>
        <v>140000</v>
      </c>
      <c r="AL50" s="887">
        <f t="shared" si="62"/>
        <v>1340808.6586692017</v>
      </c>
      <c r="AM50" s="1005">
        <f>230000/12</f>
        <v>19166.666666666668</v>
      </c>
      <c r="AN50" s="1003">
        <f t="shared" ref="AN50:AX51" si="126">230000/12</f>
        <v>19166.666666666668</v>
      </c>
      <c r="AO50" s="1003">
        <f t="shared" si="126"/>
        <v>19166.666666666668</v>
      </c>
      <c r="AP50" s="1003">
        <f t="shared" si="126"/>
        <v>19166.666666666668</v>
      </c>
      <c r="AQ50" s="1003">
        <f t="shared" si="126"/>
        <v>19166.666666666668</v>
      </c>
      <c r="AR50" s="1003">
        <f t="shared" si="126"/>
        <v>19166.666666666668</v>
      </c>
      <c r="AS50" s="1003">
        <f t="shared" si="126"/>
        <v>19166.666666666668</v>
      </c>
      <c r="AT50" s="1003">
        <f t="shared" si="126"/>
        <v>19166.666666666668</v>
      </c>
      <c r="AU50" s="1003">
        <f t="shared" si="126"/>
        <v>19166.666666666668</v>
      </c>
      <c r="AV50" s="1003">
        <f t="shared" si="126"/>
        <v>19166.666666666668</v>
      </c>
      <c r="AW50" s="1003">
        <f t="shared" si="126"/>
        <v>19166.666666666668</v>
      </c>
      <c r="AX50" s="1003">
        <f t="shared" si="126"/>
        <v>19166.666666666668</v>
      </c>
      <c r="AY50" s="986">
        <f t="shared" si="64"/>
        <v>229999.99999999997</v>
      </c>
      <c r="AZ50" s="886">
        <f t="shared" si="65"/>
        <v>67083.333333333343</v>
      </c>
      <c r="BA50" s="257">
        <f t="shared" si="65"/>
        <v>67083.333333333343</v>
      </c>
      <c r="BB50" s="257">
        <f t="shared" si="65"/>
        <v>67083.333333333343</v>
      </c>
      <c r="BC50" s="257">
        <f t="shared" si="65"/>
        <v>67083.333333333343</v>
      </c>
      <c r="BD50" s="257">
        <f t="shared" si="65"/>
        <v>67083.333333333343</v>
      </c>
      <c r="BE50" s="257">
        <f t="shared" si="65"/>
        <v>67083.333333333343</v>
      </c>
      <c r="BF50" s="257">
        <f t="shared" si="65"/>
        <v>67083.333333333343</v>
      </c>
      <c r="BG50" s="257">
        <f t="shared" si="65"/>
        <v>67083.333333333343</v>
      </c>
      <c r="BH50" s="257">
        <f t="shared" si="65"/>
        <v>67083.333333333343</v>
      </c>
      <c r="BI50" s="257">
        <f t="shared" si="65"/>
        <v>67083.333333333343</v>
      </c>
      <c r="BJ50" s="257">
        <f t="shared" si="65"/>
        <v>67083.333333333343</v>
      </c>
      <c r="BK50" s="257">
        <f t="shared" si="65"/>
        <v>67083.333333333343</v>
      </c>
      <c r="BL50" s="887">
        <f t="shared" si="47"/>
        <v>805000.00000000035</v>
      </c>
      <c r="BM50" s="1005">
        <f>330000/12</f>
        <v>27500</v>
      </c>
      <c r="BN50" s="1003">
        <f t="shared" ref="BN50:BX51" si="127">330000/12</f>
        <v>27500</v>
      </c>
      <c r="BO50" s="1003">
        <f t="shared" si="127"/>
        <v>27500</v>
      </c>
      <c r="BP50" s="1003">
        <f t="shared" si="127"/>
        <v>27500</v>
      </c>
      <c r="BQ50" s="1003">
        <f t="shared" si="127"/>
        <v>27500</v>
      </c>
      <c r="BR50" s="1003">
        <f t="shared" si="127"/>
        <v>27500</v>
      </c>
      <c r="BS50" s="1003">
        <f t="shared" si="127"/>
        <v>27500</v>
      </c>
      <c r="BT50" s="1003">
        <f t="shared" si="127"/>
        <v>27500</v>
      </c>
      <c r="BU50" s="1003">
        <f t="shared" si="127"/>
        <v>27500</v>
      </c>
      <c r="BV50" s="1003">
        <f t="shared" si="127"/>
        <v>27500</v>
      </c>
      <c r="BW50" s="1003">
        <f t="shared" si="127"/>
        <v>27500</v>
      </c>
      <c r="BX50" s="1003">
        <f t="shared" si="127"/>
        <v>27500</v>
      </c>
      <c r="BY50" s="986">
        <f t="shared" si="66"/>
        <v>330000</v>
      </c>
      <c r="BZ50" s="886">
        <f t="shared" si="67"/>
        <v>96250</v>
      </c>
      <c r="CA50" s="257">
        <f t="shared" si="67"/>
        <v>96250</v>
      </c>
      <c r="CB50" s="257">
        <f t="shared" si="67"/>
        <v>96250</v>
      </c>
      <c r="CC50" s="257">
        <f t="shared" si="67"/>
        <v>96250</v>
      </c>
      <c r="CD50" s="257">
        <f t="shared" si="67"/>
        <v>96250</v>
      </c>
      <c r="CE50" s="257">
        <f t="shared" si="67"/>
        <v>96250</v>
      </c>
      <c r="CF50" s="257">
        <f t="shared" si="67"/>
        <v>96250</v>
      </c>
      <c r="CG50" s="257">
        <f t="shared" si="67"/>
        <v>96250</v>
      </c>
      <c r="CH50" s="257">
        <f t="shared" si="67"/>
        <v>96250</v>
      </c>
      <c r="CI50" s="257">
        <f t="shared" si="67"/>
        <v>96250</v>
      </c>
      <c r="CJ50" s="257">
        <f t="shared" si="67"/>
        <v>96250</v>
      </c>
      <c r="CK50" s="257">
        <f t="shared" si="67"/>
        <v>96250</v>
      </c>
      <c r="CL50" s="887">
        <f t="shared" si="68"/>
        <v>1155000</v>
      </c>
      <c r="CM50" s="1005">
        <f>330000/12</f>
        <v>27500</v>
      </c>
      <c r="CN50" s="1003">
        <f t="shared" ref="CN50:CX51" si="128">330000/12</f>
        <v>27500</v>
      </c>
      <c r="CO50" s="1003">
        <f t="shared" si="128"/>
        <v>27500</v>
      </c>
      <c r="CP50" s="1003">
        <f t="shared" si="128"/>
        <v>27500</v>
      </c>
      <c r="CQ50" s="1003">
        <f t="shared" si="128"/>
        <v>27500</v>
      </c>
      <c r="CR50" s="1003">
        <f t="shared" si="128"/>
        <v>27500</v>
      </c>
      <c r="CS50" s="1003">
        <f t="shared" si="128"/>
        <v>27500</v>
      </c>
      <c r="CT50" s="1003">
        <f t="shared" si="128"/>
        <v>27500</v>
      </c>
      <c r="CU50" s="1003">
        <f t="shared" si="128"/>
        <v>27500</v>
      </c>
      <c r="CV50" s="1003">
        <f t="shared" si="128"/>
        <v>27500</v>
      </c>
      <c r="CW50" s="1003">
        <f t="shared" si="128"/>
        <v>27500</v>
      </c>
      <c r="CX50" s="1003">
        <f t="shared" si="128"/>
        <v>27500</v>
      </c>
      <c r="CY50" s="986">
        <f t="shared" si="69"/>
        <v>330000</v>
      </c>
      <c r="CZ50" s="886">
        <f t="shared" si="70"/>
        <v>96250</v>
      </c>
      <c r="DA50" s="257">
        <f t="shared" si="70"/>
        <v>96250</v>
      </c>
      <c r="DB50" s="257">
        <f t="shared" si="70"/>
        <v>96250</v>
      </c>
      <c r="DC50" s="257">
        <f t="shared" si="70"/>
        <v>96250</v>
      </c>
      <c r="DD50" s="257">
        <f t="shared" si="70"/>
        <v>96250</v>
      </c>
      <c r="DE50" s="257">
        <f t="shared" si="70"/>
        <v>96250</v>
      </c>
      <c r="DF50" s="257">
        <f t="shared" si="70"/>
        <v>96250</v>
      </c>
      <c r="DG50" s="257">
        <f t="shared" si="70"/>
        <v>96250</v>
      </c>
      <c r="DH50" s="257">
        <f t="shared" si="70"/>
        <v>96250</v>
      </c>
      <c r="DI50" s="257">
        <f t="shared" si="70"/>
        <v>96250</v>
      </c>
      <c r="DJ50" s="257">
        <f t="shared" si="70"/>
        <v>96250</v>
      </c>
      <c r="DK50" s="257">
        <f t="shared" si="70"/>
        <v>96250</v>
      </c>
      <c r="DL50" s="887">
        <f t="shared" si="50"/>
        <v>1155000</v>
      </c>
      <c r="DM50" s="1005">
        <f>330000/12</f>
        <v>27500</v>
      </c>
      <c r="DN50" s="1003">
        <f t="shared" ref="DN50:DX51" si="129">330000/12</f>
        <v>27500</v>
      </c>
      <c r="DO50" s="1003">
        <f t="shared" si="129"/>
        <v>27500</v>
      </c>
      <c r="DP50" s="1003">
        <f t="shared" si="129"/>
        <v>27500</v>
      </c>
      <c r="DQ50" s="1003">
        <f t="shared" si="129"/>
        <v>27500</v>
      </c>
      <c r="DR50" s="1003">
        <f t="shared" si="129"/>
        <v>27500</v>
      </c>
      <c r="DS50" s="1003">
        <f t="shared" si="129"/>
        <v>27500</v>
      </c>
      <c r="DT50" s="1003">
        <f t="shared" si="129"/>
        <v>27500</v>
      </c>
      <c r="DU50" s="1003">
        <f t="shared" si="129"/>
        <v>27500</v>
      </c>
      <c r="DV50" s="1003">
        <f t="shared" si="129"/>
        <v>27500</v>
      </c>
      <c r="DW50" s="1003">
        <f t="shared" si="129"/>
        <v>27500</v>
      </c>
      <c r="DX50" s="1003">
        <f t="shared" si="129"/>
        <v>27500</v>
      </c>
      <c r="DY50" s="986">
        <f t="shared" si="71"/>
        <v>330000</v>
      </c>
      <c r="DZ50" s="886">
        <f t="shared" si="72"/>
        <v>96250</v>
      </c>
      <c r="EA50" s="257">
        <f t="shared" si="72"/>
        <v>96250</v>
      </c>
      <c r="EB50" s="257">
        <f t="shared" si="72"/>
        <v>96250</v>
      </c>
      <c r="EC50" s="257">
        <f t="shared" si="72"/>
        <v>96250</v>
      </c>
      <c r="ED50" s="257">
        <f t="shared" si="72"/>
        <v>96250</v>
      </c>
      <c r="EE50" s="257">
        <f t="shared" si="72"/>
        <v>96250</v>
      </c>
      <c r="EF50" s="257">
        <f t="shared" si="72"/>
        <v>96250</v>
      </c>
      <c r="EG50" s="257">
        <f t="shared" si="72"/>
        <v>96250</v>
      </c>
      <c r="EH50" s="257">
        <f t="shared" si="72"/>
        <v>96250</v>
      </c>
      <c r="EI50" s="257">
        <f t="shared" si="72"/>
        <v>96250</v>
      </c>
      <c r="EJ50" s="257">
        <f t="shared" si="72"/>
        <v>96250</v>
      </c>
      <c r="EK50" s="257">
        <f t="shared" si="72"/>
        <v>96250</v>
      </c>
      <c r="EL50" s="887">
        <f t="shared" si="52"/>
        <v>1155000</v>
      </c>
    </row>
    <row r="51" spans="1:142">
      <c r="A51" s="973" t="s">
        <v>680</v>
      </c>
      <c r="B51" s="905" t="s">
        <v>690</v>
      </c>
      <c r="C51" s="1004" t="s">
        <v>691</v>
      </c>
      <c r="D51" s="558">
        <v>1.43</v>
      </c>
      <c r="E51" s="553">
        <v>1.4460477718424212</v>
      </c>
      <c r="F51" s="553">
        <v>1.4468563413942628</v>
      </c>
      <c r="G51" s="554">
        <v>1.43</v>
      </c>
      <c r="H51" s="558">
        <f t="shared" si="73"/>
        <v>1.43</v>
      </c>
      <c r="I51" s="553">
        <f t="shared" si="73"/>
        <v>1.43</v>
      </c>
      <c r="J51" s="553">
        <f t="shared" si="73"/>
        <v>1.43</v>
      </c>
      <c r="K51" s="915">
        <f t="shared" si="73"/>
        <v>1.43</v>
      </c>
      <c r="L51" s="884"/>
      <c r="M51" s="563">
        <v>27300</v>
      </c>
      <c r="N51" s="561">
        <v>22800</v>
      </c>
      <c r="O51" s="561">
        <v>30240</v>
      </c>
      <c r="P51" s="561">
        <v>35000</v>
      </c>
      <c r="Q51" s="561">
        <v>34860</v>
      </c>
      <c r="R51" s="561">
        <v>40180</v>
      </c>
      <c r="S51" s="561">
        <v>35011</v>
      </c>
      <c r="T51" s="561">
        <v>40000</v>
      </c>
      <c r="U51" s="561">
        <v>40000</v>
      </c>
      <c r="V51" s="561">
        <v>40000</v>
      </c>
      <c r="W51" s="561">
        <v>40000</v>
      </c>
      <c r="X51" s="561">
        <v>40000</v>
      </c>
      <c r="Y51" s="885">
        <f t="shared" si="58"/>
        <v>425391</v>
      </c>
      <c r="Z51" s="886">
        <v>39039</v>
      </c>
      <c r="AA51" s="257">
        <v>32604</v>
      </c>
      <c r="AB51" s="257">
        <v>43243.199999999997</v>
      </c>
      <c r="AC51" s="257">
        <v>50050</v>
      </c>
      <c r="AD51" s="257">
        <v>49753.799999999988</v>
      </c>
      <c r="AE51" s="257">
        <v>57403.199999999997</v>
      </c>
      <c r="AF51" s="257">
        <f t="shared" si="117"/>
        <v>50655.887368554533</v>
      </c>
      <c r="AG51" s="257">
        <f t="shared" si="117"/>
        <v>57874.25365577051</v>
      </c>
      <c r="AH51" s="257">
        <f t="shared" si="117"/>
        <v>57874.25365577051</v>
      </c>
      <c r="AI51" s="257">
        <f t="shared" si="61"/>
        <v>57200</v>
      </c>
      <c r="AJ51" s="257">
        <f t="shared" si="61"/>
        <v>57200</v>
      </c>
      <c r="AK51" s="257">
        <f t="shared" si="61"/>
        <v>57200</v>
      </c>
      <c r="AL51" s="887">
        <f t="shared" si="62"/>
        <v>610097.59468009556</v>
      </c>
      <c r="AM51" s="1005">
        <f>230000/12</f>
        <v>19166.666666666668</v>
      </c>
      <c r="AN51" s="1003">
        <f t="shared" si="126"/>
        <v>19166.666666666668</v>
      </c>
      <c r="AO51" s="1003">
        <f t="shared" si="126"/>
        <v>19166.666666666668</v>
      </c>
      <c r="AP51" s="1003">
        <f t="shared" si="126"/>
        <v>19166.666666666668</v>
      </c>
      <c r="AQ51" s="1003">
        <f t="shared" si="126"/>
        <v>19166.666666666668</v>
      </c>
      <c r="AR51" s="1003">
        <f t="shared" si="126"/>
        <v>19166.666666666668</v>
      </c>
      <c r="AS51" s="1003">
        <f t="shared" si="126"/>
        <v>19166.666666666668</v>
      </c>
      <c r="AT51" s="1003">
        <f t="shared" si="126"/>
        <v>19166.666666666668</v>
      </c>
      <c r="AU51" s="1003">
        <f t="shared" si="126"/>
        <v>19166.666666666668</v>
      </c>
      <c r="AV51" s="1003">
        <f t="shared" si="126"/>
        <v>19166.666666666668</v>
      </c>
      <c r="AW51" s="1003">
        <f t="shared" si="126"/>
        <v>19166.666666666668</v>
      </c>
      <c r="AX51" s="1003">
        <f t="shared" si="126"/>
        <v>19166.666666666668</v>
      </c>
      <c r="AY51" s="986">
        <f t="shared" si="64"/>
        <v>229999.99999999997</v>
      </c>
      <c r="AZ51" s="886">
        <f t="shared" si="65"/>
        <v>27408.333333333332</v>
      </c>
      <c r="BA51" s="257">
        <f t="shared" si="65"/>
        <v>27408.333333333332</v>
      </c>
      <c r="BB51" s="257">
        <f t="shared" si="65"/>
        <v>27408.333333333332</v>
      </c>
      <c r="BC51" s="257">
        <f t="shared" ref="BC51:BK51" si="130">AP51*$H51</f>
        <v>27408.333333333332</v>
      </c>
      <c r="BD51" s="257">
        <f t="shared" si="130"/>
        <v>27408.333333333332</v>
      </c>
      <c r="BE51" s="257">
        <f t="shared" si="130"/>
        <v>27408.333333333332</v>
      </c>
      <c r="BF51" s="257">
        <f t="shared" si="130"/>
        <v>27408.333333333332</v>
      </c>
      <c r="BG51" s="257">
        <f t="shared" si="130"/>
        <v>27408.333333333332</v>
      </c>
      <c r="BH51" s="257">
        <f t="shared" si="130"/>
        <v>27408.333333333332</v>
      </c>
      <c r="BI51" s="257">
        <f t="shared" si="130"/>
        <v>27408.333333333332</v>
      </c>
      <c r="BJ51" s="257">
        <f t="shared" si="130"/>
        <v>27408.333333333332</v>
      </c>
      <c r="BK51" s="257">
        <f t="shared" si="130"/>
        <v>27408.333333333332</v>
      </c>
      <c r="BL51" s="887">
        <f t="shared" si="47"/>
        <v>328900</v>
      </c>
      <c r="BM51" s="1005">
        <f>330000/12</f>
        <v>27500</v>
      </c>
      <c r="BN51" s="1003">
        <f t="shared" si="127"/>
        <v>27500</v>
      </c>
      <c r="BO51" s="1003">
        <f t="shared" si="127"/>
        <v>27500</v>
      </c>
      <c r="BP51" s="1003">
        <f t="shared" si="127"/>
        <v>27500</v>
      </c>
      <c r="BQ51" s="1003">
        <f t="shared" si="127"/>
        <v>27500</v>
      </c>
      <c r="BR51" s="1003">
        <f t="shared" si="127"/>
        <v>27500</v>
      </c>
      <c r="BS51" s="1003">
        <f t="shared" si="127"/>
        <v>27500</v>
      </c>
      <c r="BT51" s="1003">
        <f t="shared" si="127"/>
        <v>27500</v>
      </c>
      <c r="BU51" s="1003">
        <f t="shared" si="127"/>
        <v>27500</v>
      </c>
      <c r="BV51" s="1003">
        <f t="shared" si="127"/>
        <v>27500</v>
      </c>
      <c r="BW51" s="1003">
        <f t="shared" si="127"/>
        <v>27500</v>
      </c>
      <c r="BX51" s="1003">
        <f t="shared" si="127"/>
        <v>27500</v>
      </c>
      <c r="BY51" s="986">
        <f t="shared" si="66"/>
        <v>330000</v>
      </c>
      <c r="BZ51" s="886">
        <f t="shared" si="67"/>
        <v>39325</v>
      </c>
      <c r="CA51" s="257">
        <f t="shared" si="67"/>
        <v>39325</v>
      </c>
      <c r="CB51" s="257">
        <f t="shared" si="67"/>
        <v>39325</v>
      </c>
      <c r="CC51" s="257">
        <f t="shared" ref="CC51:CK51" si="131">BP51*$I51</f>
        <v>39325</v>
      </c>
      <c r="CD51" s="257">
        <f t="shared" si="131"/>
        <v>39325</v>
      </c>
      <c r="CE51" s="257">
        <f t="shared" si="131"/>
        <v>39325</v>
      </c>
      <c r="CF51" s="257">
        <f t="shared" si="131"/>
        <v>39325</v>
      </c>
      <c r="CG51" s="257">
        <f t="shared" si="131"/>
        <v>39325</v>
      </c>
      <c r="CH51" s="257">
        <f t="shared" si="131"/>
        <v>39325</v>
      </c>
      <c r="CI51" s="257">
        <f t="shared" si="131"/>
        <v>39325</v>
      </c>
      <c r="CJ51" s="257">
        <f t="shared" si="131"/>
        <v>39325</v>
      </c>
      <c r="CK51" s="257">
        <f t="shared" si="131"/>
        <v>39325</v>
      </c>
      <c r="CL51" s="887">
        <f t="shared" si="68"/>
        <v>471900</v>
      </c>
      <c r="CM51" s="1005">
        <f>330000/12</f>
        <v>27500</v>
      </c>
      <c r="CN51" s="1003">
        <f t="shared" si="128"/>
        <v>27500</v>
      </c>
      <c r="CO51" s="1003">
        <f t="shared" si="128"/>
        <v>27500</v>
      </c>
      <c r="CP51" s="1003">
        <f t="shared" si="128"/>
        <v>27500</v>
      </c>
      <c r="CQ51" s="1003">
        <f t="shared" si="128"/>
        <v>27500</v>
      </c>
      <c r="CR51" s="1003">
        <f t="shared" si="128"/>
        <v>27500</v>
      </c>
      <c r="CS51" s="1003">
        <f t="shared" si="128"/>
        <v>27500</v>
      </c>
      <c r="CT51" s="1003">
        <f t="shared" si="128"/>
        <v>27500</v>
      </c>
      <c r="CU51" s="1003">
        <f t="shared" si="128"/>
        <v>27500</v>
      </c>
      <c r="CV51" s="1003">
        <f t="shared" si="128"/>
        <v>27500</v>
      </c>
      <c r="CW51" s="1003">
        <f t="shared" si="128"/>
        <v>27500</v>
      </c>
      <c r="CX51" s="1003">
        <f t="shared" si="128"/>
        <v>27500</v>
      </c>
      <c r="CY51" s="986">
        <f t="shared" si="69"/>
        <v>330000</v>
      </c>
      <c r="CZ51" s="886">
        <f t="shared" si="70"/>
        <v>39325</v>
      </c>
      <c r="DA51" s="257">
        <f t="shared" si="70"/>
        <v>39325</v>
      </c>
      <c r="DB51" s="257">
        <f t="shared" si="70"/>
        <v>39325</v>
      </c>
      <c r="DC51" s="257">
        <f t="shared" ref="DC51:DK51" si="132">CP51*$J51</f>
        <v>39325</v>
      </c>
      <c r="DD51" s="257">
        <f t="shared" si="132"/>
        <v>39325</v>
      </c>
      <c r="DE51" s="257">
        <f t="shared" si="132"/>
        <v>39325</v>
      </c>
      <c r="DF51" s="257">
        <f t="shared" si="132"/>
        <v>39325</v>
      </c>
      <c r="DG51" s="257">
        <f t="shared" si="132"/>
        <v>39325</v>
      </c>
      <c r="DH51" s="257">
        <f t="shared" si="132"/>
        <v>39325</v>
      </c>
      <c r="DI51" s="257">
        <f t="shared" si="132"/>
        <v>39325</v>
      </c>
      <c r="DJ51" s="257">
        <f t="shared" si="132"/>
        <v>39325</v>
      </c>
      <c r="DK51" s="257">
        <f t="shared" si="132"/>
        <v>39325</v>
      </c>
      <c r="DL51" s="887">
        <f t="shared" si="50"/>
        <v>471900</v>
      </c>
      <c r="DM51" s="1005">
        <f>330000/12</f>
        <v>27500</v>
      </c>
      <c r="DN51" s="1003">
        <f t="shared" si="129"/>
        <v>27500</v>
      </c>
      <c r="DO51" s="1003">
        <f t="shared" si="129"/>
        <v>27500</v>
      </c>
      <c r="DP51" s="1003">
        <f t="shared" si="129"/>
        <v>27500</v>
      </c>
      <c r="DQ51" s="1003">
        <f t="shared" si="129"/>
        <v>27500</v>
      </c>
      <c r="DR51" s="1003">
        <f t="shared" si="129"/>
        <v>27500</v>
      </c>
      <c r="DS51" s="1003">
        <f t="shared" si="129"/>
        <v>27500</v>
      </c>
      <c r="DT51" s="1003">
        <f t="shared" si="129"/>
        <v>27500</v>
      </c>
      <c r="DU51" s="1003">
        <f t="shared" si="129"/>
        <v>27500</v>
      </c>
      <c r="DV51" s="1003">
        <f t="shared" si="129"/>
        <v>27500</v>
      </c>
      <c r="DW51" s="1003">
        <f t="shared" si="129"/>
        <v>27500</v>
      </c>
      <c r="DX51" s="1003">
        <f t="shared" si="129"/>
        <v>27500</v>
      </c>
      <c r="DY51" s="986">
        <f t="shared" si="71"/>
        <v>330000</v>
      </c>
      <c r="DZ51" s="886">
        <f t="shared" si="72"/>
        <v>39325</v>
      </c>
      <c r="EA51" s="257">
        <f t="shared" si="72"/>
        <v>39325</v>
      </c>
      <c r="EB51" s="257">
        <f t="shared" si="72"/>
        <v>39325</v>
      </c>
      <c r="EC51" s="257">
        <f t="shared" ref="EC51:EK51" si="133">DP51*$K51</f>
        <v>39325</v>
      </c>
      <c r="ED51" s="257">
        <f t="shared" si="133"/>
        <v>39325</v>
      </c>
      <c r="EE51" s="257">
        <f t="shared" si="133"/>
        <v>39325</v>
      </c>
      <c r="EF51" s="257">
        <f t="shared" si="133"/>
        <v>39325</v>
      </c>
      <c r="EG51" s="257">
        <f t="shared" si="133"/>
        <v>39325</v>
      </c>
      <c r="EH51" s="257">
        <f t="shared" si="133"/>
        <v>39325</v>
      </c>
      <c r="EI51" s="257">
        <f t="shared" si="133"/>
        <v>39325</v>
      </c>
      <c r="EJ51" s="257">
        <f t="shared" si="133"/>
        <v>39325</v>
      </c>
      <c r="EK51" s="257">
        <f t="shared" si="133"/>
        <v>39325</v>
      </c>
      <c r="EL51" s="887">
        <f t="shared" si="52"/>
        <v>471900</v>
      </c>
    </row>
    <row r="52" spans="1:142">
      <c r="A52" s="973" t="s">
        <v>680</v>
      </c>
      <c r="B52" s="905" t="s">
        <v>692</v>
      </c>
      <c r="C52" s="1004" t="s">
        <v>693</v>
      </c>
      <c r="D52" s="558"/>
      <c r="E52" s="559">
        <v>2.2303236134845168</v>
      </c>
      <c r="F52" s="559">
        <v>2.2421401022214811</v>
      </c>
      <c r="G52" s="559">
        <v>2.2200000000000002</v>
      </c>
      <c r="H52" s="559">
        <v>2.2200000000000002</v>
      </c>
      <c r="I52" s="559">
        <v>2.2200000000000002</v>
      </c>
      <c r="J52" s="559">
        <v>2.2200000000000002</v>
      </c>
      <c r="K52" s="982">
        <v>2.2200000000000002</v>
      </c>
      <c r="L52" s="983"/>
      <c r="M52" s="563">
        <v>0</v>
      </c>
      <c r="N52" s="561">
        <v>0</v>
      </c>
      <c r="O52" s="561">
        <v>0</v>
      </c>
      <c r="P52" s="561">
        <v>6204</v>
      </c>
      <c r="Q52" s="561">
        <v>3456</v>
      </c>
      <c r="R52" s="561">
        <v>864</v>
      </c>
      <c r="S52" s="561">
        <v>4210</v>
      </c>
      <c r="T52" s="561"/>
      <c r="U52" s="539"/>
      <c r="V52" s="539"/>
      <c r="W52" s="539"/>
      <c r="X52" s="539"/>
      <c r="Y52" s="885">
        <f>SUM(M52:X52)</f>
        <v>14734</v>
      </c>
      <c r="Z52" s="257">
        <v>0</v>
      </c>
      <c r="AA52" s="257">
        <v>0</v>
      </c>
      <c r="AB52" s="257">
        <v>0</v>
      </c>
      <c r="AC52" s="257">
        <v>13772.880000000001</v>
      </c>
      <c r="AD52" s="257">
        <v>7672.3200000000006</v>
      </c>
      <c r="AE52" s="257">
        <v>2020.03</v>
      </c>
      <c r="AF52" s="257">
        <f t="shared" si="117"/>
        <v>9439.4098303524352</v>
      </c>
      <c r="AG52" s="257">
        <f t="shared" si="117"/>
        <v>0</v>
      </c>
      <c r="AH52" s="257">
        <f t="shared" si="117"/>
        <v>0</v>
      </c>
      <c r="AI52" s="257">
        <f t="shared" si="61"/>
        <v>0</v>
      </c>
      <c r="AJ52" s="257">
        <f t="shared" si="61"/>
        <v>0</v>
      </c>
      <c r="AK52" s="257">
        <f t="shared" si="61"/>
        <v>0</v>
      </c>
      <c r="AL52" s="887">
        <f t="shared" si="62"/>
        <v>32904.639830352433</v>
      </c>
      <c r="AM52" s="1005"/>
      <c r="AN52" s="1003"/>
      <c r="AO52" s="1003"/>
      <c r="AP52" s="1003"/>
      <c r="AQ52" s="1003"/>
      <c r="AR52" s="1003"/>
      <c r="AS52" s="1003"/>
      <c r="AT52" s="1003"/>
      <c r="AU52" s="1003"/>
      <c r="AV52" s="1003"/>
      <c r="AW52" s="1003"/>
      <c r="AX52" s="1003"/>
      <c r="AY52" s="986">
        <f>SUM(AM52:AX52)</f>
        <v>0</v>
      </c>
      <c r="AZ52" s="886">
        <f t="shared" ref="AZ52:BK67" si="134">AM52*$H52</f>
        <v>0</v>
      </c>
      <c r="BA52" s="257">
        <f t="shared" si="134"/>
        <v>0</v>
      </c>
      <c r="BB52" s="257">
        <f t="shared" si="134"/>
        <v>0</v>
      </c>
      <c r="BC52" s="257">
        <f t="shared" si="134"/>
        <v>0</v>
      </c>
      <c r="BD52" s="257">
        <f t="shared" si="134"/>
        <v>0</v>
      </c>
      <c r="BE52" s="257">
        <f t="shared" si="134"/>
        <v>0</v>
      </c>
      <c r="BF52" s="257">
        <f t="shared" si="134"/>
        <v>0</v>
      </c>
      <c r="BG52" s="257">
        <f t="shared" si="134"/>
        <v>0</v>
      </c>
      <c r="BH52" s="257">
        <f t="shared" si="134"/>
        <v>0</v>
      </c>
      <c r="BI52" s="257">
        <f t="shared" si="134"/>
        <v>0</v>
      </c>
      <c r="BJ52" s="257">
        <f t="shared" si="134"/>
        <v>0</v>
      </c>
      <c r="BK52" s="257">
        <f t="shared" si="134"/>
        <v>0</v>
      </c>
      <c r="BL52" s="887">
        <f>SUM(AZ52:BK52)</f>
        <v>0</v>
      </c>
      <c r="BM52" s="1005"/>
      <c r="BN52" s="1003"/>
      <c r="BO52" s="1003"/>
      <c r="BP52" s="1003"/>
      <c r="BQ52" s="1003"/>
      <c r="BR52" s="1003"/>
      <c r="BS52" s="1003"/>
      <c r="BT52" s="1003"/>
      <c r="BU52" s="1003"/>
      <c r="BV52" s="1003"/>
      <c r="BW52" s="1003"/>
      <c r="BX52" s="1003"/>
      <c r="BY52" s="986">
        <f>SUM(BM52:BX52)</f>
        <v>0</v>
      </c>
      <c r="BZ52" s="886">
        <f t="shared" ref="BZ52:CK67" si="135">BM52*$I52</f>
        <v>0</v>
      </c>
      <c r="CA52" s="257">
        <f t="shared" si="135"/>
        <v>0</v>
      </c>
      <c r="CB52" s="257">
        <f t="shared" si="135"/>
        <v>0</v>
      </c>
      <c r="CC52" s="257">
        <f t="shared" si="135"/>
        <v>0</v>
      </c>
      <c r="CD52" s="257">
        <f t="shared" si="135"/>
        <v>0</v>
      </c>
      <c r="CE52" s="257">
        <f t="shared" si="135"/>
        <v>0</v>
      </c>
      <c r="CF52" s="257">
        <f t="shared" si="135"/>
        <v>0</v>
      </c>
      <c r="CG52" s="257">
        <f t="shared" si="135"/>
        <v>0</v>
      </c>
      <c r="CH52" s="257">
        <f t="shared" si="135"/>
        <v>0</v>
      </c>
      <c r="CI52" s="257">
        <f t="shared" si="135"/>
        <v>0</v>
      </c>
      <c r="CJ52" s="257">
        <f t="shared" si="135"/>
        <v>0</v>
      </c>
      <c r="CK52" s="257">
        <f t="shared" si="135"/>
        <v>0</v>
      </c>
      <c r="CL52" s="887">
        <f>SUM(BZ52:CK52)</f>
        <v>0</v>
      </c>
      <c r="CM52" s="1005"/>
      <c r="CN52" s="1003"/>
      <c r="CO52" s="1003"/>
      <c r="CP52" s="1003"/>
      <c r="CQ52" s="1003"/>
      <c r="CR52" s="1003"/>
      <c r="CS52" s="1003"/>
      <c r="CT52" s="1003"/>
      <c r="CU52" s="1003"/>
      <c r="CV52" s="1003"/>
      <c r="CW52" s="1003"/>
      <c r="CX52" s="1003"/>
      <c r="CY52" s="986">
        <f>SUM(CM52:CX52)</f>
        <v>0</v>
      </c>
      <c r="CZ52" s="886">
        <f t="shared" ref="CZ52:DK67" si="136">CM52*$J52</f>
        <v>0</v>
      </c>
      <c r="DA52" s="257">
        <f t="shared" si="136"/>
        <v>0</v>
      </c>
      <c r="DB52" s="257">
        <f t="shared" si="136"/>
        <v>0</v>
      </c>
      <c r="DC52" s="257">
        <f t="shared" si="136"/>
        <v>0</v>
      </c>
      <c r="DD52" s="257">
        <f t="shared" si="136"/>
        <v>0</v>
      </c>
      <c r="DE52" s="257">
        <f t="shared" si="136"/>
        <v>0</v>
      </c>
      <c r="DF52" s="257">
        <f t="shared" si="136"/>
        <v>0</v>
      </c>
      <c r="DG52" s="257">
        <f t="shared" si="136"/>
        <v>0</v>
      </c>
      <c r="DH52" s="257">
        <f t="shared" si="136"/>
        <v>0</v>
      </c>
      <c r="DI52" s="257">
        <f t="shared" si="136"/>
        <v>0</v>
      </c>
      <c r="DJ52" s="257">
        <f t="shared" si="136"/>
        <v>0</v>
      </c>
      <c r="DK52" s="257">
        <f t="shared" si="136"/>
        <v>0</v>
      </c>
      <c r="DL52" s="887">
        <f>SUM(CZ52:DK52)</f>
        <v>0</v>
      </c>
      <c r="DM52" s="1005"/>
      <c r="DN52" s="1003"/>
      <c r="DO52" s="1003"/>
      <c r="DP52" s="1003"/>
      <c r="DQ52" s="1003"/>
      <c r="DR52" s="1003"/>
      <c r="DS52" s="1003"/>
      <c r="DT52" s="1003"/>
      <c r="DU52" s="1003"/>
      <c r="DV52" s="1003"/>
      <c r="DW52" s="1003"/>
      <c r="DX52" s="1003"/>
      <c r="DY52" s="986">
        <f>SUM(DM52:DX52)</f>
        <v>0</v>
      </c>
      <c r="DZ52" s="886">
        <f t="shared" ref="DZ52:EK67" si="137">DM52*$K52</f>
        <v>0</v>
      </c>
      <c r="EA52" s="257">
        <f t="shared" si="137"/>
        <v>0</v>
      </c>
      <c r="EB52" s="257">
        <f t="shared" si="137"/>
        <v>0</v>
      </c>
      <c r="EC52" s="257">
        <f t="shared" si="137"/>
        <v>0</v>
      </c>
      <c r="ED52" s="257">
        <f t="shared" si="137"/>
        <v>0</v>
      </c>
      <c r="EE52" s="257">
        <f t="shared" si="137"/>
        <v>0</v>
      </c>
      <c r="EF52" s="257">
        <f t="shared" si="137"/>
        <v>0</v>
      </c>
      <c r="EG52" s="257">
        <f t="shared" si="137"/>
        <v>0</v>
      </c>
      <c r="EH52" s="257">
        <f t="shared" si="137"/>
        <v>0</v>
      </c>
      <c r="EI52" s="257">
        <f t="shared" si="137"/>
        <v>0</v>
      </c>
      <c r="EJ52" s="257">
        <f t="shared" si="137"/>
        <v>0</v>
      </c>
      <c r="EK52" s="257">
        <f t="shared" si="137"/>
        <v>0</v>
      </c>
      <c r="EL52" s="887">
        <f>SUM(DZ52:EK52)</f>
        <v>0</v>
      </c>
    </row>
    <row r="53" spans="1:142">
      <c r="A53" s="973" t="s">
        <v>680</v>
      </c>
      <c r="B53" s="905" t="s">
        <v>694</v>
      </c>
      <c r="C53" s="1004" t="s">
        <v>695</v>
      </c>
      <c r="D53" s="558"/>
      <c r="E53" s="559">
        <v>2.409239031523108</v>
      </c>
      <c r="F53" s="559">
        <v>2.4208646829219482</v>
      </c>
      <c r="G53" s="559">
        <v>2.4</v>
      </c>
      <c r="H53" s="559">
        <v>2.4</v>
      </c>
      <c r="I53" s="559">
        <v>2.4</v>
      </c>
      <c r="J53" s="559">
        <v>2.4</v>
      </c>
      <c r="K53" s="982">
        <v>2.4</v>
      </c>
      <c r="L53" s="983"/>
      <c r="M53" s="563">
        <v>0</v>
      </c>
      <c r="N53" s="561">
        <v>0</v>
      </c>
      <c r="O53" s="561">
        <v>0</v>
      </c>
      <c r="P53" s="561">
        <v>6680</v>
      </c>
      <c r="Q53" s="561">
        <v>3840</v>
      </c>
      <c r="R53" s="561">
        <v>3880</v>
      </c>
      <c r="S53" s="561">
        <v>1920</v>
      </c>
      <c r="T53" s="561"/>
      <c r="U53" s="539"/>
      <c r="V53" s="539"/>
      <c r="W53" s="539"/>
      <c r="X53" s="539"/>
      <c r="Y53" s="885">
        <f>SUM(M53:X53)</f>
        <v>16320</v>
      </c>
      <c r="Z53" s="257">
        <v>0</v>
      </c>
      <c r="AA53" s="257">
        <v>0</v>
      </c>
      <c r="AB53" s="257">
        <v>0</v>
      </c>
      <c r="AC53" s="257">
        <f>P53*2.4</f>
        <v>16032</v>
      </c>
      <c r="AD53" s="257">
        <v>9216</v>
      </c>
      <c r="AE53" s="257">
        <v>9350.5</v>
      </c>
      <c r="AF53" s="257">
        <f t="shared" si="117"/>
        <v>4648.0601912101411</v>
      </c>
      <c r="AG53" s="257">
        <f t="shared" si="117"/>
        <v>0</v>
      </c>
      <c r="AH53" s="257">
        <f t="shared" si="117"/>
        <v>0</v>
      </c>
      <c r="AI53" s="257">
        <f t="shared" si="61"/>
        <v>0</v>
      </c>
      <c r="AJ53" s="257">
        <f t="shared" si="61"/>
        <v>0</v>
      </c>
      <c r="AK53" s="257">
        <f t="shared" si="61"/>
        <v>0</v>
      </c>
      <c r="AL53" s="887">
        <f t="shared" si="62"/>
        <v>39246.560191210141</v>
      </c>
      <c r="AM53" s="1005"/>
      <c r="AN53" s="1003"/>
      <c r="AO53" s="1003"/>
      <c r="AP53" s="1003"/>
      <c r="AQ53" s="1003"/>
      <c r="AR53" s="1003"/>
      <c r="AS53" s="1003"/>
      <c r="AT53" s="1003"/>
      <c r="AU53" s="1003"/>
      <c r="AV53" s="1003"/>
      <c r="AW53" s="1003"/>
      <c r="AX53" s="1003"/>
      <c r="AY53" s="986">
        <f>SUM(AM53:AX53)</f>
        <v>0</v>
      </c>
      <c r="AZ53" s="886">
        <f t="shared" si="134"/>
        <v>0</v>
      </c>
      <c r="BA53" s="257">
        <f t="shared" si="134"/>
        <v>0</v>
      </c>
      <c r="BB53" s="257">
        <f t="shared" si="134"/>
        <v>0</v>
      </c>
      <c r="BC53" s="257">
        <f t="shared" si="134"/>
        <v>0</v>
      </c>
      <c r="BD53" s="257">
        <f t="shared" si="134"/>
        <v>0</v>
      </c>
      <c r="BE53" s="257">
        <f t="shared" si="134"/>
        <v>0</v>
      </c>
      <c r="BF53" s="257">
        <f t="shared" si="134"/>
        <v>0</v>
      </c>
      <c r="BG53" s="257">
        <f t="shared" si="134"/>
        <v>0</v>
      </c>
      <c r="BH53" s="257">
        <f t="shared" si="134"/>
        <v>0</v>
      </c>
      <c r="BI53" s="257">
        <f t="shared" si="134"/>
        <v>0</v>
      </c>
      <c r="BJ53" s="257">
        <f t="shared" si="134"/>
        <v>0</v>
      </c>
      <c r="BK53" s="257">
        <f t="shared" si="134"/>
        <v>0</v>
      </c>
      <c r="BL53" s="887">
        <f>SUM(AZ53:BK53)</f>
        <v>0</v>
      </c>
      <c r="BM53" s="1005"/>
      <c r="BN53" s="1003"/>
      <c r="BO53" s="1003"/>
      <c r="BP53" s="1003"/>
      <c r="BQ53" s="1003"/>
      <c r="BR53" s="1003"/>
      <c r="BS53" s="1003"/>
      <c r="BT53" s="1003"/>
      <c r="BU53" s="1003"/>
      <c r="BV53" s="1003"/>
      <c r="BW53" s="1003"/>
      <c r="BX53" s="1003"/>
      <c r="BY53" s="986">
        <f>SUM(BM53:BX53)</f>
        <v>0</v>
      </c>
      <c r="BZ53" s="886">
        <f t="shared" si="135"/>
        <v>0</v>
      </c>
      <c r="CA53" s="257">
        <f t="shared" si="135"/>
        <v>0</v>
      </c>
      <c r="CB53" s="257">
        <f t="shared" si="135"/>
        <v>0</v>
      </c>
      <c r="CC53" s="257">
        <f t="shared" si="135"/>
        <v>0</v>
      </c>
      <c r="CD53" s="257">
        <f t="shared" si="135"/>
        <v>0</v>
      </c>
      <c r="CE53" s="257">
        <f t="shared" si="135"/>
        <v>0</v>
      </c>
      <c r="CF53" s="257">
        <f t="shared" si="135"/>
        <v>0</v>
      </c>
      <c r="CG53" s="257">
        <f t="shared" si="135"/>
        <v>0</v>
      </c>
      <c r="CH53" s="257">
        <f t="shared" si="135"/>
        <v>0</v>
      </c>
      <c r="CI53" s="257">
        <f t="shared" si="135"/>
        <v>0</v>
      </c>
      <c r="CJ53" s="257">
        <f t="shared" si="135"/>
        <v>0</v>
      </c>
      <c r="CK53" s="257">
        <f t="shared" si="135"/>
        <v>0</v>
      </c>
      <c r="CL53" s="887">
        <f>SUM(BZ53:CK53)</f>
        <v>0</v>
      </c>
      <c r="CM53" s="1005"/>
      <c r="CN53" s="1003"/>
      <c r="CO53" s="1003"/>
      <c r="CP53" s="1003"/>
      <c r="CQ53" s="1003"/>
      <c r="CR53" s="1003"/>
      <c r="CS53" s="1003"/>
      <c r="CT53" s="1003"/>
      <c r="CU53" s="1003"/>
      <c r="CV53" s="1003"/>
      <c r="CW53" s="1003"/>
      <c r="CX53" s="1003"/>
      <c r="CY53" s="986">
        <f>SUM(CM53:CX53)</f>
        <v>0</v>
      </c>
      <c r="CZ53" s="886">
        <f t="shared" si="136"/>
        <v>0</v>
      </c>
      <c r="DA53" s="257">
        <f t="shared" si="136"/>
        <v>0</v>
      </c>
      <c r="DB53" s="257">
        <f t="shared" si="136"/>
        <v>0</v>
      </c>
      <c r="DC53" s="257">
        <f t="shared" si="136"/>
        <v>0</v>
      </c>
      <c r="DD53" s="257">
        <f t="shared" si="136"/>
        <v>0</v>
      </c>
      <c r="DE53" s="257">
        <f t="shared" si="136"/>
        <v>0</v>
      </c>
      <c r="DF53" s="257">
        <f t="shared" si="136"/>
        <v>0</v>
      </c>
      <c r="DG53" s="257">
        <f t="shared" si="136"/>
        <v>0</v>
      </c>
      <c r="DH53" s="257">
        <f t="shared" si="136"/>
        <v>0</v>
      </c>
      <c r="DI53" s="257">
        <f t="shared" si="136"/>
        <v>0</v>
      </c>
      <c r="DJ53" s="257">
        <f t="shared" si="136"/>
        <v>0</v>
      </c>
      <c r="DK53" s="257">
        <f t="shared" si="136"/>
        <v>0</v>
      </c>
      <c r="DL53" s="887">
        <f>SUM(CZ53:DK53)</f>
        <v>0</v>
      </c>
      <c r="DM53" s="1005"/>
      <c r="DN53" s="1003"/>
      <c r="DO53" s="1003"/>
      <c r="DP53" s="1003"/>
      <c r="DQ53" s="1003"/>
      <c r="DR53" s="1003"/>
      <c r="DS53" s="1003"/>
      <c r="DT53" s="1003"/>
      <c r="DU53" s="1003"/>
      <c r="DV53" s="1003"/>
      <c r="DW53" s="1003"/>
      <c r="DX53" s="1003"/>
      <c r="DY53" s="986">
        <f>SUM(DM53:DX53)</f>
        <v>0</v>
      </c>
      <c r="DZ53" s="886">
        <f t="shared" si="137"/>
        <v>0</v>
      </c>
      <c r="EA53" s="257">
        <f t="shared" si="137"/>
        <v>0</v>
      </c>
      <c r="EB53" s="257">
        <f t="shared" si="137"/>
        <v>0</v>
      </c>
      <c r="EC53" s="257">
        <f t="shared" si="137"/>
        <v>0</v>
      </c>
      <c r="ED53" s="257">
        <f t="shared" si="137"/>
        <v>0</v>
      </c>
      <c r="EE53" s="257">
        <f t="shared" si="137"/>
        <v>0</v>
      </c>
      <c r="EF53" s="257">
        <f t="shared" si="137"/>
        <v>0</v>
      </c>
      <c r="EG53" s="257">
        <f t="shared" si="137"/>
        <v>0</v>
      </c>
      <c r="EH53" s="257">
        <f t="shared" si="137"/>
        <v>0</v>
      </c>
      <c r="EI53" s="257">
        <f t="shared" si="137"/>
        <v>0</v>
      </c>
      <c r="EJ53" s="257">
        <f t="shared" si="137"/>
        <v>0</v>
      </c>
      <c r="EK53" s="257">
        <f t="shared" si="137"/>
        <v>0</v>
      </c>
      <c r="EL53" s="887">
        <f>SUM(DZ53:EK53)</f>
        <v>0</v>
      </c>
    </row>
    <row r="54" spans="1:142">
      <c r="A54" s="973" t="s">
        <v>680</v>
      </c>
      <c r="B54" s="905" t="s">
        <v>696</v>
      </c>
      <c r="C54" s="1004" t="s">
        <v>697</v>
      </c>
      <c r="D54" s="558">
        <v>4.29</v>
      </c>
      <c r="E54" s="559">
        <v>4.21</v>
      </c>
      <c r="F54" s="559">
        <v>4.0632422983255498</v>
      </c>
      <c r="G54" s="560">
        <v>4.21</v>
      </c>
      <c r="H54" s="558">
        <f t="shared" si="73"/>
        <v>4.21</v>
      </c>
      <c r="I54" s="559">
        <f t="shared" si="73"/>
        <v>4.21</v>
      </c>
      <c r="J54" s="559">
        <f t="shared" si="73"/>
        <v>4.21</v>
      </c>
      <c r="K54" s="982">
        <f t="shared" si="73"/>
        <v>4.21</v>
      </c>
      <c r="L54" s="983"/>
      <c r="M54" s="563">
        <v>5005</v>
      </c>
      <c r="N54" s="561">
        <v>1405</v>
      </c>
      <c r="O54" s="561"/>
      <c r="P54" s="561"/>
      <c r="Q54" s="561">
        <v>1860</v>
      </c>
      <c r="R54" s="561">
        <v>0</v>
      </c>
      <c r="S54" s="561">
        <v>0</v>
      </c>
      <c r="T54" s="561">
        <v>0</v>
      </c>
      <c r="U54" s="561">
        <v>0</v>
      </c>
      <c r="V54" s="561">
        <v>0</v>
      </c>
      <c r="W54" s="561">
        <v>0</v>
      </c>
      <c r="X54" s="561">
        <v>0</v>
      </c>
      <c r="Y54" s="885">
        <f t="shared" si="58"/>
        <v>8270</v>
      </c>
      <c r="Z54" s="886">
        <v>21471.45</v>
      </c>
      <c r="AA54" s="257">
        <v>6429.98</v>
      </c>
      <c r="AB54" s="257">
        <v>0</v>
      </c>
      <c r="AC54" s="257">
        <f t="shared" si="122"/>
        <v>0</v>
      </c>
      <c r="AD54" s="257">
        <v>7588.8</v>
      </c>
      <c r="AE54" s="257">
        <v>0</v>
      </c>
      <c r="AF54" s="257">
        <f t="shared" si="117"/>
        <v>0</v>
      </c>
      <c r="AG54" s="257">
        <f t="shared" si="117"/>
        <v>0</v>
      </c>
      <c r="AH54" s="257">
        <f t="shared" si="117"/>
        <v>0</v>
      </c>
      <c r="AI54" s="257">
        <f t="shared" si="61"/>
        <v>0</v>
      </c>
      <c r="AJ54" s="257">
        <f t="shared" si="61"/>
        <v>0</v>
      </c>
      <c r="AK54" s="257">
        <f t="shared" si="61"/>
        <v>0</v>
      </c>
      <c r="AL54" s="887">
        <f t="shared" si="62"/>
        <v>35490.230000000003</v>
      </c>
      <c r="AM54" s="1005"/>
      <c r="AN54" s="1003"/>
      <c r="AO54" s="1003"/>
      <c r="AP54" s="1003"/>
      <c r="AQ54" s="1003"/>
      <c r="AR54" s="1003"/>
      <c r="AS54" s="1003"/>
      <c r="AT54" s="1003"/>
      <c r="AU54" s="1003"/>
      <c r="AV54" s="1003"/>
      <c r="AW54" s="1003"/>
      <c r="AX54" s="1003"/>
      <c r="AY54" s="986">
        <f t="shared" si="64"/>
        <v>0</v>
      </c>
      <c r="AZ54" s="886">
        <f t="shared" ref="AZ54:BB59" si="138">AM54*$H54</f>
        <v>0</v>
      </c>
      <c r="BA54" s="257">
        <f t="shared" si="138"/>
        <v>0</v>
      </c>
      <c r="BB54" s="257">
        <f t="shared" si="138"/>
        <v>0</v>
      </c>
      <c r="BC54" s="257">
        <f t="shared" si="134"/>
        <v>0</v>
      </c>
      <c r="BD54" s="257">
        <f t="shared" si="134"/>
        <v>0</v>
      </c>
      <c r="BE54" s="257">
        <f t="shared" si="134"/>
        <v>0</v>
      </c>
      <c r="BF54" s="257">
        <f t="shared" si="134"/>
        <v>0</v>
      </c>
      <c r="BG54" s="257">
        <f t="shared" si="134"/>
        <v>0</v>
      </c>
      <c r="BH54" s="257">
        <f t="shared" si="134"/>
        <v>0</v>
      </c>
      <c r="BI54" s="257">
        <f t="shared" si="134"/>
        <v>0</v>
      </c>
      <c r="BJ54" s="257">
        <f t="shared" si="134"/>
        <v>0</v>
      </c>
      <c r="BK54" s="257">
        <f t="shared" si="134"/>
        <v>0</v>
      </c>
      <c r="BL54" s="887">
        <f t="shared" si="47"/>
        <v>0</v>
      </c>
      <c r="BM54" s="1005"/>
      <c r="BN54" s="1003"/>
      <c r="BO54" s="1003"/>
      <c r="BP54" s="1003"/>
      <c r="BQ54" s="1003"/>
      <c r="BR54" s="1003"/>
      <c r="BS54" s="1003"/>
      <c r="BT54" s="1003"/>
      <c r="BU54" s="1003"/>
      <c r="BV54" s="1003"/>
      <c r="BW54" s="1003"/>
      <c r="BX54" s="1003"/>
      <c r="BY54" s="986">
        <f t="shared" si="66"/>
        <v>0</v>
      </c>
      <c r="BZ54" s="886">
        <f t="shared" ref="BZ54:CB59" si="139">BM54*$I54</f>
        <v>0</v>
      </c>
      <c r="CA54" s="257">
        <f t="shared" si="139"/>
        <v>0</v>
      </c>
      <c r="CB54" s="257">
        <f t="shared" si="139"/>
        <v>0</v>
      </c>
      <c r="CC54" s="257">
        <f t="shared" si="135"/>
        <v>0</v>
      </c>
      <c r="CD54" s="257">
        <f t="shared" si="135"/>
        <v>0</v>
      </c>
      <c r="CE54" s="257">
        <f t="shared" si="135"/>
        <v>0</v>
      </c>
      <c r="CF54" s="257">
        <f t="shared" si="135"/>
        <v>0</v>
      </c>
      <c r="CG54" s="257">
        <f t="shared" si="135"/>
        <v>0</v>
      </c>
      <c r="CH54" s="257">
        <f t="shared" si="135"/>
        <v>0</v>
      </c>
      <c r="CI54" s="257">
        <f t="shared" si="135"/>
        <v>0</v>
      </c>
      <c r="CJ54" s="257">
        <f t="shared" si="135"/>
        <v>0</v>
      </c>
      <c r="CK54" s="257">
        <f t="shared" si="135"/>
        <v>0</v>
      </c>
      <c r="CL54" s="887">
        <f t="shared" si="68"/>
        <v>0</v>
      </c>
      <c r="CM54" s="1005"/>
      <c r="CN54" s="1003"/>
      <c r="CO54" s="1003"/>
      <c r="CP54" s="1003"/>
      <c r="CQ54" s="1003"/>
      <c r="CR54" s="1003"/>
      <c r="CS54" s="1003"/>
      <c r="CT54" s="1003"/>
      <c r="CU54" s="1003"/>
      <c r="CV54" s="1003"/>
      <c r="CW54" s="1003"/>
      <c r="CX54" s="1003"/>
      <c r="CY54" s="986">
        <f t="shared" si="69"/>
        <v>0</v>
      </c>
      <c r="CZ54" s="886">
        <f t="shared" ref="CZ54" si="140">CM54*$J54</f>
        <v>0</v>
      </c>
      <c r="DA54" s="257">
        <f t="shared" si="136"/>
        <v>0</v>
      </c>
      <c r="DB54" s="257">
        <f t="shared" si="136"/>
        <v>0</v>
      </c>
      <c r="DC54" s="257">
        <f t="shared" si="136"/>
        <v>0</v>
      </c>
      <c r="DD54" s="257">
        <f t="shared" si="136"/>
        <v>0</v>
      </c>
      <c r="DE54" s="257">
        <f t="shared" si="136"/>
        <v>0</v>
      </c>
      <c r="DF54" s="257">
        <f t="shared" si="136"/>
        <v>0</v>
      </c>
      <c r="DG54" s="257">
        <f t="shared" si="136"/>
        <v>0</v>
      </c>
      <c r="DH54" s="257">
        <f t="shared" si="136"/>
        <v>0</v>
      </c>
      <c r="DI54" s="257">
        <f t="shared" si="136"/>
        <v>0</v>
      </c>
      <c r="DJ54" s="257">
        <f t="shared" si="136"/>
        <v>0</v>
      </c>
      <c r="DK54" s="257">
        <f t="shared" si="136"/>
        <v>0</v>
      </c>
      <c r="DL54" s="887">
        <f t="shared" si="50"/>
        <v>0</v>
      </c>
      <c r="DM54" s="1005"/>
      <c r="DN54" s="1003"/>
      <c r="DO54" s="1003"/>
      <c r="DP54" s="1003"/>
      <c r="DQ54" s="1003"/>
      <c r="DR54" s="1003"/>
      <c r="DS54" s="1003"/>
      <c r="DT54" s="1003"/>
      <c r="DU54" s="1003"/>
      <c r="DV54" s="1003"/>
      <c r="DW54" s="1003"/>
      <c r="DX54" s="1003"/>
      <c r="DY54" s="986">
        <f t="shared" si="71"/>
        <v>0</v>
      </c>
      <c r="DZ54" s="886">
        <f t="shared" ref="DZ54" si="141">DM54*$K54</f>
        <v>0</v>
      </c>
      <c r="EA54" s="257">
        <f t="shared" si="137"/>
        <v>0</v>
      </c>
      <c r="EB54" s="257">
        <f t="shared" si="137"/>
        <v>0</v>
      </c>
      <c r="EC54" s="257">
        <f t="shared" si="137"/>
        <v>0</v>
      </c>
      <c r="ED54" s="257">
        <f t="shared" si="137"/>
        <v>0</v>
      </c>
      <c r="EE54" s="257">
        <f t="shared" si="137"/>
        <v>0</v>
      </c>
      <c r="EF54" s="257">
        <f t="shared" si="137"/>
        <v>0</v>
      </c>
      <c r="EG54" s="257">
        <f t="shared" si="137"/>
        <v>0</v>
      </c>
      <c r="EH54" s="257">
        <f t="shared" si="137"/>
        <v>0</v>
      </c>
      <c r="EI54" s="257">
        <f t="shared" si="137"/>
        <v>0</v>
      </c>
      <c r="EJ54" s="257">
        <f t="shared" si="137"/>
        <v>0</v>
      </c>
      <c r="EK54" s="257">
        <f t="shared" si="137"/>
        <v>0</v>
      </c>
      <c r="EL54" s="887">
        <f t="shared" si="52"/>
        <v>0</v>
      </c>
    </row>
    <row r="55" spans="1:142">
      <c r="A55" s="987" t="s">
        <v>680</v>
      </c>
      <c r="B55" s="913" t="s">
        <v>698</v>
      </c>
      <c r="C55" s="1007"/>
      <c r="D55" s="989"/>
      <c r="E55" s="990"/>
      <c r="F55" s="990"/>
      <c r="G55" s="991"/>
      <c r="H55" s="989">
        <f>4.5</f>
        <v>4.5</v>
      </c>
      <c r="I55" s="990">
        <f t="shared" si="73"/>
        <v>4.5</v>
      </c>
      <c r="J55" s="990">
        <f t="shared" si="73"/>
        <v>4.5</v>
      </c>
      <c r="K55" s="992">
        <f t="shared" si="73"/>
        <v>4.5</v>
      </c>
      <c r="L55" s="1021"/>
      <c r="M55" s="1012"/>
      <c r="N55" s="1013"/>
      <c r="O55" s="1013"/>
      <c r="P55" s="1013"/>
      <c r="Q55" s="1013"/>
      <c r="R55" s="1013"/>
      <c r="S55" s="1013"/>
      <c r="T55" s="1013"/>
      <c r="U55" s="1022"/>
      <c r="V55" s="1022"/>
      <c r="W55" s="1022"/>
      <c r="X55" s="1022"/>
      <c r="Y55" s="1014">
        <f t="shared" si="58"/>
        <v>0</v>
      </c>
      <c r="Z55" s="1000"/>
      <c r="AA55" s="1001"/>
      <c r="AB55" s="1001">
        <v>0</v>
      </c>
      <c r="AC55" s="1001">
        <f t="shared" si="122"/>
        <v>0</v>
      </c>
      <c r="AD55" s="257">
        <f t="shared" si="122"/>
        <v>0</v>
      </c>
      <c r="AE55" s="1001">
        <f t="shared" si="122"/>
        <v>0</v>
      </c>
      <c r="AF55" s="1001">
        <f t="shared" si="117"/>
        <v>0</v>
      </c>
      <c r="AG55" s="1001">
        <f t="shared" si="117"/>
        <v>0</v>
      </c>
      <c r="AH55" s="1001">
        <f t="shared" si="117"/>
        <v>0</v>
      </c>
      <c r="AI55" s="1001">
        <f t="shared" si="61"/>
        <v>0</v>
      </c>
      <c r="AJ55" s="1001">
        <f t="shared" si="61"/>
        <v>0</v>
      </c>
      <c r="AK55" s="1001">
        <f t="shared" si="61"/>
        <v>0</v>
      </c>
      <c r="AL55" s="1002">
        <f t="shared" si="62"/>
        <v>0</v>
      </c>
      <c r="AM55" s="1015"/>
      <c r="AN55" s="1016"/>
      <c r="AO55" s="1016"/>
      <c r="AP55" s="1016"/>
      <c r="AQ55" s="1016"/>
      <c r="AR55" s="1016"/>
      <c r="AS55" s="1016">
        <v>3000</v>
      </c>
      <c r="AT55" s="1016">
        <v>5000</v>
      </c>
      <c r="AU55" s="1016">
        <v>10000</v>
      </c>
      <c r="AV55" s="1016">
        <v>10000</v>
      </c>
      <c r="AW55" s="1016">
        <v>10000</v>
      </c>
      <c r="AX55" s="1016">
        <v>10000</v>
      </c>
      <c r="AY55" s="999">
        <f t="shared" si="64"/>
        <v>48000</v>
      </c>
      <c r="AZ55" s="1000">
        <f t="shared" si="138"/>
        <v>0</v>
      </c>
      <c r="BA55" s="1001">
        <f t="shared" si="138"/>
        <v>0</v>
      </c>
      <c r="BB55" s="1001">
        <f t="shared" si="138"/>
        <v>0</v>
      </c>
      <c r="BC55" s="1001">
        <f t="shared" si="134"/>
        <v>0</v>
      </c>
      <c r="BD55" s="1001">
        <f t="shared" si="134"/>
        <v>0</v>
      </c>
      <c r="BE55" s="1001">
        <f t="shared" si="134"/>
        <v>0</v>
      </c>
      <c r="BF55" s="1001">
        <f t="shared" si="134"/>
        <v>13500</v>
      </c>
      <c r="BG55" s="1001">
        <f t="shared" si="134"/>
        <v>22500</v>
      </c>
      <c r="BH55" s="1001">
        <f t="shared" si="134"/>
        <v>45000</v>
      </c>
      <c r="BI55" s="1001">
        <f t="shared" si="134"/>
        <v>45000</v>
      </c>
      <c r="BJ55" s="1001">
        <f t="shared" si="134"/>
        <v>45000</v>
      </c>
      <c r="BK55" s="1001">
        <f t="shared" si="134"/>
        <v>45000</v>
      </c>
      <c r="BL55" s="1002">
        <f t="shared" si="47"/>
        <v>216000</v>
      </c>
      <c r="BM55" s="1015">
        <f>200000/12</f>
        <v>16666.666666666668</v>
      </c>
      <c r="BN55" s="1015">
        <f t="shared" ref="BN55:BX56" si="142">200000/12</f>
        <v>16666.666666666668</v>
      </c>
      <c r="BO55" s="1015">
        <f t="shared" si="142"/>
        <v>16666.666666666668</v>
      </c>
      <c r="BP55" s="1015">
        <f t="shared" si="142"/>
        <v>16666.666666666668</v>
      </c>
      <c r="BQ55" s="1015">
        <f t="shared" si="142"/>
        <v>16666.666666666668</v>
      </c>
      <c r="BR55" s="1015">
        <f t="shared" si="142"/>
        <v>16666.666666666668</v>
      </c>
      <c r="BS55" s="1015">
        <f t="shared" si="142"/>
        <v>16666.666666666668</v>
      </c>
      <c r="BT55" s="1015">
        <f t="shared" si="142"/>
        <v>16666.666666666668</v>
      </c>
      <c r="BU55" s="1015">
        <f t="shared" si="142"/>
        <v>16666.666666666668</v>
      </c>
      <c r="BV55" s="1015">
        <f t="shared" si="142"/>
        <v>16666.666666666668</v>
      </c>
      <c r="BW55" s="1015">
        <f t="shared" si="142"/>
        <v>16666.666666666668</v>
      </c>
      <c r="BX55" s="1015">
        <f t="shared" si="142"/>
        <v>16666.666666666668</v>
      </c>
      <c r="BY55" s="999">
        <f t="shared" si="66"/>
        <v>199999.99999999997</v>
      </c>
      <c r="BZ55" s="1000">
        <f t="shared" si="139"/>
        <v>75000</v>
      </c>
      <c r="CA55" s="1001">
        <f t="shared" si="139"/>
        <v>75000</v>
      </c>
      <c r="CB55" s="1001">
        <f t="shared" si="139"/>
        <v>75000</v>
      </c>
      <c r="CC55" s="1001">
        <f t="shared" si="135"/>
        <v>75000</v>
      </c>
      <c r="CD55" s="1001">
        <f t="shared" si="135"/>
        <v>75000</v>
      </c>
      <c r="CE55" s="1001">
        <f t="shared" si="135"/>
        <v>75000</v>
      </c>
      <c r="CF55" s="1001">
        <f t="shared" si="135"/>
        <v>75000</v>
      </c>
      <c r="CG55" s="1001">
        <f t="shared" si="135"/>
        <v>75000</v>
      </c>
      <c r="CH55" s="1001">
        <f t="shared" si="135"/>
        <v>75000</v>
      </c>
      <c r="CI55" s="1001">
        <f t="shared" si="135"/>
        <v>75000</v>
      </c>
      <c r="CJ55" s="1001">
        <f t="shared" si="135"/>
        <v>75000</v>
      </c>
      <c r="CK55" s="1001">
        <f t="shared" si="135"/>
        <v>75000</v>
      </c>
      <c r="CL55" s="1002">
        <f t="shared" si="68"/>
        <v>900000</v>
      </c>
      <c r="CM55" s="1015">
        <f>200000/12</f>
        <v>16666.666666666668</v>
      </c>
      <c r="CN55" s="1015">
        <f t="shared" ref="CN55:CX56" si="143">200000/12</f>
        <v>16666.666666666668</v>
      </c>
      <c r="CO55" s="1015">
        <f t="shared" si="143"/>
        <v>16666.666666666668</v>
      </c>
      <c r="CP55" s="1015">
        <f t="shared" si="143"/>
        <v>16666.666666666668</v>
      </c>
      <c r="CQ55" s="1015">
        <f t="shared" si="143"/>
        <v>16666.666666666668</v>
      </c>
      <c r="CR55" s="1015">
        <f t="shared" si="143"/>
        <v>16666.666666666668</v>
      </c>
      <c r="CS55" s="1015">
        <f t="shared" si="143"/>
        <v>16666.666666666668</v>
      </c>
      <c r="CT55" s="1015">
        <f t="shared" si="143"/>
        <v>16666.666666666668</v>
      </c>
      <c r="CU55" s="1015">
        <f t="shared" si="143"/>
        <v>16666.666666666668</v>
      </c>
      <c r="CV55" s="1015">
        <f t="shared" si="143"/>
        <v>16666.666666666668</v>
      </c>
      <c r="CW55" s="1015">
        <f t="shared" si="143"/>
        <v>16666.666666666668</v>
      </c>
      <c r="CX55" s="1015">
        <f t="shared" si="143"/>
        <v>16666.666666666668</v>
      </c>
      <c r="CY55" s="999">
        <f t="shared" si="69"/>
        <v>199999.99999999997</v>
      </c>
      <c r="CZ55" s="1000">
        <f t="shared" si="136"/>
        <v>75000</v>
      </c>
      <c r="DA55" s="1001">
        <f t="shared" si="136"/>
        <v>75000</v>
      </c>
      <c r="DB55" s="1001">
        <f t="shared" si="136"/>
        <v>75000</v>
      </c>
      <c r="DC55" s="1001">
        <f t="shared" si="136"/>
        <v>75000</v>
      </c>
      <c r="DD55" s="1001">
        <f t="shared" si="136"/>
        <v>75000</v>
      </c>
      <c r="DE55" s="1001">
        <f t="shared" si="136"/>
        <v>75000</v>
      </c>
      <c r="DF55" s="1001">
        <f t="shared" si="136"/>
        <v>75000</v>
      </c>
      <c r="DG55" s="1001">
        <f t="shared" si="136"/>
        <v>75000</v>
      </c>
      <c r="DH55" s="1001">
        <f t="shared" si="136"/>
        <v>75000</v>
      </c>
      <c r="DI55" s="1001">
        <f t="shared" si="136"/>
        <v>75000</v>
      </c>
      <c r="DJ55" s="1001">
        <f t="shared" si="136"/>
        <v>75000</v>
      </c>
      <c r="DK55" s="1001">
        <f t="shared" si="136"/>
        <v>75000</v>
      </c>
      <c r="DL55" s="1002">
        <f t="shared" si="50"/>
        <v>900000</v>
      </c>
      <c r="DM55" s="1015">
        <f>250000/12</f>
        <v>20833.333333333332</v>
      </c>
      <c r="DN55" s="1015">
        <f t="shared" ref="DN55:DX56" si="144">250000/12</f>
        <v>20833.333333333332</v>
      </c>
      <c r="DO55" s="1015">
        <f t="shared" si="144"/>
        <v>20833.333333333332</v>
      </c>
      <c r="DP55" s="1015">
        <f t="shared" si="144"/>
        <v>20833.333333333332</v>
      </c>
      <c r="DQ55" s="1015">
        <f t="shared" si="144"/>
        <v>20833.333333333332</v>
      </c>
      <c r="DR55" s="1015">
        <f t="shared" si="144"/>
        <v>20833.333333333332</v>
      </c>
      <c r="DS55" s="1015">
        <f t="shared" si="144"/>
        <v>20833.333333333332</v>
      </c>
      <c r="DT55" s="1015">
        <f t="shared" si="144"/>
        <v>20833.333333333332</v>
      </c>
      <c r="DU55" s="1015">
        <f t="shared" si="144"/>
        <v>20833.333333333332</v>
      </c>
      <c r="DV55" s="1015">
        <f t="shared" si="144"/>
        <v>20833.333333333332</v>
      </c>
      <c r="DW55" s="1015">
        <f t="shared" si="144"/>
        <v>20833.333333333332</v>
      </c>
      <c r="DX55" s="1015">
        <f t="shared" si="144"/>
        <v>20833.333333333332</v>
      </c>
      <c r="DY55" s="999">
        <f t="shared" si="71"/>
        <v>250000.00000000003</v>
      </c>
      <c r="DZ55" s="1000">
        <f t="shared" si="137"/>
        <v>93750</v>
      </c>
      <c r="EA55" s="1001">
        <f t="shared" si="137"/>
        <v>93750</v>
      </c>
      <c r="EB55" s="1001">
        <f t="shared" si="137"/>
        <v>93750</v>
      </c>
      <c r="EC55" s="1001">
        <f t="shared" si="137"/>
        <v>93750</v>
      </c>
      <c r="ED55" s="1001">
        <f t="shared" si="137"/>
        <v>93750</v>
      </c>
      <c r="EE55" s="1001">
        <f t="shared" si="137"/>
        <v>93750</v>
      </c>
      <c r="EF55" s="1001">
        <f t="shared" si="137"/>
        <v>93750</v>
      </c>
      <c r="EG55" s="1001">
        <f t="shared" si="137"/>
        <v>93750</v>
      </c>
      <c r="EH55" s="1001">
        <f t="shared" si="137"/>
        <v>93750</v>
      </c>
      <c r="EI55" s="1001">
        <f t="shared" si="137"/>
        <v>93750</v>
      </c>
      <c r="EJ55" s="1001">
        <f t="shared" si="137"/>
        <v>93750</v>
      </c>
      <c r="EK55" s="1001">
        <f t="shared" si="137"/>
        <v>93750</v>
      </c>
      <c r="EL55" s="1002">
        <f t="shared" si="52"/>
        <v>1125000</v>
      </c>
    </row>
    <row r="56" spans="1:142">
      <c r="A56" s="987" t="s">
        <v>680</v>
      </c>
      <c r="B56" s="913" t="s">
        <v>699</v>
      </c>
      <c r="C56" s="1007"/>
      <c r="D56" s="989"/>
      <c r="E56" s="990"/>
      <c r="F56" s="990"/>
      <c r="G56" s="991"/>
      <c r="H56" s="989">
        <v>1.65</v>
      </c>
      <c r="I56" s="990">
        <f t="shared" si="73"/>
        <v>1.65</v>
      </c>
      <c r="J56" s="990">
        <f t="shared" si="73"/>
        <v>1.65</v>
      </c>
      <c r="K56" s="992">
        <f t="shared" si="73"/>
        <v>1.65</v>
      </c>
      <c r="L56" s="1021"/>
      <c r="M56" s="1012"/>
      <c r="N56" s="1013"/>
      <c r="O56" s="1013"/>
      <c r="P56" s="1013"/>
      <c r="Q56" s="1013"/>
      <c r="R56" s="1013"/>
      <c r="S56" s="1013"/>
      <c r="T56" s="1013"/>
      <c r="U56" s="1022"/>
      <c r="V56" s="1022"/>
      <c r="W56" s="1022"/>
      <c r="X56" s="1022"/>
      <c r="Y56" s="1014">
        <f t="shared" si="58"/>
        <v>0</v>
      </c>
      <c r="Z56" s="1000"/>
      <c r="AA56" s="1001"/>
      <c r="AB56" s="1001">
        <v>0</v>
      </c>
      <c r="AC56" s="1001">
        <f t="shared" si="122"/>
        <v>0</v>
      </c>
      <c r="AD56" s="257">
        <f t="shared" si="122"/>
        <v>0</v>
      </c>
      <c r="AE56" s="1001">
        <f t="shared" si="122"/>
        <v>0</v>
      </c>
      <c r="AF56" s="1001">
        <f t="shared" si="117"/>
        <v>0</v>
      </c>
      <c r="AG56" s="1001">
        <f t="shared" si="117"/>
        <v>0</v>
      </c>
      <c r="AH56" s="1001">
        <f t="shared" si="117"/>
        <v>0</v>
      </c>
      <c r="AI56" s="1001">
        <f t="shared" si="61"/>
        <v>0</v>
      </c>
      <c r="AJ56" s="1001">
        <f t="shared" si="61"/>
        <v>0</v>
      </c>
      <c r="AK56" s="1001">
        <f t="shared" si="61"/>
        <v>0</v>
      </c>
      <c r="AL56" s="1002">
        <f t="shared" si="62"/>
        <v>0</v>
      </c>
      <c r="AM56" s="1015"/>
      <c r="AN56" s="1016"/>
      <c r="AO56" s="1016"/>
      <c r="AP56" s="1016"/>
      <c r="AQ56" s="1016"/>
      <c r="AR56" s="1016"/>
      <c r="AS56" s="1016">
        <v>3000</v>
      </c>
      <c r="AT56" s="1016">
        <v>5000</v>
      </c>
      <c r="AU56" s="1016">
        <v>10000</v>
      </c>
      <c r="AV56" s="1016">
        <v>10000</v>
      </c>
      <c r="AW56" s="1016">
        <v>10000</v>
      </c>
      <c r="AX56" s="1016">
        <v>10000</v>
      </c>
      <c r="AY56" s="999">
        <f t="shared" si="64"/>
        <v>48000</v>
      </c>
      <c r="AZ56" s="1000">
        <f t="shared" si="138"/>
        <v>0</v>
      </c>
      <c r="BA56" s="1001">
        <f t="shared" si="138"/>
        <v>0</v>
      </c>
      <c r="BB56" s="1001">
        <f t="shared" si="138"/>
        <v>0</v>
      </c>
      <c r="BC56" s="1001">
        <f t="shared" si="134"/>
        <v>0</v>
      </c>
      <c r="BD56" s="1001">
        <f t="shared" si="134"/>
        <v>0</v>
      </c>
      <c r="BE56" s="1001">
        <f t="shared" si="134"/>
        <v>0</v>
      </c>
      <c r="BF56" s="1001">
        <f t="shared" si="134"/>
        <v>4950</v>
      </c>
      <c r="BG56" s="1001">
        <f t="shared" si="134"/>
        <v>8250</v>
      </c>
      <c r="BH56" s="1001">
        <f t="shared" si="134"/>
        <v>16500</v>
      </c>
      <c r="BI56" s="1001">
        <f t="shared" si="134"/>
        <v>16500</v>
      </c>
      <c r="BJ56" s="1001">
        <f t="shared" si="134"/>
        <v>16500</v>
      </c>
      <c r="BK56" s="1001">
        <f t="shared" si="134"/>
        <v>16500</v>
      </c>
      <c r="BL56" s="1002">
        <f t="shared" si="47"/>
        <v>79200</v>
      </c>
      <c r="BM56" s="1015">
        <f>200000/12</f>
        <v>16666.666666666668</v>
      </c>
      <c r="BN56" s="1015">
        <f t="shared" si="142"/>
        <v>16666.666666666668</v>
      </c>
      <c r="BO56" s="1015">
        <f t="shared" si="142"/>
        <v>16666.666666666668</v>
      </c>
      <c r="BP56" s="1015">
        <f t="shared" si="142"/>
        <v>16666.666666666668</v>
      </c>
      <c r="BQ56" s="1015">
        <f t="shared" si="142"/>
        <v>16666.666666666668</v>
      </c>
      <c r="BR56" s="1015">
        <f t="shared" si="142"/>
        <v>16666.666666666668</v>
      </c>
      <c r="BS56" s="1015">
        <f t="shared" si="142"/>
        <v>16666.666666666668</v>
      </c>
      <c r="BT56" s="1015">
        <f t="shared" si="142"/>
        <v>16666.666666666668</v>
      </c>
      <c r="BU56" s="1015">
        <f t="shared" si="142"/>
        <v>16666.666666666668</v>
      </c>
      <c r="BV56" s="1015">
        <f t="shared" si="142"/>
        <v>16666.666666666668</v>
      </c>
      <c r="BW56" s="1015">
        <f t="shared" si="142"/>
        <v>16666.666666666668</v>
      </c>
      <c r="BX56" s="1015">
        <f t="shared" si="142"/>
        <v>16666.666666666668</v>
      </c>
      <c r="BY56" s="999">
        <f t="shared" si="66"/>
        <v>199999.99999999997</v>
      </c>
      <c r="BZ56" s="1000">
        <f t="shared" si="139"/>
        <v>27500</v>
      </c>
      <c r="CA56" s="1001">
        <f t="shared" si="139"/>
        <v>27500</v>
      </c>
      <c r="CB56" s="1001">
        <f t="shared" si="139"/>
        <v>27500</v>
      </c>
      <c r="CC56" s="1001">
        <f t="shared" si="135"/>
        <v>27500</v>
      </c>
      <c r="CD56" s="1001">
        <f t="shared" si="135"/>
        <v>27500</v>
      </c>
      <c r="CE56" s="1001">
        <f t="shared" si="135"/>
        <v>27500</v>
      </c>
      <c r="CF56" s="1001">
        <f t="shared" si="135"/>
        <v>27500</v>
      </c>
      <c r="CG56" s="1001">
        <f t="shared" si="135"/>
        <v>27500</v>
      </c>
      <c r="CH56" s="1001">
        <f t="shared" si="135"/>
        <v>27500</v>
      </c>
      <c r="CI56" s="1001">
        <f t="shared" si="135"/>
        <v>27500</v>
      </c>
      <c r="CJ56" s="1001">
        <f t="shared" si="135"/>
        <v>27500</v>
      </c>
      <c r="CK56" s="1001">
        <f t="shared" si="135"/>
        <v>27500</v>
      </c>
      <c r="CL56" s="1002">
        <f t="shared" si="68"/>
        <v>330000</v>
      </c>
      <c r="CM56" s="1015">
        <f>200000/12</f>
        <v>16666.666666666668</v>
      </c>
      <c r="CN56" s="1015">
        <f t="shared" si="143"/>
        <v>16666.666666666668</v>
      </c>
      <c r="CO56" s="1015">
        <f t="shared" si="143"/>
        <v>16666.666666666668</v>
      </c>
      <c r="CP56" s="1015">
        <f t="shared" si="143"/>
        <v>16666.666666666668</v>
      </c>
      <c r="CQ56" s="1015">
        <f t="shared" si="143"/>
        <v>16666.666666666668</v>
      </c>
      <c r="CR56" s="1015">
        <f t="shared" si="143"/>
        <v>16666.666666666668</v>
      </c>
      <c r="CS56" s="1015">
        <f t="shared" si="143"/>
        <v>16666.666666666668</v>
      </c>
      <c r="CT56" s="1015">
        <f t="shared" si="143"/>
        <v>16666.666666666668</v>
      </c>
      <c r="CU56" s="1015">
        <f t="shared" si="143"/>
        <v>16666.666666666668</v>
      </c>
      <c r="CV56" s="1015">
        <f t="shared" si="143"/>
        <v>16666.666666666668</v>
      </c>
      <c r="CW56" s="1015">
        <f t="shared" si="143"/>
        <v>16666.666666666668</v>
      </c>
      <c r="CX56" s="1015">
        <f t="shared" si="143"/>
        <v>16666.666666666668</v>
      </c>
      <c r="CY56" s="999">
        <f t="shared" si="69"/>
        <v>199999.99999999997</v>
      </c>
      <c r="CZ56" s="1000">
        <f t="shared" si="136"/>
        <v>27500</v>
      </c>
      <c r="DA56" s="1001">
        <f t="shared" si="136"/>
        <v>27500</v>
      </c>
      <c r="DB56" s="1001">
        <f t="shared" si="136"/>
        <v>27500</v>
      </c>
      <c r="DC56" s="1001">
        <f t="shared" si="136"/>
        <v>27500</v>
      </c>
      <c r="DD56" s="1001">
        <f t="shared" si="136"/>
        <v>27500</v>
      </c>
      <c r="DE56" s="1001">
        <f t="shared" si="136"/>
        <v>27500</v>
      </c>
      <c r="DF56" s="1001">
        <f t="shared" si="136"/>
        <v>27500</v>
      </c>
      <c r="DG56" s="1001">
        <f t="shared" si="136"/>
        <v>27500</v>
      </c>
      <c r="DH56" s="1001">
        <f t="shared" si="136"/>
        <v>27500</v>
      </c>
      <c r="DI56" s="1001">
        <f t="shared" si="136"/>
        <v>27500</v>
      </c>
      <c r="DJ56" s="1001">
        <f t="shared" si="136"/>
        <v>27500</v>
      </c>
      <c r="DK56" s="1001">
        <f t="shared" si="136"/>
        <v>27500</v>
      </c>
      <c r="DL56" s="1002">
        <f t="shared" si="50"/>
        <v>330000</v>
      </c>
      <c r="DM56" s="1015">
        <f>250000/12</f>
        <v>20833.333333333332</v>
      </c>
      <c r="DN56" s="1015">
        <f t="shared" si="144"/>
        <v>20833.333333333332</v>
      </c>
      <c r="DO56" s="1015">
        <f t="shared" si="144"/>
        <v>20833.333333333332</v>
      </c>
      <c r="DP56" s="1015">
        <f t="shared" si="144"/>
        <v>20833.333333333332</v>
      </c>
      <c r="DQ56" s="1015">
        <f t="shared" si="144"/>
        <v>20833.333333333332</v>
      </c>
      <c r="DR56" s="1015">
        <f t="shared" si="144"/>
        <v>20833.333333333332</v>
      </c>
      <c r="DS56" s="1015">
        <f t="shared" si="144"/>
        <v>20833.333333333332</v>
      </c>
      <c r="DT56" s="1015">
        <f t="shared" si="144"/>
        <v>20833.333333333332</v>
      </c>
      <c r="DU56" s="1015">
        <f t="shared" si="144"/>
        <v>20833.333333333332</v>
      </c>
      <c r="DV56" s="1015">
        <f t="shared" si="144"/>
        <v>20833.333333333332</v>
      </c>
      <c r="DW56" s="1015">
        <f t="shared" si="144"/>
        <v>20833.333333333332</v>
      </c>
      <c r="DX56" s="1015">
        <f t="shared" si="144"/>
        <v>20833.333333333332</v>
      </c>
      <c r="DY56" s="999">
        <f t="shared" si="71"/>
        <v>250000.00000000003</v>
      </c>
      <c r="DZ56" s="1000">
        <f t="shared" si="137"/>
        <v>34374.999999999993</v>
      </c>
      <c r="EA56" s="1001">
        <f t="shared" si="137"/>
        <v>34374.999999999993</v>
      </c>
      <c r="EB56" s="1001">
        <f t="shared" si="137"/>
        <v>34374.999999999993</v>
      </c>
      <c r="EC56" s="1001">
        <f t="shared" si="137"/>
        <v>34374.999999999993</v>
      </c>
      <c r="ED56" s="1001">
        <f t="shared" si="137"/>
        <v>34374.999999999993</v>
      </c>
      <c r="EE56" s="1001">
        <f t="shared" si="137"/>
        <v>34374.999999999993</v>
      </c>
      <c r="EF56" s="1001">
        <f t="shared" si="137"/>
        <v>34374.999999999993</v>
      </c>
      <c r="EG56" s="1001">
        <f t="shared" si="137"/>
        <v>34374.999999999993</v>
      </c>
      <c r="EH56" s="1001">
        <f t="shared" si="137"/>
        <v>34374.999999999993</v>
      </c>
      <c r="EI56" s="1001">
        <f t="shared" si="137"/>
        <v>34374.999999999993</v>
      </c>
      <c r="EJ56" s="1001">
        <f t="shared" si="137"/>
        <v>34374.999999999993</v>
      </c>
      <c r="EK56" s="1001">
        <f t="shared" si="137"/>
        <v>34374.999999999993</v>
      </c>
      <c r="EL56" s="1002">
        <f t="shared" si="52"/>
        <v>412499.99999999994</v>
      </c>
    </row>
    <row r="57" spans="1:142">
      <c r="A57" s="987" t="s">
        <v>680</v>
      </c>
      <c r="B57" s="913" t="s">
        <v>700</v>
      </c>
      <c r="C57" s="1007"/>
      <c r="D57" s="989"/>
      <c r="E57" s="990"/>
      <c r="F57" s="990"/>
      <c r="G57" s="991"/>
      <c r="H57" s="989">
        <v>4.5</v>
      </c>
      <c r="I57" s="990">
        <f t="shared" si="73"/>
        <v>4.5</v>
      </c>
      <c r="J57" s="990">
        <f t="shared" si="73"/>
        <v>4.5</v>
      </c>
      <c r="K57" s="992">
        <f t="shared" si="73"/>
        <v>4.5</v>
      </c>
      <c r="L57" s="1021"/>
      <c r="M57" s="1012"/>
      <c r="N57" s="1013"/>
      <c r="O57" s="1013"/>
      <c r="P57" s="1013"/>
      <c r="Q57" s="1013"/>
      <c r="R57" s="1013"/>
      <c r="S57" s="1013"/>
      <c r="T57" s="1013"/>
      <c r="U57" s="1022"/>
      <c r="V57" s="1022"/>
      <c r="W57" s="1022"/>
      <c r="X57" s="1022"/>
      <c r="Y57" s="1014">
        <f t="shared" si="58"/>
        <v>0</v>
      </c>
      <c r="Z57" s="1000"/>
      <c r="AA57" s="1001"/>
      <c r="AB57" s="1001">
        <v>0</v>
      </c>
      <c r="AC57" s="1001">
        <f t="shared" si="122"/>
        <v>0</v>
      </c>
      <c r="AD57" s="257">
        <f t="shared" si="122"/>
        <v>0</v>
      </c>
      <c r="AE57" s="1001">
        <f t="shared" si="122"/>
        <v>0</v>
      </c>
      <c r="AF57" s="1001">
        <f t="shared" si="117"/>
        <v>0</v>
      </c>
      <c r="AG57" s="1001">
        <f t="shared" si="117"/>
        <v>0</v>
      </c>
      <c r="AH57" s="1001">
        <f t="shared" si="117"/>
        <v>0</v>
      </c>
      <c r="AI57" s="1001">
        <f t="shared" si="61"/>
        <v>0</v>
      </c>
      <c r="AJ57" s="1001">
        <f t="shared" si="61"/>
        <v>0</v>
      </c>
      <c r="AK57" s="1001">
        <f t="shared" si="61"/>
        <v>0</v>
      </c>
      <c r="AL57" s="1002">
        <f t="shared" si="62"/>
        <v>0</v>
      </c>
      <c r="AM57" s="1015"/>
      <c r="AN57" s="1016"/>
      <c r="AO57" s="1016"/>
      <c r="AP57" s="1016"/>
      <c r="AQ57" s="1016"/>
      <c r="AR57" s="1016"/>
      <c r="AS57" s="1016"/>
      <c r="AT57" s="1016"/>
      <c r="AU57" s="1016">
        <v>3000</v>
      </c>
      <c r="AV57" s="1016">
        <v>5000</v>
      </c>
      <c r="AW57" s="1016">
        <v>10000</v>
      </c>
      <c r="AX57" s="1016">
        <v>10000</v>
      </c>
      <c r="AY57" s="999">
        <f t="shared" si="64"/>
        <v>28000</v>
      </c>
      <c r="AZ57" s="1000">
        <f t="shared" si="138"/>
        <v>0</v>
      </c>
      <c r="BA57" s="1001">
        <f t="shared" si="138"/>
        <v>0</v>
      </c>
      <c r="BB57" s="1001">
        <f t="shared" si="138"/>
        <v>0</v>
      </c>
      <c r="BC57" s="1001">
        <f t="shared" si="134"/>
        <v>0</v>
      </c>
      <c r="BD57" s="1001">
        <f t="shared" si="134"/>
        <v>0</v>
      </c>
      <c r="BE57" s="1001">
        <f t="shared" si="134"/>
        <v>0</v>
      </c>
      <c r="BF57" s="1001">
        <f t="shared" si="134"/>
        <v>0</v>
      </c>
      <c r="BG57" s="1001">
        <f t="shared" si="134"/>
        <v>0</v>
      </c>
      <c r="BH57" s="1001">
        <f t="shared" si="134"/>
        <v>13500</v>
      </c>
      <c r="BI57" s="1001">
        <f t="shared" si="134"/>
        <v>22500</v>
      </c>
      <c r="BJ57" s="1001">
        <f t="shared" si="134"/>
        <v>45000</v>
      </c>
      <c r="BK57" s="1001">
        <f t="shared" si="134"/>
        <v>45000</v>
      </c>
      <c r="BL57" s="1002">
        <f t="shared" si="47"/>
        <v>126000</v>
      </c>
      <c r="BM57" s="1015">
        <f>250000/12</f>
        <v>20833.333333333332</v>
      </c>
      <c r="BN57" s="1015">
        <f t="shared" ref="BN57:BX58" si="145">250000/12</f>
        <v>20833.333333333332</v>
      </c>
      <c r="BO57" s="1015">
        <f t="shared" si="145"/>
        <v>20833.333333333332</v>
      </c>
      <c r="BP57" s="1015">
        <f t="shared" si="145"/>
        <v>20833.333333333332</v>
      </c>
      <c r="BQ57" s="1015">
        <f t="shared" si="145"/>
        <v>20833.333333333332</v>
      </c>
      <c r="BR57" s="1015">
        <f t="shared" si="145"/>
        <v>20833.333333333332</v>
      </c>
      <c r="BS57" s="1015">
        <f t="shared" si="145"/>
        <v>20833.333333333332</v>
      </c>
      <c r="BT57" s="1015">
        <f t="shared" si="145"/>
        <v>20833.333333333332</v>
      </c>
      <c r="BU57" s="1015">
        <f t="shared" si="145"/>
        <v>20833.333333333332</v>
      </c>
      <c r="BV57" s="1015">
        <f t="shared" si="145"/>
        <v>20833.333333333332</v>
      </c>
      <c r="BW57" s="1015">
        <f t="shared" si="145"/>
        <v>20833.333333333332</v>
      </c>
      <c r="BX57" s="1015">
        <f t="shared" si="145"/>
        <v>20833.333333333332</v>
      </c>
      <c r="BY57" s="999">
        <f t="shared" si="66"/>
        <v>250000.00000000003</v>
      </c>
      <c r="BZ57" s="1000">
        <f t="shared" si="139"/>
        <v>93750</v>
      </c>
      <c r="CA57" s="1001">
        <f t="shared" si="139"/>
        <v>93750</v>
      </c>
      <c r="CB57" s="1001">
        <f t="shared" si="139"/>
        <v>93750</v>
      </c>
      <c r="CC57" s="1001">
        <f t="shared" si="135"/>
        <v>93750</v>
      </c>
      <c r="CD57" s="1001">
        <f t="shared" si="135"/>
        <v>93750</v>
      </c>
      <c r="CE57" s="1001">
        <f t="shared" si="135"/>
        <v>93750</v>
      </c>
      <c r="CF57" s="1001">
        <f t="shared" si="135"/>
        <v>93750</v>
      </c>
      <c r="CG57" s="1001">
        <f t="shared" si="135"/>
        <v>93750</v>
      </c>
      <c r="CH57" s="1001">
        <f t="shared" si="135"/>
        <v>93750</v>
      </c>
      <c r="CI57" s="1001">
        <f t="shared" si="135"/>
        <v>93750</v>
      </c>
      <c r="CJ57" s="1001">
        <f t="shared" si="135"/>
        <v>93750</v>
      </c>
      <c r="CK57" s="1001">
        <f t="shared" si="135"/>
        <v>93750</v>
      </c>
      <c r="CL57" s="1002">
        <f t="shared" si="68"/>
        <v>1125000</v>
      </c>
      <c r="CM57" s="1015">
        <f>250000/12</f>
        <v>20833.333333333332</v>
      </c>
      <c r="CN57" s="1015">
        <f t="shared" ref="CN57:CX58" si="146">250000/12</f>
        <v>20833.333333333332</v>
      </c>
      <c r="CO57" s="1015">
        <f t="shared" si="146"/>
        <v>20833.333333333332</v>
      </c>
      <c r="CP57" s="1015">
        <f t="shared" si="146"/>
        <v>20833.333333333332</v>
      </c>
      <c r="CQ57" s="1015">
        <f t="shared" si="146"/>
        <v>20833.333333333332</v>
      </c>
      <c r="CR57" s="1015">
        <f t="shared" si="146"/>
        <v>20833.333333333332</v>
      </c>
      <c r="CS57" s="1015">
        <f t="shared" si="146"/>
        <v>20833.333333333332</v>
      </c>
      <c r="CT57" s="1015">
        <f t="shared" si="146"/>
        <v>20833.333333333332</v>
      </c>
      <c r="CU57" s="1015">
        <f t="shared" si="146"/>
        <v>20833.333333333332</v>
      </c>
      <c r="CV57" s="1015">
        <f t="shared" si="146"/>
        <v>20833.333333333332</v>
      </c>
      <c r="CW57" s="1015">
        <f t="shared" si="146"/>
        <v>20833.333333333332</v>
      </c>
      <c r="CX57" s="1015">
        <f t="shared" si="146"/>
        <v>20833.333333333332</v>
      </c>
      <c r="CY57" s="999">
        <f t="shared" si="69"/>
        <v>250000.00000000003</v>
      </c>
      <c r="CZ57" s="1000">
        <f t="shared" si="136"/>
        <v>93750</v>
      </c>
      <c r="DA57" s="1001">
        <f t="shared" si="136"/>
        <v>93750</v>
      </c>
      <c r="DB57" s="1001">
        <f t="shared" si="136"/>
        <v>93750</v>
      </c>
      <c r="DC57" s="1001">
        <f t="shared" si="136"/>
        <v>93750</v>
      </c>
      <c r="DD57" s="1001">
        <f t="shared" si="136"/>
        <v>93750</v>
      </c>
      <c r="DE57" s="1001">
        <f t="shared" si="136"/>
        <v>93750</v>
      </c>
      <c r="DF57" s="1001">
        <f t="shared" si="136"/>
        <v>93750</v>
      </c>
      <c r="DG57" s="1001">
        <f t="shared" si="136"/>
        <v>93750</v>
      </c>
      <c r="DH57" s="1001">
        <f t="shared" si="136"/>
        <v>93750</v>
      </c>
      <c r="DI57" s="1001">
        <f t="shared" si="136"/>
        <v>93750</v>
      </c>
      <c r="DJ57" s="1001">
        <f t="shared" si="136"/>
        <v>93750</v>
      </c>
      <c r="DK57" s="1001">
        <f t="shared" si="136"/>
        <v>93750</v>
      </c>
      <c r="DL57" s="1002">
        <f t="shared" si="50"/>
        <v>1125000</v>
      </c>
      <c r="DM57" s="1015">
        <f>300000/12</f>
        <v>25000</v>
      </c>
      <c r="DN57" s="1015">
        <f t="shared" ref="DN57:DX58" si="147">300000/12</f>
        <v>25000</v>
      </c>
      <c r="DO57" s="1015">
        <f t="shared" si="147"/>
        <v>25000</v>
      </c>
      <c r="DP57" s="1015">
        <f t="shared" si="147"/>
        <v>25000</v>
      </c>
      <c r="DQ57" s="1015">
        <f t="shared" si="147"/>
        <v>25000</v>
      </c>
      <c r="DR57" s="1015">
        <f t="shared" si="147"/>
        <v>25000</v>
      </c>
      <c r="DS57" s="1015">
        <f t="shared" si="147"/>
        <v>25000</v>
      </c>
      <c r="DT57" s="1015">
        <f t="shared" si="147"/>
        <v>25000</v>
      </c>
      <c r="DU57" s="1015">
        <f t="shared" si="147"/>
        <v>25000</v>
      </c>
      <c r="DV57" s="1015">
        <f t="shared" si="147"/>
        <v>25000</v>
      </c>
      <c r="DW57" s="1015">
        <f t="shared" si="147"/>
        <v>25000</v>
      </c>
      <c r="DX57" s="1015">
        <f t="shared" si="147"/>
        <v>25000</v>
      </c>
      <c r="DY57" s="999">
        <f t="shared" si="71"/>
        <v>300000</v>
      </c>
      <c r="DZ57" s="1000">
        <f t="shared" si="137"/>
        <v>112500</v>
      </c>
      <c r="EA57" s="1001">
        <f t="shared" si="137"/>
        <v>112500</v>
      </c>
      <c r="EB57" s="1001">
        <f t="shared" si="137"/>
        <v>112500</v>
      </c>
      <c r="EC57" s="1001">
        <f t="shared" si="137"/>
        <v>112500</v>
      </c>
      <c r="ED57" s="1001">
        <f t="shared" si="137"/>
        <v>112500</v>
      </c>
      <c r="EE57" s="1001">
        <f t="shared" si="137"/>
        <v>112500</v>
      </c>
      <c r="EF57" s="1001">
        <f t="shared" si="137"/>
        <v>112500</v>
      </c>
      <c r="EG57" s="1001">
        <f t="shared" si="137"/>
        <v>112500</v>
      </c>
      <c r="EH57" s="1001">
        <f t="shared" si="137"/>
        <v>112500</v>
      </c>
      <c r="EI57" s="1001">
        <f t="shared" si="137"/>
        <v>112500</v>
      </c>
      <c r="EJ57" s="1001">
        <f t="shared" si="137"/>
        <v>112500</v>
      </c>
      <c r="EK57" s="1001">
        <f t="shared" si="137"/>
        <v>112500</v>
      </c>
      <c r="EL57" s="1002">
        <f t="shared" si="52"/>
        <v>1350000</v>
      </c>
    </row>
    <row r="58" spans="1:142">
      <c r="A58" s="987" t="s">
        <v>680</v>
      </c>
      <c r="B58" s="913" t="s">
        <v>701</v>
      </c>
      <c r="C58" s="1007"/>
      <c r="D58" s="989"/>
      <c r="E58" s="990"/>
      <c r="F58" s="990"/>
      <c r="G58" s="991"/>
      <c r="H58" s="989">
        <v>1.65</v>
      </c>
      <c r="I58" s="990">
        <f t="shared" si="73"/>
        <v>1.65</v>
      </c>
      <c r="J58" s="990">
        <f t="shared" si="73"/>
        <v>1.65</v>
      </c>
      <c r="K58" s="992">
        <f t="shared" si="73"/>
        <v>1.65</v>
      </c>
      <c r="L58" s="1021"/>
      <c r="M58" s="1012"/>
      <c r="N58" s="1013"/>
      <c r="O58" s="1013"/>
      <c r="P58" s="1013"/>
      <c r="Q58" s="1013"/>
      <c r="R58" s="1013"/>
      <c r="S58" s="1013"/>
      <c r="T58" s="1013"/>
      <c r="U58" s="1022"/>
      <c r="V58" s="1022"/>
      <c r="W58" s="1022"/>
      <c r="X58" s="1022"/>
      <c r="Y58" s="1014">
        <f t="shared" si="58"/>
        <v>0</v>
      </c>
      <c r="Z58" s="1000"/>
      <c r="AA58" s="1001"/>
      <c r="AB58" s="1001">
        <v>0</v>
      </c>
      <c r="AC58" s="1001">
        <f t="shared" si="122"/>
        <v>0</v>
      </c>
      <c r="AD58" s="257">
        <f t="shared" si="122"/>
        <v>0</v>
      </c>
      <c r="AE58" s="1001">
        <f t="shared" si="122"/>
        <v>0</v>
      </c>
      <c r="AF58" s="1001">
        <f t="shared" si="117"/>
        <v>0</v>
      </c>
      <c r="AG58" s="1001">
        <f t="shared" si="117"/>
        <v>0</v>
      </c>
      <c r="AH58" s="1001">
        <f t="shared" si="117"/>
        <v>0</v>
      </c>
      <c r="AI58" s="1001">
        <f t="shared" si="61"/>
        <v>0</v>
      </c>
      <c r="AJ58" s="1001">
        <f t="shared" si="61"/>
        <v>0</v>
      </c>
      <c r="AK58" s="1001">
        <f t="shared" si="61"/>
        <v>0</v>
      </c>
      <c r="AL58" s="1002">
        <f t="shared" si="62"/>
        <v>0</v>
      </c>
      <c r="AM58" s="1015"/>
      <c r="AN58" s="1016"/>
      <c r="AO58" s="1016"/>
      <c r="AP58" s="1016"/>
      <c r="AQ58" s="1016"/>
      <c r="AR58" s="1016"/>
      <c r="AS58" s="1016"/>
      <c r="AT58" s="1016"/>
      <c r="AU58" s="1016">
        <v>3000</v>
      </c>
      <c r="AV58" s="1016">
        <v>5000</v>
      </c>
      <c r="AW58" s="1016">
        <v>10000</v>
      </c>
      <c r="AX58" s="1016">
        <v>10000</v>
      </c>
      <c r="AY58" s="999">
        <f t="shared" si="64"/>
        <v>28000</v>
      </c>
      <c r="AZ58" s="1000">
        <f t="shared" si="138"/>
        <v>0</v>
      </c>
      <c r="BA58" s="1001">
        <f t="shared" si="138"/>
        <v>0</v>
      </c>
      <c r="BB58" s="1001">
        <f t="shared" si="138"/>
        <v>0</v>
      </c>
      <c r="BC58" s="1001">
        <f t="shared" si="134"/>
        <v>0</v>
      </c>
      <c r="BD58" s="1001">
        <f t="shared" si="134"/>
        <v>0</v>
      </c>
      <c r="BE58" s="1001">
        <f t="shared" si="134"/>
        <v>0</v>
      </c>
      <c r="BF58" s="1001">
        <f t="shared" si="134"/>
        <v>0</v>
      </c>
      <c r="BG58" s="1001">
        <f t="shared" si="134"/>
        <v>0</v>
      </c>
      <c r="BH58" s="1001">
        <f t="shared" si="134"/>
        <v>4950</v>
      </c>
      <c r="BI58" s="1001">
        <f t="shared" si="134"/>
        <v>8250</v>
      </c>
      <c r="BJ58" s="1001">
        <f t="shared" si="134"/>
        <v>16500</v>
      </c>
      <c r="BK58" s="1001">
        <f t="shared" si="134"/>
        <v>16500</v>
      </c>
      <c r="BL58" s="1002">
        <f t="shared" si="47"/>
        <v>46200</v>
      </c>
      <c r="BM58" s="1015">
        <f>250000/12</f>
        <v>20833.333333333332</v>
      </c>
      <c r="BN58" s="1015">
        <f t="shared" si="145"/>
        <v>20833.333333333332</v>
      </c>
      <c r="BO58" s="1015">
        <f t="shared" si="145"/>
        <v>20833.333333333332</v>
      </c>
      <c r="BP58" s="1015">
        <f t="shared" si="145"/>
        <v>20833.333333333332</v>
      </c>
      <c r="BQ58" s="1015">
        <f t="shared" si="145"/>
        <v>20833.333333333332</v>
      </c>
      <c r="BR58" s="1015">
        <f t="shared" si="145"/>
        <v>20833.333333333332</v>
      </c>
      <c r="BS58" s="1015">
        <f t="shared" si="145"/>
        <v>20833.333333333332</v>
      </c>
      <c r="BT58" s="1015">
        <f t="shared" si="145"/>
        <v>20833.333333333332</v>
      </c>
      <c r="BU58" s="1015">
        <f t="shared" si="145"/>
        <v>20833.333333333332</v>
      </c>
      <c r="BV58" s="1015">
        <f t="shared" si="145"/>
        <v>20833.333333333332</v>
      </c>
      <c r="BW58" s="1015">
        <f t="shared" si="145"/>
        <v>20833.333333333332</v>
      </c>
      <c r="BX58" s="1015">
        <f t="shared" si="145"/>
        <v>20833.333333333332</v>
      </c>
      <c r="BY58" s="999">
        <f t="shared" si="66"/>
        <v>250000.00000000003</v>
      </c>
      <c r="BZ58" s="1000">
        <f t="shared" si="139"/>
        <v>34374.999999999993</v>
      </c>
      <c r="CA58" s="1001">
        <f t="shared" si="139"/>
        <v>34374.999999999993</v>
      </c>
      <c r="CB58" s="1001">
        <f t="shared" si="139"/>
        <v>34374.999999999993</v>
      </c>
      <c r="CC58" s="1001">
        <f t="shared" si="135"/>
        <v>34374.999999999993</v>
      </c>
      <c r="CD58" s="1001">
        <f t="shared" si="135"/>
        <v>34374.999999999993</v>
      </c>
      <c r="CE58" s="1001">
        <f t="shared" si="135"/>
        <v>34374.999999999993</v>
      </c>
      <c r="CF58" s="1001">
        <f t="shared" si="135"/>
        <v>34374.999999999993</v>
      </c>
      <c r="CG58" s="1001">
        <f t="shared" si="135"/>
        <v>34374.999999999993</v>
      </c>
      <c r="CH58" s="1001">
        <f t="shared" si="135"/>
        <v>34374.999999999993</v>
      </c>
      <c r="CI58" s="1001">
        <f t="shared" si="135"/>
        <v>34374.999999999993</v>
      </c>
      <c r="CJ58" s="1001">
        <f t="shared" si="135"/>
        <v>34374.999999999993</v>
      </c>
      <c r="CK58" s="1001">
        <f t="shared" si="135"/>
        <v>34374.999999999993</v>
      </c>
      <c r="CL58" s="1002">
        <f t="shared" si="68"/>
        <v>412499.99999999994</v>
      </c>
      <c r="CM58" s="1015">
        <f>250000/12</f>
        <v>20833.333333333332</v>
      </c>
      <c r="CN58" s="1015">
        <f t="shared" si="146"/>
        <v>20833.333333333332</v>
      </c>
      <c r="CO58" s="1015">
        <f t="shared" si="146"/>
        <v>20833.333333333332</v>
      </c>
      <c r="CP58" s="1015">
        <f t="shared" si="146"/>
        <v>20833.333333333332</v>
      </c>
      <c r="CQ58" s="1015">
        <f t="shared" si="146"/>
        <v>20833.333333333332</v>
      </c>
      <c r="CR58" s="1015">
        <f t="shared" si="146"/>
        <v>20833.333333333332</v>
      </c>
      <c r="CS58" s="1015">
        <f t="shared" si="146"/>
        <v>20833.333333333332</v>
      </c>
      <c r="CT58" s="1015">
        <f t="shared" si="146"/>
        <v>20833.333333333332</v>
      </c>
      <c r="CU58" s="1015">
        <f t="shared" si="146"/>
        <v>20833.333333333332</v>
      </c>
      <c r="CV58" s="1015">
        <f t="shared" si="146"/>
        <v>20833.333333333332</v>
      </c>
      <c r="CW58" s="1015">
        <f t="shared" si="146"/>
        <v>20833.333333333332</v>
      </c>
      <c r="CX58" s="1015">
        <f t="shared" si="146"/>
        <v>20833.333333333332</v>
      </c>
      <c r="CY58" s="999">
        <f t="shared" si="69"/>
        <v>250000.00000000003</v>
      </c>
      <c r="CZ58" s="1000">
        <f t="shared" si="136"/>
        <v>34374.999999999993</v>
      </c>
      <c r="DA58" s="1001">
        <f t="shared" si="136"/>
        <v>34374.999999999993</v>
      </c>
      <c r="DB58" s="1001">
        <f t="shared" si="136"/>
        <v>34374.999999999993</v>
      </c>
      <c r="DC58" s="1001">
        <f t="shared" si="136"/>
        <v>34374.999999999993</v>
      </c>
      <c r="DD58" s="1001">
        <f t="shared" si="136"/>
        <v>34374.999999999993</v>
      </c>
      <c r="DE58" s="1001">
        <f t="shared" si="136"/>
        <v>34374.999999999993</v>
      </c>
      <c r="DF58" s="1001">
        <f t="shared" si="136"/>
        <v>34374.999999999993</v>
      </c>
      <c r="DG58" s="1001">
        <f t="shared" si="136"/>
        <v>34374.999999999993</v>
      </c>
      <c r="DH58" s="1001">
        <f t="shared" si="136"/>
        <v>34374.999999999993</v>
      </c>
      <c r="DI58" s="1001">
        <f t="shared" si="136"/>
        <v>34374.999999999993</v>
      </c>
      <c r="DJ58" s="1001">
        <f t="shared" si="136"/>
        <v>34374.999999999993</v>
      </c>
      <c r="DK58" s="1001">
        <f t="shared" si="136"/>
        <v>34374.999999999993</v>
      </c>
      <c r="DL58" s="1002">
        <f t="shared" si="50"/>
        <v>412499.99999999994</v>
      </c>
      <c r="DM58" s="1015">
        <f>300000/12</f>
        <v>25000</v>
      </c>
      <c r="DN58" s="1015">
        <f t="shared" si="147"/>
        <v>25000</v>
      </c>
      <c r="DO58" s="1015">
        <f t="shared" si="147"/>
        <v>25000</v>
      </c>
      <c r="DP58" s="1015">
        <f t="shared" si="147"/>
        <v>25000</v>
      </c>
      <c r="DQ58" s="1015">
        <f t="shared" si="147"/>
        <v>25000</v>
      </c>
      <c r="DR58" s="1015">
        <f t="shared" si="147"/>
        <v>25000</v>
      </c>
      <c r="DS58" s="1015">
        <f t="shared" si="147"/>
        <v>25000</v>
      </c>
      <c r="DT58" s="1015">
        <f t="shared" si="147"/>
        <v>25000</v>
      </c>
      <c r="DU58" s="1015">
        <f t="shared" si="147"/>
        <v>25000</v>
      </c>
      <c r="DV58" s="1015">
        <f t="shared" si="147"/>
        <v>25000</v>
      </c>
      <c r="DW58" s="1015">
        <f t="shared" si="147"/>
        <v>25000</v>
      </c>
      <c r="DX58" s="1015">
        <f t="shared" si="147"/>
        <v>25000</v>
      </c>
      <c r="DY58" s="999">
        <f t="shared" si="71"/>
        <v>300000</v>
      </c>
      <c r="DZ58" s="1000">
        <f t="shared" si="137"/>
        <v>41250</v>
      </c>
      <c r="EA58" s="1001">
        <f t="shared" si="137"/>
        <v>41250</v>
      </c>
      <c r="EB58" s="1001">
        <f t="shared" si="137"/>
        <v>41250</v>
      </c>
      <c r="EC58" s="1001">
        <f t="shared" si="137"/>
        <v>41250</v>
      </c>
      <c r="ED58" s="1001">
        <f t="shared" si="137"/>
        <v>41250</v>
      </c>
      <c r="EE58" s="1001">
        <f t="shared" si="137"/>
        <v>41250</v>
      </c>
      <c r="EF58" s="1001">
        <f t="shared" si="137"/>
        <v>41250</v>
      </c>
      <c r="EG58" s="1001">
        <f t="shared" si="137"/>
        <v>41250</v>
      </c>
      <c r="EH58" s="1001">
        <f t="shared" si="137"/>
        <v>41250</v>
      </c>
      <c r="EI58" s="1001">
        <f t="shared" si="137"/>
        <v>41250</v>
      </c>
      <c r="EJ58" s="1001">
        <f t="shared" si="137"/>
        <v>41250</v>
      </c>
      <c r="EK58" s="1001">
        <f t="shared" si="137"/>
        <v>41250</v>
      </c>
      <c r="EL58" s="1002">
        <f t="shared" si="52"/>
        <v>495000</v>
      </c>
    </row>
    <row r="59" spans="1:142">
      <c r="A59" s="987" t="s">
        <v>680</v>
      </c>
      <c r="B59" s="913" t="s">
        <v>702</v>
      </c>
      <c r="C59" s="1007"/>
      <c r="D59" s="989"/>
      <c r="E59" s="990"/>
      <c r="F59" s="990"/>
      <c r="G59" s="991"/>
      <c r="H59" s="989">
        <v>4</v>
      </c>
      <c r="I59" s="990">
        <f t="shared" si="73"/>
        <v>4</v>
      </c>
      <c r="J59" s="990">
        <f t="shared" si="73"/>
        <v>4</v>
      </c>
      <c r="K59" s="992">
        <f t="shared" si="73"/>
        <v>4</v>
      </c>
      <c r="L59" s="1021"/>
      <c r="M59" s="1012"/>
      <c r="N59" s="1013"/>
      <c r="O59" s="1013"/>
      <c r="P59" s="1013"/>
      <c r="Q59" s="1013"/>
      <c r="R59" s="1013"/>
      <c r="S59" s="1013"/>
      <c r="T59" s="1013"/>
      <c r="U59" s="1022"/>
      <c r="V59" s="1022"/>
      <c r="W59" s="1022"/>
      <c r="X59" s="1022"/>
      <c r="Y59" s="1014">
        <f t="shared" si="58"/>
        <v>0</v>
      </c>
      <c r="Z59" s="1000"/>
      <c r="AA59" s="1001"/>
      <c r="AB59" s="1001">
        <v>0</v>
      </c>
      <c r="AC59" s="1001">
        <f t="shared" si="122"/>
        <v>0</v>
      </c>
      <c r="AD59" s="257">
        <f t="shared" si="122"/>
        <v>0</v>
      </c>
      <c r="AE59" s="1001">
        <f t="shared" si="122"/>
        <v>0</v>
      </c>
      <c r="AF59" s="1001">
        <f t="shared" si="117"/>
        <v>0</v>
      </c>
      <c r="AG59" s="1001">
        <f t="shared" si="117"/>
        <v>0</v>
      </c>
      <c r="AH59" s="1001">
        <f t="shared" si="117"/>
        <v>0</v>
      </c>
      <c r="AI59" s="1001">
        <f t="shared" si="61"/>
        <v>0</v>
      </c>
      <c r="AJ59" s="1001">
        <f t="shared" si="61"/>
        <v>0</v>
      </c>
      <c r="AK59" s="1001">
        <f t="shared" si="61"/>
        <v>0</v>
      </c>
      <c r="AL59" s="1002">
        <f t="shared" si="62"/>
        <v>0</v>
      </c>
      <c r="AM59" s="1015"/>
      <c r="AN59" s="1016"/>
      <c r="AO59" s="1016"/>
      <c r="AP59" s="1016"/>
      <c r="AQ59" s="1016"/>
      <c r="AR59" s="1016"/>
      <c r="AS59" s="1016"/>
      <c r="AT59" s="1016"/>
      <c r="AU59" s="1016"/>
      <c r="AV59" s="1016"/>
      <c r="AW59" s="1016">
        <v>5000</v>
      </c>
      <c r="AX59" s="1016">
        <v>10000</v>
      </c>
      <c r="AY59" s="999">
        <f t="shared" si="64"/>
        <v>15000</v>
      </c>
      <c r="AZ59" s="1000">
        <f t="shared" si="138"/>
        <v>0</v>
      </c>
      <c r="BA59" s="1001">
        <f t="shared" si="138"/>
        <v>0</v>
      </c>
      <c r="BB59" s="1001">
        <f t="shared" si="138"/>
        <v>0</v>
      </c>
      <c r="BC59" s="1001">
        <f t="shared" si="134"/>
        <v>0</v>
      </c>
      <c r="BD59" s="1001">
        <f t="shared" si="134"/>
        <v>0</v>
      </c>
      <c r="BE59" s="1001">
        <f t="shared" si="134"/>
        <v>0</v>
      </c>
      <c r="BF59" s="1001">
        <f t="shared" si="134"/>
        <v>0</v>
      </c>
      <c r="BG59" s="1001">
        <f t="shared" si="134"/>
        <v>0</v>
      </c>
      <c r="BH59" s="1001">
        <f t="shared" si="134"/>
        <v>0</v>
      </c>
      <c r="BI59" s="1001">
        <f t="shared" si="134"/>
        <v>0</v>
      </c>
      <c r="BJ59" s="1001">
        <f t="shared" si="134"/>
        <v>20000</v>
      </c>
      <c r="BK59" s="1001">
        <f t="shared" si="134"/>
        <v>40000</v>
      </c>
      <c r="BL59" s="1002">
        <f t="shared" si="47"/>
        <v>60000</v>
      </c>
      <c r="BM59" s="1015"/>
      <c r="BN59" s="1016"/>
      <c r="BO59" s="1016"/>
      <c r="BP59" s="1016"/>
      <c r="BQ59" s="1016"/>
      <c r="BR59" s="1016"/>
      <c r="BS59" s="1016">
        <v>3000</v>
      </c>
      <c r="BT59" s="1016">
        <v>5000</v>
      </c>
      <c r="BU59" s="1016">
        <v>10000</v>
      </c>
      <c r="BV59" s="1016">
        <v>10000</v>
      </c>
      <c r="BW59" s="1016">
        <v>10000</v>
      </c>
      <c r="BX59" s="1016">
        <v>10000</v>
      </c>
      <c r="BY59" s="999">
        <f t="shared" si="66"/>
        <v>48000</v>
      </c>
      <c r="BZ59" s="1000">
        <f t="shared" si="139"/>
        <v>0</v>
      </c>
      <c r="CA59" s="1001">
        <f t="shared" si="139"/>
        <v>0</v>
      </c>
      <c r="CB59" s="1001">
        <f t="shared" si="139"/>
        <v>0</v>
      </c>
      <c r="CC59" s="1001">
        <f t="shared" si="135"/>
        <v>0</v>
      </c>
      <c r="CD59" s="1001">
        <f t="shared" si="135"/>
        <v>0</v>
      </c>
      <c r="CE59" s="1001">
        <f t="shared" si="135"/>
        <v>0</v>
      </c>
      <c r="CF59" s="1001">
        <f t="shared" si="135"/>
        <v>12000</v>
      </c>
      <c r="CG59" s="1001">
        <f t="shared" si="135"/>
        <v>20000</v>
      </c>
      <c r="CH59" s="1001">
        <f t="shared" si="135"/>
        <v>40000</v>
      </c>
      <c r="CI59" s="1001">
        <f t="shared" si="135"/>
        <v>40000</v>
      </c>
      <c r="CJ59" s="1001">
        <f t="shared" si="135"/>
        <v>40000</v>
      </c>
      <c r="CK59" s="1001">
        <f t="shared" si="135"/>
        <v>40000</v>
      </c>
      <c r="CL59" s="1002">
        <f t="shared" si="68"/>
        <v>192000</v>
      </c>
      <c r="CM59" s="1015">
        <f>300000/12</f>
        <v>25000</v>
      </c>
      <c r="CN59" s="1016">
        <f t="shared" ref="CN59:CX60" si="148">300000/12</f>
        <v>25000</v>
      </c>
      <c r="CO59" s="1016">
        <f t="shared" si="148"/>
        <v>25000</v>
      </c>
      <c r="CP59" s="1016">
        <f t="shared" si="148"/>
        <v>25000</v>
      </c>
      <c r="CQ59" s="1016">
        <f t="shared" si="148"/>
        <v>25000</v>
      </c>
      <c r="CR59" s="1016">
        <f t="shared" si="148"/>
        <v>25000</v>
      </c>
      <c r="CS59" s="1016">
        <f t="shared" si="148"/>
        <v>25000</v>
      </c>
      <c r="CT59" s="1016">
        <f t="shared" si="148"/>
        <v>25000</v>
      </c>
      <c r="CU59" s="1016">
        <f t="shared" si="148"/>
        <v>25000</v>
      </c>
      <c r="CV59" s="1016">
        <f t="shared" si="148"/>
        <v>25000</v>
      </c>
      <c r="CW59" s="1016">
        <f t="shared" si="148"/>
        <v>25000</v>
      </c>
      <c r="CX59" s="1016">
        <f t="shared" si="148"/>
        <v>25000</v>
      </c>
      <c r="CY59" s="999">
        <f t="shared" si="69"/>
        <v>300000</v>
      </c>
      <c r="CZ59" s="1000">
        <f t="shared" si="136"/>
        <v>100000</v>
      </c>
      <c r="DA59" s="1001">
        <f t="shared" si="136"/>
        <v>100000</v>
      </c>
      <c r="DB59" s="1001">
        <f t="shared" si="136"/>
        <v>100000</v>
      </c>
      <c r="DC59" s="1001">
        <f t="shared" si="136"/>
        <v>100000</v>
      </c>
      <c r="DD59" s="1001">
        <f t="shared" si="136"/>
        <v>100000</v>
      </c>
      <c r="DE59" s="1001">
        <f t="shared" si="136"/>
        <v>100000</v>
      </c>
      <c r="DF59" s="1001">
        <f t="shared" si="136"/>
        <v>100000</v>
      </c>
      <c r="DG59" s="1001">
        <f t="shared" si="136"/>
        <v>100000</v>
      </c>
      <c r="DH59" s="1001">
        <f t="shared" si="136"/>
        <v>100000</v>
      </c>
      <c r="DI59" s="1001">
        <f t="shared" si="136"/>
        <v>100000</v>
      </c>
      <c r="DJ59" s="1001">
        <f t="shared" si="136"/>
        <v>100000</v>
      </c>
      <c r="DK59" s="1001">
        <f t="shared" si="136"/>
        <v>100000</v>
      </c>
      <c r="DL59" s="1002">
        <f t="shared" si="50"/>
        <v>1200000</v>
      </c>
      <c r="DM59" s="1015">
        <f>600000/12</f>
        <v>50000</v>
      </c>
      <c r="DN59" s="1016">
        <f t="shared" ref="DN59:DX60" si="149">600000/12</f>
        <v>50000</v>
      </c>
      <c r="DO59" s="1016">
        <f t="shared" si="149"/>
        <v>50000</v>
      </c>
      <c r="DP59" s="1016">
        <f t="shared" si="149"/>
        <v>50000</v>
      </c>
      <c r="DQ59" s="1016">
        <f t="shared" si="149"/>
        <v>50000</v>
      </c>
      <c r="DR59" s="1016">
        <f t="shared" si="149"/>
        <v>50000</v>
      </c>
      <c r="DS59" s="1016">
        <f t="shared" si="149"/>
        <v>50000</v>
      </c>
      <c r="DT59" s="1016">
        <f t="shared" si="149"/>
        <v>50000</v>
      </c>
      <c r="DU59" s="1016">
        <f t="shared" si="149"/>
        <v>50000</v>
      </c>
      <c r="DV59" s="1016">
        <f t="shared" si="149"/>
        <v>50000</v>
      </c>
      <c r="DW59" s="1016">
        <f t="shared" si="149"/>
        <v>50000</v>
      </c>
      <c r="DX59" s="1016">
        <f t="shared" si="149"/>
        <v>50000</v>
      </c>
      <c r="DY59" s="999">
        <f t="shared" si="71"/>
        <v>600000</v>
      </c>
      <c r="DZ59" s="1000">
        <f t="shared" si="137"/>
        <v>200000</v>
      </c>
      <c r="EA59" s="1001">
        <f t="shared" si="137"/>
        <v>200000</v>
      </c>
      <c r="EB59" s="1001">
        <f t="shared" si="137"/>
        <v>200000</v>
      </c>
      <c r="EC59" s="1001">
        <f t="shared" si="137"/>
        <v>200000</v>
      </c>
      <c r="ED59" s="1001">
        <f t="shared" si="137"/>
        <v>200000</v>
      </c>
      <c r="EE59" s="1001">
        <f t="shared" si="137"/>
        <v>200000</v>
      </c>
      <c r="EF59" s="1001">
        <f t="shared" si="137"/>
        <v>200000</v>
      </c>
      <c r="EG59" s="1001">
        <f t="shared" si="137"/>
        <v>200000</v>
      </c>
      <c r="EH59" s="1001">
        <f t="shared" si="137"/>
        <v>200000</v>
      </c>
      <c r="EI59" s="1001">
        <f t="shared" si="137"/>
        <v>200000</v>
      </c>
      <c r="EJ59" s="1001">
        <f t="shared" si="137"/>
        <v>200000</v>
      </c>
      <c r="EK59" s="1001">
        <f t="shared" si="137"/>
        <v>200000</v>
      </c>
      <c r="EL59" s="1002">
        <f t="shared" si="52"/>
        <v>2400000</v>
      </c>
    </row>
    <row r="60" spans="1:142" s="1019" customFormat="1">
      <c r="A60" s="987" t="s">
        <v>680</v>
      </c>
      <c r="B60" s="913" t="s">
        <v>703</v>
      </c>
      <c r="C60" s="1007"/>
      <c r="D60" s="1023"/>
      <c r="E60" s="1024"/>
      <c r="F60" s="1024"/>
      <c r="G60" s="1025"/>
      <c r="H60" s="989">
        <v>1.3</v>
      </c>
      <c r="I60" s="990">
        <f t="shared" si="73"/>
        <v>1.3</v>
      </c>
      <c r="J60" s="990">
        <f t="shared" si="73"/>
        <v>1.3</v>
      </c>
      <c r="K60" s="992">
        <f t="shared" si="73"/>
        <v>1.3</v>
      </c>
      <c r="L60" s="1021"/>
      <c r="M60" s="1012"/>
      <c r="N60" s="1013"/>
      <c r="O60" s="1013"/>
      <c r="P60" s="1013"/>
      <c r="Q60" s="1013"/>
      <c r="R60" s="1013"/>
      <c r="S60" s="1013"/>
      <c r="T60" s="1013"/>
      <c r="U60" s="1022"/>
      <c r="V60" s="1022"/>
      <c r="W60" s="1022"/>
      <c r="X60" s="1022"/>
      <c r="Y60" s="1014">
        <f t="shared" si="58"/>
        <v>0</v>
      </c>
      <c r="Z60" s="1000">
        <f>M60*$E60</f>
        <v>0</v>
      </c>
      <c r="AA60" s="1001">
        <f>N60*$E60</f>
        <v>0</v>
      </c>
      <c r="AB60" s="1001">
        <v>0</v>
      </c>
      <c r="AC60" s="1001">
        <f>P60*$F60</f>
        <v>0</v>
      </c>
      <c r="AD60" s="257">
        <f t="shared" ref="AD60:AD66" si="150">Q60*$E60</f>
        <v>0</v>
      </c>
      <c r="AE60" s="1001">
        <f>R60*$F60</f>
        <v>0</v>
      </c>
      <c r="AF60" s="1001">
        <f>S60*$G60</f>
        <v>0</v>
      </c>
      <c r="AG60" s="1001">
        <f>T60*$G60</f>
        <v>0</v>
      </c>
      <c r="AH60" s="1001">
        <f>U60*$G60</f>
        <v>0</v>
      </c>
      <c r="AI60" s="1001">
        <f>V60*$H60</f>
        <v>0</v>
      </c>
      <c r="AJ60" s="1001">
        <f>W60*$H60</f>
        <v>0</v>
      </c>
      <c r="AK60" s="1001">
        <f>X60*$H60</f>
        <v>0</v>
      </c>
      <c r="AL60" s="1002">
        <f t="shared" si="62"/>
        <v>0</v>
      </c>
      <c r="AM60" s="1015"/>
      <c r="AN60" s="1016"/>
      <c r="AO60" s="1016"/>
      <c r="AP60" s="1016"/>
      <c r="AQ60" s="1016"/>
      <c r="AR60" s="1016"/>
      <c r="AS60" s="1016"/>
      <c r="AT60" s="1016"/>
      <c r="AU60" s="1016"/>
      <c r="AV60" s="1016"/>
      <c r="AW60" s="1016">
        <v>5000</v>
      </c>
      <c r="AX60" s="1016">
        <v>10000</v>
      </c>
      <c r="AY60" s="999">
        <f>SUM(AM60:AX60)</f>
        <v>15000</v>
      </c>
      <c r="AZ60" s="1000">
        <f t="shared" ref="AZ60:BK60" si="151">AM60*$I60</f>
        <v>0</v>
      </c>
      <c r="BA60" s="1001">
        <f t="shared" si="151"/>
        <v>0</v>
      </c>
      <c r="BB60" s="1001">
        <f t="shared" si="151"/>
        <v>0</v>
      </c>
      <c r="BC60" s="1001">
        <f t="shared" si="151"/>
        <v>0</v>
      </c>
      <c r="BD60" s="1001">
        <f t="shared" si="151"/>
        <v>0</v>
      </c>
      <c r="BE60" s="1001">
        <f t="shared" si="151"/>
        <v>0</v>
      </c>
      <c r="BF60" s="1001">
        <f t="shared" si="151"/>
        <v>0</v>
      </c>
      <c r="BG60" s="1001">
        <f t="shared" si="151"/>
        <v>0</v>
      </c>
      <c r="BH60" s="1001">
        <f t="shared" si="151"/>
        <v>0</v>
      </c>
      <c r="BI60" s="1001">
        <f t="shared" si="151"/>
        <v>0</v>
      </c>
      <c r="BJ60" s="1001">
        <f t="shared" si="151"/>
        <v>6500</v>
      </c>
      <c r="BK60" s="1001">
        <f t="shared" si="151"/>
        <v>13000</v>
      </c>
      <c r="BL60" s="1002">
        <f>SUM(AZ60:BK60)</f>
        <v>19500</v>
      </c>
      <c r="BM60" s="1015"/>
      <c r="BN60" s="1016"/>
      <c r="BO60" s="1016"/>
      <c r="BP60" s="1016"/>
      <c r="BQ60" s="1016"/>
      <c r="BR60" s="1016"/>
      <c r="BS60" s="1016">
        <v>3000</v>
      </c>
      <c r="BT60" s="1016">
        <v>5000</v>
      </c>
      <c r="BU60" s="1016">
        <v>10000</v>
      </c>
      <c r="BV60" s="1016">
        <v>10000</v>
      </c>
      <c r="BW60" s="1016">
        <v>10000</v>
      </c>
      <c r="BX60" s="1016">
        <v>10000</v>
      </c>
      <c r="BY60" s="999">
        <f>SUM(BM60:BX60)</f>
        <v>48000</v>
      </c>
      <c r="BZ60" s="1000">
        <f t="shared" ref="BZ60:CK60" si="152">BM60*$J60</f>
        <v>0</v>
      </c>
      <c r="CA60" s="1001">
        <f t="shared" si="152"/>
        <v>0</v>
      </c>
      <c r="CB60" s="1001">
        <f t="shared" si="152"/>
        <v>0</v>
      </c>
      <c r="CC60" s="1001">
        <f t="shared" si="152"/>
        <v>0</v>
      </c>
      <c r="CD60" s="1001">
        <f t="shared" si="152"/>
        <v>0</v>
      </c>
      <c r="CE60" s="1001">
        <f t="shared" si="152"/>
        <v>0</v>
      </c>
      <c r="CF60" s="1001">
        <f t="shared" si="152"/>
        <v>3900</v>
      </c>
      <c r="CG60" s="1001">
        <f t="shared" si="152"/>
        <v>6500</v>
      </c>
      <c r="CH60" s="1001">
        <f t="shared" si="152"/>
        <v>13000</v>
      </c>
      <c r="CI60" s="1001">
        <f t="shared" si="152"/>
        <v>13000</v>
      </c>
      <c r="CJ60" s="1001">
        <f t="shared" si="152"/>
        <v>13000</v>
      </c>
      <c r="CK60" s="1001">
        <f t="shared" si="152"/>
        <v>13000</v>
      </c>
      <c r="CL60" s="1002">
        <f>SUM(BZ60:CK60)</f>
        <v>62400</v>
      </c>
      <c r="CM60" s="1015">
        <f>300000/12</f>
        <v>25000</v>
      </c>
      <c r="CN60" s="1016">
        <f t="shared" si="148"/>
        <v>25000</v>
      </c>
      <c r="CO60" s="1016">
        <f t="shared" si="148"/>
        <v>25000</v>
      </c>
      <c r="CP60" s="1016">
        <f t="shared" si="148"/>
        <v>25000</v>
      </c>
      <c r="CQ60" s="1016">
        <f t="shared" si="148"/>
        <v>25000</v>
      </c>
      <c r="CR60" s="1016">
        <f t="shared" si="148"/>
        <v>25000</v>
      </c>
      <c r="CS60" s="1016">
        <f t="shared" si="148"/>
        <v>25000</v>
      </c>
      <c r="CT60" s="1016">
        <f t="shared" si="148"/>
        <v>25000</v>
      </c>
      <c r="CU60" s="1016">
        <f t="shared" si="148"/>
        <v>25000</v>
      </c>
      <c r="CV60" s="1016">
        <f t="shared" si="148"/>
        <v>25000</v>
      </c>
      <c r="CW60" s="1016">
        <f t="shared" si="148"/>
        <v>25000</v>
      </c>
      <c r="CX60" s="1016">
        <f t="shared" si="148"/>
        <v>25000</v>
      </c>
      <c r="CY60" s="999">
        <f>SUM(CM60:CX60)</f>
        <v>300000</v>
      </c>
      <c r="CZ60" s="1000">
        <f t="shared" si="136"/>
        <v>32500</v>
      </c>
      <c r="DA60" s="1001">
        <f t="shared" si="136"/>
        <v>32500</v>
      </c>
      <c r="DB60" s="1001">
        <f t="shared" si="136"/>
        <v>32500</v>
      </c>
      <c r="DC60" s="1001">
        <f t="shared" ref="DC60:DK60" si="153">CP60*$J60</f>
        <v>32500</v>
      </c>
      <c r="DD60" s="1001">
        <f t="shared" si="153"/>
        <v>32500</v>
      </c>
      <c r="DE60" s="1001">
        <f t="shared" si="153"/>
        <v>32500</v>
      </c>
      <c r="DF60" s="1001">
        <f t="shared" si="153"/>
        <v>32500</v>
      </c>
      <c r="DG60" s="1001">
        <f t="shared" si="153"/>
        <v>32500</v>
      </c>
      <c r="DH60" s="1001">
        <f t="shared" si="153"/>
        <v>32500</v>
      </c>
      <c r="DI60" s="1001">
        <f t="shared" si="153"/>
        <v>32500</v>
      </c>
      <c r="DJ60" s="1001">
        <f t="shared" si="153"/>
        <v>32500</v>
      </c>
      <c r="DK60" s="1001">
        <f t="shared" si="153"/>
        <v>32500</v>
      </c>
      <c r="DL60" s="1002">
        <f>SUM(CZ60:DK60)</f>
        <v>390000</v>
      </c>
      <c r="DM60" s="1015">
        <f>600000/12</f>
        <v>50000</v>
      </c>
      <c r="DN60" s="1016">
        <f t="shared" si="149"/>
        <v>50000</v>
      </c>
      <c r="DO60" s="1016">
        <f t="shared" si="149"/>
        <v>50000</v>
      </c>
      <c r="DP60" s="1016">
        <f t="shared" si="149"/>
        <v>50000</v>
      </c>
      <c r="DQ60" s="1016">
        <f t="shared" si="149"/>
        <v>50000</v>
      </c>
      <c r="DR60" s="1016">
        <f t="shared" si="149"/>
        <v>50000</v>
      </c>
      <c r="DS60" s="1016">
        <f t="shared" si="149"/>
        <v>50000</v>
      </c>
      <c r="DT60" s="1016">
        <f t="shared" si="149"/>
        <v>50000</v>
      </c>
      <c r="DU60" s="1016">
        <f t="shared" si="149"/>
        <v>50000</v>
      </c>
      <c r="DV60" s="1016">
        <f t="shared" si="149"/>
        <v>50000</v>
      </c>
      <c r="DW60" s="1016">
        <f t="shared" si="149"/>
        <v>50000</v>
      </c>
      <c r="DX60" s="1016">
        <f t="shared" si="149"/>
        <v>50000</v>
      </c>
      <c r="DY60" s="999">
        <f>SUM(DM60:DX60)</f>
        <v>600000</v>
      </c>
      <c r="DZ60" s="1000">
        <f t="shared" si="137"/>
        <v>65000</v>
      </c>
      <c r="EA60" s="1001">
        <f t="shared" si="137"/>
        <v>65000</v>
      </c>
      <c r="EB60" s="1001">
        <f t="shared" si="137"/>
        <v>65000</v>
      </c>
      <c r="EC60" s="1001">
        <f t="shared" ref="EC60:EK60" si="154">DP60*$K60</f>
        <v>65000</v>
      </c>
      <c r="ED60" s="1001">
        <f t="shared" si="154"/>
        <v>65000</v>
      </c>
      <c r="EE60" s="1001">
        <f t="shared" si="154"/>
        <v>65000</v>
      </c>
      <c r="EF60" s="1001">
        <f t="shared" si="154"/>
        <v>65000</v>
      </c>
      <c r="EG60" s="1001">
        <f t="shared" si="154"/>
        <v>65000</v>
      </c>
      <c r="EH60" s="1001">
        <f t="shared" si="154"/>
        <v>65000</v>
      </c>
      <c r="EI60" s="1001">
        <f t="shared" si="154"/>
        <v>65000</v>
      </c>
      <c r="EJ60" s="1001">
        <f t="shared" si="154"/>
        <v>65000</v>
      </c>
      <c r="EK60" s="1001">
        <f t="shared" si="154"/>
        <v>65000</v>
      </c>
      <c r="EL60" s="1002">
        <f>SUM(DZ60:EK60)</f>
        <v>780000</v>
      </c>
    </row>
    <row r="61" spans="1:142">
      <c r="A61" s="973" t="s">
        <v>680</v>
      </c>
      <c r="B61" s="913" t="s">
        <v>71</v>
      </c>
      <c r="C61" s="1004" t="s">
        <v>72</v>
      </c>
      <c r="D61" s="558">
        <v>2.5909</v>
      </c>
      <c r="E61" s="559">
        <v>2.5909</v>
      </c>
      <c r="F61" s="559">
        <v>2.5909</v>
      </c>
      <c r="G61" s="560">
        <v>2.5909</v>
      </c>
      <c r="H61" s="558">
        <f t="shared" si="73"/>
        <v>2.5909</v>
      </c>
      <c r="I61" s="559">
        <f t="shared" si="73"/>
        <v>2.5909</v>
      </c>
      <c r="J61" s="559">
        <f t="shared" si="73"/>
        <v>2.5909</v>
      </c>
      <c r="K61" s="982">
        <f t="shared" si="73"/>
        <v>2.5909</v>
      </c>
      <c r="L61" s="983"/>
      <c r="M61" s="564"/>
      <c r="N61" s="539"/>
      <c r="O61" s="539"/>
      <c r="P61" s="539">
        <v>11520</v>
      </c>
      <c r="Q61" s="539"/>
      <c r="R61" s="539"/>
      <c r="S61" s="539"/>
      <c r="T61" s="539"/>
      <c r="U61" s="539"/>
      <c r="V61" s="539"/>
      <c r="W61" s="539"/>
      <c r="X61" s="539">
        <v>0</v>
      </c>
      <c r="Y61" s="885">
        <f t="shared" si="58"/>
        <v>11520</v>
      </c>
      <c r="Z61" s="886">
        <v>0</v>
      </c>
      <c r="AA61" s="257">
        <v>0</v>
      </c>
      <c r="AB61" s="257">
        <v>0</v>
      </c>
      <c r="AC61" s="257">
        <v>27142</v>
      </c>
      <c r="AD61" s="257">
        <f t="shared" si="150"/>
        <v>0</v>
      </c>
      <c r="AE61" s="257">
        <f t="shared" ref="AE61:AE71" si="155">R61*$E61</f>
        <v>0</v>
      </c>
      <c r="AF61" s="257">
        <f t="shared" ref="AF61:AH72" si="156">S61*$F61</f>
        <v>0</v>
      </c>
      <c r="AG61" s="257">
        <f t="shared" si="156"/>
        <v>0</v>
      </c>
      <c r="AH61" s="257">
        <f t="shared" si="156"/>
        <v>0</v>
      </c>
      <c r="AI61" s="257">
        <f t="shared" ref="AI61:AK72" si="157">V61*$G61</f>
        <v>0</v>
      </c>
      <c r="AJ61" s="257">
        <f t="shared" si="157"/>
        <v>0</v>
      </c>
      <c r="AK61" s="257">
        <f t="shared" si="157"/>
        <v>0</v>
      </c>
      <c r="AL61" s="887">
        <f t="shared" si="62"/>
        <v>27142</v>
      </c>
      <c r="AM61" s="984">
        <f>35000/12</f>
        <v>2916.6666666666665</v>
      </c>
      <c r="AN61" s="985">
        <f t="shared" ref="AN61:AX62" si="158">35000/12</f>
        <v>2916.6666666666665</v>
      </c>
      <c r="AO61" s="985">
        <f t="shared" si="158"/>
        <v>2916.6666666666665</v>
      </c>
      <c r="AP61" s="985">
        <f t="shared" si="158"/>
        <v>2916.6666666666665</v>
      </c>
      <c r="AQ61" s="985">
        <f t="shared" si="158"/>
        <v>2916.6666666666665</v>
      </c>
      <c r="AR61" s="985">
        <f t="shared" si="158"/>
        <v>2916.6666666666665</v>
      </c>
      <c r="AS61" s="985">
        <f t="shared" si="158"/>
        <v>2916.6666666666665</v>
      </c>
      <c r="AT61" s="985">
        <f t="shared" si="158"/>
        <v>2916.6666666666665</v>
      </c>
      <c r="AU61" s="985">
        <f t="shared" si="158"/>
        <v>2916.6666666666665</v>
      </c>
      <c r="AV61" s="985">
        <f t="shared" si="158"/>
        <v>2916.6666666666665</v>
      </c>
      <c r="AW61" s="985">
        <f t="shared" si="158"/>
        <v>2916.6666666666665</v>
      </c>
      <c r="AX61" s="985">
        <f t="shared" si="158"/>
        <v>2916.6666666666665</v>
      </c>
      <c r="AY61" s="986">
        <f t="shared" si="64"/>
        <v>35000.000000000007</v>
      </c>
      <c r="AZ61" s="886">
        <f t="shared" ref="AZ61:AZ72" si="159">AM61*$H61</f>
        <v>7556.7916666666661</v>
      </c>
      <c r="BA61" s="257">
        <f t="shared" ref="BA61:BA72" si="160">AN61*$H61</f>
        <v>7556.7916666666661</v>
      </c>
      <c r="BB61" s="257">
        <f t="shared" ref="BB61:BB72" si="161">AO61*$H61</f>
        <v>7556.7916666666661</v>
      </c>
      <c r="BC61" s="257">
        <f t="shared" si="134"/>
        <v>7556.7916666666661</v>
      </c>
      <c r="BD61" s="257">
        <f t="shared" si="134"/>
        <v>7556.7916666666661</v>
      </c>
      <c r="BE61" s="257">
        <f t="shared" si="134"/>
        <v>7556.7916666666661</v>
      </c>
      <c r="BF61" s="257">
        <f t="shared" si="134"/>
        <v>7556.7916666666661</v>
      </c>
      <c r="BG61" s="257">
        <f t="shared" si="134"/>
        <v>7556.7916666666661</v>
      </c>
      <c r="BH61" s="257">
        <f t="shared" si="134"/>
        <v>7556.7916666666661</v>
      </c>
      <c r="BI61" s="257">
        <f t="shared" si="134"/>
        <v>7556.7916666666661</v>
      </c>
      <c r="BJ61" s="257">
        <f t="shared" si="134"/>
        <v>7556.7916666666661</v>
      </c>
      <c r="BK61" s="257">
        <f t="shared" si="134"/>
        <v>7556.7916666666661</v>
      </c>
      <c r="BL61" s="887">
        <f t="shared" si="47"/>
        <v>90681.5</v>
      </c>
      <c r="BM61" s="984">
        <f>35000/12</f>
        <v>2916.6666666666665</v>
      </c>
      <c r="BN61" s="985">
        <f t="shared" ref="BN61:BX62" si="162">35000/12</f>
        <v>2916.6666666666665</v>
      </c>
      <c r="BO61" s="985">
        <f t="shared" si="162"/>
        <v>2916.6666666666665</v>
      </c>
      <c r="BP61" s="985">
        <f t="shared" si="162"/>
        <v>2916.6666666666665</v>
      </c>
      <c r="BQ61" s="985">
        <f t="shared" si="162"/>
        <v>2916.6666666666665</v>
      </c>
      <c r="BR61" s="985">
        <f t="shared" si="162"/>
        <v>2916.6666666666665</v>
      </c>
      <c r="BS61" s="985">
        <f t="shared" si="162"/>
        <v>2916.6666666666665</v>
      </c>
      <c r="BT61" s="985">
        <f t="shared" si="162"/>
        <v>2916.6666666666665</v>
      </c>
      <c r="BU61" s="985">
        <f t="shared" si="162"/>
        <v>2916.6666666666665</v>
      </c>
      <c r="BV61" s="985">
        <f t="shared" si="162"/>
        <v>2916.6666666666665</v>
      </c>
      <c r="BW61" s="985">
        <f t="shared" si="162"/>
        <v>2916.6666666666665</v>
      </c>
      <c r="BX61" s="985">
        <f t="shared" si="162"/>
        <v>2916.6666666666665</v>
      </c>
      <c r="BY61" s="986">
        <f t="shared" si="66"/>
        <v>35000.000000000007</v>
      </c>
      <c r="BZ61" s="886">
        <f t="shared" ref="BZ61:BZ72" si="163">BM61*$I61</f>
        <v>7556.7916666666661</v>
      </c>
      <c r="CA61" s="257">
        <f t="shared" ref="CA61:CA72" si="164">BN61*$I61</f>
        <v>7556.7916666666661</v>
      </c>
      <c r="CB61" s="257">
        <f t="shared" ref="CB61:CB72" si="165">BO61*$I61</f>
        <v>7556.7916666666661</v>
      </c>
      <c r="CC61" s="257">
        <f t="shared" si="135"/>
        <v>7556.7916666666661</v>
      </c>
      <c r="CD61" s="257">
        <f t="shared" si="135"/>
        <v>7556.7916666666661</v>
      </c>
      <c r="CE61" s="257">
        <f t="shared" si="135"/>
        <v>7556.7916666666661</v>
      </c>
      <c r="CF61" s="257">
        <f t="shared" si="135"/>
        <v>7556.7916666666661</v>
      </c>
      <c r="CG61" s="257">
        <f t="shared" si="135"/>
        <v>7556.7916666666661</v>
      </c>
      <c r="CH61" s="257">
        <f t="shared" si="135"/>
        <v>7556.7916666666661</v>
      </c>
      <c r="CI61" s="257">
        <f t="shared" si="135"/>
        <v>7556.7916666666661</v>
      </c>
      <c r="CJ61" s="257">
        <f t="shared" si="135"/>
        <v>7556.7916666666661</v>
      </c>
      <c r="CK61" s="257">
        <f t="shared" si="135"/>
        <v>7556.7916666666661</v>
      </c>
      <c r="CL61" s="887">
        <f t="shared" si="68"/>
        <v>90681.5</v>
      </c>
      <c r="CM61" s="984">
        <f>35000/12</f>
        <v>2916.6666666666665</v>
      </c>
      <c r="CN61" s="985">
        <f t="shared" ref="CN61:CX62" si="166">35000/12</f>
        <v>2916.6666666666665</v>
      </c>
      <c r="CO61" s="985">
        <f t="shared" si="166"/>
        <v>2916.6666666666665</v>
      </c>
      <c r="CP61" s="985">
        <f t="shared" si="166"/>
        <v>2916.6666666666665</v>
      </c>
      <c r="CQ61" s="985">
        <f t="shared" si="166"/>
        <v>2916.6666666666665</v>
      </c>
      <c r="CR61" s="985">
        <f t="shared" si="166"/>
        <v>2916.6666666666665</v>
      </c>
      <c r="CS61" s="985">
        <f t="shared" si="166"/>
        <v>2916.6666666666665</v>
      </c>
      <c r="CT61" s="985">
        <f t="shared" si="166"/>
        <v>2916.6666666666665</v>
      </c>
      <c r="CU61" s="985">
        <f t="shared" si="166"/>
        <v>2916.6666666666665</v>
      </c>
      <c r="CV61" s="985">
        <f t="shared" si="166"/>
        <v>2916.6666666666665</v>
      </c>
      <c r="CW61" s="985">
        <f t="shared" si="166"/>
        <v>2916.6666666666665</v>
      </c>
      <c r="CX61" s="985">
        <f t="shared" si="166"/>
        <v>2916.6666666666665</v>
      </c>
      <c r="CY61" s="986">
        <f t="shared" si="69"/>
        <v>35000.000000000007</v>
      </c>
      <c r="CZ61" s="886">
        <f t="shared" si="136"/>
        <v>7556.7916666666661</v>
      </c>
      <c r="DA61" s="257">
        <f t="shared" si="136"/>
        <v>7556.7916666666661</v>
      </c>
      <c r="DB61" s="257">
        <f t="shared" si="136"/>
        <v>7556.7916666666661</v>
      </c>
      <c r="DC61" s="257">
        <f t="shared" si="136"/>
        <v>7556.7916666666661</v>
      </c>
      <c r="DD61" s="257">
        <f t="shared" si="136"/>
        <v>7556.7916666666661</v>
      </c>
      <c r="DE61" s="257">
        <f t="shared" si="136"/>
        <v>7556.7916666666661</v>
      </c>
      <c r="DF61" s="257">
        <f t="shared" si="136"/>
        <v>7556.7916666666661</v>
      </c>
      <c r="DG61" s="257">
        <f t="shared" si="136"/>
        <v>7556.7916666666661</v>
      </c>
      <c r="DH61" s="257">
        <f t="shared" si="136"/>
        <v>7556.7916666666661</v>
      </c>
      <c r="DI61" s="257">
        <f t="shared" si="136"/>
        <v>7556.7916666666661</v>
      </c>
      <c r="DJ61" s="257">
        <f t="shared" si="136"/>
        <v>7556.7916666666661</v>
      </c>
      <c r="DK61" s="257">
        <f t="shared" si="136"/>
        <v>7556.7916666666661</v>
      </c>
      <c r="DL61" s="887">
        <f t="shared" si="50"/>
        <v>90681.5</v>
      </c>
      <c r="DM61" s="984">
        <f>35000/12</f>
        <v>2916.6666666666665</v>
      </c>
      <c r="DN61" s="985">
        <f t="shared" ref="DN61:DX62" si="167">35000/12</f>
        <v>2916.6666666666665</v>
      </c>
      <c r="DO61" s="985">
        <f t="shared" si="167"/>
        <v>2916.6666666666665</v>
      </c>
      <c r="DP61" s="985">
        <f t="shared" si="167"/>
        <v>2916.6666666666665</v>
      </c>
      <c r="DQ61" s="985">
        <f t="shared" si="167"/>
        <v>2916.6666666666665</v>
      </c>
      <c r="DR61" s="985">
        <f t="shared" si="167"/>
        <v>2916.6666666666665</v>
      </c>
      <c r="DS61" s="985">
        <f t="shared" si="167"/>
        <v>2916.6666666666665</v>
      </c>
      <c r="DT61" s="985">
        <f t="shared" si="167"/>
        <v>2916.6666666666665</v>
      </c>
      <c r="DU61" s="985">
        <f t="shared" si="167"/>
        <v>2916.6666666666665</v>
      </c>
      <c r="DV61" s="985">
        <f t="shared" si="167"/>
        <v>2916.6666666666665</v>
      </c>
      <c r="DW61" s="985">
        <f t="shared" si="167"/>
        <v>2916.6666666666665</v>
      </c>
      <c r="DX61" s="985">
        <f t="shared" si="167"/>
        <v>2916.6666666666665</v>
      </c>
      <c r="DY61" s="986">
        <f t="shared" si="71"/>
        <v>35000.000000000007</v>
      </c>
      <c r="DZ61" s="886">
        <f t="shared" si="137"/>
        <v>7556.7916666666661</v>
      </c>
      <c r="EA61" s="257">
        <f t="shared" si="137"/>
        <v>7556.7916666666661</v>
      </c>
      <c r="EB61" s="257">
        <f t="shared" si="137"/>
        <v>7556.7916666666661</v>
      </c>
      <c r="EC61" s="257">
        <f t="shared" si="137"/>
        <v>7556.7916666666661</v>
      </c>
      <c r="ED61" s="257">
        <f t="shared" si="137"/>
        <v>7556.7916666666661</v>
      </c>
      <c r="EE61" s="257">
        <f t="shared" si="137"/>
        <v>7556.7916666666661</v>
      </c>
      <c r="EF61" s="257">
        <f t="shared" si="137"/>
        <v>7556.7916666666661</v>
      </c>
      <c r="EG61" s="257">
        <f t="shared" si="137"/>
        <v>7556.7916666666661</v>
      </c>
      <c r="EH61" s="257">
        <f t="shared" si="137"/>
        <v>7556.7916666666661</v>
      </c>
      <c r="EI61" s="257">
        <f t="shared" si="137"/>
        <v>7556.7916666666661</v>
      </c>
      <c r="EJ61" s="257">
        <f t="shared" si="137"/>
        <v>7556.7916666666661</v>
      </c>
      <c r="EK61" s="257">
        <f t="shared" si="137"/>
        <v>7556.7916666666661</v>
      </c>
      <c r="EL61" s="887">
        <f t="shared" si="52"/>
        <v>90681.5</v>
      </c>
    </row>
    <row r="62" spans="1:142">
      <c r="A62" s="973" t="s">
        <v>680</v>
      </c>
      <c r="B62" s="913" t="s">
        <v>73</v>
      </c>
      <c r="C62" s="1004" t="s">
        <v>74</v>
      </c>
      <c r="D62" s="558">
        <v>2.0857000000000001</v>
      </c>
      <c r="E62" s="559">
        <v>2.0857000000000001</v>
      </c>
      <c r="F62" s="559">
        <v>2.0857000000000001</v>
      </c>
      <c r="G62" s="560">
        <v>2.0857000000000001</v>
      </c>
      <c r="H62" s="558">
        <f t="shared" si="73"/>
        <v>2.0857000000000001</v>
      </c>
      <c r="I62" s="559">
        <f t="shared" si="73"/>
        <v>2.0857000000000001</v>
      </c>
      <c r="J62" s="559">
        <f t="shared" si="73"/>
        <v>2.0857000000000001</v>
      </c>
      <c r="K62" s="982">
        <f t="shared" si="73"/>
        <v>2.0857000000000001</v>
      </c>
      <c r="L62" s="983"/>
      <c r="M62" s="564"/>
      <c r="N62" s="539"/>
      <c r="O62" s="539">
        <v>1000</v>
      </c>
      <c r="P62" s="539">
        <v>9800</v>
      </c>
      <c r="Q62" s="539"/>
      <c r="R62" s="539"/>
      <c r="S62" s="539"/>
      <c r="T62" s="539"/>
      <c r="U62" s="539"/>
      <c r="V62" s="539"/>
      <c r="W62" s="539"/>
      <c r="X62" s="539">
        <v>0</v>
      </c>
      <c r="Y62" s="885">
        <f t="shared" si="58"/>
        <v>10800</v>
      </c>
      <c r="Z62" s="886">
        <v>0</v>
      </c>
      <c r="AA62" s="257">
        <v>0</v>
      </c>
      <c r="AB62" s="257">
        <v>1866.4</v>
      </c>
      <c r="AC62" s="257">
        <v>18291</v>
      </c>
      <c r="AD62" s="257">
        <f t="shared" si="150"/>
        <v>0</v>
      </c>
      <c r="AE62" s="257">
        <f t="shared" si="155"/>
        <v>0</v>
      </c>
      <c r="AF62" s="257">
        <f t="shared" si="156"/>
        <v>0</v>
      </c>
      <c r="AG62" s="257">
        <f t="shared" si="156"/>
        <v>0</v>
      </c>
      <c r="AH62" s="257">
        <f t="shared" si="156"/>
        <v>0</v>
      </c>
      <c r="AI62" s="257">
        <f t="shared" si="157"/>
        <v>0</v>
      </c>
      <c r="AJ62" s="257">
        <f t="shared" si="157"/>
        <v>0</v>
      </c>
      <c r="AK62" s="257">
        <f t="shared" si="157"/>
        <v>0</v>
      </c>
      <c r="AL62" s="887">
        <f t="shared" si="62"/>
        <v>20157.400000000001</v>
      </c>
      <c r="AM62" s="984">
        <f>35000/12</f>
        <v>2916.6666666666665</v>
      </c>
      <c r="AN62" s="985">
        <f t="shared" si="158"/>
        <v>2916.6666666666665</v>
      </c>
      <c r="AO62" s="985">
        <f t="shared" si="158"/>
        <v>2916.6666666666665</v>
      </c>
      <c r="AP62" s="985">
        <f t="shared" si="158"/>
        <v>2916.6666666666665</v>
      </c>
      <c r="AQ62" s="985">
        <f t="shared" si="158"/>
        <v>2916.6666666666665</v>
      </c>
      <c r="AR62" s="985">
        <f t="shared" si="158"/>
        <v>2916.6666666666665</v>
      </c>
      <c r="AS62" s="985">
        <f t="shared" si="158"/>
        <v>2916.6666666666665</v>
      </c>
      <c r="AT62" s="985">
        <f t="shared" si="158"/>
        <v>2916.6666666666665</v>
      </c>
      <c r="AU62" s="985">
        <f t="shared" si="158"/>
        <v>2916.6666666666665</v>
      </c>
      <c r="AV62" s="985">
        <f t="shared" si="158"/>
        <v>2916.6666666666665</v>
      </c>
      <c r="AW62" s="985">
        <f t="shared" si="158"/>
        <v>2916.6666666666665</v>
      </c>
      <c r="AX62" s="985">
        <f t="shared" si="158"/>
        <v>2916.6666666666665</v>
      </c>
      <c r="AY62" s="986">
        <f t="shared" si="64"/>
        <v>35000.000000000007</v>
      </c>
      <c r="AZ62" s="886">
        <f t="shared" si="159"/>
        <v>6083.291666666667</v>
      </c>
      <c r="BA62" s="257">
        <f t="shared" si="160"/>
        <v>6083.291666666667</v>
      </c>
      <c r="BB62" s="257">
        <f t="shared" si="161"/>
        <v>6083.291666666667</v>
      </c>
      <c r="BC62" s="257">
        <f t="shared" si="134"/>
        <v>6083.291666666667</v>
      </c>
      <c r="BD62" s="257">
        <f t="shared" si="134"/>
        <v>6083.291666666667</v>
      </c>
      <c r="BE62" s="257">
        <f t="shared" si="134"/>
        <v>6083.291666666667</v>
      </c>
      <c r="BF62" s="257">
        <f t="shared" si="134"/>
        <v>6083.291666666667</v>
      </c>
      <c r="BG62" s="257">
        <f t="shared" si="134"/>
        <v>6083.291666666667</v>
      </c>
      <c r="BH62" s="257">
        <f t="shared" si="134"/>
        <v>6083.291666666667</v>
      </c>
      <c r="BI62" s="257">
        <f t="shared" si="134"/>
        <v>6083.291666666667</v>
      </c>
      <c r="BJ62" s="257">
        <f t="shared" si="134"/>
        <v>6083.291666666667</v>
      </c>
      <c r="BK62" s="257">
        <f t="shared" si="134"/>
        <v>6083.291666666667</v>
      </c>
      <c r="BL62" s="887">
        <f t="shared" si="47"/>
        <v>72999.5</v>
      </c>
      <c r="BM62" s="984">
        <f>35000/12</f>
        <v>2916.6666666666665</v>
      </c>
      <c r="BN62" s="985">
        <f t="shared" si="162"/>
        <v>2916.6666666666665</v>
      </c>
      <c r="BO62" s="985">
        <f t="shared" si="162"/>
        <v>2916.6666666666665</v>
      </c>
      <c r="BP62" s="985">
        <f t="shared" si="162"/>
        <v>2916.6666666666665</v>
      </c>
      <c r="BQ62" s="985">
        <f t="shared" si="162"/>
        <v>2916.6666666666665</v>
      </c>
      <c r="BR62" s="985">
        <f t="shared" si="162"/>
        <v>2916.6666666666665</v>
      </c>
      <c r="BS62" s="985">
        <f t="shared" si="162"/>
        <v>2916.6666666666665</v>
      </c>
      <c r="BT62" s="985">
        <f t="shared" si="162"/>
        <v>2916.6666666666665</v>
      </c>
      <c r="BU62" s="985">
        <f t="shared" si="162"/>
        <v>2916.6666666666665</v>
      </c>
      <c r="BV62" s="985">
        <f t="shared" si="162"/>
        <v>2916.6666666666665</v>
      </c>
      <c r="BW62" s="985">
        <f t="shared" si="162"/>
        <v>2916.6666666666665</v>
      </c>
      <c r="BX62" s="985">
        <f t="shared" si="162"/>
        <v>2916.6666666666665</v>
      </c>
      <c r="BY62" s="986">
        <f t="shared" si="66"/>
        <v>35000.000000000007</v>
      </c>
      <c r="BZ62" s="886">
        <f t="shared" si="163"/>
        <v>6083.291666666667</v>
      </c>
      <c r="CA62" s="257">
        <f t="shared" si="164"/>
        <v>6083.291666666667</v>
      </c>
      <c r="CB62" s="257">
        <f t="shared" si="165"/>
        <v>6083.291666666667</v>
      </c>
      <c r="CC62" s="257">
        <f t="shared" si="135"/>
        <v>6083.291666666667</v>
      </c>
      <c r="CD62" s="257">
        <f t="shared" si="135"/>
        <v>6083.291666666667</v>
      </c>
      <c r="CE62" s="257">
        <f t="shared" si="135"/>
        <v>6083.291666666667</v>
      </c>
      <c r="CF62" s="257">
        <f t="shared" si="135"/>
        <v>6083.291666666667</v>
      </c>
      <c r="CG62" s="257">
        <f t="shared" si="135"/>
        <v>6083.291666666667</v>
      </c>
      <c r="CH62" s="257">
        <f t="shared" si="135"/>
        <v>6083.291666666667</v>
      </c>
      <c r="CI62" s="257">
        <f t="shared" si="135"/>
        <v>6083.291666666667</v>
      </c>
      <c r="CJ62" s="257">
        <f t="shared" si="135"/>
        <v>6083.291666666667</v>
      </c>
      <c r="CK62" s="257">
        <f t="shared" si="135"/>
        <v>6083.291666666667</v>
      </c>
      <c r="CL62" s="887">
        <f t="shared" si="68"/>
        <v>72999.5</v>
      </c>
      <c r="CM62" s="984">
        <f>35000/12</f>
        <v>2916.6666666666665</v>
      </c>
      <c r="CN62" s="985">
        <f t="shared" si="166"/>
        <v>2916.6666666666665</v>
      </c>
      <c r="CO62" s="985">
        <f t="shared" si="166"/>
        <v>2916.6666666666665</v>
      </c>
      <c r="CP62" s="985">
        <f t="shared" si="166"/>
        <v>2916.6666666666665</v>
      </c>
      <c r="CQ62" s="985">
        <f t="shared" si="166"/>
        <v>2916.6666666666665</v>
      </c>
      <c r="CR62" s="985">
        <f t="shared" si="166"/>
        <v>2916.6666666666665</v>
      </c>
      <c r="CS62" s="985">
        <f t="shared" si="166"/>
        <v>2916.6666666666665</v>
      </c>
      <c r="CT62" s="985">
        <f t="shared" si="166"/>
        <v>2916.6666666666665</v>
      </c>
      <c r="CU62" s="985">
        <f t="shared" si="166"/>
        <v>2916.6666666666665</v>
      </c>
      <c r="CV62" s="985">
        <f t="shared" si="166"/>
        <v>2916.6666666666665</v>
      </c>
      <c r="CW62" s="985">
        <f t="shared" si="166"/>
        <v>2916.6666666666665</v>
      </c>
      <c r="CX62" s="985">
        <f t="shared" si="166"/>
        <v>2916.6666666666665</v>
      </c>
      <c r="CY62" s="986">
        <f t="shared" si="69"/>
        <v>35000.000000000007</v>
      </c>
      <c r="CZ62" s="886">
        <f t="shared" si="136"/>
        <v>6083.291666666667</v>
      </c>
      <c r="DA62" s="257">
        <f t="shared" si="136"/>
        <v>6083.291666666667</v>
      </c>
      <c r="DB62" s="257">
        <f t="shared" si="136"/>
        <v>6083.291666666667</v>
      </c>
      <c r="DC62" s="257">
        <f t="shared" si="136"/>
        <v>6083.291666666667</v>
      </c>
      <c r="DD62" s="257">
        <f t="shared" si="136"/>
        <v>6083.291666666667</v>
      </c>
      <c r="DE62" s="257">
        <f t="shared" si="136"/>
        <v>6083.291666666667</v>
      </c>
      <c r="DF62" s="257">
        <f t="shared" si="136"/>
        <v>6083.291666666667</v>
      </c>
      <c r="DG62" s="257">
        <f t="shared" si="136"/>
        <v>6083.291666666667</v>
      </c>
      <c r="DH62" s="257">
        <f t="shared" si="136"/>
        <v>6083.291666666667</v>
      </c>
      <c r="DI62" s="257">
        <f t="shared" si="136"/>
        <v>6083.291666666667</v>
      </c>
      <c r="DJ62" s="257">
        <f t="shared" si="136"/>
        <v>6083.291666666667</v>
      </c>
      <c r="DK62" s="257">
        <f t="shared" si="136"/>
        <v>6083.291666666667</v>
      </c>
      <c r="DL62" s="887">
        <f t="shared" si="50"/>
        <v>72999.5</v>
      </c>
      <c r="DM62" s="984">
        <f>35000/12</f>
        <v>2916.6666666666665</v>
      </c>
      <c r="DN62" s="985">
        <f t="shared" si="167"/>
        <v>2916.6666666666665</v>
      </c>
      <c r="DO62" s="985">
        <f t="shared" si="167"/>
        <v>2916.6666666666665</v>
      </c>
      <c r="DP62" s="985">
        <f t="shared" si="167"/>
        <v>2916.6666666666665</v>
      </c>
      <c r="DQ62" s="985">
        <f t="shared" si="167"/>
        <v>2916.6666666666665</v>
      </c>
      <c r="DR62" s="985">
        <f t="shared" si="167"/>
        <v>2916.6666666666665</v>
      </c>
      <c r="DS62" s="985">
        <f t="shared" si="167"/>
        <v>2916.6666666666665</v>
      </c>
      <c r="DT62" s="985">
        <f t="shared" si="167"/>
        <v>2916.6666666666665</v>
      </c>
      <c r="DU62" s="985">
        <f t="shared" si="167"/>
        <v>2916.6666666666665</v>
      </c>
      <c r="DV62" s="985">
        <f t="shared" si="167"/>
        <v>2916.6666666666665</v>
      </c>
      <c r="DW62" s="985">
        <f t="shared" si="167"/>
        <v>2916.6666666666665</v>
      </c>
      <c r="DX62" s="985">
        <f t="shared" si="167"/>
        <v>2916.6666666666665</v>
      </c>
      <c r="DY62" s="986">
        <f t="shared" si="71"/>
        <v>35000.000000000007</v>
      </c>
      <c r="DZ62" s="886">
        <f t="shared" si="137"/>
        <v>6083.291666666667</v>
      </c>
      <c r="EA62" s="257">
        <f t="shared" si="137"/>
        <v>6083.291666666667</v>
      </c>
      <c r="EB62" s="257">
        <f t="shared" si="137"/>
        <v>6083.291666666667</v>
      </c>
      <c r="EC62" s="257">
        <f t="shared" si="137"/>
        <v>6083.291666666667</v>
      </c>
      <c r="ED62" s="257">
        <f t="shared" si="137"/>
        <v>6083.291666666667</v>
      </c>
      <c r="EE62" s="257">
        <f t="shared" si="137"/>
        <v>6083.291666666667</v>
      </c>
      <c r="EF62" s="257">
        <f t="shared" si="137"/>
        <v>6083.291666666667</v>
      </c>
      <c r="EG62" s="257">
        <f t="shared" si="137"/>
        <v>6083.291666666667</v>
      </c>
      <c r="EH62" s="257">
        <f t="shared" si="137"/>
        <v>6083.291666666667</v>
      </c>
      <c r="EI62" s="257">
        <f t="shared" si="137"/>
        <v>6083.291666666667</v>
      </c>
      <c r="EJ62" s="257">
        <f t="shared" si="137"/>
        <v>6083.291666666667</v>
      </c>
      <c r="EK62" s="257">
        <f t="shared" si="137"/>
        <v>6083.291666666667</v>
      </c>
      <c r="EL62" s="887">
        <f t="shared" si="52"/>
        <v>72999.5</v>
      </c>
    </row>
    <row r="63" spans="1:142">
      <c r="A63" s="973" t="s">
        <v>667</v>
      </c>
      <c r="B63" s="913" t="s">
        <v>704</v>
      </c>
      <c r="C63" s="1004" t="s">
        <v>290</v>
      </c>
      <c r="D63" s="1026">
        <v>2.4708999999999999</v>
      </c>
      <c r="E63" s="559">
        <v>2.4708999999999999</v>
      </c>
      <c r="F63" s="559">
        <v>2.1659999999999999</v>
      </c>
      <c r="G63" s="560">
        <v>2.4708999999999999</v>
      </c>
      <c r="H63" s="558">
        <f t="shared" si="73"/>
        <v>2.4708999999999999</v>
      </c>
      <c r="I63" s="559">
        <f t="shared" si="73"/>
        <v>2.4708999999999999</v>
      </c>
      <c r="J63" s="559">
        <f t="shared" si="73"/>
        <v>2.4708999999999999</v>
      </c>
      <c r="K63" s="982">
        <f t="shared" si="73"/>
        <v>2.4708999999999999</v>
      </c>
      <c r="L63" s="983"/>
      <c r="M63" s="564">
        <v>3600</v>
      </c>
      <c r="N63" s="539">
        <v>3600</v>
      </c>
      <c r="O63" s="539">
        <v>3600</v>
      </c>
      <c r="P63" s="539"/>
      <c r="Q63" s="539"/>
      <c r="R63" s="539"/>
      <c r="S63" s="539">
        <v>1350</v>
      </c>
      <c r="T63" s="539">
        <v>1500</v>
      </c>
      <c r="U63" s="539">
        <v>1500</v>
      </c>
      <c r="V63" s="539">
        <v>1500</v>
      </c>
      <c r="W63" s="539"/>
      <c r="X63" s="539"/>
      <c r="Y63" s="885">
        <f t="shared" si="58"/>
        <v>16650</v>
      </c>
      <c r="Z63" s="886">
        <v>8678.5199999999986</v>
      </c>
      <c r="AA63" s="257">
        <v>7797.5999999999995</v>
      </c>
      <c r="AB63" s="257">
        <v>7797.5999999999995</v>
      </c>
      <c r="AC63" s="257">
        <f>P63*$E63</f>
        <v>0</v>
      </c>
      <c r="AD63" s="257">
        <f t="shared" si="150"/>
        <v>0</v>
      </c>
      <c r="AE63" s="257">
        <f t="shared" si="155"/>
        <v>0</v>
      </c>
      <c r="AF63" s="257">
        <f>S63*$F63</f>
        <v>2924.1</v>
      </c>
      <c r="AG63" s="257">
        <f>T63*$F63</f>
        <v>3249</v>
      </c>
      <c r="AH63" s="257">
        <f t="shared" si="156"/>
        <v>3249</v>
      </c>
      <c r="AI63" s="257">
        <f t="shared" si="157"/>
        <v>3706.35</v>
      </c>
      <c r="AJ63" s="257">
        <f t="shared" si="157"/>
        <v>0</v>
      </c>
      <c r="AK63" s="257">
        <f t="shared" si="157"/>
        <v>0</v>
      </c>
      <c r="AL63" s="887">
        <f t="shared" si="62"/>
        <v>37402.169999999991</v>
      </c>
      <c r="AM63" s="984">
        <f>41000/12</f>
        <v>3416.6666666666665</v>
      </c>
      <c r="AN63" s="985">
        <f t="shared" ref="AN63:AX64" si="168">41000/12</f>
        <v>3416.6666666666665</v>
      </c>
      <c r="AO63" s="985">
        <f t="shared" si="168"/>
        <v>3416.6666666666665</v>
      </c>
      <c r="AP63" s="985">
        <f t="shared" si="168"/>
        <v>3416.6666666666665</v>
      </c>
      <c r="AQ63" s="985">
        <f t="shared" si="168"/>
        <v>3416.6666666666665</v>
      </c>
      <c r="AR63" s="985">
        <f t="shared" si="168"/>
        <v>3416.6666666666665</v>
      </c>
      <c r="AS63" s="985">
        <f t="shared" si="168"/>
        <v>3416.6666666666665</v>
      </c>
      <c r="AT63" s="985">
        <f t="shared" si="168"/>
        <v>3416.6666666666665</v>
      </c>
      <c r="AU63" s="985">
        <f t="shared" si="168"/>
        <v>3416.6666666666665</v>
      </c>
      <c r="AV63" s="985">
        <f t="shared" si="168"/>
        <v>3416.6666666666665</v>
      </c>
      <c r="AW63" s="985">
        <f t="shared" si="168"/>
        <v>3416.6666666666665</v>
      </c>
      <c r="AX63" s="985">
        <f t="shared" si="168"/>
        <v>3416.6666666666665</v>
      </c>
      <c r="AY63" s="986">
        <f t="shared" si="64"/>
        <v>41000</v>
      </c>
      <c r="AZ63" s="886">
        <f t="shared" si="159"/>
        <v>8442.241666666665</v>
      </c>
      <c r="BA63" s="257">
        <f t="shared" si="160"/>
        <v>8442.241666666665</v>
      </c>
      <c r="BB63" s="257">
        <f t="shared" si="161"/>
        <v>8442.241666666665</v>
      </c>
      <c r="BC63" s="257">
        <f t="shared" si="134"/>
        <v>8442.241666666665</v>
      </c>
      <c r="BD63" s="257">
        <f t="shared" si="134"/>
        <v>8442.241666666665</v>
      </c>
      <c r="BE63" s="257">
        <f t="shared" si="134"/>
        <v>8442.241666666665</v>
      </c>
      <c r="BF63" s="257">
        <f t="shared" si="134"/>
        <v>8442.241666666665</v>
      </c>
      <c r="BG63" s="257">
        <f t="shared" si="134"/>
        <v>8442.241666666665</v>
      </c>
      <c r="BH63" s="257">
        <f t="shared" si="134"/>
        <v>8442.241666666665</v>
      </c>
      <c r="BI63" s="257">
        <f t="shared" si="134"/>
        <v>8442.241666666665</v>
      </c>
      <c r="BJ63" s="257">
        <f t="shared" si="134"/>
        <v>8442.241666666665</v>
      </c>
      <c r="BK63" s="257">
        <f t="shared" si="134"/>
        <v>8442.241666666665</v>
      </c>
      <c r="BL63" s="887">
        <f t="shared" si="47"/>
        <v>101306.90000000001</v>
      </c>
      <c r="BM63" s="984">
        <f>41000/12</f>
        <v>3416.6666666666665</v>
      </c>
      <c r="BN63" s="985">
        <f t="shared" ref="BN63:BX64" si="169">41000/12</f>
        <v>3416.6666666666665</v>
      </c>
      <c r="BO63" s="985">
        <f t="shared" si="169"/>
        <v>3416.6666666666665</v>
      </c>
      <c r="BP63" s="985">
        <f t="shared" si="169"/>
        <v>3416.6666666666665</v>
      </c>
      <c r="BQ63" s="985">
        <f t="shared" si="169"/>
        <v>3416.6666666666665</v>
      </c>
      <c r="BR63" s="985">
        <f t="shared" si="169"/>
        <v>3416.6666666666665</v>
      </c>
      <c r="BS63" s="985">
        <f t="shared" si="169"/>
        <v>3416.6666666666665</v>
      </c>
      <c r="BT63" s="985">
        <f t="shared" si="169"/>
        <v>3416.6666666666665</v>
      </c>
      <c r="BU63" s="985">
        <f t="shared" si="169"/>
        <v>3416.6666666666665</v>
      </c>
      <c r="BV63" s="985">
        <f t="shared" si="169"/>
        <v>3416.6666666666665</v>
      </c>
      <c r="BW63" s="985">
        <f t="shared" si="169"/>
        <v>3416.6666666666665</v>
      </c>
      <c r="BX63" s="985">
        <f t="shared" si="169"/>
        <v>3416.6666666666665</v>
      </c>
      <c r="BY63" s="986">
        <f t="shared" si="66"/>
        <v>41000</v>
      </c>
      <c r="BZ63" s="886">
        <f t="shared" si="163"/>
        <v>8442.241666666665</v>
      </c>
      <c r="CA63" s="257">
        <f t="shared" si="164"/>
        <v>8442.241666666665</v>
      </c>
      <c r="CB63" s="257">
        <f t="shared" si="165"/>
        <v>8442.241666666665</v>
      </c>
      <c r="CC63" s="257">
        <f t="shared" si="135"/>
        <v>8442.241666666665</v>
      </c>
      <c r="CD63" s="257">
        <f t="shared" si="135"/>
        <v>8442.241666666665</v>
      </c>
      <c r="CE63" s="257">
        <f t="shared" si="135"/>
        <v>8442.241666666665</v>
      </c>
      <c r="CF63" s="257">
        <f t="shared" si="135"/>
        <v>8442.241666666665</v>
      </c>
      <c r="CG63" s="257">
        <f t="shared" si="135"/>
        <v>8442.241666666665</v>
      </c>
      <c r="CH63" s="257">
        <f t="shared" si="135"/>
        <v>8442.241666666665</v>
      </c>
      <c r="CI63" s="257">
        <f t="shared" si="135"/>
        <v>8442.241666666665</v>
      </c>
      <c r="CJ63" s="257">
        <f t="shared" si="135"/>
        <v>8442.241666666665</v>
      </c>
      <c r="CK63" s="257">
        <f t="shared" si="135"/>
        <v>8442.241666666665</v>
      </c>
      <c r="CL63" s="887">
        <f t="shared" si="68"/>
        <v>101306.90000000001</v>
      </c>
      <c r="CM63" s="984">
        <f>41000/12</f>
        <v>3416.6666666666665</v>
      </c>
      <c r="CN63" s="985">
        <f t="shared" ref="CN63:CX64" si="170">41000/12</f>
        <v>3416.6666666666665</v>
      </c>
      <c r="CO63" s="985">
        <f t="shared" si="170"/>
        <v>3416.6666666666665</v>
      </c>
      <c r="CP63" s="985">
        <f t="shared" si="170"/>
        <v>3416.6666666666665</v>
      </c>
      <c r="CQ63" s="985">
        <f t="shared" si="170"/>
        <v>3416.6666666666665</v>
      </c>
      <c r="CR63" s="985">
        <f t="shared" si="170"/>
        <v>3416.6666666666665</v>
      </c>
      <c r="CS63" s="985">
        <f t="shared" si="170"/>
        <v>3416.6666666666665</v>
      </c>
      <c r="CT63" s="985">
        <f t="shared" si="170"/>
        <v>3416.6666666666665</v>
      </c>
      <c r="CU63" s="985">
        <f t="shared" si="170"/>
        <v>3416.6666666666665</v>
      </c>
      <c r="CV63" s="985">
        <f t="shared" si="170"/>
        <v>3416.6666666666665</v>
      </c>
      <c r="CW63" s="985">
        <f t="shared" si="170"/>
        <v>3416.6666666666665</v>
      </c>
      <c r="CX63" s="985">
        <f t="shared" si="170"/>
        <v>3416.6666666666665</v>
      </c>
      <c r="CY63" s="986">
        <f t="shared" si="69"/>
        <v>41000</v>
      </c>
      <c r="CZ63" s="886">
        <f t="shared" si="136"/>
        <v>8442.241666666665</v>
      </c>
      <c r="DA63" s="257">
        <f t="shared" si="136"/>
        <v>8442.241666666665</v>
      </c>
      <c r="DB63" s="257">
        <f t="shared" si="136"/>
        <v>8442.241666666665</v>
      </c>
      <c r="DC63" s="257">
        <f t="shared" si="136"/>
        <v>8442.241666666665</v>
      </c>
      <c r="DD63" s="257">
        <f t="shared" si="136"/>
        <v>8442.241666666665</v>
      </c>
      <c r="DE63" s="257">
        <f t="shared" si="136"/>
        <v>8442.241666666665</v>
      </c>
      <c r="DF63" s="257">
        <f t="shared" si="136"/>
        <v>8442.241666666665</v>
      </c>
      <c r="DG63" s="257">
        <f t="shared" si="136"/>
        <v>8442.241666666665</v>
      </c>
      <c r="DH63" s="257">
        <f t="shared" si="136"/>
        <v>8442.241666666665</v>
      </c>
      <c r="DI63" s="257">
        <f t="shared" si="136"/>
        <v>8442.241666666665</v>
      </c>
      <c r="DJ63" s="257">
        <f t="shared" si="136"/>
        <v>8442.241666666665</v>
      </c>
      <c r="DK63" s="257">
        <f t="shared" si="136"/>
        <v>8442.241666666665</v>
      </c>
      <c r="DL63" s="887">
        <f t="shared" si="50"/>
        <v>101306.90000000001</v>
      </c>
      <c r="DM63" s="984">
        <f>41000/12</f>
        <v>3416.6666666666665</v>
      </c>
      <c r="DN63" s="985">
        <f t="shared" ref="DN63:DX64" si="171">41000/12</f>
        <v>3416.6666666666665</v>
      </c>
      <c r="DO63" s="985">
        <f t="shared" si="171"/>
        <v>3416.6666666666665</v>
      </c>
      <c r="DP63" s="985">
        <f t="shared" si="171"/>
        <v>3416.6666666666665</v>
      </c>
      <c r="DQ63" s="985">
        <f t="shared" si="171"/>
        <v>3416.6666666666665</v>
      </c>
      <c r="DR63" s="985">
        <f t="shared" si="171"/>
        <v>3416.6666666666665</v>
      </c>
      <c r="DS63" s="985">
        <f t="shared" si="171"/>
        <v>3416.6666666666665</v>
      </c>
      <c r="DT63" s="985">
        <f t="shared" si="171"/>
        <v>3416.6666666666665</v>
      </c>
      <c r="DU63" s="985">
        <f t="shared" si="171"/>
        <v>3416.6666666666665</v>
      </c>
      <c r="DV63" s="985">
        <f t="shared" si="171"/>
        <v>3416.6666666666665</v>
      </c>
      <c r="DW63" s="985">
        <f t="shared" si="171"/>
        <v>3416.6666666666665</v>
      </c>
      <c r="DX63" s="985">
        <f t="shared" si="171"/>
        <v>3416.6666666666665</v>
      </c>
      <c r="DY63" s="986">
        <f t="shared" si="71"/>
        <v>41000</v>
      </c>
      <c r="DZ63" s="886">
        <f t="shared" si="137"/>
        <v>8442.241666666665</v>
      </c>
      <c r="EA63" s="257">
        <f t="shared" si="137"/>
        <v>8442.241666666665</v>
      </c>
      <c r="EB63" s="257">
        <f t="shared" si="137"/>
        <v>8442.241666666665</v>
      </c>
      <c r="EC63" s="257">
        <f t="shared" si="137"/>
        <v>8442.241666666665</v>
      </c>
      <c r="ED63" s="257">
        <f t="shared" si="137"/>
        <v>8442.241666666665</v>
      </c>
      <c r="EE63" s="257">
        <f t="shared" si="137"/>
        <v>8442.241666666665</v>
      </c>
      <c r="EF63" s="257">
        <f t="shared" si="137"/>
        <v>8442.241666666665</v>
      </c>
      <c r="EG63" s="257">
        <f t="shared" si="137"/>
        <v>8442.241666666665</v>
      </c>
      <c r="EH63" s="257">
        <f t="shared" si="137"/>
        <v>8442.241666666665</v>
      </c>
      <c r="EI63" s="257">
        <f t="shared" si="137"/>
        <v>8442.241666666665</v>
      </c>
      <c r="EJ63" s="257">
        <f t="shared" si="137"/>
        <v>8442.241666666665</v>
      </c>
      <c r="EK63" s="257">
        <f t="shared" si="137"/>
        <v>8442.241666666665</v>
      </c>
      <c r="EL63" s="887">
        <f t="shared" si="52"/>
        <v>101306.90000000001</v>
      </c>
    </row>
    <row r="64" spans="1:142">
      <c r="A64" s="973" t="s">
        <v>667</v>
      </c>
      <c r="B64" s="913" t="s">
        <v>75</v>
      </c>
      <c r="C64" s="1004" t="s">
        <v>289</v>
      </c>
      <c r="D64" s="1026">
        <v>1.9857</v>
      </c>
      <c r="E64" s="553">
        <v>1.9857</v>
      </c>
      <c r="F64" s="553">
        <v>1.7043999999999999</v>
      </c>
      <c r="G64" s="554">
        <v>1.9857</v>
      </c>
      <c r="H64" s="558">
        <f t="shared" si="73"/>
        <v>1.9857</v>
      </c>
      <c r="I64" s="553">
        <f t="shared" si="73"/>
        <v>1.9857</v>
      </c>
      <c r="J64" s="553">
        <f t="shared" si="73"/>
        <v>1.9857</v>
      </c>
      <c r="K64" s="915">
        <f t="shared" si="73"/>
        <v>1.9857</v>
      </c>
      <c r="L64" s="884"/>
      <c r="M64" s="564">
        <v>3600</v>
      </c>
      <c r="N64" s="539">
        <v>3600</v>
      </c>
      <c r="O64" s="539">
        <v>3600</v>
      </c>
      <c r="P64" s="539"/>
      <c r="Q64" s="539"/>
      <c r="R64" s="539"/>
      <c r="S64" s="539">
        <v>2700</v>
      </c>
      <c r="T64" s="539">
        <v>1500</v>
      </c>
      <c r="U64" s="539">
        <v>1500</v>
      </c>
      <c r="V64" s="539">
        <v>1500</v>
      </c>
      <c r="W64" s="539"/>
      <c r="X64" s="539"/>
      <c r="Y64" s="885">
        <f t="shared" si="58"/>
        <v>18000</v>
      </c>
      <c r="Z64" s="886">
        <v>7016.76</v>
      </c>
      <c r="AA64" s="257">
        <v>6429.48</v>
      </c>
      <c r="AB64" s="257">
        <v>6135.84</v>
      </c>
      <c r="AC64" s="257">
        <f>P64*$E64</f>
        <v>0</v>
      </c>
      <c r="AD64" s="257">
        <f t="shared" si="150"/>
        <v>0</v>
      </c>
      <c r="AE64" s="257">
        <f t="shared" si="155"/>
        <v>0</v>
      </c>
      <c r="AF64" s="257">
        <f>S64*$F64</f>
        <v>4601.88</v>
      </c>
      <c r="AG64" s="257">
        <f>T64*$F64</f>
        <v>2556.6</v>
      </c>
      <c r="AH64" s="257">
        <f t="shared" si="156"/>
        <v>2556.6</v>
      </c>
      <c r="AI64" s="257">
        <f t="shared" si="157"/>
        <v>2978.55</v>
      </c>
      <c r="AJ64" s="257">
        <f t="shared" si="157"/>
        <v>0</v>
      </c>
      <c r="AK64" s="257">
        <f t="shared" si="157"/>
        <v>0</v>
      </c>
      <c r="AL64" s="887">
        <f t="shared" si="62"/>
        <v>32275.71</v>
      </c>
      <c r="AM64" s="984">
        <f>41000/12</f>
        <v>3416.6666666666665</v>
      </c>
      <c r="AN64" s="985">
        <f t="shared" si="168"/>
        <v>3416.6666666666665</v>
      </c>
      <c r="AO64" s="985">
        <f t="shared" si="168"/>
        <v>3416.6666666666665</v>
      </c>
      <c r="AP64" s="985">
        <f t="shared" si="168"/>
        <v>3416.6666666666665</v>
      </c>
      <c r="AQ64" s="985">
        <f t="shared" si="168"/>
        <v>3416.6666666666665</v>
      </c>
      <c r="AR64" s="985">
        <f t="shared" si="168"/>
        <v>3416.6666666666665</v>
      </c>
      <c r="AS64" s="985">
        <f t="shared" si="168"/>
        <v>3416.6666666666665</v>
      </c>
      <c r="AT64" s="985">
        <f t="shared" si="168"/>
        <v>3416.6666666666665</v>
      </c>
      <c r="AU64" s="985">
        <f t="shared" si="168"/>
        <v>3416.6666666666665</v>
      </c>
      <c r="AV64" s="985">
        <f t="shared" si="168"/>
        <v>3416.6666666666665</v>
      </c>
      <c r="AW64" s="985">
        <f t="shared" si="168"/>
        <v>3416.6666666666665</v>
      </c>
      <c r="AX64" s="985">
        <f t="shared" si="168"/>
        <v>3416.6666666666665</v>
      </c>
      <c r="AY64" s="986">
        <f t="shared" si="64"/>
        <v>41000</v>
      </c>
      <c r="AZ64" s="886">
        <f t="shared" si="159"/>
        <v>6784.4749999999995</v>
      </c>
      <c r="BA64" s="257">
        <f t="shared" si="160"/>
        <v>6784.4749999999995</v>
      </c>
      <c r="BB64" s="257">
        <f t="shared" si="161"/>
        <v>6784.4749999999995</v>
      </c>
      <c r="BC64" s="257">
        <f t="shared" si="134"/>
        <v>6784.4749999999995</v>
      </c>
      <c r="BD64" s="257">
        <f t="shared" si="134"/>
        <v>6784.4749999999995</v>
      </c>
      <c r="BE64" s="257">
        <f t="shared" si="134"/>
        <v>6784.4749999999995</v>
      </c>
      <c r="BF64" s="257">
        <f t="shared" si="134"/>
        <v>6784.4749999999995</v>
      </c>
      <c r="BG64" s="257">
        <f t="shared" si="134"/>
        <v>6784.4749999999995</v>
      </c>
      <c r="BH64" s="257">
        <f t="shared" si="134"/>
        <v>6784.4749999999995</v>
      </c>
      <c r="BI64" s="257">
        <f t="shared" si="134"/>
        <v>6784.4749999999995</v>
      </c>
      <c r="BJ64" s="257">
        <f t="shared" si="134"/>
        <v>6784.4749999999995</v>
      </c>
      <c r="BK64" s="257">
        <f t="shared" si="134"/>
        <v>6784.4749999999995</v>
      </c>
      <c r="BL64" s="887">
        <f t="shared" si="47"/>
        <v>81413.700000000012</v>
      </c>
      <c r="BM64" s="984">
        <f>41000/12</f>
        <v>3416.6666666666665</v>
      </c>
      <c r="BN64" s="985">
        <f t="shared" si="169"/>
        <v>3416.6666666666665</v>
      </c>
      <c r="BO64" s="985">
        <f t="shared" si="169"/>
        <v>3416.6666666666665</v>
      </c>
      <c r="BP64" s="985">
        <f t="shared" si="169"/>
        <v>3416.6666666666665</v>
      </c>
      <c r="BQ64" s="985">
        <f t="shared" si="169"/>
        <v>3416.6666666666665</v>
      </c>
      <c r="BR64" s="985">
        <f t="shared" si="169"/>
        <v>3416.6666666666665</v>
      </c>
      <c r="BS64" s="985">
        <f t="shared" si="169"/>
        <v>3416.6666666666665</v>
      </c>
      <c r="BT64" s="985">
        <f t="shared" si="169"/>
        <v>3416.6666666666665</v>
      </c>
      <c r="BU64" s="985">
        <f t="shared" si="169"/>
        <v>3416.6666666666665</v>
      </c>
      <c r="BV64" s="985">
        <f t="shared" si="169"/>
        <v>3416.6666666666665</v>
      </c>
      <c r="BW64" s="985">
        <f t="shared" si="169"/>
        <v>3416.6666666666665</v>
      </c>
      <c r="BX64" s="985">
        <f t="shared" si="169"/>
        <v>3416.6666666666665</v>
      </c>
      <c r="BY64" s="986">
        <f t="shared" si="66"/>
        <v>41000</v>
      </c>
      <c r="BZ64" s="886">
        <f t="shared" si="163"/>
        <v>6784.4749999999995</v>
      </c>
      <c r="CA64" s="257">
        <f t="shared" si="164"/>
        <v>6784.4749999999995</v>
      </c>
      <c r="CB64" s="257">
        <f t="shared" si="165"/>
        <v>6784.4749999999995</v>
      </c>
      <c r="CC64" s="257">
        <f t="shared" si="135"/>
        <v>6784.4749999999995</v>
      </c>
      <c r="CD64" s="257">
        <f t="shared" si="135"/>
        <v>6784.4749999999995</v>
      </c>
      <c r="CE64" s="257">
        <f t="shared" si="135"/>
        <v>6784.4749999999995</v>
      </c>
      <c r="CF64" s="257">
        <f t="shared" si="135"/>
        <v>6784.4749999999995</v>
      </c>
      <c r="CG64" s="257">
        <f t="shared" si="135"/>
        <v>6784.4749999999995</v>
      </c>
      <c r="CH64" s="257">
        <f t="shared" si="135"/>
        <v>6784.4749999999995</v>
      </c>
      <c r="CI64" s="257">
        <f t="shared" si="135"/>
        <v>6784.4749999999995</v>
      </c>
      <c r="CJ64" s="257">
        <f t="shared" si="135"/>
        <v>6784.4749999999995</v>
      </c>
      <c r="CK64" s="257">
        <f t="shared" si="135"/>
        <v>6784.4749999999995</v>
      </c>
      <c r="CL64" s="887">
        <f t="shared" si="68"/>
        <v>81413.700000000012</v>
      </c>
      <c r="CM64" s="984">
        <f>41000/12</f>
        <v>3416.6666666666665</v>
      </c>
      <c r="CN64" s="985">
        <f t="shared" si="170"/>
        <v>3416.6666666666665</v>
      </c>
      <c r="CO64" s="985">
        <f t="shared" si="170"/>
        <v>3416.6666666666665</v>
      </c>
      <c r="CP64" s="985">
        <f t="shared" si="170"/>
        <v>3416.6666666666665</v>
      </c>
      <c r="CQ64" s="985">
        <f t="shared" si="170"/>
        <v>3416.6666666666665</v>
      </c>
      <c r="CR64" s="985">
        <f t="shared" si="170"/>
        <v>3416.6666666666665</v>
      </c>
      <c r="CS64" s="985">
        <f t="shared" si="170"/>
        <v>3416.6666666666665</v>
      </c>
      <c r="CT64" s="985">
        <f t="shared" si="170"/>
        <v>3416.6666666666665</v>
      </c>
      <c r="CU64" s="985">
        <f t="shared" si="170"/>
        <v>3416.6666666666665</v>
      </c>
      <c r="CV64" s="985">
        <f t="shared" si="170"/>
        <v>3416.6666666666665</v>
      </c>
      <c r="CW64" s="985">
        <f t="shared" si="170"/>
        <v>3416.6666666666665</v>
      </c>
      <c r="CX64" s="985">
        <f t="shared" si="170"/>
        <v>3416.6666666666665</v>
      </c>
      <c r="CY64" s="986">
        <f t="shared" si="69"/>
        <v>41000</v>
      </c>
      <c r="CZ64" s="886">
        <f t="shared" si="136"/>
        <v>6784.4749999999995</v>
      </c>
      <c r="DA64" s="257">
        <f t="shared" si="136"/>
        <v>6784.4749999999995</v>
      </c>
      <c r="DB64" s="257">
        <f t="shared" si="136"/>
        <v>6784.4749999999995</v>
      </c>
      <c r="DC64" s="257">
        <f t="shared" si="136"/>
        <v>6784.4749999999995</v>
      </c>
      <c r="DD64" s="257">
        <f t="shared" si="136"/>
        <v>6784.4749999999995</v>
      </c>
      <c r="DE64" s="257">
        <f t="shared" si="136"/>
        <v>6784.4749999999995</v>
      </c>
      <c r="DF64" s="257">
        <f t="shared" si="136"/>
        <v>6784.4749999999995</v>
      </c>
      <c r="DG64" s="257">
        <f t="shared" si="136"/>
        <v>6784.4749999999995</v>
      </c>
      <c r="DH64" s="257">
        <f t="shared" si="136"/>
        <v>6784.4749999999995</v>
      </c>
      <c r="DI64" s="257">
        <f t="shared" si="136"/>
        <v>6784.4749999999995</v>
      </c>
      <c r="DJ64" s="257">
        <f t="shared" si="136"/>
        <v>6784.4749999999995</v>
      </c>
      <c r="DK64" s="257">
        <f t="shared" si="136"/>
        <v>6784.4749999999995</v>
      </c>
      <c r="DL64" s="887">
        <f t="shared" si="50"/>
        <v>81413.700000000012</v>
      </c>
      <c r="DM64" s="984">
        <f>41000/12</f>
        <v>3416.6666666666665</v>
      </c>
      <c r="DN64" s="985">
        <f t="shared" si="171"/>
        <v>3416.6666666666665</v>
      </c>
      <c r="DO64" s="985">
        <f t="shared" si="171"/>
        <v>3416.6666666666665</v>
      </c>
      <c r="DP64" s="985">
        <f t="shared" si="171"/>
        <v>3416.6666666666665</v>
      </c>
      <c r="DQ64" s="985">
        <f t="shared" si="171"/>
        <v>3416.6666666666665</v>
      </c>
      <c r="DR64" s="985">
        <f t="shared" si="171"/>
        <v>3416.6666666666665</v>
      </c>
      <c r="DS64" s="985">
        <f t="shared" si="171"/>
        <v>3416.6666666666665</v>
      </c>
      <c r="DT64" s="985">
        <f t="shared" si="171"/>
        <v>3416.6666666666665</v>
      </c>
      <c r="DU64" s="985">
        <f t="shared" si="171"/>
        <v>3416.6666666666665</v>
      </c>
      <c r="DV64" s="985">
        <f t="shared" si="171"/>
        <v>3416.6666666666665</v>
      </c>
      <c r="DW64" s="985">
        <f t="shared" si="171"/>
        <v>3416.6666666666665</v>
      </c>
      <c r="DX64" s="985">
        <f t="shared" si="171"/>
        <v>3416.6666666666665</v>
      </c>
      <c r="DY64" s="986">
        <f t="shared" si="71"/>
        <v>41000</v>
      </c>
      <c r="DZ64" s="886">
        <f t="shared" si="137"/>
        <v>6784.4749999999995</v>
      </c>
      <c r="EA64" s="257">
        <f t="shared" si="137"/>
        <v>6784.4749999999995</v>
      </c>
      <c r="EB64" s="257">
        <f t="shared" si="137"/>
        <v>6784.4749999999995</v>
      </c>
      <c r="EC64" s="257">
        <f t="shared" si="137"/>
        <v>6784.4749999999995</v>
      </c>
      <c r="ED64" s="257">
        <f t="shared" si="137"/>
        <v>6784.4749999999995</v>
      </c>
      <c r="EE64" s="257">
        <f t="shared" si="137"/>
        <v>6784.4749999999995</v>
      </c>
      <c r="EF64" s="257">
        <f t="shared" si="137"/>
        <v>6784.4749999999995</v>
      </c>
      <c r="EG64" s="257">
        <f t="shared" si="137"/>
        <v>6784.4749999999995</v>
      </c>
      <c r="EH64" s="257">
        <f t="shared" si="137"/>
        <v>6784.4749999999995</v>
      </c>
      <c r="EI64" s="257">
        <f t="shared" si="137"/>
        <v>6784.4749999999995</v>
      </c>
      <c r="EJ64" s="257">
        <f t="shared" si="137"/>
        <v>6784.4749999999995</v>
      </c>
      <c r="EK64" s="257">
        <f t="shared" si="137"/>
        <v>6784.4749999999995</v>
      </c>
      <c r="EL64" s="887">
        <f t="shared" si="52"/>
        <v>81413.700000000012</v>
      </c>
    </row>
    <row r="65" spans="1:142">
      <c r="A65" s="973" t="s">
        <v>667</v>
      </c>
      <c r="B65" s="905" t="s">
        <v>705</v>
      </c>
      <c r="C65" s="1004" t="s">
        <v>59</v>
      </c>
      <c r="D65" s="1026">
        <v>0.71</v>
      </c>
      <c r="E65" s="559">
        <v>0.71</v>
      </c>
      <c r="F65" s="559">
        <v>0.71</v>
      </c>
      <c r="G65" s="560">
        <v>0.71</v>
      </c>
      <c r="H65" s="558">
        <f t="shared" si="73"/>
        <v>0.71</v>
      </c>
      <c r="I65" s="559">
        <f t="shared" si="73"/>
        <v>0.71</v>
      </c>
      <c r="J65" s="559">
        <f t="shared" si="73"/>
        <v>0.71</v>
      </c>
      <c r="K65" s="982">
        <f t="shared" si="73"/>
        <v>0.71</v>
      </c>
      <c r="L65" s="983"/>
      <c r="M65" s="564">
        <v>23000</v>
      </c>
      <c r="N65" s="539">
        <v>24000</v>
      </c>
      <c r="O65" s="539">
        <v>30000</v>
      </c>
      <c r="P65" s="539">
        <v>32000</v>
      </c>
      <c r="Q65" s="1027">
        <v>33000</v>
      </c>
      <c r="R65" s="1027">
        <v>20000</v>
      </c>
      <c r="S65" s="539"/>
      <c r="T65" s="539">
        <v>30000</v>
      </c>
      <c r="U65" s="539">
        <v>20000</v>
      </c>
      <c r="V65" s="539">
        <v>12000</v>
      </c>
      <c r="W65" s="539">
        <v>12000</v>
      </c>
      <c r="X65" s="539">
        <v>12000</v>
      </c>
      <c r="Y65" s="885">
        <f t="shared" si="58"/>
        <v>248000</v>
      </c>
      <c r="Z65" s="886">
        <v>16330</v>
      </c>
      <c r="AA65" s="257">
        <v>17040</v>
      </c>
      <c r="AB65" s="257">
        <v>21300</v>
      </c>
      <c r="AC65" s="257">
        <f>P65*$E65</f>
        <v>22720</v>
      </c>
      <c r="AD65" s="257">
        <f t="shared" si="150"/>
        <v>23430</v>
      </c>
      <c r="AE65" s="257">
        <f>R65*$E65</f>
        <v>14200</v>
      </c>
      <c r="AF65" s="257">
        <f t="shared" si="156"/>
        <v>0</v>
      </c>
      <c r="AG65" s="257">
        <f t="shared" si="156"/>
        <v>21300</v>
      </c>
      <c r="AH65" s="257">
        <f t="shared" si="156"/>
        <v>14200</v>
      </c>
      <c r="AI65" s="257">
        <f t="shared" si="157"/>
        <v>8520</v>
      </c>
      <c r="AJ65" s="257">
        <f t="shared" si="157"/>
        <v>8520</v>
      </c>
      <c r="AK65" s="257">
        <f t="shared" si="157"/>
        <v>8520</v>
      </c>
      <c r="AL65" s="887">
        <f t="shared" si="62"/>
        <v>176080</v>
      </c>
      <c r="AM65" s="984">
        <f>84042/12</f>
        <v>7003.5</v>
      </c>
      <c r="AN65" s="985">
        <f t="shared" ref="AN65:AX66" si="172">84042/12</f>
        <v>7003.5</v>
      </c>
      <c r="AO65" s="985">
        <f t="shared" si="172"/>
        <v>7003.5</v>
      </c>
      <c r="AP65" s="985">
        <f t="shared" si="172"/>
        <v>7003.5</v>
      </c>
      <c r="AQ65" s="985">
        <f t="shared" si="172"/>
        <v>7003.5</v>
      </c>
      <c r="AR65" s="985">
        <f t="shared" si="172"/>
        <v>7003.5</v>
      </c>
      <c r="AS65" s="985">
        <f t="shared" si="172"/>
        <v>7003.5</v>
      </c>
      <c r="AT65" s="985">
        <f t="shared" si="172"/>
        <v>7003.5</v>
      </c>
      <c r="AU65" s="985">
        <f t="shared" si="172"/>
        <v>7003.5</v>
      </c>
      <c r="AV65" s="985">
        <f t="shared" si="172"/>
        <v>7003.5</v>
      </c>
      <c r="AW65" s="985">
        <f t="shared" si="172"/>
        <v>7003.5</v>
      </c>
      <c r="AX65" s="985">
        <f t="shared" si="172"/>
        <v>7003.5</v>
      </c>
      <c r="AY65" s="986">
        <f t="shared" si="64"/>
        <v>84042</v>
      </c>
      <c r="AZ65" s="886">
        <f t="shared" si="159"/>
        <v>4972.4849999999997</v>
      </c>
      <c r="BA65" s="257">
        <f t="shared" si="160"/>
        <v>4972.4849999999997</v>
      </c>
      <c r="BB65" s="257">
        <f t="shared" si="161"/>
        <v>4972.4849999999997</v>
      </c>
      <c r="BC65" s="257">
        <f t="shared" si="134"/>
        <v>4972.4849999999997</v>
      </c>
      <c r="BD65" s="257">
        <f t="shared" si="134"/>
        <v>4972.4849999999997</v>
      </c>
      <c r="BE65" s="257">
        <f t="shared" si="134"/>
        <v>4972.4849999999997</v>
      </c>
      <c r="BF65" s="257">
        <f t="shared" si="134"/>
        <v>4972.4849999999997</v>
      </c>
      <c r="BG65" s="257">
        <f t="shared" si="134"/>
        <v>4972.4849999999997</v>
      </c>
      <c r="BH65" s="257">
        <f t="shared" si="134"/>
        <v>4972.4849999999997</v>
      </c>
      <c r="BI65" s="257">
        <f t="shared" si="134"/>
        <v>4972.4849999999997</v>
      </c>
      <c r="BJ65" s="257">
        <f t="shared" si="134"/>
        <v>4972.4849999999997</v>
      </c>
      <c r="BK65" s="257">
        <f t="shared" si="134"/>
        <v>4972.4849999999997</v>
      </c>
      <c r="BL65" s="887">
        <f t="shared" si="47"/>
        <v>59669.82</v>
      </c>
      <c r="BM65" s="984">
        <f>89978/12</f>
        <v>7498.166666666667</v>
      </c>
      <c r="BN65" s="985">
        <f t="shared" ref="BN65:BX66" si="173">89978/12</f>
        <v>7498.166666666667</v>
      </c>
      <c r="BO65" s="985">
        <f t="shared" si="173"/>
        <v>7498.166666666667</v>
      </c>
      <c r="BP65" s="985">
        <f t="shared" si="173"/>
        <v>7498.166666666667</v>
      </c>
      <c r="BQ65" s="985">
        <f t="shared" si="173"/>
        <v>7498.166666666667</v>
      </c>
      <c r="BR65" s="985">
        <f t="shared" si="173"/>
        <v>7498.166666666667</v>
      </c>
      <c r="BS65" s="985">
        <f t="shared" si="173"/>
        <v>7498.166666666667</v>
      </c>
      <c r="BT65" s="985">
        <f t="shared" si="173"/>
        <v>7498.166666666667</v>
      </c>
      <c r="BU65" s="985">
        <f t="shared" si="173"/>
        <v>7498.166666666667</v>
      </c>
      <c r="BV65" s="985">
        <f t="shared" si="173"/>
        <v>7498.166666666667</v>
      </c>
      <c r="BW65" s="985">
        <f t="shared" si="173"/>
        <v>7498.166666666667</v>
      </c>
      <c r="BX65" s="985">
        <f t="shared" si="173"/>
        <v>7498.166666666667</v>
      </c>
      <c r="BY65" s="986">
        <f t="shared" si="66"/>
        <v>89978.000000000015</v>
      </c>
      <c r="BZ65" s="886">
        <f t="shared" si="163"/>
        <v>5323.6983333333337</v>
      </c>
      <c r="CA65" s="257">
        <f t="shared" si="164"/>
        <v>5323.6983333333337</v>
      </c>
      <c r="CB65" s="257">
        <f t="shared" si="165"/>
        <v>5323.6983333333337</v>
      </c>
      <c r="CC65" s="257">
        <f t="shared" si="135"/>
        <v>5323.6983333333337</v>
      </c>
      <c r="CD65" s="257">
        <f t="shared" si="135"/>
        <v>5323.6983333333337</v>
      </c>
      <c r="CE65" s="257">
        <f t="shared" si="135"/>
        <v>5323.6983333333337</v>
      </c>
      <c r="CF65" s="257">
        <f t="shared" si="135"/>
        <v>5323.6983333333337</v>
      </c>
      <c r="CG65" s="257">
        <f t="shared" si="135"/>
        <v>5323.6983333333337</v>
      </c>
      <c r="CH65" s="257">
        <f t="shared" si="135"/>
        <v>5323.6983333333337</v>
      </c>
      <c r="CI65" s="257">
        <f t="shared" si="135"/>
        <v>5323.6983333333337</v>
      </c>
      <c r="CJ65" s="257">
        <f t="shared" si="135"/>
        <v>5323.6983333333337</v>
      </c>
      <c r="CK65" s="257">
        <f t="shared" si="135"/>
        <v>5323.6983333333337</v>
      </c>
      <c r="CL65" s="887">
        <f t="shared" si="68"/>
        <v>63884.380000000005</v>
      </c>
      <c r="CM65" s="984">
        <f>89978/12</f>
        <v>7498.166666666667</v>
      </c>
      <c r="CN65" s="985">
        <f t="shared" ref="CN65:CX66" si="174">89978/12</f>
        <v>7498.166666666667</v>
      </c>
      <c r="CO65" s="985">
        <f t="shared" si="174"/>
        <v>7498.166666666667</v>
      </c>
      <c r="CP65" s="985">
        <f t="shared" si="174"/>
        <v>7498.166666666667</v>
      </c>
      <c r="CQ65" s="985">
        <f t="shared" si="174"/>
        <v>7498.166666666667</v>
      </c>
      <c r="CR65" s="985">
        <f t="shared" si="174"/>
        <v>7498.166666666667</v>
      </c>
      <c r="CS65" s="985">
        <f t="shared" si="174"/>
        <v>7498.166666666667</v>
      </c>
      <c r="CT65" s="985">
        <f t="shared" si="174"/>
        <v>7498.166666666667</v>
      </c>
      <c r="CU65" s="985">
        <f t="shared" si="174"/>
        <v>7498.166666666667</v>
      </c>
      <c r="CV65" s="985">
        <f t="shared" si="174"/>
        <v>7498.166666666667</v>
      </c>
      <c r="CW65" s="985">
        <f t="shared" si="174"/>
        <v>7498.166666666667</v>
      </c>
      <c r="CX65" s="985">
        <f t="shared" si="174"/>
        <v>7498.166666666667</v>
      </c>
      <c r="CY65" s="986">
        <f t="shared" si="69"/>
        <v>89978.000000000015</v>
      </c>
      <c r="CZ65" s="886">
        <f t="shared" si="136"/>
        <v>5323.6983333333337</v>
      </c>
      <c r="DA65" s="257">
        <f t="shared" si="136"/>
        <v>5323.6983333333337</v>
      </c>
      <c r="DB65" s="257">
        <f t="shared" si="136"/>
        <v>5323.6983333333337</v>
      </c>
      <c r="DC65" s="257">
        <f t="shared" si="136"/>
        <v>5323.6983333333337</v>
      </c>
      <c r="DD65" s="257">
        <f t="shared" si="136"/>
        <v>5323.6983333333337</v>
      </c>
      <c r="DE65" s="257">
        <f t="shared" si="136"/>
        <v>5323.6983333333337</v>
      </c>
      <c r="DF65" s="257">
        <f t="shared" si="136"/>
        <v>5323.6983333333337</v>
      </c>
      <c r="DG65" s="257">
        <f t="shared" si="136"/>
        <v>5323.6983333333337</v>
      </c>
      <c r="DH65" s="257">
        <f t="shared" si="136"/>
        <v>5323.6983333333337</v>
      </c>
      <c r="DI65" s="257">
        <f t="shared" si="136"/>
        <v>5323.6983333333337</v>
      </c>
      <c r="DJ65" s="257">
        <f t="shared" si="136"/>
        <v>5323.6983333333337</v>
      </c>
      <c r="DK65" s="257">
        <f t="shared" si="136"/>
        <v>5323.6983333333337</v>
      </c>
      <c r="DL65" s="887">
        <f t="shared" si="50"/>
        <v>63884.380000000005</v>
      </c>
      <c r="DM65" s="984">
        <f>90720/12</f>
        <v>7560</v>
      </c>
      <c r="DN65" s="985">
        <f t="shared" ref="DN65:DX66" si="175">90720/12</f>
        <v>7560</v>
      </c>
      <c r="DO65" s="985">
        <f t="shared" si="175"/>
        <v>7560</v>
      </c>
      <c r="DP65" s="985">
        <f t="shared" si="175"/>
        <v>7560</v>
      </c>
      <c r="DQ65" s="985">
        <f t="shared" si="175"/>
        <v>7560</v>
      </c>
      <c r="DR65" s="985">
        <f t="shared" si="175"/>
        <v>7560</v>
      </c>
      <c r="DS65" s="985">
        <f t="shared" si="175"/>
        <v>7560</v>
      </c>
      <c r="DT65" s="985">
        <f t="shared" si="175"/>
        <v>7560</v>
      </c>
      <c r="DU65" s="985">
        <f t="shared" si="175"/>
        <v>7560</v>
      </c>
      <c r="DV65" s="985">
        <f t="shared" si="175"/>
        <v>7560</v>
      </c>
      <c r="DW65" s="985">
        <f t="shared" si="175"/>
        <v>7560</v>
      </c>
      <c r="DX65" s="985">
        <f t="shared" si="175"/>
        <v>7560</v>
      </c>
      <c r="DY65" s="986">
        <f t="shared" si="71"/>
        <v>90720</v>
      </c>
      <c r="DZ65" s="886">
        <f t="shared" si="137"/>
        <v>5367.5999999999995</v>
      </c>
      <c r="EA65" s="257">
        <f t="shared" si="137"/>
        <v>5367.5999999999995</v>
      </c>
      <c r="EB65" s="257">
        <f t="shared" si="137"/>
        <v>5367.5999999999995</v>
      </c>
      <c r="EC65" s="257">
        <f t="shared" si="137"/>
        <v>5367.5999999999995</v>
      </c>
      <c r="ED65" s="257">
        <f t="shared" si="137"/>
        <v>5367.5999999999995</v>
      </c>
      <c r="EE65" s="257">
        <f t="shared" si="137"/>
        <v>5367.5999999999995</v>
      </c>
      <c r="EF65" s="257">
        <f t="shared" si="137"/>
        <v>5367.5999999999995</v>
      </c>
      <c r="EG65" s="257">
        <f t="shared" si="137"/>
        <v>5367.5999999999995</v>
      </c>
      <c r="EH65" s="257">
        <f t="shared" si="137"/>
        <v>5367.5999999999995</v>
      </c>
      <c r="EI65" s="257">
        <f t="shared" si="137"/>
        <v>5367.5999999999995</v>
      </c>
      <c r="EJ65" s="257">
        <f t="shared" si="137"/>
        <v>5367.5999999999995</v>
      </c>
      <c r="EK65" s="257">
        <f t="shared" si="137"/>
        <v>5367.5999999999995</v>
      </c>
      <c r="EL65" s="887">
        <f t="shared" si="52"/>
        <v>64411.19999999999</v>
      </c>
    </row>
    <row r="66" spans="1:142">
      <c r="A66" s="973" t="s">
        <v>667</v>
      </c>
      <c r="B66" s="913" t="s">
        <v>706</v>
      </c>
      <c r="C66" s="1004" t="s">
        <v>60</v>
      </c>
      <c r="D66" s="1026">
        <v>0.5</v>
      </c>
      <c r="E66" s="559">
        <v>0.5</v>
      </c>
      <c r="F66" s="559">
        <v>0.5</v>
      </c>
      <c r="G66" s="560">
        <v>0.5</v>
      </c>
      <c r="H66" s="559">
        <f t="shared" si="73"/>
        <v>0.5</v>
      </c>
      <c r="I66" s="559">
        <f t="shared" si="73"/>
        <v>0.5</v>
      </c>
      <c r="J66" s="559">
        <f t="shared" si="73"/>
        <v>0.5</v>
      </c>
      <c r="K66" s="982">
        <f t="shared" si="73"/>
        <v>0.5</v>
      </c>
      <c r="L66" s="983"/>
      <c r="M66" s="564">
        <v>23000</v>
      </c>
      <c r="N66" s="539">
        <v>24000</v>
      </c>
      <c r="O66" s="539">
        <v>30000</v>
      </c>
      <c r="P66" s="539">
        <v>32000</v>
      </c>
      <c r="Q66" s="1027">
        <v>33000</v>
      </c>
      <c r="R66" s="1027">
        <v>20000</v>
      </c>
      <c r="S66" s="539"/>
      <c r="T66" s="539">
        <v>30000</v>
      </c>
      <c r="U66" s="539">
        <v>20000</v>
      </c>
      <c r="V66" s="539">
        <v>12000</v>
      </c>
      <c r="W66" s="539">
        <v>12000</v>
      </c>
      <c r="X66" s="539">
        <v>12000</v>
      </c>
      <c r="Y66" s="885">
        <f t="shared" si="58"/>
        <v>248000</v>
      </c>
      <c r="Z66" s="886">
        <v>11500</v>
      </c>
      <c r="AA66" s="257">
        <v>12000</v>
      </c>
      <c r="AB66" s="257">
        <v>15000</v>
      </c>
      <c r="AC66" s="257">
        <f>P66*$E66</f>
        <v>16000</v>
      </c>
      <c r="AD66" s="257">
        <f t="shared" si="150"/>
        <v>16500</v>
      </c>
      <c r="AE66" s="257">
        <f>R66*$E66</f>
        <v>10000</v>
      </c>
      <c r="AF66" s="257">
        <f t="shared" si="156"/>
        <v>0</v>
      </c>
      <c r="AG66" s="257">
        <f t="shared" si="156"/>
        <v>15000</v>
      </c>
      <c r="AH66" s="257">
        <f t="shared" si="156"/>
        <v>10000</v>
      </c>
      <c r="AI66" s="257">
        <f t="shared" si="157"/>
        <v>6000</v>
      </c>
      <c r="AJ66" s="257">
        <f t="shared" si="157"/>
        <v>6000</v>
      </c>
      <c r="AK66" s="257">
        <f t="shared" si="157"/>
        <v>6000</v>
      </c>
      <c r="AL66" s="887">
        <f t="shared" si="62"/>
        <v>124000</v>
      </c>
      <c r="AM66" s="984">
        <f>84042/12</f>
        <v>7003.5</v>
      </c>
      <c r="AN66" s="985">
        <f t="shared" si="172"/>
        <v>7003.5</v>
      </c>
      <c r="AO66" s="985">
        <f t="shared" si="172"/>
        <v>7003.5</v>
      </c>
      <c r="AP66" s="985">
        <f t="shared" si="172"/>
        <v>7003.5</v>
      </c>
      <c r="AQ66" s="985">
        <f t="shared" si="172"/>
        <v>7003.5</v>
      </c>
      <c r="AR66" s="985">
        <f t="shared" si="172"/>
        <v>7003.5</v>
      </c>
      <c r="AS66" s="985">
        <f t="shared" si="172"/>
        <v>7003.5</v>
      </c>
      <c r="AT66" s="985">
        <f t="shared" si="172"/>
        <v>7003.5</v>
      </c>
      <c r="AU66" s="985">
        <f t="shared" si="172"/>
        <v>7003.5</v>
      </c>
      <c r="AV66" s="985">
        <f t="shared" si="172"/>
        <v>7003.5</v>
      </c>
      <c r="AW66" s="985">
        <f t="shared" si="172"/>
        <v>7003.5</v>
      </c>
      <c r="AX66" s="985">
        <f t="shared" si="172"/>
        <v>7003.5</v>
      </c>
      <c r="AY66" s="986">
        <f t="shared" si="64"/>
        <v>84042</v>
      </c>
      <c r="AZ66" s="886">
        <f t="shared" si="159"/>
        <v>3501.75</v>
      </c>
      <c r="BA66" s="257">
        <f t="shared" si="160"/>
        <v>3501.75</v>
      </c>
      <c r="BB66" s="257">
        <f t="shared" si="161"/>
        <v>3501.75</v>
      </c>
      <c r="BC66" s="257">
        <f t="shared" si="134"/>
        <v>3501.75</v>
      </c>
      <c r="BD66" s="257">
        <f t="shared" si="134"/>
        <v>3501.75</v>
      </c>
      <c r="BE66" s="257">
        <f t="shared" si="134"/>
        <v>3501.75</v>
      </c>
      <c r="BF66" s="257">
        <f t="shared" si="134"/>
        <v>3501.75</v>
      </c>
      <c r="BG66" s="257">
        <f t="shared" si="134"/>
        <v>3501.75</v>
      </c>
      <c r="BH66" s="257">
        <f t="shared" si="134"/>
        <v>3501.75</v>
      </c>
      <c r="BI66" s="257">
        <f t="shared" si="134"/>
        <v>3501.75</v>
      </c>
      <c r="BJ66" s="257">
        <f t="shared" si="134"/>
        <v>3501.75</v>
      </c>
      <c r="BK66" s="257">
        <f t="shared" si="134"/>
        <v>3501.75</v>
      </c>
      <c r="BL66" s="887">
        <f t="shared" si="47"/>
        <v>42021</v>
      </c>
      <c r="BM66" s="984">
        <f>89978/12</f>
        <v>7498.166666666667</v>
      </c>
      <c r="BN66" s="985">
        <f t="shared" si="173"/>
        <v>7498.166666666667</v>
      </c>
      <c r="BO66" s="985">
        <f t="shared" si="173"/>
        <v>7498.166666666667</v>
      </c>
      <c r="BP66" s="985">
        <f t="shared" si="173"/>
        <v>7498.166666666667</v>
      </c>
      <c r="BQ66" s="985">
        <f t="shared" si="173"/>
        <v>7498.166666666667</v>
      </c>
      <c r="BR66" s="985">
        <f t="shared" si="173"/>
        <v>7498.166666666667</v>
      </c>
      <c r="BS66" s="985">
        <f t="shared" si="173"/>
        <v>7498.166666666667</v>
      </c>
      <c r="BT66" s="985">
        <f t="shared" si="173"/>
        <v>7498.166666666667</v>
      </c>
      <c r="BU66" s="985">
        <f t="shared" si="173"/>
        <v>7498.166666666667</v>
      </c>
      <c r="BV66" s="985">
        <f t="shared" si="173"/>
        <v>7498.166666666667</v>
      </c>
      <c r="BW66" s="985">
        <f t="shared" si="173"/>
        <v>7498.166666666667</v>
      </c>
      <c r="BX66" s="985">
        <f t="shared" si="173"/>
        <v>7498.166666666667</v>
      </c>
      <c r="BY66" s="986">
        <f t="shared" si="66"/>
        <v>89978.000000000015</v>
      </c>
      <c r="BZ66" s="886">
        <f t="shared" si="163"/>
        <v>3749.0833333333335</v>
      </c>
      <c r="CA66" s="257">
        <f t="shared" si="164"/>
        <v>3749.0833333333335</v>
      </c>
      <c r="CB66" s="257">
        <f t="shared" si="165"/>
        <v>3749.0833333333335</v>
      </c>
      <c r="CC66" s="257">
        <f t="shared" si="135"/>
        <v>3749.0833333333335</v>
      </c>
      <c r="CD66" s="257">
        <f t="shared" si="135"/>
        <v>3749.0833333333335</v>
      </c>
      <c r="CE66" s="257">
        <f t="shared" si="135"/>
        <v>3749.0833333333335</v>
      </c>
      <c r="CF66" s="257">
        <f t="shared" si="135"/>
        <v>3749.0833333333335</v>
      </c>
      <c r="CG66" s="257">
        <f t="shared" si="135"/>
        <v>3749.0833333333335</v>
      </c>
      <c r="CH66" s="257">
        <f t="shared" si="135"/>
        <v>3749.0833333333335</v>
      </c>
      <c r="CI66" s="257">
        <f t="shared" si="135"/>
        <v>3749.0833333333335</v>
      </c>
      <c r="CJ66" s="257">
        <f t="shared" si="135"/>
        <v>3749.0833333333335</v>
      </c>
      <c r="CK66" s="257">
        <f t="shared" si="135"/>
        <v>3749.0833333333335</v>
      </c>
      <c r="CL66" s="887">
        <f t="shared" si="68"/>
        <v>44989.000000000007</v>
      </c>
      <c r="CM66" s="984">
        <f>89978/12</f>
        <v>7498.166666666667</v>
      </c>
      <c r="CN66" s="985">
        <f t="shared" si="174"/>
        <v>7498.166666666667</v>
      </c>
      <c r="CO66" s="985">
        <f t="shared" si="174"/>
        <v>7498.166666666667</v>
      </c>
      <c r="CP66" s="985">
        <f t="shared" si="174"/>
        <v>7498.166666666667</v>
      </c>
      <c r="CQ66" s="985">
        <f t="shared" si="174"/>
        <v>7498.166666666667</v>
      </c>
      <c r="CR66" s="985">
        <f t="shared" si="174"/>
        <v>7498.166666666667</v>
      </c>
      <c r="CS66" s="985">
        <f t="shared" si="174"/>
        <v>7498.166666666667</v>
      </c>
      <c r="CT66" s="985">
        <f t="shared" si="174"/>
        <v>7498.166666666667</v>
      </c>
      <c r="CU66" s="985">
        <f t="shared" si="174"/>
        <v>7498.166666666667</v>
      </c>
      <c r="CV66" s="985">
        <f t="shared" si="174"/>
        <v>7498.166666666667</v>
      </c>
      <c r="CW66" s="985">
        <f t="shared" si="174"/>
        <v>7498.166666666667</v>
      </c>
      <c r="CX66" s="985">
        <f t="shared" si="174"/>
        <v>7498.166666666667</v>
      </c>
      <c r="CY66" s="986">
        <f t="shared" si="69"/>
        <v>89978.000000000015</v>
      </c>
      <c r="CZ66" s="886">
        <f t="shared" si="136"/>
        <v>3749.0833333333335</v>
      </c>
      <c r="DA66" s="257">
        <f t="shared" si="136"/>
        <v>3749.0833333333335</v>
      </c>
      <c r="DB66" s="257">
        <f t="shared" si="136"/>
        <v>3749.0833333333335</v>
      </c>
      <c r="DC66" s="257">
        <f t="shared" si="136"/>
        <v>3749.0833333333335</v>
      </c>
      <c r="DD66" s="257">
        <f t="shared" si="136"/>
        <v>3749.0833333333335</v>
      </c>
      <c r="DE66" s="257">
        <f t="shared" si="136"/>
        <v>3749.0833333333335</v>
      </c>
      <c r="DF66" s="257">
        <f t="shared" si="136"/>
        <v>3749.0833333333335</v>
      </c>
      <c r="DG66" s="257">
        <f t="shared" si="136"/>
        <v>3749.0833333333335</v>
      </c>
      <c r="DH66" s="257">
        <f t="shared" si="136"/>
        <v>3749.0833333333335</v>
      </c>
      <c r="DI66" s="257">
        <f t="shared" si="136"/>
        <v>3749.0833333333335</v>
      </c>
      <c r="DJ66" s="257">
        <f t="shared" si="136"/>
        <v>3749.0833333333335</v>
      </c>
      <c r="DK66" s="257">
        <f t="shared" si="136"/>
        <v>3749.0833333333335</v>
      </c>
      <c r="DL66" s="887">
        <f t="shared" si="50"/>
        <v>44989.000000000007</v>
      </c>
      <c r="DM66" s="984">
        <f>90720/12</f>
        <v>7560</v>
      </c>
      <c r="DN66" s="985">
        <f t="shared" si="175"/>
        <v>7560</v>
      </c>
      <c r="DO66" s="985">
        <f t="shared" si="175"/>
        <v>7560</v>
      </c>
      <c r="DP66" s="985">
        <f t="shared" si="175"/>
        <v>7560</v>
      </c>
      <c r="DQ66" s="985">
        <f t="shared" si="175"/>
        <v>7560</v>
      </c>
      <c r="DR66" s="985">
        <f t="shared" si="175"/>
        <v>7560</v>
      </c>
      <c r="DS66" s="985">
        <f t="shared" si="175"/>
        <v>7560</v>
      </c>
      <c r="DT66" s="985">
        <f t="shared" si="175"/>
        <v>7560</v>
      </c>
      <c r="DU66" s="985">
        <f t="shared" si="175"/>
        <v>7560</v>
      </c>
      <c r="DV66" s="985">
        <f t="shared" si="175"/>
        <v>7560</v>
      </c>
      <c r="DW66" s="985">
        <f t="shared" si="175"/>
        <v>7560</v>
      </c>
      <c r="DX66" s="985">
        <f t="shared" si="175"/>
        <v>7560</v>
      </c>
      <c r="DY66" s="986">
        <f t="shared" si="71"/>
        <v>90720</v>
      </c>
      <c r="DZ66" s="886">
        <f t="shared" si="137"/>
        <v>3780</v>
      </c>
      <c r="EA66" s="257">
        <f t="shared" si="137"/>
        <v>3780</v>
      </c>
      <c r="EB66" s="257">
        <f t="shared" si="137"/>
        <v>3780</v>
      </c>
      <c r="EC66" s="257">
        <f t="shared" si="137"/>
        <v>3780</v>
      </c>
      <c r="ED66" s="257">
        <f t="shared" si="137"/>
        <v>3780</v>
      </c>
      <c r="EE66" s="257">
        <f t="shared" si="137"/>
        <v>3780</v>
      </c>
      <c r="EF66" s="257">
        <f t="shared" si="137"/>
        <v>3780</v>
      </c>
      <c r="EG66" s="257">
        <f t="shared" si="137"/>
        <v>3780</v>
      </c>
      <c r="EH66" s="257">
        <f t="shared" si="137"/>
        <v>3780</v>
      </c>
      <c r="EI66" s="257">
        <f t="shared" si="137"/>
        <v>3780</v>
      </c>
      <c r="EJ66" s="257">
        <f t="shared" si="137"/>
        <v>3780</v>
      </c>
      <c r="EK66" s="257">
        <f t="shared" si="137"/>
        <v>3780</v>
      </c>
      <c r="EL66" s="887">
        <f t="shared" si="52"/>
        <v>45360</v>
      </c>
    </row>
    <row r="67" spans="1:142">
      <c r="A67" s="973" t="s">
        <v>667</v>
      </c>
      <c r="B67" s="905" t="s">
        <v>61</v>
      </c>
      <c r="C67" s="1004" t="s">
        <v>62</v>
      </c>
      <c r="D67" s="1028">
        <v>0.71550000000000002</v>
      </c>
      <c r="E67" s="553">
        <v>0.71550000000000002</v>
      </c>
      <c r="F67" s="553">
        <v>0.71550000000000002</v>
      </c>
      <c r="G67" s="553">
        <v>0.71550000000000002</v>
      </c>
      <c r="H67" s="553">
        <v>0.71550000000000002</v>
      </c>
      <c r="I67" s="553">
        <v>0.71550000000000002</v>
      </c>
      <c r="J67" s="553">
        <v>0.71550000000000002</v>
      </c>
      <c r="K67" s="915">
        <v>0.71550000000000002</v>
      </c>
      <c r="L67" s="983"/>
      <c r="M67" s="564">
        <v>6300</v>
      </c>
      <c r="N67" s="539">
        <v>18900</v>
      </c>
      <c r="O67" s="539">
        <v>12600</v>
      </c>
      <c r="P67" s="539">
        <v>12600</v>
      </c>
      <c r="Q67" s="539"/>
      <c r="R67" s="539">
        <v>12600</v>
      </c>
      <c r="S67" s="539">
        <v>12600</v>
      </c>
      <c r="T67" s="539">
        <v>12000</v>
      </c>
      <c r="U67" s="539">
        <v>12000</v>
      </c>
      <c r="V67" s="539">
        <v>12000</v>
      </c>
      <c r="W67" s="539">
        <v>12000</v>
      </c>
      <c r="X67" s="539">
        <v>12000</v>
      </c>
      <c r="Y67" s="885">
        <f t="shared" si="58"/>
        <v>135600</v>
      </c>
      <c r="Z67" s="886">
        <v>4507.6500000000005</v>
      </c>
      <c r="AA67" s="257">
        <v>13522.95</v>
      </c>
      <c r="AB67" s="257">
        <v>9015.3000000000011</v>
      </c>
      <c r="AC67" s="257">
        <v>9015</v>
      </c>
      <c r="AD67" s="257"/>
      <c r="AE67" s="257">
        <f>R67*$E67</f>
        <v>9015.3000000000011</v>
      </c>
      <c r="AF67" s="257">
        <f t="shared" si="156"/>
        <v>9015.3000000000011</v>
      </c>
      <c r="AG67" s="257">
        <f t="shared" si="156"/>
        <v>8586</v>
      </c>
      <c r="AH67" s="257">
        <f t="shared" si="156"/>
        <v>8586</v>
      </c>
      <c r="AI67" s="257">
        <f t="shared" si="157"/>
        <v>8586</v>
      </c>
      <c r="AJ67" s="257">
        <f t="shared" si="157"/>
        <v>8586</v>
      </c>
      <c r="AK67" s="257">
        <f t="shared" si="157"/>
        <v>8586</v>
      </c>
      <c r="AL67" s="887">
        <f t="shared" si="62"/>
        <v>97021.5</v>
      </c>
      <c r="AM67" s="984">
        <v>10000</v>
      </c>
      <c r="AN67" s="985">
        <v>10000</v>
      </c>
      <c r="AO67" s="985">
        <v>10000</v>
      </c>
      <c r="AP67" s="985">
        <v>10000</v>
      </c>
      <c r="AQ67" s="985">
        <v>10000</v>
      </c>
      <c r="AR67" s="985">
        <v>10000</v>
      </c>
      <c r="AS67" s="985">
        <v>10000</v>
      </c>
      <c r="AT67" s="985">
        <v>10000</v>
      </c>
      <c r="AU67" s="985">
        <v>10000</v>
      </c>
      <c r="AV67" s="985">
        <v>10000</v>
      </c>
      <c r="AW67" s="985">
        <v>10000</v>
      </c>
      <c r="AX67" s="985">
        <v>10000</v>
      </c>
      <c r="AY67" s="986">
        <f t="shared" si="64"/>
        <v>120000</v>
      </c>
      <c r="AZ67" s="886">
        <f t="shared" si="159"/>
        <v>7155</v>
      </c>
      <c r="BA67" s="257">
        <f t="shared" si="160"/>
        <v>7155</v>
      </c>
      <c r="BB67" s="257">
        <f t="shared" si="161"/>
        <v>7155</v>
      </c>
      <c r="BC67" s="257">
        <f t="shared" si="134"/>
        <v>7155</v>
      </c>
      <c r="BD67" s="257">
        <f t="shared" si="134"/>
        <v>7155</v>
      </c>
      <c r="BE67" s="257">
        <f t="shared" si="134"/>
        <v>7155</v>
      </c>
      <c r="BF67" s="257">
        <f t="shared" si="134"/>
        <v>7155</v>
      </c>
      <c r="BG67" s="257">
        <f t="shared" si="134"/>
        <v>7155</v>
      </c>
      <c r="BH67" s="257">
        <f t="shared" si="134"/>
        <v>7155</v>
      </c>
      <c r="BI67" s="257">
        <f t="shared" si="134"/>
        <v>7155</v>
      </c>
      <c r="BJ67" s="257">
        <f t="shared" si="134"/>
        <v>7155</v>
      </c>
      <c r="BK67" s="257">
        <f t="shared" si="134"/>
        <v>7155</v>
      </c>
      <c r="BL67" s="887">
        <f t="shared" si="47"/>
        <v>85860</v>
      </c>
      <c r="BM67" s="984">
        <v>10000</v>
      </c>
      <c r="BN67" s="985">
        <v>10000</v>
      </c>
      <c r="BO67" s="985">
        <v>10000</v>
      </c>
      <c r="BP67" s="985">
        <v>10000</v>
      </c>
      <c r="BQ67" s="985">
        <v>10000</v>
      </c>
      <c r="BR67" s="985">
        <v>10000</v>
      </c>
      <c r="BS67" s="985">
        <v>10000</v>
      </c>
      <c r="BT67" s="985">
        <v>10000</v>
      </c>
      <c r="BU67" s="985">
        <v>10000</v>
      </c>
      <c r="BV67" s="985">
        <v>10000</v>
      </c>
      <c r="BW67" s="985">
        <v>10000</v>
      </c>
      <c r="BX67" s="985">
        <v>10000</v>
      </c>
      <c r="BY67" s="986">
        <f t="shared" si="66"/>
        <v>120000</v>
      </c>
      <c r="BZ67" s="886">
        <f t="shared" si="163"/>
        <v>7155</v>
      </c>
      <c r="CA67" s="257">
        <f t="shared" si="164"/>
        <v>7155</v>
      </c>
      <c r="CB67" s="257">
        <f t="shared" si="165"/>
        <v>7155</v>
      </c>
      <c r="CC67" s="257">
        <f t="shared" si="135"/>
        <v>7155</v>
      </c>
      <c r="CD67" s="257">
        <f t="shared" si="135"/>
        <v>7155</v>
      </c>
      <c r="CE67" s="257">
        <f t="shared" si="135"/>
        <v>7155</v>
      </c>
      <c r="CF67" s="257">
        <f t="shared" si="135"/>
        <v>7155</v>
      </c>
      <c r="CG67" s="257">
        <f t="shared" si="135"/>
        <v>7155</v>
      </c>
      <c r="CH67" s="257">
        <f t="shared" si="135"/>
        <v>7155</v>
      </c>
      <c r="CI67" s="257">
        <f t="shared" si="135"/>
        <v>7155</v>
      </c>
      <c r="CJ67" s="257">
        <f t="shared" si="135"/>
        <v>7155</v>
      </c>
      <c r="CK67" s="257">
        <f t="shared" si="135"/>
        <v>7155</v>
      </c>
      <c r="CL67" s="887">
        <f t="shared" si="68"/>
        <v>85860</v>
      </c>
      <c r="CM67" s="984">
        <v>5000</v>
      </c>
      <c r="CN67" s="985">
        <v>5000</v>
      </c>
      <c r="CO67" s="985">
        <v>5000</v>
      </c>
      <c r="CP67" s="985">
        <v>5000</v>
      </c>
      <c r="CQ67" s="985">
        <v>5000</v>
      </c>
      <c r="CR67" s="985">
        <v>5000</v>
      </c>
      <c r="CS67" s="985">
        <v>5000</v>
      </c>
      <c r="CT67" s="985">
        <v>5000</v>
      </c>
      <c r="CU67" s="985">
        <v>5000</v>
      </c>
      <c r="CV67" s="985">
        <v>5000</v>
      </c>
      <c r="CW67" s="985">
        <v>5000</v>
      </c>
      <c r="CX67" s="985">
        <v>5000</v>
      </c>
      <c r="CY67" s="986">
        <f t="shared" si="69"/>
        <v>60000</v>
      </c>
      <c r="CZ67" s="886">
        <f t="shared" si="136"/>
        <v>3577.5</v>
      </c>
      <c r="DA67" s="257">
        <f t="shared" si="136"/>
        <v>3577.5</v>
      </c>
      <c r="DB67" s="257">
        <f t="shared" si="136"/>
        <v>3577.5</v>
      </c>
      <c r="DC67" s="257">
        <f t="shared" si="136"/>
        <v>3577.5</v>
      </c>
      <c r="DD67" s="257">
        <f t="shared" si="136"/>
        <v>3577.5</v>
      </c>
      <c r="DE67" s="257">
        <f t="shared" si="136"/>
        <v>3577.5</v>
      </c>
      <c r="DF67" s="257">
        <f t="shared" si="136"/>
        <v>3577.5</v>
      </c>
      <c r="DG67" s="257">
        <f t="shared" si="136"/>
        <v>3577.5</v>
      </c>
      <c r="DH67" s="257">
        <f t="shared" si="136"/>
        <v>3577.5</v>
      </c>
      <c r="DI67" s="257">
        <f t="shared" si="136"/>
        <v>3577.5</v>
      </c>
      <c r="DJ67" s="257">
        <f t="shared" si="136"/>
        <v>3577.5</v>
      </c>
      <c r="DK67" s="257">
        <f t="shared" si="136"/>
        <v>3577.5</v>
      </c>
      <c r="DL67" s="887">
        <f t="shared" si="50"/>
        <v>42930</v>
      </c>
      <c r="DM67" s="984">
        <v>5000</v>
      </c>
      <c r="DN67" s="985">
        <v>5000</v>
      </c>
      <c r="DO67" s="985">
        <v>5000</v>
      </c>
      <c r="DP67" s="985">
        <v>5000</v>
      </c>
      <c r="DQ67" s="985">
        <v>5000</v>
      </c>
      <c r="DR67" s="985">
        <v>5000</v>
      </c>
      <c r="DS67" s="985">
        <v>5000</v>
      </c>
      <c r="DT67" s="985">
        <v>5000</v>
      </c>
      <c r="DU67" s="985">
        <v>5000</v>
      </c>
      <c r="DV67" s="985">
        <v>5000</v>
      </c>
      <c r="DW67" s="985">
        <v>5000</v>
      </c>
      <c r="DX67" s="985">
        <v>5000</v>
      </c>
      <c r="DY67" s="986">
        <f t="shared" si="71"/>
        <v>60000</v>
      </c>
      <c r="DZ67" s="886">
        <f t="shared" si="137"/>
        <v>3577.5</v>
      </c>
      <c r="EA67" s="257">
        <f t="shared" si="137"/>
        <v>3577.5</v>
      </c>
      <c r="EB67" s="257">
        <f t="shared" si="137"/>
        <v>3577.5</v>
      </c>
      <c r="EC67" s="257">
        <f t="shared" si="137"/>
        <v>3577.5</v>
      </c>
      <c r="ED67" s="257">
        <f t="shared" si="137"/>
        <v>3577.5</v>
      </c>
      <c r="EE67" s="257">
        <f t="shared" si="137"/>
        <v>3577.5</v>
      </c>
      <c r="EF67" s="257">
        <f t="shared" si="137"/>
        <v>3577.5</v>
      </c>
      <c r="EG67" s="257">
        <f t="shared" si="137"/>
        <v>3577.5</v>
      </c>
      <c r="EH67" s="257">
        <f t="shared" si="137"/>
        <v>3577.5</v>
      </c>
      <c r="EI67" s="257">
        <f t="shared" si="137"/>
        <v>3577.5</v>
      </c>
      <c r="EJ67" s="257">
        <f t="shared" si="137"/>
        <v>3577.5</v>
      </c>
      <c r="EK67" s="257">
        <f t="shared" si="137"/>
        <v>3577.5</v>
      </c>
      <c r="EL67" s="887">
        <f t="shared" si="52"/>
        <v>42930</v>
      </c>
    </row>
    <row r="68" spans="1:142">
      <c r="A68" s="973" t="s">
        <v>667</v>
      </c>
      <c r="B68" s="905" t="s">
        <v>63</v>
      </c>
      <c r="C68" s="1004" t="s">
        <v>64</v>
      </c>
      <c r="D68" s="1026">
        <v>0.55547000000000002</v>
      </c>
      <c r="E68" s="559">
        <v>0.55547000000000002</v>
      </c>
      <c r="F68" s="559">
        <v>0.55547000000000002</v>
      </c>
      <c r="G68" s="559">
        <v>0.55547000000000002</v>
      </c>
      <c r="H68" s="559">
        <v>0.55547000000000002</v>
      </c>
      <c r="I68" s="559">
        <v>0.55547000000000002</v>
      </c>
      <c r="J68" s="559">
        <v>0.55547000000000002</v>
      </c>
      <c r="K68" s="982">
        <v>0.55547000000000002</v>
      </c>
      <c r="L68" s="983"/>
      <c r="M68" s="564">
        <v>13920</v>
      </c>
      <c r="N68" s="539">
        <v>8000</v>
      </c>
      <c r="O68" s="539">
        <v>10920</v>
      </c>
      <c r="P68" s="539">
        <v>12000</v>
      </c>
      <c r="Q68" s="539">
        <v>10840</v>
      </c>
      <c r="R68" s="539">
        <v>13920</v>
      </c>
      <c r="S68" s="539">
        <v>13920</v>
      </c>
      <c r="T68" s="539">
        <v>12000</v>
      </c>
      <c r="U68" s="539">
        <v>12000</v>
      </c>
      <c r="V68" s="539">
        <v>12000</v>
      </c>
      <c r="W68" s="539">
        <v>12000</v>
      </c>
      <c r="X68" s="539">
        <v>12000</v>
      </c>
      <c r="Y68" s="885">
        <f t="shared" si="58"/>
        <v>143520</v>
      </c>
      <c r="Z68" s="886">
        <v>7732.1424000000006</v>
      </c>
      <c r="AA68" s="257">
        <v>4443.76</v>
      </c>
      <c r="AB68" s="257">
        <v>6065.7323999999999</v>
      </c>
      <c r="AC68" s="257">
        <v>6660</v>
      </c>
      <c r="AD68" s="257">
        <v>6021.2947999999997</v>
      </c>
      <c r="AE68" s="257">
        <f>R68*$E68</f>
        <v>7732.1424000000006</v>
      </c>
      <c r="AF68" s="257">
        <f t="shared" si="156"/>
        <v>7732.1424000000006</v>
      </c>
      <c r="AG68" s="257">
        <f t="shared" si="156"/>
        <v>6665.64</v>
      </c>
      <c r="AH68" s="257">
        <f t="shared" si="156"/>
        <v>6665.64</v>
      </c>
      <c r="AI68" s="257">
        <f t="shared" si="157"/>
        <v>6665.64</v>
      </c>
      <c r="AJ68" s="257">
        <f t="shared" si="157"/>
        <v>6665.64</v>
      </c>
      <c r="AK68" s="257">
        <f t="shared" si="157"/>
        <v>6665.64</v>
      </c>
      <c r="AL68" s="887">
        <f t="shared" si="62"/>
        <v>79715.414399999994</v>
      </c>
      <c r="AM68" s="984">
        <v>10000</v>
      </c>
      <c r="AN68" s="985">
        <v>10000</v>
      </c>
      <c r="AO68" s="985">
        <v>10000</v>
      </c>
      <c r="AP68" s="985">
        <v>10000</v>
      </c>
      <c r="AQ68" s="985">
        <v>10000</v>
      </c>
      <c r="AR68" s="985">
        <v>10000</v>
      </c>
      <c r="AS68" s="985">
        <v>10000</v>
      </c>
      <c r="AT68" s="985">
        <v>10000</v>
      </c>
      <c r="AU68" s="985">
        <v>10000</v>
      </c>
      <c r="AV68" s="985">
        <v>10000</v>
      </c>
      <c r="AW68" s="985">
        <v>10000</v>
      </c>
      <c r="AX68" s="985">
        <v>10000</v>
      </c>
      <c r="AY68" s="986">
        <f t="shared" si="64"/>
        <v>120000</v>
      </c>
      <c r="AZ68" s="886">
        <f t="shared" si="159"/>
        <v>5554.7</v>
      </c>
      <c r="BA68" s="257">
        <f t="shared" si="160"/>
        <v>5554.7</v>
      </c>
      <c r="BB68" s="257">
        <f t="shared" si="161"/>
        <v>5554.7</v>
      </c>
      <c r="BC68" s="257">
        <f t="shared" ref="BC68:BK72" si="176">AP68*$H68</f>
        <v>5554.7</v>
      </c>
      <c r="BD68" s="257">
        <f t="shared" si="176"/>
        <v>5554.7</v>
      </c>
      <c r="BE68" s="257">
        <f t="shared" si="176"/>
        <v>5554.7</v>
      </c>
      <c r="BF68" s="257">
        <f t="shared" si="176"/>
        <v>5554.7</v>
      </c>
      <c r="BG68" s="257">
        <f t="shared" si="176"/>
        <v>5554.7</v>
      </c>
      <c r="BH68" s="257">
        <f t="shared" si="176"/>
        <v>5554.7</v>
      </c>
      <c r="BI68" s="257">
        <f t="shared" si="176"/>
        <v>5554.7</v>
      </c>
      <c r="BJ68" s="257">
        <f t="shared" si="176"/>
        <v>5554.7</v>
      </c>
      <c r="BK68" s="257">
        <f t="shared" si="176"/>
        <v>5554.7</v>
      </c>
      <c r="BL68" s="887">
        <f t="shared" si="47"/>
        <v>66656.39999999998</v>
      </c>
      <c r="BM68" s="984">
        <v>10000</v>
      </c>
      <c r="BN68" s="985">
        <v>10000</v>
      </c>
      <c r="BO68" s="985">
        <v>10000</v>
      </c>
      <c r="BP68" s="985">
        <v>10000</v>
      </c>
      <c r="BQ68" s="985">
        <v>10000</v>
      </c>
      <c r="BR68" s="985">
        <v>10000</v>
      </c>
      <c r="BS68" s="985">
        <v>10000</v>
      </c>
      <c r="BT68" s="985">
        <v>10000</v>
      </c>
      <c r="BU68" s="985">
        <v>10000</v>
      </c>
      <c r="BV68" s="985">
        <v>10000</v>
      </c>
      <c r="BW68" s="985">
        <v>10000</v>
      </c>
      <c r="BX68" s="985">
        <v>10000</v>
      </c>
      <c r="BY68" s="986">
        <f t="shared" si="66"/>
        <v>120000</v>
      </c>
      <c r="BZ68" s="886">
        <f t="shared" si="163"/>
        <v>5554.7</v>
      </c>
      <c r="CA68" s="257">
        <f t="shared" si="164"/>
        <v>5554.7</v>
      </c>
      <c r="CB68" s="257">
        <f t="shared" si="165"/>
        <v>5554.7</v>
      </c>
      <c r="CC68" s="257">
        <f t="shared" ref="CC68:CK72" si="177">BP68*$I68</f>
        <v>5554.7</v>
      </c>
      <c r="CD68" s="257">
        <f t="shared" si="177"/>
        <v>5554.7</v>
      </c>
      <c r="CE68" s="257">
        <f t="shared" si="177"/>
        <v>5554.7</v>
      </c>
      <c r="CF68" s="257">
        <f t="shared" si="177"/>
        <v>5554.7</v>
      </c>
      <c r="CG68" s="257">
        <f t="shared" si="177"/>
        <v>5554.7</v>
      </c>
      <c r="CH68" s="257">
        <f t="shared" si="177"/>
        <v>5554.7</v>
      </c>
      <c r="CI68" s="257">
        <f t="shared" si="177"/>
        <v>5554.7</v>
      </c>
      <c r="CJ68" s="257">
        <f t="shared" si="177"/>
        <v>5554.7</v>
      </c>
      <c r="CK68" s="257">
        <f t="shared" si="177"/>
        <v>5554.7</v>
      </c>
      <c r="CL68" s="887">
        <f t="shared" si="68"/>
        <v>66656.39999999998</v>
      </c>
      <c r="CM68" s="984">
        <v>5000</v>
      </c>
      <c r="CN68" s="985">
        <v>5000</v>
      </c>
      <c r="CO68" s="985">
        <v>5000</v>
      </c>
      <c r="CP68" s="985">
        <v>5000</v>
      </c>
      <c r="CQ68" s="985">
        <v>5000</v>
      </c>
      <c r="CR68" s="985">
        <v>5000</v>
      </c>
      <c r="CS68" s="985">
        <v>5000</v>
      </c>
      <c r="CT68" s="985">
        <v>5000</v>
      </c>
      <c r="CU68" s="985">
        <v>5000</v>
      </c>
      <c r="CV68" s="985">
        <v>5000</v>
      </c>
      <c r="CW68" s="985">
        <v>5000</v>
      </c>
      <c r="CX68" s="985">
        <v>5000</v>
      </c>
      <c r="CY68" s="986">
        <f t="shared" si="69"/>
        <v>60000</v>
      </c>
      <c r="CZ68" s="886">
        <f t="shared" ref="CZ68:CZ72" si="178">CM68*$J68</f>
        <v>2777.35</v>
      </c>
      <c r="DA68" s="257">
        <f t="shared" ref="DA68:DA72" si="179">CN68*$J68</f>
        <v>2777.35</v>
      </c>
      <c r="DB68" s="257">
        <f t="shared" ref="DB68:DB72" si="180">CO68*$J68</f>
        <v>2777.35</v>
      </c>
      <c r="DC68" s="257">
        <f t="shared" ref="DC68:DK72" si="181">CP68*$J68</f>
        <v>2777.35</v>
      </c>
      <c r="DD68" s="257">
        <f t="shared" si="181"/>
        <v>2777.35</v>
      </c>
      <c r="DE68" s="257">
        <f t="shared" si="181"/>
        <v>2777.35</v>
      </c>
      <c r="DF68" s="257">
        <f t="shared" si="181"/>
        <v>2777.35</v>
      </c>
      <c r="DG68" s="257">
        <f t="shared" si="181"/>
        <v>2777.35</v>
      </c>
      <c r="DH68" s="257">
        <f t="shared" si="181"/>
        <v>2777.35</v>
      </c>
      <c r="DI68" s="257">
        <f t="shared" si="181"/>
        <v>2777.35</v>
      </c>
      <c r="DJ68" s="257">
        <f t="shared" si="181"/>
        <v>2777.35</v>
      </c>
      <c r="DK68" s="257">
        <f t="shared" si="181"/>
        <v>2777.35</v>
      </c>
      <c r="DL68" s="887">
        <f t="shared" si="50"/>
        <v>33328.19999999999</v>
      </c>
      <c r="DM68" s="984">
        <v>5000</v>
      </c>
      <c r="DN68" s="985">
        <v>5000</v>
      </c>
      <c r="DO68" s="985">
        <v>5000</v>
      </c>
      <c r="DP68" s="985">
        <v>5000</v>
      </c>
      <c r="DQ68" s="985">
        <v>5000</v>
      </c>
      <c r="DR68" s="985">
        <v>5000</v>
      </c>
      <c r="DS68" s="985">
        <v>5000</v>
      </c>
      <c r="DT68" s="985">
        <v>5000</v>
      </c>
      <c r="DU68" s="985">
        <v>5000</v>
      </c>
      <c r="DV68" s="985">
        <v>5000</v>
      </c>
      <c r="DW68" s="985">
        <v>5000</v>
      </c>
      <c r="DX68" s="985">
        <v>5000</v>
      </c>
      <c r="DY68" s="986">
        <f t="shared" si="71"/>
        <v>60000</v>
      </c>
      <c r="DZ68" s="886">
        <f t="shared" ref="DZ68:DZ72" si="182">DM68*$K68</f>
        <v>2777.35</v>
      </c>
      <c r="EA68" s="257">
        <f t="shared" ref="EA68:EA72" si="183">DN68*$K68</f>
        <v>2777.35</v>
      </c>
      <c r="EB68" s="257">
        <f t="shared" ref="EB68:EB72" si="184">DO68*$K68</f>
        <v>2777.35</v>
      </c>
      <c r="EC68" s="257">
        <f t="shared" ref="EC68:EK72" si="185">DP68*$K68</f>
        <v>2777.35</v>
      </c>
      <c r="ED68" s="257">
        <f t="shared" si="185"/>
        <v>2777.35</v>
      </c>
      <c r="EE68" s="257">
        <f t="shared" si="185"/>
        <v>2777.35</v>
      </c>
      <c r="EF68" s="257">
        <f t="shared" si="185"/>
        <v>2777.35</v>
      </c>
      <c r="EG68" s="257">
        <f t="shared" si="185"/>
        <v>2777.35</v>
      </c>
      <c r="EH68" s="257">
        <f t="shared" si="185"/>
        <v>2777.35</v>
      </c>
      <c r="EI68" s="257">
        <f t="shared" si="185"/>
        <v>2777.35</v>
      </c>
      <c r="EJ68" s="257">
        <f t="shared" si="185"/>
        <v>2777.35</v>
      </c>
      <c r="EK68" s="257">
        <f t="shared" si="185"/>
        <v>2777.35</v>
      </c>
      <c r="EL68" s="887">
        <f t="shared" si="52"/>
        <v>33328.19999999999</v>
      </c>
    </row>
    <row r="69" spans="1:142">
      <c r="A69" s="973" t="s">
        <v>667</v>
      </c>
      <c r="B69" s="905" t="s">
        <v>65</v>
      </c>
      <c r="C69" s="1004" t="s">
        <v>66</v>
      </c>
      <c r="D69" s="1028">
        <v>0.77769999999999995</v>
      </c>
      <c r="E69" s="553">
        <v>0.77769999999999995</v>
      </c>
      <c r="F69" s="553">
        <v>0.77769999999999995</v>
      </c>
      <c r="G69" s="553">
        <v>0.77769999999999995</v>
      </c>
      <c r="H69" s="553">
        <f t="shared" si="73"/>
        <v>0.77769999999999995</v>
      </c>
      <c r="I69" s="553">
        <f t="shared" si="73"/>
        <v>0.77769999999999995</v>
      </c>
      <c r="J69" s="553">
        <f t="shared" si="73"/>
        <v>0.77769999999999995</v>
      </c>
      <c r="K69" s="915">
        <f t="shared" si="73"/>
        <v>0.77769999999999995</v>
      </c>
      <c r="L69" s="983"/>
      <c r="M69" s="564"/>
      <c r="N69" s="539"/>
      <c r="O69" s="539"/>
      <c r="P69" s="539"/>
      <c r="Q69" s="539"/>
      <c r="R69" s="539"/>
      <c r="S69" s="539">
        <v>8000</v>
      </c>
      <c r="T69" s="539"/>
      <c r="U69" s="539"/>
      <c r="V69" s="539">
        <v>12000</v>
      </c>
      <c r="W69" s="539">
        <v>12000</v>
      </c>
      <c r="X69" s="539">
        <v>12000</v>
      </c>
      <c r="Y69" s="885">
        <f t="shared" si="58"/>
        <v>44000</v>
      </c>
      <c r="Z69" s="886">
        <v>0</v>
      </c>
      <c r="AA69" s="257">
        <v>0</v>
      </c>
      <c r="AB69" s="257">
        <v>0</v>
      </c>
      <c r="AC69" s="257">
        <f t="shared" ref="AC69:AD71" si="186">P69*$E69</f>
        <v>0</v>
      </c>
      <c r="AD69" s="257">
        <f t="shared" si="186"/>
        <v>0</v>
      </c>
      <c r="AE69" s="257">
        <f t="shared" si="155"/>
        <v>0</v>
      </c>
      <c r="AF69" s="257">
        <f>S69*$F69</f>
        <v>6221.5999999999995</v>
      </c>
      <c r="AG69" s="257">
        <f t="shared" si="156"/>
        <v>0</v>
      </c>
      <c r="AH69" s="257">
        <f t="shared" si="156"/>
        <v>0</v>
      </c>
      <c r="AI69" s="257">
        <f t="shared" si="157"/>
        <v>9332.4</v>
      </c>
      <c r="AJ69" s="257">
        <f t="shared" si="157"/>
        <v>9332.4</v>
      </c>
      <c r="AK69" s="257">
        <f t="shared" si="157"/>
        <v>9332.4</v>
      </c>
      <c r="AL69" s="887">
        <f t="shared" si="62"/>
        <v>34218.800000000003</v>
      </c>
      <c r="AM69" s="984">
        <v>10000</v>
      </c>
      <c r="AN69" s="985">
        <v>10000</v>
      </c>
      <c r="AO69" s="985">
        <v>10000</v>
      </c>
      <c r="AP69" s="985">
        <v>10000</v>
      </c>
      <c r="AQ69" s="985">
        <v>10000</v>
      </c>
      <c r="AR69" s="985">
        <v>10000</v>
      </c>
      <c r="AS69" s="985">
        <v>10000</v>
      </c>
      <c r="AT69" s="985">
        <v>10000</v>
      </c>
      <c r="AU69" s="985">
        <v>10000</v>
      </c>
      <c r="AV69" s="985">
        <v>10000</v>
      </c>
      <c r="AW69" s="985">
        <v>10000</v>
      </c>
      <c r="AX69" s="985">
        <v>10000</v>
      </c>
      <c r="AY69" s="986">
        <f t="shared" si="64"/>
        <v>120000</v>
      </c>
      <c r="AZ69" s="886">
        <f t="shared" si="159"/>
        <v>7776.9999999999991</v>
      </c>
      <c r="BA69" s="257">
        <f t="shared" si="160"/>
        <v>7776.9999999999991</v>
      </c>
      <c r="BB69" s="257">
        <f t="shared" si="161"/>
        <v>7776.9999999999991</v>
      </c>
      <c r="BC69" s="257">
        <f t="shared" si="176"/>
        <v>7776.9999999999991</v>
      </c>
      <c r="BD69" s="257">
        <f t="shared" si="176"/>
        <v>7776.9999999999991</v>
      </c>
      <c r="BE69" s="257">
        <f t="shared" si="176"/>
        <v>7776.9999999999991</v>
      </c>
      <c r="BF69" s="257">
        <f t="shared" si="176"/>
        <v>7776.9999999999991</v>
      </c>
      <c r="BG69" s="257">
        <f t="shared" si="176"/>
        <v>7776.9999999999991</v>
      </c>
      <c r="BH69" s="257">
        <f t="shared" si="176"/>
        <v>7776.9999999999991</v>
      </c>
      <c r="BI69" s="257">
        <f t="shared" si="176"/>
        <v>7776.9999999999991</v>
      </c>
      <c r="BJ69" s="257">
        <f t="shared" si="176"/>
        <v>7776.9999999999991</v>
      </c>
      <c r="BK69" s="257">
        <f t="shared" si="176"/>
        <v>7776.9999999999991</v>
      </c>
      <c r="BL69" s="887">
        <f t="shared" si="47"/>
        <v>93323.999999999985</v>
      </c>
      <c r="BM69" s="984">
        <v>10000</v>
      </c>
      <c r="BN69" s="985">
        <v>10000</v>
      </c>
      <c r="BO69" s="985">
        <v>10000</v>
      </c>
      <c r="BP69" s="985">
        <v>10000</v>
      </c>
      <c r="BQ69" s="985">
        <v>10000</v>
      </c>
      <c r="BR69" s="985">
        <v>10000</v>
      </c>
      <c r="BS69" s="985">
        <v>10000</v>
      </c>
      <c r="BT69" s="985">
        <v>10000</v>
      </c>
      <c r="BU69" s="985">
        <v>10000</v>
      </c>
      <c r="BV69" s="985">
        <v>10000</v>
      </c>
      <c r="BW69" s="985">
        <v>10000</v>
      </c>
      <c r="BX69" s="985">
        <v>10000</v>
      </c>
      <c r="BY69" s="986">
        <f t="shared" si="66"/>
        <v>120000</v>
      </c>
      <c r="BZ69" s="886">
        <f t="shared" si="163"/>
        <v>7776.9999999999991</v>
      </c>
      <c r="CA69" s="257">
        <f t="shared" si="164"/>
        <v>7776.9999999999991</v>
      </c>
      <c r="CB69" s="257">
        <f t="shared" si="165"/>
        <v>7776.9999999999991</v>
      </c>
      <c r="CC69" s="257">
        <f t="shared" si="177"/>
        <v>7776.9999999999991</v>
      </c>
      <c r="CD69" s="257">
        <f t="shared" si="177"/>
        <v>7776.9999999999991</v>
      </c>
      <c r="CE69" s="257">
        <f t="shared" si="177"/>
        <v>7776.9999999999991</v>
      </c>
      <c r="CF69" s="257">
        <f t="shared" si="177"/>
        <v>7776.9999999999991</v>
      </c>
      <c r="CG69" s="257">
        <f t="shared" si="177"/>
        <v>7776.9999999999991</v>
      </c>
      <c r="CH69" s="257">
        <f t="shared" si="177"/>
        <v>7776.9999999999991</v>
      </c>
      <c r="CI69" s="257">
        <f t="shared" si="177"/>
        <v>7776.9999999999991</v>
      </c>
      <c r="CJ69" s="257">
        <f t="shared" si="177"/>
        <v>7776.9999999999991</v>
      </c>
      <c r="CK69" s="257">
        <f t="shared" si="177"/>
        <v>7776.9999999999991</v>
      </c>
      <c r="CL69" s="887">
        <f t="shared" si="68"/>
        <v>93323.999999999985</v>
      </c>
      <c r="CM69" s="984">
        <v>5000</v>
      </c>
      <c r="CN69" s="985">
        <v>5000</v>
      </c>
      <c r="CO69" s="985">
        <v>5000</v>
      </c>
      <c r="CP69" s="985">
        <v>5000</v>
      </c>
      <c r="CQ69" s="985">
        <v>5000</v>
      </c>
      <c r="CR69" s="985">
        <v>5000</v>
      </c>
      <c r="CS69" s="985">
        <v>5000</v>
      </c>
      <c r="CT69" s="985">
        <v>5000</v>
      </c>
      <c r="CU69" s="985">
        <v>5000</v>
      </c>
      <c r="CV69" s="985">
        <v>5000</v>
      </c>
      <c r="CW69" s="985">
        <v>5000</v>
      </c>
      <c r="CX69" s="985">
        <v>5000</v>
      </c>
      <c r="CY69" s="986">
        <f t="shared" si="69"/>
        <v>60000</v>
      </c>
      <c r="CZ69" s="886">
        <f t="shared" si="178"/>
        <v>3888.4999999999995</v>
      </c>
      <c r="DA69" s="257">
        <f t="shared" si="179"/>
        <v>3888.4999999999995</v>
      </c>
      <c r="DB69" s="257">
        <f t="shared" si="180"/>
        <v>3888.4999999999995</v>
      </c>
      <c r="DC69" s="257">
        <f t="shared" si="181"/>
        <v>3888.4999999999995</v>
      </c>
      <c r="DD69" s="257">
        <f t="shared" si="181"/>
        <v>3888.4999999999995</v>
      </c>
      <c r="DE69" s="257">
        <f t="shared" si="181"/>
        <v>3888.4999999999995</v>
      </c>
      <c r="DF69" s="257">
        <f t="shared" si="181"/>
        <v>3888.4999999999995</v>
      </c>
      <c r="DG69" s="257">
        <f t="shared" si="181"/>
        <v>3888.4999999999995</v>
      </c>
      <c r="DH69" s="257">
        <f t="shared" si="181"/>
        <v>3888.4999999999995</v>
      </c>
      <c r="DI69" s="257">
        <f t="shared" si="181"/>
        <v>3888.4999999999995</v>
      </c>
      <c r="DJ69" s="257">
        <f t="shared" si="181"/>
        <v>3888.4999999999995</v>
      </c>
      <c r="DK69" s="257">
        <f t="shared" si="181"/>
        <v>3888.4999999999995</v>
      </c>
      <c r="DL69" s="887">
        <f t="shared" si="50"/>
        <v>46661.999999999993</v>
      </c>
      <c r="DM69" s="984">
        <v>5000</v>
      </c>
      <c r="DN69" s="985">
        <v>5000</v>
      </c>
      <c r="DO69" s="985">
        <v>5000</v>
      </c>
      <c r="DP69" s="985">
        <v>5000</v>
      </c>
      <c r="DQ69" s="985">
        <v>5000</v>
      </c>
      <c r="DR69" s="985">
        <v>5000</v>
      </c>
      <c r="DS69" s="985">
        <v>5000</v>
      </c>
      <c r="DT69" s="985">
        <v>5000</v>
      </c>
      <c r="DU69" s="985">
        <v>5000</v>
      </c>
      <c r="DV69" s="985">
        <v>5000</v>
      </c>
      <c r="DW69" s="985">
        <v>5000</v>
      </c>
      <c r="DX69" s="985">
        <v>5000</v>
      </c>
      <c r="DY69" s="986">
        <f t="shared" si="71"/>
        <v>60000</v>
      </c>
      <c r="DZ69" s="886">
        <f t="shared" si="182"/>
        <v>3888.4999999999995</v>
      </c>
      <c r="EA69" s="257">
        <f t="shared" si="183"/>
        <v>3888.4999999999995</v>
      </c>
      <c r="EB69" s="257">
        <f t="shared" si="184"/>
        <v>3888.4999999999995</v>
      </c>
      <c r="EC69" s="257">
        <f t="shared" si="185"/>
        <v>3888.4999999999995</v>
      </c>
      <c r="ED69" s="257">
        <f t="shared" si="185"/>
        <v>3888.4999999999995</v>
      </c>
      <c r="EE69" s="257">
        <f t="shared" si="185"/>
        <v>3888.4999999999995</v>
      </c>
      <c r="EF69" s="257">
        <f t="shared" si="185"/>
        <v>3888.4999999999995</v>
      </c>
      <c r="EG69" s="257">
        <f t="shared" si="185"/>
        <v>3888.4999999999995</v>
      </c>
      <c r="EH69" s="257">
        <f t="shared" si="185"/>
        <v>3888.4999999999995</v>
      </c>
      <c r="EI69" s="257">
        <f t="shared" si="185"/>
        <v>3888.4999999999995</v>
      </c>
      <c r="EJ69" s="257">
        <f t="shared" si="185"/>
        <v>3888.4999999999995</v>
      </c>
      <c r="EK69" s="257">
        <f t="shared" si="185"/>
        <v>3888.4999999999995</v>
      </c>
      <c r="EL69" s="887">
        <f t="shared" si="52"/>
        <v>46661.999999999993</v>
      </c>
    </row>
    <row r="70" spans="1:142">
      <c r="A70" s="973" t="s">
        <v>667</v>
      </c>
      <c r="B70" s="905" t="s">
        <v>67</v>
      </c>
      <c r="C70" s="1004" t="s">
        <v>68</v>
      </c>
      <c r="D70" s="1026">
        <v>3.3561999999999999</v>
      </c>
      <c r="E70" s="559">
        <v>3.3561999999999999</v>
      </c>
      <c r="F70" s="559">
        <v>3.3561999999999999</v>
      </c>
      <c r="G70" s="559">
        <v>3.3561999999999999</v>
      </c>
      <c r="H70" s="558">
        <f t="shared" si="73"/>
        <v>3.3561999999999999</v>
      </c>
      <c r="I70" s="559">
        <f t="shared" si="73"/>
        <v>3.3561999999999999</v>
      </c>
      <c r="J70" s="559">
        <f t="shared" si="73"/>
        <v>3.3561999999999999</v>
      </c>
      <c r="K70" s="982">
        <f t="shared" si="73"/>
        <v>3.3561999999999999</v>
      </c>
      <c r="L70" s="983"/>
      <c r="M70" s="564"/>
      <c r="N70" s="561"/>
      <c r="O70" s="539"/>
      <c r="P70" s="539"/>
      <c r="Q70" s="539"/>
      <c r="R70" s="539"/>
      <c r="S70" s="539"/>
      <c r="T70" s="539"/>
      <c r="U70" s="539"/>
      <c r="V70" s="539"/>
      <c r="W70" s="539"/>
      <c r="X70" s="539"/>
      <c r="Y70" s="885">
        <f t="shared" si="58"/>
        <v>0</v>
      </c>
      <c r="Z70" s="886">
        <v>0</v>
      </c>
      <c r="AA70" s="257">
        <v>0</v>
      </c>
      <c r="AB70" s="257">
        <v>0</v>
      </c>
      <c r="AC70" s="257">
        <f t="shared" si="186"/>
        <v>0</v>
      </c>
      <c r="AD70" s="257">
        <f t="shared" si="186"/>
        <v>0</v>
      </c>
      <c r="AE70" s="257">
        <f t="shared" si="155"/>
        <v>0</v>
      </c>
      <c r="AF70" s="257">
        <f t="shared" si="156"/>
        <v>0</v>
      </c>
      <c r="AG70" s="257">
        <f t="shared" si="156"/>
        <v>0</v>
      </c>
      <c r="AH70" s="257">
        <f t="shared" si="156"/>
        <v>0</v>
      </c>
      <c r="AI70" s="257">
        <f t="shared" si="157"/>
        <v>0</v>
      </c>
      <c r="AJ70" s="257">
        <f t="shared" si="157"/>
        <v>0</v>
      </c>
      <c r="AK70" s="257">
        <f t="shared" si="157"/>
        <v>0</v>
      </c>
      <c r="AL70" s="887">
        <f t="shared" si="62"/>
        <v>0</v>
      </c>
      <c r="AM70" s="984"/>
      <c r="AN70" s="1003"/>
      <c r="AO70" s="985"/>
      <c r="AP70" s="985"/>
      <c r="AQ70" s="985"/>
      <c r="AR70" s="985"/>
      <c r="AS70" s="985"/>
      <c r="AT70" s="985"/>
      <c r="AU70" s="985"/>
      <c r="AV70" s="985"/>
      <c r="AW70" s="985"/>
      <c r="AX70" s="985"/>
      <c r="AY70" s="986">
        <f t="shared" si="64"/>
        <v>0</v>
      </c>
      <c r="AZ70" s="886">
        <f t="shared" si="159"/>
        <v>0</v>
      </c>
      <c r="BA70" s="257">
        <f t="shared" si="160"/>
        <v>0</v>
      </c>
      <c r="BB70" s="257">
        <f t="shared" si="161"/>
        <v>0</v>
      </c>
      <c r="BC70" s="257">
        <f t="shared" si="176"/>
        <v>0</v>
      </c>
      <c r="BD70" s="257">
        <f t="shared" si="176"/>
        <v>0</v>
      </c>
      <c r="BE70" s="257">
        <f t="shared" si="176"/>
        <v>0</v>
      </c>
      <c r="BF70" s="257">
        <f t="shared" si="176"/>
        <v>0</v>
      </c>
      <c r="BG70" s="257">
        <f t="shared" si="176"/>
        <v>0</v>
      </c>
      <c r="BH70" s="257">
        <f t="shared" si="176"/>
        <v>0</v>
      </c>
      <c r="BI70" s="257">
        <f t="shared" si="176"/>
        <v>0</v>
      </c>
      <c r="BJ70" s="257">
        <f t="shared" si="176"/>
        <v>0</v>
      </c>
      <c r="BK70" s="257">
        <f t="shared" si="176"/>
        <v>0</v>
      </c>
      <c r="BL70" s="887">
        <f t="shared" si="47"/>
        <v>0</v>
      </c>
      <c r="BM70" s="984"/>
      <c r="BN70" s="1003"/>
      <c r="BO70" s="985"/>
      <c r="BP70" s="985"/>
      <c r="BQ70" s="985"/>
      <c r="BR70" s="985"/>
      <c r="BS70" s="985"/>
      <c r="BT70" s="985"/>
      <c r="BU70" s="985"/>
      <c r="BV70" s="985"/>
      <c r="BW70" s="985"/>
      <c r="BX70" s="985"/>
      <c r="BY70" s="986">
        <f t="shared" si="66"/>
        <v>0</v>
      </c>
      <c r="BZ70" s="886">
        <f t="shared" si="163"/>
        <v>0</v>
      </c>
      <c r="CA70" s="257">
        <f t="shared" si="164"/>
        <v>0</v>
      </c>
      <c r="CB70" s="257">
        <f t="shared" si="165"/>
        <v>0</v>
      </c>
      <c r="CC70" s="257">
        <f t="shared" si="177"/>
        <v>0</v>
      </c>
      <c r="CD70" s="257">
        <f t="shared" si="177"/>
        <v>0</v>
      </c>
      <c r="CE70" s="257">
        <f t="shared" si="177"/>
        <v>0</v>
      </c>
      <c r="CF70" s="257">
        <f t="shared" si="177"/>
        <v>0</v>
      </c>
      <c r="CG70" s="257">
        <f t="shared" si="177"/>
        <v>0</v>
      </c>
      <c r="CH70" s="257">
        <f t="shared" si="177"/>
        <v>0</v>
      </c>
      <c r="CI70" s="257">
        <f t="shared" si="177"/>
        <v>0</v>
      </c>
      <c r="CJ70" s="257">
        <f t="shared" si="177"/>
        <v>0</v>
      </c>
      <c r="CK70" s="257">
        <f t="shared" si="177"/>
        <v>0</v>
      </c>
      <c r="CL70" s="887">
        <f t="shared" si="68"/>
        <v>0</v>
      </c>
      <c r="CM70" s="984"/>
      <c r="CN70" s="1003"/>
      <c r="CO70" s="985"/>
      <c r="CP70" s="985"/>
      <c r="CQ70" s="985"/>
      <c r="CR70" s="985"/>
      <c r="CS70" s="985"/>
      <c r="CT70" s="985"/>
      <c r="CU70" s="985"/>
      <c r="CV70" s="985"/>
      <c r="CW70" s="985"/>
      <c r="CX70" s="985"/>
      <c r="CY70" s="986">
        <f t="shared" si="69"/>
        <v>0</v>
      </c>
      <c r="CZ70" s="886">
        <f t="shared" si="178"/>
        <v>0</v>
      </c>
      <c r="DA70" s="257">
        <f t="shared" si="179"/>
        <v>0</v>
      </c>
      <c r="DB70" s="257">
        <f t="shared" si="180"/>
        <v>0</v>
      </c>
      <c r="DC70" s="257">
        <f t="shared" si="181"/>
        <v>0</v>
      </c>
      <c r="DD70" s="257">
        <f t="shared" si="181"/>
        <v>0</v>
      </c>
      <c r="DE70" s="257">
        <f t="shared" si="181"/>
        <v>0</v>
      </c>
      <c r="DF70" s="257">
        <f t="shared" si="181"/>
        <v>0</v>
      </c>
      <c r="DG70" s="257">
        <f t="shared" si="181"/>
        <v>0</v>
      </c>
      <c r="DH70" s="257">
        <f t="shared" si="181"/>
        <v>0</v>
      </c>
      <c r="DI70" s="257">
        <f t="shared" si="181"/>
        <v>0</v>
      </c>
      <c r="DJ70" s="257">
        <f t="shared" si="181"/>
        <v>0</v>
      </c>
      <c r="DK70" s="257">
        <f t="shared" si="181"/>
        <v>0</v>
      </c>
      <c r="DL70" s="887">
        <f t="shared" si="50"/>
        <v>0</v>
      </c>
      <c r="DM70" s="984"/>
      <c r="DN70" s="1003"/>
      <c r="DO70" s="985"/>
      <c r="DP70" s="985"/>
      <c r="DQ70" s="985"/>
      <c r="DR70" s="985"/>
      <c r="DS70" s="985"/>
      <c r="DT70" s="985"/>
      <c r="DU70" s="985"/>
      <c r="DV70" s="985"/>
      <c r="DW70" s="985"/>
      <c r="DX70" s="985"/>
      <c r="DY70" s="986">
        <f t="shared" si="71"/>
        <v>0</v>
      </c>
      <c r="DZ70" s="886">
        <f t="shared" si="182"/>
        <v>0</v>
      </c>
      <c r="EA70" s="257">
        <f t="shared" si="183"/>
        <v>0</v>
      </c>
      <c r="EB70" s="257">
        <f t="shared" si="184"/>
        <v>0</v>
      </c>
      <c r="EC70" s="257">
        <f t="shared" si="185"/>
        <v>0</v>
      </c>
      <c r="ED70" s="257">
        <f t="shared" si="185"/>
        <v>0</v>
      </c>
      <c r="EE70" s="257">
        <f t="shared" si="185"/>
        <v>0</v>
      </c>
      <c r="EF70" s="257">
        <f t="shared" si="185"/>
        <v>0</v>
      </c>
      <c r="EG70" s="257">
        <f t="shared" si="185"/>
        <v>0</v>
      </c>
      <c r="EH70" s="257">
        <f t="shared" si="185"/>
        <v>0</v>
      </c>
      <c r="EI70" s="257">
        <f t="shared" si="185"/>
        <v>0</v>
      </c>
      <c r="EJ70" s="257">
        <f t="shared" si="185"/>
        <v>0</v>
      </c>
      <c r="EK70" s="257">
        <f t="shared" si="185"/>
        <v>0</v>
      </c>
      <c r="EL70" s="887">
        <f t="shared" si="52"/>
        <v>0</v>
      </c>
    </row>
    <row r="71" spans="1:142">
      <c r="A71" s="973" t="s">
        <v>667</v>
      </c>
      <c r="B71" s="905" t="s">
        <v>69</v>
      </c>
      <c r="C71" s="1004" t="s">
        <v>70</v>
      </c>
      <c r="D71" s="1026">
        <v>1.57497</v>
      </c>
      <c r="E71" s="553">
        <v>1.6640999999999999</v>
      </c>
      <c r="F71" s="553">
        <v>1.6640999999999999</v>
      </c>
      <c r="G71" s="554">
        <v>1.6640999999999999</v>
      </c>
      <c r="H71" s="558">
        <f t="shared" si="73"/>
        <v>1.6640999999999999</v>
      </c>
      <c r="I71" s="553">
        <f t="shared" si="73"/>
        <v>1.6640999999999999</v>
      </c>
      <c r="J71" s="553">
        <f t="shared" si="73"/>
        <v>1.6640999999999999</v>
      </c>
      <c r="K71" s="915">
        <f t="shared" si="73"/>
        <v>1.6640999999999999</v>
      </c>
      <c r="L71" s="884"/>
      <c r="M71" s="564">
        <v>3748</v>
      </c>
      <c r="N71" s="539"/>
      <c r="O71" s="539"/>
      <c r="P71" s="539"/>
      <c r="Q71" s="539"/>
      <c r="R71" s="539"/>
      <c r="S71" s="539"/>
      <c r="T71" s="539"/>
      <c r="U71" s="539"/>
      <c r="V71" s="539"/>
      <c r="W71" s="539"/>
      <c r="X71" s="539"/>
      <c r="Y71" s="885">
        <f t="shared" si="58"/>
        <v>3748</v>
      </c>
      <c r="Z71" s="886">
        <v>5902.9875599999996</v>
      </c>
      <c r="AA71" s="257">
        <v>0</v>
      </c>
      <c r="AB71" s="257">
        <v>0</v>
      </c>
      <c r="AC71" s="257">
        <f t="shared" si="186"/>
        <v>0</v>
      </c>
      <c r="AD71" s="257">
        <f t="shared" si="186"/>
        <v>0</v>
      </c>
      <c r="AE71" s="257">
        <f t="shared" si="155"/>
        <v>0</v>
      </c>
      <c r="AF71" s="257">
        <f t="shared" si="156"/>
        <v>0</v>
      </c>
      <c r="AG71" s="257">
        <f t="shared" si="156"/>
        <v>0</v>
      </c>
      <c r="AH71" s="257">
        <f t="shared" si="156"/>
        <v>0</v>
      </c>
      <c r="AI71" s="257">
        <f t="shared" si="157"/>
        <v>0</v>
      </c>
      <c r="AJ71" s="257">
        <f t="shared" si="157"/>
        <v>0</v>
      </c>
      <c r="AK71" s="257">
        <f t="shared" si="157"/>
        <v>0</v>
      </c>
      <c r="AL71" s="887">
        <f t="shared" si="62"/>
        <v>5902.9875599999996</v>
      </c>
      <c r="AM71" s="984"/>
      <c r="AN71" s="985"/>
      <c r="AO71" s="985"/>
      <c r="AP71" s="985"/>
      <c r="AQ71" s="985"/>
      <c r="AR71" s="985"/>
      <c r="AS71" s="985"/>
      <c r="AT71" s="985"/>
      <c r="AU71" s="985"/>
      <c r="AV71" s="985"/>
      <c r="AW71" s="985"/>
      <c r="AX71" s="985"/>
      <c r="AY71" s="986">
        <f t="shared" si="64"/>
        <v>0</v>
      </c>
      <c r="AZ71" s="886">
        <f t="shared" si="159"/>
        <v>0</v>
      </c>
      <c r="BA71" s="257">
        <f t="shared" si="160"/>
        <v>0</v>
      </c>
      <c r="BB71" s="257">
        <f t="shared" si="161"/>
        <v>0</v>
      </c>
      <c r="BC71" s="257">
        <f t="shared" si="176"/>
        <v>0</v>
      </c>
      <c r="BD71" s="257">
        <f t="shared" si="176"/>
        <v>0</v>
      </c>
      <c r="BE71" s="257">
        <f t="shared" si="176"/>
        <v>0</v>
      </c>
      <c r="BF71" s="257">
        <f t="shared" si="176"/>
        <v>0</v>
      </c>
      <c r="BG71" s="257">
        <f t="shared" si="176"/>
        <v>0</v>
      </c>
      <c r="BH71" s="257">
        <f t="shared" si="176"/>
        <v>0</v>
      </c>
      <c r="BI71" s="257">
        <f t="shared" si="176"/>
        <v>0</v>
      </c>
      <c r="BJ71" s="257">
        <f t="shared" si="176"/>
        <v>0</v>
      </c>
      <c r="BK71" s="257">
        <f t="shared" si="176"/>
        <v>0</v>
      </c>
      <c r="BL71" s="887">
        <f t="shared" si="47"/>
        <v>0</v>
      </c>
      <c r="BM71" s="984"/>
      <c r="BN71" s="985"/>
      <c r="BO71" s="985"/>
      <c r="BP71" s="985"/>
      <c r="BQ71" s="985"/>
      <c r="BR71" s="985"/>
      <c r="BS71" s="985"/>
      <c r="BT71" s="985"/>
      <c r="BU71" s="985"/>
      <c r="BV71" s="985"/>
      <c r="BW71" s="985"/>
      <c r="BX71" s="985"/>
      <c r="BY71" s="986">
        <f t="shared" si="66"/>
        <v>0</v>
      </c>
      <c r="BZ71" s="886">
        <f t="shared" si="163"/>
        <v>0</v>
      </c>
      <c r="CA71" s="257">
        <f t="shared" si="164"/>
        <v>0</v>
      </c>
      <c r="CB71" s="257">
        <f t="shared" si="165"/>
        <v>0</v>
      </c>
      <c r="CC71" s="257">
        <f t="shared" si="177"/>
        <v>0</v>
      </c>
      <c r="CD71" s="257">
        <f t="shared" si="177"/>
        <v>0</v>
      </c>
      <c r="CE71" s="257">
        <f t="shared" si="177"/>
        <v>0</v>
      </c>
      <c r="CF71" s="257">
        <f t="shared" si="177"/>
        <v>0</v>
      </c>
      <c r="CG71" s="257">
        <f t="shared" si="177"/>
        <v>0</v>
      </c>
      <c r="CH71" s="257">
        <f t="shared" si="177"/>
        <v>0</v>
      </c>
      <c r="CI71" s="257">
        <f t="shared" si="177"/>
        <v>0</v>
      </c>
      <c r="CJ71" s="257">
        <f t="shared" si="177"/>
        <v>0</v>
      </c>
      <c r="CK71" s="257">
        <f t="shared" si="177"/>
        <v>0</v>
      </c>
      <c r="CL71" s="887">
        <f t="shared" si="68"/>
        <v>0</v>
      </c>
      <c r="CM71" s="984"/>
      <c r="CN71" s="985"/>
      <c r="CO71" s="985"/>
      <c r="CP71" s="985"/>
      <c r="CQ71" s="985"/>
      <c r="CR71" s="985"/>
      <c r="CS71" s="985"/>
      <c r="CT71" s="985"/>
      <c r="CU71" s="985"/>
      <c r="CV71" s="985"/>
      <c r="CW71" s="985"/>
      <c r="CX71" s="985"/>
      <c r="CY71" s="986">
        <f t="shared" si="69"/>
        <v>0</v>
      </c>
      <c r="CZ71" s="886">
        <f t="shared" si="178"/>
        <v>0</v>
      </c>
      <c r="DA71" s="257">
        <f t="shared" si="179"/>
        <v>0</v>
      </c>
      <c r="DB71" s="257">
        <f t="shared" si="180"/>
        <v>0</v>
      </c>
      <c r="DC71" s="257">
        <f t="shared" si="181"/>
        <v>0</v>
      </c>
      <c r="DD71" s="257">
        <f t="shared" si="181"/>
        <v>0</v>
      </c>
      <c r="DE71" s="257">
        <f t="shared" si="181"/>
        <v>0</v>
      </c>
      <c r="DF71" s="257">
        <f t="shared" si="181"/>
        <v>0</v>
      </c>
      <c r="DG71" s="257">
        <f t="shared" si="181"/>
        <v>0</v>
      </c>
      <c r="DH71" s="257">
        <f t="shared" si="181"/>
        <v>0</v>
      </c>
      <c r="DI71" s="257">
        <f t="shared" si="181"/>
        <v>0</v>
      </c>
      <c r="DJ71" s="257">
        <f t="shared" si="181"/>
        <v>0</v>
      </c>
      <c r="DK71" s="257">
        <f t="shared" si="181"/>
        <v>0</v>
      </c>
      <c r="DL71" s="887">
        <f t="shared" si="50"/>
        <v>0</v>
      </c>
      <c r="DM71" s="984"/>
      <c r="DN71" s="985"/>
      <c r="DO71" s="985"/>
      <c r="DP71" s="985"/>
      <c r="DQ71" s="985"/>
      <c r="DR71" s="985"/>
      <c r="DS71" s="985"/>
      <c r="DT71" s="985"/>
      <c r="DU71" s="985"/>
      <c r="DV71" s="985"/>
      <c r="DW71" s="985"/>
      <c r="DX71" s="985"/>
      <c r="DY71" s="986">
        <f t="shared" si="71"/>
        <v>0</v>
      </c>
      <c r="DZ71" s="886">
        <f t="shared" si="182"/>
        <v>0</v>
      </c>
      <c r="EA71" s="257">
        <f t="shared" si="183"/>
        <v>0</v>
      </c>
      <c r="EB71" s="257">
        <f t="shared" si="184"/>
        <v>0</v>
      </c>
      <c r="EC71" s="257">
        <f t="shared" si="185"/>
        <v>0</v>
      </c>
      <c r="ED71" s="257">
        <f t="shared" si="185"/>
        <v>0</v>
      </c>
      <c r="EE71" s="257">
        <f t="shared" si="185"/>
        <v>0</v>
      </c>
      <c r="EF71" s="257">
        <f t="shared" si="185"/>
        <v>0</v>
      </c>
      <c r="EG71" s="257">
        <f t="shared" si="185"/>
        <v>0</v>
      </c>
      <c r="EH71" s="257">
        <f t="shared" si="185"/>
        <v>0</v>
      </c>
      <c r="EI71" s="257">
        <f t="shared" si="185"/>
        <v>0</v>
      </c>
      <c r="EJ71" s="257">
        <f t="shared" si="185"/>
        <v>0</v>
      </c>
      <c r="EK71" s="257">
        <f t="shared" si="185"/>
        <v>0</v>
      </c>
      <c r="EL71" s="887">
        <f t="shared" si="52"/>
        <v>0</v>
      </c>
    </row>
    <row r="72" spans="1:142">
      <c r="A72" s="973" t="s">
        <v>667</v>
      </c>
      <c r="B72" s="905" t="s">
        <v>76</v>
      </c>
      <c r="C72" s="1004" t="s">
        <v>232</v>
      </c>
      <c r="D72" s="1026">
        <v>0.97</v>
      </c>
      <c r="E72" s="553">
        <v>0.97</v>
      </c>
      <c r="F72" s="553">
        <v>0.97</v>
      </c>
      <c r="G72" s="553">
        <v>0.97</v>
      </c>
      <c r="H72" s="558">
        <f t="shared" si="73"/>
        <v>0.97</v>
      </c>
      <c r="I72" s="553">
        <f t="shared" si="73"/>
        <v>0.97</v>
      </c>
      <c r="J72" s="553">
        <f t="shared" si="73"/>
        <v>0.97</v>
      </c>
      <c r="K72" s="915">
        <f t="shared" si="73"/>
        <v>0.97</v>
      </c>
      <c r="L72" s="884"/>
      <c r="M72" s="563">
        <v>87400</v>
      </c>
      <c r="N72" s="561">
        <v>60900</v>
      </c>
      <c r="O72" s="561">
        <v>146438</v>
      </c>
      <c r="P72" s="561">
        <v>150000</v>
      </c>
      <c r="Q72" s="561">
        <v>160000</v>
      </c>
      <c r="R72" s="561">
        <v>78283</v>
      </c>
      <c r="S72" s="561">
        <v>130000</v>
      </c>
      <c r="T72" s="561">
        <v>145000</v>
      </c>
      <c r="U72" s="561">
        <v>160000</v>
      </c>
      <c r="V72" s="561">
        <v>160000</v>
      </c>
      <c r="W72" s="561">
        <v>160000</v>
      </c>
      <c r="X72" s="561">
        <v>150000</v>
      </c>
      <c r="Y72" s="885">
        <f t="shared" si="58"/>
        <v>1588021</v>
      </c>
      <c r="Z72" s="886">
        <v>84778</v>
      </c>
      <c r="AA72" s="257">
        <v>59073</v>
      </c>
      <c r="AB72" s="257">
        <v>142044.85999999999</v>
      </c>
      <c r="AC72" s="257">
        <v>145500</v>
      </c>
      <c r="AD72" s="257">
        <f>Q72*$E72</f>
        <v>155200</v>
      </c>
      <c r="AE72" s="257">
        <f>R72*$E72</f>
        <v>75934.509999999995</v>
      </c>
      <c r="AF72" s="257">
        <f t="shared" si="156"/>
        <v>126100</v>
      </c>
      <c r="AG72" s="257">
        <f t="shared" si="156"/>
        <v>140650</v>
      </c>
      <c r="AH72" s="257">
        <f t="shared" si="156"/>
        <v>155200</v>
      </c>
      <c r="AI72" s="257">
        <f t="shared" si="157"/>
        <v>155200</v>
      </c>
      <c r="AJ72" s="257">
        <f t="shared" si="157"/>
        <v>155200</v>
      </c>
      <c r="AK72" s="257">
        <f t="shared" si="157"/>
        <v>145500</v>
      </c>
      <c r="AL72" s="887">
        <f t="shared" si="62"/>
        <v>1540380.37</v>
      </c>
      <c r="AM72" s="1005">
        <v>100000</v>
      </c>
      <c r="AN72" s="1003">
        <v>100000</v>
      </c>
      <c r="AO72" s="1003">
        <v>100000</v>
      </c>
      <c r="AP72" s="1003">
        <v>100000</v>
      </c>
      <c r="AQ72" s="1003">
        <v>100000</v>
      </c>
      <c r="AR72" s="1003">
        <v>100000</v>
      </c>
      <c r="AS72" s="1003">
        <v>100000</v>
      </c>
      <c r="AT72" s="1003">
        <v>100000</v>
      </c>
      <c r="AU72" s="1003">
        <v>100000</v>
      </c>
      <c r="AV72" s="1003">
        <v>100000</v>
      </c>
      <c r="AW72" s="1003">
        <v>100000</v>
      </c>
      <c r="AX72" s="1003">
        <v>100000</v>
      </c>
      <c r="AY72" s="986">
        <f t="shared" si="64"/>
        <v>1200000</v>
      </c>
      <c r="AZ72" s="886">
        <f t="shared" si="159"/>
        <v>97000</v>
      </c>
      <c r="BA72" s="257">
        <f t="shared" si="160"/>
        <v>97000</v>
      </c>
      <c r="BB72" s="257">
        <f t="shared" si="161"/>
        <v>97000</v>
      </c>
      <c r="BC72" s="257">
        <f t="shared" si="176"/>
        <v>97000</v>
      </c>
      <c r="BD72" s="257">
        <f t="shared" si="176"/>
        <v>97000</v>
      </c>
      <c r="BE72" s="257">
        <f t="shared" si="176"/>
        <v>97000</v>
      </c>
      <c r="BF72" s="257">
        <f t="shared" si="176"/>
        <v>97000</v>
      </c>
      <c r="BG72" s="257">
        <f t="shared" si="176"/>
        <v>97000</v>
      </c>
      <c r="BH72" s="257">
        <f t="shared" si="176"/>
        <v>97000</v>
      </c>
      <c r="BI72" s="257">
        <f t="shared" si="176"/>
        <v>97000</v>
      </c>
      <c r="BJ72" s="257">
        <f t="shared" si="176"/>
        <v>97000</v>
      </c>
      <c r="BK72" s="257">
        <f t="shared" si="176"/>
        <v>97000</v>
      </c>
      <c r="BL72" s="887">
        <f t="shared" si="47"/>
        <v>1164000</v>
      </c>
      <c r="BM72" s="1005">
        <v>100000</v>
      </c>
      <c r="BN72" s="1003">
        <v>100000</v>
      </c>
      <c r="BO72" s="1003">
        <v>100000</v>
      </c>
      <c r="BP72" s="1003">
        <v>100000</v>
      </c>
      <c r="BQ72" s="1003">
        <v>100000</v>
      </c>
      <c r="BR72" s="1003">
        <v>100000</v>
      </c>
      <c r="BS72" s="1003">
        <v>100000</v>
      </c>
      <c r="BT72" s="1003">
        <v>100000</v>
      </c>
      <c r="BU72" s="1003">
        <v>100000</v>
      </c>
      <c r="BV72" s="1003">
        <v>100000</v>
      </c>
      <c r="BW72" s="1003">
        <v>100000</v>
      </c>
      <c r="BX72" s="1003">
        <v>100000</v>
      </c>
      <c r="BY72" s="986">
        <f t="shared" si="66"/>
        <v>1200000</v>
      </c>
      <c r="BZ72" s="886">
        <f t="shared" si="163"/>
        <v>97000</v>
      </c>
      <c r="CA72" s="257">
        <f t="shared" si="164"/>
        <v>97000</v>
      </c>
      <c r="CB72" s="257">
        <f t="shared" si="165"/>
        <v>97000</v>
      </c>
      <c r="CC72" s="257">
        <f t="shared" si="177"/>
        <v>97000</v>
      </c>
      <c r="CD72" s="257">
        <f t="shared" si="177"/>
        <v>97000</v>
      </c>
      <c r="CE72" s="257">
        <f t="shared" si="177"/>
        <v>97000</v>
      </c>
      <c r="CF72" s="257">
        <f t="shared" si="177"/>
        <v>97000</v>
      </c>
      <c r="CG72" s="257">
        <f t="shared" si="177"/>
        <v>97000</v>
      </c>
      <c r="CH72" s="257">
        <f t="shared" si="177"/>
        <v>97000</v>
      </c>
      <c r="CI72" s="257">
        <f t="shared" si="177"/>
        <v>97000</v>
      </c>
      <c r="CJ72" s="257">
        <f t="shared" si="177"/>
        <v>97000</v>
      </c>
      <c r="CK72" s="257">
        <f t="shared" si="177"/>
        <v>97000</v>
      </c>
      <c r="CL72" s="887">
        <f t="shared" si="68"/>
        <v>1164000</v>
      </c>
      <c r="CM72" s="1005">
        <f>1000000/12</f>
        <v>83333.333333333328</v>
      </c>
      <c r="CN72" s="1003">
        <f t="shared" ref="CN72:CX72" si="187">1000000/12</f>
        <v>83333.333333333328</v>
      </c>
      <c r="CO72" s="1003">
        <f t="shared" si="187"/>
        <v>83333.333333333328</v>
      </c>
      <c r="CP72" s="1003">
        <f t="shared" si="187"/>
        <v>83333.333333333328</v>
      </c>
      <c r="CQ72" s="1003">
        <f t="shared" si="187"/>
        <v>83333.333333333328</v>
      </c>
      <c r="CR72" s="1003">
        <f t="shared" si="187"/>
        <v>83333.333333333328</v>
      </c>
      <c r="CS72" s="1003">
        <f t="shared" si="187"/>
        <v>83333.333333333328</v>
      </c>
      <c r="CT72" s="1003">
        <f t="shared" si="187"/>
        <v>83333.333333333328</v>
      </c>
      <c r="CU72" s="1003">
        <f t="shared" si="187"/>
        <v>83333.333333333328</v>
      </c>
      <c r="CV72" s="1003">
        <f t="shared" si="187"/>
        <v>83333.333333333328</v>
      </c>
      <c r="CW72" s="1003">
        <f t="shared" si="187"/>
        <v>83333.333333333328</v>
      </c>
      <c r="CX72" s="1003">
        <f t="shared" si="187"/>
        <v>83333.333333333328</v>
      </c>
      <c r="CY72" s="986">
        <f t="shared" si="69"/>
        <v>1000000.0000000001</v>
      </c>
      <c r="CZ72" s="886">
        <f t="shared" si="178"/>
        <v>80833.333333333328</v>
      </c>
      <c r="DA72" s="257">
        <f t="shared" si="179"/>
        <v>80833.333333333328</v>
      </c>
      <c r="DB72" s="257">
        <f t="shared" si="180"/>
        <v>80833.333333333328</v>
      </c>
      <c r="DC72" s="257">
        <f t="shared" si="181"/>
        <v>80833.333333333328</v>
      </c>
      <c r="DD72" s="257">
        <f t="shared" si="181"/>
        <v>80833.333333333328</v>
      </c>
      <c r="DE72" s="257">
        <f t="shared" si="181"/>
        <v>80833.333333333328</v>
      </c>
      <c r="DF72" s="257">
        <f t="shared" si="181"/>
        <v>80833.333333333328</v>
      </c>
      <c r="DG72" s="257">
        <f t="shared" si="181"/>
        <v>80833.333333333328</v>
      </c>
      <c r="DH72" s="257">
        <f t="shared" si="181"/>
        <v>80833.333333333328</v>
      </c>
      <c r="DI72" s="257">
        <f t="shared" si="181"/>
        <v>80833.333333333328</v>
      </c>
      <c r="DJ72" s="257">
        <f t="shared" si="181"/>
        <v>80833.333333333328</v>
      </c>
      <c r="DK72" s="257">
        <f t="shared" si="181"/>
        <v>80833.333333333328</v>
      </c>
      <c r="DL72" s="887">
        <f t="shared" si="50"/>
        <v>970000.00000000012</v>
      </c>
      <c r="DM72" s="1005">
        <f>1000000/12</f>
        <v>83333.333333333328</v>
      </c>
      <c r="DN72" s="1003">
        <f t="shared" ref="DN72:DX72" si="188">1000000/12</f>
        <v>83333.333333333328</v>
      </c>
      <c r="DO72" s="1003">
        <f t="shared" si="188"/>
        <v>83333.333333333328</v>
      </c>
      <c r="DP72" s="1003">
        <f t="shared" si="188"/>
        <v>83333.333333333328</v>
      </c>
      <c r="DQ72" s="1003">
        <f t="shared" si="188"/>
        <v>83333.333333333328</v>
      </c>
      <c r="DR72" s="1003">
        <f t="shared" si="188"/>
        <v>83333.333333333328</v>
      </c>
      <c r="DS72" s="1003">
        <f t="shared" si="188"/>
        <v>83333.333333333328</v>
      </c>
      <c r="DT72" s="1003">
        <f t="shared" si="188"/>
        <v>83333.333333333328</v>
      </c>
      <c r="DU72" s="1003">
        <f t="shared" si="188"/>
        <v>83333.333333333328</v>
      </c>
      <c r="DV72" s="1003">
        <f t="shared" si="188"/>
        <v>83333.333333333328</v>
      </c>
      <c r="DW72" s="1003">
        <f t="shared" si="188"/>
        <v>83333.333333333328</v>
      </c>
      <c r="DX72" s="1003">
        <f t="shared" si="188"/>
        <v>83333.333333333328</v>
      </c>
      <c r="DY72" s="986">
        <f t="shared" si="71"/>
        <v>1000000.0000000001</v>
      </c>
      <c r="DZ72" s="886">
        <f t="shared" si="182"/>
        <v>80833.333333333328</v>
      </c>
      <c r="EA72" s="257">
        <f t="shared" si="183"/>
        <v>80833.333333333328</v>
      </c>
      <c r="EB72" s="257">
        <f t="shared" si="184"/>
        <v>80833.333333333328</v>
      </c>
      <c r="EC72" s="257">
        <f t="shared" si="185"/>
        <v>80833.333333333328</v>
      </c>
      <c r="ED72" s="257">
        <f t="shared" si="185"/>
        <v>80833.333333333328</v>
      </c>
      <c r="EE72" s="257">
        <f t="shared" si="185"/>
        <v>80833.333333333328</v>
      </c>
      <c r="EF72" s="257">
        <f t="shared" si="185"/>
        <v>80833.333333333328</v>
      </c>
      <c r="EG72" s="257">
        <f t="shared" si="185"/>
        <v>80833.333333333328</v>
      </c>
      <c r="EH72" s="257">
        <f t="shared" si="185"/>
        <v>80833.333333333328</v>
      </c>
      <c r="EI72" s="257">
        <f t="shared" si="185"/>
        <v>80833.333333333328</v>
      </c>
      <c r="EJ72" s="257">
        <f t="shared" si="185"/>
        <v>80833.333333333328</v>
      </c>
      <c r="EK72" s="257">
        <f t="shared" si="185"/>
        <v>80833.333333333328</v>
      </c>
      <c r="EL72" s="887">
        <f t="shared" si="52"/>
        <v>970000.00000000012</v>
      </c>
    </row>
    <row r="73" spans="1:142" ht="18" thickBot="1">
      <c r="A73" s="974" t="s">
        <v>667</v>
      </c>
      <c r="B73" s="913" t="s">
        <v>707</v>
      </c>
      <c r="C73" s="1029"/>
      <c r="D73" s="1030"/>
      <c r="E73" s="1031"/>
      <c r="F73" s="1031"/>
      <c r="G73" s="1032"/>
      <c r="H73" s="1033"/>
      <c r="I73" s="1031"/>
      <c r="J73" s="1031"/>
      <c r="K73" s="1034"/>
      <c r="L73" s="978"/>
      <c r="M73" s="564"/>
      <c r="N73" s="539"/>
      <c r="O73" s="539"/>
      <c r="P73" s="539">
        <v>4</v>
      </c>
      <c r="Q73" s="539">
        <v>3</v>
      </c>
      <c r="R73" s="539">
        <v>3</v>
      </c>
      <c r="S73" s="539">
        <v>3</v>
      </c>
      <c r="T73" s="539">
        <v>3</v>
      </c>
      <c r="U73" s="539">
        <v>2</v>
      </c>
      <c r="V73" s="539">
        <v>2</v>
      </c>
      <c r="W73" s="539">
        <v>2</v>
      </c>
      <c r="X73" s="539">
        <v>2</v>
      </c>
      <c r="Y73" s="885">
        <f t="shared" si="58"/>
        <v>24</v>
      </c>
      <c r="Z73" s="886">
        <v>26965.15</v>
      </c>
      <c r="AA73" s="257">
        <v>328400</v>
      </c>
      <c r="AB73" s="257">
        <v>0</v>
      </c>
      <c r="AC73" s="1035">
        <v>70605</v>
      </c>
      <c r="AD73" s="257">
        <f>21179.09+20709.09+18800+18800+20000-13305</f>
        <v>86183.18</v>
      </c>
      <c r="AE73" s="257">
        <v>67364</v>
      </c>
      <c r="AF73" s="257">
        <f>54091-17727</f>
        <v>36364</v>
      </c>
      <c r="AG73" s="257">
        <v>60000</v>
      </c>
      <c r="AH73" s="257">
        <v>80000</v>
      </c>
      <c r="AI73" s="257">
        <v>80000</v>
      </c>
      <c r="AJ73" s="257">
        <v>80000</v>
      </c>
      <c r="AK73" s="257">
        <v>80000</v>
      </c>
      <c r="AL73" s="887">
        <f t="shared" si="62"/>
        <v>995881.33000000007</v>
      </c>
      <c r="AM73" s="984">
        <v>2</v>
      </c>
      <c r="AN73" s="985">
        <v>2</v>
      </c>
      <c r="AO73" s="985">
        <v>4</v>
      </c>
      <c r="AP73" s="985">
        <v>4</v>
      </c>
      <c r="AQ73" s="985">
        <v>2</v>
      </c>
      <c r="AR73" s="985">
        <v>4</v>
      </c>
      <c r="AS73" s="985">
        <v>2</v>
      </c>
      <c r="AT73" s="985">
        <v>4</v>
      </c>
      <c r="AU73" s="985">
        <v>2</v>
      </c>
      <c r="AV73" s="985">
        <v>4</v>
      </c>
      <c r="AW73" s="985">
        <v>2</v>
      </c>
      <c r="AX73" s="985">
        <v>4</v>
      </c>
      <c r="AY73" s="986">
        <f>SUM(AM73:AX73)</f>
        <v>36</v>
      </c>
      <c r="AZ73" s="886">
        <f>AM73*20000</f>
        <v>40000</v>
      </c>
      <c r="BA73" s="257">
        <f t="shared" ref="BA73:BK73" si="189">AN73*20000</f>
        <v>40000</v>
      </c>
      <c r="BB73" s="257">
        <f t="shared" si="189"/>
        <v>80000</v>
      </c>
      <c r="BC73" s="257">
        <f t="shared" si="189"/>
        <v>80000</v>
      </c>
      <c r="BD73" s="257">
        <f t="shared" si="189"/>
        <v>40000</v>
      </c>
      <c r="BE73" s="257">
        <f t="shared" si="189"/>
        <v>80000</v>
      </c>
      <c r="BF73" s="257">
        <f t="shared" si="189"/>
        <v>40000</v>
      </c>
      <c r="BG73" s="257">
        <f t="shared" si="189"/>
        <v>80000</v>
      </c>
      <c r="BH73" s="257">
        <f t="shared" si="189"/>
        <v>40000</v>
      </c>
      <c r="BI73" s="257">
        <f t="shared" si="189"/>
        <v>80000</v>
      </c>
      <c r="BJ73" s="257">
        <f t="shared" si="189"/>
        <v>40000</v>
      </c>
      <c r="BK73" s="257">
        <f t="shared" si="189"/>
        <v>80000</v>
      </c>
      <c r="BL73" s="887">
        <f>SUM(AZ73:BK73)</f>
        <v>720000</v>
      </c>
      <c r="BM73" s="984">
        <v>1</v>
      </c>
      <c r="BN73" s="985">
        <v>2</v>
      </c>
      <c r="BO73" s="985">
        <v>4</v>
      </c>
      <c r="BP73" s="985">
        <v>3</v>
      </c>
      <c r="BQ73" s="985">
        <v>2</v>
      </c>
      <c r="BR73" s="985">
        <v>4</v>
      </c>
      <c r="BS73" s="985">
        <v>2</v>
      </c>
      <c r="BT73" s="985">
        <v>4</v>
      </c>
      <c r="BU73" s="985">
        <v>2</v>
      </c>
      <c r="BV73" s="985">
        <v>4</v>
      </c>
      <c r="BW73" s="985">
        <v>2</v>
      </c>
      <c r="BX73" s="985">
        <v>4</v>
      </c>
      <c r="BY73" s="986">
        <f>SUM(BM73:BX73)</f>
        <v>34</v>
      </c>
      <c r="BZ73" s="886">
        <f>BM73*20000</f>
        <v>20000</v>
      </c>
      <c r="CA73" s="257">
        <f t="shared" ref="CA73:CK73" si="190">BN73*20000</f>
        <v>40000</v>
      </c>
      <c r="CB73" s="257">
        <f t="shared" si="190"/>
        <v>80000</v>
      </c>
      <c r="CC73" s="257">
        <f t="shared" si="190"/>
        <v>60000</v>
      </c>
      <c r="CD73" s="257">
        <f t="shared" si="190"/>
        <v>40000</v>
      </c>
      <c r="CE73" s="257">
        <f t="shared" si="190"/>
        <v>80000</v>
      </c>
      <c r="CF73" s="257">
        <f t="shared" si="190"/>
        <v>40000</v>
      </c>
      <c r="CG73" s="257">
        <f t="shared" si="190"/>
        <v>80000</v>
      </c>
      <c r="CH73" s="257">
        <f t="shared" si="190"/>
        <v>40000</v>
      </c>
      <c r="CI73" s="257">
        <f t="shared" si="190"/>
        <v>80000</v>
      </c>
      <c r="CJ73" s="257">
        <f t="shared" si="190"/>
        <v>40000</v>
      </c>
      <c r="CK73" s="257">
        <f t="shared" si="190"/>
        <v>80000</v>
      </c>
      <c r="CL73" s="887">
        <f>SUM(BZ73:CK73)</f>
        <v>680000</v>
      </c>
      <c r="CM73" s="984">
        <v>2</v>
      </c>
      <c r="CN73" s="985">
        <v>2</v>
      </c>
      <c r="CO73" s="985">
        <v>4</v>
      </c>
      <c r="CP73" s="985">
        <v>3</v>
      </c>
      <c r="CQ73" s="985">
        <v>2</v>
      </c>
      <c r="CR73" s="985">
        <v>4</v>
      </c>
      <c r="CS73" s="985">
        <v>2</v>
      </c>
      <c r="CT73" s="985">
        <v>3</v>
      </c>
      <c r="CU73" s="985">
        <v>2</v>
      </c>
      <c r="CV73" s="985">
        <v>3</v>
      </c>
      <c r="CW73" s="985">
        <v>2</v>
      </c>
      <c r="CX73" s="985">
        <v>3</v>
      </c>
      <c r="CY73" s="986">
        <f>SUM(CM73:CX73)</f>
        <v>32</v>
      </c>
      <c r="CZ73" s="886">
        <f>CM73*20000</f>
        <v>40000</v>
      </c>
      <c r="DA73" s="257">
        <f t="shared" ref="DA73:DK73" si="191">CN73*20000</f>
        <v>40000</v>
      </c>
      <c r="DB73" s="257">
        <f t="shared" si="191"/>
        <v>80000</v>
      </c>
      <c r="DC73" s="257">
        <f t="shared" si="191"/>
        <v>60000</v>
      </c>
      <c r="DD73" s="257">
        <f t="shared" si="191"/>
        <v>40000</v>
      </c>
      <c r="DE73" s="257">
        <f t="shared" si="191"/>
        <v>80000</v>
      </c>
      <c r="DF73" s="257">
        <f t="shared" si="191"/>
        <v>40000</v>
      </c>
      <c r="DG73" s="257">
        <f t="shared" si="191"/>
        <v>60000</v>
      </c>
      <c r="DH73" s="257">
        <f t="shared" si="191"/>
        <v>40000</v>
      </c>
      <c r="DI73" s="257">
        <f t="shared" si="191"/>
        <v>60000</v>
      </c>
      <c r="DJ73" s="257">
        <f t="shared" si="191"/>
        <v>40000</v>
      </c>
      <c r="DK73" s="257">
        <f t="shared" si="191"/>
        <v>60000</v>
      </c>
      <c r="DL73" s="887">
        <f>SUM(CZ73:DK73)</f>
        <v>640000</v>
      </c>
      <c r="DM73" s="984">
        <v>2</v>
      </c>
      <c r="DN73" s="985">
        <v>1</v>
      </c>
      <c r="DO73" s="985">
        <v>3</v>
      </c>
      <c r="DP73" s="985">
        <v>4</v>
      </c>
      <c r="DQ73" s="985">
        <v>2</v>
      </c>
      <c r="DR73" s="985">
        <v>3</v>
      </c>
      <c r="DS73" s="985">
        <v>2</v>
      </c>
      <c r="DT73" s="985">
        <v>3</v>
      </c>
      <c r="DU73" s="985">
        <v>2</v>
      </c>
      <c r="DV73" s="985">
        <v>3</v>
      </c>
      <c r="DW73" s="985">
        <v>2</v>
      </c>
      <c r="DX73" s="985">
        <v>3</v>
      </c>
      <c r="DY73" s="986">
        <f>SUM(DM73:DX73)</f>
        <v>30</v>
      </c>
      <c r="DZ73" s="886">
        <f>DM73*20000</f>
        <v>40000</v>
      </c>
      <c r="EA73" s="257">
        <f t="shared" ref="EA73:EK73" si="192">DN73*20000</f>
        <v>20000</v>
      </c>
      <c r="EB73" s="257">
        <f t="shared" si="192"/>
        <v>60000</v>
      </c>
      <c r="EC73" s="257">
        <f t="shared" si="192"/>
        <v>80000</v>
      </c>
      <c r="ED73" s="257">
        <f t="shared" si="192"/>
        <v>40000</v>
      </c>
      <c r="EE73" s="257">
        <f t="shared" si="192"/>
        <v>60000</v>
      </c>
      <c r="EF73" s="257">
        <f t="shared" si="192"/>
        <v>40000</v>
      </c>
      <c r="EG73" s="257">
        <f t="shared" si="192"/>
        <v>60000</v>
      </c>
      <c r="EH73" s="257">
        <f t="shared" si="192"/>
        <v>40000</v>
      </c>
      <c r="EI73" s="257">
        <f t="shared" si="192"/>
        <v>60000</v>
      </c>
      <c r="EJ73" s="257">
        <f t="shared" si="192"/>
        <v>40000</v>
      </c>
      <c r="EK73" s="257">
        <f t="shared" si="192"/>
        <v>60000</v>
      </c>
      <c r="EL73" s="887">
        <f>SUM(DZ73:EK73)</f>
        <v>600000</v>
      </c>
    </row>
    <row r="74" spans="1:142" ht="18.75" thickTop="1" thickBot="1">
      <c r="A74" s="5221" t="s">
        <v>708</v>
      </c>
      <c r="B74" s="5222"/>
      <c r="C74" s="5223"/>
      <c r="D74" s="898"/>
      <c r="E74" s="898"/>
      <c r="F74" s="898"/>
      <c r="G74" s="898"/>
      <c r="H74" s="898"/>
      <c r="I74" s="898"/>
      <c r="J74" s="898"/>
      <c r="K74" s="899"/>
      <c r="L74" s="900"/>
      <c r="M74" s="901">
        <f t="shared" ref="M74:BX74" si="193">SUM(M30:M73)</f>
        <v>437383</v>
      </c>
      <c r="N74" s="544">
        <f t="shared" si="193"/>
        <v>411921</v>
      </c>
      <c r="O74" s="544">
        <f t="shared" si="193"/>
        <v>580682</v>
      </c>
      <c r="P74" s="544">
        <f t="shared" si="193"/>
        <v>569470</v>
      </c>
      <c r="Q74" s="544">
        <f t="shared" si="193"/>
        <v>601969</v>
      </c>
      <c r="R74" s="544">
        <f t="shared" si="193"/>
        <v>497016</v>
      </c>
      <c r="S74" s="544">
        <f t="shared" si="193"/>
        <v>436556</v>
      </c>
      <c r="T74" s="544">
        <f t="shared" si="193"/>
        <v>497530</v>
      </c>
      <c r="U74" s="544">
        <f t="shared" si="193"/>
        <v>483602</v>
      </c>
      <c r="V74" s="544">
        <f t="shared" si="193"/>
        <v>522650</v>
      </c>
      <c r="W74" s="544">
        <f t="shared" si="193"/>
        <v>505194</v>
      </c>
      <c r="X74" s="544">
        <f t="shared" si="193"/>
        <v>492962</v>
      </c>
      <c r="Y74" s="545">
        <f t="shared" si="193"/>
        <v>6036935</v>
      </c>
      <c r="Z74" s="546">
        <f t="shared" si="193"/>
        <v>848102.69996000011</v>
      </c>
      <c r="AA74" s="546">
        <f t="shared" si="193"/>
        <v>1100817.2399999998</v>
      </c>
      <c r="AB74" s="546">
        <f t="shared" si="193"/>
        <v>1057899.6924000001</v>
      </c>
      <c r="AC74" s="546">
        <f>SUM(AC30:AC73)</f>
        <v>1104388.1000000001</v>
      </c>
      <c r="AD74" s="546">
        <v>1187544.8348000001</v>
      </c>
      <c r="AE74" s="546">
        <f t="shared" ref="AE74:AK74" si="194">SUM(AE30:AE73)</f>
        <v>1038009.4524</v>
      </c>
      <c r="AF74" s="546">
        <f t="shared" si="194"/>
        <v>875814.11031815328</v>
      </c>
      <c r="AG74" s="546">
        <f t="shared" si="194"/>
        <v>980598.85885275248</v>
      </c>
      <c r="AH74" s="546">
        <f t="shared" si="194"/>
        <v>984559.33709306212</v>
      </c>
      <c r="AI74" s="546">
        <f t="shared" si="194"/>
        <v>1082700.3799999999</v>
      </c>
      <c r="AJ74" s="546">
        <f t="shared" si="194"/>
        <v>1045604.2000000001</v>
      </c>
      <c r="AK74" s="546">
        <f t="shared" si="194"/>
        <v>1031930.04</v>
      </c>
      <c r="AL74" s="547">
        <f t="shared" si="193"/>
        <v>12327322.74582397</v>
      </c>
      <c r="AM74" s="901">
        <f t="shared" si="193"/>
        <v>371829.33333333326</v>
      </c>
      <c r="AN74" s="544">
        <f t="shared" si="193"/>
        <v>371829.33333333326</v>
      </c>
      <c r="AO74" s="544">
        <f t="shared" si="193"/>
        <v>371831.33333333326</v>
      </c>
      <c r="AP74" s="544">
        <f t="shared" si="193"/>
        <v>371831.33333333326</v>
      </c>
      <c r="AQ74" s="544">
        <f t="shared" si="193"/>
        <v>371829.33333333326</v>
      </c>
      <c r="AR74" s="544">
        <f t="shared" si="193"/>
        <v>371831.33333333326</v>
      </c>
      <c r="AS74" s="544">
        <f t="shared" si="193"/>
        <v>552288.58333333349</v>
      </c>
      <c r="AT74" s="544">
        <f t="shared" si="193"/>
        <v>556290.58333333349</v>
      </c>
      <c r="AU74" s="544">
        <f t="shared" si="193"/>
        <v>572288.58333333349</v>
      </c>
      <c r="AV74" s="544">
        <f t="shared" si="193"/>
        <v>576290.58333333349</v>
      </c>
      <c r="AW74" s="544">
        <f t="shared" si="193"/>
        <v>596288.58333333349</v>
      </c>
      <c r="AX74" s="544">
        <f t="shared" si="193"/>
        <v>606290.58333333349</v>
      </c>
      <c r="AY74" s="1036">
        <f t="shared" si="193"/>
        <v>5690719.5</v>
      </c>
      <c r="AZ74" s="546">
        <f t="shared" si="193"/>
        <v>762449.0083333333</v>
      </c>
      <c r="BA74" s="546">
        <f t="shared" si="193"/>
        <v>762449.0083333333</v>
      </c>
      <c r="BB74" s="546">
        <f t="shared" si="193"/>
        <v>802449.0083333333</v>
      </c>
      <c r="BC74" s="546">
        <f t="shared" si="193"/>
        <v>802449.0083333333</v>
      </c>
      <c r="BD74" s="546">
        <f t="shared" si="193"/>
        <v>762449.0083333333</v>
      </c>
      <c r="BE74" s="546">
        <f t="shared" si="193"/>
        <v>802449.0083333333</v>
      </c>
      <c r="BF74" s="546">
        <f t="shared" si="193"/>
        <v>1229199.0916666668</v>
      </c>
      <c r="BG74" s="546">
        <f t="shared" si="193"/>
        <v>1281499.091666667</v>
      </c>
      <c r="BH74" s="546">
        <f t="shared" si="193"/>
        <v>1290699.0916666673</v>
      </c>
      <c r="BI74" s="546">
        <f t="shared" si="193"/>
        <v>1342999.0916666673</v>
      </c>
      <c r="BJ74" s="546">
        <f t="shared" si="193"/>
        <v>1360249.0916666673</v>
      </c>
      <c r="BK74" s="546">
        <f t="shared" si="193"/>
        <v>1426749.0916666673</v>
      </c>
      <c r="BL74" s="547">
        <f t="shared" si="193"/>
        <v>12626088.6</v>
      </c>
      <c r="BM74" s="901">
        <f t="shared" si="193"/>
        <v>570486.91666666674</v>
      </c>
      <c r="BN74" s="544">
        <f t="shared" si="193"/>
        <v>570487.91666666674</v>
      </c>
      <c r="BO74" s="544">
        <f t="shared" si="193"/>
        <v>570489.91666666674</v>
      </c>
      <c r="BP74" s="544">
        <f t="shared" si="193"/>
        <v>570488.91666666674</v>
      </c>
      <c r="BQ74" s="544">
        <f t="shared" si="193"/>
        <v>570487.91666666674</v>
      </c>
      <c r="BR74" s="544">
        <f t="shared" si="193"/>
        <v>570489.91666666674</v>
      </c>
      <c r="BS74" s="544">
        <f t="shared" si="193"/>
        <v>576487.91666666674</v>
      </c>
      <c r="BT74" s="544">
        <f t="shared" si="193"/>
        <v>580489.91666666674</v>
      </c>
      <c r="BU74" s="544">
        <f t="shared" si="193"/>
        <v>590487.91666666674</v>
      </c>
      <c r="BV74" s="544">
        <f t="shared" si="193"/>
        <v>590489.91666666674</v>
      </c>
      <c r="BW74" s="544">
        <f t="shared" si="193"/>
        <v>590487.91666666674</v>
      </c>
      <c r="BX74" s="544">
        <f t="shared" si="193"/>
        <v>590489.91666666674</v>
      </c>
      <c r="BY74" s="1036">
        <f t="shared" ref="BY74:EJ74" si="195">SUM(BY30:BY73)</f>
        <v>6941865</v>
      </c>
      <c r="BZ74" s="546">
        <f t="shared" si="195"/>
        <v>1299482.0129583334</v>
      </c>
      <c r="CA74" s="546">
        <f t="shared" si="195"/>
        <v>1319482.0129583334</v>
      </c>
      <c r="CB74" s="546">
        <f t="shared" si="195"/>
        <v>1359482.0129583334</v>
      </c>
      <c r="CC74" s="546">
        <f t="shared" si="195"/>
        <v>1339482.0129583334</v>
      </c>
      <c r="CD74" s="546">
        <f t="shared" si="195"/>
        <v>1319482.0129583334</v>
      </c>
      <c r="CE74" s="546">
        <f t="shared" si="195"/>
        <v>1359482.0129583334</v>
      </c>
      <c r="CF74" s="546">
        <f t="shared" si="195"/>
        <v>1335382.0129583334</v>
      </c>
      <c r="CG74" s="546">
        <f t="shared" si="195"/>
        <v>1385982.0129583334</v>
      </c>
      <c r="CH74" s="546">
        <f t="shared" si="195"/>
        <v>1372482.0129583334</v>
      </c>
      <c r="CI74" s="546">
        <f t="shared" si="195"/>
        <v>1412482.0129583334</v>
      </c>
      <c r="CJ74" s="546">
        <f t="shared" si="195"/>
        <v>1372482.0129583334</v>
      </c>
      <c r="CK74" s="546">
        <f t="shared" si="195"/>
        <v>1412482.0129583334</v>
      </c>
      <c r="CL74" s="547">
        <f>SUM(CL30:CL73)</f>
        <v>16288184.1555</v>
      </c>
      <c r="CM74" s="901">
        <f t="shared" si="195"/>
        <v>532485.16666666686</v>
      </c>
      <c r="CN74" s="544">
        <f t="shared" si="195"/>
        <v>532485.16666666686</v>
      </c>
      <c r="CO74" s="544">
        <f t="shared" si="195"/>
        <v>532487.16666666686</v>
      </c>
      <c r="CP74" s="544">
        <f t="shared" si="195"/>
        <v>532486.16666666686</v>
      </c>
      <c r="CQ74" s="544">
        <f t="shared" si="195"/>
        <v>532485.16666666686</v>
      </c>
      <c r="CR74" s="544">
        <f t="shared" si="195"/>
        <v>532487.16666666686</v>
      </c>
      <c r="CS74" s="544">
        <f t="shared" si="195"/>
        <v>532485.16666666686</v>
      </c>
      <c r="CT74" s="544">
        <f t="shared" si="195"/>
        <v>532486.16666666686</v>
      </c>
      <c r="CU74" s="544">
        <f t="shared" si="195"/>
        <v>532485.16666666686</v>
      </c>
      <c r="CV74" s="544">
        <f t="shared" si="195"/>
        <v>532486.16666666686</v>
      </c>
      <c r="CW74" s="544">
        <f t="shared" si="195"/>
        <v>532485.16666666686</v>
      </c>
      <c r="CX74" s="544">
        <f t="shared" si="195"/>
        <v>532486.16666666686</v>
      </c>
      <c r="CY74" s="1036">
        <f t="shared" si="195"/>
        <v>6389830</v>
      </c>
      <c r="CZ74" s="546">
        <f t="shared" si="195"/>
        <v>1296365.3113125002</v>
      </c>
      <c r="DA74" s="546">
        <f t="shared" si="195"/>
        <v>1296365.3113125002</v>
      </c>
      <c r="DB74" s="546">
        <f t="shared" si="195"/>
        <v>1336365.3113125002</v>
      </c>
      <c r="DC74" s="546">
        <f t="shared" si="195"/>
        <v>1316365.3113125002</v>
      </c>
      <c r="DD74" s="546">
        <f t="shared" si="195"/>
        <v>1296365.3113125002</v>
      </c>
      <c r="DE74" s="546">
        <f t="shared" si="195"/>
        <v>1336365.3113125002</v>
      </c>
      <c r="DF74" s="546">
        <f t="shared" si="195"/>
        <v>1296365.3113125002</v>
      </c>
      <c r="DG74" s="546">
        <f t="shared" si="195"/>
        <v>1316365.3113125002</v>
      </c>
      <c r="DH74" s="546">
        <f t="shared" si="195"/>
        <v>1296365.3113125002</v>
      </c>
      <c r="DI74" s="546">
        <f t="shared" si="195"/>
        <v>1316365.3113125002</v>
      </c>
      <c r="DJ74" s="546">
        <f t="shared" si="195"/>
        <v>1296365.3113125002</v>
      </c>
      <c r="DK74" s="546">
        <f t="shared" si="195"/>
        <v>1316365.3113125002</v>
      </c>
      <c r="DL74" s="547">
        <f t="shared" si="195"/>
        <v>15716383.735749999</v>
      </c>
      <c r="DM74" s="901">
        <f t="shared" si="195"/>
        <v>584711.25000000012</v>
      </c>
      <c r="DN74" s="544">
        <f t="shared" si="195"/>
        <v>584710.25000000012</v>
      </c>
      <c r="DO74" s="544">
        <f t="shared" si="195"/>
        <v>584712.25000000012</v>
      </c>
      <c r="DP74" s="544">
        <f t="shared" si="195"/>
        <v>584713.25000000012</v>
      </c>
      <c r="DQ74" s="544">
        <f t="shared" si="195"/>
        <v>584711.25000000012</v>
      </c>
      <c r="DR74" s="544">
        <f t="shared" si="195"/>
        <v>584712.25000000012</v>
      </c>
      <c r="DS74" s="544">
        <f t="shared" si="195"/>
        <v>584711.25000000012</v>
      </c>
      <c r="DT74" s="544">
        <f t="shared" si="195"/>
        <v>584712.25000000012</v>
      </c>
      <c r="DU74" s="544">
        <f t="shared" si="195"/>
        <v>584711.25000000012</v>
      </c>
      <c r="DV74" s="544">
        <f t="shared" si="195"/>
        <v>584712.25000000012</v>
      </c>
      <c r="DW74" s="544">
        <f t="shared" si="195"/>
        <v>584711.25000000012</v>
      </c>
      <c r="DX74" s="544">
        <f t="shared" si="195"/>
        <v>584712.25000000012</v>
      </c>
      <c r="DY74" s="1036">
        <f t="shared" si="195"/>
        <v>7016541</v>
      </c>
      <c r="DZ74" s="546">
        <f t="shared" si="195"/>
        <v>1437080.2114166671</v>
      </c>
      <c r="EA74" s="546">
        <f t="shared" si="195"/>
        <v>1417080.2114166671</v>
      </c>
      <c r="EB74" s="546">
        <f t="shared" si="195"/>
        <v>1457080.2114166671</v>
      </c>
      <c r="EC74" s="546">
        <f t="shared" si="195"/>
        <v>1477080.2114166671</v>
      </c>
      <c r="ED74" s="546">
        <f t="shared" si="195"/>
        <v>1437080.2114166671</v>
      </c>
      <c r="EE74" s="546">
        <f t="shared" si="195"/>
        <v>1457080.2114166671</v>
      </c>
      <c r="EF74" s="546">
        <f t="shared" si="195"/>
        <v>1437080.2114166671</v>
      </c>
      <c r="EG74" s="546">
        <f t="shared" si="195"/>
        <v>1457080.2114166671</v>
      </c>
      <c r="EH74" s="546">
        <f t="shared" si="195"/>
        <v>1437080.2114166671</v>
      </c>
      <c r="EI74" s="546">
        <f t="shared" si="195"/>
        <v>1457080.2114166671</v>
      </c>
      <c r="EJ74" s="546">
        <f t="shared" si="195"/>
        <v>1437080.2114166671</v>
      </c>
      <c r="EK74" s="546">
        <f>SUM(EK30:EK73)</f>
        <v>1457080.2114166671</v>
      </c>
      <c r="EL74" s="547">
        <f>SUM(EL30:EL73)</f>
        <v>17364962.537</v>
      </c>
    </row>
    <row r="75" spans="1:142" ht="18" thickTop="1">
      <c r="A75" s="970" t="s">
        <v>77</v>
      </c>
      <c r="B75" s="913" t="s">
        <v>261</v>
      </c>
      <c r="C75" s="917" t="s">
        <v>262</v>
      </c>
      <c r="D75" s="552">
        <v>3.74</v>
      </c>
      <c r="E75" s="553">
        <v>3.81</v>
      </c>
      <c r="F75" s="553">
        <v>3.81</v>
      </c>
      <c r="G75" s="554">
        <v>3.81</v>
      </c>
      <c r="H75" s="552">
        <f t="shared" ref="H75:K82" si="196">G75</f>
        <v>3.81</v>
      </c>
      <c r="I75" s="553">
        <f t="shared" si="196"/>
        <v>3.81</v>
      </c>
      <c r="J75" s="553">
        <f t="shared" si="196"/>
        <v>3.81</v>
      </c>
      <c r="K75" s="915">
        <f t="shared" si="196"/>
        <v>3.81</v>
      </c>
      <c r="L75" s="884"/>
      <c r="M75" s="563">
        <v>39480</v>
      </c>
      <c r="N75" s="561">
        <v>34440</v>
      </c>
      <c r="O75" s="561">
        <v>30240</v>
      </c>
      <c r="P75" s="561">
        <v>37380</v>
      </c>
      <c r="Q75" s="561">
        <v>37800</v>
      </c>
      <c r="R75" s="561">
        <v>32750</v>
      </c>
      <c r="S75" s="561">
        <v>25000</v>
      </c>
      <c r="T75" s="561">
        <v>30000</v>
      </c>
      <c r="U75" s="561">
        <v>35000</v>
      </c>
      <c r="V75" s="561">
        <v>35000</v>
      </c>
      <c r="W75" s="561">
        <v>35000</v>
      </c>
      <c r="X75" s="561">
        <v>35000</v>
      </c>
      <c r="Y75" s="885">
        <f t="shared" ref="Y75:Y93" si="197">SUM(M75:X75)</f>
        <v>407090</v>
      </c>
      <c r="Z75" s="886">
        <v>150418.79999999999</v>
      </c>
      <c r="AA75" s="257">
        <v>115248</v>
      </c>
      <c r="AB75" s="257">
        <f>O75*D75</f>
        <v>113097.60000000001</v>
      </c>
      <c r="AC75" s="257">
        <v>139801.20000000001</v>
      </c>
      <c r="AD75" s="257">
        <f>Q75*$D75</f>
        <v>141372</v>
      </c>
      <c r="AE75" s="257">
        <f>R75*$D75</f>
        <v>122485</v>
      </c>
      <c r="AF75" s="257">
        <f>S75*$D75</f>
        <v>93500</v>
      </c>
      <c r="AG75" s="257">
        <f>T75*$D75</f>
        <v>112200</v>
      </c>
      <c r="AH75" s="257">
        <f t="shared" ref="AH75:AH82" si="198">U75*$F75</f>
        <v>133350</v>
      </c>
      <c r="AI75" s="257">
        <f t="shared" ref="AI75:AK82" si="199">V75*$G75</f>
        <v>133350</v>
      </c>
      <c r="AJ75" s="257">
        <f t="shared" si="199"/>
        <v>133350</v>
      </c>
      <c r="AK75" s="257">
        <f t="shared" si="199"/>
        <v>133350</v>
      </c>
      <c r="AL75" s="887">
        <f t="shared" ref="AL75:AL93" si="200">SUM(Z75:AK75)</f>
        <v>1521522.6</v>
      </c>
      <c r="AM75" s="1037">
        <v>50000</v>
      </c>
      <c r="AN75" s="561">
        <f>AM75*0.7</f>
        <v>35000</v>
      </c>
      <c r="AO75" s="561">
        <v>50000</v>
      </c>
      <c r="AP75" s="561">
        <v>50000</v>
      </c>
      <c r="AQ75" s="561">
        <v>50000</v>
      </c>
      <c r="AR75" s="561">
        <v>50000</v>
      </c>
      <c r="AS75" s="561">
        <v>50000</v>
      </c>
      <c r="AT75" s="561">
        <v>50000</v>
      </c>
      <c r="AU75" s="561">
        <v>50000</v>
      </c>
      <c r="AV75" s="561">
        <v>50000</v>
      </c>
      <c r="AW75" s="561">
        <v>50000</v>
      </c>
      <c r="AX75" s="561">
        <v>50000</v>
      </c>
      <c r="AY75" s="885">
        <f>SUM(AM75:AX75)</f>
        <v>585000</v>
      </c>
      <c r="AZ75" s="886">
        <f t="shared" ref="AZ75:BK96" si="201">AM75*$H75</f>
        <v>190500</v>
      </c>
      <c r="BA75" s="257">
        <f t="shared" si="201"/>
        <v>133350</v>
      </c>
      <c r="BB75" s="257">
        <f t="shared" si="201"/>
        <v>190500</v>
      </c>
      <c r="BC75" s="257">
        <f t="shared" si="201"/>
        <v>190500</v>
      </c>
      <c r="BD75" s="257">
        <f t="shared" si="201"/>
        <v>190500</v>
      </c>
      <c r="BE75" s="257">
        <f t="shared" si="201"/>
        <v>190500</v>
      </c>
      <c r="BF75" s="257">
        <f t="shared" si="201"/>
        <v>190500</v>
      </c>
      <c r="BG75" s="257">
        <f t="shared" si="201"/>
        <v>190500</v>
      </c>
      <c r="BH75" s="257">
        <f t="shared" si="201"/>
        <v>190500</v>
      </c>
      <c r="BI75" s="257">
        <f t="shared" si="201"/>
        <v>190500</v>
      </c>
      <c r="BJ75" s="257">
        <f t="shared" si="201"/>
        <v>190500</v>
      </c>
      <c r="BK75" s="257">
        <f t="shared" si="201"/>
        <v>190500</v>
      </c>
      <c r="BL75" s="887">
        <f t="shared" ref="BL75:BL96" si="202">SUM(AZ75:BK75)</f>
        <v>2228850</v>
      </c>
      <c r="BM75" s="1037">
        <f>160597/12</f>
        <v>13383.083333333334</v>
      </c>
      <c r="BN75" s="561">
        <f t="shared" ref="BN75:BX75" si="203">160597/12</f>
        <v>13383.083333333334</v>
      </c>
      <c r="BO75" s="561">
        <f t="shared" si="203"/>
        <v>13383.083333333334</v>
      </c>
      <c r="BP75" s="561">
        <f t="shared" si="203"/>
        <v>13383.083333333334</v>
      </c>
      <c r="BQ75" s="561">
        <f t="shared" si="203"/>
        <v>13383.083333333334</v>
      </c>
      <c r="BR75" s="561">
        <f t="shared" si="203"/>
        <v>13383.083333333334</v>
      </c>
      <c r="BS75" s="561">
        <f t="shared" si="203"/>
        <v>13383.083333333334</v>
      </c>
      <c r="BT75" s="561">
        <f t="shared" si="203"/>
        <v>13383.083333333334</v>
      </c>
      <c r="BU75" s="561">
        <f t="shared" si="203"/>
        <v>13383.083333333334</v>
      </c>
      <c r="BV75" s="561">
        <f t="shared" si="203"/>
        <v>13383.083333333334</v>
      </c>
      <c r="BW75" s="561">
        <f t="shared" si="203"/>
        <v>13383.083333333334</v>
      </c>
      <c r="BX75" s="561">
        <f t="shared" si="203"/>
        <v>13383.083333333334</v>
      </c>
      <c r="BY75" s="885">
        <f>SUM(BM75:BX75)</f>
        <v>160597</v>
      </c>
      <c r="BZ75" s="891">
        <f t="shared" ref="BZ75:CK96" si="204">BM75*$I75</f>
        <v>50989.547500000001</v>
      </c>
      <c r="CA75" s="257">
        <f t="shared" si="204"/>
        <v>50989.547500000001</v>
      </c>
      <c r="CB75" s="257">
        <f t="shared" si="204"/>
        <v>50989.547500000001</v>
      </c>
      <c r="CC75" s="257">
        <f t="shared" si="204"/>
        <v>50989.547500000001</v>
      </c>
      <c r="CD75" s="257">
        <f t="shared" si="204"/>
        <v>50989.547500000001</v>
      </c>
      <c r="CE75" s="257">
        <f t="shared" si="204"/>
        <v>50989.547500000001</v>
      </c>
      <c r="CF75" s="257">
        <f t="shared" si="204"/>
        <v>50989.547500000001</v>
      </c>
      <c r="CG75" s="257">
        <f t="shared" si="204"/>
        <v>50989.547500000001</v>
      </c>
      <c r="CH75" s="257">
        <f t="shared" si="204"/>
        <v>50989.547500000001</v>
      </c>
      <c r="CI75" s="257">
        <f t="shared" si="204"/>
        <v>50989.547500000001</v>
      </c>
      <c r="CJ75" s="257">
        <f t="shared" si="204"/>
        <v>50989.547500000001</v>
      </c>
      <c r="CK75" s="257">
        <f t="shared" si="204"/>
        <v>50989.547500000001</v>
      </c>
      <c r="CL75" s="892">
        <f t="shared" ref="CL75:CL96" si="205">SUM(BZ75:CK75)</f>
        <v>611874.56999999995</v>
      </c>
      <c r="CM75" s="1037"/>
      <c r="CN75" s="561"/>
      <c r="CO75" s="561"/>
      <c r="CP75" s="561"/>
      <c r="CQ75" s="561"/>
      <c r="CR75" s="561"/>
      <c r="CS75" s="561"/>
      <c r="CT75" s="561"/>
      <c r="CU75" s="561"/>
      <c r="CV75" s="561"/>
      <c r="CW75" s="561"/>
      <c r="CX75" s="561"/>
      <c r="CY75" s="885">
        <f>SUM(CM75:CX75)</f>
        <v>0</v>
      </c>
      <c r="CZ75" s="886">
        <f t="shared" ref="CZ75:CZ96" si="206">CM75*$J75</f>
        <v>0</v>
      </c>
      <c r="DA75" s="257">
        <f t="shared" ref="DA75:DK96" si="207">CN75*$J75</f>
        <v>0</v>
      </c>
      <c r="DB75" s="257">
        <f t="shared" si="207"/>
        <v>0</v>
      </c>
      <c r="DC75" s="257">
        <f t="shared" si="207"/>
        <v>0</v>
      </c>
      <c r="DD75" s="257">
        <f t="shared" si="207"/>
        <v>0</v>
      </c>
      <c r="DE75" s="257">
        <f t="shared" si="207"/>
        <v>0</v>
      </c>
      <c r="DF75" s="257">
        <f t="shared" si="207"/>
        <v>0</v>
      </c>
      <c r="DG75" s="257">
        <f t="shared" si="207"/>
        <v>0</v>
      </c>
      <c r="DH75" s="257">
        <f t="shared" si="207"/>
        <v>0</v>
      </c>
      <c r="DI75" s="257">
        <f t="shared" si="207"/>
        <v>0</v>
      </c>
      <c r="DJ75" s="257">
        <f t="shared" si="207"/>
        <v>0</v>
      </c>
      <c r="DK75" s="257">
        <f t="shared" si="207"/>
        <v>0</v>
      </c>
      <c r="DL75" s="887">
        <f t="shared" ref="DL75:DL96" si="208">SUM(CZ75:DK75)</f>
        <v>0</v>
      </c>
      <c r="DM75" s="563"/>
      <c r="DN75" s="561"/>
      <c r="DO75" s="561"/>
      <c r="DP75" s="561"/>
      <c r="DQ75" s="561"/>
      <c r="DR75" s="561"/>
      <c r="DS75" s="561"/>
      <c r="DT75" s="561"/>
      <c r="DU75" s="561"/>
      <c r="DV75" s="561"/>
      <c r="DW75" s="561"/>
      <c r="DX75" s="561"/>
      <c r="DY75" s="885">
        <f>SUM(DM75:DX75)</f>
        <v>0</v>
      </c>
      <c r="DZ75" s="257">
        <f t="shared" ref="DZ75:EK96" si="209">DM75*$K75</f>
        <v>0</v>
      </c>
      <c r="EA75" s="257">
        <f t="shared" si="209"/>
        <v>0</v>
      </c>
      <c r="EB75" s="257">
        <f t="shared" si="209"/>
        <v>0</v>
      </c>
      <c r="EC75" s="257">
        <f t="shared" si="209"/>
        <v>0</v>
      </c>
      <c r="ED75" s="257">
        <f t="shared" si="209"/>
        <v>0</v>
      </c>
      <c r="EE75" s="257">
        <f t="shared" si="209"/>
        <v>0</v>
      </c>
      <c r="EF75" s="257">
        <f t="shared" si="209"/>
        <v>0</v>
      </c>
      <c r="EG75" s="257">
        <f t="shared" si="209"/>
        <v>0</v>
      </c>
      <c r="EH75" s="257">
        <f t="shared" si="209"/>
        <v>0</v>
      </c>
      <c r="EI75" s="257">
        <f t="shared" si="209"/>
        <v>0</v>
      </c>
      <c r="EJ75" s="257">
        <f t="shared" si="209"/>
        <v>0</v>
      </c>
      <c r="EK75" s="257">
        <f t="shared" si="209"/>
        <v>0</v>
      </c>
      <c r="EL75" s="887">
        <f t="shared" ref="EL75:EL96" si="210">SUM(DZ75:EK75)</f>
        <v>0</v>
      </c>
    </row>
    <row r="76" spans="1:142">
      <c r="A76" s="973" t="s">
        <v>77</v>
      </c>
      <c r="B76" s="913" t="s">
        <v>709</v>
      </c>
      <c r="C76" s="917" t="s">
        <v>260</v>
      </c>
      <c r="D76" s="568">
        <v>1.05</v>
      </c>
      <c r="E76" s="569">
        <v>1.44</v>
      </c>
      <c r="F76" s="569">
        <v>1.44</v>
      </c>
      <c r="G76" s="570">
        <v>1.44</v>
      </c>
      <c r="H76" s="568">
        <f t="shared" si="196"/>
        <v>1.44</v>
      </c>
      <c r="I76" s="569">
        <f t="shared" si="196"/>
        <v>1.44</v>
      </c>
      <c r="J76" s="569">
        <f t="shared" si="196"/>
        <v>1.44</v>
      </c>
      <c r="K76" s="1038">
        <f t="shared" si="196"/>
        <v>1.44</v>
      </c>
      <c r="L76" s="884"/>
      <c r="M76" s="563">
        <v>50400</v>
      </c>
      <c r="N76" s="561">
        <v>38560</v>
      </c>
      <c r="O76" s="561">
        <v>52720</v>
      </c>
      <c r="P76" s="561">
        <v>47520</v>
      </c>
      <c r="Q76" s="561"/>
      <c r="R76" s="561">
        <v>50320</v>
      </c>
      <c r="S76" s="561">
        <v>50600</v>
      </c>
      <c r="T76" s="561">
        <v>50000</v>
      </c>
      <c r="U76" s="561">
        <v>50500</v>
      </c>
      <c r="V76" s="561">
        <v>40000</v>
      </c>
      <c r="W76" s="561">
        <v>40000</v>
      </c>
      <c r="X76" s="561">
        <v>40000</v>
      </c>
      <c r="Y76" s="885">
        <f t="shared" si="197"/>
        <v>510620</v>
      </c>
      <c r="Z76" s="886">
        <v>72576</v>
      </c>
      <c r="AA76" s="257">
        <v>45038</v>
      </c>
      <c r="AB76" s="257">
        <f t="shared" ref="AB76:AB81" si="211">O76*D76</f>
        <v>55356</v>
      </c>
      <c r="AC76" s="257">
        <v>49896</v>
      </c>
      <c r="AD76" s="257">
        <f t="shared" ref="AD76:AG91" si="212">Q76*$D76</f>
        <v>0</v>
      </c>
      <c r="AE76" s="257">
        <f t="shared" si="212"/>
        <v>52836</v>
      </c>
      <c r="AF76" s="257">
        <f t="shared" si="212"/>
        <v>53130</v>
      </c>
      <c r="AG76" s="257">
        <f t="shared" si="212"/>
        <v>52500</v>
      </c>
      <c r="AH76" s="257">
        <f t="shared" si="198"/>
        <v>72720</v>
      </c>
      <c r="AI76" s="257">
        <f t="shared" si="199"/>
        <v>57600</v>
      </c>
      <c r="AJ76" s="257">
        <f t="shared" si="199"/>
        <v>57600</v>
      </c>
      <c r="AK76" s="257">
        <f t="shared" si="199"/>
        <v>57600</v>
      </c>
      <c r="AL76" s="887">
        <f t="shared" si="200"/>
        <v>626852</v>
      </c>
      <c r="AM76" s="1037">
        <v>50000</v>
      </c>
      <c r="AN76" s="561">
        <f>AM76*0.7</f>
        <v>35000</v>
      </c>
      <c r="AO76" s="561">
        <v>50000</v>
      </c>
      <c r="AP76" s="561">
        <v>50000</v>
      </c>
      <c r="AQ76" s="561">
        <v>50000</v>
      </c>
      <c r="AR76" s="561">
        <v>50000</v>
      </c>
      <c r="AS76" s="561">
        <v>50000</v>
      </c>
      <c r="AT76" s="561">
        <v>50000</v>
      </c>
      <c r="AU76" s="561">
        <v>50000</v>
      </c>
      <c r="AV76" s="561">
        <v>50000</v>
      </c>
      <c r="AW76" s="561">
        <v>50000</v>
      </c>
      <c r="AX76" s="561">
        <v>50000</v>
      </c>
      <c r="AY76" s="885">
        <f t="shared" ref="AY76:AY123" si="213">SUM(AM76:AX76)</f>
        <v>585000</v>
      </c>
      <c r="AZ76" s="886">
        <f t="shared" si="201"/>
        <v>72000</v>
      </c>
      <c r="BA76" s="257">
        <f t="shared" si="201"/>
        <v>50400</v>
      </c>
      <c r="BB76" s="257">
        <f t="shared" si="201"/>
        <v>72000</v>
      </c>
      <c r="BC76" s="257">
        <f t="shared" si="201"/>
        <v>72000</v>
      </c>
      <c r="BD76" s="257">
        <f t="shared" si="201"/>
        <v>72000</v>
      </c>
      <c r="BE76" s="257">
        <f t="shared" si="201"/>
        <v>72000</v>
      </c>
      <c r="BF76" s="257">
        <f t="shared" si="201"/>
        <v>72000</v>
      </c>
      <c r="BG76" s="257">
        <f t="shared" si="201"/>
        <v>72000</v>
      </c>
      <c r="BH76" s="257">
        <f t="shared" si="201"/>
        <v>72000</v>
      </c>
      <c r="BI76" s="257">
        <f t="shared" si="201"/>
        <v>72000</v>
      </c>
      <c r="BJ76" s="257">
        <f t="shared" si="201"/>
        <v>72000</v>
      </c>
      <c r="BK76" s="257">
        <f t="shared" si="201"/>
        <v>72000</v>
      </c>
      <c r="BL76" s="887">
        <f t="shared" si="202"/>
        <v>842400</v>
      </c>
      <c r="BM76" s="1037">
        <f>267661/12</f>
        <v>22305.083333333332</v>
      </c>
      <c r="BN76" s="561">
        <f t="shared" ref="BN76:BX76" si="214">267661/12</f>
        <v>22305.083333333332</v>
      </c>
      <c r="BO76" s="561">
        <f t="shared" si="214"/>
        <v>22305.083333333332</v>
      </c>
      <c r="BP76" s="561">
        <f t="shared" si="214"/>
        <v>22305.083333333332</v>
      </c>
      <c r="BQ76" s="561">
        <f t="shared" si="214"/>
        <v>22305.083333333332</v>
      </c>
      <c r="BR76" s="561">
        <f t="shared" si="214"/>
        <v>22305.083333333332</v>
      </c>
      <c r="BS76" s="561">
        <f t="shared" si="214"/>
        <v>22305.083333333332</v>
      </c>
      <c r="BT76" s="561">
        <f t="shared" si="214"/>
        <v>22305.083333333332</v>
      </c>
      <c r="BU76" s="561">
        <f t="shared" si="214"/>
        <v>22305.083333333332</v>
      </c>
      <c r="BV76" s="561">
        <f t="shared" si="214"/>
        <v>22305.083333333332</v>
      </c>
      <c r="BW76" s="561">
        <f t="shared" si="214"/>
        <v>22305.083333333332</v>
      </c>
      <c r="BX76" s="561">
        <f t="shared" si="214"/>
        <v>22305.083333333332</v>
      </c>
      <c r="BY76" s="885">
        <f t="shared" ref="BY76:BY123" si="215">SUM(BM76:BX76)</f>
        <v>267661.00000000006</v>
      </c>
      <c r="BZ76" s="891">
        <f t="shared" si="204"/>
        <v>32119.319999999996</v>
      </c>
      <c r="CA76" s="257">
        <f t="shared" si="204"/>
        <v>32119.319999999996</v>
      </c>
      <c r="CB76" s="257">
        <f t="shared" si="204"/>
        <v>32119.319999999996</v>
      </c>
      <c r="CC76" s="257">
        <f t="shared" si="204"/>
        <v>32119.319999999996</v>
      </c>
      <c r="CD76" s="257">
        <f t="shared" si="204"/>
        <v>32119.319999999996</v>
      </c>
      <c r="CE76" s="257">
        <f t="shared" si="204"/>
        <v>32119.319999999996</v>
      </c>
      <c r="CF76" s="257">
        <f t="shared" si="204"/>
        <v>32119.319999999996</v>
      </c>
      <c r="CG76" s="257">
        <f t="shared" si="204"/>
        <v>32119.319999999996</v>
      </c>
      <c r="CH76" s="257">
        <f t="shared" si="204"/>
        <v>32119.319999999996</v>
      </c>
      <c r="CI76" s="257">
        <f t="shared" si="204"/>
        <v>32119.319999999996</v>
      </c>
      <c r="CJ76" s="257">
        <f t="shared" si="204"/>
        <v>32119.319999999996</v>
      </c>
      <c r="CK76" s="257">
        <f t="shared" si="204"/>
        <v>32119.319999999996</v>
      </c>
      <c r="CL76" s="892">
        <f t="shared" si="205"/>
        <v>385431.84</v>
      </c>
      <c r="CM76" s="1037"/>
      <c r="CN76" s="561"/>
      <c r="CO76" s="561"/>
      <c r="CP76" s="561"/>
      <c r="CQ76" s="561"/>
      <c r="CR76" s="561"/>
      <c r="CS76" s="561"/>
      <c r="CT76" s="561"/>
      <c r="CU76" s="561"/>
      <c r="CV76" s="561"/>
      <c r="CW76" s="561"/>
      <c r="CX76" s="561"/>
      <c r="CY76" s="885">
        <f t="shared" ref="CY76:CY123" si="216">SUM(CM76:CX76)</f>
        <v>0</v>
      </c>
      <c r="CZ76" s="886">
        <f t="shared" si="206"/>
        <v>0</v>
      </c>
      <c r="DA76" s="257">
        <f t="shared" si="207"/>
        <v>0</v>
      </c>
      <c r="DB76" s="257">
        <f t="shared" si="207"/>
        <v>0</v>
      </c>
      <c r="DC76" s="257">
        <f t="shared" si="207"/>
        <v>0</v>
      </c>
      <c r="DD76" s="257">
        <f t="shared" si="207"/>
        <v>0</v>
      </c>
      <c r="DE76" s="257">
        <f t="shared" si="207"/>
        <v>0</v>
      </c>
      <c r="DF76" s="257">
        <f t="shared" si="207"/>
        <v>0</v>
      </c>
      <c r="DG76" s="257">
        <f t="shared" si="207"/>
        <v>0</v>
      </c>
      <c r="DH76" s="257">
        <f t="shared" si="207"/>
        <v>0</v>
      </c>
      <c r="DI76" s="257">
        <f t="shared" si="207"/>
        <v>0</v>
      </c>
      <c r="DJ76" s="257">
        <f t="shared" si="207"/>
        <v>0</v>
      </c>
      <c r="DK76" s="257">
        <f t="shared" si="207"/>
        <v>0</v>
      </c>
      <c r="DL76" s="887">
        <f t="shared" si="208"/>
        <v>0</v>
      </c>
      <c r="DM76" s="563"/>
      <c r="DN76" s="561"/>
      <c r="DO76" s="561"/>
      <c r="DP76" s="561"/>
      <c r="DQ76" s="561"/>
      <c r="DR76" s="561"/>
      <c r="DS76" s="561"/>
      <c r="DT76" s="561"/>
      <c r="DU76" s="561"/>
      <c r="DV76" s="561"/>
      <c r="DW76" s="561"/>
      <c r="DX76" s="561"/>
      <c r="DY76" s="885">
        <f t="shared" ref="DY76:DY123" si="217">SUM(DM76:DX76)</f>
        <v>0</v>
      </c>
      <c r="DZ76" s="257">
        <f t="shared" si="209"/>
        <v>0</v>
      </c>
      <c r="EA76" s="257">
        <f t="shared" si="209"/>
        <v>0</v>
      </c>
      <c r="EB76" s="257">
        <f t="shared" si="209"/>
        <v>0</v>
      </c>
      <c r="EC76" s="257">
        <f t="shared" si="209"/>
        <v>0</v>
      </c>
      <c r="ED76" s="257">
        <f t="shared" si="209"/>
        <v>0</v>
      </c>
      <c r="EE76" s="257">
        <f t="shared" si="209"/>
        <v>0</v>
      </c>
      <c r="EF76" s="257">
        <f t="shared" si="209"/>
        <v>0</v>
      </c>
      <c r="EG76" s="257">
        <f t="shared" si="209"/>
        <v>0</v>
      </c>
      <c r="EH76" s="257">
        <f t="shared" si="209"/>
        <v>0</v>
      </c>
      <c r="EI76" s="257">
        <f t="shared" si="209"/>
        <v>0</v>
      </c>
      <c r="EJ76" s="257">
        <f t="shared" si="209"/>
        <v>0</v>
      </c>
      <c r="EK76" s="257">
        <f t="shared" si="209"/>
        <v>0</v>
      </c>
      <c r="EL76" s="887">
        <f t="shared" si="210"/>
        <v>0</v>
      </c>
    </row>
    <row r="77" spans="1:142">
      <c r="A77" s="973" t="s">
        <v>77</v>
      </c>
      <c r="B77" s="913" t="s">
        <v>710</v>
      </c>
      <c r="C77" s="917" t="s">
        <v>263</v>
      </c>
      <c r="D77" s="568">
        <v>1.7</v>
      </c>
      <c r="E77" s="569">
        <v>1.74</v>
      </c>
      <c r="F77" s="569">
        <v>1.74</v>
      </c>
      <c r="G77" s="570">
        <v>1.74</v>
      </c>
      <c r="H77" s="568">
        <f t="shared" si="196"/>
        <v>1.74</v>
      </c>
      <c r="I77" s="569">
        <f t="shared" si="196"/>
        <v>1.74</v>
      </c>
      <c r="J77" s="569">
        <f t="shared" si="196"/>
        <v>1.74</v>
      </c>
      <c r="K77" s="1038">
        <f t="shared" si="196"/>
        <v>1.74</v>
      </c>
      <c r="L77" s="884"/>
      <c r="M77" s="563">
        <v>79600</v>
      </c>
      <c r="N77" s="561">
        <v>69600</v>
      </c>
      <c r="O77" s="561">
        <v>81800</v>
      </c>
      <c r="P77" s="561">
        <v>80400</v>
      </c>
      <c r="Q77" s="561">
        <v>40800</v>
      </c>
      <c r="R77" s="561">
        <v>81600</v>
      </c>
      <c r="S77" s="561">
        <v>70800</v>
      </c>
      <c r="T77" s="561">
        <v>70000</v>
      </c>
      <c r="U77" s="561">
        <v>80000</v>
      </c>
      <c r="V77" s="561">
        <v>80000</v>
      </c>
      <c r="W77" s="561">
        <v>80000</v>
      </c>
      <c r="X77" s="561">
        <v>80000</v>
      </c>
      <c r="Y77" s="885">
        <f t="shared" si="197"/>
        <v>894600</v>
      </c>
      <c r="Z77" s="886">
        <v>138504</v>
      </c>
      <c r="AA77" s="257">
        <v>118320</v>
      </c>
      <c r="AB77" s="257">
        <f t="shared" si="211"/>
        <v>139060</v>
      </c>
      <c r="AC77" s="257">
        <v>136680</v>
      </c>
      <c r="AD77" s="257">
        <f t="shared" si="212"/>
        <v>69360</v>
      </c>
      <c r="AE77" s="257">
        <f t="shared" si="212"/>
        <v>138720</v>
      </c>
      <c r="AF77" s="257">
        <f t="shared" si="212"/>
        <v>120360</v>
      </c>
      <c r="AG77" s="257">
        <f t="shared" si="212"/>
        <v>119000</v>
      </c>
      <c r="AH77" s="257">
        <f t="shared" si="198"/>
        <v>139200</v>
      </c>
      <c r="AI77" s="257">
        <f t="shared" si="199"/>
        <v>139200</v>
      </c>
      <c r="AJ77" s="257">
        <f t="shared" si="199"/>
        <v>139200</v>
      </c>
      <c r="AK77" s="257">
        <f t="shared" si="199"/>
        <v>139200</v>
      </c>
      <c r="AL77" s="887">
        <f t="shared" si="200"/>
        <v>1536804</v>
      </c>
      <c r="AM77" s="1037">
        <f>560000/12</f>
        <v>46666.666666666664</v>
      </c>
      <c r="AN77" s="561">
        <f t="shared" ref="AN77:AX77" si="218">560000/12</f>
        <v>46666.666666666664</v>
      </c>
      <c r="AO77" s="561">
        <f t="shared" si="218"/>
        <v>46666.666666666664</v>
      </c>
      <c r="AP77" s="561">
        <f t="shared" si="218"/>
        <v>46666.666666666664</v>
      </c>
      <c r="AQ77" s="561">
        <f t="shared" si="218"/>
        <v>46666.666666666664</v>
      </c>
      <c r="AR77" s="561">
        <f t="shared" si="218"/>
        <v>46666.666666666664</v>
      </c>
      <c r="AS77" s="561">
        <f t="shared" si="218"/>
        <v>46666.666666666664</v>
      </c>
      <c r="AT77" s="561">
        <f t="shared" si="218"/>
        <v>46666.666666666664</v>
      </c>
      <c r="AU77" s="561">
        <f t="shared" si="218"/>
        <v>46666.666666666664</v>
      </c>
      <c r="AV77" s="561">
        <f t="shared" si="218"/>
        <v>46666.666666666664</v>
      </c>
      <c r="AW77" s="561">
        <f t="shared" si="218"/>
        <v>46666.666666666664</v>
      </c>
      <c r="AX77" s="561">
        <f t="shared" si="218"/>
        <v>46666.666666666664</v>
      </c>
      <c r="AY77" s="885">
        <f t="shared" si="213"/>
        <v>560000.00000000012</v>
      </c>
      <c r="AZ77" s="886">
        <f t="shared" si="201"/>
        <v>81200</v>
      </c>
      <c r="BA77" s="257">
        <f t="shared" si="201"/>
        <v>81200</v>
      </c>
      <c r="BB77" s="257">
        <f t="shared" si="201"/>
        <v>81200</v>
      </c>
      <c r="BC77" s="257">
        <f t="shared" si="201"/>
        <v>81200</v>
      </c>
      <c r="BD77" s="257">
        <f t="shared" si="201"/>
        <v>81200</v>
      </c>
      <c r="BE77" s="257">
        <f t="shared" si="201"/>
        <v>81200</v>
      </c>
      <c r="BF77" s="257">
        <f t="shared" si="201"/>
        <v>81200</v>
      </c>
      <c r="BG77" s="257">
        <f t="shared" si="201"/>
        <v>81200</v>
      </c>
      <c r="BH77" s="257">
        <f t="shared" si="201"/>
        <v>81200</v>
      </c>
      <c r="BI77" s="257">
        <f t="shared" si="201"/>
        <v>81200</v>
      </c>
      <c r="BJ77" s="257">
        <f t="shared" si="201"/>
        <v>81200</v>
      </c>
      <c r="BK77" s="257">
        <f t="shared" si="201"/>
        <v>81200</v>
      </c>
      <c r="BL77" s="887">
        <f t="shared" si="202"/>
        <v>974400</v>
      </c>
      <c r="BM77" s="1037">
        <f t="shared" ref="BM77:BX77" si="219">560000/12</f>
        <v>46666.666666666664</v>
      </c>
      <c r="BN77" s="561">
        <f t="shared" si="219"/>
        <v>46666.666666666664</v>
      </c>
      <c r="BO77" s="561">
        <f t="shared" si="219"/>
        <v>46666.666666666664</v>
      </c>
      <c r="BP77" s="561">
        <f t="shared" si="219"/>
        <v>46666.666666666664</v>
      </c>
      <c r="BQ77" s="561">
        <f t="shared" si="219"/>
        <v>46666.666666666664</v>
      </c>
      <c r="BR77" s="561">
        <f t="shared" si="219"/>
        <v>46666.666666666664</v>
      </c>
      <c r="BS77" s="561">
        <f t="shared" si="219"/>
        <v>46666.666666666664</v>
      </c>
      <c r="BT77" s="561">
        <f t="shared" si="219"/>
        <v>46666.666666666664</v>
      </c>
      <c r="BU77" s="561">
        <f t="shared" si="219"/>
        <v>46666.666666666664</v>
      </c>
      <c r="BV77" s="561">
        <f t="shared" si="219"/>
        <v>46666.666666666664</v>
      </c>
      <c r="BW77" s="561">
        <f t="shared" si="219"/>
        <v>46666.666666666664</v>
      </c>
      <c r="BX77" s="561">
        <f t="shared" si="219"/>
        <v>46666.666666666664</v>
      </c>
      <c r="BY77" s="885">
        <f t="shared" si="215"/>
        <v>560000.00000000012</v>
      </c>
      <c r="BZ77" s="891">
        <f t="shared" si="204"/>
        <v>81200</v>
      </c>
      <c r="CA77" s="257">
        <f t="shared" si="204"/>
        <v>81200</v>
      </c>
      <c r="CB77" s="257">
        <f t="shared" si="204"/>
        <v>81200</v>
      </c>
      <c r="CC77" s="257">
        <f t="shared" si="204"/>
        <v>81200</v>
      </c>
      <c r="CD77" s="257">
        <f t="shared" si="204"/>
        <v>81200</v>
      </c>
      <c r="CE77" s="257">
        <f t="shared" si="204"/>
        <v>81200</v>
      </c>
      <c r="CF77" s="257">
        <f t="shared" si="204"/>
        <v>81200</v>
      </c>
      <c r="CG77" s="257">
        <f t="shared" si="204"/>
        <v>81200</v>
      </c>
      <c r="CH77" s="257">
        <f t="shared" si="204"/>
        <v>81200</v>
      </c>
      <c r="CI77" s="257">
        <f t="shared" si="204"/>
        <v>81200</v>
      </c>
      <c r="CJ77" s="257">
        <f t="shared" si="204"/>
        <v>81200</v>
      </c>
      <c r="CK77" s="257">
        <f t="shared" si="204"/>
        <v>81200</v>
      </c>
      <c r="CL77" s="892">
        <f t="shared" si="205"/>
        <v>974400</v>
      </c>
      <c r="CM77" s="1037">
        <f>560000/12</f>
        <v>46666.666666666664</v>
      </c>
      <c r="CN77" s="561">
        <f t="shared" ref="CN77:CX77" si="220">560000/12</f>
        <v>46666.666666666664</v>
      </c>
      <c r="CO77" s="561">
        <f t="shared" si="220"/>
        <v>46666.666666666664</v>
      </c>
      <c r="CP77" s="561">
        <f t="shared" si="220"/>
        <v>46666.666666666664</v>
      </c>
      <c r="CQ77" s="561">
        <f t="shared" si="220"/>
        <v>46666.666666666664</v>
      </c>
      <c r="CR77" s="561">
        <f t="shared" si="220"/>
        <v>46666.666666666664</v>
      </c>
      <c r="CS77" s="561">
        <f t="shared" si="220"/>
        <v>46666.666666666664</v>
      </c>
      <c r="CT77" s="561">
        <f t="shared" si="220"/>
        <v>46666.666666666664</v>
      </c>
      <c r="CU77" s="561">
        <f t="shared" si="220"/>
        <v>46666.666666666664</v>
      </c>
      <c r="CV77" s="561">
        <f t="shared" si="220"/>
        <v>46666.666666666664</v>
      </c>
      <c r="CW77" s="561">
        <f t="shared" si="220"/>
        <v>46666.666666666664</v>
      </c>
      <c r="CX77" s="561">
        <f t="shared" si="220"/>
        <v>46666.666666666664</v>
      </c>
      <c r="CY77" s="885">
        <f t="shared" si="216"/>
        <v>560000.00000000012</v>
      </c>
      <c r="CZ77" s="886">
        <f t="shared" si="206"/>
        <v>81200</v>
      </c>
      <c r="DA77" s="257">
        <f t="shared" si="207"/>
        <v>81200</v>
      </c>
      <c r="DB77" s="257">
        <f t="shared" si="207"/>
        <v>81200</v>
      </c>
      <c r="DC77" s="257">
        <f t="shared" si="207"/>
        <v>81200</v>
      </c>
      <c r="DD77" s="257">
        <f t="shared" si="207"/>
        <v>81200</v>
      </c>
      <c r="DE77" s="257">
        <f t="shared" si="207"/>
        <v>81200</v>
      </c>
      <c r="DF77" s="257">
        <f t="shared" si="207"/>
        <v>81200</v>
      </c>
      <c r="DG77" s="257">
        <f t="shared" si="207"/>
        <v>81200</v>
      </c>
      <c r="DH77" s="257">
        <f t="shared" si="207"/>
        <v>81200</v>
      </c>
      <c r="DI77" s="257">
        <f t="shared" si="207"/>
        <v>81200</v>
      </c>
      <c r="DJ77" s="257">
        <f t="shared" si="207"/>
        <v>81200</v>
      </c>
      <c r="DK77" s="257">
        <f t="shared" si="207"/>
        <v>81200</v>
      </c>
      <c r="DL77" s="887">
        <f t="shared" si="208"/>
        <v>974400</v>
      </c>
      <c r="DM77" s="563">
        <f t="shared" ref="DM77:DX77" si="221">560000/12</f>
        <v>46666.666666666664</v>
      </c>
      <c r="DN77" s="561">
        <f t="shared" si="221"/>
        <v>46666.666666666664</v>
      </c>
      <c r="DO77" s="561">
        <f t="shared" si="221"/>
        <v>46666.666666666664</v>
      </c>
      <c r="DP77" s="561">
        <f t="shared" si="221"/>
        <v>46666.666666666664</v>
      </c>
      <c r="DQ77" s="561">
        <f t="shared" si="221"/>
        <v>46666.666666666664</v>
      </c>
      <c r="DR77" s="561">
        <f t="shared" si="221"/>
        <v>46666.666666666664</v>
      </c>
      <c r="DS77" s="561">
        <f t="shared" si="221"/>
        <v>46666.666666666664</v>
      </c>
      <c r="DT77" s="561">
        <f t="shared" si="221"/>
        <v>46666.666666666664</v>
      </c>
      <c r="DU77" s="561">
        <f t="shared" si="221"/>
        <v>46666.666666666664</v>
      </c>
      <c r="DV77" s="561">
        <f t="shared" si="221"/>
        <v>46666.666666666664</v>
      </c>
      <c r="DW77" s="561">
        <f t="shared" si="221"/>
        <v>46666.666666666664</v>
      </c>
      <c r="DX77" s="561">
        <f t="shared" si="221"/>
        <v>46666.666666666664</v>
      </c>
      <c r="DY77" s="885">
        <f t="shared" si="217"/>
        <v>560000.00000000012</v>
      </c>
      <c r="DZ77" s="257">
        <f t="shared" si="209"/>
        <v>81200</v>
      </c>
      <c r="EA77" s="257">
        <f t="shared" si="209"/>
        <v>81200</v>
      </c>
      <c r="EB77" s="257">
        <f t="shared" si="209"/>
        <v>81200</v>
      </c>
      <c r="EC77" s="257">
        <f t="shared" si="209"/>
        <v>81200</v>
      </c>
      <c r="ED77" s="257">
        <f t="shared" si="209"/>
        <v>81200</v>
      </c>
      <c r="EE77" s="257">
        <f t="shared" si="209"/>
        <v>81200</v>
      </c>
      <c r="EF77" s="257">
        <f t="shared" si="209"/>
        <v>81200</v>
      </c>
      <c r="EG77" s="257">
        <f t="shared" si="209"/>
        <v>81200</v>
      </c>
      <c r="EH77" s="257">
        <f t="shared" si="209"/>
        <v>81200</v>
      </c>
      <c r="EI77" s="257">
        <f t="shared" si="209"/>
        <v>81200</v>
      </c>
      <c r="EJ77" s="257">
        <f t="shared" si="209"/>
        <v>81200</v>
      </c>
      <c r="EK77" s="257">
        <f t="shared" si="209"/>
        <v>81200</v>
      </c>
      <c r="EL77" s="887">
        <f t="shared" si="210"/>
        <v>974400</v>
      </c>
    </row>
    <row r="78" spans="1:142">
      <c r="A78" s="973" t="s">
        <v>77</v>
      </c>
      <c r="B78" s="913" t="s">
        <v>711</v>
      </c>
      <c r="C78" s="917" t="s">
        <v>339</v>
      </c>
      <c r="D78" s="568">
        <v>4.2699999999999996</v>
      </c>
      <c r="E78" s="569">
        <v>4.2699999999999996</v>
      </c>
      <c r="F78" s="569">
        <v>4.2699999999999996</v>
      </c>
      <c r="G78" s="570">
        <v>4.2699999999999996</v>
      </c>
      <c r="H78" s="568">
        <f t="shared" si="196"/>
        <v>4.2699999999999996</v>
      </c>
      <c r="I78" s="569">
        <f t="shared" si="196"/>
        <v>4.2699999999999996</v>
      </c>
      <c r="J78" s="569">
        <f t="shared" si="196"/>
        <v>4.2699999999999996</v>
      </c>
      <c r="K78" s="1038">
        <f t="shared" si="196"/>
        <v>4.2699999999999996</v>
      </c>
      <c r="L78" s="884"/>
      <c r="M78" s="563">
        <v>0</v>
      </c>
      <c r="N78" s="561">
        <v>0</v>
      </c>
      <c r="O78" s="561">
        <v>0</v>
      </c>
      <c r="P78" s="561">
        <v>0</v>
      </c>
      <c r="Q78" s="561">
        <v>0</v>
      </c>
      <c r="R78" s="561">
        <v>0</v>
      </c>
      <c r="S78" s="561">
        <v>0</v>
      </c>
      <c r="T78" s="561">
        <v>0</v>
      </c>
      <c r="U78" s="561">
        <v>0</v>
      </c>
      <c r="V78" s="561">
        <v>0</v>
      </c>
      <c r="W78" s="561">
        <v>0</v>
      </c>
      <c r="X78" s="561">
        <v>0</v>
      </c>
      <c r="Y78" s="885">
        <f t="shared" si="197"/>
        <v>0</v>
      </c>
      <c r="Z78" s="886">
        <v>0</v>
      </c>
      <c r="AA78" s="257">
        <v>0</v>
      </c>
      <c r="AB78" s="257">
        <f t="shared" si="211"/>
        <v>0</v>
      </c>
      <c r="AC78" s="257">
        <v>0</v>
      </c>
      <c r="AD78" s="257">
        <f t="shared" si="212"/>
        <v>0</v>
      </c>
      <c r="AE78" s="257">
        <f t="shared" si="212"/>
        <v>0</v>
      </c>
      <c r="AF78" s="257">
        <f t="shared" si="212"/>
        <v>0</v>
      </c>
      <c r="AG78" s="257">
        <f t="shared" si="212"/>
        <v>0</v>
      </c>
      <c r="AH78" s="257">
        <f t="shared" si="198"/>
        <v>0</v>
      </c>
      <c r="AI78" s="257">
        <f t="shared" si="199"/>
        <v>0</v>
      </c>
      <c r="AJ78" s="257">
        <f t="shared" si="199"/>
        <v>0</v>
      </c>
      <c r="AK78" s="257">
        <f t="shared" si="199"/>
        <v>0</v>
      </c>
      <c r="AL78" s="887">
        <f t="shared" si="200"/>
        <v>0</v>
      </c>
      <c r="AM78" s="1037"/>
      <c r="AN78" s="561"/>
      <c r="AO78" s="561"/>
      <c r="AP78" s="561"/>
      <c r="AQ78" s="561"/>
      <c r="AR78" s="561"/>
      <c r="AS78" s="561"/>
      <c r="AT78" s="561"/>
      <c r="AU78" s="561"/>
      <c r="AV78" s="561"/>
      <c r="AW78" s="561"/>
      <c r="AX78" s="561"/>
      <c r="AY78" s="885">
        <f t="shared" si="213"/>
        <v>0</v>
      </c>
      <c r="AZ78" s="886">
        <f t="shared" si="201"/>
        <v>0</v>
      </c>
      <c r="BA78" s="257">
        <f t="shared" si="201"/>
        <v>0</v>
      </c>
      <c r="BB78" s="257">
        <f t="shared" si="201"/>
        <v>0</v>
      </c>
      <c r="BC78" s="257">
        <f t="shared" si="201"/>
        <v>0</v>
      </c>
      <c r="BD78" s="257">
        <f t="shared" si="201"/>
        <v>0</v>
      </c>
      <c r="BE78" s="257">
        <f t="shared" si="201"/>
        <v>0</v>
      </c>
      <c r="BF78" s="257">
        <f t="shared" si="201"/>
        <v>0</v>
      </c>
      <c r="BG78" s="257">
        <f t="shared" si="201"/>
        <v>0</v>
      </c>
      <c r="BH78" s="257">
        <f t="shared" si="201"/>
        <v>0</v>
      </c>
      <c r="BI78" s="257">
        <f t="shared" si="201"/>
        <v>0</v>
      </c>
      <c r="BJ78" s="257">
        <f t="shared" si="201"/>
        <v>0</v>
      </c>
      <c r="BK78" s="257">
        <f t="shared" si="201"/>
        <v>0</v>
      </c>
      <c r="BL78" s="887">
        <f t="shared" si="202"/>
        <v>0</v>
      </c>
      <c r="BM78" s="1037"/>
      <c r="BN78" s="561"/>
      <c r="BO78" s="561"/>
      <c r="BP78" s="561"/>
      <c r="BQ78" s="561"/>
      <c r="BR78" s="561"/>
      <c r="BS78" s="561"/>
      <c r="BT78" s="561"/>
      <c r="BU78" s="561"/>
      <c r="BV78" s="561"/>
      <c r="BW78" s="561"/>
      <c r="BX78" s="561"/>
      <c r="BY78" s="885">
        <f t="shared" si="215"/>
        <v>0</v>
      </c>
      <c r="BZ78" s="891">
        <f t="shared" si="204"/>
        <v>0</v>
      </c>
      <c r="CA78" s="257">
        <f t="shared" si="204"/>
        <v>0</v>
      </c>
      <c r="CB78" s="257">
        <f t="shared" si="204"/>
        <v>0</v>
      </c>
      <c r="CC78" s="257">
        <f t="shared" si="204"/>
        <v>0</v>
      </c>
      <c r="CD78" s="257">
        <f t="shared" si="204"/>
        <v>0</v>
      </c>
      <c r="CE78" s="257">
        <f t="shared" si="204"/>
        <v>0</v>
      </c>
      <c r="CF78" s="257">
        <f t="shared" si="204"/>
        <v>0</v>
      </c>
      <c r="CG78" s="257">
        <f t="shared" si="204"/>
        <v>0</v>
      </c>
      <c r="CH78" s="257">
        <f t="shared" si="204"/>
        <v>0</v>
      </c>
      <c r="CI78" s="257">
        <f t="shared" si="204"/>
        <v>0</v>
      </c>
      <c r="CJ78" s="257">
        <f t="shared" si="204"/>
        <v>0</v>
      </c>
      <c r="CK78" s="257">
        <f t="shared" si="204"/>
        <v>0</v>
      </c>
      <c r="CL78" s="892">
        <f t="shared" si="205"/>
        <v>0</v>
      </c>
      <c r="CM78" s="1037"/>
      <c r="CN78" s="561"/>
      <c r="CO78" s="561"/>
      <c r="CP78" s="561"/>
      <c r="CQ78" s="561"/>
      <c r="CR78" s="561"/>
      <c r="CS78" s="561"/>
      <c r="CT78" s="561"/>
      <c r="CU78" s="561"/>
      <c r="CV78" s="561"/>
      <c r="CW78" s="561"/>
      <c r="CX78" s="561"/>
      <c r="CY78" s="885">
        <f t="shared" si="216"/>
        <v>0</v>
      </c>
      <c r="CZ78" s="886">
        <f t="shared" si="206"/>
        <v>0</v>
      </c>
      <c r="DA78" s="257">
        <f t="shared" si="207"/>
        <v>0</v>
      </c>
      <c r="DB78" s="257">
        <f t="shared" si="207"/>
        <v>0</v>
      </c>
      <c r="DC78" s="257">
        <f t="shared" si="207"/>
        <v>0</v>
      </c>
      <c r="DD78" s="257">
        <f t="shared" si="207"/>
        <v>0</v>
      </c>
      <c r="DE78" s="257">
        <f t="shared" si="207"/>
        <v>0</v>
      </c>
      <c r="DF78" s="257">
        <f t="shared" si="207"/>
        <v>0</v>
      </c>
      <c r="DG78" s="257">
        <f t="shared" si="207"/>
        <v>0</v>
      </c>
      <c r="DH78" s="257">
        <f t="shared" si="207"/>
        <v>0</v>
      </c>
      <c r="DI78" s="257">
        <f t="shared" si="207"/>
        <v>0</v>
      </c>
      <c r="DJ78" s="257">
        <f t="shared" si="207"/>
        <v>0</v>
      </c>
      <c r="DK78" s="257">
        <f t="shared" si="207"/>
        <v>0</v>
      </c>
      <c r="DL78" s="887">
        <f t="shared" si="208"/>
        <v>0</v>
      </c>
      <c r="DM78" s="563"/>
      <c r="DN78" s="561"/>
      <c r="DO78" s="561"/>
      <c r="DP78" s="561"/>
      <c r="DQ78" s="561"/>
      <c r="DR78" s="561"/>
      <c r="DS78" s="561"/>
      <c r="DT78" s="561"/>
      <c r="DU78" s="561"/>
      <c r="DV78" s="561"/>
      <c r="DW78" s="561"/>
      <c r="DX78" s="561"/>
      <c r="DY78" s="885">
        <f t="shared" si="217"/>
        <v>0</v>
      </c>
      <c r="DZ78" s="257">
        <f t="shared" si="209"/>
        <v>0</v>
      </c>
      <c r="EA78" s="257">
        <f t="shared" si="209"/>
        <v>0</v>
      </c>
      <c r="EB78" s="257">
        <f t="shared" si="209"/>
        <v>0</v>
      </c>
      <c r="EC78" s="257">
        <f t="shared" si="209"/>
        <v>0</v>
      </c>
      <c r="ED78" s="257">
        <f t="shared" si="209"/>
        <v>0</v>
      </c>
      <c r="EE78" s="257">
        <f t="shared" si="209"/>
        <v>0</v>
      </c>
      <c r="EF78" s="257">
        <f t="shared" si="209"/>
        <v>0</v>
      </c>
      <c r="EG78" s="257">
        <f t="shared" si="209"/>
        <v>0</v>
      </c>
      <c r="EH78" s="257">
        <f t="shared" si="209"/>
        <v>0</v>
      </c>
      <c r="EI78" s="257">
        <f t="shared" si="209"/>
        <v>0</v>
      </c>
      <c r="EJ78" s="257">
        <f t="shared" si="209"/>
        <v>0</v>
      </c>
      <c r="EK78" s="257">
        <f t="shared" si="209"/>
        <v>0</v>
      </c>
      <c r="EL78" s="887">
        <f t="shared" si="210"/>
        <v>0</v>
      </c>
    </row>
    <row r="79" spans="1:142">
      <c r="A79" s="973" t="s">
        <v>77</v>
      </c>
      <c r="B79" s="913" t="s">
        <v>712</v>
      </c>
      <c r="C79" s="917" t="s">
        <v>340</v>
      </c>
      <c r="D79" s="568">
        <v>2.56</v>
      </c>
      <c r="E79" s="569">
        <v>2.56</v>
      </c>
      <c r="F79" s="569">
        <v>2.56</v>
      </c>
      <c r="G79" s="570">
        <v>2.56</v>
      </c>
      <c r="H79" s="568">
        <f t="shared" si="196"/>
        <v>2.56</v>
      </c>
      <c r="I79" s="569">
        <f t="shared" si="196"/>
        <v>2.56</v>
      </c>
      <c r="J79" s="569">
        <f t="shared" si="196"/>
        <v>2.56</v>
      </c>
      <c r="K79" s="1038">
        <f t="shared" si="196"/>
        <v>2.56</v>
      </c>
      <c r="L79" s="884"/>
      <c r="M79" s="563">
        <v>0</v>
      </c>
      <c r="N79" s="561">
        <v>0</v>
      </c>
      <c r="O79" s="561">
        <v>0</v>
      </c>
      <c r="P79" s="561">
        <v>0</v>
      </c>
      <c r="Q79" s="561">
        <v>0</v>
      </c>
      <c r="R79" s="561">
        <v>0</v>
      </c>
      <c r="S79" s="561">
        <v>0</v>
      </c>
      <c r="T79" s="561">
        <v>0</v>
      </c>
      <c r="U79" s="561">
        <v>0</v>
      </c>
      <c r="V79" s="561">
        <v>0</v>
      </c>
      <c r="W79" s="561">
        <v>0</v>
      </c>
      <c r="X79" s="561">
        <v>0</v>
      </c>
      <c r="Y79" s="885">
        <f t="shared" si="197"/>
        <v>0</v>
      </c>
      <c r="Z79" s="886">
        <v>0</v>
      </c>
      <c r="AA79" s="257">
        <v>0</v>
      </c>
      <c r="AB79" s="257">
        <f t="shared" si="211"/>
        <v>0</v>
      </c>
      <c r="AC79" s="257">
        <v>0</v>
      </c>
      <c r="AD79" s="257">
        <f t="shared" si="212"/>
        <v>0</v>
      </c>
      <c r="AE79" s="257">
        <f t="shared" si="212"/>
        <v>0</v>
      </c>
      <c r="AF79" s="257">
        <f t="shared" si="212"/>
        <v>0</v>
      </c>
      <c r="AG79" s="257">
        <f t="shared" si="212"/>
        <v>0</v>
      </c>
      <c r="AH79" s="257">
        <f t="shared" si="198"/>
        <v>0</v>
      </c>
      <c r="AI79" s="257">
        <f t="shared" si="199"/>
        <v>0</v>
      </c>
      <c r="AJ79" s="257">
        <f t="shared" si="199"/>
        <v>0</v>
      </c>
      <c r="AK79" s="257">
        <f t="shared" si="199"/>
        <v>0</v>
      </c>
      <c r="AL79" s="887">
        <f t="shared" si="200"/>
        <v>0</v>
      </c>
      <c r="AM79" s="1037"/>
      <c r="AN79" s="561"/>
      <c r="AO79" s="561"/>
      <c r="AP79" s="561"/>
      <c r="AQ79" s="561"/>
      <c r="AR79" s="561"/>
      <c r="AS79" s="561"/>
      <c r="AT79" s="561"/>
      <c r="AU79" s="561"/>
      <c r="AV79" s="561"/>
      <c r="AW79" s="561"/>
      <c r="AX79" s="561"/>
      <c r="AY79" s="885">
        <f t="shared" si="213"/>
        <v>0</v>
      </c>
      <c r="AZ79" s="886">
        <f t="shared" si="201"/>
        <v>0</v>
      </c>
      <c r="BA79" s="257">
        <f t="shared" si="201"/>
        <v>0</v>
      </c>
      <c r="BB79" s="257">
        <f t="shared" si="201"/>
        <v>0</v>
      </c>
      <c r="BC79" s="257">
        <f t="shared" si="201"/>
        <v>0</v>
      </c>
      <c r="BD79" s="257">
        <f t="shared" si="201"/>
        <v>0</v>
      </c>
      <c r="BE79" s="257">
        <f t="shared" si="201"/>
        <v>0</v>
      </c>
      <c r="BF79" s="257">
        <f t="shared" si="201"/>
        <v>0</v>
      </c>
      <c r="BG79" s="257">
        <f t="shared" si="201"/>
        <v>0</v>
      </c>
      <c r="BH79" s="257">
        <f t="shared" si="201"/>
        <v>0</v>
      </c>
      <c r="BI79" s="257">
        <f t="shared" si="201"/>
        <v>0</v>
      </c>
      <c r="BJ79" s="257">
        <f t="shared" si="201"/>
        <v>0</v>
      </c>
      <c r="BK79" s="257">
        <f t="shared" si="201"/>
        <v>0</v>
      </c>
      <c r="BL79" s="887">
        <f t="shared" si="202"/>
        <v>0</v>
      </c>
      <c r="BM79" s="1037"/>
      <c r="BN79" s="561"/>
      <c r="BO79" s="561"/>
      <c r="BP79" s="561"/>
      <c r="BQ79" s="561"/>
      <c r="BR79" s="561"/>
      <c r="BS79" s="561"/>
      <c r="BT79" s="561"/>
      <c r="BU79" s="561"/>
      <c r="BV79" s="561"/>
      <c r="BW79" s="561"/>
      <c r="BX79" s="561"/>
      <c r="BY79" s="885">
        <f t="shared" si="215"/>
        <v>0</v>
      </c>
      <c r="BZ79" s="891">
        <f t="shared" si="204"/>
        <v>0</v>
      </c>
      <c r="CA79" s="257">
        <f t="shared" si="204"/>
        <v>0</v>
      </c>
      <c r="CB79" s="257">
        <f t="shared" si="204"/>
        <v>0</v>
      </c>
      <c r="CC79" s="257">
        <f t="shared" si="204"/>
        <v>0</v>
      </c>
      <c r="CD79" s="257">
        <f t="shared" si="204"/>
        <v>0</v>
      </c>
      <c r="CE79" s="257">
        <f t="shared" si="204"/>
        <v>0</v>
      </c>
      <c r="CF79" s="257">
        <f t="shared" si="204"/>
        <v>0</v>
      </c>
      <c r="CG79" s="257">
        <f t="shared" si="204"/>
        <v>0</v>
      </c>
      <c r="CH79" s="257">
        <f t="shared" si="204"/>
        <v>0</v>
      </c>
      <c r="CI79" s="257">
        <f t="shared" si="204"/>
        <v>0</v>
      </c>
      <c r="CJ79" s="257">
        <f t="shared" si="204"/>
        <v>0</v>
      </c>
      <c r="CK79" s="257">
        <f t="shared" si="204"/>
        <v>0</v>
      </c>
      <c r="CL79" s="892">
        <f t="shared" si="205"/>
        <v>0</v>
      </c>
      <c r="CM79" s="1037"/>
      <c r="CN79" s="561"/>
      <c r="CO79" s="561"/>
      <c r="CP79" s="561"/>
      <c r="CQ79" s="561"/>
      <c r="CR79" s="561"/>
      <c r="CS79" s="561"/>
      <c r="CT79" s="561"/>
      <c r="CU79" s="561"/>
      <c r="CV79" s="561"/>
      <c r="CW79" s="561"/>
      <c r="CX79" s="561"/>
      <c r="CY79" s="885">
        <f t="shared" si="216"/>
        <v>0</v>
      </c>
      <c r="CZ79" s="886">
        <f t="shared" si="206"/>
        <v>0</v>
      </c>
      <c r="DA79" s="257">
        <f t="shared" si="207"/>
        <v>0</v>
      </c>
      <c r="DB79" s="257">
        <f t="shared" si="207"/>
        <v>0</v>
      </c>
      <c r="DC79" s="257">
        <f t="shared" si="207"/>
        <v>0</v>
      </c>
      <c r="DD79" s="257">
        <f t="shared" si="207"/>
        <v>0</v>
      </c>
      <c r="DE79" s="257">
        <f t="shared" si="207"/>
        <v>0</v>
      </c>
      <c r="DF79" s="257">
        <f t="shared" si="207"/>
        <v>0</v>
      </c>
      <c r="DG79" s="257">
        <f t="shared" si="207"/>
        <v>0</v>
      </c>
      <c r="DH79" s="257">
        <f t="shared" si="207"/>
        <v>0</v>
      </c>
      <c r="DI79" s="257">
        <f t="shared" si="207"/>
        <v>0</v>
      </c>
      <c r="DJ79" s="257">
        <f t="shared" si="207"/>
        <v>0</v>
      </c>
      <c r="DK79" s="257">
        <f t="shared" si="207"/>
        <v>0</v>
      </c>
      <c r="DL79" s="887">
        <f t="shared" si="208"/>
        <v>0</v>
      </c>
      <c r="DM79" s="563"/>
      <c r="DN79" s="561"/>
      <c r="DO79" s="561"/>
      <c r="DP79" s="561"/>
      <c r="DQ79" s="561"/>
      <c r="DR79" s="561"/>
      <c r="DS79" s="561"/>
      <c r="DT79" s="561"/>
      <c r="DU79" s="561"/>
      <c r="DV79" s="561"/>
      <c r="DW79" s="561"/>
      <c r="DX79" s="561"/>
      <c r="DY79" s="885">
        <f t="shared" si="217"/>
        <v>0</v>
      </c>
      <c r="DZ79" s="257">
        <f t="shared" si="209"/>
        <v>0</v>
      </c>
      <c r="EA79" s="257">
        <f t="shared" si="209"/>
        <v>0</v>
      </c>
      <c r="EB79" s="257">
        <f t="shared" si="209"/>
        <v>0</v>
      </c>
      <c r="EC79" s="257">
        <f t="shared" si="209"/>
        <v>0</v>
      </c>
      <c r="ED79" s="257">
        <f t="shared" si="209"/>
        <v>0</v>
      </c>
      <c r="EE79" s="257">
        <f t="shared" si="209"/>
        <v>0</v>
      </c>
      <c r="EF79" s="257">
        <f t="shared" si="209"/>
        <v>0</v>
      </c>
      <c r="EG79" s="257">
        <f t="shared" si="209"/>
        <v>0</v>
      </c>
      <c r="EH79" s="257">
        <f t="shared" si="209"/>
        <v>0</v>
      </c>
      <c r="EI79" s="257">
        <f t="shared" si="209"/>
        <v>0</v>
      </c>
      <c r="EJ79" s="257">
        <f t="shared" si="209"/>
        <v>0</v>
      </c>
      <c r="EK79" s="257">
        <f t="shared" si="209"/>
        <v>0</v>
      </c>
      <c r="EL79" s="887">
        <f t="shared" si="210"/>
        <v>0</v>
      </c>
    </row>
    <row r="80" spans="1:142">
      <c r="A80" s="973" t="s">
        <v>77</v>
      </c>
      <c r="B80" s="1039" t="s">
        <v>713</v>
      </c>
      <c r="C80" s="917" t="s">
        <v>264</v>
      </c>
      <c r="D80" s="568">
        <v>3.8</v>
      </c>
      <c r="E80" s="569">
        <v>3.8460000000000001</v>
      </c>
      <c r="F80" s="569">
        <v>3.8460000000000001</v>
      </c>
      <c r="G80" s="570">
        <v>3.8460000000000001</v>
      </c>
      <c r="H80" s="568">
        <f t="shared" si="196"/>
        <v>3.8460000000000001</v>
      </c>
      <c r="I80" s="569">
        <f t="shared" si="196"/>
        <v>3.8460000000000001</v>
      </c>
      <c r="J80" s="569">
        <f t="shared" si="196"/>
        <v>3.8460000000000001</v>
      </c>
      <c r="K80" s="1038">
        <f t="shared" si="196"/>
        <v>3.8460000000000001</v>
      </c>
      <c r="L80" s="884"/>
      <c r="M80" s="563">
        <v>0</v>
      </c>
      <c r="N80" s="561">
        <v>0</v>
      </c>
      <c r="O80" s="561">
        <v>5040</v>
      </c>
      <c r="P80" s="561">
        <v>5290</v>
      </c>
      <c r="Q80" s="561">
        <f>8640-3780</f>
        <v>4860</v>
      </c>
      <c r="R80" s="561">
        <v>8820</v>
      </c>
      <c r="S80" s="561">
        <v>5040</v>
      </c>
      <c r="T80" s="561">
        <v>5000</v>
      </c>
      <c r="U80" s="561">
        <v>6000</v>
      </c>
      <c r="V80" s="561">
        <v>5000</v>
      </c>
      <c r="W80" s="561">
        <v>5000</v>
      </c>
      <c r="X80" s="561">
        <v>5000</v>
      </c>
      <c r="Y80" s="885">
        <f t="shared" si="197"/>
        <v>55050</v>
      </c>
      <c r="Z80" s="886"/>
      <c r="AA80" s="257">
        <v>0</v>
      </c>
      <c r="AB80" s="257">
        <f t="shared" si="211"/>
        <v>19152</v>
      </c>
      <c r="AC80" s="257">
        <v>20102</v>
      </c>
      <c r="AD80" s="257">
        <f t="shared" si="212"/>
        <v>18468</v>
      </c>
      <c r="AE80" s="257">
        <f t="shared" si="212"/>
        <v>33516</v>
      </c>
      <c r="AF80" s="257">
        <f t="shared" si="212"/>
        <v>19152</v>
      </c>
      <c r="AG80" s="257">
        <f t="shared" si="212"/>
        <v>19000</v>
      </c>
      <c r="AH80" s="257">
        <f t="shared" si="198"/>
        <v>23076</v>
      </c>
      <c r="AI80" s="257">
        <f t="shared" si="199"/>
        <v>19230</v>
      </c>
      <c r="AJ80" s="257">
        <f t="shared" si="199"/>
        <v>19230</v>
      </c>
      <c r="AK80" s="257">
        <f t="shared" si="199"/>
        <v>19230</v>
      </c>
      <c r="AL80" s="887">
        <f t="shared" si="200"/>
        <v>210156</v>
      </c>
      <c r="AM80" s="1037">
        <f>34380/12</f>
        <v>2865</v>
      </c>
      <c r="AN80" s="561">
        <f t="shared" ref="AN80:AX80" si="222">34380/12</f>
        <v>2865</v>
      </c>
      <c r="AO80" s="561">
        <f t="shared" si="222"/>
        <v>2865</v>
      </c>
      <c r="AP80" s="561">
        <f t="shared" si="222"/>
        <v>2865</v>
      </c>
      <c r="AQ80" s="561">
        <f t="shared" si="222"/>
        <v>2865</v>
      </c>
      <c r="AR80" s="561">
        <f t="shared" si="222"/>
        <v>2865</v>
      </c>
      <c r="AS80" s="561">
        <f t="shared" si="222"/>
        <v>2865</v>
      </c>
      <c r="AT80" s="561">
        <f t="shared" si="222"/>
        <v>2865</v>
      </c>
      <c r="AU80" s="561">
        <f t="shared" si="222"/>
        <v>2865</v>
      </c>
      <c r="AV80" s="561">
        <f t="shared" si="222"/>
        <v>2865</v>
      </c>
      <c r="AW80" s="561">
        <f t="shared" si="222"/>
        <v>2865</v>
      </c>
      <c r="AX80" s="561">
        <f t="shared" si="222"/>
        <v>2865</v>
      </c>
      <c r="AY80" s="885">
        <f t="shared" si="213"/>
        <v>34380</v>
      </c>
      <c r="AZ80" s="886">
        <f t="shared" si="201"/>
        <v>11018.79</v>
      </c>
      <c r="BA80" s="257">
        <f t="shared" si="201"/>
        <v>11018.79</v>
      </c>
      <c r="BB80" s="257">
        <f t="shared" si="201"/>
        <v>11018.79</v>
      </c>
      <c r="BC80" s="257">
        <f t="shared" si="201"/>
        <v>11018.79</v>
      </c>
      <c r="BD80" s="257">
        <f t="shared" si="201"/>
        <v>11018.79</v>
      </c>
      <c r="BE80" s="257">
        <f t="shared" si="201"/>
        <v>11018.79</v>
      </c>
      <c r="BF80" s="257">
        <f t="shared" si="201"/>
        <v>11018.79</v>
      </c>
      <c r="BG80" s="257">
        <f t="shared" si="201"/>
        <v>11018.79</v>
      </c>
      <c r="BH80" s="257">
        <f t="shared" si="201"/>
        <v>11018.79</v>
      </c>
      <c r="BI80" s="257">
        <f t="shared" si="201"/>
        <v>11018.79</v>
      </c>
      <c r="BJ80" s="257">
        <f t="shared" si="201"/>
        <v>11018.79</v>
      </c>
      <c r="BK80" s="257">
        <f t="shared" si="201"/>
        <v>11018.79</v>
      </c>
      <c r="BL80" s="887">
        <f t="shared" si="202"/>
        <v>132225.48000000004</v>
      </c>
      <c r="BM80" s="1037">
        <f>38970/12</f>
        <v>3247.5</v>
      </c>
      <c r="BN80" s="561">
        <f t="shared" ref="BN80:BX80" si="223">38970/12</f>
        <v>3247.5</v>
      </c>
      <c r="BO80" s="561">
        <f t="shared" si="223"/>
        <v>3247.5</v>
      </c>
      <c r="BP80" s="561">
        <f t="shared" si="223"/>
        <v>3247.5</v>
      </c>
      <c r="BQ80" s="561">
        <f t="shared" si="223"/>
        <v>3247.5</v>
      </c>
      <c r="BR80" s="561">
        <f t="shared" si="223"/>
        <v>3247.5</v>
      </c>
      <c r="BS80" s="561">
        <f t="shared" si="223"/>
        <v>3247.5</v>
      </c>
      <c r="BT80" s="561">
        <f t="shared" si="223"/>
        <v>3247.5</v>
      </c>
      <c r="BU80" s="561">
        <f t="shared" si="223"/>
        <v>3247.5</v>
      </c>
      <c r="BV80" s="561">
        <f t="shared" si="223"/>
        <v>3247.5</v>
      </c>
      <c r="BW80" s="561">
        <f t="shared" si="223"/>
        <v>3247.5</v>
      </c>
      <c r="BX80" s="561">
        <f t="shared" si="223"/>
        <v>3247.5</v>
      </c>
      <c r="BY80" s="885">
        <f t="shared" si="215"/>
        <v>38970</v>
      </c>
      <c r="BZ80" s="891">
        <f t="shared" si="204"/>
        <v>12489.885</v>
      </c>
      <c r="CA80" s="257">
        <f t="shared" si="204"/>
        <v>12489.885</v>
      </c>
      <c r="CB80" s="257">
        <f t="shared" si="204"/>
        <v>12489.885</v>
      </c>
      <c r="CC80" s="257">
        <f t="shared" si="204"/>
        <v>12489.885</v>
      </c>
      <c r="CD80" s="257">
        <f t="shared" si="204"/>
        <v>12489.885</v>
      </c>
      <c r="CE80" s="257">
        <f t="shared" si="204"/>
        <v>12489.885</v>
      </c>
      <c r="CF80" s="257">
        <f t="shared" si="204"/>
        <v>12489.885</v>
      </c>
      <c r="CG80" s="257">
        <f t="shared" si="204"/>
        <v>12489.885</v>
      </c>
      <c r="CH80" s="257">
        <f t="shared" si="204"/>
        <v>12489.885</v>
      </c>
      <c r="CI80" s="257">
        <f t="shared" si="204"/>
        <v>12489.885</v>
      </c>
      <c r="CJ80" s="257">
        <f t="shared" si="204"/>
        <v>12489.885</v>
      </c>
      <c r="CK80" s="257">
        <f t="shared" si="204"/>
        <v>12489.885</v>
      </c>
      <c r="CL80" s="892">
        <f t="shared" si="205"/>
        <v>149878.62</v>
      </c>
      <c r="CM80" s="1037">
        <f>43300/12</f>
        <v>3608.3333333333335</v>
      </c>
      <c r="CN80" s="561">
        <f t="shared" ref="CN80:CX80" si="224">43300/12</f>
        <v>3608.3333333333335</v>
      </c>
      <c r="CO80" s="561">
        <f t="shared" si="224"/>
        <v>3608.3333333333335</v>
      </c>
      <c r="CP80" s="561">
        <f t="shared" si="224"/>
        <v>3608.3333333333335</v>
      </c>
      <c r="CQ80" s="561">
        <f t="shared" si="224"/>
        <v>3608.3333333333335</v>
      </c>
      <c r="CR80" s="561">
        <f t="shared" si="224"/>
        <v>3608.3333333333335</v>
      </c>
      <c r="CS80" s="561">
        <f t="shared" si="224"/>
        <v>3608.3333333333335</v>
      </c>
      <c r="CT80" s="561">
        <f t="shared" si="224"/>
        <v>3608.3333333333335</v>
      </c>
      <c r="CU80" s="561">
        <f t="shared" si="224"/>
        <v>3608.3333333333335</v>
      </c>
      <c r="CV80" s="561">
        <f t="shared" si="224"/>
        <v>3608.3333333333335</v>
      </c>
      <c r="CW80" s="561">
        <f t="shared" si="224"/>
        <v>3608.3333333333335</v>
      </c>
      <c r="CX80" s="561">
        <f t="shared" si="224"/>
        <v>3608.3333333333335</v>
      </c>
      <c r="CY80" s="885">
        <f t="shared" si="216"/>
        <v>43300</v>
      </c>
      <c r="CZ80" s="886">
        <f t="shared" si="206"/>
        <v>13877.650000000001</v>
      </c>
      <c r="DA80" s="257">
        <f t="shared" si="207"/>
        <v>13877.650000000001</v>
      </c>
      <c r="DB80" s="257">
        <f t="shared" si="207"/>
        <v>13877.650000000001</v>
      </c>
      <c r="DC80" s="257">
        <f t="shared" si="207"/>
        <v>13877.650000000001</v>
      </c>
      <c r="DD80" s="257">
        <f t="shared" si="207"/>
        <v>13877.650000000001</v>
      </c>
      <c r="DE80" s="257">
        <f t="shared" si="207"/>
        <v>13877.650000000001</v>
      </c>
      <c r="DF80" s="257">
        <f t="shared" si="207"/>
        <v>13877.650000000001</v>
      </c>
      <c r="DG80" s="257">
        <f t="shared" si="207"/>
        <v>13877.650000000001</v>
      </c>
      <c r="DH80" s="257">
        <f t="shared" si="207"/>
        <v>13877.650000000001</v>
      </c>
      <c r="DI80" s="257">
        <f t="shared" si="207"/>
        <v>13877.650000000001</v>
      </c>
      <c r="DJ80" s="257">
        <f t="shared" si="207"/>
        <v>13877.650000000001</v>
      </c>
      <c r="DK80" s="257">
        <f t="shared" si="207"/>
        <v>13877.650000000001</v>
      </c>
      <c r="DL80" s="887">
        <f t="shared" si="208"/>
        <v>166531.79999999996</v>
      </c>
      <c r="DM80" s="563">
        <f>43300/12</f>
        <v>3608.3333333333335</v>
      </c>
      <c r="DN80" s="561">
        <f t="shared" ref="DN80:DX80" si="225">43300/12</f>
        <v>3608.3333333333335</v>
      </c>
      <c r="DO80" s="561">
        <f t="shared" si="225"/>
        <v>3608.3333333333335</v>
      </c>
      <c r="DP80" s="561">
        <f t="shared" si="225"/>
        <v>3608.3333333333335</v>
      </c>
      <c r="DQ80" s="561">
        <f t="shared" si="225"/>
        <v>3608.3333333333335</v>
      </c>
      <c r="DR80" s="561">
        <f t="shared" si="225"/>
        <v>3608.3333333333335</v>
      </c>
      <c r="DS80" s="561">
        <f t="shared" si="225"/>
        <v>3608.3333333333335</v>
      </c>
      <c r="DT80" s="561">
        <f t="shared" si="225"/>
        <v>3608.3333333333335</v>
      </c>
      <c r="DU80" s="561">
        <f t="shared" si="225"/>
        <v>3608.3333333333335</v>
      </c>
      <c r="DV80" s="561">
        <f t="shared" si="225"/>
        <v>3608.3333333333335</v>
      </c>
      <c r="DW80" s="561">
        <f t="shared" si="225"/>
        <v>3608.3333333333335</v>
      </c>
      <c r="DX80" s="561">
        <f t="shared" si="225"/>
        <v>3608.3333333333335</v>
      </c>
      <c r="DY80" s="885">
        <f t="shared" si="217"/>
        <v>43300</v>
      </c>
      <c r="DZ80" s="257">
        <f t="shared" si="209"/>
        <v>13877.650000000001</v>
      </c>
      <c r="EA80" s="257">
        <f t="shared" si="209"/>
        <v>13877.650000000001</v>
      </c>
      <c r="EB80" s="257">
        <f t="shared" si="209"/>
        <v>13877.650000000001</v>
      </c>
      <c r="EC80" s="257">
        <f t="shared" si="209"/>
        <v>13877.650000000001</v>
      </c>
      <c r="ED80" s="257">
        <f t="shared" si="209"/>
        <v>13877.650000000001</v>
      </c>
      <c r="EE80" s="257">
        <f t="shared" si="209"/>
        <v>13877.650000000001</v>
      </c>
      <c r="EF80" s="257">
        <f t="shared" si="209"/>
        <v>13877.650000000001</v>
      </c>
      <c r="EG80" s="257">
        <f t="shared" si="209"/>
        <v>13877.650000000001</v>
      </c>
      <c r="EH80" s="257">
        <f t="shared" si="209"/>
        <v>13877.650000000001</v>
      </c>
      <c r="EI80" s="257">
        <f t="shared" si="209"/>
        <v>13877.650000000001</v>
      </c>
      <c r="EJ80" s="257">
        <f t="shared" si="209"/>
        <v>13877.650000000001</v>
      </c>
      <c r="EK80" s="257">
        <f t="shared" si="209"/>
        <v>13877.650000000001</v>
      </c>
      <c r="EL80" s="887">
        <f t="shared" si="210"/>
        <v>166531.79999999996</v>
      </c>
    </row>
    <row r="81" spans="1:142">
      <c r="A81" s="973" t="s">
        <v>77</v>
      </c>
      <c r="B81" s="1040" t="s">
        <v>265</v>
      </c>
      <c r="C81" s="1041" t="s">
        <v>341</v>
      </c>
      <c r="D81" s="568">
        <v>2.71</v>
      </c>
      <c r="E81" s="569">
        <v>2.66</v>
      </c>
      <c r="F81" s="569">
        <v>2.66</v>
      </c>
      <c r="G81" s="570">
        <v>2.66</v>
      </c>
      <c r="H81" s="568">
        <f t="shared" si="196"/>
        <v>2.66</v>
      </c>
      <c r="I81" s="569">
        <f t="shared" si="196"/>
        <v>2.66</v>
      </c>
      <c r="J81" s="569">
        <f t="shared" si="196"/>
        <v>2.66</v>
      </c>
      <c r="K81" s="1038">
        <f t="shared" si="196"/>
        <v>2.66</v>
      </c>
      <c r="L81" s="884"/>
      <c r="M81" s="563">
        <v>23736</v>
      </c>
      <c r="N81" s="561">
        <v>10592</v>
      </c>
      <c r="O81" s="561">
        <v>20012</v>
      </c>
      <c r="P81" s="561">
        <v>16836</v>
      </c>
      <c r="Q81" s="561">
        <v>30972</v>
      </c>
      <c r="R81" s="561">
        <v>34893</v>
      </c>
      <c r="S81" s="561">
        <v>35000</v>
      </c>
      <c r="T81" s="561">
        <v>30000</v>
      </c>
      <c r="U81" s="561">
        <v>35000</v>
      </c>
      <c r="V81" s="561">
        <v>35000</v>
      </c>
      <c r="W81" s="561">
        <v>35000</v>
      </c>
      <c r="X81" s="561">
        <v>35000</v>
      </c>
      <c r="Y81" s="885">
        <f t="shared" si="197"/>
        <v>342041</v>
      </c>
      <c r="Z81" s="886">
        <v>63137.760000000009</v>
      </c>
      <c r="AA81" s="257">
        <v>28704.32</v>
      </c>
      <c r="AB81" s="257">
        <f t="shared" si="211"/>
        <v>54232.52</v>
      </c>
      <c r="AC81" s="257">
        <v>45625.56</v>
      </c>
      <c r="AD81" s="257">
        <f>Q81*$D81</f>
        <v>83934.12</v>
      </c>
      <c r="AE81" s="257">
        <f t="shared" si="212"/>
        <v>94560.03</v>
      </c>
      <c r="AF81" s="257">
        <f t="shared" si="212"/>
        <v>94850</v>
      </c>
      <c r="AG81" s="257">
        <f t="shared" si="212"/>
        <v>81300</v>
      </c>
      <c r="AH81" s="257">
        <f t="shared" si="198"/>
        <v>93100</v>
      </c>
      <c r="AI81" s="257">
        <f t="shared" si="199"/>
        <v>93100</v>
      </c>
      <c r="AJ81" s="257">
        <f t="shared" si="199"/>
        <v>93100</v>
      </c>
      <c r="AK81" s="257">
        <f t="shared" si="199"/>
        <v>93100</v>
      </c>
      <c r="AL81" s="887">
        <f t="shared" si="200"/>
        <v>918744.31</v>
      </c>
      <c r="AM81" s="1037">
        <v>20000</v>
      </c>
      <c r="AN81" s="561">
        <v>10592</v>
      </c>
      <c r="AO81" s="561">
        <v>25000</v>
      </c>
      <c r="AP81" s="561">
        <v>25000</v>
      </c>
      <c r="AQ81" s="561">
        <v>25000</v>
      </c>
      <c r="AR81" s="561">
        <v>25000</v>
      </c>
      <c r="AS81" s="561">
        <v>31596</v>
      </c>
      <c r="AT81" s="561">
        <v>35983</v>
      </c>
      <c r="AU81" s="561">
        <v>35983</v>
      </c>
      <c r="AV81" s="561">
        <v>35983</v>
      </c>
      <c r="AW81" s="561">
        <v>35983</v>
      </c>
      <c r="AX81" s="561">
        <v>44661</v>
      </c>
      <c r="AY81" s="885">
        <f t="shared" si="213"/>
        <v>350781</v>
      </c>
      <c r="AZ81" s="886">
        <f t="shared" si="201"/>
        <v>53200</v>
      </c>
      <c r="BA81" s="257">
        <f t="shared" si="201"/>
        <v>28174.720000000001</v>
      </c>
      <c r="BB81" s="257">
        <f t="shared" si="201"/>
        <v>66500</v>
      </c>
      <c r="BC81" s="257">
        <f t="shared" si="201"/>
        <v>66500</v>
      </c>
      <c r="BD81" s="257">
        <f t="shared" si="201"/>
        <v>66500</v>
      </c>
      <c r="BE81" s="257">
        <f t="shared" si="201"/>
        <v>66500</v>
      </c>
      <c r="BF81" s="257">
        <f t="shared" si="201"/>
        <v>84045.36</v>
      </c>
      <c r="BG81" s="257">
        <f t="shared" si="201"/>
        <v>95714.78</v>
      </c>
      <c r="BH81" s="257">
        <f t="shared" si="201"/>
        <v>95714.78</v>
      </c>
      <c r="BI81" s="257">
        <f t="shared" si="201"/>
        <v>95714.78</v>
      </c>
      <c r="BJ81" s="257">
        <f t="shared" si="201"/>
        <v>95714.78</v>
      </c>
      <c r="BK81" s="257">
        <f t="shared" si="201"/>
        <v>118798.26000000001</v>
      </c>
      <c r="BL81" s="887">
        <f t="shared" si="202"/>
        <v>933077.46000000008</v>
      </c>
      <c r="BM81" s="1037">
        <v>23736</v>
      </c>
      <c r="BN81" s="561">
        <v>10592</v>
      </c>
      <c r="BO81" s="561">
        <v>25000</v>
      </c>
      <c r="BP81" s="561">
        <v>25000</v>
      </c>
      <c r="BQ81" s="561">
        <v>25000</v>
      </c>
      <c r="BR81" s="561">
        <v>25000</v>
      </c>
      <c r="BS81" s="561">
        <v>31596</v>
      </c>
      <c r="BT81" s="561">
        <v>35983</v>
      </c>
      <c r="BU81" s="561">
        <v>35983</v>
      </c>
      <c r="BV81" s="561">
        <v>35983</v>
      </c>
      <c r="BW81" s="561">
        <v>35983</v>
      </c>
      <c r="BX81" s="561">
        <v>44661</v>
      </c>
      <c r="BY81" s="885">
        <f t="shared" si="215"/>
        <v>354517</v>
      </c>
      <c r="BZ81" s="891">
        <f t="shared" si="204"/>
        <v>63137.760000000002</v>
      </c>
      <c r="CA81" s="257">
        <f t="shared" si="204"/>
        <v>28174.720000000001</v>
      </c>
      <c r="CB81" s="257">
        <f t="shared" si="204"/>
        <v>66500</v>
      </c>
      <c r="CC81" s="257">
        <f t="shared" si="204"/>
        <v>66500</v>
      </c>
      <c r="CD81" s="257">
        <f t="shared" si="204"/>
        <v>66500</v>
      </c>
      <c r="CE81" s="257">
        <f t="shared" si="204"/>
        <v>66500</v>
      </c>
      <c r="CF81" s="257">
        <f t="shared" si="204"/>
        <v>84045.36</v>
      </c>
      <c r="CG81" s="257">
        <f t="shared" si="204"/>
        <v>95714.78</v>
      </c>
      <c r="CH81" s="257">
        <f t="shared" si="204"/>
        <v>95714.78</v>
      </c>
      <c r="CI81" s="257">
        <f t="shared" si="204"/>
        <v>95714.78</v>
      </c>
      <c r="CJ81" s="257">
        <f t="shared" si="204"/>
        <v>95714.78</v>
      </c>
      <c r="CK81" s="257">
        <f t="shared" si="204"/>
        <v>118798.26000000001</v>
      </c>
      <c r="CL81" s="892">
        <f t="shared" si="205"/>
        <v>943015.22000000009</v>
      </c>
      <c r="CM81" s="1037">
        <f>66656/12</f>
        <v>5554.666666666667</v>
      </c>
      <c r="CN81" s="561">
        <f t="shared" ref="CN81:CX81" si="226">66656/12</f>
        <v>5554.666666666667</v>
      </c>
      <c r="CO81" s="561">
        <f t="shared" si="226"/>
        <v>5554.666666666667</v>
      </c>
      <c r="CP81" s="561">
        <f t="shared" si="226"/>
        <v>5554.666666666667</v>
      </c>
      <c r="CQ81" s="561">
        <f t="shared" si="226"/>
        <v>5554.666666666667</v>
      </c>
      <c r="CR81" s="561">
        <f t="shared" si="226"/>
        <v>5554.666666666667</v>
      </c>
      <c r="CS81" s="561">
        <f t="shared" si="226"/>
        <v>5554.666666666667</v>
      </c>
      <c r="CT81" s="561">
        <f t="shared" si="226"/>
        <v>5554.666666666667</v>
      </c>
      <c r="CU81" s="561">
        <f t="shared" si="226"/>
        <v>5554.666666666667</v>
      </c>
      <c r="CV81" s="561">
        <f t="shared" si="226"/>
        <v>5554.666666666667</v>
      </c>
      <c r="CW81" s="561">
        <f t="shared" si="226"/>
        <v>5554.666666666667</v>
      </c>
      <c r="CX81" s="561">
        <f t="shared" si="226"/>
        <v>5554.666666666667</v>
      </c>
      <c r="CY81" s="885">
        <f t="shared" si="216"/>
        <v>66655.999999999985</v>
      </c>
      <c r="CZ81" s="886">
        <f t="shared" si="206"/>
        <v>14775.413333333336</v>
      </c>
      <c r="DA81" s="257">
        <f t="shared" si="207"/>
        <v>14775.413333333336</v>
      </c>
      <c r="DB81" s="257">
        <f t="shared" si="207"/>
        <v>14775.413333333336</v>
      </c>
      <c r="DC81" s="257">
        <f t="shared" si="207"/>
        <v>14775.413333333336</v>
      </c>
      <c r="DD81" s="257">
        <f t="shared" si="207"/>
        <v>14775.413333333336</v>
      </c>
      <c r="DE81" s="257">
        <f t="shared" si="207"/>
        <v>14775.413333333336</v>
      </c>
      <c r="DF81" s="257">
        <f t="shared" si="207"/>
        <v>14775.413333333336</v>
      </c>
      <c r="DG81" s="257">
        <f t="shared" si="207"/>
        <v>14775.413333333336</v>
      </c>
      <c r="DH81" s="257">
        <f t="shared" si="207"/>
        <v>14775.413333333336</v>
      </c>
      <c r="DI81" s="257">
        <f t="shared" si="207"/>
        <v>14775.413333333336</v>
      </c>
      <c r="DJ81" s="257">
        <f t="shared" si="207"/>
        <v>14775.413333333336</v>
      </c>
      <c r="DK81" s="257">
        <f t="shared" si="207"/>
        <v>14775.413333333336</v>
      </c>
      <c r="DL81" s="887">
        <f t="shared" si="208"/>
        <v>177304.95999999999</v>
      </c>
      <c r="DM81" s="563">
        <f>66117/12</f>
        <v>5509.75</v>
      </c>
      <c r="DN81" s="561">
        <f t="shared" ref="DN81:DX81" si="227">66117/12</f>
        <v>5509.75</v>
      </c>
      <c r="DO81" s="561">
        <f t="shared" si="227"/>
        <v>5509.75</v>
      </c>
      <c r="DP81" s="561">
        <f t="shared" si="227"/>
        <v>5509.75</v>
      </c>
      <c r="DQ81" s="561">
        <f t="shared" si="227"/>
        <v>5509.75</v>
      </c>
      <c r="DR81" s="561">
        <f t="shared" si="227"/>
        <v>5509.75</v>
      </c>
      <c r="DS81" s="561">
        <f t="shared" si="227"/>
        <v>5509.75</v>
      </c>
      <c r="DT81" s="561">
        <f t="shared" si="227"/>
        <v>5509.75</v>
      </c>
      <c r="DU81" s="561">
        <f t="shared" si="227"/>
        <v>5509.75</v>
      </c>
      <c r="DV81" s="561">
        <f t="shared" si="227"/>
        <v>5509.75</v>
      </c>
      <c r="DW81" s="561">
        <f t="shared" si="227"/>
        <v>5509.75</v>
      </c>
      <c r="DX81" s="561">
        <f t="shared" si="227"/>
        <v>5509.75</v>
      </c>
      <c r="DY81" s="885">
        <f t="shared" si="217"/>
        <v>66117</v>
      </c>
      <c r="DZ81" s="257">
        <f t="shared" si="209"/>
        <v>14655.935000000001</v>
      </c>
      <c r="EA81" s="257">
        <f t="shared" si="209"/>
        <v>14655.935000000001</v>
      </c>
      <c r="EB81" s="257">
        <f t="shared" si="209"/>
        <v>14655.935000000001</v>
      </c>
      <c r="EC81" s="257">
        <f t="shared" si="209"/>
        <v>14655.935000000001</v>
      </c>
      <c r="ED81" s="257">
        <f t="shared" si="209"/>
        <v>14655.935000000001</v>
      </c>
      <c r="EE81" s="257">
        <f t="shared" si="209"/>
        <v>14655.935000000001</v>
      </c>
      <c r="EF81" s="257">
        <f t="shared" si="209"/>
        <v>14655.935000000001</v>
      </c>
      <c r="EG81" s="257">
        <f t="shared" si="209"/>
        <v>14655.935000000001</v>
      </c>
      <c r="EH81" s="257">
        <f t="shared" si="209"/>
        <v>14655.935000000001</v>
      </c>
      <c r="EI81" s="257">
        <f t="shared" si="209"/>
        <v>14655.935000000001</v>
      </c>
      <c r="EJ81" s="257">
        <f t="shared" si="209"/>
        <v>14655.935000000001</v>
      </c>
      <c r="EK81" s="257">
        <f t="shared" si="209"/>
        <v>14655.935000000001</v>
      </c>
      <c r="EL81" s="887">
        <f t="shared" si="210"/>
        <v>175871.22</v>
      </c>
    </row>
    <row r="82" spans="1:142">
      <c r="A82" s="973" t="s">
        <v>77</v>
      </c>
      <c r="B82" s="1042" t="s">
        <v>714</v>
      </c>
      <c r="C82" s="1041" t="s">
        <v>715</v>
      </c>
      <c r="D82" s="568">
        <v>2.29</v>
      </c>
      <c r="E82" s="569">
        <v>2.29</v>
      </c>
      <c r="F82" s="569">
        <v>2.29</v>
      </c>
      <c r="G82" s="570">
        <v>2.29</v>
      </c>
      <c r="H82" s="568">
        <f t="shared" si="196"/>
        <v>2.29</v>
      </c>
      <c r="I82" s="569">
        <f t="shared" si="196"/>
        <v>2.29</v>
      </c>
      <c r="J82" s="569">
        <f t="shared" si="196"/>
        <v>2.29</v>
      </c>
      <c r="K82" s="1038">
        <f t="shared" si="196"/>
        <v>2.29</v>
      </c>
      <c r="L82" s="884"/>
      <c r="M82" s="563">
        <v>0</v>
      </c>
      <c r="N82" s="561">
        <v>0</v>
      </c>
      <c r="O82" s="561">
        <v>0</v>
      </c>
      <c r="P82" s="561"/>
      <c r="Q82" s="561"/>
      <c r="R82" s="561">
        <v>0</v>
      </c>
      <c r="S82" s="561"/>
      <c r="T82" s="561"/>
      <c r="U82" s="561"/>
      <c r="V82" s="561"/>
      <c r="W82" s="561"/>
      <c r="X82" s="561"/>
      <c r="Y82" s="885">
        <f t="shared" si="197"/>
        <v>0</v>
      </c>
      <c r="Z82" s="886"/>
      <c r="AA82" s="257">
        <v>0</v>
      </c>
      <c r="AB82" s="257">
        <f>O82*D82</f>
        <v>0</v>
      </c>
      <c r="AC82" s="257">
        <v>0</v>
      </c>
      <c r="AD82" s="257">
        <f t="shared" si="212"/>
        <v>0</v>
      </c>
      <c r="AE82" s="257">
        <f t="shared" si="212"/>
        <v>0</v>
      </c>
      <c r="AF82" s="257">
        <f t="shared" si="212"/>
        <v>0</v>
      </c>
      <c r="AG82" s="257">
        <f t="shared" si="212"/>
        <v>0</v>
      </c>
      <c r="AH82" s="257">
        <f t="shared" si="198"/>
        <v>0</v>
      </c>
      <c r="AI82" s="257">
        <f t="shared" si="199"/>
        <v>0</v>
      </c>
      <c r="AJ82" s="257">
        <f t="shared" si="199"/>
        <v>0</v>
      </c>
      <c r="AK82" s="257">
        <f t="shared" si="199"/>
        <v>0</v>
      </c>
      <c r="AL82" s="887">
        <f t="shared" si="200"/>
        <v>0</v>
      </c>
      <c r="AM82" s="1037"/>
      <c r="AN82" s="561"/>
      <c r="AO82" s="561"/>
      <c r="AP82" s="561"/>
      <c r="AQ82" s="561"/>
      <c r="AR82" s="561"/>
      <c r="AS82" s="561"/>
      <c r="AT82" s="561"/>
      <c r="AU82" s="561"/>
      <c r="AV82" s="561"/>
      <c r="AW82" s="561"/>
      <c r="AX82" s="561"/>
      <c r="AY82" s="885">
        <f t="shared" si="213"/>
        <v>0</v>
      </c>
      <c r="AZ82" s="886">
        <f t="shared" si="201"/>
        <v>0</v>
      </c>
      <c r="BA82" s="257">
        <f t="shared" si="201"/>
        <v>0</v>
      </c>
      <c r="BB82" s="257">
        <f t="shared" si="201"/>
        <v>0</v>
      </c>
      <c r="BC82" s="257">
        <f t="shared" si="201"/>
        <v>0</v>
      </c>
      <c r="BD82" s="257">
        <f t="shared" si="201"/>
        <v>0</v>
      </c>
      <c r="BE82" s="257">
        <f t="shared" si="201"/>
        <v>0</v>
      </c>
      <c r="BF82" s="257">
        <f t="shared" si="201"/>
        <v>0</v>
      </c>
      <c r="BG82" s="257">
        <f t="shared" si="201"/>
        <v>0</v>
      </c>
      <c r="BH82" s="257">
        <f t="shared" si="201"/>
        <v>0</v>
      </c>
      <c r="BI82" s="257">
        <f t="shared" si="201"/>
        <v>0</v>
      </c>
      <c r="BJ82" s="257">
        <f t="shared" si="201"/>
        <v>0</v>
      </c>
      <c r="BK82" s="257">
        <f t="shared" si="201"/>
        <v>0</v>
      </c>
      <c r="BL82" s="887">
        <f t="shared" si="202"/>
        <v>0</v>
      </c>
      <c r="BM82" s="1037">
        <f>38040/12</f>
        <v>3170</v>
      </c>
      <c r="BN82" s="561">
        <f t="shared" ref="BN82:BX82" si="228">38040/12</f>
        <v>3170</v>
      </c>
      <c r="BO82" s="561">
        <f t="shared" si="228"/>
        <v>3170</v>
      </c>
      <c r="BP82" s="561">
        <f t="shared" si="228"/>
        <v>3170</v>
      </c>
      <c r="BQ82" s="561">
        <f t="shared" si="228"/>
        <v>3170</v>
      </c>
      <c r="BR82" s="561">
        <f t="shared" si="228"/>
        <v>3170</v>
      </c>
      <c r="BS82" s="561">
        <f t="shared" si="228"/>
        <v>3170</v>
      </c>
      <c r="BT82" s="561">
        <f t="shared" si="228"/>
        <v>3170</v>
      </c>
      <c r="BU82" s="561">
        <f t="shared" si="228"/>
        <v>3170</v>
      </c>
      <c r="BV82" s="561">
        <f t="shared" si="228"/>
        <v>3170</v>
      </c>
      <c r="BW82" s="561">
        <f t="shared" si="228"/>
        <v>3170</v>
      </c>
      <c r="BX82" s="561">
        <f t="shared" si="228"/>
        <v>3170</v>
      </c>
      <c r="BY82" s="885">
        <f t="shared" si="215"/>
        <v>38040</v>
      </c>
      <c r="BZ82" s="891">
        <f t="shared" si="204"/>
        <v>7259.3</v>
      </c>
      <c r="CA82" s="257">
        <f t="shared" si="204"/>
        <v>7259.3</v>
      </c>
      <c r="CB82" s="257">
        <f t="shared" si="204"/>
        <v>7259.3</v>
      </c>
      <c r="CC82" s="257">
        <f t="shared" si="204"/>
        <v>7259.3</v>
      </c>
      <c r="CD82" s="257">
        <f t="shared" si="204"/>
        <v>7259.3</v>
      </c>
      <c r="CE82" s="257">
        <f t="shared" si="204"/>
        <v>7259.3</v>
      </c>
      <c r="CF82" s="257">
        <f t="shared" si="204"/>
        <v>7259.3</v>
      </c>
      <c r="CG82" s="257">
        <f t="shared" si="204"/>
        <v>7259.3</v>
      </c>
      <c r="CH82" s="257">
        <f t="shared" si="204"/>
        <v>7259.3</v>
      </c>
      <c r="CI82" s="257">
        <f t="shared" si="204"/>
        <v>7259.3</v>
      </c>
      <c r="CJ82" s="257">
        <f t="shared" si="204"/>
        <v>7259.3</v>
      </c>
      <c r="CK82" s="257">
        <f t="shared" si="204"/>
        <v>7259.3</v>
      </c>
      <c r="CL82" s="892">
        <f t="shared" si="205"/>
        <v>87111.60000000002</v>
      </c>
      <c r="CM82" s="1037">
        <f>38040/12</f>
        <v>3170</v>
      </c>
      <c r="CN82" s="561">
        <f t="shared" ref="CN82:CX82" si="229">38040/12</f>
        <v>3170</v>
      </c>
      <c r="CO82" s="561">
        <f t="shared" si="229"/>
        <v>3170</v>
      </c>
      <c r="CP82" s="561">
        <f t="shared" si="229"/>
        <v>3170</v>
      </c>
      <c r="CQ82" s="561">
        <f t="shared" si="229"/>
        <v>3170</v>
      </c>
      <c r="CR82" s="561">
        <f t="shared" si="229"/>
        <v>3170</v>
      </c>
      <c r="CS82" s="561">
        <f t="shared" si="229"/>
        <v>3170</v>
      </c>
      <c r="CT82" s="561">
        <f t="shared" si="229"/>
        <v>3170</v>
      </c>
      <c r="CU82" s="561">
        <f t="shared" si="229"/>
        <v>3170</v>
      </c>
      <c r="CV82" s="561">
        <f t="shared" si="229"/>
        <v>3170</v>
      </c>
      <c r="CW82" s="561">
        <f t="shared" si="229"/>
        <v>3170</v>
      </c>
      <c r="CX82" s="561">
        <f t="shared" si="229"/>
        <v>3170</v>
      </c>
      <c r="CY82" s="885">
        <f t="shared" si="216"/>
        <v>38040</v>
      </c>
      <c r="CZ82" s="886">
        <f t="shared" si="206"/>
        <v>7259.3</v>
      </c>
      <c r="DA82" s="257">
        <f t="shared" si="207"/>
        <v>7259.3</v>
      </c>
      <c r="DB82" s="257">
        <f t="shared" si="207"/>
        <v>7259.3</v>
      </c>
      <c r="DC82" s="257">
        <f t="shared" si="207"/>
        <v>7259.3</v>
      </c>
      <c r="DD82" s="257">
        <f t="shared" si="207"/>
        <v>7259.3</v>
      </c>
      <c r="DE82" s="257">
        <f t="shared" si="207"/>
        <v>7259.3</v>
      </c>
      <c r="DF82" s="257">
        <f t="shared" si="207"/>
        <v>7259.3</v>
      </c>
      <c r="DG82" s="257">
        <f t="shared" si="207"/>
        <v>7259.3</v>
      </c>
      <c r="DH82" s="257">
        <f t="shared" si="207"/>
        <v>7259.3</v>
      </c>
      <c r="DI82" s="257">
        <f t="shared" si="207"/>
        <v>7259.3</v>
      </c>
      <c r="DJ82" s="257">
        <f t="shared" si="207"/>
        <v>7259.3</v>
      </c>
      <c r="DK82" s="257">
        <f t="shared" si="207"/>
        <v>7259.3</v>
      </c>
      <c r="DL82" s="887">
        <f t="shared" si="208"/>
        <v>87111.60000000002</v>
      </c>
      <c r="DM82" s="563">
        <f>38040/12</f>
        <v>3170</v>
      </c>
      <c r="DN82" s="561">
        <f t="shared" ref="DN82:DX82" si="230">38040/12</f>
        <v>3170</v>
      </c>
      <c r="DO82" s="561">
        <f t="shared" si="230"/>
        <v>3170</v>
      </c>
      <c r="DP82" s="561">
        <f t="shared" si="230"/>
        <v>3170</v>
      </c>
      <c r="DQ82" s="561">
        <f t="shared" si="230"/>
        <v>3170</v>
      </c>
      <c r="DR82" s="561">
        <f t="shared" si="230"/>
        <v>3170</v>
      </c>
      <c r="DS82" s="561">
        <f t="shared" si="230"/>
        <v>3170</v>
      </c>
      <c r="DT82" s="561">
        <f t="shared" si="230"/>
        <v>3170</v>
      </c>
      <c r="DU82" s="561">
        <f t="shared" si="230"/>
        <v>3170</v>
      </c>
      <c r="DV82" s="561">
        <f t="shared" si="230"/>
        <v>3170</v>
      </c>
      <c r="DW82" s="561">
        <f t="shared" si="230"/>
        <v>3170</v>
      </c>
      <c r="DX82" s="561">
        <f t="shared" si="230"/>
        <v>3170</v>
      </c>
      <c r="DY82" s="885">
        <f t="shared" si="217"/>
        <v>38040</v>
      </c>
      <c r="DZ82" s="257">
        <f t="shared" si="209"/>
        <v>7259.3</v>
      </c>
      <c r="EA82" s="257">
        <f t="shared" si="209"/>
        <v>7259.3</v>
      </c>
      <c r="EB82" s="257">
        <f t="shared" si="209"/>
        <v>7259.3</v>
      </c>
      <c r="EC82" s="257">
        <f t="shared" si="209"/>
        <v>7259.3</v>
      </c>
      <c r="ED82" s="257">
        <f t="shared" si="209"/>
        <v>7259.3</v>
      </c>
      <c r="EE82" s="257">
        <f t="shared" si="209"/>
        <v>7259.3</v>
      </c>
      <c r="EF82" s="257">
        <f t="shared" si="209"/>
        <v>7259.3</v>
      </c>
      <c r="EG82" s="257">
        <f t="shared" si="209"/>
        <v>7259.3</v>
      </c>
      <c r="EH82" s="257">
        <f t="shared" si="209"/>
        <v>7259.3</v>
      </c>
      <c r="EI82" s="257">
        <f t="shared" si="209"/>
        <v>7259.3</v>
      </c>
      <c r="EJ82" s="257">
        <f t="shared" si="209"/>
        <v>7259.3</v>
      </c>
      <c r="EK82" s="257">
        <f t="shared" si="209"/>
        <v>7259.3</v>
      </c>
      <c r="EL82" s="887">
        <f t="shared" si="210"/>
        <v>87111.60000000002</v>
      </c>
    </row>
    <row r="83" spans="1:142" s="1019" customFormat="1">
      <c r="A83" s="1006" t="s">
        <v>77</v>
      </c>
      <c r="B83" s="1040" t="s">
        <v>716</v>
      </c>
      <c r="C83" s="988"/>
      <c r="D83" s="1043"/>
      <c r="E83" s="1024"/>
      <c r="F83" s="1024"/>
      <c r="G83" s="1025"/>
      <c r="H83" s="1044">
        <v>5.52</v>
      </c>
      <c r="I83" s="1045">
        <v>5.52</v>
      </c>
      <c r="J83" s="1045">
        <v>5.52</v>
      </c>
      <c r="K83" s="1046">
        <v>5.52</v>
      </c>
      <c r="L83" s="1011"/>
      <c r="M83" s="1012"/>
      <c r="N83" s="1013"/>
      <c r="O83" s="1013"/>
      <c r="P83" s="1013"/>
      <c r="Q83" s="1013"/>
      <c r="R83" s="1013"/>
      <c r="S83" s="1013"/>
      <c r="T83" s="1013"/>
      <c r="U83" s="1013"/>
      <c r="V83" s="1013">
        <v>0</v>
      </c>
      <c r="W83" s="1013"/>
      <c r="X83" s="1013"/>
      <c r="Y83" s="1014">
        <f t="shared" si="197"/>
        <v>0</v>
      </c>
      <c r="Z83" s="1000"/>
      <c r="AA83" s="1001"/>
      <c r="AB83" s="1001"/>
      <c r="AC83" s="1001"/>
      <c r="AD83" s="257">
        <f t="shared" si="212"/>
        <v>0</v>
      </c>
      <c r="AE83" s="257">
        <f t="shared" si="212"/>
        <v>0</v>
      </c>
      <c r="AF83" s="257">
        <f t="shared" si="212"/>
        <v>0</v>
      </c>
      <c r="AG83" s="257">
        <f t="shared" si="212"/>
        <v>0</v>
      </c>
      <c r="AH83" s="1001"/>
      <c r="AI83" s="1001"/>
      <c r="AJ83" s="1001"/>
      <c r="AK83" s="1017"/>
      <c r="AL83" s="1018">
        <f t="shared" si="200"/>
        <v>0</v>
      </c>
      <c r="AM83" s="1047"/>
      <c r="AN83" s="1013"/>
      <c r="AO83" s="1013"/>
      <c r="AP83" s="1013"/>
      <c r="AQ83" s="1013"/>
      <c r="AR83" s="1013"/>
      <c r="AS83" s="1013"/>
      <c r="AT83" s="1013"/>
      <c r="AU83" s="1013"/>
      <c r="AV83" s="1013"/>
      <c r="AW83" s="1013"/>
      <c r="AX83" s="1013"/>
      <c r="AY83" s="1014">
        <f t="shared" si="213"/>
        <v>0</v>
      </c>
      <c r="AZ83" s="1000">
        <f t="shared" si="201"/>
        <v>0</v>
      </c>
      <c r="BA83" s="1001">
        <f t="shared" si="201"/>
        <v>0</v>
      </c>
      <c r="BB83" s="1001">
        <f t="shared" si="201"/>
        <v>0</v>
      </c>
      <c r="BC83" s="1001">
        <f t="shared" si="201"/>
        <v>0</v>
      </c>
      <c r="BD83" s="1001">
        <f t="shared" si="201"/>
        <v>0</v>
      </c>
      <c r="BE83" s="1001">
        <f t="shared" si="201"/>
        <v>0</v>
      </c>
      <c r="BF83" s="1001">
        <f t="shared" si="201"/>
        <v>0</v>
      </c>
      <c r="BG83" s="1001">
        <f t="shared" si="201"/>
        <v>0</v>
      </c>
      <c r="BH83" s="1001">
        <f t="shared" si="201"/>
        <v>0</v>
      </c>
      <c r="BI83" s="1001">
        <f t="shared" si="201"/>
        <v>0</v>
      </c>
      <c r="BJ83" s="1001">
        <f t="shared" si="201"/>
        <v>0</v>
      </c>
      <c r="BK83" s="1001">
        <f t="shared" si="201"/>
        <v>0</v>
      </c>
      <c r="BL83" s="1002">
        <f t="shared" si="202"/>
        <v>0</v>
      </c>
      <c r="BM83" s="1047">
        <v>3000</v>
      </c>
      <c r="BN83" s="1013">
        <v>5000</v>
      </c>
      <c r="BO83" s="1013">
        <v>10000</v>
      </c>
      <c r="BP83" s="1013">
        <v>10000</v>
      </c>
      <c r="BQ83" s="1013">
        <v>10000</v>
      </c>
      <c r="BR83" s="1013">
        <v>10000</v>
      </c>
      <c r="BS83" s="1013">
        <v>10000</v>
      </c>
      <c r="BT83" s="1013">
        <v>10000</v>
      </c>
      <c r="BU83" s="1013">
        <v>10000</v>
      </c>
      <c r="BV83" s="1013">
        <v>10000</v>
      </c>
      <c r="BW83" s="1013">
        <v>10000</v>
      </c>
      <c r="BX83" s="1013">
        <v>10000</v>
      </c>
      <c r="BY83" s="1014">
        <f t="shared" si="215"/>
        <v>108000</v>
      </c>
      <c r="BZ83" s="1048">
        <f t="shared" si="204"/>
        <v>16560</v>
      </c>
      <c r="CA83" s="1001">
        <f t="shared" si="204"/>
        <v>27599.999999999996</v>
      </c>
      <c r="CB83" s="1001">
        <f t="shared" si="204"/>
        <v>55199.999999999993</v>
      </c>
      <c r="CC83" s="1001">
        <f t="shared" si="204"/>
        <v>55199.999999999993</v>
      </c>
      <c r="CD83" s="1001">
        <f t="shared" si="204"/>
        <v>55199.999999999993</v>
      </c>
      <c r="CE83" s="1001">
        <f t="shared" si="204"/>
        <v>55199.999999999993</v>
      </c>
      <c r="CF83" s="1001">
        <f t="shared" si="204"/>
        <v>55199.999999999993</v>
      </c>
      <c r="CG83" s="1001">
        <f t="shared" si="204"/>
        <v>55199.999999999993</v>
      </c>
      <c r="CH83" s="1001">
        <f t="shared" si="204"/>
        <v>55199.999999999993</v>
      </c>
      <c r="CI83" s="1001">
        <f t="shared" si="204"/>
        <v>55199.999999999993</v>
      </c>
      <c r="CJ83" s="1001">
        <f t="shared" si="204"/>
        <v>55199.999999999993</v>
      </c>
      <c r="CK83" s="1001">
        <f t="shared" si="204"/>
        <v>55199.999999999993</v>
      </c>
      <c r="CL83" s="1049">
        <f t="shared" si="205"/>
        <v>596160</v>
      </c>
      <c r="CM83" s="1047">
        <f>300000/12</f>
        <v>25000</v>
      </c>
      <c r="CN83" s="1013">
        <f t="shared" ref="CN83:CX84" si="231">300000/12</f>
        <v>25000</v>
      </c>
      <c r="CO83" s="1013">
        <f t="shared" si="231"/>
        <v>25000</v>
      </c>
      <c r="CP83" s="1013">
        <f t="shared" si="231"/>
        <v>25000</v>
      </c>
      <c r="CQ83" s="1013">
        <f t="shared" si="231"/>
        <v>25000</v>
      </c>
      <c r="CR83" s="1013">
        <f t="shared" si="231"/>
        <v>25000</v>
      </c>
      <c r="CS83" s="1013">
        <f t="shared" si="231"/>
        <v>25000</v>
      </c>
      <c r="CT83" s="1013">
        <f t="shared" si="231"/>
        <v>25000</v>
      </c>
      <c r="CU83" s="1013">
        <f t="shared" si="231"/>
        <v>25000</v>
      </c>
      <c r="CV83" s="1013">
        <f t="shared" si="231"/>
        <v>25000</v>
      </c>
      <c r="CW83" s="1013">
        <f t="shared" si="231"/>
        <v>25000</v>
      </c>
      <c r="CX83" s="1013">
        <f t="shared" si="231"/>
        <v>25000</v>
      </c>
      <c r="CY83" s="1014">
        <f t="shared" si="216"/>
        <v>300000</v>
      </c>
      <c r="CZ83" s="1000">
        <f t="shared" si="206"/>
        <v>138000</v>
      </c>
      <c r="DA83" s="1001">
        <f t="shared" si="207"/>
        <v>138000</v>
      </c>
      <c r="DB83" s="1001">
        <f t="shared" si="207"/>
        <v>138000</v>
      </c>
      <c r="DC83" s="1001">
        <f t="shared" si="207"/>
        <v>138000</v>
      </c>
      <c r="DD83" s="1001">
        <f t="shared" si="207"/>
        <v>138000</v>
      </c>
      <c r="DE83" s="1001">
        <f t="shared" si="207"/>
        <v>138000</v>
      </c>
      <c r="DF83" s="1001">
        <f t="shared" si="207"/>
        <v>138000</v>
      </c>
      <c r="DG83" s="1001">
        <f t="shared" si="207"/>
        <v>138000</v>
      </c>
      <c r="DH83" s="1001">
        <f t="shared" si="207"/>
        <v>138000</v>
      </c>
      <c r="DI83" s="1001">
        <f t="shared" si="207"/>
        <v>138000</v>
      </c>
      <c r="DJ83" s="1001">
        <f t="shared" si="207"/>
        <v>138000</v>
      </c>
      <c r="DK83" s="1001">
        <f t="shared" si="207"/>
        <v>138000</v>
      </c>
      <c r="DL83" s="1002">
        <f t="shared" si="208"/>
        <v>1656000</v>
      </c>
      <c r="DM83" s="1047">
        <f>400000/12</f>
        <v>33333.333333333336</v>
      </c>
      <c r="DN83" s="1013">
        <f t="shared" ref="DN83:DX84" si="232">400000/12</f>
        <v>33333.333333333336</v>
      </c>
      <c r="DO83" s="1013">
        <f t="shared" si="232"/>
        <v>33333.333333333336</v>
      </c>
      <c r="DP83" s="1013">
        <f t="shared" si="232"/>
        <v>33333.333333333336</v>
      </c>
      <c r="DQ83" s="1013">
        <f t="shared" si="232"/>
        <v>33333.333333333336</v>
      </c>
      <c r="DR83" s="1013">
        <f t="shared" si="232"/>
        <v>33333.333333333336</v>
      </c>
      <c r="DS83" s="1013">
        <f t="shared" si="232"/>
        <v>33333.333333333336</v>
      </c>
      <c r="DT83" s="1013">
        <f t="shared" si="232"/>
        <v>33333.333333333336</v>
      </c>
      <c r="DU83" s="1013">
        <f t="shared" si="232"/>
        <v>33333.333333333336</v>
      </c>
      <c r="DV83" s="1013">
        <f t="shared" si="232"/>
        <v>33333.333333333336</v>
      </c>
      <c r="DW83" s="1013">
        <f t="shared" si="232"/>
        <v>33333.333333333336</v>
      </c>
      <c r="DX83" s="1013">
        <f t="shared" si="232"/>
        <v>33333.333333333336</v>
      </c>
      <c r="DY83" s="1014">
        <f t="shared" si="217"/>
        <v>399999.99999999994</v>
      </c>
      <c r="DZ83" s="1001">
        <f t="shared" si="209"/>
        <v>184000</v>
      </c>
      <c r="EA83" s="1001">
        <f t="shared" si="209"/>
        <v>184000</v>
      </c>
      <c r="EB83" s="1001">
        <f t="shared" si="209"/>
        <v>184000</v>
      </c>
      <c r="EC83" s="1001">
        <f t="shared" si="209"/>
        <v>184000</v>
      </c>
      <c r="ED83" s="1001">
        <f t="shared" si="209"/>
        <v>184000</v>
      </c>
      <c r="EE83" s="1001">
        <f t="shared" si="209"/>
        <v>184000</v>
      </c>
      <c r="EF83" s="1001">
        <f t="shared" si="209"/>
        <v>184000</v>
      </c>
      <c r="EG83" s="1001">
        <f t="shared" si="209"/>
        <v>184000</v>
      </c>
      <c r="EH83" s="1001">
        <f t="shared" si="209"/>
        <v>184000</v>
      </c>
      <c r="EI83" s="1001">
        <f t="shared" si="209"/>
        <v>184000</v>
      </c>
      <c r="EJ83" s="1001">
        <f t="shared" si="209"/>
        <v>184000</v>
      </c>
      <c r="EK83" s="1001">
        <f t="shared" si="209"/>
        <v>184000</v>
      </c>
      <c r="EL83" s="1002">
        <f t="shared" si="210"/>
        <v>2208000</v>
      </c>
    </row>
    <row r="84" spans="1:142" s="1019" customFormat="1">
      <c r="A84" s="1006" t="s">
        <v>77</v>
      </c>
      <c r="B84" s="1040" t="s">
        <v>717</v>
      </c>
      <c r="C84" s="988"/>
      <c r="D84" s="1043"/>
      <c r="E84" s="1024"/>
      <c r="F84" s="1024"/>
      <c r="G84" s="1025"/>
      <c r="H84" s="1044">
        <v>5.65</v>
      </c>
      <c r="I84" s="1045">
        <v>5.65</v>
      </c>
      <c r="J84" s="1045">
        <v>5.65</v>
      </c>
      <c r="K84" s="1046">
        <v>5.65</v>
      </c>
      <c r="L84" s="1011"/>
      <c r="M84" s="1012"/>
      <c r="N84" s="1013"/>
      <c r="O84" s="1013"/>
      <c r="P84" s="1013"/>
      <c r="Q84" s="1013"/>
      <c r="R84" s="1013"/>
      <c r="S84" s="1013"/>
      <c r="T84" s="1013"/>
      <c r="U84" s="1013"/>
      <c r="V84" s="1013">
        <v>0</v>
      </c>
      <c r="W84" s="1013"/>
      <c r="X84" s="1013"/>
      <c r="Y84" s="1014">
        <f t="shared" si="197"/>
        <v>0</v>
      </c>
      <c r="Z84" s="1000"/>
      <c r="AA84" s="1001"/>
      <c r="AB84" s="1001"/>
      <c r="AC84" s="1001"/>
      <c r="AD84" s="257">
        <f t="shared" si="212"/>
        <v>0</v>
      </c>
      <c r="AE84" s="257">
        <f t="shared" si="212"/>
        <v>0</v>
      </c>
      <c r="AF84" s="257">
        <f t="shared" si="212"/>
        <v>0</v>
      </c>
      <c r="AG84" s="257">
        <f t="shared" si="212"/>
        <v>0</v>
      </c>
      <c r="AH84" s="1001"/>
      <c r="AI84" s="1001"/>
      <c r="AJ84" s="1001"/>
      <c r="AK84" s="1017"/>
      <c r="AL84" s="1018">
        <f t="shared" si="200"/>
        <v>0</v>
      </c>
      <c r="AM84" s="1047"/>
      <c r="AN84" s="1013"/>
      <c r="AO84" s="1013"/>
      <c r="AP84" s="1013"/>
      <c r="AQ84" s="1013"/>
      <c r="AR84" s="1013"/>
      <c r="AS84" s="1013"/>
      <c r="AT84" s="1013"/>
      <c r="AU84" s="1013"/>
      <c r="AV84" s="1013"/>
      <c r="AW84" s="1013"/>
      <c r="AX84" s="1013"/>
      <c r="AY84" s="1014">
        <f t="shared" si="213"/>
        <v>0</v>
      </c>
      <c r="AZ84" s="1000">
        <f t="shared" si="201"/>
        <v>0</v>
      </c>
      <c r="BA84" s="1001">
        <f t="shared" si="201"/>
        <v>0</v>
      </c>
      <c r="BB84" s="1001">
        <f t="shared" si="201"/>
        <v>0</v>
      </c>
      <c r="BC84" s="1001">
        <f t="shared" si="201"/>
        <v>0</v>
      </c>
      <c r="BD84" s="1001">
        <f t="shared" si="201"/>
        <v>0</v>
      </c>
      <c r="BE84" s="1001">
        <f t="shared" si="201"/>
        <v>0</v>
      </c>
      <c r="BF84" s="1001">
        <f t="shared" si="201"/>
        <v>0</v>
      </c>
      <c r="BG84" s="1001">
        <f t="shared" si="201"/>
        <v>0</v>
      </c>
      <c r="BH84" s="1001">
        <f t="shared" si="201"/>
        <v>0</v>
      </c>
      <c r="BI84" s="1001">
        <f t="shared" si="201"/>
        <v>0</v>
      </c>
      <c r="BJ84" s="1001">
        <f t="shared" si="201"/>
        <v>0</v>
      </c>
      <c r="BK84" s="1001">
        <f t="shared" si="201"/>
        <v>0</v>
      </c>
      <c r="BL84" s="1002">
        <f t="shared" si="202"/>
        <v>0</v>
      </c>
      <c r="BM84" s="1047">
        <v>3000</v>
      </c>
      <c r="BN84" s="1013">
        <v>5000</v>
      </c>
      <c r="BO84" s="1013">
        <v>10000</v>
      </c>
      <c r="BP84" s="1013">
        <v>10000</v>
      </c>
      <c r="BQ84" s="1013">
        <v>10000</v>
      </c>
      <c r="BR84" s="1013">
        <v>10000</v>
      </c>
      <c r="BS84" s="1013">
        <v>10000</v>
      </c>
      <c r="BT84" s="1013">
        <v>10000</v>
      </c>
      <c r="BU84" s="1013">
        <v>10000</v>
      </c>
      <c r="BV84" s="1013">
        <v>10000</v>
      </c>
      <c r="BW84" s="1013">
        <v>10000</v>
      </c>
      <c r="BX84" s="1013">
        <v>10000</v>
      </c>
      <c r="BY84" s="1014">
        <f t="shared" si="215"/>
        <v>108000</v>
      </c>
      <c r="BZ84" s="1048">
        <f t="shared" si="204"/>
        <v>16950</v>
      </c>
      <c r="CA84" s="1001">
        <f t="shared" si="204"/>
        <v>28250</v>
      </c>
      <c r="CB84" s="1001">
        <f t="shared" si="204"/>
        <v>56500</v>
      </c>
      <c r="CC84" s="1001">
        <f t="shared" si="204"/>
        <v>56500</v>
      </c>
      <c r="CD84" s="1001">
        <f t="shared" si="204"/>
        <v>56500</v>
      </c>
      <c r="CE84" s="1001">
        <f t="shared" si="204"/>
        <v>56500</v>
      </c>
      <c r="CF84" s="1001">
        <f t="shared" si="204"/>
        <v>56500</v>
      </c>
      <c r="CG84" s="1001">
        <f t="shared" si="204"/>
        <v>56500</v>
      </c>
      <c r="CH84" s="1001">
        <f t="shared" si="204"/>
        <v>56500</v>
      </c>
      <c r="CI84" s="1001">
        <f t="shared" si="204"/>
        <v>56500</v>
      </c>
      <c r="CJ84" s="1001">
        <f t="shared" si="204"/>
        <v>56500</v>
      </c>
      <c r="CK84" s="1001">
        <f t="shared" si="204"/>
        <v>56500</v>
      </c>
      <c r="CL84" s="1049">
        <f t="shared" si="205"/>
        <v>610200</v>
      </c>
      <c r="CM84" s="1047">
        <f>300000/12</f>
        <v>25000</v>
      </c>
      <c r="CN84" s="1013">
        <f t="shared" si="231"/>
        <v>25000</v>
      </c>
      <c r="CO84" s="1013">
        <f t="shared" si="231"/>
        <v>25000</v>
      </c>
      <c r="CP84" s="1013">
        <f t="shared" si="231"/>
        <v>25000</v>
      </c>
      <c r="CQ84" s="1013">
        <f t="shared" si="231"/>
        <v>25000</v>
      </c>
      <c r="CR84" s="1013">
        <f t="shared" si="231"/>
        <v>25000</v>
      </c>
      <c r="CS84" s="1013">
        <f t="shared" si="231"/>
        <v>25000</v>
      </c>
      <c r="CT84" s="1013">
        <f t="shared" si="231"/>
        <v>25000</v>
      </c>
      <c r="CU84" s="1013">
        <f t="shared" si="231"/>
        <v>25000</v>
      </c>
      <c r="CV84" s="1013">
        <f t="shared" si="231"/>
        <v>25000</v>
      </c>
      <c r="CW84" s="1013">
        <f t="shared" si="231"/>
        <v>25000</v>
      </c>
      <c r="CX84" s="1013">
        <f t="shared" si="231"/>
        <v>25000</v>
      </c>
      <c r="CY84" s="1014">
        <f t="shared" si="216"/>
        <v>300000</v>
      </c>
      <c r="CZ84" s="1000">
        <f t="shared" si="206"/>
        <v>141250</v>
      </c>
      <c r="DA84" s="1001">
        <f t="shared" si="207"/>
        <v>141250</v>
      </c>
      <c r="DB84" s="1001">
        <f t="shared" si="207"/>
        <v>141250</v>
      </c>
      <c r="DC84" s="1001">
        <f t="shared" si="207"/>
        <v>141250</v>
      </c>
      <c r="DD84" s="1001">
        <f t="shared" si="207"/>
        <v>141250</v>
      </c>
      <c r="DE84" s="1001">
        <f t="shared" si="207"/>
        <v>141250</v>
      </c>
      <c r="DF84" s="1001">
        <f t="shared" si="207"/>
        <v>141250</v>
      </c>
      <c r="DG84" s="1001">
        <f t="shared" si="207"/>
        <v>141250</v>
      </c>
      <c r="DH84" s="1001">
        <f t="shared" si="207"/>
        <v>141250</v>
      </c>
      <c r="DI84" s="1001">
        <f t="shared" si="207"/>
        <v>141250</v>
      </c>
      <c r="DJ84" s="1001">
        <f t="shared" si="207"/>
        <v>141250</v>
      </c>
      <c r="DK84" s="1001">
        <f t="shared" si="207"/>
        <v>141250</v>
      </c>
      <c r="DL84" s="1002">
        <f t="shared" si="208"/>
        <v>1695000</v>
      </c>
      <c r="DM84" s="1047">
        <f>400000/12</f>
        <v>33333.333333333336</v>
      </c>
      <c r="DN84" s="1013">
        <f t="shared" si="232"/>
        <v>33333.333333333336</v>
      </c>
      <c r="DO84" s="1013">
        <f t="shared" si="232"/>
        <v>33333.333333333336</v>
      </c>
      <c r="DP84" s="1013">
        <f t="shared" si="232"/>
        <v>33333.333333333336</v>
      </c>
      <c r="DQ84" s="1013">
        <f t="shared" si="232"/>
        <v>33333.333333333336</v>
      </c>
      <c r="DR84" s="1013">
        <f t="shared" si="232"/>
        <v>33333.333333333336</v>
      </c>
      <c r="DS84" s="1013">
        <f t="shared" si="232"/>
        <v>33333.333333333336</v>
      </c>
      <c r="DT84" s="1013">
        <f t="shared" si="232"/>
        <v>33333.333333333336</v>
      </c>
      <c r="DU84" s="1013">
        <f t="shared" si="232"/>
        <v>33333.333333333336</v>
      </c>
      <c r="DV84" s="1013">
        <f t="shared" si="232"/>
        <v>33333.333333333336</v>
      </c>
      <c r="DW84" s="1013">
        <f t="shared" si="232"/>
        <v>33333.333333333336</v>
      </c>
      <c r="DX84" s="1013">
        <f t="shared" si="232"/>
        <v>33333.333333333336</v>
      </c>
      <c r="DY84" s="1014">
        <f t="shared" si="217"/>
        <v>399999.99999999994</v>
      </c>
      <c r="DZ84" s="1001">
        <f t="shared" si="209"/>
        <v>188333.33333333337</v>
      </c>
      <c r="EA84" s="1001">
        <f t="shared" si="209"/>
        <v>188333.33333333337</v>
      </c>
      <c r="EB84" s="1001">
        <f t="shared" si="209"/>
        <v>188333.33333333337</v>
      </c>
      <c r="EC84" s="1001">
        <f t="shared" si="209"/>
        <v>188333.33333333337</v>
      </c>
      <c r="ED84" s="1001">
        <f t="shared" si="209"/>
        <v>188333.33333333337</v>
      </c>
      <c r="EE84" s="1001">
        <f t="shared" si="209"/>
        <v>188333.33333333337</v>
      </c>
      <c r="EF84" s="1001">
        <f t="shared" si="209"/>
        <v>188333.33333333337</v>
      </c>
      <c r="EG84" s="1001">
        <f t="shared" si="209"/>
        <v>188333.33333333337</v>
      </c>
      <c r="EH84" s="1001">
        <f t="shared" si="209"/>
        <v>188333.33333333337</v>
      </c>
      <c r="EI84" s="1001">
        <f t="shared" si="209"/>
        <v>188333.33333333337</v>
      </c>
      <c r="EJ84" s="1001">
        <f t="shared" si="209"/>
        <v>188333.33333333337</v>
      </c>
      <c r="EK84" s="1001">
        <f t="shared" si="209"/>
        <v>188333.33333333337</v>
      </c>
      <c r="EL84" s="1002">
        <f t="shared" si="210"/>
        <v>2260000.0000000009</v>
      </c>
    </row>
    <row r="85" spans="1:142" s="1019" customFormat="1">
      <c r="A85" s="1006" t="s">
        <v>77</v>
      </c>
      <c r="B85" s="1040" t="s">
        <v>718</v>
      </c>
      <c r="C85" s="988"/>
      <c r="D85" s="1043"/>
      <c r="E85" s="1024"/>
      <c r="F85" s="1024"/>
      <c r="G85" s="1025"/>
      <c r="H85" s="1044">
        <v>5.65</v>
      </c>
      <c r="I85" s="1045">
        <v>5.65</v>
      </c>
      <c r="J85" s="1045">
        <v>5.65</v>
      </c>
      <c r="K85" s="1046">
        <v>5.65</v>
      </c>
      <c r="L85" s="1011"/>
      <c r="M85" s="1012"/>
      <c r="N85" s="1013"/>
      <c r="O85" s="1013"/>
      <c r="P85" s="1013"/>
      <c r="Q85" s="1013"/>
      <c r="R85" s="1013"/>
      <c r="S85" s="1013"/>
      <c r="T85" s="1013"/>
      <c r="U85" s="1013"/>
      <c r="V85" s="1013">
        <v>0</v>
      </c>
      <c r="W85" s="1013"/>
      <c r="X85" s="1013"/>
      <c r="Y85" s="1014">
        <f t="shared" si="197"/>
        <v>0</v>
      </c>
      <c r="Z85" s="1000"/>
      <c r="AA85" s="1001"/>
      <c r="AB85" s="1001"/>
      <c r="AC85" s="1001"/>
      <c r="AD85" s="257">
        <f t="shared" si="212"/>
        <v>0</v>
      </c>
      <c r="AE85" s="257">
        <f t="shared" si="212"/>
        <v>0</v>
      </c>
      <c r="AF85" s="257">
        <f t="shared" si="212"/>
        <v>0</v>
      </c>
      <c r="AG85" s="257">
        <f t="shared" si="212"/>
        <v>0</v>
      </c>
      <c r="AH85" s="1001"/>
      <c r="AI85" s="1001"/>
      <c r="AJ85" s="1001"/>
      <c r="AK85" s="1017"/>
      <c r="AL85" s="1018">
        <f t="shared" si="200"/>
        <v>0</v>
      </c>
      <c r="AM85" s="1047"/>
      <c r="AN85" s="1013"/>
      <c r="AO85" s="1013"/>
      <c r="AP85" s="1013"/>
      <c r="AQ85" s="1013"/>
      <c r="AR85" s="1013"/>
      <c r="AS85" s="1013"/>
      <c r="AT85" s="1013"/>
      <c r="AU85" s="1013"/>
      <c r="AV85" s="1013"/>
      <c r="AW85" s="1013"/>
      <c r="AX85" s="1013"/>
      <c r="AY85" s="1014">
        <f t="shared" si="213"/>
        <v>0</v>
      </c>
      <c r="AZ85" s="1000">
        <f t="shared" si="201"/>
        <v>0</v>
      </c>
      <c r="BA85" s="1001">
        <f t="shared" si="201"/>
        <v>0</v>
      </c>
      <c r="BB85" s="1001">
        <f t="shared" si="201"/>
        <v>0</v>
      </c>
      <c r="BC85" s="1001">
        <f t="shared" si="201"/>
        <v>0</v>
      </c>
      <c r="BD85" s="1001">
        <f t="shared" si="201"/>
        <v>0</v>
      </c>
      <c r="BE85" s="1001">
        <f t="shared" si="201"/>
        <v>0</v>
      </c>
      <c r="BF85" s="1001">
        <f t="shared" si="201"/>
        <v>0</v>
      </c>
      <c r="BG85" s="1001">
        <f t="shared" si="201"/>
        <v>0</v>
      </c>
      <c r="BH85" s="1001">
        <f t="shared" si="201"/>
        <v>0</v>
      </c>
      <c r="BI85" s="1001">
        <f t="shared" si="201"/>
        <v>0</v>
      </c>
      <c r="BJ85" s="1001">
        <f t="shared" si="201"/>
        <v>0</v>
      </c>
      <c r="BK85" s="1001">
        <f t="shared" si="201"/>
        <v>0</v>
      </c>
      <c r="BL85" s="1002">
        <f t="shared" si="202"/>
        <v>0</v>
      </c>
      <c r="BM85" s="1047"/>
      <c r="BN85" s="1013"/>
      <c r="BO85" s="1013"/>
      <c r="BP85" s="1047">
        <v>3000</v>
      </c>
      <c r="BQ85" s="1013">
        <v>5000</v>
      </c>
      <c r="BR85" s="1013">
        <v>10000</v>
      </c>
      <c r="BS85" s="1013">
        <v>10000</v>
      </c>
      <c r="BT85" s="1013">
        <v>10000</v>
      </c>
      <c r="BU85" s="1013">
        <v>10000</v>
      </c>
      <c r="BV85" s="1013">
        <v>10000</v>
      </c>
      <c r="BW85" s="1013">
        <v>10000</v>
      </c>
      <c r="BX85" s="1013">
        <v>10000</v>
      </c>
      <c r="BY85" s="1014">
        <f t="shared" si="215"/>
        <v>78000</v>
      </c>
      <c r="BZ85" s="1048">
        <f t="shared" si="204"/>
        <v>0</v>
      </c>
      <c r="CA85" s="1001">
        <f t="shared" si="204"/>
        <v>0</v>
      </c>
      <c r="CB85" s="1001">
        <f t="shared" si="204"/>
        <v>0</v>
      </c>
      <c r="CC85" s="1001">
        <f t="shared" si="204"/>
        <v>16950</v>
      </c>
      <c r="CD85" s="1001">
        <f t="shared" si="204"/>
        <v>28250</v>
      </c>
      <c r="CE85" s="1001">
        <f t="shared" si="204"/>
        <v>56500</v>
      </c>
      <c r="CF85" s="1001">
        <f t="shared" si="204"/>
        <v>56500</v>
      </c>
      <c r="CG85" s="1001">
        <f t="shared" si="204"/>
        <v>56500</v>
      </c>
      <c r="CH85" s="1001">
        <f t="shared" si="204"/>
        <v>56500</v>
      </c>
      <c r="CI85" s="1001">
        <f t="shared" si="204"/>
        <v>56500</v>
      </c>
      <c r="CJ85" s="1001">
        <f t="shared" si="204"/>
        <v>56500</v>
      </c>
      <c r="CK85" s="1001">
        <f t="shared" si="204"/>
        <v>56500</v>
      </c>
      <c r="CL85" s="1049">
        <f t="shared" si="205"/>
        <v>440700</v>
      </c>
      <c r="CM85" s="1047">
        <f>250000/12</f>
        <v>20833.333333333332</v>
      </c>
      <c r="CN85" s="1013">
        <f t="shared" ref="CN85:CX86" si="233">250000/12</f>
        <v>20833.333333333332</v>
      </c>
      <c r="CO85" s="1013">
        <f t="shared" si="233"/>
        <v>20833.333333333332</v>
      </c>
      <c r="CP85" s="1013">
        <f t="shared" si="233"/>
        <v>20833.333333333332</v>
      </c>
      <c r="CQ85" s="1013">
        <f t="shared" si="233"/>
        <v>20833.333333333332</v>
      </c>
      <c r="CR85" s="1013">
        <f t="shared" si="233"/>
        <v>20833.333333333332</v>
      </c>
      <c r="CS85" s="1013">
        <f t="shared" si="233"/>
        <v>20833.333333333332</v>
      </c>
      <c r="CT85" s="1013">
        <f t="shared" si="233"/>
        <v>20833.333333333332</v>
      </c>
      <c r="CU85" s="1013">
        <f t="shared" si="233"/>
        <v>20833.333333333332</v>
      </c>
      <c r="CV85" s="1013">
        <f t="shared" si="233"/>
        <v>20833.333333333332</v>
      </c>
      <c r="CW85" s="1013">
        <f t="shared" si="233"/>
        <v>20833.333333333332</v>
      </c>
      <c r="CX85" s="1013">
        <f t="shared" si="233"/>
        <v>20833.333333333332</v>
      </c>
      <c r="CY85" s="1014">
        <f t="shared" si="216"/>
        <v>250000.00000000003</v>
      </c>
      <c r="CZ85" s="1000">
        <f t="shared" si="206"/>
        <v>117708.33333333333</v>
      </c>
      <c r="DA85" s="1001">
        <f t="shared" si="207"/>
        <v>117708.33333333333</v>
      </c>
      <c r="DB85" s="1001">
        <f t="shared" si="207"/>
        <v>117708.33333333333</v>
      </c>
      <c r="DC85" s="1001">
        <f t="shared" si="207"/>
        <v>117708.33333333333</v>
      </c>
      <c r="DD85" s="1001">
        <f t="shared" si="207"/>
        <v>117708.33333333333</v>
      </c>
      <c r="DE85" s="1001">
        <f t="shared" si="207"/>
        <v>117708.33333333333</v>
      </c>
      <c r="DF85" s="1001">
        <f t="shared" si="207"/>
        <v>117708.33333333333</v>
      </c>
      <c r="DG85" s="1001">
        <f t="shared" si="207"/>
        <v>117708.33333333333</v>
      </c>
      <c r="DH85" s="1001">
        <f t="shared" si="207"/>
        <v>117708.33333333333</v>
      </c>
      <c r="DI85" s="1001">
        <f t="shared" si="207"/>
        <v>117708.33333333333</v>
      </c>
      <c r="DJ85" s="1001">
        <f t="shared" si="207"/>
        <v>117708.33333333333</v>
      </c>
      <c r="DK85" s="1001">
        <f t="shared" si="207"/>
        <v>117708.33333333333</v>
      </c>
      <c r="DL85" s="1002">
        <f t="shared" si="208"/>
        <v>1412499.9999999998</v>
      </c>
      <c r="DM85" s="1047">
        <f>300000/12</f>
        <v>25000</v>
      </c>
      <c r="DN85" s="1013">
        <f t="shared" ref="DN85:DX86" si="234">300000/12</f>
        <v>25000</v>
      </c>
      <c r="DO85" s="1013">
        <f t="shared" si="234"/>
        <v>25000</v>
      </c>
      <c r="DP85" s="1013">
        <f t="shared" si="234"/>
        <v>25000</v>
      </c>
      <c r="DQ85" s="1013">
        <f t="shared" si="234"/>
        <v>25000</v>
      </c>
      <c r="DR85" s="1013">
        <f t="shared" si="234"/>
        <v>25000</v>
      </c>
      <c r="DS85" s="1013">
        <f t="shared" si="234"/>
        <v>25000</v>
      </c>
      <c r="DT85" s="1013">
        <f t="shared" si="234"/>
        <v>25000</v>
      </c>
      <c r="DU85" s="1013">
        <f t="shared" si="234"/>
        <v>25000</v>
      </c>
      <c r="DV85" s="1013">
        <f t="shared" si="234"/>
        <v>25000</v>
      </c>
      <c r="DW85" s="1013">
        <f t="shared" si="234"/>
        <v>25000</v>
      </c>
      <c r="DX85" s="1013">
        <f t="shared" si="234"/>
        <v>25000</v>
      </c>
      <c r="DY85" s="1014">
        <f t="shared" si="217"/>
        <v>300000</v>
      </c>
      <c r="DZ85" s="1001">
        <f t="shared" si="209"/>
        <v>141250</v>
      </c>
      <c r="EA85" s="1001">
        <f t="shared" si="209"/>
        <v>141250</v>
      </c>
      <c r="EB85" s="1001">
        <f t="shared" si="209"/>
        <v>141250</v>
      </c>
      <c r="EC85" s="1001">
        <f t="shared" si="209"/>
        <v>141250</v>
      </c>
      <c r="ED85" s="1001">
        <f t="shared" si="209"/>
        <v>141250</v>
      </c>
      <c r="EE85" s="1001">
        <f t="shared" si="209"/>
        <v>141250</v>
      </c>
      <c r="EF85" s="1001">
        <f t="shared" si="209"/>
        <v>141250</v>
      </c>
      <c r="EG85" s="1001">
        <f t="shared" si="209"/>
        <v>141250</v>
      </c>
      <c r="EH85" s="1001">
        <f t="shared" si="209"/>
        <v>141250</v>
      </c>
      <c r="EI85" s="1001">
        <f t="shared" si="209"/>
        <v>141250</v>
      </c>
      <c r="EJ85" s="1001">
        <f t="shared" si="209"/>
        <v>141250</v>
      </c>
      <c r="EK85" s="1001">
        <f t="shared" si="209"/>
        <v>141250</v>
      </c>
      <c r="EL85" s="1002">
        <f t="shared" si="210"/>
        <v>1695000</v>
      </c>
    </row>
    <row r="86" spans="1:142" s="1019" customFormat="1">
      <c r="A86" s="1006" t="s">
        <v>77</v>
      </c>
      <c r="B86" s="1040" t="s">
        <v>719</v>
      </c>
      <c r="C86" s="988"/>
      <c r="D86" s="1043"/>
      <c r="E86" s="1024"/>
      <c r="F86" s="1024"/>
      <c r="G86" s="1025"/>
      <c r="H86" s="1044">
        <v>1.43</v>
      </c>
      <c r="I86" s="1045">
        <v>1.43</v>
      </c>
      <c r="J86" s="1045">
        <v>1.43</v>
      </c>
      <c r="K86" s="1046">
        <v>1.43</v>
      </c>
      <c r="L86" s="1011"/>
      <c r="M86" s="1012"/>
      <c r="N86" s="1013"/>
      <c r="O86" s="1013"/>
      <c r="P86" s="1013"/>
      <c r="Q86" s="1013"/>
      <c r="R86" s="1013"/>
      <c r="S86" s="1013"/>
      <c r="T86" s="1013"/>
      <c r="U86" s="1013"/>
      <c r="V86" s="1013">
        <v>0</v>
      </c>
      <c r="W86" s="1013"/>
      <c r="X86" s="1013"/>
      <c r="Y86" s="1014">
        <f t="shared" si="197"/>
        <v>0</v>
      </c>
      <c r="Z86" s="1000"/>
      <c r="AA86" s="1001"/>
      <c r="AB86" s="1001"/>
      <c r="AC86" s="1001"/>
      <c r="AD86" s="257">
        <f t="shared" si="212"/>
        <v>0</v>
      </c>
      <c r="AE86" s="257">
        <f t="shared" si="212"/>
        <v>0</v>
      </c>
      <c r="AF86" s="257">
        <f t="shared" si="212"/>
        <v>0</v>
      </c>
      <c r="AG86" s="257">
        <f t="shared" si="212"/>
        <v>0</v>
      </c>
      <c r="AH86" s="1001"/>
      <c r="AI86" s="1001"/>
      <c r="AJ86" s="1001"/>
      <c r="AK86" s="1017"/>
      <c r="AL86" s="1018">
        <f t="shared" si="200"/>
        <v>0</v>
      </c>
      <c r="AM86" s="1047"/>
      <c r="AN86" s="1013"/>
      <c r="AO86" s="1013"/>
      <c r="AP86" s="1013"/>
      <c r="AQ86" s="1013"/>
      <c r="AR86" s="1013"/>
      <c r="AS86" s="1013"/>
      <c r="AT86" s="1013"/>
      <c r="AU86" s="1013"/>
      <c r="AV86" s="1013"/>
      <c r="AW86" s="1013"/>
      <c r="AX86" s="1013"/>
      <c r="AY86" s="1014">
        <f t="shared" si="213"/>
        <v>0</v>
      </c>
      <c r="AZ86" s="1000">
        <f t="shared" si="201"/>
        <v>0</v>
      </c>
      <c r="BA86" s="1001">
        <f t="shared" si="201"/>
        <v>0</v>
      </c>
      <c r="BB86" s="1001">
        <f t="shared" si="201"/>
        <v>0</v>
      </c>
      <c r="BC86" s="1001">
        <f t="shared" si="201"/>
        <v>0</v>
      </c>
      <c r="BD86" s="1001">
        <f t="shared" si="201"/>
        <v>0</v>
      </c>
      <c r="BE86" s="1001">
        <f t="shared" si="201"/>
        <v>0</v>
      </c>
      <c r="BF86" s="1001">
        <f t="shared" si="201"/>
        <v>0</v>
      </c>
      <c r="BG86" s="1001">
        <f t="shared" si="201"/>
        <v>0</v>
      </c>
      <c r="BH86" s="1001">
        <f t="shared" si="201"/>
        <v>0</v>
      </c>
      <c r="BI86" s="1001">
        <f t="shared" si="201"/>
        <v>0</v>
      </c>
      <c r="BJ86" s="1001">
        <f t="shared" si="201"/>
        <v>0</v>
      </c>
      <c r="BK86" s="1001">
        <f t="shared" si="201"/>
        <v>0</v>
      </c>
      <c r="BL86" s="1002">
        <f t="shared" si="202"/>
        <v>0</v>
      </c>
      <c r="BM86" s="1047"/>
      <c r="BN86" s="1013"/>
      <c r="BO86" s="1013"/>
      <c r="BP86" s="1047">
        <v>3000</v>
      </c>
      <c r="BQ86" s="1013">
        <v>5000</v>
      </c>
      <c r="BR86" s="1013">
        <v>10000</v>
      </c>
      <c r="BS86" s="1013">
        <v>10000</v>
      </c>
      <c r="BT86" s="1013">
        <v>10000</v>
      </c>
      <c r="BU86" s="1013">
        <v>10000</v>
      </c>
      <c r="BV86" s="1013">
        <v>10000</v>
      </c>
      <c r="BW86" s="1013">
        <v>10000</v>
      </c>
      <c r="BX86" s="1013">
        <v>10000</v>
      </c>
      <c r="BY86" s="1014">
        <f t="shared" si="215"/>
        <v>78000</v>
      </c>
      <c r="BZ86" s="1048">
        <f t="shared" si="204"/>
        <v>0</v>
      </c>
      <c r="CA86" s="1001">
        <f t="shared" si="204"/>
        <v>0</v>
      </c>
      <c r="CB86" s="1001">
        <f t="shared" si="204"/>
        <v>0</v>
      </c>
      <c r="CC86" s="1001">
        <f t="shared" si="204"/>
        <v>4290</v>
      </c>
      <c r="CD86" s="1001">
        <f t="shared" si="204"/>
        <v>7150</v>
      </c>
      <c r="CE86" s="1001">
        <f t="shared" si="204"/>
        <v>14300</v>
      </c>
      <c r="CF86" s="1001">
        <f t="shared" si="204"/>
        <v>14300</v>
      </c>
      <c r="CG86" s="1001">
        <f t="shared" si="204"/>
        <v>14300</v>
      </c>
      <c r="CH86" s="1001">
        <f t="shared" si="204"/>
        <v>14300</v>
      </c>
      <c r="CI86" s="1001">
        <f t="shared" si="204"/>
        <v>14300</v>
      </c>
      <c r="CJ86" s="1001">
        <f t="shared" si="204"/>
        <v>14300</v>
      </c>
      <c r="CK86" s="1001">
        <f t="shared" si="204"/>
        <v>14300</v>
      </c>
      <c r="CL86" s="1049">
        <f t="shared" si="205"/>
        <v>111540</v>
      </c>
      <c r="CM86" s="1047">
        <f>250000/12</f>
        <v>20833.333333333332</v>
      </c>
      <c r="CN86" s="1013">
        <f t="shared" si="233"/>
        <v>20833.333333333332</v>
      </c>
      <c r="CO86" s="1013">
        <f t="shared" si="233"/>
        <v>20833.333333333332</v>
      </c>
      <c r="CP86" s="1013">
        <f t="shared" si="233"/>
        <v>20833.333333333332</v>
      </c>
      <c r="CQ86" s="1013">
        <f t="shared" si="233"/>
        <v>20833.333333333332</v>
      </c>
      <c r="CR86" s="1013">
        <f t="shared" si="233"/>
        <v>20833.333333333332</v>
      </c>
      <c r="CS86" s="1013">
        <f t="shared" si="233"/>
        <v>20833.333333333332</v>
      </c>
      <c r="CT86" s="1013">
        <f t="shared" si="233"/>
        <v>20833.333333333332</v>
      </c>
      <c r="CU86" s="1013">
        <f t="shared" si="233"/>
        <v>20833.333333333332</v>
      </c>
      <c r="CV86" s="1013">
        <f t="shared" si="233"/>
        <v>20833.333333333332</v>
      </c>
      <c r="CW86" s="1013">
        <f t="shared" si="233"/>
        <v>20833.333333333332</v>
      </c>
      <c r="CX86" s="1013">
        <f t="shared" si="233"/>
        <v>20833.333333333332</v>
      </c>
      <c r="CY86" s="1014">
        <f t="shared" si="216"/>
        <v>250000.00000000003</v>
      </c>
      <c r="CZ86" s="1000">
        <f t="shared" si="206"/>
        <v>29791.666666666664</v>
      </c>
      <c r="DA86" s="1001">
        <f t="shared" si="207"/>
        <v>29791.666666666664</v>
      </c>
      <c r="DB86" s="1001">
        <f t="shared" si="207"/>
        <v>29791.666666666664</v>
      </c>
      <c r="DC86" s="1001">
        <f t="shared" si="207"/>
        <v>29791.666666666664</v>
      </c>
      <c r="DD86" s="1001">
        <f t="shared" si="207"/>
        <v>29791.666666666664</v>
      </c>
      <c r="DE86" s="1001">
        <f t="shared" si="207"/>
        <v>29791.666666666664</v>
      </c>
      <c r="DF86" s="1001">
        <f t="shared" si="207"/>
        <v>29791.666666666664</v>
      </c>
      <c r="DG86" s="1001">
        <f t="shared" si="207"/>
        <v>29791.666666666664</v>
      </c>
      <c r="DH86" s="1001">
        <f t="shared" si="207"/>
        <v>29791.666666666664</v>
      </c>
      <c r="DI86" s="1001">
        <f t="shared" si="207"/>
        <v>29791.666666666664</v>
      </c>
      <c r="DJ86" s="1001">
        <f t="shared" si="207"/>
        <v>29791.666666666664</v>
      </c>
      <c r="DK86" s="1001">
        <f t="shared" si="207"/>
        <v>29791.666666666664</v>
      </c>
      <c r="DL86" s="1002">
        <f t="shared" si="208"/>
        <v>357500</v>
      </c>
      <c r="DM86" s="1047">
        <f>300000/12</f>
        <v>25000</v>
      </c>
      <c r="DN86" s="1013">
        <f t="shared" si="234"/>
        <v>25000</v>
      </c>
      <c r="DO86" s="1013">
        <f t="shared" si="234"/>
        <v>25000</v>
      </c>
      <c r="DP86" s="1013">
        <f t="shared" si="234"/>
        <v>25000</v>
      </c>
      <c r="DQ86" s="1013">
        <f t="shared" si="234"/>
        <v>25000</v>
      </c>
      <c r="DR86" s="1013">
        <f t="shared" si="234"/>
        <v>25000</v>
      </c>
      <c r="DS86" s="1013">
        <f t="shared" si="234"/>
        <v>25000</v>
      </c>
      <c r="DT86" s="1013">
        <f t="shared" si="234"/>
        <v>25000</v>
      </c>
      <c r="DU86" s="1013">
        <f t="shared" si="234"/>
        <v>25000</v>
      </c>
      <c r="DV86" s="1013">
        <f t="shared" si="234"/>
        <v>25000</v>
      </c>
      <c r="DW86" s="1013">
        <f t="shared" si="234"/>
        <v>25000</v>
      </c>
      <c r="DX86" s="1013">
        <f t="shared" si="234"/>
        <v>25000</v>
      </c>
      <c r="DY86" s="1014">
        <f t="shared" si="217"/>
        <v>300000</v>
      </c>
      <c r="DZ86" s="1001">
        <f t="shared" si="209"/>
        <v>35750</v>
      </c>
      <c r="EA86" s="1001">
        <f t="shared" si="209"/>
        <v>35750</v>
      </c>
      <c r="EB86" s="1001">
        <f t="shared" si="209"/>
        <v>35750</v>
      </c>
      <c r="EC86" s="1001">
        <f t="shared" si="209"/>
        <v>35750</v>
      </c>
      <c r="ED86" s="1001">
        <f t="shared" si="209"/>
        <v>35750</v>
      </c>
      <c r="EE86" s="1001">
        <f t="shared" si="209"/>
        <v>35750</v>
      </c>
      <c r="EF86" s="1001">
        <f t="shared" si="209"/>
        <v>35750</v>
      </c>
      <c r="EG86" s="1001">
        <f t="shared" si="209"/>
        <v>35750</v>
      </c>
      <c r="EH86" s="1001">
        <f t="shared" si="209"/>
        <v>35750</v>
      </c>
      <c r="EI86" s="1001">
        <f t="shared" si="209"/>
        <v>35750</v>
      </c>
      <c r="EJ86" s="1001">
        <f t="shared" si="209"/>
        <v>35750</v>
      </c>
      <c r="EK86" s="1001">
        <f t="shared" si="209"/>
        <v>35750</v>
      </c>
      <c r="EL86" s="1002">
        <f t="shared" si="210"/>
        <v>429000</v>
      </c>
    </row>
    <row r="87" spans="1:142" s="1019" customFormat="1">
      <c r="A87" s="1006" t="s">
        <v>77</v>
      </c>
      <c r="B87" s="1040" t="s">
        <v>720</v>
      </c>
      <c r="C87" s="988"/>
      <c r="D87" s="1043"/>
      <c r="E87" s="1050"/>
      <c r="F87" s="1050"/>
      <c r="G87" s="1025"/>
      <c r="H87" s="1044">
        <v>4.4000000000000004</v>
      </c>
      <c r="I87" s="1045">
        <v>4.4000000000000004</v>
      </c>
      <c r="J87" s="1045">
        <v>4.4000000000000004</v>
      </c>
      <c r="K87" s="1046">
        <v>4.4000000000000004</v>
      </c>
      <c r="L87" s="1011"/>
      <c r="M87" s="1015"/>
      <c r="N87" s="1016"/>
      <c r="O87" s="1016"/>
      <c r="P87" s="1016"/>
      <c r="Q87" s="1016"/>
      <c r="R87" s="1016"/>
      <c r="S87" s="1016"/>
      <c r="T87" s="1016"/>
      <c r="U87" s="1016"/>
      <c r="V87" s="1016">
        <v>0</v>
      </c>
      <c r="W87" s="1016"/>
      <c r="X87" s="1016"/>
      <c r="Y87" s="999">
        <f t="shared" si="197"/>
        <v>0</v>
      </c>
      <c r="Z87" s="1000"/>
      <c r="AA87" s="1001"/>
      <c r="AB87" s="1001"/>
      <c r="AC87" s="1001"/>
      <c r="AD87" s="257">
        <f t="shared" si="212"/>
        <v>0</v>
      </c>
      <c r="AE87" s="257">
        <f t="shared" si="212"/>
        <v>0</v>
      </c>
      <c r="AF87" s="257">
        <f t="shared" si="212"/>
        <v>0</v>
      </c>
      <c r="AG87" s="257">
        <f t="shared" si="212"/>
        <v>0</v>
      </c>
      <c r="AH87" s="1001"/>
      <c r="AI87" s="1001"/>
      <c r="AJ87" s="1001"/>
      <c r="AK87" s="1017"/>
      <c r="AL87" s="1018">
        <f t="shared" si="200"/>
        <v>0</v>
      </c>
      <c r="AM87" s="1015"/>
      <c r="AN87" s="1016"/>
      <c r="AO87" s="1016"/>
      <c r="AP87" s="1016"/>
      <c r="AQ87" s="1016"/>
      <c r="AR87" s="1016"/>
      <c r="AS87" s="1016"/>
      <c r="AT87" s="1016"/>
      <c r="AU87" s="1016"/>
      <c r="AV87" s="1016"/>
      <c r="AW87" s="1016"/>
      <c r="AX87" s="1016"/>
      <c r="AY87" s="999">
        <f t="shared" si="213"/>
        <v>0</v>
      </c>
      <c r="AZ87" s="1000">
        <f t="shared" si="201"/>
        <v>0</v>
      </c>
      <c r="BA87" s="1001">
        <f t="shared" si="201"/>
        <v>0</v>
      </c>
      <c r="BB87" s="1001">
        <f t="shared" si="201"/>
        <v>0</v>
      </c>
      <c r="BC87" s="1001">
        <f t="shared" si="201"/>
        <v>0</v>
      </c>
      <c r="BD87" s="1001">
        <f t="shared" si="201"/>
        <v>0</v>
      </c>
      <c r="BE87" s="1001">
        <f t="shared" si="201"/>
        <v>0</v>
      </c>
      <c r="BF87" s="1001">
        <f t="shared" si="201"/>
        <v>0</v>
      </c>
      <c r="BG87" s="1001">
        <f t="shared" si="201"/>
        <v>0</v>
      </c>
      <c r="BH87" s="1001">
        <f t="shared" si="201"/>
        <v>0</v>
      </c>
      <c r="BI87" s="1001">
        <f t="shared" si="201"/>
        <v>0</v>
      </c>
      <c r="BJ87" s="1001">
        <f t="shared" si="201"/>
        <v>0</v>
      </c>
      <c r="BK87" s="1001">
        <f t="shared" si="201"/>
        <v>0</v>
      </c>
      <c r="BL87" s="1002">
        <f t="shared" si="202"/>
        <v>0</v>
      </c>
      <c r="BM87" s="1015"/>
      <c r="BN87" s="1016"/>
      <c r="BO87" s="1016"/>
      <c r="BP87" s="1016"/>
      <c r="BQ87" s="1016"/>
      <c r="BR87" s="1016"/>
      <c r="BS87" s="1016"/>
      <c r="BT87" s="1016"/>
      <c r="BU87" s="1016"/>
      <c r="BV87" s="1016"/>
      <c r="BW87" s="1016"/>
      <c r="BX87" s="1016"/>
      <c r="BY87" s="999">
        <f t="shared" si="215"/>
        <v>0</v>
      </c>
      <c r="BZ87" s="1048">
        <f t="shared" si="204"/>
        <v>0</v>
      </c>
      <c r="CA87" s="1001">
        <f t="shared" si="204"/>
        <v>0</v>
      </c>
      <c r="CB87" s="1001">
        <f t="shared" si="204"/>
        <v>0</v>
      </c>
      <c r="CC87" s="1001">
        <f t="shared" si="204"/>
        <v>0</v>
      </c>
      <c r="CD87" s="1001">
        <f t="shared" si="204"/>
        <v>0</v>
      </c>
      <c r="CE87" s="1001">
        <f t="shared" si="204"/>
        <v>0</v>
      </c>
      <c r="CF87" s="1001">
        <f t="shared" si="204"/>
        <v>0</v>
      </c>
      <c r="CG87" s="1001">
        <f t="shared" si="204"/>
        <v>0</v>
      </c>
      <c r="CH87" s="1001">
        <f t="shared" si="204"/>
        <v>0</v>
      </c>
      <c r="CI87" s="1001">
        <f t="shared" si="204"/>
        <v>0</v>
      </c>
      <c r="CJ87" s="1001">
        <f t="shared" si="204"/>
        <v>0</v>
      </c>
      <c r="CK87" s="1001">
        <f t="shared" si="204"/>
        <v>0</v>
      </c>
      <c r="CL87" s="1049">
        <f t="shared" si="205"/>
        <v>0</v>
      </c>
      <c r="CM87" s="1051">
        <f>300000/12</f>
        <v>25000</v>
      </c>
      <c r="CN87" s="1016">
        <f t="shared" ref="CN87:CX89" si="235">300000/12</f>
        <v>25000</v>
      </c>
      <c r="CO87" s="1016">
        <f t="shared" si="235"/>
        <v>25000</v>
      </c>
      <c r="CP87" s="1016">
        <f t="shared" si="235"/>
        <v>25000</v>
      </c>
      <c r="CQ87" s="1016">
        <f t="shared" si="235"/>
        <v>25000</v>
      </c>
      <c r="CR87" s="1016">
        <f t="shared" si="235"/>
        <v>25000</v>
      </c>
      <c r="CS87" s="1016">
        <f t="shared" si="235"/>
        <v>25000</v>
      </c>
      <c r="CT87" s="1016">
        <f t="shared" si="235"/>
        <v>25000</v>
      </c>
      <c r="CU87" s="1016">
        <f t="shared" si="235"/>
        <v>25000</v>
      </c>
      <c r="CV87" s="1016">
        <f t="shared" si="235"/>
        <v>25000</v>
      </c>
      <c r="CW87" s="1016">
        <f t="shared" si="235"/>
        <v>25000</v>
      </c>
      <c r="CX87" s="1016">
        <f t="shared" si="235"/>
        <v>25000</v>
      </c>
      <c r="CY87" s="1014">
        <f t="shared" si="216"/>
        <v>300000</v>
      </c>
      <c r="CZ87" s="1000">
        <f t="shared" si="206"/>
        <v>110000.00000000001</v>
      </c>
      <c r="DA87" s="1001">
        <f t="shared" ref="DA87:DK91" si="236">CN87*$J87</f>
        <v>110000.00000000001</v>
      </c>
      <c r="DB87" s="1001">
        <f t="shared" si="236"/>
        <v>110000.00000000001</v>
      </c>
      <c r="DC87" s="1001">
        <f t="shared" si="236"/>
        <v>110000.00000000001</v>
      </c>
      <c r="DD87" s="1001">
        <f t="shared" si="236"/>
        <v>110000.00000000001</v>
      </c>
      <c r="DE87" s="1001">
        <f t="shared" si="236"/>
        <v>110000.00000000001</v>
      </c>
      <c r="DF87" s="1001">
        <f t="shared" si="236"/>
        <v>110000.00000000001</v>
      </c>
      <c r="DG87" s="1001">
        <f t="shared" si="236"/>
        <v>110000.00000000001</v>
      </c>
      <c r="DH87" s="1001">
        <f t="shared" si="236"/>
        <v>110000.00000000001</v>
      </c>
      <c r="DI87" s="1001">
        <f t="shared" si="236"/>
        <v>110000.00000000001</v>
      </c>
      <c r="DJ87" s="1001">
        <f t="shared" si="236"/>
        <v>110000.00000000001</v>
      </c>
      <c r="DK87" s="1001">
        <f t="shared" si="236"/>
        <v>110000.00000000001</v>
      </c>
      <c r="DL87" s="1002">
        <f t="shared" si="208"/>
        <v>1320000.0000000002</v>
      </c>
      <c r="DM87" s="1015">
        <f>500000/12</f>
        <v>41666.666666666664</v>
      </c>
      <c r="DN87" s="1016">
        <f t="shared" ref="DN87:DX88" si="237">500000/12</f>
        <v>41666.666666666664</v>
      </c>
      <c r="DO87" s="1016">
        <f t="shared" si="237"/>
        <v>41666.666666666664</v>
      </c>
      <c r="DP87" s="1016">
        <f t="shared" si="237"/>
        <v>41666.666666666664</v>
      </c>
      <c r="DQ87" s="1016">
        <f t="shared" si="237"/>
        <v>41666.666666666664</v>
      </c>
      <c r="DR87" s="1016">
        <f t="shared" si="237"/>
        <v>41666.666666666664</v>
      </c>
      <c r="DS87" s="1016">
        <f t="shared" si="237"/>
        <v>41666.666666666664</v>
      </c>
      <c r="DT87" s="1016">
        <f t="shared" si="237"/>
        <v>41666.666666666664</v>
      </c>
      <c r="DU87" s="1016">
        <f t="shared" si="237"/>
        <v>41666.666666666664</v>
      </c>
      <c r="DV87" s="1016">
        <f t="shared" si="237"/>
        <v>41666.666666666664</v>
      </c>
      <c r="DW87" s="1016">
        <f t="shared" si="237"/>
        <v>41666.666666666664</v>
      </c>
      <c r="DX87" s="1016">
        <f t="shared" si="237"/>
        <v>41666.666666666664</v>
      </c>
      <c r="DY87" s="999">
        <f t="shared" si="217"/>
        <v>500000.00000000006</v>
      </c>
      <c r="DZ87" s="1000">
        <f t="shared" si="209"/>
        <v>183333.33333333334</v>
      </c>
      <c r="EA87" s="1001">
        <f t="shared" si="209"/>
        <v>183333.33333333334</v>
      </c>
      <c r="EB87" s="1001">
        <f t="shared" si="209"/>
        <v>183333.33333333334</v>
      </c>
      <c r="EC87" s="1001">
        <f t="shared" si="209"/>
        <v>183333.33333333334</v>
      </c>
      <c r="ED87" s="1001">
        <f t="shared" si="209"/>
        <v>183333.33333333334</v>
      </c>
      <c r="EE87" s="1001">
        <f t="shared" si="209"/>
        <v>183333.33333333334</v>
      </c>
      <c r="EF87" s="1001">
        <f t="shared" si="209"/>
        <v>183333.33333333334</v>
      </c>
      <c r="EG87" s="1001">
        <f t="shared" si="209"/>
        <v>183333.33333333334</v>
      </c>
      <c r="EH87" s="1001">
        <f t="shared" si="209"/>
        <v>183333.33333333334</v>
      </c>
      <c r="EI87" s="1001">
        <f t="shared" si="209"/>
        <v>183333.33333333334</v>
      </c>
      <c r="EJ87" s="1001">
        <f t="shared" si="209"/>
        <v>183333.33333333334</v>
      </c>
      <c r="EK87" s="1001">
        <f t="shared" si="209"/>
        <v>183333.33333333334</v>
      </c>
      <c r="EL87" s="1002">
        <f t="shared" si="210"/>
        <v>2199999.9999999995</v>
      </c>
    </row>
    <row r="88" spans="1:142" s="1019" customFormat="1">
      <c r="A88" s="1006" t="s">
        <v>77</v>
      </c>
      <c r="B88" s="1040" t="s">
        <v>721</v>
      </c>
      <c r="C88" s="988"/>
      <c r="D88" s="1043"/>
      <c r="E88" s="1050"/>
      <c r="F88" s="1050"/>
      <c r="G88" s="1025"/>
      <c r="H88" s="1044">
        <v>1.5</v>
      </c>
      <c r="I88" s="1045">
        <v>1.5</v>
      </c>
      <c r="J88" s="1045">
        <v>1.5</v>
      </c>
      <c r="K88" s="1046">
        <v>1.5</v>
      </c>
      <c r="L88" s="1011"/>
      <c r="M88" s="1015"/>
      <c r="N88" s="1016"/>
      <c r="O88" s="1016"/>
      <c r="P88" s="1016"/>
      <c r="Q88" s="1016"/>
      <c r="R88" s="1016"/>
      <c r="S88" s="1016"/>
      <c r="T88" s="1016"/>
      <c r="U88" s="1016"/>
      <c r="V88" s="1016">
        <v>0</v>
      </c>
      <c r="W88" s="1016"/>
      <c r="X88" s="1016"/>
      <c r="Y88" s="999">
        <f t="shared" si="197"/>
        <v>0</v>
      </c>
      <c r="Z88" s="1000"/>
      <c r="AA88" s="1001"/>
      <c r="AB88" s="1001"/>
      <c r="AC88" s="1001"/>
      <c r="AD88" s="257">
        <f t="shared" si="212"/>
        <v>0</v>
      </c>
      <c r="AE88" s="257">
        <f t="shared" si="212"/>
        <v>0</v>
      </c>
      <c r="AF88" s="257">
        <f t="shared" si="212"/>
        <v>0</v>
      </c>
      <c r="AG88" s="257">
        <f t="shared" si="212"/>
        <v>0</v>
      </c>
      <c r="AH88" s="1001"/>
      <c r="AI88" s="1001"/>
      <c r="AJ88" s="1001"/>
      <c r="AK88" s="1017"/>
      <c r="AL88" s="1018">
        <f t="shared" si="200"/>
        <v>0</v>
      </c>
      <c r="AM88" s="1015"/>
      <c r="AN88" s="1016"/>
      <c r="AO88" s="1016"/>
      <c r="AP88" s="1016"/>
      <c r="AQ88" s="1016"/>
      <c r="AR88" s="1016"/>
      <c r="AS88" s="1016"/>
      <c r="AT88" s="1016"/>
      <c r="AU88" s="1016"/>
      <c r="AV88" s="1016"/>
      <c r="AW88" s="1016"/>
      <c r="AX88" s="1016"/>
      <c r="AY88" s="999">
        <f t="shared" si="213"/>
        <v>0</v>
      </c>
      <c r="AZ88" s="1000">
        <f t="shared" si="201"/>
        <v>0</v>
      </c>
      <c r="BA88" s="1001">
        <f t="shared" si="201"/>
        <v>0</v>
      </c>
      <c r="BB88" s="1001">
        <f t="shared" si="201"/>
        <v>0</v>
      </c>
      <c r="BC88" s="1001">
        <f t="shared" si="201"/>
        <v>0</v>
      </c>
      <c r="BD88" s="1001">
        <f t="shared" si="201"/>
        <v>0</v>
      </c>
      <c r="BE88" s="1001">
        <f t="shared" si="201"/>
        <v>0</v>
      </c>
      <c r="BF88" s="1001">
        <f t="shared" si="201"/>
        <v>0</v>
      </c>
      <c r="BG88" s="1001">
        <f t="shared" si="201"/>
        <v>0</v>
      </c>
      <c r="BH88" s="1001">
        <f t="shared" si="201"/>
        <v>0</v>
      </c>
      <c r="BI88" s="1001">
        <f t="shared" si="201"/>
        <v>0</v>
      </c>
      <c r="BJ88" s="1001">
        <f t="shared" si="201"/>
        <v>0</v>
      </c>
      <c r="BK88" s="1001">
        <f t="shared" si="201"/>
        <v>0</v>
      </c>
      <c r="BL88" s="1002">
        <f t="shared" si="202"/>
        <v>0</v>
      </c>
      <c r="BM88" s="1015"/>
      <c r="BN88" s="1016"/>
      <c r="BO88" s="1016"/>
      <c r="BP88" s="1016"/>
      <c r="BQ88" s="1016"/>
      <c r="BR88" s="1016"/>
      <c r="BS88" s="1016"/>
      <c r="BT88" s="1016"/>
      <c r="BU88" s="1016"/>
      <c r="BV88" s="1016"/>
      <c r="BW88" s="1016"/>
      <c r="BX88" s="1016"/>
      <c r="BY88" s="999">
        <f t="shared" si="215"/>
        <v>0</v>
      </c>
      <c r="BZ88" s="1048">
        <f t="shared" si="204"/>
        <v>0</v>
      </c>
      <c r="CA88" s="1001">
        <f t="shared" si="204"/>
        <v>0</v>
      </c>
      <c r="CB88" s="1001">
        <f t="shared" si="204"/>
        <v>0</v>
      </c>
      <c r="CC88" s="1001">
        <f t="shared" si="204"/>
        <v>0</v>
      </c>
      <c r="CD88" s="1001">
        <f t="shared" si="204"/>
        <v>0</v>
      </c>
      <c r="CE88" s="1001">
        <f t="shared" si="204"/>
        <v>0</v>
      </c>
      <c r="CF88" s="1001">
        <f t="shared" si="204"/>
        <v>0</v>
      </c>
      <c r="CG88" s="1001">
        <f t="shared" si="204"/>
        <v>0</v>
      </c>
      <c r="CH88" s="1001">
        <f t="shared" si="204"/>
        <v>0</v>
      </c>
      <c r="CI88" s="1001">
        <f t="shared" si="204"/>
        <v>0</v>
      </c>
      <c r="CJ88" s="1001">
        <f t="shared" si="204"/>
        <v>0</v>
      </c>
      <c r="CK88" s="1001">
        <f t="shared" si="204"/>
        <v>0</v>
      </c>
      <c r="CL88" s="1049">
        <f t="shared" si="205"/>
        <v>0</v>
      </c>
      <c r="CM88" s="1051">
        <f>300000/12</f>
        <v>25000</v>
      </c>
      <c r="CN88" s="1016">
        <f t="shared" si="235"/>
        <v>25000</v>
      </c>
      <c r="CO88" s="1016">
        <f t="shared" si="235"/>
        <v>25000</v>
      </c>
      <c r="CP88" s="1016">
        <f t="shared" si="235"/>
        <v>25000</v>
      </c>
      <c r="CQ88" s="1016">
        <f t="shared" si="235"/>
        <v>25000</v>
      </c>
      <c r="CR88" s="1016">
        <f t="shared" si="235"/>
        <v>25000</v>
      </c>
      <c r="CS88" s="1016">
        <f t="shared" si="235"/>
        <v>25000</v>
      </c>
      <c r="CT88" s="1016">
        <f t="shared" si="235"/>
        <v>25000</v>
      </c>
      <c r="CU88" s="1016">
        <f t="shared" si="235"/>
        <v>25000</v>
      </c>
      <c r="CV88" s="1016">
        <f t="shared" si="235"/>
        <v>25000</v>
      </c>
      <c r="CW88" s="1016">
        <f t="shared" si="235"/>
        <v>25000</v>
      </c>
      <c r="CX88" s="1016">
        <f t="shared" si="235"/>
        <v>25000</v>
      </c>
      <c r="CY88" s="1014">
        <f t="shared" si="216"/>
        <v>300000</v>
      </c>
      <c r="CZ88" s="1000">
        <f t="shared" si="206"/>
        <v>37500</v>
      </c>
      <c r="DA88" s="1001">
        <f t="shared" si="236"/>
        <v>37500</v>
      </c>
      <c r="DB88" s="1001">
        <f t="shared" si="236"/>
        <v>37500</v>
      </c>
      <c r="DC88" s="1001">
        <f t="shared" si="236"/>
        <v>37500</v>
      </c>
      <c r="DD88" s="1001">
        <f t="shared" si="236"/>
        <v>37500</v>
      </c>
      <c r="DE88" s="1001">
        <f t="shared" si="236"/>
        <v>37500</v>
      </c>
      <c r="DF88" s="1001">
        <f t="shared" si="236"/>
        <v>37500</v>
      </c>
      <c r="DG88" s="1001">
        <f t="shared" si="236"/>
        <v>37500</v>
      </c>
      <c r="DH88" s="1001">
        <f t="shared" si="236"/>
        <v>37500</v>
      </c>
      <c r="DI88" s="1001">
        <f t="shared" si="236"/>
        <v>37500</v>
      </c>
      <c r="DJ88" s="1001">
        <f t="shared" si="236"/>
        <v>37500</v>
      </c>
      <c r="DK88" s="1001">
        <f t="shared" si="236"/>
        <v>37500</v>
      </c>
      <c r="DL88" s="1002">
        <f t="shared" si="208"/>
        <v>450000</v>
      </c>
      <c r="DM88" s="1015">
        <f>500000/12</f>
        <v>41666.666666666664</v>
      </c>
      <c r="DN88" s="1016">
        <f t="shared" si="237"/>
        <v>41666.666666666664</v>
      </c>
      <c r="DO88" s="1016">
        <f t="shared" si="237"/>
        <v>41666.666666666664</v>
      </c>
      <c r="DP88" s="1016">
        <f t="shared" si="237"/>
        <v>41666.666666666664</v>
      </c>
      <c r="DQ88" s="1016">
        <f t="shared" si="237"/>
        <v>41666.666666666664</v>
      </c>
      <c r="DR88" s="1016">
        <f t="shared" si="237"/>
        <v>41666.666666666664</v>
      </c>
      <c r="DS88" s="1016">
        <f t="shared" si="237"/>
        <v>41666.666666666664</v>
      </c>
      <c r="DT88" s="1016">
        <f t="shared" si="237"/>
        <v>41666.666666666664</v>
      </c>
      <c r="DU88" s="1016">
        <f t="shared" si="237"/>
        <v>41666.666666666664</v>
      </c>
      <c r="DV88" s="1016">
        <f t="shared" si="237"/>
        <v>41666.666666666664</v>
      </c>
      <c r="DW88" s="1016">
        <f t="shared" si="237"/>
        <v>41666.666666666664</v>
      </c>
      <c r="DX88" s="1016">
        <f t="shared" si="237"/>
        <v>41666.666666666664</v>
      </c>
      <c r="DY88" s="999">
        <f t="shared" si="217"/>
        <v>500000.00000000006</v>
      </c>
      <c r="DZ88" s="1000">
        <f t="shared" si="209"/>
        <v>62500</v>
      </c>
      <c r="EA88" s="1001">
        <f t="shared" si="209"/>
        <v>62500</v>
      </c>
      <c r="EB88" s="1001">
        <f t="shared" si="209"/>
        <v>62500</v>
      </c>
      <c r="EC88" s="1001">
        <f t="shared" si="209"/>
        <v>62500</v>
      </c>
      <c r="ED88" s="1001">
        <f t="shared" si="209"/>
        <v>62500</v>
      </c>
      <c r="EE88" s="1001">
        <f t="shared" si="209"/>
        <v>62500</v>
      </c>
      <c r="EF88" s="1001">
        <f t="shared" si="209"/>
        <v>62500</v>
      </c>
      <c r="EG88" s="1001">
        <f t="shared" si="209"/>
        <v>62500</v>
      </c>
      <c r="EH88" s="1001">
        <f t="shared" si="209"/>
        <v>62500</v>
      </c>
      <c r="EI88" s="1001">
        <f t="shared" si="209"/>
        <v>62500</v>
      </c>
      <c r="EJ88" s="1001">
        <f t="shared" si="209"/>
        <v>62500</v>
      </c>
      <c r="EK88" s="1001">
        <f t="shared" si="209"/>
        <v>62500</v>
      </c>
      <c r="EL88" s="1002">
        <f t="shared" si="210"/>
        <v>750000</v>
      </c>
    </row>
    <row r="89" spans="1:142" s="1019" customFormat="1">
      <c r="A89" s="1006" t="s">
        <v>77</v>
      </c>
      <c r="B89" s="1040" t="s">
        <v>722</v>
      </c>
      <c r="C89" s="988"/>
      <c r="D89" s="1043"/>
      <c r="E89" s="1050"/>
      <c r="F89" s="1050"/>
      <c r="G89" s="1025"/>
      <c r="H89" s="1044">
        <v>3</v>
      </c>
      <c r="I89" s="1045">
        <v>3</v>
      </c>
      <c r="J89" s="1045">
        <v>3</v>
      </c>
      <c r="K89" s="1046">
        <v>3</v>
      </c>
      <c r="L89" s="1011"/>
      <c r="M89" s="1015"/>
      <c r="N89" s="1016"/>
      <c r="O89" s="1016"/>
      <c r="P89" s="1016"/>
      <c r="Q89" s="1016"/>
      <c r="R89" s="1016"/>
      <c r="S89" s="1016"/>
      <c r="T89" s="1016"/>
      <c r="U89" s="1016"/>
      <c r="V89" s="1016">
        <v>0</v>
      </c>
      <c r="W89" s="1016"/>
      <c r="X89" s="1016"/>
      <c r="Y89" s="999">
        <f t="shared" si="197"/>
        <v>0</v>
      </c>
      <c r="Z89" s="1000"/>
      <c r="AA89" s="1001"/>
      <c r="AB89" s="1001"/>
      <c r="AC89" s="1001"/>
      <c r="AD89" s="257">
        <f t="shared" si="212"/>
        <v>0</v>
      </c>
      <c r="AE89" s="257">
        <f t="shared" si="212"/>
        <v>0</v>
      </c>
      <c r="AF89" s="257">
        <f t="shared" si="212"/>
        <v>0</v>
      </c>
      <c r="AG89" s="257">
        <f t="shared" si="212"/>
        <v>0</v>
      </c>
      <c r="AH89" s="1001"/>
      <c r="AI89" s="1001"/>
      <c r="AJ89" s="1001"/>
      <c r="AK89" s="1017"/>
      <c r="AL89" s="1018">
        <f t="shared" si="200"/>
        <v>0</v>
      </c>
      <c r="AM89" s="1015"/>
      <c r="AN89" s="1016"/>
      <c r="AO89" s="1016"/>
      <c r="AP89" s="1016"/>
      <c r="AQ89" s="1016"/>
      <c r="AR89" s="1016"/>
      <c r="AS89" s="1016">
        <f t="shared" ref="AS89:AX89" si="238">33333/6</f>
        <v>5555.5</v>
      </c>
      <c r="AT89" s="1016">
        <f t="shared" si="238"/>
        <v>5555.5</v>
      </c>
      <c r="AU89" s="1016">
        <f t="shared" si="238"/>
        <v>5555.5</v>
      </c>
      <c r="AV89" s="1016">
        <f t="shared" si="238"/>
        <v>5555.5</v>
      </c>
      <c r="AW89" s="1016">
        <f t="shared" si="238"/>
        <v>5555.5</v>
      </c>
      <c r="AX89" s="1016">
        <f t="shared" si="238"/>
        <v>5555.5</v>
      </c>
      <c r="AY89" s="999">
        <f t="shared" si="213"/>
        <v>33333</v>
      </c>
      <c r="AZ89" s="1000">
        <f t="shared" si="201"/>
        <v>0</v>
      </c>
      <c r="BA89" s="1001">
        <f t="shared" si="201"/>
        <v>0</v>
      </c>
      <c r="BB89" s="1001">
        <f t="shared" si="201"/>
        <v>0</v>
      </c>
      <c r="BC89" s="1001">
        <f t="shared" si="201"/>
        <v>0</v>
      </c>
      <c r="BD89" s="1001">
        <f t="shared" si="201"/>
        <v>0</v>
      </c>
      <c r="BE89" s="1001">
        <f t="shared" si="201"/>
        <v>0</v>
      </c>
      <c r="BF89" s="1001">
        <f t="shared" si="201"/>
        <v>16666.5</v>
      </c>
      <c r="BG89" s="1001">
        <f t="shared" si="201"/>
        <v>16666.5</v>
      </c>
      <c r="BH89" s="1001">
        <f t="shared" si="201"/>
        <v>16666.5</v>
      </c>
      <c r="BI89" s="1001">
        <f t="shared" si="201"/>
        <v>16666.5</v>
      </c>
      <c r="BJ89" s="1001">
        <f t="shared" si="201"/>
        <v>16666.5</v>
      </c>
      <c r="BK89" s="1001">
        <f t="shared" si="201"/>
        <v>16666.5</v>
      </c>
      <c r="BL89" s="1002">
        <f t="shared" si="202"/>
        <v>99999</v>
      </c>
      <c r="BM89" s="1015">
        <f>200000/12</f>
        <v>16666.666666666668</v>
      </c>
      <c r="BN89" s="1015">
        <f t="shared" ref="BN89:BX89" si="239">200000/12</f>
        <v>16666.666666666668</v>
      </c>
      <c r="BO89" s="1015">
        <f t="shared" si="239"/>
        <v>16666.666666666668</v>
      </c>
      <c r="BP89" s="1015">
        <f t="shared" si="239"/>
        <v>16666.666666666668</v>
      </c>
      <c r="BQ89" s="1015">
        <f t="shared" si="239"/>
        <v>16666.666666666668</v>
      </c>
      <c r="BR89" s="1015">
        <f t="shared" si="239"/>
        <v>16666.666666666668</v>
      </c>
      <c r="BS89" s="1015">
        <f t="shared" si="239"/>
        <v>16666.666666666668</v>
      </c>
      <c r="BT89" s="1015">
        <f t="shared" si="239"/>
        <v>16666.666666666668</v>
      </c>
      <c r="BU89" s="1015">
        <f t="shared" si="239"/>
        <v>16666.666666666668</v>
      </c>
      <c r="BV89" s="1015">
        <f t="shared" si="239"/>
        <v>16666.666666666668</v>
      </c>
      <c r="BW89" s="1015">
        <f t="shared" si="239"/>
        <v>16666.666666666668</v>
      </c>
      <c r="BX89" s="1015">
        <f t="shared" si="239"/>
        <v>16666.666666666668</v>
      </c>
      <c r="BY89" s="999">
        <f t="shared" si="215"/>
        <v>199999.99999999997</v>
      </c>
      <c r="BZ89" s="1048">
        <f t="shared" si="204"/>
        <v>50000</v>
      </c>
      <c r="CA89" s="1001">
        <f t="shared" si="204"/>
        <v>50000</v>
      </c>
      <c r="CB89" s="1001">
        <f t="shared" si="204"/>
        <v>50000</v>
      </c>
      <c r="CC89" s="1001">
        <f t="shared" si="204"/>
        <v>50000</v>
      </c>
      <c r="CD89" s="1001">
        <f t="shared" si="204"/>
        <v>50000</v>
      </c>
      <c r="CE89" s="1001">
        <f t="shared" si="204"/>
        <v>50000</v>
      </c>
      <c r="CF89" s="1001">
        <f t="shared" si="204"/>
        <v>50000</v>
      </c>
      <c r="CG89" s="1001">
        <f t="shared" si="204"/>
        <v>50000</v>
      </c>
      <c r="CH89" s="1001">
        <f t="shared" si="204"/>
        <v>50000</v>
      </c>
      <c r="CI89" s="1001">
        <f t="shared" si="204"/>
        <v>50000</v>
      </c>
      <c r="CJ89" s="1001">
        <f t="shared" si="204"/>
        <v>50000</v>
      </c>
      <c r="CK89" s="1001">
        <f t="shared" si="204"/>
        <v>50000</v>
      </c>
      <c r="CL89" s="1049">
        <f t="shared" si="205"/>
        <v>600000</v>
      </c>
      <c r="CM89" s="1051">
        <f>300000/12</f>
        <v>25000</v>
      </c>
      <c r="CN89" s="1016">
        <f t="shared" si="235"/>
        <v>25000</v>
      </c>
      <c r="CO89" s="1016">
        <f t="shared" si="235"/>
        <v>25000</v>
      </c>
      <c r="CP89" s="1016">
        <f t="shared" si="235"/>
        <v>25000</v>
      </c>
      <c r="CQ89" s="1016">
        <f t="shared" si="235"/>
        <v>25000</v>
      </c>
      <c r="CR89" s="1016">
        <f t="shared" si="235"/>
        <v>25000</v>
      </c>
      <c r="CS89" s="1016">
        <f t="shared" si="235"/>
        <v>25000</v>
      </c>
      <c r="CT89" s="1016">
        <f t="shared" si="235"/>
        <v>25000</v>
      </c>
      <c r="CU89" s="1016">
        <f t="shared" si="235"/>
        <v>25000</v>
      </c>
      <c r="CV89" s="1016">
        <f t="shared" si="235"/>
        <v>25000</v>
      </c>
      <c r="CW89" s="1016">
        <f t="shared" si="235"/>
        <v>25000</v>
      </c>
      <c r="CX89" s="1016">
        <f t="shared" si="235"/>
        <v>25000</v>
      </c>
      <c r="CY89" s="1014">
        <f t="shared" si="216"/>
        <v>300000</v>
      </c>
      <c r="CZ89" s="1000">
        <f t="shared" si="206"/>
        <v>75000</v>
      </c>
      <c r="DA89" s="1001">
        <f t="shared" si="236"/>
        <v>75000</v>
      </c>
      <c r="DB89" s="1001">
        <f t="shared" si="236"/>
        <v>75000</v>
      </c>
      <c r="DC89" s="1001">
        <f t="shared" si="236"/>
        <v>75000</v>
      </c>
      <c r="DD89" s="1001">
        <f t="shared" si="236"/>
        <v>75000</v>
      </c>
      <c r="DE89" s="1001">
        <f t="shared" si="236"/>
        <v>75000</v>
      </c>
      <c r="DF89" s="1001">
        <f t="shared" si="236"/>
        <v>75000</v>
      </c>
      <c r="DG89" s="1001">
        <f t="shared" si="236"/>
        <v>75000</v>
      </c>
      <c r="DH89" s="1001">
        <f t="shared" si="236"/>
        <v>75000</v>
      </c>
      <c r="DI89" s="1001">
        <f t="shared" si="236"/>
        <v>75000</v>
      </c>
      <c r="DJ89" s="1001">
        <f t="shared" si="236"/>
        <v>75000</v>
      </c>
      <c r="DK89" s="1001">
        <f t="shared" si="236"/>
        <v>75000</v>
      </c>
      <c r="DL89" s="1002">
        <f t="shared" si="208"/>
        <v>900000</v>
      </c>
      <c r="DM89" s="1015">
        <f>400000/12</f>
        <v>33333.333333333336</v>
      </c>
      <c r="DN89" s="1015">
        <f t="shared" ref="DN89:DX89" si="240">400000/12</f>
        <v>33333.333333333336</v>
      </c>
      <c r="DO89" s="1015">
        <f t="shared" si="240"/>
        <v>33333.333333333336</v>
      </c>
      <c r="DP89" s="1015">
        <f t="shared" si="240"/>
        <v>33333.333333333336</v>
      </c>
      <c r="DQ89" s="1015">
        <f t="shared" si="240"/>
        <v>33333.333333333336</v>
      </c>
      <c r="DR89" s="1015">
        <f t="shared" si="240"/>
        <v>33333.333333333336</v>
      </c>
      <c r="DS89" s="1015">
        <f t="shared" si="240"/>
        <v>33333.333333333336</v>
      </c>
      <c r="DT89" s="1015">
        <f t="shared" si="240"/>
        <v>33333.333333333336</v>
      </c>
      <c r="DU89" s="1015">
        <f t="shared" si="240"/>
        <v>33333.333333333336</v>
      </c>
      <c r="DV89" s="1015">
        <f t="shared" si="240"/>
        <v>33333.333333333336</v>
      </c>
      <c r="DW89" s="1015">
        <f t="shared" si="240"/>
        <v>33333.333333333336</v>
      </c>
      <c r="DX89" s="1015">
        <f t="shared" si="240"/>
        <v>33333.333333333336</v>
      </c>
      <c r="DY89" s="999">
        <f t="shared" si="217"/>
        <v>399999.99999999994</v>
      </c>
      <c r="DZ89" s="1000">
        <f>DM89*$K89</f>
        <v>100000</v>
      </c>
      <c r="EA89" s="1001">
        <f t="shared" si="209"/>
        <v>100000</v>
      </c>
      <c r="EB89" s="1001">
        <f t="shared" si="209"/>
        <v>100000</v>
      </c>
      <c r="EC89" s="1001">
        <f t="shared" si="209"/>
        <v>100000</v>
      </c>
      <c r="ED89" s="1001">
        <f t="shared" si="209"/>
        <v>100000</v>
      </c>
      <c r="EE89" s="1001">
        <f t="shared" si="209"/>
        <v>100000</v>
      </c>
      <c r="EF89" s="1001">
        <f t="shared" si="209"/>
        <v>100000</v>
      </c>
      <c r="EG89" s="1001">
        <f t="shared" si="209"/>
        <v>100000</v>
      </c>
      <c r="EH89" s="1001">
        <f t="shared" si="209"/>
        <v>100000</v>
      </c>
      <c r="EI89" s="1001">
        <f t="shared" si="209"/>
        <v>100000</v>
      </c>
      <c r="EJ89" s="1001">
        <f t="shared" si="209"/>
        <v>100000</v>
      </c>
      <c r="EK89" s="1001">
        <f t="shared" si="209"/>
        <v>100000</v>
      </c>
      <c r="EL89" s="1002">
        <f t="shared" si="210"/>
        <v>1200000</v>
      </c>
    </row>
    <row r="90" spans="1:142" s="1019" customFormat="1">
      <c r="A90" s="1006" t="s">
        <v>77</v>
      </c>
      <c r="B90" s="1040" t="s">
        <v>723</v>
      </c>
      <c r="C90" s="988"/>
      <c r="D90" s="1043"/>
      <c r="E90" s="1050"/>
      <c r="F90" s="1050"/>
      <c r="G90" s="1025"/>
      <c r="H90" s="1044">
        <v>4.4000000000000004</v>
      </c>
      <c r="I90" s="1045">
        <v>4.4000000000000004</v>
      </c>
      <c r="J90" s="1045">
        <v>4.4000000000000004</v>
      </c>
      <c r="K90" s="1046">
        <v>4.4000000000000004</v>
      </c>
      <c r="L90" s="1011"/>
      <c r="M90" s="1015"/>
      <c r="N90" s="1016"/>
      <c r="O90" s="1016"/>
      <c r="P90" s="1016"/>
      <c r="Q90" s="1016"/>
      <c r="R90" s="1016"/>
      <c r="S90" s="1016"/>
      <c r="T90" s="1016"/>
      <c r="U90" s="1016"/>
      <c r="V90" s="1016">
        <v>0</v>
      </c>
      <c r="W90" s="1016"/>
      <c r="X90" s="1016"/>
      <c r="Y90" s="999">
        <f t="shared" si="197"/>
        <v>0</v>
      </c>
      <c r="Z90" s="1000"/>
      <c r="AA90" s="1001"/>
      <c r="AB90" s="1001"/>
      <c r="AC90" s="1001"/>
      <c r="AD90" s="257">
        <f t="shared" si="212"/>
        <v>0</v>
      </c>
      <c r="AE90" s="257">
        <f t="shared" si="212"/>
        <v>0</v>
      </c>
      <c r="AF90" s="257">
        <f t="shared" si="212"/>
        <v>0</v>
      </c>
      <c r="AG90" s="257">
        <f t="shared" si="212"/>
        <v>0</v>
      </c>
      <c r="AH90" s="1001"/>
      <c r="AI90" s="1001"/>
      <c r="AJ90" s="1001"/>
      <c r="AK90" s="1017"/>
      <c r="AL90" s="1018">
        <f t="shared" si="200"/>
        <v>0</v>
      </c>
      <c r="AM90" s="1015"/>
      <c r="AN90" s="1016"/>
      <c r="AO90" s="1016"/>
      <c r="AP90" s="1016"/>
      <c r="AQ90" s="1016"/>
      <c r="AR90" s="1016"/>
      <c r="AS90" s="1016">
        <f>95116/6</f>
        <v>15852.666666666666</v>
      </c>
      <c r="AT90" s="1016">
        <f>95116/6</f>
        <v>15852.666666666666</v>
      </c>
      <c r="AU90" s="1016">
        <f t="shared" ref="AU90:AX91" si="241">95116/6</f>
        <v>15852.666666666666</v>
      </c>
      <c r="AV90" s="1016">
        <f t="shared" si="241"/>
        <v>15852.666666666666</v>
      </c>
      <c r="AW90" s="1016">
        <f t="shared" si="241"/>
        <v>15852.666666666666</v>
      </c>
      <c r="AX90" s="1016">
        <f t="shared" si="241"/>
        <v>15852.666666666666</v>
      </c>
      <c r="AY90" s="999">
        <f t="shared" si="213"/>
        <v>95116</v>
      </c>
      <c r="AZ90" s="1000">
        <f t="shared" si="201"/>
        <v>0</v>
      </c>
      <c r="BA90" s="1001">
        <f t="shared" si="201"/>
        <v>0</v>
      </c>
      <c r="BB90" s="1001">
        <f t="shared" si="201"/>
        <v>0</v>
      </c>
      <c r="BC90" s="1001">
        <f t="shared" si="201"/>
        <v>0</v>
      </c>
      <c r="BD90" s="1001">
        <f t="shared" si="201"/>
        <v>0</v>
      </c>
      <c r="BE90" s="1001">
        <f t="shared" si="201"/>
        <v>0</v>
      </c>
      <c r="BF90" s="1001">
        <f t="shared" si="201"/>
        <v>69751.733333333337</v>
      </c>
      <c r="BG90" s="1001">
        <f t="shared" si="201"/>
        <v>69751.733333333337</v>
      </c>
      <c r="BH90" s="1001">
        <f t="shared" si="201"/>
        <v>69751.733333333337</v>
      </c>
      <c r="BI90" s="1001">
        <f t="shared" si="201"/>
        <v>69751.733333333337</v>
      </c>
      <c r="BJ90" s="1001">
        <f t="shared" si="201"/>
        <v>69751.733333333337</v>
      </c>
      <c r="BK90" s="1001">
        <f t="shared" si="201"/>
        <v>69751.733333333337</v>
      </c>
      <c r="BL90" s="1002">
        <f t="shared" si="202"/>
        <v>418510.4</v>
      </c>
      <c r="BM90" s="1015">
        <f t="shared" ref="BM90:BX91" si="242">390000/12</f>
        <v>32500</v>
      </c>
      <c r="BN90" s="1015">
        <f t="shared" si="242"/>
        <v>32500</v>
      </c>
      <c r="BO90" s="1015">
        <f t="shared" si="242"/>
        <v>32500</v>
      </c>
      <c r="BP90" s="1015">
        <f t="shared" si="242"/>
        <v>32500</v>
      </c>
      <c r="BQ90" s="1015">
        <f t="shared" si="242"/>
        <v>32500</v>
      </c>
      <c r="BR90" s="1015">
        <f t="shared" si="242"/>
        <v>32500</v>
      </c>
      <c r="BS90" s="1015">
        <f t="shared" si="242"/>
        <v>32500</v>
      </c>
      <c r="BT90" s="1015">
        <f t="shared" si="242"/>
        <v>32500</v>
      </c>
      <c r="BU90" s="1015">
        <f t="shared" si="242"/>
        <v>32500</v>
      </c>
      <c r="BV90" s="1015">
        <f t="shared" si="242"/>
        <v>32500</v>
      </c>
      <c r="BW90" s="1015">
        <f t="shared" si="242"/>
        <v>32500</v>
      </c>
      <c r="BX90" s="1015">
        <f t="shared" si="242"/>
        <v>32500</v>
      </c>
      <c r="BY90" s="999">
        <f t="shared" si="215"/>
        <v>390000</v>
      </c>
      <c r="BZ90" s="1048">
        <f t="shared" si="204"/>
        <v>143000</v>
      </c>
      <c r="CA90" s="1001">
        <f t="shared" si="204"/>
        <v>143000</v>
      </c>
      <c r="CB90" s="1001">
        <f t="shared" si="204"/>
        <v>143000</v>
      </c>
      <c r="CC90" s="1001">
        <f t="shared" si="204"/>
        <v>143000</v>
      </c>
      <c r="CD90" s="1001">
        <f t="shared" si="204"/>
        <v>143000</v>
      </c>
      <c r="CE90" s="1001">
        <f t="shared" si="204"/>
        <v>143000</v>
      </c>
      <c r="CF90" s="1001">
        <f t="shared" si="204"/>
        <v>143000</v>
      </c>
      <c r="CG90" s="1001">
        <f t="shared" si="204"/>
        <v>143000</v>
      </c>
      <c r="CH90" s="1001">
        <f t="shared" si="204"/>
        <v>143000</v>
      </c>
      <c r="CI90" s="1001">
        <f t="shared" si="204"/>
        <v>143000</v>
      </c>
      <c r="CJ90" s="1001">
        <f t="shared" si="204"/>
        <v>143000</v>
      </c>
      <c r="CK90" s="1001">
        <f t="shared" si="204"/>
        <v>143000</v>
      </c>
      <c r="CL90" s="1049">
        <f t="shared" si="205"/>
        <v>1716000</v>
      </c>
      <c r="CM90" s="1051">
        <f>415000/12</f>
        <v>34583.333333333336</v>
      </c>
      <c r="CN90" s="1016">
        <f t="shared" ref="CN90:CX91" si="243">415000/12</f>
        <v>34583.333333333336</v>
      </c>
      <c r="CO90" s="1016">
        <f t="shared" si="243"/>
        <v>34583.333333333336</v>
      </c>
      <c r="CP90" s="1016">
        <f t="shared" si="243"/>
        <v>34583.333333333336</v>
      </c>
      <c r="CQ90" s="1016">
        <f t="shared" si="243"/>
        <v>34583.333333333336</v>
      </c>
      <c r="CR90" s="1016">
        <f t="shared" si="243"/>
        <v>34583.333333333336</v>
      </c>
      <c r="CS90" s="1016">
        <f t="shared" si="243"/>
        <v>34583.333333333336</v>
      </c>
      <c r="CT90" s="1016">
        <f t="shared" si="243"/>
        <v>34583.333333333336</v>
      </c>
      <c r="CU90" s="1016">
        <f t="shared" si="243"/>
        <v>34583.333333333336</v>
      </c>
      <c r="CV90" s="1016">
        <f t="shared" si="243"/>
        <v>34583.333333333336</v>
      </c>
      <c r="CW90" s="1016">
        <f t="shared" si="243"/>
        <v>34583.333333333336</v>
      </c>
      <c r="CX90" s="1016">
        <f t="shared" si="243"/>
        <v>34583.333333333336</v>
      </c>
      <c r="CY90" s="1014">
        <f t="shared" si="216"/>
        <v>414999.99999999994</v>
      </c>
      <c r="CZ90" s="1000">
        <f t="shared" si="206"/>
        <v>152166.66666666669</v>
      </c>
      <c r="DA90" s="1001">
        <f t="shared" si="236"/>
        <v>152166.66666666669</v>
      </c>
      <c r="DB90" s="1001">
        <f t="shared" si="236"/>
        <v>152166.66666666669</v>
      </c>
      <c r="DC90" s="1001">
        <f t="shared" si="236"/>
        <v>152166.66666666669</v>
      </c>
      <c r="DD90" s="1001">
        <f t="shared" si="236"/>
        <v>152166.66666666669</v>
      </c>
      <c r="DE90" s="1001">
        <f t="shared" si="236"/>
        <v>152166.66666666669</v>
      </c>
      <c r="DF90" s="1001">
        <f t="shared" si="236"/>
        <v>152166.66666666669</v>
      </c>
      <c r="DG90" s="1001">
        <f t="shared" si="236"/>
        <v>152166.66666666669</v>
      </c>
      <c r="DH90" s="1001">
        <f t="shared" si="236"/>
        <v>152166.66666666669</v>
      </c>
      <c r="DI90" s="1001">
        <f t="shared" si="236"/>
        <v>152166.66666666669</v>
      </c>
      <c r="DJ90" s="1001">
        <f t="shared" si="236"/>
        <v>152166.66666666669</v>
      </c>
      <c r="DK90" s="1001">
        <f t="shared" si="236"/>
        <v>152166.66666666669</v>
      </c>
      <c r="DL90" s="1002">
        <f t="shared" si="208"/>
        <v>1826000.0000000007</v>
      </c>
      <c r="DM90" s="1015">
        <f>415000/12</f>
        <v>34583.333333333336</v>
      </c>
      <c r="DN90" s="1015">
        <f t="shared" ref="DN90:DX91" si="244">415000/12</f>
        <v>34583.333333333336</v>
      </c>
      <c r="DO90" s="1015">
        <f t="shared" si="244"/>
        <v>34583.333333333336</v>
      </c>
      <c r="DP90" s="1015">
        <f t="shared" si="244"/>
        <v>34583.333333333336</v>
      </c>
      <c r="DQ90" s="1015">
        <f t="shared" si="244"/>
        <v>34583.333333333336</v>
      </c>
      <c r="DR90" s="1015">
        <f t="shared" si="244"/>
        <v>34583.333333333336</v>
      </c>
      <c r="DS90" s="1015">
        <f t="shared" si="244"/>
        <v>34583.333333333336</v>
      </c>
      <c r="DT90" s="1015">
        <f t="shared" si="244"/>
        <v>34583.333333333336</v>
      </c>
      <c r="DU90" s="1015">
        <f t="shared" si="244"/>
        <v>34583.333333333336</v>
      </c>
      <c r="DV90" s="1015">
        <f t="shared" si="244"/>
        <v>34583.333333333336</v>
      </c>
      <c r="DW90" s="1015">
        <f t="shared" si="244"/>
        <v>34583.333333333336</v>
      </c>
      <c r="DX90" s="1015">
        <f t="shared" si="244"/>
        <v>34583.333333333336</v>
      </c>
      <c r="DY90" s="999">
        <f t="shared" si="217"/>
        <v>414999.99999999994</v>
      </c>
      <c r="DZ90" s="1000">
        <f>DM90*$K90</f>
        <v>152166.66666666669</v>
      </c>
      <c r="EA90" s="1001">
        <f t="shared" si="209"/>
        <v>152166.66666666669</v>
      </c>
      <c r="EB90" s="1001">
        <f t="shared" si="209"/>
        <v>152166.66666666669</v>
      </c>
      <c r="EC90" s="1001">
        <f t="shared" si="209"/>
        <v>152166.66666666669</v>
      </c>
      <c r="ED90" s="1001">
        <f t="shared" si="209"/>
        <v>152166.66666666669</v>
      </c>
      <c r="EE90" s="1001">
        <f t="shared" si="209"/>
        <v>152166.66666666669</v>
      </c>
      <c r="EF90" s="1001">
        <f t="shared" si="209"/>
        <v>152166.66666666669</v>
      </c>
      <c r="EG90" s="1001">
        <f t="shared" si="209"/>
        <v>152166.66666666669</v>
      </c>
      <c r="EH90" s="1001">
        <f t="shared" si="209"/>
        <v>152166.66666666669</v>
      </c>
      <c r="EI90" s="1001">
        <f t="shared" si="209"/>
        <v>152166.66666666669</v>
      </c>
      <c r="EJ90" s="1001">
        <f t="shared" si="209"/>
        <v>152166.66666666669</v>
      </c>
      <c r="EK90" s="1001">
        <f t="shared" si="209"/>
        <v>152166.66666666669</v>
      </c>
      <c r="EL90" s="1002">
        <f t="shared" si="210"/>
        <v>1826000.0000000007</v>
      </c>
    </row>
    <row r="91" spans="1:142" s="1019" customFormat="1">
      <c r="A91" s="1006" t="s">
        <v>77</v>
      </c>
      <c r="B91" s="1040" t="s">
        <v>724</v>
      </c>
      <c r="C91" s="988"/>
      <c r="D91" s="1043"/>
      <c r="E91" s="1050"/>
      <c r="F91" s="1050"/>
      <c r="G91" s="1025"/>
      <c r="H91" s="1044">
        <v>1.5</v>
      </c>
      <c r="I91" s="1045">
        <v>1.5</v>
      </c>
      <c r="J91" s="1045">
        <v>1.5</v>
      </c>
      <c r="K91" s="1046">
        <v>1.5</v>
      </c>
      <c r="L91" s="1011"/>
      <c r="M91" s="1015"/>
      <c r="N91" s="1016"/>
      <c r="O91" s="1016"/>
      <c r="P91" s="1016"/>
      <c r="Q91" s="1016"/>
      <c r="R91" s="1016"/>
      <c r="S91" s="1016"/>
      <c r="T91" s="1016"/>
      <c r="U91" s="1016"/>
      <c r="V91" s="1016">
        <v>0</v>
      </c>
      <c r="W91" s="1016"/>
      <c r="X91" s="1016"/>
      <c r="Y91" s="999">
        <f t="shared" si="197"/>
        <v>0</v>
      </c>
      <c r="Z91" s="1000"/>
      <c r="AA91" s="1001"/>
      <c r="AB91" s="1001"/>
      <c r="AC91" s="1001"/>
      <c r="AD91" s="257">
        <f t="shared" si="212"/>
        <v>0</v>
      </c>
      <c r="AE91" s="257">
        <f t="shared" si="212"/>
        <v>0</v>
      </c>
      <c r="AF91" s="257">
        <f t="shared" si="212"/>
        <v>0</v>
      </c>
      <c r="AG91" s="257">
        <f t="shared" si="212"/>
        <v>0</v>
      </c>
      <c r="AH91" s="1001"/>
      <c r="AI91" s="1001"/>
      <c r="AJ91" s="1001"/>
      <c r="AK91" s="1017"/>
      <c r="AL91" s="1018">
        <f t="shared" si="200"/>
        <v>0</v>
      </c>
      <c r="AM91" s="1015"/>
      <c r="AN91" s="1016"/>
      <c r="AO91" s="1016"/>
      <c r="AP91" s="1016"/>
      <c r="AQ91" s="1016"/>
      <c r="AR91" s="1016"/>
      <c r="AS91" s="1016">
        <f>95116/6</f>
        <v>15852.666666666666</v>
      </c>
      <c r="AT91" s="1016">
        <f>95116/6</f>
        <v>15852.666666666666</v>
      </c>
      <c r="AU91" s="1016">
        <f t="shared" si="241"/>
        <v>15852.666666666666</v>
      </c>
      <c r="AV91" s="1016">
        <f t="shared" si="241"/>
        <v>15852.666666666666</v>
      </c>
      <c r="AW91" s="1016">
        <f t="shared" si="241"/>
        <v>15852.666666666666</v>
      </c>
      <c r="AX91" s="1016">
        <f t="shared" si="241"/>
        <v>15852.666666666666</v>
      </c>
      <c r="AY91" s="999">
        <f t="shared" si="213"/>
        <v>95116</v>
      </c>
      <c r="AZ91" s="1000">
        <f t="shared" si="201"/>
        <v>0</v>
      </c>
      <c r="BA91" s="1001">
        <f t="shared" si="201"/>
        <v>0</v>
      </c>
      <c r="BB91" s="1001">
        <f t="shared" si="201"/>
        <v>0</v>
      </c>
      <c r="BC91" s="1001">
        <f t="shared" si="201"/>
        <v>0</v>
      </c>
      <c r="BD91" s="1001">
        <f t="shared" si="201"/>
        <v>0</v>
      </c>
      <c r="BE91" s="1001">
        <f t="shared" si="201"/>
        <v>0</v>
      </c>
      <c r="BF91" s="1001">
        <f t="shared" si="201"/>
        <v>23779</v>
      </c>
      <c r="BG91" s="1001">
        <f t="shared" si="201"/>
        <v>23779</v>
      </c>
      <c r="BH91" s="1001">
        <f t="shared" si="201"/>
        <v>23779</v>
      </c>
      <c r="BI91" s="1001">
        <f t="shared" si="201"/>
        <v>23779</v>
      </c>
      <c r="BJ91" s="1001">
        <f t="shared" si="201"/>
        <v>23779</v>
      </c>
      <c r="BK91" s="1001">
        <f t="shared" si="201"/>
        <v>23779</v>
      </c>
      <c r="BL91" s="1002">
        <f t="shared" si="202"/>
        <v>142674</v>
      </c>
      <c r="BM91" s="1015">
        <f t="shared" si="242"/>
        <v>32500</v>
      </c>
      <c r="BN91" s="1015">
        <f t="shared" si="242"/>
        <v>32500</v>
      </c>
      <c r="BO91" s="1015">
        <f t="shared" si="242"/>
        <v>32500</v>
      </c>
      <c r="BP91" s="1015">
        <f t="shared" si="242"/>
        <v>32500</v>
      </c>
      <c r="BQ91" s="1015">
        <f t="shared" si="242"/>
        <v>32500</v>
      </c>
      <c r="BR91" s="1015">
        <f t="shared" si="242"/>
        <v>32500</v>
      </c>
      <c r="BS91" s="1015">
        <f t="shared" si="242"/>
        <v>32500</v>
      </c>
      <c r="BT91" s="1015">
        <f t="shared" si="242"/>
        <v>32500</v>
      </c>
      <c r="BU91" s="1015">
        <f t="shared" si="242"/>
        <v>32500</v>
      </c>
      <c r="BV91" s="1015">
        <f t="shared" si="242"/>
        <v>32500</v>
      </c>
      <c r="BW91" s="1015">
        <f t="shared" si="242"/>
        <v>32500</v>
      </c>
      <c r="BX91" s="1015">
        <f t="shared" si="242"/>
        <v>32500</v>
      </c>
      <c r="BY91" s="999">
        <f t="shared" si="215"/>
        <v>390000</v>
      </c>
      <c r="BZ91" s="1048">
        <f t="shared" si="204"/>
        <v>48750</v>
      </c>
      <c r="CA91" s="1001">
        <f t="shared" si="204"/>
        <v>48750</v>
      </c>
      <c r="CB91" s="1001">
        <f t="shared" si="204"/>
        <v>48750</v>
      </c>
      <c r="CC91" s="1001">
        <f t="shared" si="204"/>
        <v>48750</v>
      </c>
      <c r="CD91" s="1001">
        <f t="shared" si="204"/>
        <v>48750</v>
      </c>
      <c r="CE91" s="1001">
        <f t="shared" si="204"/>
        <v>48750</v>
      </c>
      <c r="CF91" s="1001">
        <f t="shared" si="204"/>
        <v>48750</v>
      </c>
      <c r="CG91" s="1001">
        <f t="shared" si="204"/>
        <v>48750</v>
      </c>
      <c r="CH91" s="1001">
        <f t="shared" si="204"/>
        <v>48750</v>
      </c>
      <c r="CI91" s="1001">
        <f t="shared" si="204"/>
        <v>48750</v>
      </c>
      <c r="CJ91" s="1001">
        <f t="shared" si="204"/>
        <v>48750</v>
      </c>
      <c r="CK91" s="1001">
        <f t="shared" si="204"/>
        <v>48750</v>
      </c>
      <c r="CL91" s="1049">
        <f t="shared" si="205"/>
        <v>585000</v>
      </c>
      <c r="CM91" s="1051">
        <f>415000/12</f>
        <v>34583.333333333336</v>
      </c>
      <c r="CN91" s="1016">
        <f t="shared" si="243"/>
        <v>34583.333333333336</v>
      </c>
      <c r="CO91" s="1016">
        <f t="shared" si="243"/>
        <v>34583.333333333336</v>
      </c>
      <c r="CP91" s="1016">
        <f t="shared" si="243"/>
        <v>34583.333333333336</v>
      </c>
      <c r="CQ91" s="1016">
        <f t="shared" si="243"/>
        <v>34583.333333333336</v>
      </c>
      <c r="CR91" s="1016">
        <f t="shared" si="243"/>
        <v>34583.333333333336</v>
      </c>
      <c r="CS91" s="1016">
        <f t="shared" si="243"/>
        <v>34583.333333333336</v>
      </c>
      <c r="CT91" s="1016">
        <f t="shared" si="243"/>
        <v>34583.333333333336</v>
      </c>
      <c r="CU91" s="1016">
        <f t="shared" si="243"/>
        <v>34583.333333333336</v>
      </c>
      <c r="CV91" s="1016">
        <f t="shared" si="243"/>
        <v>34583.333333333336</v>
      </c>
      <c r="CW91" s="1016">
        <f t="shared" si="243"/>
        <v>34583.333333333336</v>
      </c>
      <c r="CX91" s="1016">
        <f t="shared" si="243"/>
        <v>34583.333333333336</v>
      </c>
      <c r="CY91" s="1014">
        <f t="shared" si="216"/>
        <v>414999.99999999994</v>
      </c>
      <c r="CZ91" s="1000">
        <f t="shared" si="206"/>
        <v>51875</v>
      </c>
      <c r="DA91" s="1001">
        <f t="shared" si="236"/>
        <v>51875</v>
      </c>
      <c r="DB91" s="1001">
        <f t="shared" si="236"/>
        <v>51875</v>
      </c>
      <c r="DC91" s="1001">
        <f t="shared" si="236"/>
        <v>51875</v>
      </c>
      <c r="DD91" s="1001">
        <f t="shared" si="236"/>
        <v>51875</v>
      </c>
      <c r="DE91" s="1001">
        <f t="shared" si="236"/>
        <v>51875</v>
      </c>
      <c r="DF91" s="1001">
        <f t="shared" si="236"/>
        <v>51875</v>
      </c>
      <c r="DG91" s="1001">
        <f t="shared" si="236"/>
        <v>51875</v>
      </c>
      <c r="DH91" s="1001">
        <f t="shared" si="236"/>
        <v>51875</v>
      </c>
      <c r="DI91" s="1001">
        <f t="shared" si="236"/>
        <v>51875</v>
      </c>
      <c r="DJ91" s="1001">
        <f t="shared" si="236"/>
        <v>51875</v>
      </c>
      <c r="DK91" s="1001">
        <f t="shared" si="236"/>
        <v>51875</v>
      </c>
      <c r="DL91" s="1002">
        <f t="shared" si="208"/>
        <v>622500</v>
      </c>
      <c r="DM91" s="1015">
        <f>415000/12</f>
        <v>34583.333333333336</v>
      </c>
      <c r="DN91" s="1015">
        <f t="shared" si="244"/>
        <v>34583.333333333336</v>
      </c>
      <c r="DO91" s="1015">
        <f t="shared" si="244"/>
        <v>34583.333333333336</v>
      </c>
      <c r="DP91" s="1015">
        <f t="shared" si="244"/>
        <v>34583.333333333336</v>
      </c>
      <c r="DQ91" s="1015">
        <f t="shared" si="244"/>
        <v>34583.333333333336</v>
      </c>
      <c r="DR91" s="1015">
        <f t="shared" si="244"/>
        <v>34583.333333333336</v>
      </c>
      <c r="DS91" s="1015">
        <f t="shared" si="244"/>
        <v>34583.333333333336</v>
      </c>
      <c r="DT91" s="1015">
        <f t="shared" si="244"/>
        <v>34583.333333333336</v>
      </c>
      <c r="DU91" s="1015">
        <f t="shared" si="244"/>
        <v>34583.333333333336</v>
      </c>
      <c r="DV91" s="1015">
        <f t="shared" si="244"/>
        <v>34583.333333333336</v>
      </c>
      <c r="DW91" s="1015">
        <f t="shared" si="244"/>
        <v>34583.333333333336</v>
      </c>
      <c r="DX91" s="1015">
        <f t="shared" si="244"/>
        <v>34583.333333333336</v>
      </c>
      <c r="DY91" s="999">
        <f t="shared" si="217"/>
        <v>414999.99999999994</v>
      </c>
      <c r="DZ91" s="1000">
        <f>DM91*$K91</f>
        <v>51875</v>
      </c>
      <c r="EA91" s="1001">
        <f t="shared" si="209"/>
        <v>51875</v>
      </c>
      <c r="EB91" s="1001">
        <f t="shared" si="209"/>
        <v>51875</v>
      </c>
      <c r="EC91" s="1001">
        <f t="shared" si="209"/>
        <v>51875</v>
      </c>
      <c r="ED91" s="1001">
        <f t="shared" si="209"/>
        <v>51875</v>
      </c>
      <c r="EE91" s="1001">
        <f t="shared" si="209"/>
        <v>51875</v>
      </c>
      <c r="EF91" s="1001">
        <f t="shared" si="209"/>
        <v>51875</v>
      </c>
      <c r="EG91" s="1001">
        <f t="shared" si="209"/>
        <v>51875</v>
      </c>
      <c r="EH91" s="1001">
        <f t="shared" si="209"/>
        <v>51875</v>
      </c>
      <c r="EI91" s="1001">
        <f t="shared" si="209"/>
        <v>51875</v>
      </c>
      <c r="EJ91" s="1001">
        <f t="shared" si="209"/>
        <v>51875</v>
      </c>
      <c r="EK91" s="1001">
        <f t="shared" si="209"/>
        <v>51875</v>
      </c>
      <c r="EL91" s="1002">
        <f t="shared" si="210"/>
        <v>622500</v>
      </c>
    </row>
    <row r="92" spans="1:142">
      <c r="A92" s="987" t="s">
        <v>725</v>
      </c>
      <c r="B92" s="913" t="s">
        <v>78</v>
      </c>
      <c r="C92" s="1041" t="s">
        <v>726</v>
      </c>
      <c r="D92" s="568">
        <v>1.173</v>
      </c>
      <c r="E92" s="553">
        <v>1.173</v>
      </c>
      <c r="F92" s="1052">
        <v>1.173</v>
      </c>
      <c r="G92" s="570">
        <v>1.173</v>
      </c>
      <c r="H92" s="568">
        <f t="shared" ref="H92:K93" si="245">G92</f>
        <v>1.173</v>
      </c>
      <c r="I92" s="569">
        <f t="shared" si="245"/>
        <v>1.173</v>
      </c>
      <c r="J92" s="569">
        <f t="shared" si="245"/>
        <v>1.173</v>
      </c>
      <c r="K92" s="1038">
        <f t="shared" si="245"/>
        <v>1.173</v>
      </c>
      <c r="L92" s="884"/>
      <c r="M92" s="563">
        <v>65520</v>
      </c>
      <c r="N92" s="561">
        <v>40720</v>
      </c>
      <c r="O92" s="561">
        <v>84000</v>
      </c>
      <c r="P92" s="561">
        <v>60000</v>
      </c>
      <c r="Q92" s="561">
        <v>33600</v>
      </c>
      <c r="R92" s="561">
        <f>14500+15000</f>
        <v>29500</v>
      </c>
      <c r="S92" s="561">
        <v>62000</v>
      </c>
      <c r="T92" s="561">
        <v>45000</v>
      </c>
      <c r="U92" s="561">
        <v>57120</v>
      </c>
      <c r="V92" s="561">
        <v>53760</v>
      </c>
      <c r="W92" s="561">
        <v>57120</v>
      </c>
      <c r="X92" s="561">
        <v>57120</v>
      </c>
      <c r="Y92" s="885">
        <f t="shared" si="197"/>
        <v>645460</v>
      </c>
      <c r="Z92" s="886">
        <f>$D92*M92+622</f>
        <v>77476.960000000006</v>
      </c>
      <c r="AA92" s="257">
        <f>$D92*N92</f>
        <v>47764.560000000005</v>
      </c>
      <c r="AB92" s="257">
        <f>$D92*O92</f>
        <v>98532</v>
      </c>
      <c r="AC92" s="257">
        <v>70380</v>
      </c>
      <c r="AD92" s="257">
        <v>39786</v>
      </c>
      <c r="AE92" s="257">
        <f>R92*$D92</f>
        <v>34603.5</v>
      </c>
      <c r="AF92" s="257">
        <f>S92*$D92</f>
        <v>72726</v>
      </c>
      <c r="AG92" s="257">
        <f>T92*$D92</f>
        <v>52785</v>
      </c>
      <c r="AH92" s="257">
        <f>$D92*U92</f>
        <v>67001.760000000009</v>
      </c>
      <c r="AI92" s="257">
        <f>$D92*V92</f>
        <v>63060.480000000003</v>
      </c>
      <c r="AJ92" s="257">
        <f>$D92*W92</f>
        <v>67001.760000000009</v>
      </c>
      <c r="AK92" s="1053">
        <f>$D92*X92</f>
        <v>67001.760000000009</v>
      </c>
      <c r="AL92" s="1054">
        <f t="shared" si="200"/>
        <v>758119.78</v>
      </c>
      <c r="AM92" s="1037">
        <f>420000/12</f>
        <v>35000</v>
      </c>
      <c r="AN92" s="561">
        <f t="shared" ref="AN92:AX92" si="246">420000/12</f>
        <v>35000</v>
      </c>
      <c r="AO92" s="561">
        <f t="shared" si="246"/>
        <v>35000</v>
      </c>
      <c r="AP92" s="561">
        <f t="shared" si="246"/>
        <v>35000</v>
      </c>
      <c r="AQ92" s="561">
        <f t="shared" si="246"/>
        <v>35000</v>
      </c>
      <c r="AR92" s="561">
        <f t="shared" si="246"/>
        <v>35000</v>
      </c>
      <c r="AS92" s="561">
        <f t="shared" si="246"/>
        <v>35000</v>
      </c>
      <c r="AT92" s="561">
        <f t="shared" si="246"/>
        <v>35000</v>
      </c>
      <c r="AU92" s="561">
        <f t="shared" si="246"/>
        <v>35000</v>
      </c>
      <c r="AV92" s="561">
        <f t="shared" si="246"/>
        <v>35000</v>
      </c>
      <c r="AW92" s="561">
        <f t="shared" si="246"/>
        <v>35000</v>
      </c>
      <c r="AX92" s="561">
        <f t="shared" si="246"/>
        <v>35000</v>
      </c>
      <c r="AY92" s="885">
        <f>SUM(AM92:AX92)</f>
        <v>420000</v>
      </c>
      <c r="AZ92" s="886">
        <f t="shared" si="201"/>
        <v>41055</v>
      </c>
      <c r="BA92" s="257">
        <f t="shared" si="201"/>
        <v>41055</v>
      </c>
      <c r="BB92" s="257">
        <f t="shared" si="201"/>
        <v>41055</v>
      </c>
      <c r="BC92" s="257">
        <f t="shared" si="201"/>
        <v>41055</v>
      </c>
      <c r="BD92" s="257">
        <f t="shared" si="201"/>
        <v>41055</v>
      </c>
      <c r="BE92" s="257">
        <f t="shared" si="201"/>
        <v>41055</v>
      </c>
      <c r="BF92" s="257">
        <f t="shared" si="201"/>
        <v>41055</v>
      </c>
      <c r="BG92" s="257">
        <f t="shared" si="201"/>
        <v>41055</v>
      </c>
      <c r="BH92" s="257">
        <f t="shared" si="201"/>
        <v>41055</v>
      </c>
      <c r="BI92" s="257">
        <f t="shared" si="201"/>
        <v>41055</v>
      </c>
      <c r="BJ92" s="257">
        <f t="shared" si="201"/>
        <v>41055</v>
      </c>
      <c r="BK92" s="257">
        <f t="shared" si="201"/>
        <v>41055</v>
      </c>
      <c r="BL92" s="887">
        <f t="shared" si="202"/>
        <v>492660</v>
      </c>
      <c r="BM92" s="1037">
        <f t="shared" ref="BM92:DX92" si="247">420000/12</f>
        <v>35000</v>
      </c>
      <c r="BN92" s="561">
        <f t="shared" si="247"/>
        <v>35000</v>
      </c>
      <c r="BO92" s="561">
        <f t="shared" si="247"/>
        <v>35000</v>
      </c>
      <c r="BP92" s="561">
        <f t="shared" si="247"/>
        <v>35000</v>
      </c>
      <c r="BQ92" s="561">
        <f t="shared" si="247"/>
        <v>35000</v>
      </c>
      <c r="BR92" s="561">
        <f t="shared" si="247"/>
        <v>35000</v>
      </c>
      <c r="BS92" s="561">
        <f t="shared" si="247"/>
        <v>35000</v>
      </c>
      <c r="BT92" s="561">
        <f t="shared" si="247"/>
        <v>35000</v>
      </c>
      <c r="BU92" s="561">
        <f t="shared" si="247"/>
        <v>35000</v>
      </c>
      <c r="BV92" s="561">
        <f t="shared" si="247"/>
        <v>35000</v>
      </c>
      <c r="BW92" s="561">
        <f t="shared" si="247"/>
        <v>35000</v>
      </c>
      <c r="BX92" s="561">
        <f t="shared" si="247"/>
        <v>35000</v>
      </c>
      <c r="BY92" s="885">
        <f t="shared" si="215"/>
        <v>420000</v>
      </c>
      <c r="BZ92" s="891">
        <f t="shared" si="204"/>
        <v>41055</v>
      </c>
      <c r="CA92" s="257">
        <f t="shared" si="204"/>
        <v>41055</v>
      </c>
      <c r="CB92" s="257">
        <f t="shared" si="204"/>
        <v>41055</v>
      </c>
      <c r="CC92" s="257">
        <f t="shared" si="204"/>
        <v>41055</v>
      </c>
      <c r="CD92" s="257">
        <f t="shared" si="204"/>
        <v>41055</v>
      </c>
      <c r="CE92" s="257">
        <f t="shared" si="204"/>
        <v>41055</v>
      </c>
      <c r="CF92" s="257">
        <f t="shared" si="204"/>
        <v>41055</v>
      </c>
      <c r="CG92" s="257">
        <f t="shared" si="204"/>
        <v>41055</v>
      </c>
      <c r="CH92" s="257">
        <f t="shared" si="204"/>
        <v>41055</v>
      </c>
      <c r="CI92" s="257">
        <f t="shared" si="204"/>
        <v>41055</v>
      </c>
      <c r="CJ92" s="257">
        <f t="shared" si="204"/>
        <v>41055</v>
      </c>
      <c r="CK92" s="257">
        <f t="shared" si="204"/>
        <v>41055</v>
      </c>
      <c r="CL92" s="892">
        <f t="shared" si="205"/>
        <v>492660</v>
      </c>
      <c r="CM92" s="890">
        <f t="shared" si="247"/>
        <v>35000</v>
      </c>
      <c r="CN92" s="539">
        <f t="shared" si="247"/>
        <v>35000</v>
      </c>
      <c r="CO92" s="539">
        <f t="shared" si="247"/>
        <v>35000</v>
      </c>
      <c r="CP92" s="539">
        <f t="shared" si="247"/>
        <v>35000</v>
      </c>
      <c r="CQ92" s="539">
        <f t="shared" si="247"/>
        <v>35000</v>
      </c>
      <c r="CR92" s="539">
        <f t="shared" si="247"/>
        <v>35000</v>
      </c>
      <c r="CS92" s="539">
        <f t="shared" si="247"/>
        <v>35000</v>
      </c>
      <c r="CT92" s="539">
        <f t="shared" si="247"/>
        <v>35000</v>
      </c>
      <c r="CU92" s="539">
        <f t="shared" si="247"/>
        <v>35000</v>
      </c>
      <c r="CV92" s="539">
        <f t="shared" si="247"/>
        <v>35000</v>
      </c>
      <c r="CW92" s="539">
        <f t="shared" si="247"/>
        <v>35000</v>
      </c>
      <c r="CX92" s="539">
        <f t="shared" si="247"/>
        <v>35000</v>
      </c>
      <c r="CY92" s="909">
        <f t="shared" si="216"/>
        <v>420000</v>
      </c>
      <c r="CZ92" s="886">
        <f t="shared" si="206"/>
        <v>41055</v>
      </c>
      <c r="DA92" s="257">
        <f t="shared" si="207"/>
        <v>41055</v>
      </c>
      <c r="DB92" s="257">
        <f t="shared" si="207"/>
        <v>41055</v>
      </c>
      <c r="DC92" s="257">
        <f t="shared" si="207"/>
        <v>41055</v>
      </c>
      <c r="DD92" s="257">
        <f t="shared" si="207"/>
        <v>41055</v>
      </c>
      <c r="DE92" s="257">
        <f t="shared" si="207"/>
        <v>41055</v>
      </c>
      <c r="DF92" s="257">
        <f t="shared" si="207"/>
        <v>41055</v>
      </c>
      <c r="DG92" s="257">
        <f t="shared" si="207"/>
        <v>41055</v>
      </c>
      <c r="DH92" s="257">
        <f t="shared" si="207"/>
        <v>41055</v>
      </c>
      <c r="DI92" s="257">
        <f t="shared" si="207"/>
        <v>41055</v>
      </c>
      <c r="DJ92" s="257">
        <f t="shared" si="207"/>
        <v>41055</v>
      </c>
      <c r="DK92" s="257">
        <f t="shared" si="207"/>
        <v>41055</v>
      </c>
      <c r="DL92" s="887">
        <f t="shared" si="208"/>
        <v>492660</v>
      </c>
      <c r="DM92" s="563">
        <f t="shared" si="247"/>
        <v>35000</v>
      </c>
      <c r="DN92" s="561">
        <f t="shared" si="247"/>
        <v>35000</v>
      </c>
      <c r="DO92" s="561">
        <f t="shared" si="247"/>
        <v>35000</v>
      </c>
      <c r="DP92" s="561">
        <f t="shared" si="247"/>
        <v>35000</v>
      </c>
      <c r="DQ92" s="561">
        <f t="shared" si="247"/>
        <v>35000</v>
      </c>
      <c r="DR92" s="561">
        <f t="shared" si="247"/>
        <v>35000</v>
      </c>
      <c r="DS92" s="561">
        <f t="shared" si="247"/>
        <v>35000</v>
      </c>
      <c r="DT92" s="561">
        <f t="shared" si="247"/>
        <v>35000</v>
      </c>
      <c r="DU92" s="561">
        <f t="shared" si="247"/>
        <v>35000</v>
      </c>
      <c r="DV92" s="561">
        <f t="shared" si="247"/>
        <v>35000</v>
      </c>
      <c r="DW92" s="561">
        <f t="shared" si="247"/>
        <v>35000</v>
      </c>
      <c r="DX92" s="561">
        <f t="shared" si="247"/>
        <v>35000</v>
      </c>
      <c r="DY92" s="885">
        <f t="shared" si="217"/>
        <v>420000</v>
      </c>
      <c r="DZ92" s="257">
        <f t="shared" ref="DZ92:EK95" si="248">DM92*$K92</f>
        <v>41055</v>
      </c>
      <c r="EA92" s="257">
        <f t="shared" si="248"/>
        <v>41055</v>
      </c>
      <c r="EB92" s="257">
        <f t="shared" si="248"/>
        <v>41055</v>
      </c>
      <c r="EC92" s="257">
        <f t="shared" si="248"/>
        <v>41055</v>
      </c>
      <c r="ED92" s="257">
        <f t="shared" si="248"/>
        <v>41055</v>
      </c>
      <c r="EE92" s="257">
        <f t="shared" si="248"/>
        <v>41055</v>
      </c>
      <c r="EF92" s="257">
        <f t="shared" si="248"/>
        <v>41055</v>
      </c>
      <c r="EG92" s="257">
        <f t="shared" si="248"/>
        <v>41055</v>
      </c>
      <c r="EH92" s="257">
        <f t="shared" si="248"/>
        <v>41055</v>
      </c>
      <c r="EI92" s="257">
        <f t="shared" si="248"/>
        <v>41055</v>
      </c>
      <c r="EJ92" s="257">
        <f t="shared" si="248"/>
        <v>41055</v>
      </c>
      <c r="EK92" s="257">
        <f t="shared" si="248"/>
        <v>41055</v>
      </c>
      <c r="EL92" s="887">
        <f t="shared" si="210"/>
        <v>492660</v>
      </c>
    </row>
    <row r="93" spans="1:142">
      <c r="A93" s="987" t="s">
        <v>725</v>
      </c>
      <c r="B93" s="1039" t="s">
        <v>727</v>
      </c>
      <c r="C93" s="1055"/>
      <c r="D93" s="1056">
        <v>1.59</v>
      </c>
      <c r="E93" s="1057">
        <v>1.59</v>
      </c>
      <c r="F93" s="1057">
        <v>1.59</v>
      </c>
      <c r="G93" s="1058">
        <v>1.59</v>
      </c>
      <c r="H93" s="1056">
        <f t="shared" si="245"/>
        <v>1.59</v>
      </c>
      <c r="I93" s="1057">
        <f t="shared" si="245"/>
        <v>1.59</v>
      </c>
      <c r="J93" s="1057">
        <f t="shared" si="245"/>
        <v>1.59</v>
      </c>
      <c r="K93" s="1059">
        <f t="shared" si="245"/>
        <v>1.59</v>
      </c>
      <c r="L93" s="884"/>
      <c r="M93" s="563"/>
      <c r="N93" s="561"/>
      <c r="O93" s="561"/>
      <c r="P93" s="561"/>
      <c r="Q93" s="561"/>
      <c r="R93" s="561"/>
      <c r="S93" s="561"/>
      <c r="T93" s="561"/>
      <c r="U93" s="561"/>
      <c r="V93" s="561"/>
      <c r="W93" s="561"/>
      <c r="X93" s="561"/>
      <c r="Y93" s="885">
        <f t="shared" si="197"/>
        <v>0</v>
      </c>
      <c r="Z93" s="886">
        <v>0</v>
      </c>
      <c r="AA93" s="257">
        <v>0</v>
      </c>
      <c r="AB93" s="257">
        <f>O93*D93</f>
        <v>0</v>
      </c>
      <c r="AC93" s="257">
        <f>P93*D93</f>
        <v>0</v>
      </c>
      <c r="AD93" s="257">
        <f t="shared" ref="AD93:AE95" si="249">Q93*$D93</f>
        <v>0</v>
      </c>
      <c r="AE93" s="257">
        <f t="shared" si="249"/>
        <v>0</v>
      </c>
      <c r="AF93" s="257">
        <f>S93*$F93</f>
        <v>0</v>
      </c>
      <c r="AG93" s="257">
        <f>T93*$D93</f>
        <v>0</v>
      </c>
      <c r="AH93" s="257">
        <f>U93*$F93</f>
        <v>0</v>
      </c>
      <c r="AI93" s="257">
        <f>V93*$G93</f>
        <v>0</v>
      </c>
      <c r="AJ93" s="257">
        <f>W93*$G93</f>
        <v>0</v>
      </c>
      <c r="AK93" s="1053">
        <f>X93*$G93</f>
        <v>0</v>
      </c>
      <c r="AL93" s="1054">
        <f t="shared" si="200"/>
        <v>0</v>
      </c>
      <c r="AM93" s="1037">
        <f>212150/12</f>
        <v>17679.166666666668</v>
      </c>
      <c r="AN93" s="561">
        <f t="shared" ref="AN93:AX93" si="250">212150/12</f>
        <v>17679.166666666668</v>
      </c>
      <c r="AO93" s="561">
        <f t="shared" si="250"/>
        <v>17679.166666666668</v>
      </c>
      <c r="AP93" s="561">
        <f t="shared" si="250"/>
        <v>17679.166666666668</v>
      </c>
      <c r="AQ93" s="561">
        <f t="shared" si="250"/>
        <v>17679.166666666668</v>
      </c>
      <c r="AR93" s="561">
        <f t="shared" si="250"/>
        <v>17679.166666666668</v>
      </c>
      <c r="AS93" s="561">
        <f t="shared" si="250"/>
        <v>17679.166666666668</v>
      </c>
      <c r="AT93" s="561">
        <f t="shared" si="250"/>
        <v>17679.166666666668</v>
      </c>
      <c r="AU93" s="561">
        <f t="shared" si="250"/>
        <v>17679.166666666668</v>
      </c>
      <c r="AV93" s="561">
        <f t="shared" si="250"/>
        <v>17679.166666666668</v>
      </c>
      <c r="AW93" s="561">
        <f t="shared" si="250"/>
        <v>17679.166666666668</v>
      </c>
      <c r="AX93" s="561">
        <f t="shared" si="250"/>
        <v>17679.166666666668</v>
      </c>
      <c r="AY93" s="885">
        <f>SUM(AM93:AX93)</f>
        <v>212149.99999999997</v>
      </c>
      <c r="AZ93" s="886">
        <f t="shared" si="201"/>
        <v>28109.875000000004</v>
      </c>
      <c r="BA93" s="257">
        <f t="shared" si="201"/>
        <v>28109.875000000004</v>
      </c>
      <c r="BB93" s="257">
        <f t="shared" si="201"/>
        <v>28109.875000000004</v>
      </c>
      <c r="BC93" s="257">
        <f t="shared" si="201"/>
        <v>28109.875000000004</v>
      </c>
      <c r="BD93" s="257">
        <f t="shared" si="201"/>
        <v>28109.875000000004</v>
      </c>
      <c r="BE93" s="257">
        <f t="shared" si="201"/>
        <v>28109.875000000004</v>
      </c>
      <c r="BF93" s="257">
        <f t="shared" si="201"/>
        <v>28109.875000000004</v>
      </c>
      <c r="BG93" s="257">
        <f t="shared" si="201"/>
        <v>28109.875000000004</v>
      </c>
      <c r="BH93" s="257">
        <f t="shared" si="201"/>
        <v>28109.875000000004</v>
      </c>
      <c r="BI93" s="257">
        <f t="shared" si="201"/>
        <v>28109.875000000004</v>
      </c>
      <c r="BJ93" s="257">
        <f t="shared" si="201"/>
        <v>28109.875000000004</v>
      </c>
      <c r="BK93" s="257">
        <f t="shared" si="201"/>
        <v>28109.875000000004</v>
      </c>
      <c r="BL93" s="887">
        <f t="shared" si="202"/>
        <v>337318.50000000006</v>
      </c>
      <c r="BM93" s="1037">
        <f>183560/12</f>
        <v>15296.666666666666</v>
      </c>
      <c r="BN93" s="561">
        <f t="shared" ref="BN93:BX93" si="251">183560/12</f>
        <v>15296.666666666666</v>
      </c>
      <c r="BO93" s="561">
        <f t="shared" si="251"/>
        <v>15296.666666666666</v>
      </c>
      <c r="BP93" s="561">
        <f t="shared" si="251"/>
        <v>15296.666666666666</v>
      </c>
      <c r="BQ93" s="561">
        <f t="shared" si="251"/>
        <v>15296.666666666666</v>
      </c>
      <c r="BR93" s="561">
        <f t="shared" si="251"/>
        <v>15296.666666666666</v>
      </c>
      <c r="BS93" s="561">
        <f t="shared" si="251"/>
        <v>15296.666666666666</v>
      </c>
      <c r="BT93" s="561">
        <f t="shared" si="251"/>
        <v>15296.666666666666</v>
      </c>
      <c r="BU93" s="561">
        <f t="shared" si="251"/>
        <v>15296.666666666666</v>
      </c>
      <c r="BV93" s="561">
        <f t="shared" si="251"/>
        <v>15296.666666666666</v>
      </c>
      <c r="BW93" s="561">
        <f t="shared" si="251"/>
        <v>15296.666666666666</v>
      </c>
      <c r="BX93" s="561">
        <f t="shared" si="251"/>
        <v>15296.666666666666</v>
      </c>
      <c r="BY93" s="885">
        <f t="shared" si="215"/>
        <v>183559.99999999997</v>
      </c>
      <c r="BZ93" s="891">
        <f t="shared" si="204"/>
        <v>24321.7</v>
      </c>
      <c r="CA93" s="257">
        <f t="shared" si="204"/>
        <v>24321.7</v>
      </c>
      <c r="CB93" s="257">
        <f t="shared" si="204"/>
        <v>24321.7</v>
      </c>
      <c r="CC93" s="257">
        <f t="shared" si="204"/>
        <v>24321.7</v>
      </c>
      <c r="CD93" s="257">
        <f t="shared" si="204"/>
        <v>24321.7</v>
      </c>
      <c r="CE93" s="257">
        <f t="shared" si="204"/>
        <v>24321.7</v>
      </c>
      <c r="CF93" s="257">
        <f t="shared" si="204"/>
        <v>24321.7</v>
      </c>
      <c r="CG93" s="257">
        <f t="shared" si="204"/>
        <v>24321.7</v>
      </c>
      <c r="CH93" s="257">
        <f t="shared" si="204"/>
        <v>24321.7</v>
      </c>
      <c r="CI93" s="257">
        <f t="shared" si="204"/>
        <v>24321.7</v>
      </c>
      <c r="CJ93" s="257">
        <f t="shared" si="204"/>
        <v>24321.7</v>
      </c>
      <c r="CK93" s="257">
        <f t="shared" si="204"/>
        <v>24321.7</v>
      </c>
      <c r="CL93" s="892">
        <f t="shared" si="205"/>
        <v>291860.40000000008</v>
      </c>
      <c r="CM93" s="1037">
        <f>64503/12</f>
        <v>5375.25</v>
      </c>
      <c r="CN93" s="561">
        <f t="shared" ref="CN93:CX93" si="252">64503/12</f>
        <v>5375.25</v>
      </c>
      <c r="CO93" s="561">
        <f t="shared" si="252"/>
        <v>5375.25</v>
      </c>
      <c r="CP93" s="561">
        <f t="shared" si="252"/>
        <v>5375.25</v>
      </c>
      <c r="CQ93" s="561">
        <f t="shared" si="252"/>
        <v>5375.25</v>
      </c>
      <c r="CR93" s="561">
        <f t="shared" si="252"/>
        <v>5375.25</v>
      </c>
      <c r="CS93" s="561">
        <f t="shared" si="252"/>
        <v>5375.25</v>
      </c>
      <c r="CT93" s="561">
        <f t="shared" si="252"/>
        <v>5375.25</v>
      </c>
      <c r="CU93" s="561">
        <f t="shared" si="252"/>
        <v>5375.25</v>
      </c>
      <c r="CV93" s="561">
        <f t="shared" si="252"/>
        <v>5375.25</v>
      </c>
      <c r="CW93" s="561">
        <f t="shared" si="252"/>
        <v>5375.25</v>
      </c>
      <c r="CX93" s="561">
        <f t="shared" si="252"/>
        <v>5375.25</v>
      </c>
      <c r="CY93" s="885">
        <f t="shared" si="216"/>
        <v>64503</v>
      </c>
      <c r="CZ93" s="886">
        <f t="shared" si="206"/>
        <v>8546.6475000000009</v>
      </c>
      <c r="DA93" s="257">
        <f t="shared" si="207"/>
        <v>8546.6475000000009</v>
      </c>
      <c r="DB93" s="257">
        <f t="shared" si="207"/>
        <v>8546.6475000000009</v>
      </c>
      <c r="DC93" s="257">
        <f t="shared" si="207"/>
        <v>8546.6475000000009</v>
      </c>
      <c r="DD93" s="257">
        <f t="shared" si="207"/>
        <v>8546.6475000000009</v>
      </c>
      <c r="DE93" s="257">
        <f t="shared" si="207"/>
        <v>8546.6475000000009</v>
      </c>
      <c r="DF93" s="257">
        <f t="shared" si="207"/>
        <v>8546.6475000000009</v>
      </c>
      <c r="DG93" s="257">
        <f t="shared" si="207"/>
        <v>8546.6475000000009</v>
      </c>
      <c r="DH93" s="257">
        <f t="shared" si="207"/>
        <v>8546.6475000000009</v>
      </c>
      <c r="DI93" s="257">
        <f t="shared" si="207"/>
        <v>8546.6475000000009</v>
      </c>
      <c r="DJ93" s="257">
        <f t="shared" si="207"/>
        <v>8546.6475000000009</v>
      </c>
      <c r="DK93" s="257">
        <f t="shared" si="207"/>
        <v>8546.6475000000009</v>
      </c>
      <c r="DL93" s="887">
        <f t="shared" si="208"/>
        <v>102559.77000000003</v>
      </c>
      <c r="DM93" s="563">
        <f>30000/12</f>
        <v>2500</v>
      </c>
      <c r="DN93" s="561">
        <f t="shared" ref="DN93:DX93" si="253">30000/12</f>
        <v>2500</v>
      </c>
      <c r="DO93" s="561">
        <f t="shared" si="253"/>
        <v>2500</v>
      </c>
      <c r="DP93" s="561">
        <f t="shared" si="253"/>
        <v>2500</v>
      </c>
      <c r="DQ93" s="561">
        <f t="shared" si="253"/>
        <v>2500</v>
      </c>
      <c r="DR93" s="561">
        <f t="shared" si="253"/>
        <v>2500</v>
      </c>
      <c r="DS93" s="561">
        <f t="shared" si="253"/>
        <v>2500</v>
      </c>
      <c r="DT93" s="561">
        <f t="shared" si="253"/>
        <v>2500</v>
      </c>
      <c r="DU93" s="561">
        <f t="shared" si="253"/>
        <v>2500</v>
      </c>
      <c r="DV93" s="561">
        <f t="shared" si="253"/>
        <v>2500</v>
      </c>
      <c r="DW93" s="561">
        <f t="shared" si="253"/>
        <v>2500</v>
      </c>
      <c r="DX93" s="561">
        <f t="shared" si="253"/>
        <v>2500</v>
      </c>
      <c r="DY93" s="885">
        <f t="shared" si="217"/>
        <v>30000</v>
      </c>
      <c r="DZ93" s="257">
        <f t="shared" si="248"/>
        <v>3975</v>
      </c>
      <c r="EA93" s="257">
        <f t="shared" si="248"/>
        <v>3975</v>
      </c>
      <c r="EB93" s="257">
        <f t="shared" si="248"/>
        <v>3975</v>
      </c>
      <c r="EC93" s="257">
        <f t="shared" si="248"/>
        <v>3975</v>
      </c>
      <c r="ED93" s="257">
        <f t="shared" si="248"/>
        <v>3975</v>
      </c>
      <c r="EE93" s="257">
        <f t="shared" si="248"/>
        <v>3975</v>
      </c>
      <c r="EF93" s="257">
        <f t="shared" si="248"/>
        <v>3975</v>
      </c>
      <c r="EG93" s="257">
        <f t="shared" si="248"/>
        <v>3975</v>
      </c>
      <c r="EH93" s="257">
        <f t="shared" si="248"/>
        <v>3975</v>
      </c>
      <c r="EI93" s="257">
        <f t="shared" si="248"/>
        <v>3975</v>
      </c>
      <c r="EJ93" s="257">
        <f t="shared" si="248"/>
        <v>3975</v>
      </c>
      <c r="EK93" s="257">
        <f t="shared" si="248"/>
        <v>3975</v>
      </c>
      <c r="EL93" s="887">
        <f t="shared" si="210"/>
        <v>47700</v>
      </c>
    </row>
    <row r="94" spans="1:142" s="1019" customFormat="1">
      <c r="A94" s="987" t="s">
        <v>236</v>
      </c>
      <c r="B94" s="1039" t="s">
        <v>728</v>
      </c>
      <c r="C94" s="1060"/>
      <c r="D94" s="1061"/>
      <c r="E94" s="1062"/>
      <c r="F94" s="1062"/>
      <c r="G94" s="1063"/>
      <c r="H94" s="1061">
        <v>0.92508999999999997</v>
      </c>
      <c r="I94" s="1062">
        <v>0.92508999999999997</v>
      </c>
      <c r="J94" s="1062">
        <v>0.89814563106796108</v>
      </c>
      <c r="K94" s="1064">
        <v>0.87198604958054471</v>
      </c>
      <c r="L94" s="1011"/>
      <c r="M94" s="1012"/>
      <c r="N94" s="1013"/>
      <c r="O94" s="1013"/>
      <c r="P94" s="1013"/>
      <c r="Q94" s="1013"/>
      <c r="R94" s="1013"/>
      <c r="S94" s="1013"/>
      <c r="T94" s="1013"/>
      <c r="U94" s="1013"/>
      <c r="V94" s="1013">
        <v>0</v>
      </c>
      <c r="W94" s="1013"/>
      <c r="X94" s="1013"/>
      <c r="Y94" s="1014"/>
      <c r="Z94" s="1000"/>
      <c r="AA94" s="1001"/>
      <c r="AB94" s="1001"/>
      <c r="AC94" s="1001"/>
      <c r="AD94" s="257">
        <f t="shared" si="249"/>
        <v>0</v>
      </c>
      <c r="AE94" s="257">
        <f t="shared" si="249"/>
        <v>0</v>
      </c>
      <c r="AF94" s="1001"/>
      <c r="AG94" s="257">
        <f>T94*$D94</f>
        <v>0</v>
      </c>
      <c r="AH94" s="1001"/>
      <c r="AI94" s="1001"/>
      <c r="AJ94" s="1001"/>
      <c r="AK94" s="1017"/>
      <c r="AL94" s="1020"/>
      <c r="AM94" s="1047"/>
      <c r="AN94" s="1013"/>
      <c r="AO94" s="1013"/>
      <c r="AP94" s="1013"/>
      <c r="AQ94" s="1013"/>
      <c r="AR94" s="1013"/>
      <c r="AS94" s="1013"/>
      <c r="AT94" s="1013"/>
      <c r="AU94" s="1013"/>
      <c r="AV94" s="1013"/>
      <c r="AW94" s="1013"/>
      <c r="AX94" s="1013">
        <v>3883</v>
      </c>
      <c r="AY94" s="1014">
        <f>SUM(AM94:AX94)</f>
        <v>3883</v>
      </c>
      <c r="AZ94" s="1000">
        <f t="shared" si="201"/>
        <v>0</v>
      </c>
      <c r="BA94" s="1001">
        <f t="shared" si="201"/>
        <v>0</v>
      </c>
      <c r="BB94" s="1001">
        <f t="shared" si="201"/>
        <v>0</v>
      </c>
      <c r="BC94" s="1001">
        <f t="shared" si="201"/>
        <v>0</v>
      </c>
      <c r="BD94" s="1001">
        <f t="shared" si="201"/>
        <v>0</v>
      </c>
      <c r="BE94" s="1001">
        <f t="shared" si="201"/>
        <v>0</v>
      </c>
      <c r="BF94" s="1001">
        <f t="shared" si="201"/>
        <v>0</v>
      </c>
      <c r="BG94" s="1001">
        <f t="shared" si="201"/>
        <v>0</v>
      </c>
      <c r="BH94" s="1001">
        <f t="shared" si="201"/>
        <v>0</v>
      </c>
      <c r="BI94" s="1001">
        <f t="shared" si="201"/>
        <v>0</v>
      </c>
      <c r="BJ94" s="1001">
        <f t="shared" si="201"/>
        <v>0</v>
      </c>
      <c r="BK94" s="1001">
        <f t="shared" si="201"/>
        <v>3592.1244699999997</v>
      </c>
      <c r="BL94" s="1002">
        <f t="shared" si="202"/>
        <v>3592.1244699999997</v>
      </c>
      <c r="BM94" s="1047">
        <f>331842/12</f>
        <v>27653.5</v>
      </c>
      <c r="BN94" s="1013">
        <f t="shared" ref="BN94:BX95" si="254">331842/12</f>
        <v>27653.5</v>
      </c>
      <c r="BO94" s="1013">
        <f t="shared" si="254"/>
        <v>27653.5</v>
      </c>
      <c r="BP94" s="1013">
        <f t="shared" si="254"/>
        <v>27653.5</v>
      </c>
      <c r="BQ94" s="1013">
        <f t="shared" si="254"/>
        <v>27653.5</v>
      </c>
      <c r="BR94" s="1013">
        <f t="shared" si="254"/>
        <v>27653.5</v>
      </c>
      <c r="BS94" s="1013">
        <f t="shared" si="254"/>
        <v>27653.5</v>
      </c>
      <c r="BT94" s="1013">
        <f t="shared" si="254"/>
        <v>27653.5</v>
      </c>
      <c r="BU94" s="1013">
        <f t="shared" si="254"/>
        <v>27653.5</v>
      </c>
      <c r="BV94" s="1013">
        <f t="shared" si="254"/>
        <v>27653.5</v>
      </c>
      <c r="BW94" s="1013">
        <f t="shared" si="254"/>
        <v>27653.5</v>
      </c>
      <c r="BX94" s="1013">
        <f t="shared" si="254"/>
        <v>27653.5</v>
      </c>
      <c r="BY94" s="1014">
        <f t="shared" si="215"/>
        <v>331842</v>
      </c>
      <c r="BZ94" s="1048">
        <f t="shared" si="204"/>
        <v>25581.976315</v>
      </c>
      <c r="CA94" s="1001">
        <f t="shared" si="204"/>
        <v>25581.976315</v>
      </c>
      <c r="CB94" s="1001">
        <f t="shared" si="204"/>
        <v>25581.976315</v>
      </c>
      <c r="CC94" s="1001">
        <f t="shared" si="204"/>
        <v>25581.976315</v>
      </c>
      <c r="CD94" s="1001">
        <f t="shared" si="204"/>
        <v>25581.976315</v>
      </c>
      <c r="CE94" s="1001">
        <f t="shared" si="204"/>
        <v>25581.976315</v>
      </c>
      <c r="CF94" s="1001">
        <f t="shared" si="204"/>
        <v>25581.976315</v>
      </c>
      <c r="CG94" s="1001">
        <f t="shared" si="204"/>
        <v>25581.976315</v>
      </c>
      <c r="CH94" s="1001">
        <f t="shared" si="204"/>
        <v>25581.976315</v>
      </c>
      <c r="CI94" s="1001">
        <f t="shared" si="204"/>
        <v>25581.976315</v>
      </c>
      <c r="CJ94" s="1001">
        <f t="shared" si="204"/>
        <v>25581.976315</v>
      </c>
      <c r="CK94" s="1001">
        <f t="shared" si="204"/>
        <v>25581.976315</v>
      </c>
      <c r="CL94" s="1049">
        <f t="shared" si="205"/>
        <v>306983.71578000003</v>
      </c>
      <c r="CM94" s="1047">
        <f>712809/12</f>
        <v>59400.75</v>
      </c>
      <c r="CN94" s="1013">
        <f t="shared" ref="CN94:CX95" si="255">712809/12</f>
        <v>59400.75</v>
      </c>
      <c r="CO94" s="1013">
        <f t="shared" si="255"/>
        <v>59400.75</v>
      </c>
      <c r="CP94" s="1013">
        <f t="shared" si="255"/>
        <v>59400.75</v>
      </c>
      <c r="CQ94" s="1013">
        <f t="shared" si="255"/>
        <v>59400.75</v>
      </c>
      <c r="CR94" s="1013">
        <f t="shared" si="255"/>
        <v>59400.75</v>
      </c>
      <c r="CS94" s="1013">
        <f t="shared" si="255"/>
        <v>59400.75</v>
      </c>
      <c r="CT94" s="1013">
        <f t="shared" si="255"/>
        <v>59400.75</v>
      </c>
      <c r="CU94" s="1013">
        <f t="shared" si="255"/>
        <v>59400.75</v>
      </c>
      <c r="CV94" s="1013">
        <f t="shared" si="255"/>
        <v>59400.75</v>
      </c>
      <c r="CW94" s="1013">
        <f t="shared" si="255"/>
        <v>59400.75</v>
      </c>
      <c r="CX94" s="1013">
        <f t="shared" si="255"/>
        <v>59400.75</v>
      </c>
      <c r="CY94" s="1014">
        <f t="shared" si="216"/>
        <v>712809</v>
      </c>
      <c r="CZ94" s="1000">
        <f t="shared" si="206"/>
        <v>53350.524094660192</v>
      </c>
      <c r="DA94" s="1001">
        <f t="shared" si="207"/>
        <v>53350.524094660192</v>
      </c>
      <c r="DB94" s="1001">
        <f t="shared" si="207"/>
        <v>53350.524094660192</v>
      </c>
      <c r="DC94" s="1001">
        <f t="shared" si="207"/>
        <v>53350.524094660192</v>
      </c>
      <c r="DD94" s="1001">
        <f t="shared" si="207"/>
        <v>53350.524094660192</v>
      </c>
      <c r="DE94" s="1001">
        <f t="shared" si="207"/>
        <v>53350.524094660192</v>
      </c>
      <c r="DF94" s="1001">
        <f t="shared" si="207"/>
        <v>53350.524094660192</v>
      </c>
      <c r="DG94" s="1001">
        <f t="shared" si="207"/>
        <v>53350.524094660192</v>
      </c>
      <c r="DH94" s="1001">
        <f t="shared" si="207"/>
        <v>53350.524094660192</v>
      </c>
      <c r="DI94" s="1001">
        <f t="shared" si="207"/>
        <v>53350.524094660192</v>
      </c>
      <c r="DJ94" s="1001">
        <f t="shared" si="207"/>
        <v>53350.524094660192</v>
      </c>
      <c r="DK94" s="1001">
        <f t="shared" si="207"/>
        <v>53350.524094660192</v>
      </c>
      <c r="DL94" s="1002">
        <f t="shared" si="208"/>
        <v>640206.28913592233</v>
      </c>
      <c r="DM94" s="1012">
        <f>683035/12</f>
        <v>56919.583333333336</v>
      </c>
      <c r="DN94" s="1013">
        <f t="shared" ref="DN94:DX95" si="256">683035/12</f>
        <v>56919.583333333336</v>
      </c>
      <c r="DO94" s="1013">
        <f t="shared" si="256"/>
        <v>56919.583333333336</v>
      </c>
      <c r="DP94" s="1013">
        <f t="shared" si="256"/>
        <v>56919.583333333336</v>
      </c>
      <c r="DQ94" s="1013">
        <f t="shared" si="256"/>
        <v>56919.583333333336</v>
      </c>
      <c r="DR94" s="1013">
        <f t="shared" si="256"/>
        <v>56919.583333333336</v>
      </c>
      <c r="DS94" s="1013">
        <f t="shared" si="256"/>
        <v>56919.583333333336</v>
      </c>
      <c r="DT94" s="1013">
        <f t="shared" si="256"/>
        <v>56919.583333333336</v>
      </c>
      <c r="DU94" s="1013">
        <f t="shared" si="256"/>
        <v>56919.583333333336</v>
      </c>
      <c r="DV94" s="1013">
        <f t="shared" si="256"/>
        <v>56919.583333333336</v>
      </c>
      <c r="DW94" s="1013">
        <f t="shared" si="256"/>
        <v>56919.583333333336</v>
      </c>
      <c r="DX94" s="1013">
        <f t="shared" si="256"/>
        <v>56919.583333333336</v>
      </c>
      <c r="DY94" s="1014">
        <f t="shared" si="217"/>
        <v>683035</v>
      </c>
      <c r="DZ94" s="1001">
        <f t="shared" si="248"/>
        <v>49633.082614603947</v>
      </c>
      <c r="EA94" s="1001">
        <f t="shared" si="248"/>
        <v>49633.082614603947</v>
      </c>
      <c r="EB94" s="1001">
        <f t="shared" si="248"/>
        <v>49633.082614603947</v>
      </c>
      <c r="EC94" s="1001">
        <f t="shared" si="248"/>
        <v>49633.082614603947</v>
      </c>
      <c r="ED94" s="1001">
        <f t="shared" si="248"/>
        <v>49633.082614603947</v>
      </c>
      <c r="EE94" s="1001">
        <f t="shared" si="248"/>
        <v>49633.082614603947</v>
      </c>
      <c r="EF94" s="1001">
        <f t="shared" si="248"/>
        <v>49633.082614603947</v>
      </c>
      <c r="EG94" s="1001">
        <f t="shared" si="248"/>
        <v>49633.082614603947</v>
      </c>
      <c r="EH94" s="1001">
        <f t="shared" si="248"/>
        <v>49633.082614603947</v>
      </c>
      <c r="EI94" s="1001">
        <f t="shared" si="248"/>
        <v>49633.082614603947</v>
      </c>
      <c r="EJ94" s="1001">
        <f t="shared" si="248"/>
        <v>49633.082614603947</v>
      </c>
      <c r="EK94" s="1001">
        <f t="shared" si="248"/>
        <v>49633.082614603947</v>
      </c>
      <c r="EL94" s="1002">
        <f t="shared" si="210"/>
        <v>595596.99137524725</v>
      </c>
    </row>
    <row r="95" spans="1:142" s="1019" customFormat="1">
      <c r="A95" s="987" t="s">
        <v>236</v>
      </c>
      <c r="B95" s="1039" t="s">
        <v>729</v>
      </c>
      <c r="C95" s="1060"/>
      <c r="D95" s="1061"/>
      <c r="E95" s="1062"/>
      <c r="F95" s="1062"/>
      <c r="G95" s="1063"/>
      <c r="H95" s="1061">
        <v>0.65149249999999992</v>
      </c>
      <c r="I95" s="1062">
        <v>0.65149249999999992</v>
      </c>
      <c r="J95" s="1062">
        <v>0.63251699029126207</v>
      </c>
      <c r="K95" s="1064">
        <v>0.61409416533132233</v>
      </c>
      <c r="L95" s="1011"/>
      <c r="M95" s="1012"/>
      <c r="N95" s="1013"/>
      <c r="O95" s="1013"/>
      <c r="P95" s="1013"/>
      <c r="Q95" s="1013"/>
      <c r="R95" s="1013"/>
      <c r="S95" s="1013"/>
      <c r="T95" s="1013"/>
      <c r="U95" s="1013"/>
      <c r="V95" s="1013">
        <v>0</v>
      </c>
      <c r="W95" s="1013"/>
      <c r="X95" s="1013"/>
      <c r="Y95" s="1014"/>
      <c r="Z95" s="1000"/>
      <c r="AA95" s="1001"/>
      <c r="AB95" s="1001"/>
      <c r="AC95" s="1001"/>
      <c r="AD95" s="257">
        <f t="shared" si="249"/>
        <v>0</v>
      </c>
      <c r="AE95" s="257">
        <f t="shared" si="249"/>
        <v>0</v>
      </c>
      <c r="AF95" s="1001"/>
      <c r="AG95" s="257">
        <f>T95*$D95</f>
        <v>0</v>
      </c>
      <c r="AH95" s="1001"/>
      <c r="AI95" s="1001"/>
      <c r="AJ95" s="1001"/>
      <c r="AK95" s="1001"/>
      <c r="AL95" s="1002"/>
      <c r="AM95" s="1047"/>
      <c r="AN95" s="1013"/>
      <c r="AO95" s="1013"/>
      <c r="AP95" s="1013"/>
      <c r="AQ95" s="1013"/>
      <c r="AR95" s="1013"/>
      <c r="AS95" s="1013"/>
      <c r="AT95" s="1013"/>
      <c r="AU95" s="1013"/>
      <c r="AV95" s="1013"/>
      <c r="AW95" s="1013"/>
      <c r="AX95" s="1013">
        <v>3883</v>
      </c>
      <c r="AY95" s="1014">
        <f>SUM(AM95:AX95)</f>
        <v>3883</v>
      </c>
      <c r="AZ95" s="1000">
        <f t="shared" si="201"/>
        <v>0</v>
      </c>
      <c r="BA95" s="1001">
        <f t="shared" si="201"/>
        <v>0</v>
      </c>
      <c r="BB95" s="1001">
        <f t="shared" si="201"/>
        <v>0</v>
      </c>
      <c r="BC95" s="1001">
        <f t="shared" si="201"/>
        <v>0</v>
      </c>
      <c r="BD95" s="1001">
        <f t="shared" si="201"/>
        <v>0</v>
      </c>
      <c r="BE95" s="1001">
        <f t="shared" si="201"/>
        <v>0</v>
      </c>
      <c r="BF95" s="1001">
        <f t="shared" si="201"/>
        <v>0</v>
      </c>
      <c r="BG95" s="1001">
        <f t="shared" si="201"/>
        <v>0</v>
      </c>
      <c r="BH95" s="1001">
        <f t="shared" si="201"/>
        <v>0</v>
      </c>
      <c r="BI95" s="1001">
        <f t="shared" si="201"/>
        <v>0</v>
      </c>
      <c r="BJ95" s="1001">
        <f t="shared" si="201"/>
        <v>0</v>
      </c>
      <c r="BK95" s="1001">
        <f t="shared" si="201"/>
        <v>2529.7453774999999</v>
      </c>
      <c r="BL95" s="1002">
        <f t="shared" si="202"/>
        <v>2529.7453774999999</v>
      </c>
      <c r="BM95" s="1047">
        <f>331842/12</f>
        <v>27653.5</v>
      </c>
      <c r="BN95" s="1013">
        <f t="shared" si="254"/>
        <v>27653.5</v>
      </c>
      <c r="BO95" s="1013">
        <f t="shared" si="254"/>
        <v>27653.5</v>
      </c>
      <c r="BP95" s="1013">
        <f t="shared" si="254"/>
        <v>27653.5</v>
      </c>
      <c r="BQ95" s="1013">
        <f t="shared" si="254"/>
        <v>27653.5</v>
      </c>
      <c r="BR95" s="1013">
        <f t="shared" si="254"/>
        <v>27653.5</v>
      </c>
      <c r="BS95" s="1013">
        <f t="shared" si="254"/>
        <v>27653.5</v>
      </c>
      <c r="BT95" s="1013">
        <f t="shared" si="254"/>
        <v>27653.5</v>
      </c>
      <c r="BU95" s="1013">
        <f t="shared" si="254"/>
        <v>27653.5</v>
      </c>
      <c r="BV95" s="1013">
        <f t="shared" si="254"/>
        <v>27653.5</v>
      </c>
      <c r="BW95" s="1013">
        <f t="shared" si="254"/>
        <v>27653.5</v>
      </c>
      <c r="BX95" s="1013">
        <f t="shared" si="254"/>
        <v>27653.5</v>
      </c>
      <c r="BY95" s="1014">
        <f t="shared" si="215"/>
        <v>331842</v>
      </c>
      <c r="BZ95" s="1048">
        <f t="shared" si="204"/>
        <v>18016.047848749997</v>
      </c>
      <c r="CA95" s="1001">
        <f t="shared" si="204"/>
        <v>18016.047848749997</v>
      </c>
      <c r="CB95" s="1001">
        <f t="shared" si="204"/>
        <v>18016.047848749997</v>
      </c>
      <c r="CC95" s="1001">
        <f t="shared" si="204"/>
        <v>18016.047848749997</v>
      </c>
      <c r="CD95" s="1001">
        <f t="shared" si="204"/>
        <v>18016.047848749997</v>
      </c>
      <c r="CE95" s="1001">
        <f t="shared" si="204"/>
        <v>18016.047848749997</v>
      </c>
      <c r="CF95" s="1001">
        <f t="shared" si="204"/>
        <v>18016.047848749997</v>
      </c>
      <c r="CG95" s="1001">
        <f t="shared" si="204"/>
        <v>18016.047848749997</v>
      </c>
      <c r="CH95" s="1001">
        <f t="shared" si="204"/>
        <v>18016.047848749997</v>
      </c>
      <c r="CI95" s="1001">
        <f t="shared" si="204"/>
        <v>18016.047848749997</v>
      </c>
      <c r="CJ95" s="1001">
        <f t="shared" si="204"/>
        <v>18016.047848749997</v>
      </c>
      <c r="CK95" s="1001">
        <f t="shared" si="204"/>
        <v>18016.047848749997</v>
      </c>
      <c r="CL95" s="1049">
        <f t="shared" si="205"/>
        <v>216192.57418499995</v>
      </c>
      <c r="CM95" s="1047">
        <f>712809/12</f>
        <v>59400.75</v>
      </c>
      <c r="CN95" s="1013">
        <f t="shared" si="255"/>
        <v>59400.75</v>
      </c>
      <c r="CO95" s="1013">
        <f t="shared" si="255"/>
        <v>59400.75</v>
      </c>
      <c r="CP95" s="1013">
        <f t="shared" si="255"/>
        <v>59400.75</v>
      </c>
      <c r="CQ95" s="1013">
        <f t="shared" si="255"/>
        <v>59400.75</v>
      </c>
      <c r="CR95" s="1013">
        <f t="shared" si="255"/>
        <v>59400.75</v>
      </c>
      <c r="CS95" s="1013">
        <f t="shared" si="255"/>
        <v>59400.75</v>
      </c>
      <c r="CT95" s="1013">
        <f t="shared" si="255"/>
        <v>59400.75</v>
      </c>
      <c r="CU95" s="1013">
        <f t="shared" si="255"/>
        <v>59400.75</v>
      </c>
      <c r="CV95" s="1013">
        <f t="shared" si="255"/>
        <v>59400.75</v>
      </c>
      <c r="CW95" s="1013">
        <f t="shared" si="255"/>
        <v>59400.75</v>
      </c>
      <c r="CX95" s="1013">
        <f t="shared" si="255"/>
        <v>59400.75</v>
      </c>
      <c r="CY95" s="1014">
        <f t="shared" si="216"/>
        <v>712809</v>
      </c>
      <c r="CZ95" s="1000">
        <f t="shared" si="206"/>
        <v>37571.983611043688</v>
      </c>
      <c r="DA95" s="1001">
        <f t="shared" si="207"/>
        <v>37571.983611043688</v>
      </c>
      <c r="DB95" s="1001">
        <f t="shared" si="207"/>
        <v>37571.983611043688</v>
      </c>
      <c r="DC95" s="1001">
        <f t="shared" si="207"/>
        <v>37571.983611043688</v>
      </c>
      <c r="DD95" s="1001">
        <f t="shared" si="207"/>
        <v>37571.983611043688</v>
      </c>
      <c r="DE95" s="1001">
        <f t="shared" si="207"/>
        <v>37571.983611043688</v>
      </c>
      <c r="DF95" s="1001">
        <f t="shared" si="207"/>
        <v>37571.983611043688</v>
      </c>
      <c r="DG95" s="1001">
        <f t="shared" si="207"/>
        <v>37571.983611043688</v>
      </c>
      <c r="DH95" s="1001">
        <f t="shared" si="207"/>
        <v>37571.983611043688</v>
      </c>
      <c r="DI95" s="1001">
        <f t="shared" si="207"/>
        <v>37571.983611043688</v>
      </c>
      <c r="DJ95" s="1001">
        <f t="shared" si="207"/>
        <v>37571.983611043688</v>
      </c>
      <c r="DK95" s="1001">
        <f t="shared" si="207"/>
        <v>37571.983611043688</v>
      </c>
      <c r="DL95" s="1002">
        <f t="shared" si="208"/>
        <v>450863.80333252414</v>
      </c>
      <c r="DM95" s="1012">
        <f>683035/12</f>
        <v>56919.583333333336</v>
      </c>
      <c r="DN95" s="1013">
        <f t="shared" si="256"/>
        <v>56919.583333333336</v>
      </c>
      <c r="DO95" s="1013">
        <f t="shared" si="256"/>
        <v>56919.583333333336</v>
      </c>
      <c r="DP95" s="1013">
        <f t="shared" si="256"/>
        <v>56919.583333333336</v>
      </c>
      <c r="DQ95" s="1013">
        <f t="shared" si="256"/>
        <v>56919.583333333336</v>
      </c>
      <c r="DR95" s="1013">
        <f t="shared" si="256"/>
        <v>56919.583333333336</v>
      </c>
      <c r="DS95" s="1013">
        <f t="shared" si="256"/>
        <v>56919.583333333336</v>
      </c>
      <c r="DT95" s="1013">
        <f t="shared" si="256"/>
        <v>56919.583333333336</v>
      </c>
      <c r="DU95" s="1013">
        <f t="shared" si="256"/>
        <v>56919.583333333336</v>
      </c>
      <c r="DV95" s="1013">
        <f t="shared" si="256"/>
        <v>56919.583333333336</v>
      </c>
      <c r="DW95" s="1013">
        <f t="shared" si="256"/>
        <v>56919.583333333336</v>
      </c>
      <c r="DX95" s="1013">
        <f t="shared" si="256"/>
        <v>56919.583333333336</v>
      </c>
      <c r="DY95" s="1014">
        <f t="shared" si="217"/>
        <v>683035</v>
      </c>
      <c r="DZ95" s="1001">
        <f t="shared" si="248"/>
        <v>34953.984018089977</v>
      </c>
      <c r="EA95" s="1001">
        <f t="shared" si="248"/>
        <v>34953.984018089977</v>
      </c>
      <c r="EB95" s="1001">
        <f t="shared" si="248"/>
        <v>34953.984018089977</v>
      </c>
      <c r="EC95" s="1001">
        <f t="shared" si="248"/>
        <v>34953.984018089977</v>
      </c>
      <c r="ED95" s="1001">
        <f t="shared" si="248"/>
        <v>34953.984018089977</v>
      </c>
      <c r="EE95" s="1001">
        <f t="shared" si="248"/>
        <v>34953.984018089977</v>
      </c>
      <c r="EF95" s="1001">
        <f t="shared" si="248"/>
        <v>34953.984018089977</v>
      </c>
      <c r="EG95" s="1001">
        <f t="shared" si="248"/>
        <v>34953.984018089977</v>
      </c>
      <c r="EH95" s="1001">
        <f t="shared" si="248"/>
        <v>34953.984018089977</v>
      </c>
      <c r="EI95" s="1001">
        <f t="shared" si="248"/>
        <v>34953.984018089977</v>
      </c>
      <c r="EJ95" s="1001">
        <f t="shared" si="248"/>
        <v>34953.984018089977</v>
      </c>
      <c r="EK95" s="1001">
        <f t="shared" si="248"/>
        <v>34953.984018089977</v>
      </c>
      <c r="EL95" s="1002">
        <f t="shared" si="210"/>
        <v>419447.80821707961</v>
      </c>
    </row>
    <row r="96" spans="1:142" ht="18" thickBot="1">
      <c r="A96" s="973" t="s">
        <v>725</v>
      </c>
      <c r="B96" s="1065" t="s">
        <v>91</v>
      </c>
      <c r="C96" s="1055"/>
      <c r="D96" s="1056"/>
      <c r="E96" s="1057"/>
      <c r="F96" s="1057"/>
      <c r="G96" s="1058"/>
      <c r="H96" s="1056"/>
      <c r="I96" s="1057"/>
      <c r="J96" s="1057"/>
      <c r="K96" s="1059"/>
      <c r="L96" s="884"/>
      <c r="M96" s="1066"/>
      <c r="N96" s="258"/>
      <c r="O96" s="258"/>
      <c r="P96" s="258"/>
      <c r="Q96" s="256"/>
      <c r="R96" s="256"/>
      <c r="S96" s="256"/>
      <c r="T96" s="256"/>
      <c r="U96" s="256"/>
      <c r="V96" s="256">
        <v>0</v>
      </c>
      <c r="W96" s="256"/>
      <c r="X96" s="256"/>
      <c r="Y96" s="885">
        <f>SUM(M96:X96)</f>
        <v>0</v>
      </c>
      <c r="Z96" s="886">
        <v>-3845.1899999999996</v>
      </c>
      <c r="AA96" s="257">
        <v>-8329.4</v>
      </c>
      <c r="AB96" s="257">
        <f>O96*D96</f>
        <v>0</v>
      </c>
      <c r="AC96" s="257">
        <f>P96*D96</f>
        <v>0</v>
      </c>
      <c r="AD96" s="257">
        <v>-960.68</v>
      </c>
      <c r="AE96" s="257">
        <f>R96*$E96</f>
        <v>0</v>
      </c>
      <c r="AF96" s="257">
        <f>S96*$F96</f>
        <v>0</v>
      </c>
      <c r="AG96" s="257">
        <f>T96*$F96</f>
        <v>0</v>
      </c>
      <c r="AH96" s="257">
        <f>U96*$F96</f>
        <v>0</v>
      </c>
      <c r="AI96" s="257">
        <f>V96*$G96</f>
        <v>0</v>
      </c>
      <c r="AJ96" s="257">
        <f>W96*$G96</f>
        <v>0</v>
      </c>
      <c r="AK96" s="257">
        <f>X96*$G96</f>
        <v>0</v>
      </c>
      <c r="AL96" s="887">
        <f>SUM(Z96:AK96)</f>
        <v>-13135.27</v>
      </c>
      <c r="AM96" s="1067"/>
      <c r="AN96" s="258"/>
      <c r="AO96" s="258"/>
      <c r="AP96" s="258"/>
      <c r="AQ96" s="256"/>
      <c r="AR96" s="256"/>
      <c r="AS96" s="256"/>
      <c r="AT96" s="256"/>
      <c r="AU96" s="256"/>
      <c r="AV96" s="256"/>
      <c r="AW96" s="256"/>
      <c r="AX96" s="256"/>
      <c r="AY96" s="885">
        <f t="shared" si="213"/>
        <v>0</v>
      </c>
      <c r="AZ96" s="886">
        <f t="shared" si="201"/>
        <v>0</v>
      </c>
      <c r="BA96" s="257">
        <f t="shared" si="201"/>
        <v>0</v>
      </c>
      <c r="BB96" s="257">
        <f t="shared" si="201"/>
        <v>0</v>
      </c>
      <c r="BC96" s="257">
        <f t="shared" ref="BC96:BK96" si="257">AP96*$H96</f>
        <v>0</v>
      </c>
      <c r="BD96" s="257">
        <f t="shared" si="257"/>
        <v>0</v>
      </c>
      <c r="BE96" s="257">
        <f t="shared" si="257"/>
        <v>0</v>
      </c>
      <c r="BF96" s="257">
        <f t="shared" si="257"/>
        <v>0</v>
      </c>
      <c r="BG96" s="257">
        <f t="shared" si="257"/>
        <v>0</v>
      </c>
      <c r="BH96" s="257">
        <f t="shared" si="257"/>
        <v>0</v>
      </c>
      <c r="BI96" s="257">
        <f t="shared" si="257"/>
        <v>0</v>
      </c>
      <c r="BJ96" s="257">
        <f t="shared" si="257"/>
        <v>0</v>
      </c>
      <c r="BK96" s="257">
        <f t="shared" si="257"/>
        <v>0</v>
      </c>
      <c r="BL96" s="887">
        <f t="shared" si="202"/>
        <v>0</v>
      </c>
      <c r="BM96" s="1067"/>
      <c r="BN96" s="258"/>
      <c r="BO96" s="258"/>
      <c r="BP96" s="258"/>
      <c r="BQ96" s="256"/>
      <c r="BR96" s="256"/>
      <c r="BS96" s="256"/>
      <c r="BT96" s="256"/>
      <c r="BU96" s="256"/>
      <c r="BV96" s="256"/>
      <c r="BW96" s="256"/>
      <c r="BX96" s="256"/>
      <c r="BY96" s="885">
        <f t="shared" si="215"/>
        <v>0</v>
      </c>
      <c r="BZ96" s="891">
        <f t="shared" si="204"/>
        <v>0</v>
      </c>
      <c r="CA96" s="257">
        <f t="shared" si="204"/>
        <v>0</v>
      </c>
      <c r="CB96" s="257">
        <f t="shared" si="204"/>
        <v>0</v>
      </c>
      <c r="CC96" s="257">
        <f t="shared" ref="CC96:CK96" si="258">BP96*$I96</f>
        <v>0</v>
      </c>
      <c r="CD96" s="257">
        <f t="shared" si="258"/>
        <v>0</v>
      </c>
      <c r="CE96" s="257">
        <f t="shared" si="258"/>
        <v>0</v>
      </c>
      <c r="CF96" s="257">
        <f t="shared" si="258"/>
        <v>0</v>
      </c>
      <c r="CG96" s="257">
        <f t="shared" si="258"/>
        <v>0</v>
      </c>
      <c r="CH96" s="257">
        <f t="shared" si="258"/>
        <v>0</v>
      </c>
      <c r="CI96" s="257">
        <f t="shared" si="258"/>
        <v>0</v>
      </c>
      <c r="CJ96" s="257">
        <f t="shared" si="258"/>
        <v>0</v>
      </c>
      <c r="CK96" s="257">
        <f t="shared" si="258"/>
        <v>0</v>
      </c>
      <c r="CL96" s="892">
        <f t="shared" si="205"/>
        <v>0</v>
      </c>
      <c r="CM96" s="1067"/>
      <c r="CN96" s="258"/>
      <c r="CO96" s="258"/>
      <c r="CP96" s="258"/>
      <c r="CQ96" s="256"/>
      <c r="CR96" s="256"/>
      <c r="CS96" s="256"/>
      <c r="CT96" s="256"/>
      <c r="CU96" s="256"/>
      <c r="CV96" s="256"/>
      <c r="CW96" s="256"/>
      <c r="CX96" s="256"/>
      <c r="CY96" s="885">
        <f t="shared" si="216"/>
        <v>0</v>
      </c>
      <c r="CZ96" s="886">
        <f t="shared" si="206"/>
        <v>0</v>
      </c>
      <c r="DA96" s="257">
        <f t="shared" si="207"/>
        <v>0</v>
      </c>
      <c r="DB96" s="257">
        <f t="shared" si="207"/>
        <v>0</v>
      </c>
      <c r="DC96" s="257">
        <f t="shared" si="207"/>
        <v>0</v>
      </c>
      <c r="DD96" s="257">
        <f t="shared" si="207"/>
        <v>0</v>
      </c>
      <c r="DE96" s="257">
        <f t="shared" si="207"/>
        <v>0</v>
      </c>
      <c r="DF96" s="257">
        <f t="shared" si="207"/>
        <v>0</v>
      </c>
      <c r="DG96" s="257">
        <f t="shared" si="207"/>
        <v>0</v>
      </c>
      <c r="DH96" s="257">
        <f t="shared" si="207"/>
        <v>0</v>
      </c>
      <c r="DI96" s="257">
        <f t="shared" si="207"/>
        <v>0</v>
      </c>
      <c r="DJ96" s="257">
        <f t="shared" si="207"/>
        <v>0</v>
      </c>
      <c r="DK96" s="257">
        <f t="shared" si="207"/>
        <v>0</v>
      </c>
      <c r="DL96" s="887">
        <f t="shared" si="208"/>
        <v>0</v>
      </c>
      <c r="DM96" s="1066"/>
      <c r="DN96" s="258"/>
      <c r="DO96" s="258"/>
      <c r="DP96" s="258"/>
      <c r="DQ96" s="256"/>
      <c r="DR96" s="256"/>
      <c r="DS96" s="256"/>
      <c r="DT96" s="256"/>
      <c r="DU96" s="256"/>
      <c r="DV96" s="256"/>
      <c r="DW96" s="256"/>
      <c r="DX96" s="256"/>
      <c r="DY96" s="885">
        <f t="shared" si="217"/>
        <v>0</v>
      </c>
      <c r="DZ96" s="257">
        <f t="shared" si="209"/>
        <v>0</v>
      </c>
      <c r="EA96" s="257">
        <f t="shared" si="209"/>
        <v>0</v>
      </c>
      <c r="EB96" s="257">
        <f t="shared" si="209"/>
        <v>0</v>
      </c>
      <c r="EC96" s="257">
        <f t="shared" si="209"/>
        <v>0</v>
      </c>
      <c r="ED96" s="257">
        <f t="shared" si="209"/>
        <v>0</v>
      </c>
      <c r="EE96" s="257">
        <f t="shared" si="209"/>
        <v>0</v>
      </c>
      <c r="EF96" s="257">
        <f t="shared" si="209"/>
        <v>0</v>
      </c>
      <c r="EG96" s="257">
        <f t="shared" si="209"/>
        <v>0</v>
      </c>
      <c r="EH96" s="257">
        <f t="shared" si="209"/>
        <v>0</v>
      </c>
      <c r="EI96" s="257">
        <f t="shared" si="209"/>
        <v>0</v>
      </c>
      <c r="EJ96" s="257">
        <f t="shared" si="209"/>
        <v>0</v>
      </c>
      <c r="EK96" s="257">
        <f t="shared" si="209"/>
        <v>0</v>
      </c>
      <c r="EL96" s="887">
        <f t="shared" si="210"/>
        <v>0</v>
      </c>
    </row>
    <row r="97" spans="1:142" ht="18.75" thickTop="1" thickBot="1">
      <c r="A97" s="5218" t="s">
        <v>79</v>
      </c>
      <c r="B97" s="5219"/>
      <c r="C97" s="5220"/>
      <c r="D97" s="898"/>
      <c r="E97" s="898"/>
      <c r="F97" s="898"/>
      <c r="G97" s="898"/>
      <c r="H97" s="898"/>
      <c r="I97" s="898"/>
      <c r="J97" s="898"/>
      <c r="K97" s="899"/>
      <c r="L97" s="900"/>
      <c r="M97" s="901">
        <f>SUM(M75:M96)</f>
        <v>258736</v>
      </c>
      <c r="N97" s="544">
        <f t="shared" ref="N97:BY97" si="259">SUM(N75:N96)</f>
        <v>193912</v>
      </c>
      <c r="O97" s="544">
        <f t="shared" si="259"/>
        <v>273812</v>
      </c>
      <c r="P97" s="544">
        <f t="shared" si="259"/>
        <v>247426</v>
      </c>
      <c r="Q97" s="544">
        <f t="shared" si="259"/>
        <v>148032</v>
      </c>
      <c r="R97" s="544">
        <f t="shared" si="259"/>
        <v>237883</v>
      </c>
      <c r="S97" s="544">
        <f t="shared" si="259"/>
        <v>248440</v>
      </c>
      <c r="T97" s="544">
        <f t="shared" si="259"/>
        <v>230000</v>
      </c>
      <c r="U97" s="544">
        <f t="shared" si="259"/>
        <v>263620</v>
      </c>
      <c r="V97" s="544">
        <f t="shared" si="259"/>
        <v>248760</v>
      </c>
      <c r="W97" s="544">
        <f t="shared" si="259"/>
        <v>252120</v>
      </c>
      <c r="X97" s="544">
        <f t="shared" si="259"/>
        <v>252120</v>
      </c>
      <c r="Y97" s="545">
        <f t="shared" si="259"/>
        <v>2854861</v>
      </c>
      <c r="Z97" s="546">
        <f t="shared" si="259"/>
        <v>498268.33</v>
      </c>
      <c r="AA97" s="546">
        <f t="shared" si="259"/>
        <v>346745.48</v>
      </c>
      <c r="AB97" s="546">
        <f t="shared" si="259"/>
        <v>479430.12</v>
      </c>
      <c r="AC97" s="546">
        <f>SUM(AC75:AC96)</f>
        <v>462484.76</v>
      </c>
      <c r="AD97" s="546">
        <f>SUM(AD75:AD96)+3694</f>
        <v>355653.44</v>
      </c>
      <c r="AE97" s="546">
        <f>SUM(AE75:AE96)</f>
        <v>476720.53</v>
      </c>
      <c r="AF97" s="546">
        <f t="shared" si="259"/>
        <v>453718</v>
      </c>
      <c r="AG97" s="546">
        <f t="shared" si="259"/>
        <v>436785</v>
      </c>
      <c r="AH97" s="546">
        <f t="shared" si="259"/>
        <v>528447.76</v>
      </c>
      <c r="AI97" s="546">
        <f t="shared" si="259"/>
        <v>505540.48</v>
      </c>
      <c r="AJ97" s="546">
        <f t="shared" si="259"/>
        <v>509481.76</v>
      </c>
      <c r="AK97" s="546">
        <f t="shared" si="259"/>
        <v>509481.76</v>
      </c>
      <c r="AL97" s="547">
        <f t="shared" si="259"/>
        <v>5559063.4200000009</v>
      </c>
      <c r="AM97" s="544">
        <f t="shared" si="259"/>
        <v>222210.83333333331</v>
      </c>
      <c r="AN97" s="544">
        <f t="shared" si="259"/>
        <v>182802.83333333331</v>
      </c>
      <c r="AO97" s="544">
        <f t="shared" si="259"/>
        <v>227210.83333333331</v>
      </c>
      <c r="AP97" s="544">
        <f t="shared" si="259"/>
        <v>227210.83333333331</v>
      </c>
      <c r="AQ97" s="544">
        <f t="shared" si="259"/>
        <v>227210.83333333331</v>
      </c>
      <c r="AR97" s="544">
        <f t="shared" si="259"/>
        <v>227210.83333333331</v>
      </c>
      <c r="AS97" s="544">
        <f t="shared" si="259"/>
        <v>271067.66666666663</v>
      </c>
      <c r="AT97" s="544">
        <f t="shared" si="259"/>
        <v>275454.66666666663</v>
      </c>
      <c r="AU97" s="544">
        <f t="shared" si="259"/>
        <v>275454.66666666663</v>
      </c>
      <c r="AV97" s="544">
        <f t="shared" si="259"/>
        <v>275454.66666666663</v>
      </c>
      <c r="AW97" s="544">
        <f t="shared" si="259"/>
        <v>275454.66666666663</v>
      </c>
      <c r="AX97" s="544">
        <f t="shared" si="259"/>
        <v>291898.66666666669</v>
      </c>
      <c r="AY97" s="545">
        <f t="shared" si="259"/>
        <v>2978642</v>
      </c>
      <c r="AZ97" s="546">
        <f t="shared" si="259"/>
        <v>477083.66499999998</v>
      </c>
      <c r="BA97" s="546">
        <f t="shared" si="259"/>
        <v>373308.38500000001</v>
      </c>
      <c r="BB97" s="546">
        <f t="shared" si="259"/>
        <v>490383.66499999998</v>
      </c>
      <c r="BC97" s="546">
        <f t="shared" si="259"/>
        <v>490383.66499999998</v>
      </c>
      <c r="BD97" s="546">
        <f t="shared" si="259"/>
        <v>490383.66499999998</v>
      </c>
      <c r="BE97" s="546">
        <f t="shared" si="259"/>
        <v>490383.66499999998</v>
      </c>
      <c r="BF97" s="546">
        <f t="shared" si="259"/>
        <v>618126.2583333333</v>
      </c>
      <c r="BG97" s="546">
        <f t="shared" si="259"/>
        <v>629795.67833333323</v>
      </c>
      <c r="BH97" s="546">
        <f t="shared" si="259"/>
        <v>629795.67833333323</v>
      </c>
      <c r="BI97" s="546">
        <f t="shared" si="259"/>
        <v>629795.67833333323</v>
      </c>
      <c r="BJ97" s="546">
        <f t="shared" si="259"/>
        <v>629795.67833333323</v>
      </c>
      <c r="BK97" s="546">
        <f t="shared" si="259"/>
        <v>659001.02818083332</v>
      </c>
      <c r="BL97" s="547">
        <f t="shared" si="259"/>
        <v>6608236.7098475005</v>
      </c>
      <c r="BM97" s="544">
        <f t="shared" si="259"/>
        <v>305778.66666666663</v>
      </c>
      <c r="BN97" s="544">
        <f t="shared" si="259"/>
        <v>296634.66666666663</v>
      </c>
      <c r="BO97" s="544">
        <f t="shared" si="259"/>
        <v>321042.66666666663</v>
      </c>
      <c r="BP97" s="544">
        <f t="shared" si="259"/>
        <v>327042.66666666663</v>
      </c>
      <c r="BQ97" s="544">
        <f t="shared" si="259"/>
        <v>331042.66666666663</v>
      </c>
      <c r="BR97" s="544">
        <f t="shared" si="259"/>
        <v>341042.66666666669</v>
      </c>
      <c r="BS97" s="544">
        <f t="shared" si="259"/>
        <v>347638.66666666669</v>
      </c>
      <c r="BT97" s="544">
        <f t="shared" si="259"/>
        <v>352025.66666666669</v>
      </c>
      <c r="BU97" s="544">
        <f t="shared" si="259"/>
        <v>352025.66666666669</v>
      </c>
      <c r="BV97" s="544">
        <f t="shared" si="259"/>
        <v>352025.66666666669</v>
      </c>
      <c r="BW97" s="544">
        <f t="shared" si="259"/>
        <v>352025.66666666669</v>
      </c>
      <c r="BX97" s="544">
        <f t="shared" si="259"/>
        <v>360703.66666666669</v>
      </c>
      <c r="BY97" s="545">
        <f t="shared" si="259"/>
        <v>4039029</v>
      </c>
      <c r="BZ97" s="902">
        <f t="shared" ref="BZ97:EK97" si="260">SUM(BZ75:BZ96)</f>
        <v>631430.53666374995</v>
      </c>
      <c r="CA97" s="546">
        <f t="shared" si="260"/>
        <v>618807.49666374992</v>
      </c>
      <c r="CB97" s="546">
        <f t="shared" si="260"/>
        <v>712982.77666374994</v>
      </c>
      <c r="CC97" s="546">
        <f t="shared" si="260"/>
        <v>734222.77666374994</v>
      </c>
      <c r="CD97" s="546">
        <f t="shared" si="260"/>
        <v>748382.77666374994</v>
      </c>
      <c r="CE97" s="546">
        <f t="shared" si="260"/>
        <v>783782.77666374994</v>
      </c>
      <c r="CF97" s="546">
        <f t="shared" si="260"/>
        <v>801328.13666374993</v>
      </c>
      <c r="CG97" s="546">
        <f t="shared" si="260"/>
        <v>812997.55666374997</v>
      </c>
      <c r="CH97" s="546">
        <f t="shared" si="260"/>
        <v>812997.55666374997</v>
      </c>
      <c r="CI97" s="546">
        <f t="shared" si="260"/>
        <v>812997.55666374997</v>
      </c>
      <c r="CJ97" s="546">
        <f t="shared" si="260"/>
        <v>812997.55666374997</v>
      </c>
      <c r="CK97" s="546">
        <f t="shared" si="260"/>
        <v>836081.03666374995</v>
      </c>
      <c r="CL97" s="903">
        <f t="shared" si="260"/>
        <v>9119008.539965</v>
      </c>
      <c r="CM97" s="544">
        <f t="shared" si="260"/>
        <v>454009.75</v>
      </c>
      <c r="CN97" s="544">
        <f t="shared" si="260"/>
        <v>454009.75</v>
      </c>
      <c r="CO97" s="544">
        <f t="shared" si="260"/>
        <v>454009.75</v>
      </c>
      <c r="CP97" s="544">
        <f t="shared" si="260"/>
        <v>454009.75</v>
      </c>
      <c r="CQ97" s="544">
        <f t="shared" si="260"/>
        <v>454009.75</v>
      </c>
      <c r="CR97" s="544">
        <f t="shared" si="260"/>
        <v>454009.75</v>
      </c>
      <c r="CS97" s="544">
        <f t="shared" si="260"/>
        <v>454009.75</v>
      </c>
      <c r="CT97" s="544">
        <f t="shared" si="260"/>
        <v>454009.75</v>
      </c>
      <c r="CU97" s="544">
        <f t="shared" si="260"/>
        <v>454009.75</v>
      </c>
      <c r="CV97" s="544">
        <f t="shared" si="260"/>
        <v>454009.75</v>
      </c>
      <c r="CW97" s="544">
        <f t="shared" si="260"/>
        <v>454009.75</v>
      </c>
      <c r="CX97" s="544">
        <f t="shared" si="260"/>
        <v>454009.75</v>
      </c>
      <c r="CY97" s="545">
        <f t="shared" si="260"/>
        <v>5448117</v>
      </c>
      <c r="CZ97" s="546">
        <f t="shared" si="260"/>
        <v>1110928.1852057041</v>
      </c>
      <c r="DA97" s="546">
        <f t="shared" si="260"/>
        <v>1110928.1852057041</v>
      </c>
      <c r="DB97" s="546">
        <f t="shared" si="260"/>
        <v>1110928.1852057041</v>
      </c>
      <c r="DC97" s="546">
        <f t="shared" si="260"/>
        <v>1110928.1852057041</v>
      </c>
      <c r="DD97" s="546">
        <f t="shared" si="260"/>
        <v>1110928.1852057041</v>
      </c>
      <c r="DE97" s="546">
        <f t="shared" si="260"/>
        <v>1110928.1852057041</v>
      </c>
      <c r="DF97" s="546">
        <f t="shared" si="260"/>
        <v>1110928.1852057041</v>
      </c>
      <c r="DG97" s="546">
        <f t="shared" si="260"/>
        <v>1110928.1852057041</v>
      </c>
      <c r="DH97" s="546">
        <f t="shared" si="260"/>
        <v>1110928.1852057041</v>
      </c>
      <c r="DI97" s="546">
        <f t="shared" si="260"/>
        <v>1110928.1852057041</v>
      </c>
      <c r="DJ97" s="546">
        <f t="shared" si="260"/>
        <v>1110928.1852057041</v>
      </c>
      <c r="DK97" s="546">
        <f t="shared" si="260"/>
        <v>1110928.1852057041</v>
      </c>
      <c r="DL97" s="547">
        <f t="shared" si="260"/>
        <v>13331138.222468445</v>
      </c>
      <c r="DM97" s="901">
        <f t="shared" si="260"/>
        <v>512793.91666666657</v>
      </c>
      <c r="DN97" s="544">
        <f t="shared" si="260"/>
        <v>512793.91666666657</v>
      </c>
      <c r="DO97" s="544">
        <f t="shared" si="260"/>
        <v>512793.91666666657</v>
      </c>
      <c r="DP97" s="544">
        <f t="shared" si="260"/>
        <v>512793.91666666657</v>
      </c>
      <c r="DQ97" s="544">
        <f t="shared" si="260"/>
        <v>512793.91666666657</v>
      </c>
      <c r="DR97" s="544">
        <f t="shared" si="260"/>
        <v>512793.91666666657</v>
      </c>
      <c r="DS97" s="544">
        <f t="shared" si="260"/>
        <v>512793.91666666657</v>
      </c>
      <c r="DT97" s="544">
        <f t="shared" si="260"/>
        <v>512793.91666666657</v>
      </c>
      <c r="DU97" s="544">
        <f t="shared" si="260"/>
        <v>512793.91666666657</v>
      </c>
      <c r="DV97" s="544">
        <f t="shared" si="260"/>
        <v>512793.91666666657</v>
      </c>
      <c r="DW97" s="544">
        <f t="shared" si="260"/>
        <v>512793.91666666657</v>
      </c>
      <c r="DX97" s="544">
        <f t="shared" si="260"/>
        <v>512793.91666666657</v>
      </c>
      <c r="DY97" s="545">
        <f t="shared" si="260"/>
        <v>6153527</v>
      </c>
      <c r="DZ97" s="546">
        <f t="shared" si="260"/>
        <v>1345818.2849660274</v>
      </c>
      <c r="EA97" s="546">
        <f t="shared" si="260"/>
        <v>1345818.2849660274</v>
      </c>
      <c r="EB97" s="546">
        <f t="shared" si="260"/>
        <v>1345818.2849660274</v>
      </c>
      <c r="EC97" s="546">
        <f t="shared" si="260"/>
        <v>1345818.2849660274</v>
      </c>
      <c r="ED97" s="546">
        <f t="shared" si="260"/>
        <v>1345818.2849660274</v>
      </c>
      <c r="EE97" s="546">
        <f t="shared" si="260"/>
        <v>1345818.2849660274</v>
      </c>
      <c r="EF97" s="546">
        <f t="shared" si="260"/>
        <v>1345818.2849660274</v>
      </c>
      <c r="EG97" s="546">
        <f t="shared" si="260"/>
        <v>1345818.2849660274</v>
      </c>
      <c r="EH97" s="546">
        <f t="shared" si="260"/>
        <v>1345818.2849660274</v>
      </c>
      <c r="EI97" s="546">
        <f t="shared" si="260"/>
        <v>1345818.2849660274</v>
      </c>
      <c r="EJ97" s="546">
        <f t="shared" si="260"/>
        <v>1345818.2849660274</v>
      </c>
      <c r="EK97" s="546">
        <f t="shared" si="260"/>
        <v>1345818.2849660274</v>
      </c>
      <c r="EL97" s="547">
        <f>SUM(EL75:EL96)</f>
        <v>16149819.419592328</v>
      </c>
    </row>
    <row r="98" spans="1:142" s="1085" customFormat="1" ht="18" thickTop="1">
      <c r="A98" s="970" t="s">
        <v>730</v>
      </c>
      <c r="B98" s="1068" t="s">
        <v>80</v>
      </c>
      <c r="C98" s="1069" t="s">
        <v>731</v>
      </c>
      <c r="D98" s="1070">
        <v>3.59</v>
      </c>
      <c r="E98" s="1071">
        <v>3.61</v>
      </c>
      <c r="F98" s="1072">
        <v>3.69</v>
      </c>
      <c r="G98" s="1073">
        <f t="shared" ref="F98:K113" si="261">F98</f>
        <v>3.69</v>
      </c>
      <c r="H98" s="1070">
        <f t="shared" si="261"/>
        <v>3.69</v>
      </c>
      <c r="I98" s="1071">
        <f t="shared" si="261"/>
        <v>3.69</v>
      </c>
      <c r="J98" s="1071">
        <f t="shared" si="261"/>
        <v>3.69</v>
      </c>
      <c r="K98" s="1074">
        <f t="shared" si="261"/>
        <v>3.69</v>
      </c>
      <c r="L98" s="1075"/>
      <c r="M98" s="1076">
        <v>18624</v>
      </c>
      <c r="N98" s="1077">
        <v>13296</v>
      </c>
      <c r="O98" s="1077">
        <v>0</v>
      </c>
      <c r="P98" s="1077">
        <v>5820</v>
      </c>
      <c r="Q98" s="1077">
        <v>3492</v>
      </c>
      <c r="R98" s="1077">
        <v>4656</v>
      </c>
      <c r="S98" s="1077">
        <v>4656</v>
      </c>
      <c r="T98" s="1077">
        <v>9312</v>
      </c>
      <c r="U98" s="1077">
        <v>4656</v>
      </c>
      <c r="V98" s="1077">
        <v>9312</v>
      </c>
      <c r="W98" s="1077">
        <v>9312</v>
      </c>
      <c r="X98" s="1077">
        <v>9312</v>
      </c>
      <c r="Y98" s="1078">
        <f t="shared" ref="Y98:Y117" si="262">SUM(M98:X98)</f>
        <v>92448</v>
      </c>
      <c r="Z98" s="1079">
        <v>66860.160000000003</v>
      </c>
      <c r="AA98" s="1080">
        <v>47732.639999999999</v>
      </c>
      <c r="AB98" s="1080">
        <v>0</v>
      </c>
      <c r="AC98" s="1080">
        <f>P98*$E98</f>
        <v>21010.2</v>
      </c>
      <c r="AD98" s="1080">
        <f>Q98*$E98+189.39</f>
        <v>12795.509999999998</v>
      </c>
      <c r="AE98" s="1080">
        <f>R98*E98</f>
        <v>16808.16</v>
      </c>
      <c r="AF98" s="1080">
        <f>S98*F98</f>
        <v>17180.64</v>
      </c>
      <c r="AG98" s="1080">
        <f>T98*F98</f>
        <v>34361.279999999999</v>
      </c>
      <c r="AH98" s="1080">
        <f>U98*F98</f>
        <v>17180.64</v>
      </c>
      <c r="AI98" s="1080">
        <f>V98*F98</f>
        <v>34361.279999999999</v>
      </c>
      <c r="AJ98" s="1080">
        <f>W98*F98</f>
        <v>34361.279999999999</v>
      </c>
      <c r="AK98" s="1080">
        <f>X98*F98</f>
        <v>34361.279999999999</v>
      </c>
      <c r="AL98" s="1081">
        <f t="shared" ref="AL98:AL120" si="263">SUM(Z98:AK98)</f>
        <v>337013.07000000007</v>
      </c>
      <c r="AM98" s="1076">
        <f>4656*3</f>
        <v>13968</v>
      </c>
      <c r="AN98" s="1076">
        <f>4656*3</f>
        <v>13968</v>
      </c>
      <c r="AO98" s="1077">
        <v>9312</v>
      </c>
      <c r="AP98" s="1076">
        <f>4656*3</f>
        <v>13968</v>
      </c>
      <c r="AQ98" s="1077">
        <v>9312</v>
      </c>
      <c r="AR98" s="1077">
        <v>9312</v>
      </c>
      <c r="AS98" s="1076">
        <f>4656*3</f>
        <v>13968</v>
      </c>
      <c r="AT98" s="1076">
        <f>4656*3</f>
        <v>13968</v>
      </c>
      <c r="AU98" s="1077">
        <v>9312</v>
      </c>
      <c r="AV98" s="1076">
        <f>4656*3</f>
        <v>13968</v>
      </c>
      <c r="AW98" s="1077">
        <v>9312</v>
      </c>
      <c r="AX98" s="1076">
        <f>4656*3</f>
        <v>13968</v>
      </c>
      <c r="AY98" s="1078">
        <f t="shared" si="213"/>
        <v>144336</v>
      </c>
      <c r="AZ98" s="1079">
        <f t="shared" ref="AZ98:BK121" si="264">AM98*$H98</f>
        <v>51541.919999999998</v>
      </c>
      <c r="BA98" s="1080">
        <f t="shared" si="264"/>
        <v>51541.919999999998</v>
      </c>
      <c r="BB98" s="1080">
        <f t="shared" si="264"/>
        <v>34361.279999999999</v>
      </c>
      <c r="BC98" s="1080">
        <f t="shared" si="264"/>
        <v>51541.919999999998</v>
      </c>
      <c r="BD98" s="1080">
        <f t="shared" si="264"/>
        <v>34361.279999999999</v>
      </c>
      <c r="BE98" s="1080">
        <f t="shared" si="264"/>
        <v>34361.279999999999</v>
      </c>
      <c r="BF98" s="1080">
        <f t="shared" si="264"/>
        <v>51541.919999999998</v>
      </c>
      <c r="BG98" s="1080">
        <f t="shared" si="264"/>
        <v>51541.919999999998</v>
      </c>
      <c r="BH98" s="1080">
        <f t="shared" si="264"/>
        <v>34361.279999999999</v>
      </c>
      <c r="BI98" s="1080">
        <f t="shared" si="264"/>
        <v>51541.919999999998</v>
      </c>
      <c r="BJ98" s="1080">
        <f t="shared" si="264"/>
        <v>34361.279999999999</v>
      </c>
      <c r="BK98" s="1080">
        <f t="shared" si="264"/>
        <v>51541.919999999998</v>
      </c>
      <c r="BL98" s="1081">
        <f t="shared" ref="BL98:BL121" si="265">SUM(AZ98:BK98)</f>
        <v>532599.84</v>
      </c>
      <c r="BM98" s="1082">
        <v>18624</v>
      </c>
      <c r="BN98" s="1077">
        <v>13296</v>
      </c>
      <c r="BO98" s="1077">
        <v>8000</v>
      </c>
      <c r="BP98" s="1077">
        <v>8000</v>
      </c>
      <c r="BQ98" s="1077">
        <v>8000</v>
      </c>
      <c r="BR98" s="1077">
        <v>8000</v>
      </c>
      <c r="BS98" s="1077">
        <v>8000</v>
      </c>
      <c r="BT98" s="1077">
        <v>8000</v>
      </c>
      <c r="BU98" s="1077">
        <v>8000</v>
      </c>
      <c r="BV98" s="1077">
        <v>8000</v>
      </c>
      <c r="BW98" s="1077">
        <v>8000</v>
      </c>
      <c r="BX98" s="1077">
        <v>8000</v>
      </c>
      <c r="BY98" s="1078">
        <f t="shared" si="215"/>
        <v>111920</v>
      </c>
      <c r="BZ98" s="1083">
        <f t="shared" ref="BZ98:CK119" si="266">BM98*$I98</f>
        <v>68722.559999999998</v>
      </c>
      <c r="CA98" s="1080">
        <f t="shared" si="266"/>
        <v>49062.239999999998</v>
      </c>
      <c r="CB98" s="1080">
        <f t="shared" si="266"/>
        <v>29520</v>
      </c>
      <c r="CC98" s="1080">
        <f t="shared" si="266"/>
        <v>29520</v>
      </c>
      <c r="CD98" s="1080">
        <f t="shared" si="266"/>
        <v>29520</v>
      </c>
      <c r="CE98" s="1080">
        <f t="shared" si="266"/>
        <v>29520</v>
      </c>
      <c r="CF98" s="1080">
        <f t="shared" si="266"/>
        <v>29520</v>
      </c>
      <c r="CG98" s="1080">
        <f t="shared" si="266"/>
        <v>29520</v>
      </c>
      <c r="CH98" s="1080">
        <f t="shared" si="266"/>
        <v>29520</v>
      </c>
      <c r="CI98" s="1080">
        <f t="shared" si="266"/>
        <v>29520</v>
      </c>
      <c r="CJ98" s="1080">
        <f t="shared" si="266"/>
        <v>29520</v>
      </c>
      <c r="CK98" s="1080">
        <f t="shared" si="266"/>
        <v>29520</v>
      </c>
      <c r="CL98" s="1084">
        <f t="shared" ref="CL98:CL121" si="267">SUM(BZ98:CK98)</f>
        <v>412984.8</v>
      </c>
      <c r="CM98" s="1082">
        <f>10000/12</f>
        <v>833.33333333333337</v>
      </c>
      <c r="CN98" s="1077">
        <f t="shared" ref="CN98:CX98" si="268">10000/12</f>
        <v>833.33333333333337</v>
      </c>
      <c r="CO98" s="1077">
        <f t="shared" si="268"/>
        <v>833.33333333333337</v>
      </c>
      <c r="CP98" s="1077">
        <f t="shared" si="268"/>
        <v>833.33333333333337</v>
      </c>
      <c r="CQ98" s="1077">
        <f t="shared" si="268"/>
        <v>833.33333333333337</v>
      </c>
      <c r="CR98" s="1077">
        <f t="shared" si="268"/>
        <v>833.33333333333337</v>
      </c>
      <c r="CS98" s="1077">
        <f t="shared" si="268"/>
        <v>833.33333333333337</v>
      </c>
      <c r="CT98" s="1077">
        <f t="shared" si="268"/>
        <v>833.33333333333337</v>
      </c>
      <c r="CU98" s="1077">
        <f t="shared" si="268"/>
        <v>833.33333333333337</v>
      </c>
      <c r="CV98" s="1077">
        <f t="shared" si="268"/>
        <v>833.33333333333337</v>
      </c>
      <c r="CW98" s="1077">
        <f t="shared" si="268"/>
        <v>833.33333333333337</v>
      </c>
      <c r="CX98" s="1077">
        <f t="shared" si="268"/>
        <v>833.33333333333337</v>
      </c>
      <c r="CY98" s="1078">
        <f t="shared" si="216"/>
        <v>10000</v>
      </c>
      <c r="CZ98" s="1079">
        <f t="shared" ref="CZ98:DK119" si="269">CM98*$J98</f>
        <v>3075</v>
      </c>
      <c r="DA98" s="1080">
        <f t="shared" si="269"/>
        <v>3075</v>
      </c>
      <c r="DB98" s="1080">
        <f t="shared" si="269"/>
        <v>3075</v>
      </c>
      <c r="DC98" s="1080">
        <f t="shared" si="269"/>
        <v>3075</v>
      </c>
      <c r="DD98" s="1080">
        <f t="shared" si="269"/>
        <v>3075</v>
      </c>
      <c r="DE98" s="1080">
        <f t="shared" si="269"/>
        <v>3075</v>
      </c>
      <c r="DF98" s="1080">
        <f t="shared" si="269"/>
        <v>3075</v>
      </c>
      <c r="DG98" s="1080">
        <f t="shared" si="269"/>
        <v>3075</v>
      </c>
      <c r="DH98" s="1080">
        <f t="shared" si="269"/>
        <v>3075</v>
      </c>
      <c r="DI98" s="1080">
        <f t="shared" si="269"/>
        <v>3075</v>
      </c>
      <c r="DJ98" s="1080">
        <f t="shared" si="269"/>
        <v>3075</v>
      </c>
      <c r="DK98" s="1080">
        <f t="shared" si="269"/>
        <v>3075</v>
      </c>
      <c r="DL98" s="1081">
        <f t="shared" ref="DL98:DL121" si="270">SUM(CZ98:DK98)</f>
        <v>36900</v>
      </c>
      <c r="DM98" s="1076">
        <f>10000/12</f>
        <v>833.33333333333337</v>
      </c>
      <c r="DN98" s="1077">
        <f t="shared" ref="DN98:DX98" si="271">10000/12</f>
        <v>833.33333333333337</v>
      </c>
      <c r="DO98" s="1077">
        <f t="shared" si="271"/>
        <v>833.33333333333337</v>
      </c>
      <c r="DP98" s="1077">
        <f t="shared" si="271"/>
        <v>833.33333333333337</v>
      </c>
      <c r="DQ98" s="1077">
        <f t="shared" si="271"/>
        <v>833.33333333333337</v>
      </c>
      <c r="DR98" s="1077">
        <f t="shared" si="271"/>
        <v>833.33333333333337</v>
      </c>
      <c r="DS98" s="1077">
        <f t="shared" si="271"/>
        <v>833.33333333333337</v>
      </c>
      <c r="DT98" s="1077">
        <f t="shared" si="271"/>
        <v>833.33333333333337</v>
      </c>
      <c r="DU98" s="1077">
        <f t="shared" si="271"/>
        <v>833.33333333333337</v>
      </c>
      <c r="DV98" s="1077">
        <f t="shared" si="271"/>
        <v>833.33333333333337</v>
      </c>
      <c r="DW98" s="1077">
        <f t="shared" si="271"/>
        <v>833.33333333333337</v>
      </c>
      <c r="DX98" s="1077">
        <f t="shared" si="271"/>
        <v>833.33333333333337</v>
      </c>
      <c r="DY98" s="1078">
        <f t="shared" si="217"/>
        <v>10000</v>
      </c>
      <c r="DZ98" s="1080">
        <f t="shared" ref="DZ98:EK119" si="272">DM98*$K98</f>
        <v>3075</v>
      </c>
      <c r="EA98" s="1080">
        <f t="shared" si="272"/>
        <v>3075</v>
      </c>
      <c r="EB98" s="1080">
        <f t="shared" si="272"/>
        <v>3075</v>
      </c>
      <c r="EC98" s="1080">
        <f t="shared" si="272"/>
        <v>3075</v>
      </c>
      <c r="ED98" s="1080">
        <f t="shared" si="272"/>
        <v>3075</v>
      </c>
      <c r="EE98" s="1080">
        <f t="shared" si="272"/>
        <v>3075</v>
      </c>
      <c r="EF98" s="1080">
        <f t="shared" si="272"/>
        <v>3075</v>
      </c>
      <c r="EG98" s="1080">
        <f t="shared" si="272"/>
        <v>3075</v>
      </c>
      <c r="EH98" s="1080">
        <f t="shared" si="272"/>
        <v>3075</v>
      </c>
      <c r="EI98" s="1080">
        <f t="shared" si="272"/>
        <v>3075</v>
      </c>
      <c r="EJ98" s="1080">
        <f t="shared" si="272"/>
        <v>3075</v>
      </c>
      <c r="EK98" s="1080">
        <f t="shared" si="272"/>
        <v>3075</v>
      </c>
      <c r="EL98" s="1081">
        <f t="shared" ref="EL98:EL121" si="273">SUM(DZ98:EK98)</f>
        <v>36900</v>
      </c>
    </row>
    <row r="99" spans="1:142" s="1085" customFormat="1">
      <c r="A99" s="973" t="s">
        <v>730</v>
      </c>
      <c r="B99" s="1068" t="s">
        <v>81</v>
      </c>
      <c r="C99" s="1069" t="s">
        <v>732</v>
      </c>
      <c r="D99" s="1086">
        <v>1.2</v>
      </c>
      <c r="E99" s="1087">
        <v>1.21</v>
      </c>
      <c r="F99" s="1088">
        <v>1.24</v>
      </c>
      <c r="G99" s="1089">
        <f t="shared" si="261"/>
        <v>1.24</v>
      </c>
      <c r="H99" s="1086">
        <f t="shared" si="261"/>
        <v>1.24</v>
      </c>
      <c r="I99" s="1090">
        <f t="shared" si="261"/>
        <v>1.24</v>
      </c>
      <c r="J99" s="1090">
        <f t="shared" si="261"/>
        <v>1.24</v>
      </c>
      <c r="K99" s="1091">
        <f t="shared" si="261"/>
        <v>1.24</v>
      </c>
      <c r="L99" s="1075"/>
      <c r="M99" s="1092"/>
      <c r="N99" s="1077">
        <v>96840</v>
      </c>
      <c r="O99" s="1077">
        <v>76800</v>
      </c>
      <c r="P99" s="1077">
        <v>51840</v>
      </c>
      <c r="Q99" s="1077">
        <v>48000</v>
      </c>
      <c r="R99" s="1077">
        <v>61360</v>
      </c>
      <c r="S99" s="1077">
        <v>26880</v>
      </c>
      <c r="T99" s="1077">
        <v>48000</v>
      </c>
      <c r="U99" s="1077">
        <v>61360</v>
      </c>
      <c r="V99" s="1077">
        <v>61360</v>
      </c>
      <c r="W99" s="1077">
        <v>48000</v>
      </c>
      <c r="X99" s="1077">
        <v>61360</v>
      </c>
      <c r="Y99" s="1078">
        <f t="shared" si="262"/>
        <v>641800</v>
      </c>
      <c r="Z99" s="1079">
        <v>0</v>
      </c>
      <c r="AA99" s="1080">
        <v>116208</v>
      </c>
      <c r="AB99" s="1080">
        <v>92160</v>
      </c>
      <c r="AC99" s="1080">
        <f>P99*$E99</f>
        <v>62726.400000000001</v>
      </c>
      <c r="AD99" s="1080">
        <f t="shared" ref="AD99:AD117" si="274">Q99*$E99</f>
        <v>58080</v>
      </c>
      <c r="AE99" s="1080">
        <f>R99*E99</f>
        <v>74245.599999999991</v>
      </c>
      <c r="AF99" s="1080">
        <f t="shared" ref="AF99:AF114" si="275">S99*F99</f>
        <v>33331.199999999997</v>
      </c>
      <c r="AG99" s="1080">
        <f t="shared" ref="AG99:AG121" si="276">T99*F99</f>
        <v>59520</v>
      </c>
      <c r="AH99" s="1080">
        <f t="shared" ref="AH99:AH121" si="277">U99*F99</f>
        <v>76086.399999999994</v>
      </c>
      <c r="AI99" s="1080">
        <f t="shared" ref="AI99:AI121" si="278">V99*F99</f>
        <v>76086.399999999994</v>
      </c>
      <c r="AJ99" s="1080">
        <f t="shared" ref="AJ99:AJ121" si="279">W99*F99</f>
        <v>59520</v>
      </c>
      <c r="AK99" s="1080">
        <f t="shared" ref="AK99:AK121" si="280">X99*F99</f>
        <v>76086.399999999994</v>
      </c>
      <c r="AL99" s="1081">
        <f t="shared" si="263"/>
        <v>784050.4</v>
      </c>
      <c r="AM99" s="1076">
        <v>90000</v>
      </c>
      <c r="AN99" s="1077">
        <v>36000</v>
      </c>
      <c r="AO99" s="1077">
        <v>66000</v>
      </c>
      <c r="AP99" s="1077">
        <v>66000</v>
      </c>
      <c r="AQ99" s="1077">
        <v>98000</v>
      </c>
      <c r="AR99" s="1077">
        <v>50000</v>
      </c>
      <c r="AS99" s="1077">
        <v>71000</v>
      </c>
      <c r="AT99" s="1077">
        <v>60000</v>
      </c>
      <c r="AU99" s="1077">
        <v>62000</v>
      </c>
      <c r="AV99" s="1077">
        <v>60000</v>
      </c>
      <c r="AW99" s="1077">
        <v>73000</v>
      </c>
      <c r="AX99" s="1077">
        <v>30000</v>
      </c>
      <c r="AY99" s="1078">
        <f t="shared" si="213"/>
        <v>762000</v>
      </c>
      <c r="AZ99" s="1079">
        <f t="shared" si="264"/>
        <v>111600</v>
      </c>
      <c r="BA99" s="1080">
        <f t="shared" si="264"/>
        <v>44640</v>
      </c>
      <c r="BB99" s="1080">
        <f t="shared" si="264"/>
        <v>81840</v>
      </c>
      <c r="BC99" s="1080">
        <f t="shared" si="264"/>
        <v>81840</v>
      </c>
      <c r="BD99" s="1080">
        <f t="shared" si="264"/>
        <v>121520</v>
      </c>
      <c r="BE99" s="1080">
        <f t="shared" si="264"/>
        <v>62000</v>
      </c>
      <c r="BF99" s="1080">
        <f t="shared" si="264"/>
        <v>88040</v>
      </c>
      <c r="BG99" s="1080">
        <f t="shared" si="264"/>
        <v>74400</v>
      </c>
      <c r="BH99" s="1080">
        <f t="shared" si="264"/>
        <v>76880</v>
      </c>
      <c r="BI99" s="1080">
        <f t="shared" si="264"/>
        <v>74400</v>
      </c>
      <c r="BJ99" s="1080">
        <f t="shared" si="264"/>
        <v>90520</v>
      </c>
      <c r="BK99" s="1080">
        <f t="shared" si="264"/>
        <v>37200</v>
      </c>
      <c r="BL99" s="1081">
        <f t="shared" si="265"/>
        <v>944880</v>
      </c>
      <c r="BM99" s="1082">
        <f>410297/12</f>
        <v>34191.416666666664</v>
      </c>
      <c r="BN99" s="1077">
        <f t="shared" ref="BN99:BX99" si="281">410297/12</f>
        <v>34191.416666666664</v>
      </c>
      <c r="BO99" s="1077">
        <f t="shared" si="281"/>
        <v>34191.416666666664</v>
      </c>
      <c r="BP99" s="1077">
        <f t="shared" si="281"/>
        <v>34191.416666666664</v>
      </c>
      <c r="BQ99" s="1077">
        <f t="shared" si="281"/>
        <v>34191.416666666664</v>
      </c>
      <c r="BR99" s="1077">
        <f t="shared" si="281"/>
        <v>34191.416666666664</v>
      </c>
      <c r="BS99" s="1077">
        <f t="shared" si="281"/>
        <v>34191.416666666664</v>
      </c>
      <c r="BT99" s="1077">
        <f t="shared" si="281"/>
        <v>34191.416666666664</v>
      </c>
      <c r="BU99" s="1077">
        <f t="shared" si="281"/>
        <v>34191.416666666664</v>
      </c>
      <c r="BV99" s="1077">
        <f t="shared" si="281"/>
        <v>34191.416666666664</v>
      </c>
      <c r="BW99" s="1077">
        <f t="shared" si="281"/>
        <v>34191.416666666664</v>
      </c>
      <c r="BX99" s="1077">
        <f t="shared" si="281"/>
        <v>34191.416666666664</v>
      </c>
      <c r="BY99" s="1078">
        <f t="shared" si="215"/>
        <v>410297.00000000006</v>
      </c>
      <c r="BZ99" s="1083">
        <f t="shared" si="266"/>
        <v>42397.356666666667</v>
      </c>
      <c r="CA99" s="1080">
        <f t="shared" si="266"/>
        <v>42397.356666666667</v>
      </c>
      <c r="CB99" s="1080">
        <f t="shared" si="266"/>
        <v>42397.356666666667</v>
      </c>
      <c r="CC99" s="1080">
        <f t="shared" si="266"/>
        <v>42397.356666666667</v>
      </c>
      <c r="CD99" s="1080">
        <f t="shared" si="266"/>
        <v>42397.356666666667</v>
      </c>
      <c r="CE99" s="1080">
        <f t="shared" si="266"/>
        <v>42397.356666666667</v>
      </c>
      <c r="CF99" s="1080">
        <f t="shared" si="266"/>
        <v>42397.356666666667</v>
      </c>
      <c r="CG99" s="1080">
        <f t="shared" si="266"/>
        <v>42397.356666666667</v>
      </c>
      <c r="CH99" s="1080">
        <f t="shared" si="266"/>
        <v>42397.356666666667</v>
      </c>
      <c r="CI99" s="1080">
        <f t="shared" si="266"/>
        <v>42397.356666666667</v>
      </c>
      <c r="CJ99" s="1080">
        <f t="shared" si="266"/>
        <v>42397.356666666667</v>
      </c>
      <c r="CK99" s="1080">
        <f t="shared" si="266"/>
        <v>42397.356666666667</v>
      </c>
      <c r="CL99" s="1084">
        <f t="shared" si="267"/>
        <v>508768.28000000009</v>
      </c>
      <c r="CM99" s="1082">
        <f>354920/12</f>
        <v>29576.666666666668</v>
      </c>
      <c r="CN99" s="1077">
        <f t="shared" ref="CN99:CX101" si="282">354920/12</f>
        <v>29576.666666666668</v>
      </c>
      <c r="CO99" s="1077">
        <f t="shared" si="282"/>
        <v>29576.666666666668</v>
      </c>
      <c r="CP99" s="1077">
        <f t="shared" si="282"/>
        <v>29576.666666666668</v>
      </c>
      <c r="CQ99" s="1077">
        <f t="shared" si="282"/>
        <v>29576.666666666668</v>
      </c>
      <c r="CR99" s="1077">
        <f t="shared" si="282"/>
        <v>29576.666666666668</v>
      </c>
      <c r="CS99" s="1077">
        <f t="shared" si="282"/>
        <v>29576.666666666668</v>
      </c>
      <c r="CT99" s="1077">
        <f t="shared" si="282"/>
        <v>29576.666666666668</v>
      </c>
      <c r="CU99" s="1077">
        <f t="shared" si="282"/>
        <v>29576.666666666668</v>
      </c>
      <c r="CV99" s="1077">
        <f t="shared" si="282"/>
        <v>29576.666666666668</v>
      </c>
      <c r="CW99" s="1077">
        <f t="shared" si="282"/>
        <v>29576.666666666668</v>
      </c>
      <c r="CX99" s="1077">
        <f t="shared" si="282"/>
        <v>29576.666666666668</v>
      </c>
      <c r="CY99" s="1078">
        <f t="shared" si="216"/>
        <v>354920.00000000006</v>
      </c>
      <c r="CZ99" s="1079">
        <f t="shared" si="269"/>
        <v>36675.066666666666</v>
      </c>
      <c r="DA99" s="1080">
        <f t="shared" si="269"/>
        <v>36675.066666666666</v>
      </c>
      <c r="DB99" s="1080">
        <f t="shared" si="269"/>
        <v>36675.066666666666</v>
      </c>
      <c r="DC99" s="1080">
        <f t="shared" si="269"/>
        <v>36675.066666666666</v>
      </c>
      <c r="DD99" s="1080">
        <f t="shared" si="269"/>
        <v>36675.066666666666</v>
      </c>
      <c r="DE99" s="1080">
        <f t="shared" si="269"/>
        <v>36675.066666666666</v>
      </c>
      <c r="DF99" s="1080">
        <f t="shared" si="269"/>
        <v>36675.066666666666</v>
      </c>
      <c r="DG99" s="1080">
        <f t="shared" si="269"/>
        <v>36675.066666666666</v>
      </c>
      <c r="DH99" s="1080">
        <f t="shared" si="269"/>
        <v>36675.066666666666</v>
      </c>
      <c r="DI99" s="1080">
        <f t="shared" si="269"/>
        <v>36675.066666666666</v>
      </c>
      <c r="DJ99" s="1080">
        <f t="shared" si="269"/>
        <v>36675.066666666666</v>
      </c>
      <c r="DK99" s="1080">
        <f t="shared" si="269"/>
        <v>36675.066666666666</v>
      </c>
      <c r="DL99" s="1081">
        <f t="shared" si="270"/>
        <v>440100.79999999987</v>
      </c>
      <c r="DM99" s="1076">
        <f>224924/12</f>
        <v>18743.666666666668</v>
      </c>
      <c r="DN99" s="1077">
        <f t="shared" ref="DN99:DX101" si="283">224924/12</f>
        <v>18743.666666666668</v>
      </c>
      <c r="DO99" s="1077">
        <f t="shared" si="283"/>
        <v>18743.666666666668</v>
      </c>
      <c r="DP99" s="1077">
        <f t="shared" si="283"/>
        <v>18743.666666666668</v>
      </c>
      <c r="DQ99" s="1077">
        <f t="shared" si="283"/>
        <v>18743.666666666668</v>
      </c>
      <c r="DR99" s="1077">
        <f t="shared" si="283"/>
        <v>18743.666666666668</v>
      </c>
      <c r="DS99" s="1077">
        <f t="shared" si="283"/>
        <v>18743.666666666668</v>
      </c>
      <c r="DT99" s="1077">
        <f t="shared" si="283"/>
        <v>18743.666666666668</v>
      </c>
      <c r="DU99" s="1077">
        <f t="shared" si="283"/>
        <v>18743.666666666668</v>
      </c>
      <c r="DV99" s="1077">
        <f t="shared" si="283"/>
        <v>18743.666666666668</v>
      </c>
      <c r="DW99" s="1077">
        <f t="shared" si="283"/>
        <v>18743.666666666668</v>
      </c>
      <c r="DX99" s="1077">
        <f t="shared" si="283"/>
        <v>18743.666666666668</v>
      </c>
      <c r="DY99" s="1078">
        <f t="shared" si="217"/>
        <v>224923.99999999997</v>
      </c>
      <c r="DZ99" s="1080">
        <f t="shared" si="272"/>
        <v>23242.146666666667</v>
      </c>
      <c r="EA99" s="1080">
        <f t="shared" si="272"/>
        <v>23242.146666666667</v>
      </c>
      <c r="EB99" s="1080">
        <f t="shared" si="272"/>
        <v>23242.146666666667</v>
      </c>
      <c r="EC99" s="1080">
        <f t="shared" si="272"/>
        <v>23242.146666666667</v>
      </c>
      <c r="ED99" s="1080">
        <f t="shared" si="272"/>
        <v>23242.146666666667</v>
      </c>
      <c r="EE99" s="1080">
        <f t="shared" si="272"/>
        <v>23242.146666666667</v>
      </c>
      <c r="EF99" s="1080">
        <f t="shared" si="272"/>
        <v>23242.146666666667</v>
      </c>
      <c r="EG99" s="1080">
        <f t="shared" si="272"/>
        <v>23242.146666666667</v>
      </c>
      <c r="EH99" s="1080">
        <f t="shared" si="272"/>
        <v>23242.146666666667</v>
      </c>
      <c r="EI99" s="1080">
        <f t="shared" si="272"/>
        <v>23242.146666666667</v>
      </c>
      <c r="EJ99" s="1080">
        <f t="shared" si="272"/>
        <v>23242.146666666667</v>
      </c>
      <c r="EK99" s="1080">
        <f t="shared" si="272"/>
        <v>23242.146666666667</v>
      </c>
      <c r="EL99" s="1081">
        <f t="shared" si="273"/>
        <v>278905.76</v>
      </c>
    </row>
    <row r="100" spans="1:142" s="1085" customFormat="1">
      <c r="A100" s="973" t="s">
        <v>730</v>
      </c>
      <c r="B100" s="1068" t="s">
        <v>82</v>
      </c>
      <c r="C100" s="1069" t="s">
        <v>266</v>
      </c>
      <c r="D100" s="1086">
        <v>1.1000000000000001</v>
      </c>
      <c r="E100" s="1087">
        <v>1.1100000000000001</v>
      </c>
      <c r="F100" s="1088">
        <v>1.1200000000000001</v>
      </c>
      <c r="G100" s="1089">
        <f t="shared" si="261"/>
        <v>1.1200000000000001</v>
      </c>
      <c r="H100" s="1086">
        <f t="shared" si="261"/>
        <v>1.1200000000000001</v>
      </c>
      <c r="I100" s="1090">
        <f t="shared" si="261"/>
        <v>1.1200000000000001</v>
      </c>
      <c r="J100" s="1090">
        <f t="shared" si="261"/>
        <v>1.1200000000000001</v>
      </c>
      <c r="K100" s="1091">
        <f t="shared" si="261"/>
        <v>1.1200000000000001</v>
      </c>
      <c r="L100" s="1075"/>
      <c r="M100" s="1092"/>
      <c r="N100" s="1077">
        <v>65280</v>
      </c>
      <c r="O100" s="1077">
        <v>65280</v>
      </c>
      <c r="P100" s="1077">
        <v>92160</v>
      </c>
      <c r="Q100" s="1077">
        <v>6880</v>
      </c>
      <c r="R100" s="1077">
        <v>72960</v>
      </c>
      <c r="S100" s="1077">
        <v>38400</v>
      </c>
      <c r="T100" s="1077">
        <v>48000</v>
      </c>
      <c r="U100" s="1077">
        <v>61360</v>
      </c>
      <c r="V100" s="1077">
        <v>61360</v>
      </c>
      <c r="W100" s="1077">
        <v>61360</v>
      </c>
      <c r="X100" s="1077">
        <v>72960</v>
      </c>
      <c r="Y100" s="1078">
        <f t="shared" si="262"/>
        <v>646000</v>
      </c>
      <c r="Z100" s="1079">
        <v>0</v>
      </c>
      <c r="AA100" s="1080">
        <v>71808</v>
      </c>
      <c r="AB100" s="1080">
        <v>71808</v>
      </c>
      <c r="AC100" s="1080">
        <f t="shared" ref="AC100:AC114" si="284">P100*$E100</f>
        <v>102297.60000000001</v>
      </c>
      <c r="AD100" s="1080">
        <f>Q100*$E100+855.6</f>
        <v>8492.4000000000015</v>
      </c>
      <c r="AE100" s="1080">
        <f t="shared" ref="AE100:AE120" si="285">R100*E100</f>
        <v>80985.600000000006</v>
      </c>
      <c r="AF100" s="1080">
        <f t="shared" si="275"/>
        <v>43008.000000000007</v>
      </c>
      <c r="AG100" s="1080">
        <f t="shared" si="276"/>
        <v>53760.000000000007</v>
      </c>
      <c r="AH100" s="1080">
        <f t="shared" si="277"/>
        <v>68723.200000000012</v>
      </c>
      <c r="AI100" s="1080">
        <f t="shared" si="278"/>
        <v>68723.200000000012</v>
      </c>
      <c r="AJ100" s="1080">
        <f t="shared" si="279"/>
        <v>68723.200000000012</v>
      </c>
      <c r="AK100" s="1080">
        <f t="shared" si="280"/>
        <v>81715.200000000012</v>
      </c>
      <c r="AL100" s="1081">
        <f t="shared" si="263"/>
        <v>720044.39999999991</v>
      </c>
      <c r="AM100" s="1076">
        <v>89000</v>
      </c>
      <c r="AN100" s="1077">
        <v>34000</v>
      </c>
      <c r="AO100" s="1077">
        <v>68000</v>
      </c>
      <c r="AP100" s="1077">
        <v>68000</v>
      </c>
      <c r="AQ100" s="1077">
        <v>87000</v>
      </c>
      <c r="AR100" s="1077">
        <v>68000</v>
      </c>
      <c r="AS100" s="1077">
        <v>41000</v>
      </c>
      <c r="AT100" s="1077">
        <v>85000</v>
      </c>
      <c r="AU100" s="1077">
        <v>68000</v>
      </c>
      <c r="AV100" s="1077">
        <v>51000</v>
      </c>
      <c r="AW100" s="1077">
        <v>51000</v>
      </c>
      <c r="AX100" s="1077">
        <v>34000</v>
      </c>
      <c r="AY100" s="1078">
        <f t="shared" si="213"/>
        <v>744000</v>
      </c>
      <c r="AZ100" s="1079">
        <f t="shared" si="264"/>
        <v>99680.000000000015</v>
      </c>
      <c r="BA100" s="1080">
        <f t="shared" si="264"/>
        <v>38080</v>
      </c>
      <c r="BB100" s="1080">
        <f t="shared" si="264"/>
        <v>76160</v>
      </c>
      <c r="BC100" s="1080">
        <f t="shared" si="264"/>
        <v>76160</v>
      </c>
      <c r="BD100" s="1080">
        <f t="shared" si="264"/>
        <v>97440.000000000015</v>
      </c>
      <c r="BE100" s="1080">
        <f t="shared" si="264"/>
        <v>76160</v>
      </c>
      <c r="BF100" s="1080">
        <f t="shared" si="264"/>
        <v>45920.000000000007</v>
      </c>
      <c r="BG100" s="1080">
        <f t="shared" si="264"/>
        <v>95200.000000000015</v>
      </c>
      <c r="BH100" s="1080">
        <f t="shared" si="264"/>
        <v>76160</v>
      </c>
      <c r="BI100" s="1080">
        <f t="shared" si="264"/>
        <v>57120.000000000007</v>
      </c>
      <c r="BJ100" s="1080">
        <f t="shared" si="264"/>
        <v>57120.000000000007</v>
      </c>
      <c r="BK100" s="1080">
        <f t="shared" si="264"/>
        <v>38080</v>
      </c>
      <c r="BL100" s="1081">
        <f t="shared" si="265"/>
        <v>833280</v>
      </c>
      <c r="BM100" s="1082">
        <f t="shared" ref="BM100:BX101" si="286">410297/12</f>
        <v>34191.416666666664</v>
      </c>
      <c r="BN100" s="1077">
        <f t="shared" si="286"/>
        <v>34191.416666666664</v>
      </c>
      <c r="BO100" s="1077">
        <f t="shared" si="286"/>
        <v>34191.416666666664</v>
      </c>
      <c r="BP100" s="1077">
        <f t="shared" si="286"/>
        <v>34191.416666666664</v>
      </c>
      <c r="BQ100" s="1077">
        <f t="shared" si="286"/>
        <v>34191.416666666664</v>
      </c>
      <c r="BR100" s="1077">
        <f t="shared" si="286"/>
        <v>34191.416666666664</v>
      </c>
      <c r="BS100" s="1077">
        <f t="shared" si="286"/>
        <v>34191.416666666664</v>
      </c>
      <c r="BT100" s="1077">
        <f t="shared" si="286"/>
        <v>34191.416666666664</v>
      </c>
      <c r="BU100" s="1077">
        <f t="shared" si="286"/>
        <v>34191.416666666664</v>
      </c>
      <c r="BV100" s="1077">
        <f t="shared" si="286"/>
        <v>34191.416666666664</v>
      </c>
      <c r="BW100" s="1077">
        <f t="shared" si="286"/>
        <v>34191.416666666664</v>
      </c>
      <c r="BX100" s="1077">
        <f t="shared" si="286"/>
        <v>34191.416666666664</v>
      </c>
      <c r="BY100" s="1078">
        <f t="shared" si="215"/>
        <v>410297.00000000006</v>
      </c>
      <c r="BZ100" s="1083">
        <f t="shared" si="266"/>
        <v>38294.386666666665</v>
      </c>
      <c r="CA100" s="1080">
        <f t="shared" si="266"/>
        <v>38294.386666666665</v>
      </c>
      <c r="CB100" s="1080">
        <f t="shared" si="266"/>
        <v>38294.386666666665</v>
      </c>
      <c r="CC100" s="1080">
        <f t="shared" si="266"/>
        <v>38294.386666666665</v>
      </c>
      <c r="CD100" s="1080">
        <f t="shared" si="266"/>
        <v>38294.386666666665</v>
      </c>
      <c r="CE100" s="1080">
        <f t="shared" si="266"/>
        <v>38294.386666666665</v>
      </c>
      <c r="CF100" s="1080">
        <f t="shared" si="266"/>
        <v>38294.386666666665</v>
      </c>
      <c r="CG100" s="1080">
        <f t="shared" si="266"/>
        <v>38294.386666666665</v>
      </c>
      <c r="CH100" s="1080">
        <f t="shared" si="266"/>
        <v>38294.386666666665</v>
      </c>
      <c r="CI100" s="1080">
        <f t="shared" si="266"/>
        <v>38294.386666666665</v>
      </c>
      <c r="CJ100" s="1080">
        <f t="shared" si="266"/>
        <v>38294.386666666665</v>
      </c>
      <c r="CK100" s="1080">
        <f t="shared" si="266"/>
        <v>38294.386666666665</v>
      </c>
      <c r="CL100" s="1084">
        <f t="shared" si="267"/>
        <v>459532.63999999996</v>
      </c>
      <c r="CM100" s="1082">
        <f>354920/12</f>
        <v>29576.666666666668</v>
      </c>
      <c r="CN100" s="1077">
        <f t="shared" si="282"/>
        <v>29576.666666666668</v>
      </c>
      <c r="CO100" s="1077">
        <f t="shared" si="282"/>
        <v>29576.666666666668</v>
      </c>
      <c r="CP100" s="1077">
        <f t="shared" si="282"/>
        <v>29576.666666666668</v>
      </c>
      <c r="CQ100" s="1077">
        <f t="shared" si="282"/>
        <v>29576.666666666668</v>
      </c>
      <c r="CR100" s="1077">
        <f t="shared" si="282"/>
        <v>29576.666666666668</v>
      </c>
      <c r="CS100" s="1077">
        <f t="shared" si="282"/>
        <v>29576.666666666668</v>
      </c>
      <c r="CT100" s="1077">
        <f t="shared" si="282"/>
        <v>29576.666666666668</v>
      </c>
      <c r="CU100" s="1077">
        <f t="shared" si="282"/>
        <v>29576.666666666668</v>
      </c>
      <c r="CV100" s="1077">
        <f t="shared" si="282"/>
        <v>29576.666666666668</v>
      </c>
      <c r="CW100" s="1077">
        <f t="shared" si="282"/>
        <v>29576.666666666668</v>
      </c>
      <c r="CX100" s="1077">
        <f t="shared" si="282"/>
        <v>29576.666666666668</v>
      </c>
      <c r="CY100" s="1078">
        <f t="shared" si="216"/>
        <v>354920.00000000006</v>
      </c>
      <c r="CZ100" s="1079">
        <f t="shared" si="269"/>
        <v>33125.866666666669</v>
      </c>
      <c r="DA100" s="1080">
        <f t="shared" si="269"/>
        <v>33125.866666666669</v>
      </c>
      <c r="DB100" s="1080">
        <f t="shared" si="269"/>
        <v>33125.866666666669</v>
      </c>
      <c r="DC100" s="1080">
        <f t="shared" si="269"/>
        <v>33125.866666666669</v>
      </c>
      <c r="DD100" s="1080">
        <f t="shared" si="269"/>
        <v>33125.866666666669</v>
      </c>
      <c r="DE100" s="1080">
        <f t="shared" si="269"/>
        <v>33125.866666666669</v>
      </c>
      <c r="DF100" s="1080">
        <f t="shared" si="269"/>
        <v>33125.866666666669</v>
      </c>
      <c r="DG100" s="1080">
        <f t="shared" si="269"/>
        <v>33125.866666666669</v>
      </c>
      <c r="DH100" s="1080">
        <f t="shared" si="269"/>
        <v>33125.866666666669</v>
      </c>
      <c r="DI100" s="1080">
        <f t="shared" si="269"/>
        <v>33125.866666666669</v>
      </c>
      <c r="DJ100" s="1080">
        <f t="shared" si="269"/>
        <v>33125.866666666669</v>
      </c>
      <c r="DK100" s="1080">
        <f t="shared" si="269"/>
        <v>33125.866666666669</v>
      </c>
      <c r="DL100" s="1081">
        <f t="shared" si="270"/>
        <v>397510.40000000014</v>
      </c>
      <c r="DM100" s="1076">
        <f>224924/12</f>
        <v>18743.666666666668</v>
      </c>
      <c r="DN100" s="1077">
        <f t="shared" si="283"/>
        <v>18743.666666666668</v>
      </c>
      <c r="DO100" s="1077">
        <f t="shared" si="283"/>
        <v>18743.666666666668</v>
      </c>
      <c r="DP100" s="1077">
        <f t="shared" si="283"/>
        <v>18743.666666666668</v>
      </c>
      <c r="DQ100" s="1077">
        <f t="shared" si="283"/>
        <v>18743.666666666668</v>
      </c>
      <c r="DR100" s="1077">
        <f t="shared" si="283"/>
        <v>18743.666666666668</v>
      </c>
      <c r="DS100" s="1077">
        <f t="shared" si="283"/>
        <v>18743.666666666668</v>
      </c>
      <c r="DT100" s="1077">
        <f t="shared" si="283"/>
        <v>18743.666666666668</v>
      </c>
      <c r="DU100" s="1077">
        <f t="shared" si="283"/>
        <v>18743.666666666668</v>
      </c>
      <c r="DV100" s="1077">
        <f t="shared" si="283"/>
        <v>18743.666666666668</v>
      </c>
      <c r="DW100" s="1077">
        <f t="shared" si="283"/>
        <v>18743.666666666668</v>
      </c>
      <c r="DX100" s="1077">
        <f t="shared" si="283"/>
        <v>18743.666666666668</v>
      </c>
      <c r="DY100" s="1078">
        <f t="shared" si="217"/>
        <v>224923.99999999997</v>
      </c>
      <c r="DZ100" s="1080">
        <f t="shared" si="272"/>
        <v>20992.906666666669</v>
      </c>
      <c r="EA100" s="1080">
        <f t="shared" si="272"/>
        <v>20992.906666666669</v>
      </c>
      <c r="EB100" s="1080">
        <f t="shared" si="272"/>
        <v>20992.906666666669</v>
      </c>
      <c r="EC100" s="1080">
        <f t="shared" si="272"/>
        <v>20992.906666666669</v>
      </c>
      <c r="ED100" s="1080">
        <f t="shared" si="272"/>
        <v>20992.906666666669</v>
      </c>
      <c r="EE100" s="1080">
        <f t="shared" si="272"/>
        <v>20992.906666666669</v>
      </c>
      <c r="EF100" s="1080">
        <f t="shared" si="272"/>
        <v>20992.906666666669</v>
      </c>
      <c r="EG100" s="1080">
        <f t="shared" si="272"/>
        <v>20992.906666666669</v>
      </c>
      <c r="EH100" s="1080">
        <f t="shared" si="272"/>
        <v>20992.906666666669</v>
      </c>
      <c r="EI100" s="1080">
        <f t="shared" si="272"/>
        <v>20992.906666666669</v>
      </c>
      <c r="EJ100" s="1080">
        <f t="shared" si="272"/>
        <v>20992.906666666669</v>
      </c>
      <c r="EK100" s="1080">
        <f t="shared" si="272"/>
        <v>20992.906666666669</v>
      </c>
      <c r="EL100" s="1081">
        <f t="shared" si="273"/>
        <v>251914.88000000009</v>
      </c>
    </row>
    <row r="101" spans="1:142" s="1085" customFormat="1">
      <c r="A101" s="973" t="s">
        <v>730</v>
      </c>
      <c r="B101" s="1068" t="s">
        <v>83</v>
      </c>
      <c r="C101" s="1069" t="s">
        <v>733</v>
      </c>
      <c r="D101" s="1093">
        <v>0.56000000000000005</v>
      </c>
      <c r="E101" s="1087">
        <v>0.56999999999999995</v>
      </c>
      <c r="F101" s="1088">
        <v>0.56999999999999995</v>
      </c>
      <c r="G101" s="1089">
        <f t="shared" si="261"/>
        <v>0.56999999999999995</v>
      </c>
      <c r="H101" s="1093">
        <f t="shared" si="261"/>
        <v>0.56999999999999995</v>
      </c>
      <c r="I101" s="1087">
        <f t="shared" si="261"/>
        <v>0.56999999999999995</v>
      </c>
      <c r="J101" s="1087">
        <f t="shared" si="261"/>
        <v>0.56999999999999995</v>
      </c>
      <c r="K101" s="1094">
        <f t="shared" si="261"/>
        <v>0.56999999999999995</v>
      </c>
      <c r="L101" s="1075"/>
      <c r="M101" s="1092"/>
      <c r="N101" s="1077">
        <v>86016</v>
      </c>
      <c r="O101" s="1077">
        <v>129024</v>
      </c>
      <c r="P101" s="1077">
        <v>64520</v>
      </c>
      <c r="Q101" s="1077">
        <f>21504+2688</f>
        <v>24192</v>
      </c>
      <c r="R101" s="1077">
        <f>21504*3</f>
        <v>64512</v>
      </c>
      <c r="S101" s="1077">
        <v>129024</v>
      </c>
      <c r="T101" s="1077">
        <v>129024</v>
      </c>
      <c r="U101" s="1077">
        <v>129024</v>
      </c>
      <c r="V101" s="1077">
        <v>129024</v>
      </c>
      <c r="W101" s="1077">
        <v>129024</v>
      </c>
      <c r="X101" s="1077">
        <v>107520</v>
      </c>
      <c r="Y101" s="1078">
        <f t="shared" si="262"/>
        <v>1120904</v>
      </c>
      <c r="Z101" s="1079">
        <v>0</v>
      </c>
      <c r="AA101" s="1080">
        <v>48168.960000000006</v>
      </c>
      <c r="AB101" s="1080">
        <v>72253.440000000002</v>
      </c>
      <c r="AC101" s="1080">
        <f>P101*$E101</f>
        <v>36776.399999999994</v>
      </c>
      <c r="AD101" s="1080">
        <f t="shared" si="274"/>
        <v>13789.439999999999</v>
      </c>
      <c r="AE101" s="1080">
        <f t="shared" si="285"/>
        <v>36771.839999999997</v>
      </c>
      <c r="AF101" s="1080">
        <f t="shared" si="275"/>
        <v>73543.679999999993</v>
      </c>
      <c r="AG101" s="1080">
        <f t="shared" si="276"/>
        <v>73543.679999999993</v>
      </c>
      <c r="AH101" s="1080">
        <f t="shared" si="277"/>
        <v>73543.679999999993</v>
      </c>
      <c r="AI101" s="1080">
        <f t="shared" si="278"/>
        <v>73543.679999999993</v>
      </c>
      <c r="AJ101" s="1080">
        <f t="shared" si="279"/>
        <v>73543.679999999993</v>
      </c>
      <c r="AK101" s="1080">
        <f t="shared" si="280"/>
        <v>61286.399999999994</v>
      </c>
      <c r="AL101" s="1081">
        <f t="shared" si="263"/>
        <v>636764.88</v>
      </c>
      <c r="AM101" s="1076">
        <v>150528</v>
      </c>
      <c r="AN101" s="1077">
        <v>64520</v>
      </c>
      <c r="AO101" s="1077">
        <v>107520</v>
      </c>
      <c r="AP101" s="1077">
        <v>129024</v>
      </c>
      <c r="AQ101" s="1077">
        <v>129024</v>
      </c>
      <c r="AR101" s="1077">
        <v>108520</v>
      </c>
      <c r="AS101" s="1077">
        <v>150528</v>
      </c>
      <c r="AT101" s="1077">
        <v>107520</v>
      </c>
      <c r="AU101" s="1077">
        <v>86016</v>
      </c>
      <c r="AV101" s="1077">
        <v>107520</v>
      </c>
      <c r="AW101" s="1077">
        <v>107520</v>
      </c>
      <c r="AX101" s="1077">
        <v>86016</v>
      </c>
      <c r="AY101" s="1078">
        <f t="shared" si="213"/>
        <v>1334256</v>
      </c>
      <c r="AZ101" s="1079">
        <f t="shared" si="264"/>
        <v>85800.959999999992</v>
      </c>
      <c r="BA101" s="1080">
        <f t="shared" si="264"/>
        <v>36776.399999999994</v>
      </c>
      <c r="BB101" s="1080">
        <f t="shared" si="264"/>
        <v>61286.399999999994</v>
      </c>
      <c r="BC101" s="1080">
        <f t="shared" si="264"/>
        <v>73543.679999999993</v>
      </c>
      <c r="BD101" s="1080">
        <f t="shared" si="264"/>
        <v>73543.679999999993</v>
      </c>
      <c r="BE101" s="1080">
        <f t="shared" si="264"/>
        <v>61856.399999999994</v>
      </c>
      <c r="BF101" s="1080">
        <f t="shared" si="264"/>
        <v>85800.959999999992</v>
      </c>
      <c r="BG101" s="1080">
        <f t="shared" si="264"/>
        <v>61286.399999999994</v>
      </c>
      <c r="BH101" s="1080">
        <f t="shared" si="264"/>
        <v>49029.119999999995</v>
      </c>
      <c r="BI101" s="1080">
        <f t="shared" si="264"/>
        <v>61286.399999999994</v>
      </c>
      <c r="BJ101" s="1080">
        <f t="shared" si="264"/>
        <v>61286.399999999994</v>
      </c>
      <c r="BK101" s="1080">
        <f t="shared" si="264"/>
        <v>49029.119999999995</v>
      </c>
      <c r="BL101" s="1081">
        <f t="shared" si="265"/>
        <v>760525.92</v>
      </c>
      <c r="BM101" s="1082">
        <f t="shared" si="286"/>
        <v>34191.416666666664</v>
      </c>
      <c r="BN101" s="1077">
        <f t="shared" si="286"/>
        <v>34191.416666666664</v>
      </c>
      <c r="BO101" s="1077">
        <f t="shared" si="286"/>
        <v>34191.416666666664</v>
      </c>
      <c r="BP101" s="1077">
        <f t="shared" si="286"/>
        <v>34191.416666666664</v>
      </c>
      <c r="BQ101" s="1077">
        <f t="shared" si="286"/>
        <v>34191.416666666664</v>
      </c>
      <c r="BR101" s="1077">
        <f t="shared" si="286"/>
        <v>34191.416666666664</v>
      </c>
      <c r="BS101" s="1077">
        <f t="shared" si="286"/>
        <v>34191.416666666664</v>
      </c>
      <c r="BT101" s="1077">
        <f t="shared" si="286"/>
        <v>34191.416666666664</v>
      </c>
      <c r="BU101" s="1077">
        <f t="shared" si="286"/>
        <v>34191.416666666664</v>
      </c>
      <c r="BV101" s="1077">
        <f t="shared" si="286"/>
        <v>34191.416666666664</v>
      </c>
      <c r="BW101" s="1077">
        <f t="shared" si="286"/>
        <v>34191.416666666664</v>
      </c>
      <c r="BX101" s="1077">
        <f t="shared" si="286"/>
        <v>34191.416666666664</v>
      </c>
      <c r="BY101" s="1078">
        <f t="shared" si="215"/>
        <v>410297.00000000006</v>
      </c>
      <c r="BZ101" s="1083">
        <f t="shared" si="266"/>
        <v>19489.107499999998</v>
      </c>
      <c r="CA101" s="1080">
        <f t="shared" si="266"/>
        <v>19489.107499999998</v>
      </c>
      <c r="CB101" s="1080">
        <f t="shared" si="266"/>
        <v>19489.107499999998</v>
      </c>
      <c r="CC101" s="1080">
        <f t="shared" si="266"/>
        <v>19489.107499999998</v>
      </c>
      <c r="CD101" s="1080">
        <f t="shared" si="266"/>
        <v>19489.107499999998</v>
      </c>
      <c r="CE101" s="1080">
        <f t="shared" si="266"/>
        <v>19489.107499999998</v>
      </c>
      <c r="CF101" s="1080">
        <f t="shared" si="266"/>
        <v>19489.107499999998</v>
      </c>
      <c r="CG101" s="1080">
        <f t="shared" si="266"/>
        <v>19489.107499999998</v>
      </c>
      <c r="CH101" s="1080">
        <f t="shared" si="266"/>
        <v>19489.107499999998</v>
      </c>
      <c r="CI101" s="1080">
        <f t="shared" si="266"/>
        <v>19489.107499999998</v>
      </c>
      <c r="CJ101" s="1080">
        <f t="shared" si="266"/>
        <v>19489.107499999998</v>
      </c>
      <c r="CK101" s="1080">
        <f t="shared" si="266"/>
        <v>19489.107499999998</v>
      </c>
      <c r="CL101" s="1084">
        <f t="shared" si="267"/>
        <v>233869.28999999992</v>
      </c>
      <c r="CM101" s="1082">
        <f>354920/12</f>
        <v>29576.666666666668</v>
      </c>
      <c r="CN101" s="1077">
        <f t="shared" si="282"/>
        <v>29576.666666666668</v>
      </c>
      <c r="CO101" s="1077">
        <f t="shared" si="282"/>
        <v>29576.666666666668</v>
      </c>
      <c r="CP101" s="1077">
        <f t="shared" si="282"/>
        <v>29576.666666666668</v>
      </c>
      <c r="CQ101" s="1077">
        <f t="shared" si="282"/>
        <v>29576.666666666668</v>
      </c>
      <c r="CR101" s="1077">
        <f t="shared" si="282"/>
        <v>29576.666666666668</v>
      </c>
      <c r="CS101" s="1077">
        <f t="shared" si="282"/>
        <v>29576.666666666668</v>
      </c>
      <c r="CT101" s="1077">
        <f t="shared" si="282"/>
        <v>29576.666666666668</v>
      </c>
      <c r="CU101" s="1077">
        <f t="shared" si="282"/>
        <v>29576.666666666668</v>
      </c>
      <c r="CV101" s="1077">
        <f t="shared" si="282"/>
        <v>29576.666666666668</v>
      </c>
      <c r="CW101" s="1077">
        <f t="shared" si="282"/>
        <v>29576.666666666668</v>
      </c>
      <c r="CX101" s="1077">
        <f t="shared" si="282"/>
        <v>29576.666666666668</v>
      </c>
      <c r="CY101" s="1078">
        <f t="shared" si="216"/>
        <v>354920.00000000006</v>
      </c>
      <c r="CZ101" s="1079">
        <f t="shared" si="269"/>
        <v>16858.7</v>
      </c>
      <c r="DA101" s="1080">
        <f t="shared" si="269"/>
        <v>16858.7</v>
      </c>
      <c r="DB101" s="1080">
        <f t="shared" si="269"/>
        <v>16858.7</v>
      </c>
      <c r="DC101" s="1080">
        <f t="shared" si="269"/>
        <v>16858.7</v>
      </c>
      <c r="DD101" s="1080">
        <f t="shared" si="269"/>
        <v>16858.7</v>
      </c>
      <c r="DE101" s="1080">
        <f t="shared" si="269"/>
        <v>16858.7</v>
      </c>
      <c r="DF101" s="1080">
        <f t="shared" si="269"/>
        <v>16858.7</v>
      </c>
      <c r="DG101" s="1080">
        <f t="shared" si="269"/>
        <v>16858.7</v>
      </c>
      <c r="DH101" s="1080">
        <f t="shared" si="269"/>
        <v>16858.7</v>
      </c>
      <c r="DI101" s="1080">
        <f t="shared" si="269"/>
        <v>16858.7</v>
      </c>
      <c r="DJ101" s="1080">
        <f t="shared" si="269"/>
        <v>16858.7</v>
      </c>
      <c r="DK101" s="1080">
        <f t="shared" si="269"/>
        <v>16858.7</v>
      </c>
      <c r="DL101" s="1081">
        <f t="shared" si="270"/>
        <v>202304.40000000005</v>
      </c>
      <c r="DM101" s="1076">
        <f>224924/12</f>
        <v>18743.666666666668</v>
      </c>
      <c r="DN101" s="1077">
        <f t="shared" si="283"/>
        <v>18743.666666666668</v>
      </c>
      <c r="DO101" s="1077">
        <f t="shared" si="283"/>
        <v>18743.666666666668</v>
      </c>
      <c r="DP101" s="1077">
        <f t="shared" si="283"/>
        <v>18743.666666666668</v>
      </c>
      <c r="DQ101" s="1077">
        <f t="shared" si="283"/>
        <v>18743.666666666668</v>
      </c>
      <c r="DR101" s="1077">
        <f t="shared" si="283"/>
        <v>18743.666666666668</v>
      </c>
      <c r="DS101" s="1077">
        <f t="shared" si="283"/>
        <v>18743.666666666668</v>
      </c>
      <c r="DT101" s="1077">
        <f t="shared" si="283"/>
        <v>18743.666666666668</v>
      </c>
      <c r="DU101" s="1077">
        <f t="shared" si="283"/>
        <v>18743.666666666668</v>
      </c>
      <c r="DV101" s="1077">
        <f t="shared" si="283"/>
        <v>18743.666666666668</v>
      </c>
      <c r="DW101" s="1077">
        <f t="shared" si="283"/>
        <v>18743.666666666668</v>
      </c>
      <c r="DX101" s="1077">
        <f t="shared" si="283"/>
        <v>18743.666666666668</v>
      </c>
      <c r="DY101" s="1078">
        <f t="shared" si="217"/>
        <v>224923.99999999997</v>
      </c>
      <c r="DZ101" s="1080">
        <f t="shared" si="272"/>
        <v>10683.89</v>
      </c>
      <c r="EA101" s="1080">
        <f t="shared" si="272"/>
        <v>10683.89</v>
      </c>
      <c r="EB101" s="1080">
        <f t="shared" si="272"/>
        <v>10683.89</v>
      </c>
      <c r="EC101" s="1080">
        <f t="shared" si="272"/>
        <v>10683.89</v>
      </c>
      <c r="ED101" s="1080">
        <f t="shared" si="272"/>
        <v>10683.89</v>
      </c>
      <c r="EE101" s="1080">
        <f t="shared" si="272"/>
        <v>10683.89</v>
      </c>
      <c r="EF101" s="1080">
        <f t="shared" si="272"/>
        <v>10683.89</v>
      </c>
      <c r="EG101" s="1080">
        <f t="shared" si="272"/>
        <v>10683.89</v>
      </c>
      <c r="EH101" s="1080">
        <f t="shared" si="272"/>
        <v>10683.89</v>
      </c>
      <c r="EI101" s="1080">
        <f t="shared" si="272"/>
        <v>10683.89</v>
      </c>
      <c r="EJ101" s="1080">
        <f t="shared" si="272"/>
        <v>10683.89</v>
      </c>
      <c r="EK101" s="1080">
        <f t="shared" si="272"/>
        <v>10683.89</v>
      </c>
      <c r="EL101" s="1081">
        <f t="shared" si="273"/>
        <v>128206.68</v>
      </c>
    </row>
    <row r="102" spans="1:142" s="1085" customFormat="1">
      <c r="A102" s="973" t="s">
        <v>730</v>
      </c>
      <c r="B102" s="1068" t="s">
        <v>288</v>
      </c>
      <c r="C102" s="1069" t="s">
        <v>734</v>
      </c>
      <c r="D102" s="1093">
        <v>0.57999999999999996</v>
      </c>
      <c r="E102" s="1087">
        <f>D102</f>
        <v>0.57999999999999996</v>
      </c>
      <c r="F102" s="1088">
        <f t="shared" si="261"/>
        <v>0.57999999999999996</v>
      </c>
      <c r="G102" s="1089">
        <f t="shared" si="261"/>
        <v>0.57999999999999996</v>
      </c>
      <c r="H102" s="1093">
        <f t="shared" si="261"/>
        <v>0.57999999999999996</v>
      </c>
      <c r="I102" s="1087">
        <f t="shared" si="261"/>
        <v>0.57999999999999996</v>
      </c>
      <c r="J102" s="1087">
        <f t="shared" si="261"/>
        <v>0.57999999999999996</v>
      </c>
      <c r="K102" s="1094">
        <f t="shared" si="261"/>
        <v>0.57999999999999996</v>
      </c>
      <c r="L102" s="1075"/>
      <c r="M102" s="1076">
        <v>13000</v>
      </c>
      <c r="N102" s="1077">
        <v>21000</v>
      </c>
      <c r="O102" s="1077">
        <v>30000</v>
      </c>
      <c r="P102" s="1077">
        <v>29000</v>
      </c>
      <c r="Q102" s="1077">
        <v>9800</v>
      </c>
      <c r="R102" s="1077">
        <v>0</v>
      </c>
      <c r="S102" s="1077">
        <v>800</v>
      </c>
      <c r="T102" s="1077">
        <v>10000</v>
      </c>
      <c r="U102" s="1077">
        <v>13000</v>
      </c>
      <c r="V102" s="1077">
        <v>12000</v>
      </c>
      <c r="W102" s="1077">
        <v>9000</v>
      </c>
      <c r="X102" s="1077">
        <v>17000</v>
      </c>
      <c r="Y102" s="1078">
        <f t="shared" si="262"/>
        <v>164600</v>
      </c>
      <c r="Z102" s="1079">
        <v>7539.9999999999991</v>
      </c>
      <c r="AA102" s="1080">
        <v>12180</v>
      </c>
      <c r="AB102" s="1080">
        <v>17400</v>
      </c>
      <c r="AC102" s="1080">
        <f t="shared" si="284"/>
        <v>16820</v>
      </c>
      <c r="AD102" s="1080">
        <f>Q102*$E102+299.1</f>
        <v>5983.1</v>
      </c>
      <c r="AE102" s="1080">
        <f t="shared" si="285"/>
        <v>0</v>
      </c>
      <c r="AF102" s="1080">
        <f t="shared" si="275"/>
        <v>463.99999999999994</v>
      </c>
      <c r="AG102" s="1080">
        <f t="shared" si="276"/>
        <v>5800</v>
      </c>
      <c r="AH102" s="1080">
        <f t="shared" si="277"/>
        <v>7539.9999999999991</v>
      </c>
      <c r="AI102" s="1080">
        <f t="shared" si="278"/>
        <v>6959.9999999999991</v>
      </c>
      <c r="AJ102" s="1080">
        <f t="shared" si="279"/>
        <v>5220</v>
      </c>
      <c r="AK102" s="1080">
        <f t="shared" si="280"/>
        <v>9860</v>
      </c>
      <c r="AL102" s="1081">
        <f t="shared" si="263"/>
        <v>95767.1</v>
      </c>
      <c r="AM102" s="1076">
        <v>12000</v>
      </c>
      <c r="AN102" s="1077">
        <v>16000</v>
      </c>
      <c r="AO102" s="1077">
        <v>18000</v>
      </c>
      <c r="AP102" s="1077">
        <v>9000</v>
      </c>
      <c r="AQ102" s="1077">
        <v>16000</v>
      </c>
      <c r="AR102" s="1077">
        <v>24000</v>
      </c>
      <c r="AS102" s="1077">
        <v>17000</v>
      </c>
      <c r="AT102" s="1077">
        <v>20000</v>
      </c>
      <c r="AU102" s="1077">
        <v>17000</v>
      </c>
      <c r="AV102" s="1077">
        <v>18000</v>
      </c>
      <c r="AW102" s="1077">
        <v>13000</v>
      </c>
      <c r="AX102" s="1077">
        <v>0</v>
      </c>
      <c r="AY102" s="1078">
        <f t="shared" si="213"/>
        <v>180000</v>
      </c>
      <c r="AZ102" s="1079">
        <f t="shared" si="264"/>
        <v>6959.9999999999991</v>
      </c>
      <c r="BA102" s="1080">
        <f t="shared" si="264"/>
        <v>9280</v>
      </c>
      <c r="BB102" s="1080">
        <f t="shared" si="264"/>
        <v>10440</v>
      </c>
      <c r="BC102" s="1080">
        <f t="shared" si="264"/>
        <v>5220</v>
      </c>
      <c r="BD102" s="1080">
        <f t="shared" si="264"/>
        <v>9280</v>
      </c>
      <c r="BE102" s="1080">
        <f t="shared" si="264"/>
        <v>13919.999999999998</v>
      </c>
      <c r="BF102" s="1080">
        <f t="shared" si="264"/>
        <v>9860</v>
      </c>
      <c r="BG102" s="1080">
        <f t="shared" si="264"/>
        <v>11600</v>
      </c>
      <c r="BH102" s="1080">
        <f t="shared" si="264"/>
        <v>9860</v>
      </c>
      <c r="BI102" s="1080">
        <f t="shared" si="264"/>
        <v>10440</v>
      </c>
      <c r="BJ102" s="1080">
        <f t="shared" si="264"/>
        <v>7539.9999999999991</v>
      </c>
      <c r="BK102" s="1080">
        <f t="shared" si="264"/>
        <v>0</v>
      </c>
      <c r="BL102" s="1081">
        <f t="shared" si="265"/>
        <v>104400</v>
      </c>
      <c r="BM102" s="1082">
        <v>13000</v>
      </c>
      <c r="BN102" s="1077">
        <v>21000</v>
      </c>
      <c r="BO102" s="1077">
        <v>16000</v>
      </c>
      <c r="BP102" s="1077">
        <v>20000</v>
      </c>
      <c r="BQ102" s="1077">
        <v>20000</v>
      </c>
      <c r="BR102" s="1077">
        <v>20000</v>
      </c>
      <c r="BS102" s="1077">
        <v>20000</v>
      </c>
      <c r="BT102" s="1077">
        <v>20000</v>
      </c>
      <c r="BU102" s="1077">
        <v>20000</v>
      </c>
      <c r="BV102" s="1077">
        <v>20000</v>
      </c>
      <c r="BW102" s="1077">
        <v>20000</v>
      </c>
      <c r="BX102" s="1077">
        <v>20000</v>
      </c>
      <c r="BY102" s="1078">
        <f t="shared" si="215"/>
        <v>230000</v>
      </c>
      <c r="BZ102" s="1083">
        <f t="shared" si="266"/>
        <v>7539.9999999999991</v>
      </c>
      <c r="CA102" s="1080">
        <f t="shared" si="266"/>
        <v>12180</v>
      </c>
      <c r="CB102" s="1080">
        <f t="shared" si="266"/>
        <v>9280</v>
      </c>
      <c r="CC102" s="1080">
        <f t="shared" si="266"/>
        <v>11600</v>
      </c>
      <c r="CD102" s="1080">
        <f t="shared" si="266"/>
        <v>11600</v>
      </c>
      <c r="CE102" s="1080">
        <f t="shared" si="266"/>
        <v>11600</v>
      </c>
      <c r="CF102" s="1080">
        <f t="shared" si="266"/>
        <v>11600</v>
      </c>
      <c r="CG102" s="1080">
        <f t="shared" si="266"/>
        <v>11600</v>
      </c>
      <c r="CH102" s="1080">
        <f t="shared" si="266"/>
        <v>11600</v>
      </c>
      <c r="CI102" s="1080">
        <f t="shared" si="266"/>
        <v>11600</v>
      </c>
      <c r="CJ102" s="1080">
        <f t="shared" si="266"/>
        <v>11600</v>
      </c>
      <c r="CK102" s="1080">
        <f t="shared" si="266"/>
        <v>11600</v>
      </c>
      <c r="CL102" s="1084">
        <f t="shared" si="267"/>
        <v>133400</v>
      </c>
      <c r="CM102" s="1082"/>
      <c r="CN102" s="1077"/>
      <c r="CO102" s="1077"/>
      <c r="CP102" s="1077"/>
      <c r="CQ102" s="1077"/>
      <c r="CR102" s="1077"/>
      <c r="CS102" s="1077"/>
      <c r="CT102" s="1077"/>
      <c r="CU102" s="1077"/>
      <c r="CV102" s="1077"/>
      <c r="CW102" s="1077"/>
      <c r="CX102" s="1077"/>
      <c r="CY102" s="1078">
        <f t="shared" si="216"/>
        <v>0</v>
      </c>
      <c r="CZ102" s="1079">
        <f t="shared" si="269"/>
        <v>0</v>
      </c>
      <c r="DA102" s="1080">
        <f t="shared" si="269"/>
        <v>0</v>
      </c>
      <c r="DB102" s="1080">
        <f t="shared" si="269"/>
        <v>0</v>
      </c>
      <c r="DC102" s="1080">
        <f t="shared" si="269"/>
        <v>0</v>
      </c>
      <c r="DD102" s="1080">
        <f t="shared" si="269"/>
        <v>0</v>
      </c>
      <c r="DE102" s="1080">
        <f t="shared" si="269"/>
        <v>0</v>
      </c>
      <c r="DF102" s="1080">
        <f t="shared" si="269"/>
        <v>0</v>
      </c>
      <c r="DG102" s="1080">
        <f t="shared" si="269"/>
        <v>0</v>
      </c>
      <c r="DH102" s="1080">
        <f t="shared" si="269"/>
        <v>0</v>
      </c>
      <c r="DI102" s="1080">
        <f t="shared" si="269"/>
        <v>0</v>
      </c>
      <c r="DJ102" s="1080">
        <f t="shared" si="269"/>
        <v>0</v>
      </c>
      <c r="DK102" s="1080">
        <f t="shared" si="269"/>
        <v>0</v>
      </c>
      <c r="DL102" s="1081">
        <f t="shared" si="270"/>
        <v>0</v>
      </c>
      <c r="DM102" s="1076"/>
      <c r="DN102" s="1077"/>
      <c r="DO102" s="1077"/>
      <c r="DP102" s="1077"/>
      <c r="DQ102" s="1077"/>
      <c r="DR102" s="1077"/>
      <c r="DS102" s="1077"/>
      <c r="DT102" s="1077"/>
      <c r="DU102" s="1077"/>
      <c r="DV102" s="1077"/>
      <c r="DW102" s="1077"/>
      <c r="DX102" s="1077"/>
      <c r="DY102" s="1078">
        <f t="shared" si="217"/>
        <v>0</v>
      </c>
      <c r="DZ102" s="1080">
        <f t="shared" si="272"/>
        <v>0</v>
      </c>
      <c r="EA102" s="1080">
        <f t="shared" si="272"/>
        <v>0</v>
      </c>
      <c r="EB102" s="1080">
        <f t="shared" si="272"/>
        <v>0</v>
      </c>
      <c r="EC102" s="1080">
        <f t="shared" si="272"/>
        <v>0</v>
      </c>
      <c r="ED102" s="1080">
        <f t="shared" si="272"/>
        <v>0</v>
      </c>
      <c r="EE102" s="1080">
        <f t="shared" si="272"/>
        <v>0</v>
      </c>
      <c r="EF102" s="1080">
        <f t="shared" si="272"/>
        <v>0</v>
      </c>
      <c r="EG102" s="1080">
        <f t="shared" si="272"/>
        <v>0</v>
      </c>
      <c r="EH102" s="1080">
        <f t="shared" si="272"/>
        <v>0</v>
      </c>
      <c r="EI102" s="1080">
        <f t="shared" si="272"/>
        <v>0</v>
      </c>
      <c r="EJ102" s="1080">
        <f t="shared" si="272"/>
        <v>0</v>
      </c>
      <c r="EK102" s="1080">
        <f t="shared" si="272"/>
        <v>0</v>
      </c>
      <c r="EL102" s="1081">
        <f t="shared" si="273"/>
        <v>0</v>
      </c>
    </row>
    <row r="103" spans="1:142" s="1085" customFormat="1">
      <c r="A103" s="973" t="s">
        <v>730</v>
      </c>
      <c r="B103" s="1068" t="s">
        <v>735</v>
      </c>
      <c r="C103" s="1069" t="s">
        <v>233</v>
      </c>
      <c r="D103" s="1093">
        <v>1.34</v>
      </c>
      <c r="E103" s="1087">
        <v>1.35</v>
      </c>
      <c r="F103" s="1088">
        <v>1.37</v>
      </c>
      <c r="G103" s="1089">
        <f t="shared" si="261"/>
        <v>1.37</v>
      </c>
      <c r="H103" s="1093">
        <f t="shared" si="261"/>
        <v>1.37</v>
      </c>
      <c r="I103" s="1087">
        <f t="shared" si="261"/>
        <v>1.37</v>
      </c>
      <c r="J103" s="1087">
        <f t="shared" si="261"/>
        <v>1.37</v>
      </c>
      <c r="K103" s="1094">
        <f t="shared" si="261"/>
        <v>1.37</v>
      </c>
      <c r="L103" s="1075"/>
      <c r="M103" s="1076"/>
      <c r="N103" s="1077">
        <v>3000</v>
      </c>
      <c r="O103" s="1077">
        <v>1000</v>
      </c>
      <c r="P103" s="1077">
        <v>5000</v>
      </c>
      <c r="Q103" s="1077">
        <v>1000</v>
      </c>
      <c r="R103" s="1077">
        <v>0</v>
      </c>
      <c r="S103" s="1077">
        <v>0</v>
      </c>
      <c r="T103" s="1077">
        <v>0</v>
      </c>
      <c r="U103" s="1077">
        <v>4000</v>
      </c>
      <c r="V103" s="1077">
        <v>4000</v>
      </c>
      <c r="W103" s="1077">
        <v>3000</v>
      </c>
      <c r="X103" s="1077">
        <v>7000</v>
      </c>
      <c r="Y103" s="1078">
        <f t="shared" si="262"/>
        <v>28000</v>
      </c>
      <c r="Z103" s="1079">
        <v>0</v>
      </c>
      <c r="AA103" s="1080">
        <v>4020.0000000000005</v>
      </c>
      <c r="AB103" s="1080">
        <v>1340</v>
      </c>
      <c r="AC103" s="1080">
        <f t="shared" si="284"/>
        <v>6750</v>
      </c>
      <c r="AD103" s="1080">
        <f t="shared" si="274"/>
        <v>1350</v>
      </c>
      <c r="AE103" s="1080">
        <f t="shared" si="285"/>
        <v>0</v>
      </c>
      <c r="AF103" s="1080">
        <f t="shared" si="275"/>
        <v>0</v>
      </c>
      <c r="AG103" s="1080">
        <f t="shared" si="276"/>
        <v>0</v>
      </c>
      <c r="AH103" s="1080">
        <f t="shared" si="277"/>
        <v>5480</v>
      </c>
      <c r="AI103" s="1080">
        <f t="shared" si="278"/>
        <v>5480</v>
      </c>
      <c r="AJ103" s="1080">
        <f t="shared" si="279"/>
        <v>4110</v>
      </c>
      <c r="AK103" s="1080">
        <f t="shared" si="280"/>
        <v>9590</v>
      </c>
      <c r="AL103" s="1081">
        <f t="shared" si="263"/>
        <v>38120</v>
      </c>
      <c r="AM103" s="1076">
        <v>6000</v>
      </c>
      <c r="AN103" s="1077">
        <v>5000</v>
      </c>
      <c r="AO103" s="1077">
        <v>5000</v>
      </c>
      <c r="AP103" s="1077">
        <v>6000</v>
      </c>
      <c r="AQ103" s="1077">
        <v>4000</v>
      </c>
      <c r="AR103" s="1077">
        <v>6000</v>
      </c>
      <c r="AS103" s="1077">
        <v>4000</v>
      </c>
      <c r="AT103" s="1077">
        <v>5000</v>
      </c>
      <c r="AU103" s="1077">
        <v>6000</v>
      </c>
      <c r="AV103" s="1077">
        <v>4000</v>
      </c>
      <c r="AW103" s="1077">
        <v>4000</v>
      </c>
      <c r="AX103" s="1077">
        <v>0</v>
      </c>
      <c r="AY103" s="1078">
        <f t="shared" si="213"/>
        <v>55000</v>
      </c>
      <c r="AZ103" s="1079">
        <f t="shared" si="264"/>
        <v>8220</v>
      </c>
      <c r="BA103" s="1080">
        <f t="shared" si="264"/>
        <v>6850.0000000000009</v>
      </c>
      <c r="BB103" s="1080">
        <f t="shared" si="264"/>
        <v>6850.0000000000009</v>
      </c>
      <c r="BC103" s="1080">
        <f t="shared" si="264"/>
        <v>8220</v>
      </c>
      <c r="BD103" s="1080">
        <f t="shared" si="264"/>
        <v>5480</v>
      </c>
      <c r="BE103" s="1080">
        <f t="shared" si="264"/>
        <v>8220</v>
      </c>
      <c r="BF103" s="1080">
        <f t="shared" si="264"/>
        <v>5480</v>
      </c>
      <c r="BG103" s="1080">
        <f t="shared" si="264"/>
        <v>6850.0000000000009</v>
      </c>
      <c r="BH103" s="1080">
        <f t="shared" si="264"/>
        <v>8220</v>
      </c>
      <c r="BI103" s="1080">
        <f t="shared" si="264"/>
        <v>5480</v>
      </c>
      <c r="BJ103" s="1080">
        <f t="shared" si="264"/>
        <v>5480</v>
      </c>
      <c r="BK103" s="1080">
        <f t="shared" si="264"/>
        <v>0</v>
      </c>
      <c r="BL103" s="1081">
        <f t="shared" si="265"/>
        <v>75350</v>
      </c>
      <c r="BM103" s="1082">
        <f>1527806/12</f>
        <v>127317.16666666667</v>
      </c>
      <c r="BN103" s="1077">
        <f t="shared" ref="BN103:BX104" si="287">1527806/12</f>
        <v>127317.16666666667</v>
      </c>
      <c r="BO103" s="1077">
        <f t="shared" si="287"/>
        <v>127317.16666666667</v>
      </c>
      <c r="BP103" s="1077">
        <f t="shared" si="287"/>
        <v>127317.16666666667</v>
      </c>
      <c r="BQ103" s="1077">
        <f t="shared" si="287"/>
        <v>127317.16666666667</v>
      </c>
      <c r="BR103" s="1077">
        <f t="shared" si="287"/>
        <v>127317.16666666667</v>
      </c>
      <c r="BS103" s="1077">
        <f t="shared" si="287"/>
        <v>127317.16666666667</v>
      </c>
      <c r="BT103" s="1077">
        <f t="shared" si="287"/>
        <v>127317.16666666667</v>
      </c>
      <c r="BU103" s="1077">
        <f t="shared" si="287"/>
        <v>127317.16666666667</v>
      </c>
      <c r="BV103" s="1077">
        <f t="shared" si="287"/>
        <v>127317.16666666667</v>
      </c>
      <c r="BW103" s="1077">
        <f t="shared" si="287"/>
        <v>127317.16666666667</v>
      </c>
      <c r="BX103" s="1077">
        <f t="shared" si="287"/>
        <v>127317.16666666667</v>
      </c>
      <c r="BY103" s="1078">
        <f t="shared" si="215"/>
        <v>1527806.0000000002</v>
      </c>
      <c r="BZ103" s="1083">
        <f t="shared" si="266"/>
        <v>174424.51833333334</v>
      </c>
      <c r="CA103" s="1080">
        <f t="shared" si="266"/>
        <v>174424.51833333334</v>
      </c>
      <c r="CB103" s="1080">
        <f t="shared" si="266"/>
        <v>174424.51833333334</v>
      </c>
      <c r="CC103" s="1080">
        <f t="shared" si="266"/>
        <v>174424.51833333334</v>
      </c>
      <c r="CD103" s="1080">
        <f t="shared" si="266"/>
        <v>174424.51833333334</v>
      </c>
      <c r="CE103" s="1080">
        <f t="shared" si="266"/>
        <v>174424.51833333334</v>
      </c>
      <c r="CF103" s="1080">
        <f t="shared" si="266"/>
        <v>174424.51833333334</v>
      </c>
      <c r="CG103" s="1080">
        <f t="shared" si="266"/>
        <v>174424.51833333334</v>
      </c>
      <c r="CH103" s="1080">
        <f t="shared" si="266"/>
        <v>174424.51833333334</v>
      </c>
      <c r="CI103" s="1080">
        <f t="shared" si="266"/>
        <v>174424.51833333334</v>
      </c>
      <c r="CJ103" s="1080">
        <f t="shared" si="266"/>
        <v>174424.51833333334</v>
      </c>
      <c r="CK103" s="1080">
        <f t="shared" si="266"/>
        <v>174424.51833333334</v>
      </c>
      <c r="CL103" s="1084">
        <f t="shared" si="267"/>
        <v>2093094.22</v>
      </c>
      <c r="CM103" s="1082"/>
      <c r="CN103" s="1077"/>
      <c r="CO103" s="1077"/>
      <c r="CP103" s="1077"/>
      <c r="CQ103" s="1077"/>
      <c r="CR103" s="1077"/>
      <c r="CS103" s="1077"/>
      <c r="CT103" s="1077"/>
      <c r="CU103" s="1077"/>
      <c r="CV103" s="1077"/>
      <c r="CW103" s="1077"/>
      <c r="CX103" s="1077"/>
      <c r="CY103" s="1078">
        <f t="shared" si="216"/>
        <v>0</v>
      </c>
      <c r="CZ103" s="1079">
        <f t="shared" si="269"/>
        <v>0</v>
      </c>
      <c r="DA103" s="1080">
        <f t="shared" si="269"/>
        <v>0</v>
      </c>
      <c r="DB103" s="1080">
        <f t="shared" si="269"/>
        <v>0</v>
      </c>
      <c r="DC103" s="1080">
        <f t="shared" si="269"/>
        <v>0</v>
      </c>
      <c r="DD103" s="1080">
        <f t="shared" si="269"/>
        <v>0</v>
      </c>
      <c r="DE103" s="1080">
        <f t="shared" si="269"/>
        <v>0</v>
      </c>
      <c r="DF103" s="1080">
        <f t="shared" si="269"/>
        <v>0</v>
      </c>
      <c r="DG103" s="1080">
        <f t="shared" si="269"/>
        <v>0</v>
      </c>
      <c r="DH103" s="1080">
        <f t="shared" si="269"/>
        <v>0</v>
      </c>
      <c r="DI103" s="1080">
        <f t="shared" si="269"/>
        <v>0</v>
      </c>
      <c r="DJ103" s="1080">
        <f t="shared" si="269"/>
        <v>0</v>
      </c>
      <c r="DK103" s="1080">
        <f t="shared" si="269"/>
        <v>0</v>
      </c>
      <c r="DL103" s="1081">
        <f t="shared" si="270"/>
        <v>0</v>
      </c>
      <c r="DM103" s="1076"/>
      <c r="DN103" s="1077"/>
      <c r="DO103" s="1077"/>
      <c r="DP103" s="1077"/>
      <c r="DQ103" s="1077"/>
      <c r="DR103" s="1077"/>
      <c r="DS103" s="1077"/>
      <c r="DT103" s="1077"/>
      <c r="DU103" s="1077"/>
      <c r="DV103" s="1077"/>
      <c r="DW103" s="1077"/>
      <c r="DX103" s="1077"/>
      <c r="DY103" s="1078">
        <f t="shared" si="217"/>
        <v>0</v>
      </c>
      <c r="DZ103" s="1080">
        <f t="shared" si="272"/>
        <v>0</v>
      </c>
      <c r="EA103" s="1080">
        <f t="shared" si="272"/>
        <v>0</v>
      </c>
      <c r="EB103" s="1080">
        <f t="shared" si="272"/>
        <v>0</v>
      </c>
      <c r="EC103" s="1080">
        <f t="shared" si="272"/>
        <v>0</v>
      </c>
      <c r="ED103" s="1080">
        <f t="shared" si="272"/>
        <v>0</v>
      </c>
      <c r="EE103" s="1080">
        <f t="shared" si="272"/>
        <v>0</v>
      </c>
      <c r="EF103" s="1080">
        <f t="shared" si="272"/>
        <v>0</v>
      </c>
      <c r="EG103" s="1080">
        <f t="shared" si="272"/>
        <v>0</v>
      </c>
      <c r="EH103" s="1080">
        <f t="shared" si="272"/>
        <v>0</v>
      </c>
      <c r="EI103" s="1080">
        <f t="shared" si="272"/>
        <v>0</v>
      </c>
      <c r="EJ103" s="1080">
        <f t="shared" si="272"/>
        <v>0</v>
      </c>
      <c r="EK103" s="1080">
        <f t="shared" si="272"/>
        <v>0</v>
      </c>
      <c r="EL103" s="1081">
        <f t="shared" si="273"/>
        <v>0</v>
      </c>
    </row>
    <row r="104" spans="1:142" s="1085" customFormat="1">
      <c r="A104" s="973" t="s">
        <v>730</v>
      </c>
      <c r="B104" s="1068" t="s">
        <v>267</v>
      </c>
      <c r="C104" s="1069" t="s">
        <v>234</v>
      </c>
      <c r="D104" s="1093">
        <v>1.21</v>
      </c>
      <c r="E104" s="1087">
        <v>1.21</v>
      </c>
      <c r="F104" s="1088">
        <v>1.23</v>
      </c>
      <c r="G104" s="1089">
        <f t="shared" si="261"/>
        <v>1.23</v>
      </c>
      <c r="H104" s="1093">
        <f t="shared" si="261"/>
        <v>1.23</v>
      </c>
      <c r="I104" s="1087">
        <f t="shared" si="261"/>
        <v>1.23</v>
      </c>
      <c r="J104" s="1087">
        <f t="shared" si="261"/>
        <v>1.23</v>
      </c>
      <c r="K104" s="1094">
        <f t="shared" si="261"/>
        <v>1.23</v>
      </c>
      <c r="L104" s="1075"/>
      <c r="M104" s="1076"/>
      <c r="N104" s="1077">
        <v>3400</v>
      </c>
      <c r="O104" s="1077">
        <v>1000</v>
      </c>
      <c r="P104" s="1077">
        <v>5000</v>
      </c>
      <c r="Q104" s="1077">
        <v>1000</v>
      </c>
      <c r="R104" s="1077">
        <v>0</v>
      </c>
      <c r="S104" s="1077">
        <v>0</v>
      </c>
      <c r="T104" s="1077">
        <v>0</v>
      </c>
      <c r="U104" s="1077">
        <v>4000</v>
      </c>
      <c r="V104" s="1077">
        <v>4000</v>
      </c>
      <c r="W104" s="1077">
        <v>3000</v>
      </c>
      <c r="X104" s="1077">
        <v>7000</v>
      </c>
      <c r="Y104" s="1078">
        <f t="shared" si="262"/>
        <v>28400</v>
      </c>
      <c r="Z104" s="1079">
        <v>0</v>
      </c>
      <c r="AA104" s="1080">
        <v>4114</v>
      </c>
      <c r="AB104" s="1080">
        <v>1210</v>
      </c>
      <c r="AC104" s="1080">
        <f t="shared" si="284"/>
        <v>6050</v>
      </c>
      <c r="AD104" s="1080">
        <f t="shared" si="274"/>
        <v>1210</v>
      </c>
      <c r="AE104" s="1080">
        <f t="shared" si="285"/>
        <v>0</v>
      </c>
      <c r="AF104" s="1080">
        <f t="shared" si="275"/>
        <v>0</v>
      </c>
      <c r="AG104" s="1080">
        <f t="shared" si="276"/>
        <v>0</v>
      </c>
      <c r="AH104" s="1080">
        <f t="shared" si="277"/>
        <v>4920</v>
      </c>
      <c r="AI104" s="1080">
        <f t="shared" si="278"/>
        <v>4920</v>
      </c>
      <c r="AJ104" s="1080">
        <f t="shared" si="279"/>
        <v>3690</v>
      </c>
      <c r="AK104" s="1080">
        <f t="shared" si="280"/>
        <v>8610</v>
      </c>
      <c r="AL104" s="1081">
        <f t="shared" si="263"/>
        <v>34724</v>
      </c>
      <c r="AM104" s="1076">
        <v>6000</v>
      </c>
      <c r="AN104" s="1077">
        <v>5000</v>
      </c>
      <c r="AO104" s="1077">
        <v>5000</v>
      </c>
      <c r="AP104" s="1077">
        <v>6000</v>
      </c>
      <c r="AQ104" s="1077">
        <v>4000</v>
      </c>
      <c r="AR104" s="1077">
        <v>6000</v>
      </c>
      <c r="AS104" s="1077">
        <v>4000</v>
      </c>
      <c r="AT104" s="1077">
        <v>5000</v>
      </c>
      <c r="AU104" s="1077">
        <v>6000</v>
      </c>
      <c r="AV104" s="1077">
        <v>4000</v>
      </c>
      <c r="AW104" s="1077">
        <v>4000</v>
      </c>
      <c r="AX104" s="1077">
        <v>0</v>
      </c>
      <c r="AY104" s="1078">
        <f t="shared" si="213"/>
        <v>55000</v>
      </c>
      <c r="AZ104" s="1079">
        <f t="shared" si="264"/>
        <v>7380</v>
      </c>
      <c r="BA104" s="1080">
        <f t="shared" si="264"/>
        <v>6150</v>
      </c>
      <c r="BB104" s="1080">
        <f t="shared" si="264"/>
        <v>6150</v>
      </c>
      <c r="BC104" s="1080">
        <f t="shared" si="264"/>
        <v>7380</v>
      </c>
      <c r="BD104" s="1080">
        <f t="shared" si="264"/>
        <v>4920</v>
      </c>
      <c r="BE104" s="1080">
        <f t="shared" si="264"/>
        <v>7380</v>
      </c>
      <c r="BF104" s="1080">
        <f t="shared" si="264"/>
        <v>4920</v>
      </c>
      <c r="BG104" s="1080">
        <f t="shared" si="264"/>
        <v>6150</v>
      </c>
      <c r="BH104" s="1080">
        <f t="shared" si="264"/>
        <v>7380</v>
      </c>
      <c r="BI104" s="1080">
        <f t="shared" si="264"/>
        <v>4920</v>
      </c>
      <c r="BJ104" s="1080">
        <f t="shared" si="264"/>
        <v>4920</v>
      </c>
      <c r="BK104" s="1080">
        <f t="shared" si="264"/>
        <v>0</v>
      </c>
      <c r="BL104" s="1081">
        <f t="shared" si="265"/>
        <v>67650</v>
      </c>
      <c r="BM104" s="1082">
        <f>1527806/12</f>
        <v>127317.16666666667</v>
      </c>
      <c r="BN104" s="1077">
        <f t="shared" si="287"/>
        <v>127317.16666666667</v>
      </c>
      <c r="BO104" s="1077">
        <f t="shared" si="287"/>
        <v>127317.16666666667</v>
      </c>
      <c r="BP104" s="1077">
        <f t="shared" si="287"/>
        <v>127317.16666666667</v>
      </c>
      <c r="BQ104" s="1077">
        <f t="shared" si="287"/>
        <v>127317.16666666667</v>
      </c>
      <c r="BR104" s="1077">
        <f t="shared" si="287"/>
        <v>127317.16666666667</v>
      </c>
      <c r="BS104" s="1077">
        <f t="shared" si="287"/>
        <v>127317.16666666667</v>
      </c>
      <c r="BT104" s="1077">
        <f t="shared" si="287"/>
        <v>127317.16666666667</v>
      </c>
      <c r="BU104" s="1077">
        <f t="shared" si="287"/>
        <v>127317.16666666667</v>
      </c>
      <c r="BV104" s="1077">
        <f t="shared" si="287"/>
        <v>127317.16666666667</v>
      </c>
      <c r="BW104" s="1077">
        <f t="shared" si="287"/>
        <v>127317.16666666667</v>
      </c>
      <c r="BX104" s="1077">
        <f t="shared" si="287"/>
        <v>127317.16666666667</v>
      </c>
      <c r="BY104" s="1078">
        <f t="shared" si="215"/>
        <v>1527806.0000000002</v>
      </c>
      <c r="BZ104" s="1083">
        <f t="shared" si="266"/>
        <v>156600.11499999999</v>
      </c>
      <c r="CA104" s="1080">
        <f t="shared" si="266"/>
        <v>156600.11499999999</v>
      </c>
      <c r="CB104" s="1080">
        <f t="shared" si="266"/>
        <v>156600.11499999999</v>
      </c>
      <c r="CC104" s="1080">
        <f t="shared" si="266"/>
        <v>156600.11499999999</v>
      </c>
      <c r="CD104" s="1080">
        <f t="shared" si="266"/>
        <v>156600.11499999999</v>
      </c>
      <c r="CE104" s="1080">
        <f t="shared" si="266"/>
        <v>156600.11499999999</v>
      </c>
      <c r="CF104" s="1080">
        <f t="shared" si="266"/>
        <v>156600.11499999999</v>
      </c>
      <c r="CG104" s="1080">
        <f t="shared" si="266"/>
        <v>156600.11499999999</v>
      </c>
      <c r="CH104" s="1080">
        <f t="shared" si="266"/>
        <v>156600.11499999999</v>
      </c>
      <c r="CI104" s="1080">
        <f t="shared" si="266"/>
        <v>156600.11499999999</v>
      </c>
      <c r="CJ104" s="1080">
        <f t="shared" si="266"/>
        <v>156600.11499999999</v>
      </c>
      <c r="CK104" s="1080">
        <f t="shared" si="266"/>
        <v>156600.11499999999</v>
      </c>
      <c r="CL104" s="1084">
        <f t="shared" si="267"/>
        <v>1879201.38</v>
      </c>
      <c r="CM104" s="1082"/>
      <c r="CN104" s="1077"/>
      <c r="CO104" s="1077"/>
      <c r="CP104" s="1077"/>
      <c r="CQ104" s="1077"/>
      <c r="CR104" s="1077"/>
      <c r="CS104" s="1077"/>
      <c r="CT104" s="1077"/>
      <c r="CU104" s="1077"/>
      <c r="CV104" s="1077"/>
      <c r="CW104" s="1077"/>
      <c r="CX104" s="1077"/>
      <c r="CY104" s="1078">
        <f t="shared" si="216"/>
        <v>0</v>
      </c>
      <c r="CZ104" s="1079">
        <f t="shared" si="269"/>
        <v>0</v>
      </c>
      <c r="DA104" s="1080">
        <f t="shared" si="269"/>
        <v>0</v>
      </c>
      <c r="DB104" s="1080">
        <f t="shared" si="269"/>
        <v>0</v>
      </c>
      <c r="DC104" s="1080">
        <f t="shared" si="269"/>
        <v>0</v>
      </c>
      <c r="DD104" s="1080">
        <f t="shared" si="269"/>
        <v>0</v>
      </c>
      <c r="DE104" s="1080">
        <f t="shared" si="269"/>
        <v>0</v>
      </c>
      <c r="DF104" s="1080">
        <f t="shared" si="269"/>
        <v>0</v>
      </c>
      <c r="DG104" s="1080">
        <f t="shared" si="269"/>
        <v>0</v>
      </c>
      <c r="DH104" s="1080">
        <f t="shared" si="269"/>
        <v>0</v>
      </c>
      <c r="DI104" s="1080">
        <f t="shared" si="269"/>
        <v>0</v>
      </c>
      <c r="DJ104" s="1080">
        <f t="shared" si="269"/>
        <v>0</v>
      </c>
      <c r="DK104" s="1080">
        <f t="shared" si="269"/>
        <v>0</v>
      </c>
      <c r="DL104" s="1081">
        <f t="shared" si="270"/>
        <v>0</v>
      </c>
      <c r="DM104" s="1076"/>
      <c r="DN104" s="1077"/>
      <c r="DO104" s="1077"/>
      <c r="DP104" s="1077"/>
      <c r="DQ104" s="1077"/>
      <c r="DR104" s="1077"/>
      <c r="DS104" s="1077"/>
      <c r="DT104" s="1077"/>
      <c r="DU104" s="1077"/>
      <c r="DV104" s="1077"/>
      <c r="DW104" s="1077"/>
      <c r="DX104" s="1077"/>
      <c r="DY104" s="1078">
        <f t="shared" si="217"/>
        <v>0</v>
      </c>
      <c r="DZ104" s="1080">
        <f t="shared" si="272"/>
        <v>0</v>
      </c>
      <c r="EA104" s="1080">
        <f t="shared" si="272"/>
        <v>0</v>
      </c>
      <c r="EB104" s="1080">
        <f t="shared" si="272"/>
        <v>0</v>
      </c>
      <c r="EC104" s="1080">
        <f t="shared" si="272"/>
        <v>0</v>
      </c>
      <c r="ED104" s="1080">
        <f t="shared" si="272"/>
        <v>0</v>
      </c>
      <c r="EE104" s="1080">
        <f t="shared" si="272"/>
        <v>0</v>
      </c>
      <c r="EF104" s="1080">
        <f t="shared" si="272"/>
        <v>0</v>
      </c>
      <c r="EG104" s="1080">
        <f t="shared" si="272"/>
        <v>0</v>
      </c>
      <c r="EH104" s="1080">
        <f t="shared" si="272"/>
        <v>0</v>
      </c>
      <c r="EI104" s="1080">
        <f t="shared" si="272"/>
        <v>0</v>
      </c>
      <c r="EJ104" s="1080">
        <f t="shared" si="272"/>
        <v>0</v>
      </c>
      <c r="EK104" s="1080">
        <f t="shared" si="272"/>
        <v>0</v>
      </c>
      <c r="EL104" s="1081">
        <f t="shared" si="273"/>
        <v>0</v>
      </c>
    </row>
    <row r="105" spans="1:142" s="1085" customFormat="1">
      <c r="A105" s="973" t="s">
        <v>730</v>
      </c>
      <c r="B105" s="1068" t="s">
        <v>736</v>
      </c>
      <c r="C105" s="1069" t="s">
        <v>233</v>
      </c>
      <c r="D105" s="1093">
        <v>1.32</v>
      </c>
      <c r="E105" s="1087">
        <v>1.33</v>
      </c>
      <c r="F105" s="1088">
        <v>1.35</v>
      </c>
      <c r="G105" s="1089">
        <f t="shared" si="261"/>
        <v>1.35</v>
      </c>
      <c r="H105" s="1093">
        <f t="shared" si="261"/>
        <v>1.35</v>
      </c>
      <c r="I105" s="1087">
        <f t="shared" si="261"/>
        <v>1.35</v>
      </c>
      <c r="J105" s="1087">
        <f t="shared" si="261"/>
        <v>1.35</v>
      </c>
      <c r="K105" s="1094">
        <f t="shared" si="261"/>
        <v>1.35</v>
      </c>
      <c r="L105" s="1075"/>
      <c r="M105" s="1076">
        <v>25320</v>
      </c>
      <c r="N105" s="1077">
        <v>28260</v>
      </c>
      <c r="O105" s="1077">
        <v>46527</v>
      </c>
      <c r="P105" s="1077">
        <f>38740+24000</f>
        <v>62740</v>
      </c>
      <c r="Q105" s="1077">
        <v>65000</v>
      </c>
      <c r="R105" s="1077">
        <v>30000</v>
      </c>
      <c r="S105" s="1077">
        <v>60000</v>
      </c>
      <c r="T105" s="1077">
        <v>60000</v>
      </c>
      <c r="U105" s="1077">
        <v>30000</v>
      </c>
      <c r="V105" s="1077">
        <v>45000</v>
      </c>
      <c r="W105" s="1077">
        <v>52000</v>
      </c>
      <c r="X105" s="1077">
        <v>47000</v>
      </c>
      <c r="Y105" s="1078">
        <f t="shared" si="262"/>
        <v>551847</v>
      </c>
      <c r="Z105" s="1079">
        <v>33422.400000000001</v>
      </c>
      <c r="AA105" s="1080">
        <v>37303.200000000004</v>
      </c>
      <c r="AB105" s="1080">
        <v>61415.64</v>
      </c>
      <c r="AC105" s="1080">
        <f t="shared" si="284"/>
        <v>83444.200000000012</v>
      </c>
      <c r="AD105" s="1080">
        <f t="shared" si="274"/>
        <v>86450</v>
      </c>
      <c r="AE105" s="1080">
        <f t="shared" si="285"/>
        <v>39900</v>
      </c>
      <c r="AF105" s="1080">
        <f>S105*F105</f>
        <v>81000</v>
      </c>
      <c r="AG105" s="1080">
        <f t="shared" si="276"/>
        <v>81000</v>
      </c>
      <c r="AH105" s="1080">
        <f t="shared" si="277"/>
        <v>40500</v>
      </c>
      <c r="AI105" s="1080">
        <f t="shared" si="278"/>
        <v>60750.000000000007</v>
      </c>
      <c r="AJ105" s="1080">
        <f t="shared" si="279"/>
        <v>70200</v>
      </c>
      <c r="AK105" s="1080">
        <f t="shared" si="280"/>
        <v>63450.000000000007</v>
      </c>
      <c r="AL105" s="1081">
        <f t="shared" si="263"/>
        <v>738835.44</v>
      </c>
      <c r="AM105" s="1076">
        <v>48000</v>
      </c>
      <c r="AN105" s="1077">
        <v>60000</v>
      </c>
      <c r="AO105" s="1077">
        <v>44000</v>
      </c>
      <c r="AP105" s="1077">
        <v>60000</v>
      </c>
      <c r="AQ105" s="1077">
        <v>60000</v>
      </c>
      <c r="AR105" s="1077">
        <v>45000</v>
      </c>
      <c r="AS105" s="1077">
        <v>44000</v>
      </c>
      <c r="AT105" s="1077">
        <v>46000</v>
      </c>
      <c r="AU105" s="1077">
        <v>36000</v>
      </c>
      <c r="AV105" s="1077">
        <v>63000</v>
      </c>
      <c r="AW105" s="1077">
        <v>39000</v>
      </c>
      <c r="AX105" s="1077">
        <v>38000</v>
      </c>
      <c r="AY105" s="1078">
        <f t="shared" si="213"/>
        <v>583000</v>
      </c>
      <c r="AZ105" s="1079">
        <f t="shared" si="264"/>
        <v>64800.000000000007</v>
      </c>
      <c r="BA105" s="1080">
        <f t="shared" si="264"/>
        <v>81000</v>
      </c>
      <c r="BB105" s="1080">
        <f t="shared" si="264"/>
        <v>59400.000000000007</v>
      </c>
      <c r="BC105" s="1080">
        <f t="shared" si="264"/>
        <v>81000</v>
      </c>
      <c r="BD105" s="1080">
        <f t="shared" si="264"/>
        <v>81000</v>
      </c>
      <c r="BE105" s="1080">
        <f t="shared" si="264"/>
        <v>60750.000000000007</v>
      </c>
      <c r="BF105" s="1080">
        <f t="shared" si="264"/>
        <v>59400.000000000007</v>
      </c>
      <c r="BG105" s="1080">
        <f t="shared" si="264"/>
        <v>62100.000000000007</v>
      </c>
      <c r="BH105" s="1080">
        <f t="shared" si="264"/>
        <v>48600</v>
      </c>
      <c r="BI105" s="1080">
        <f t="shared" si="264"/>
        <v>85050</v>
      </c>
      <c r="BJ105" s="1080">
        <f t="shared" si="264"/>
        <v>52650</v>
      </c>
      <c r="BK105" s="1080">
        <f t="shared" si="264"/>
        <v>51300</v>
      </c>
      <c r="BL105" s="1081">
        <f t="shared" si="265"/>
        <v>787050</v>
      </c>
      <c r="BM105" s="1082">
        <f>600483/12</f>
        <v>50040.25</v>
      </c>
      <c r="BN105" s="1077">
        <f t="shared" ref="BN105:BX107" si="288">600483/12</f>
        <v>50040.25</v>
      </c>
      <c r="BO105" s="1077">
        <f t="shared" si="288"/>
        <v>50040.25</v>
      </c>
      <c r="BP105" s="1077">
        <f t="shared" si="288"/>
        <v>50040.25</v>
      </c>
      <c r="BQ105" s="1077">
        <f t="shared" si="288"/>
        <v>50040.25</v>
      </c>
      <c r="BR105" s="1077">
        <f t="shared" si="288"/>
        <v>50040.25</v>
      </c>
      <c r="BS105" s="1077">
        <f t="shared" si="288"/>
        <v>50040.25</v>
      </c>
      <c r="BT105" s="1077">
        <f t="shared" si="288"/>
        <v>50040.25</v>
      </c>
      <c r="BU105" s="1077">
        <f t="shared" si="288"/>
        <v>50040.25</v>
      </c>
      <c r="BV105" s="1077">
        <f t="shared" si="288"/>
        <v>50040.25</v>
      </c>
      <c r="BW105" s="1077">
        <f t="shared" si="288"/>
        <v>50040.25</v>
      </c>
      <c r="BX105" s="1077">
        <f t="shared" si="288"/>
        <v>50040.25</v>
      </c>
      <c r="BY105" s="1078">
        <f t="shared" si="215"/>
        <v>600483</v>
      </c>
      <c r="BZ105" s="1083">
        <f t="shared" si="266"/>
        <v>67554.337500000009</v>
      </c>
      <c r="CA105" s="1080">
        <f t="shared" si="266"/>
        <v>67554.337500000009</v>
      </c>
      <c r="CB105" s="1080">
        <f t="shared" si="266"/>
        <v>67554.337500000009</v>
      </c>
      <c r="CC105" s="1080">
        <f t="shared" si="266"/>
        <v>67554.337500000009</v>
      </c>
      <c r="CD105" s="1080">
        <f t="shared" si="266"/>
        <v>67554.337500000009</v>
      </c>
      <c r="CE105" s="1080">
        <f t="shared" si="266"/>
        <v>67554.337500000009</v>
      </c>
      <c r="CF105" s="1080">
        <f t="shared" si="266"/>
        <v>67554.337500000009</v>
      </c>
      <c r="CG105" s="1080">
        <f t="shared" si="266"/>
        <v>67554.337500000009</v>
      </c>
      <c r="CH105" s="1080">
        <f t="shared" si="266"/>
        <v>67554.337500000009</v>
      </c>
      <c r="CI105" s="1080">
        <f t="shared" si="266"/>
        <v>67554.337500000009</v>
      </c>
      <c r="CJ105" s="1080">
        <f t="shared" si="266"/>
        <v>67554.337500000009</v>
      </c>
      <c r="CK105" s="1080">
        <f t="shared" si="266"/>
        <v>67554.337500000009</v>
      </c>
      <c r="CL105" s="1084">
        <f t="shared" si="267"/>
        <v>810652.05000000016</v>
      </c>
      <c r="CM105" s="1082"/>
      <c r="CN105" s="1077"/>
      <c r="CO105" s="1077"/>
      <c r="CP105" s="1077"/>
      <c r="CQ105" s="1077"/>
      <c r="CR105" s="1077"/>
      <c r="CS105" s="1077"/>
      <c r="CT105" s="1077"/>
      <c r="CU105" s="1077"/>
      <c r="CV105" s="1077"/>
      <c r="CW105" s="1077"/>
      <c r="CX105" s="1077"/>
      <c r="CY105" s="1078">
        <f t="shared" si="216"/>
        <v>0</v>
      </c>
      <c r="CZ105" s="1079">
        <f t="shared" si="269"/>
        <v>0</v>
      </c>
      <c r="DA105" s="1080">
        <f t="shared" si="269"/>
        <v>0</v>
      </c>
      <c r="DB105" s="1080">
        <f t="shared" si="269"/>
        <v>0</v>
      </c>
      <c r="DC105" s="1080">
        <f t="shared" si="269"/>
        <v>0</v>
      </c>
      <c r="DD105" s="1080">
        <f t="shared" si="269"/>
        <v>0</v>
      </c>
      <c r="DE105" s="1080">
        <f t="shared" si="269"/>
        <v>0</v>
      </c>
      <c r="DF105" s="1080">
        <f t="shared" si="269"/>
        <v>0</v>
      </c>
      <c r="DG105" s="1080">
        <f t="shared" si="269"/>
        <v>0</v>
      </c>
      <c r="DH105" s="1080">
        <f t="shared" si="269"/>
        <v>0</v>
      </c>
      <c r="DI105" s="1080">
        <f t="shared" si="269"/>
        <v>0</v>
      </c>
      <c r="DJ105" s="1080">
        <f t="shared" si="269"/>
        <v>0</v>
      </c>
      <c r="DK105" s="1080">
        <f t="shared" si="269"/>
        <v>0</v>
      </c>
      <c r="DL105" s="1081">
        <f t="shared" si="270"/>
        <v>0</v>
      </c>
      <c r="DM105" s="1076"/>
      <c r="DN105" s="1077"/>
      <c r="DO105" s="1077"/>
      <c r="DP105" s="1077"/>
      <c r="DQ105" s="1077"/>
      <c r="DR105" s="1077"/>
      <c r="DS105" s="1077"/>
      <c r="DT105" s="1077"/>
      <c r="DU105" s="1077"/>
      <c r="DV105" s="1077"/>
      <c r="DW105" s="1077"/>
      <c r="DX105" s="1077"/>
      <c r="DY105" s="1078">
        <f t="shared" si="217"/>
        <v>0</v>
      </c>
      <c r="DZ105" s="1080">
        <f t="shared" si="272"/>
        <v>0</v>
      </c>
      <c r="EA105" s="1080">
        <f t="shared" si="272"/>
        <v>0</v>
      </c>
      <c r="EB105" s="1080">
        <f t="shared" si="272"/>
        <v>0</v>
      </c>
      <c r="EC105" s="1080">
        <f t="shared" si="272"/>
        <v>0</v>
      </c>
      <c r="ED105" s="1080">
        <f t="shared" si="272"/>
        <v>0</v>
      </c>
      <c r="EE105" s="1080">
        <f t="shared" si="272"/>
        <v>0</v>
      </c>
      <c r="EF105" s="1080">
        <f t="shared" si="272"/>
        <v>0</v>
      </c>
      <c r="EG105" s="1080">
        <f t="shared" si="272"/>
        <v>0</v>
      </c>
      <c r="EH105" s="1080">
        <f t="shared" si="272"/>
        <v>0</v>
      </c>
      <c r="EI105" s="1080">
        <f t="shared" si="272"/>
        <v>0</v>
      </c>
      <c r="EJ105" s="1080">
        <f t="shared" si="272"/>
        <v>0</v>
      </c>
      <c r="EK105" s="1080">
        <f t="shared" si="272"/>
        <v>0</v>
      </c>
      <c r="EL105" s="1081">
        <f t="shared" si="273"/>
        <v>0</v>
      </c>
    </row>
    <row r="106" spans="1:142" s="1085" customFormat="1">
      <c r="A106" s="973" t="s">
        <v>730</v>
      </c>
      <c r="B106" s="1068" t="s">
        <v>737</v>
      </c>
      <c r="C106" s="1069" t="s">
        <v>234</v>
      </c>
      <c r="D106" s="1093">
        <v>1.1399999999999999</v>
      </c>
      <c r="E106" s="1087">
        <v>1.1499999999999999</v>
      </c>
      <c r="F106" s="1088">
        <v>1.17</v>
      </c>
      <c r="G106" s="1089">
        <f t="shared" si="261"/>
        <v>1.17</v>
      </c>
      <c r="H106" s="1093">
        <f t="shared" si="261"/>
        <v>1.17</v>
      </c>
      <c r="I106" s="1087">
        <f t="shared" si="261"/>
        <v>1.17</v>
      </c>
      <c r="J106" s="1087">
        <f t="shared" si="261"/>
        <v>1.17</v>
      </c>
      <c r="K106" s="1094">
        <f t="shared" si="261"/>
        <v>1.17</v>
      </c>
      <c r="L106" s="1075"/>
      <c r="M106" s="1076">
        <v>27240</v>
      </c>
      <c r="N106" s="1077">
        <v>26340</v>
      </c>
      <c r="O106" s="1077">
        <v>46527</v>
      </c>
      <c r="P106" s="1077">
        <f>38740+24000</f>
        <v>62740</v>
      </c>
      <c r="Q106" s="1077">
        <v>75000</v>
      </c>
      <c r="R106" s="1077">
        <v>30000</v>
      </c>
      <c r="S106" s="1077">
        <v>60000</v>
      </c>
      <c r="T106" s="1077">
        <v>60000</v>
      </c>
      <c r="U106" s="1077">
        <v>30000</v>
      </c>
      <c r="V106" s="1077">
        <v>45000</v>
      </c>
      <c r="W106" s="1077">
        <v>52000</v>
      </c>
      <c r="X106" s="1077">
        <v>47000</v>
      </c>
      <c r="Y106" s="1078">
        <f t="shared" si="262"/>
        <v>561847</v>
      </c>
      <c r="Z106" s="1079">
        <v>31053.599999999999</v>
      </c>
      <c r="AA106" s="1080">
        <v>30027.599999999999</v>
      </c>
      <c r="AB106" s="1080">
        <v>53040.78</v>
      </c>
      <c r="AC106" s="1080">
        <f t="shared" si="284"/>
        <v>72151</v>
      </c>
      <c r="AD106" s="1080">
        <f>Q106*$E106+1684.65</f>
        <v>87934.65</v>
      </c>
      <c r="AE106" s="1080">
        <f t="shared" si="285"/>
        <v>34500</v>
      </c>
      <c r="AF106" s="1080">
        <f t="shared" si="275"/>
        <v>70200</v>
      </c>
      <c r="AG106" s="1080">
        <f t="shared" si="276"/>
        <v>70200</v>
      </c>
      <c r="AH106" s="1080">
        <f t="shared" si="277"/>
        <v>35100</v>
      </c>
      <c r="AI106" s="1080">
        <f t="shared" si="278"/>
        <v>52650</v>
      </c>
      <c r="AJ106" s="1080">
        <f t="shared" si="279"/>
        <v>60839.999999999993</v>
      </c>
      <c r="AK106" s="1080">
        <f t="shared" si="280"/>
        <v>54990</v>
      </c>
      <c r="AL106" s="1081">
        <f t="shared" si="263"/>
        <v>652687.63</v>
      </c>
      <c r="AM106" s="1076">
        <v>48000</v>
      </c>
      <c r="AN106" s="1077">
        <v>60000</v>
      </c>
      <c r="AO106" s="1077">
        <v>44000</v>
      </c>
      <c r="AP106" s="1077">
        <v>60000</v>
      </c>
      <c r="AQ106" s="1077">
        <v>60000</v>
      </c>
      <c r="AR106" s="1077">
        <v>45000</v>
      </c>
      <c r="AS106" s="1077">
        <v>44000</v>
      </c>
      <c r="AT106" s="1077">
        <v>46000</v>
      </c>
      <c r="AU106" s="1077">
        <v>36000</v>
      </c>
      <c r="AV106" s="1077">
        <v>63000</v>
      </c>
      <c r="AW106" s="1077">
        <v>39000</v>
      </c>
      <c r="AX106" s="1077">
        <v>38000</v>
      </c>
      <c r="AY106" s="1078">
        <f t="shared" si="213"/>
        <v>583000</v>
      </c>
      <c r="AZ106" s="1079">
        <f t="shared" si="264"/>
        <v>56160</v>
      </c>
      <c r="BA106" s="1080">
        <f t="shared" si="264"/>
        <v>70200</v>
      </c>
      <c r="BB106" s="1080">
        <f t="shared" si="264"/>
        <v>51480</v>
      </c>
      <c r="BC106" s="1080">
        <f t="shared" si="264"/>
        <v>70200</v>
      </c>
      <c r="BD106" s="1080">
        <f t="shared" si="264"/>
        <v>70200</v>
      </c>
      <c r="BE106" s="1080">
        <f t="shared" si="264"/>
        <v>52650</v>
      </c>
      <c r="BF106" s="1080">
        <f t="shared" si="264"/>
        <v>51480</v>
      </c>
      <c r="BG106" s="1080">
        <f t="shared" si="264"/>
        <v>53820</v>
      </c>
      <c r="BH106" s="1080">
        <f t="shared" si="264"/>
        <v>42120</v>
      </c>
      <c r="BI106" s="1080">
        <f t="shared" si="264"/>
        <v>73710</v>
      </c>
      <c r="BJ106" s="1080">
        <f t="shared" si="264"/>
        <v>45630</v>
      </c>
      <c r="BK106" s="1080">
        <f t="shared" si="264"/>
        <v>44460</v>
      </c>
      <c r="BL106" s="1081">
        <f t="shared" si="265"/>
        <v>682110</v>
      </c>
      <c r="BM106" s="1082">
        <f>600483/12</f>
        <v>50040.25</v>
      </c>
      <c r="BN106" s="1077">
        <f t="shared" si="288"/>
        <v>50040.25</v>
      </c>
      <c r="BO106" s="1077">
        <f t="shared" si="288"/>
        <v>50040.25</v>
      </c>
      <c r="BP106" s="1077">
        <f t="shared" si="288"/>
        <v>50040.25</v>
      </c>
      <c r="BQ106" s="1077">
        <f t="shared" si="288"/>
        <v>50040.25</v>
      </c>
      <c r="BR106" s="1077">
        <f t="shared" si="288"/>
        <v>50040.25</v>
      </c>
      <c r="BS106" s="1077">
        <f t="shared" si="288"/>
        <v>50040.25</v>
      </c>
      <c r="BT106" s="1077">
        <f t="shared" si="288"/>
        <v>50040.25</v>
      </c>
      <c r="BU106" s="1077">
        <f t="shared" si="288"/>
        <v>50040.25</v>
      </c>
      <c r="BV106" s="1077">
        <f t="shared" si="288"/>
        <v>50040.25</v>
      </c>
      <c r="BW106" s="1077">
        <f t="shared" si="288"/>
        <v>50040.25</v>
      </c>
      <c r="BX106" s="1077">
        <f t="shared" si="288"/>
        <v>50040.25</v>
      </c>
      <c r="BY106" s="1078">
        <f t="shared" si="215"/>
        <v>600483</v>
      </c>
      <c r="BZ106" s="1083">
        <f t="shared" si="266"/>
        <v>58547.092499999999</v>
      </c>
      <c r="CA106" s="1080">
        <f t="shared" si="266"/>
        <v>58547.092499999999</v>
      </c>
      <c r="CB106" s="1080">
        <f t="shared" si="266"/>
        <v>58547.092499999999</v>
      </c>
      <c r="CC106" s="1080">
        <f t="shared" si="266"/>
        <v>58547.092499999999</v>
      </c>
      <c r="CD106" s="1080">
        <f t="shared" si="266"/>
        <v>58547.092499999999</v>
      </c>
      <c r="CE106" s="1080">
        <f t="shared" si="266"/>
        <v>58547.092499999999</v>
      </c>
      <c r="CF106" s="1080">
        <f t="shared" si="266"/>
        <v>58547.092499999999</v>
      </c>
      <c r="CG106" s="1080">
        <f t="shared" si="266"/>
        <v>58547.092499999999</v>
      </c>
      <c r="CH106" s="1080">
        <f t="shared" si="266"/>
        <v>58547.092499999999</v>
      </c>
      <c r="CI106" s="1080">
        <f t="shared" si="266"/>
        <v>58547.092499999999</v>
      </c>
      <c r="CJ106" s="1080">
        <f t="shared" si="266"/>
        <v>58547.092499999999</v>
      </c>
      <c r="CK106" s="1080">
        <f t="shared" si="266"/>
        <v>58547.092499999999</v>
      </c>
      <c r="CL106" s="1084">
        <f t="shared" si="267"/>
        <v>702565.11000000022</v>
      </c>
      <c r="CM106" s="1082"/>
      <c r="CN106" s="1077"/>
      <c r="CO106" s="1077"/>
      <c r="CP106" s="1077"/>
      <c r="CQ106" s="1077"/>
      <c r="CR106" s="1077"/>
      <c r="CS106" s="1077"/>
      <c r="CT106" s="1077"/>
      <c r="CU106" s="1077"/>
      <c r="CV106" s="1077"/>
      <c r="CW106" s="1077"/>
      <c r="CX106" s="1077"/>
      <c r="CY106" s="1078">
        <f t="shared" si="216"/>
        <v>0</v>
      </c>
      <c r="CZ106" s="1079">
        <f t="shared" si="269"/>
        <v>0</v>
      </c>
      <c r="DA106" s="1080">
        <f t="shared" si="269"/>
        <v>0</v>
      </c>
      <c r="DB106" s="1080">
        <f t="shared" si="269"/>
        <v>0</v>
      </c>
      <c r="DC106" s="1080">
        <f t="shared" si="269"/>
        <v>0</v>
      </c>
      <c r="DD106" s="1080">
        <f t="shared" si="269"/>
        <v>0</v>
      </c>
      <c r="DE106" s="1080">
        <f t="shared" si="269"/>
        <v>0</v>
      </c>
      <c r="DF106" s="1080">
        <f t="shared" si="269"/>
        <v>0</v>
      </c>
      <c r="DG106" s="1080">
        <f t="shared" si="269"/>
        <v>0</v>
      </c>
      <c r="DH106" s="1080">
        <f t="shared" si="269"/>
        <v>0</v>
      </c>
      <c r="DI106" s="1080">
        <f t="shared" si="269"/>
        <v>0</v>
      </c>
      <c r="DJ106" s="1080">
        <f t="shared" si="269"/>
        <v>0</v>
      </c>
      <c r="DK106" s="1080">
        <f t="shared" si="269"/>
        <v>0</v>
      </c>
      <c r="DL106" s="1081">
        <f t="shared" si="270"/>
        <v>0</v>
      </c>
      <c r="DM106" s="1076"/>
      <c r="DN106" s="1077"/>
      <c r="DO106" s="1077"/>
      <c r="DP106" s="1077"/>
      <c r="DQ106" s="1077"/>
      <c r="DR106" s="1077"/>
      <c r="DS106" s="1077"/>
      <c r="DT106" s="1077"/>
      <c r="DU106" s="1077"/>
      <c r="DV106" s="1077"/>
      <c r="DW106" s="1077"/>
      <c r="DX106" s="1077"/>
      <c r="DY106" s="1078">
        <f t="shared" si="217"/>
        <v>0</v>
      </c>
      <c r="DZ106" s="1080">
        <f t="shared" si="272"/>
        <v>0</v>
      </c>
      <c r="EA106" s="1080">
        <f t="shared" si="272"/>
        <v>0</v>
      </c>
      <c r="EB106" s="1080">
        <f t="shared" si="272"/>
        <v>0</v>
      </c>
      <c r="EC106" s="1080">
        <f t="shared" si="272"/>
        <v>0</v>
      </c>
      <c r="ED106" s="1080">
        <f t="shared" si="272"/>
        <v>0</v>
      </c>
      <c r="EE106" s="1080">
        <f t="shared" si="272"/>
        <v>0</v>
      </c>
      <c r="EF106" s="1080">
        <f t="shared" si="272"/>
        <v>0</v>
      </c>
      <c r="EG106" s="1080">
        <f t="shared" si="272"/>
        <v>0</v>
      </c>
      <c r="EH106" s="1080">
        <f t="shared" si="272"/>
        <v>0</v>
      </c>
      <c r="EI106" s="1080">
        <f t="shared" si="272"/>
        <v>0</v>
      </c>
      <c r="EJ106" s="1080">
        <f t="shared" si="272"/>
        <v>0</v>
      </c>
      <c r="EK106" s="1080">
        <f t="shared" si="272"/>
        <v>0</v>
      </c>
      <c r="EL106" s="1081">
        <f t="shared" si="273"/>
        <v>0</v>
      </c>
    </row>
    <row r="107" spans="1:142" s="1085" customFormat="1">
      <c r="A107" s="973" t="s">
        <v>730</v>
      </c>
      <c r="B107" s="1068" t="s">
        <v>738</v>
      </c>
      <c r="C107" s="1069" t="s">
        <v>733</v>
      </c>
      <c r="D107" s="1086">
        <v>0.57999999999999996</v>
      </c>
      <c r="E107" s="1087">
        <f>D107</f>
        <v>0.57999999999999996</v>
      </c>
      <c r="F107" s="1088">
        <v>0.56999999999999995</v>
      </c>
      <c r="G107" s="1089">
        <f t="shared" si="261"/>
        <v>0.56999999999999995</v>
      </c>
      <c r="H107" s="1086">
        <f t="shared" si="261"/>
        <v>0.56999999999999995</v>
      </c>
      <c r="I107" s="1090">
        <f t="shared" si="261"/>
        <v>0.56999999999999995</v>
      </c>
      <c r="J107" s="1090">
        <f t="shared" si="261"/>
        <v>0.56999999999999995</v>
      </c>
      <c r="K107" s="1091">
        <f t="shared" si="261"/>
        <v>0.56999999999999995</v>
      </c>
      <c r="L107" s="1075"/>
      <c r="M107" s="1076"/>
      <c r="N107" s="1077"/>
      <c r="O107" s="1077">
        <v>0</v>
      </c>
      <c r="P107" s="1077">
        <v>0</v>
      </c>
      <c r="Q107" s="1077">
        <v>0</v>
      </c>
      <c r="R107" s="1077">
        <v>0</v>
      </c>
      <c r="S107" s="1077">
        <v>0</v>
      </c>
      <c r="T107" s="1077">
        <v>0</v>
      </c>
      <c r="U107" s="1077">
        <v>0</v>
      </c>
      <c r="V107" s="1077">
        <v>0</v>
      </c>
      <c r="W107" s="1077">
        <v>0</v>
      </c>
      <c r="X107" s="1077">
        <v>0</v>
      </c>
      <c r="Y107" s="1078">
        <f t="shared" si="262"/>
        <v>0</v>
      </c>
      <c r="Z107" s="1079">
        <v>0</v>
      </c>
      <c r="AA107" s="1080">
        <v>0</v>
      </c>
      <c r="AB107" s="1080">
        <v>0</v>
      </c>
      <c r="AC107" s="1080">
        <f t="shared" si="284"/>
        <v>0</v>
      </c>
      <c r="AD107" s="1080">
        <f t="shared" si="274"/>
        <v>0</v>
      </c>
      <c r="AE107" s="1080">
        <f t="shared" si="285"/>
        <v>0</v>
      </c>
      <c r="AF107" s="1080">
        <f t="shared" si="275"/>
        <v>0</v>
      </c>
      <c r="AG107" s="1080">
        <f t="shared" si="276"/>
        <v>0</v>
      </c>
      <c r="AH107" s="1080">
        <f t="shared" si="277"/>
        <v>0</v>
      </c>
      <c r="AI107" s="1080">
        <f t="shared" si="278"/>
        <v>0</v>
      </c>
      <c r="AJ107" s="1080">
        <f t="shared" si="279"/>
        <v>0</v>
      </c>
      <c r="AK107" s="1080">
        <f t="shared" si="280"/>
        <v>0</v>
      </c>
      <c r="AL107" s="1081">
        <f t="shared" si="263"/>
        <v>0</v>
      </c>
      <c r="AM107" s="1092"/>
      <c r="AN107" s="1095"/>
      <c r="AO107" s="1095"/>
      <c r="AP107" s="1095"/>
      <c r="AQ107" s="1095"/>
      <c r="AR107" s="1095"/>
      <c r="AS107" s="1095"/>
      <c r="AT107" s="1095"/>
      <c r="AU107" s="1095"/>
      <c r="AV107" s="1095"/>
      <c r="AW107" s="1095"/>
      <c r="AX107" s="1095"/>
      <c r="AY107" s="1078">
        <f t="shared" si="213"/>
        <v>0</v>
      </c>
      <c r="AZ107" s="1079">
        <f t="shared" si="264"/>
        <v>0</v>
      </c>
      <c r="BA107" s="1080">
        <f t="shared" si="264"/>
        <v>0</v>
      </c>
      <c r="BB107" s="1080">
        <f t="shared" si="264"/>
        <v>0</v>
      </c>
      <c r="BC107" s="1080">
        <f t="shared" si="264"/>
        <v>0</v>
      </c>
      <c r="BD107" s="1080">
        <f t="shared" si="264"/>
        <v>0</v>
      </c>
      <c r="BE107" s="1080">
        <f t="shared" si="264"/>
        <v>0</v>
      </c>
      <c r="BF107" s="1080">
        <f t="shared" si="264"/>
        <v>0</v>
      </c>
      <c r="BG107" s="1080">
        <f t="shared" si="264"/>
        <v>0</v>
      </c>
      <c r="BH107" s="1080">
        <f t="shared" si="264"/>
        <v>0</v>
      </c>
      <c r="BI107" s="1080">
        <f t="shared" si="264"/>
        <v>0</v>
      </c>
      <c r="BJ107" s="1080">
        <f t="shared" si="264"/>
        <v>0</v>
      </c>
      <c r="BK107" s="1080">
        <f t="shared" si="264"/>
        <v>0</v>
      </c>
      <c r="BL107" s="1081">
        <f t="shared" si="265"/>
        <v>0</v>
      </c>
      <c r="BM107" s="1082">
        <f>600483/12</f>
        <v>50040.25</v>
      </c>
      <c r="BN107" s="1077">
        <f t="shared" si="288"/>
        <v>50040.25</v>
      </c>
      <c r="BO107" s="1077">
        <f t="shared" si="288"/>
        <v>50040.25</v>
      </c>
      <c r="BP107" s="1077">
        <f t="shared" si="288"/>
        <v>50040.25</v>
      </c>
      <c r="BQ107" s="1077">
        <f t="shared" si="288"/>
        <v>50040.25</v>
      </c>
      <c r="BR107" s="1077">
        <f t="shared" si="288"/>
        <v>50040.25</v>
      </c>
      <c r="BS107" s="1077">
        <f t="shared" si="288"/>
        <v>50040.25</v>
      </c>
      <c r="BT107" s="1077">
        <f t="shared" si="288"/>
        <v>50040.25</v>
      </c>
      <c r="BU107" s="1077">
        <f t="shared" si="288"/>
        <v>50040.25</v>
      </c>
      <c r="BV107" s="1077">
        <f t="shared" si="288"/>
        <v>50040.25</v>
      </c>
      <c r="BW107" s="1077">
        <f t="shared" si="288"/>
        <v>50040.25</v>
      </c>
      <c r="BX107" s="1077">
        <f t="shared" si="288"/>
        <v>50040.25</v>
      </c>
      <c r="BY107" s="1078">
        <f t="shared" si="215"/>
        <v>600483</v>
      </c>
      <c r="BZ107" s="1083">
        <f t="shared" si="266"/>
        <v>28522.942499999997</v>
      </c>
      <c r="CA107" s="1080">
        <f t="shared" si="266"/>
        <v>28522.942499999997</v>
      </c>
      <c r="CB107" s="1080">
        <f t="shared" si="266"/>
        <v>28522.942499999997</v>
      </c>
      <c r="CC107" s="1080">
        <f t="shared" si="266"/>
        <v>28522.942499999997</v>
      </c>
      <c r="CD107" s="1080">
        <f t="shared" si="266"/>
        <v>28522.942499999997</v>
      </c>
      <c r="CE107" s="1080">
        <f t="shared" si="266"/>
        <v>28522.942499999997</v>
      </c>
      <c r="CF107" s="1080">
        <f t="shared" si="266"/>
        <v>28522.942499999997</v>
      </c>
      <c r="CG107" s="1080">
        <f t="shared" si="266"/>
        <v>28522.942499999997</v>
      </c>
      <c r="CH107" s="1080">
        <f t="shared" si="266"/>
        <v>28522.942499999997</v>
      </c>
      <c r="CI107" s="1080">
        <f t="shared" si="266"/>
        <v>28522.942499999997</v>
      </c>
      <c r="CJ107" s="1080">
        <f t="shared" si="266"/>
        <v>28522.942499999997</v>
      </c>
      <c r="CK107" s="1080">
        <f t="shared" si="266"/>
        <v>28522.942499999997</v>
      </c>
      <c r="CL107" s="1084">
        <f t="shared" si="267"/>
        <v>342275.31</v>
      </c>
      <c r="CM107" s="1082">
        <f>400000/12</f>
        <v>33333.333333333336</v>
      </c>
      <c r="CN107" s="1077">
        <f t="shared" ref="CN107:CX107" si="289">400000/12</f>
        <v>33333.333333333336</v>
      </c>
      <c r="CO107" s="1077">
        <f t="shared" si="289"/>
        <v>33333.333333333336</v>
      </c>
      <c r="CP107" s="1077">
        <f t="shared" si="289"/>
        <v>33333.333333333336</v>
      </c>
      <c r="CQ107" s="1077">
        <f t="shared" si="289"/>
        <v>33333.333333333336</v>
      </c>
      <c r="CR107" s="1077">
        <f t="shared" si="289"/>
        <v>33333.333333333336</v>
      </c>
      <c r="CS107" s="1077">
        <f t="shared" si="289"/>
        <v>33333.333333333336</v>
      </c>
      <c r="CT107" s="1077">
        <f t="shared" si="289"/>
        <v>33333.333333333336</v>
      </c>
      <c r="CU107" s="1077">
        <f t="shared" si="289"/>
        <v>33333.333333333336</v>
      </c>
      <c r="CV107" s="1077">
        <f t="shared" si="289"/>
        <v>33333.333333333336</v>
      </c>
      <c r="CW107" s="1077">
        <f t="shared" si="289"/>
        <v>33333.333333333336</v>
      </c>
      <c r="CX107" s="1077">
        <f t="shared" si="289"/>
        <v>33333.333333333336</v>
      </c>
      <c r="CY107" s="1078">
        <f t="shared" si="216"/>
        <v>399999.99999999994</v>
      </c>
      <c r="CZ107" s="1079">
        <f t="shared" si="269"/>
        <v>19000</v>
      </c>
      <c r="DA107" s="1080">
        <f t="shared" si="269"/>
        <v>19000</v>
      </c>
      <c r="DB107" s="1080">
        <f t="shared" si="269"/>
        <v>19000</v>
      </c>
      <c r="DC107" s="1080">
        <f t="shared" si="269"/>
        <v>19000</v>
      </c>
      <c r="DD107" s="1080">
        <f t="shared" si="269"/>
        <v>19000</v>
      </c>
      <c r="DE107" s="1080">
        <f t="shared" si="269"/>
        <v>19000</v>
      </c>
      <c r="DF107" s="1080">
        <f t="shared" si="269"/>
        <v>19000</v>
      </c>
      <c r="DG107" s="1080">
        <f t="shared" si="269"/>
        <v>19000</v>
      </c>
      <c r="DH107" s="1080">
        <f t="shared" si="269"/>
        <v>19000</v>
      </c>
      <c r="DI107" s="1080">
        <f t="shared" si="269"/>
        <v>19000</v>
      </c>
      <c r="DJ107" s="1080">
        <f t="shared" si="269"/>
        <v>19000</v>
      </c>
      <c r="DK107" s="1080">
        <f t="shared" si="269"/>
        <v>19000</v>
      </c>
      <c r="DL107" s="1081">
        <f t="shared" si="270"/>
        <v>228000</v>
      </c>
      <c r="DM107" s="1076">
        <f>400000/12</f>
        <v>33333.333333333336</v>
      </c>
      <c r="DN107" s="1077">
        <f t="shared" ref="DN107:DX107" si="290">400000/12</f>
        <v>33333.333333333336</v>
      </c>
      <c r="DO107" s="1077">
        <f t="shared" si="290"/>
        <v>33333.333333333336</v>
      </c>
      <c r="DP107" s="1077">
        <f t="shared" si="290"/>
        <v>33333.333333333336</v>
      </c>
      <c r="DQ107" s="1077">
        <f t="shared" si="290"/>
        <v>33333.333333333336</v>
      </c>
      <c r="DR107" s="1077">
        <f t="shared" si="290"/>
        <v>33333.333333333336</v>
      </c>
      <c r="DS107" s="1077">
        <f t="shared" si="290"/>
        <v>33333.333333333336</v>
      </c>
      <c r="DT107" s="1077">
        <f t="shared" si="290"/>
        <v>33333.333333333336</v>
      </c>
      <c r="DU107" s="1077">
        <f t="shared" si="290"/>
        <v>33333.333333333336</v>
      </c>
      <c r="DV107" s="1077">
        <f t="shared" si="290"/>
        <v>33333.333333333336</v>
      </c>
      <c r="DW107" s="1077">
        <f t="shared" si="290"/>
        <v>33333.333333333336</v>
      </c>
      <c r="DX107" s="1077">
        <f t="shared" si="290"/>
        <v>33333.333333333336</v>
      </c>
      <c r="DY107" s="1078">
        <f t="shared" si="217"/>
        <v>399999.99999999994</v>
      </c>
      <c r="DZ107" s="1080">
        <f t="shared" si="272"/>
        <v>19000</v>
      </c>
      <c r="EA107" s="1080">
        <f t="shared" si="272"/>
        <v>19000</v>
      </c>
      <c r="EB107" s="1080">
        <f t="shared" si="272"/>
        <v>19000</v>
      </c>
      <c r="EC107" s="1080">
        <f t="shared" si="272"/>
        <v>19000</v>
      </c>
      <c r="ED107" s="1080">
        <f t="shared" si="272"/>
        <v>19000</v>
      </c>
      <c r="EE107" s="1080">
        <f t="shared" si="272"/>
        <v>19000</v>
      </c>
      <c r="EF107" s="1080">
        <f t="shared" si="272"/>
        <v>19000</v>
      </c>
      <c r="EG107" s="1080">
        <f t="shared" si="272"/>
        <v>19000</v>
      </c>
      <c r="EH107" s="1080">
        <f t="shared" si="272"/>
        <v>19000</v>
      </c>
      <c r="EI107" s="1080">
        <f t="shared" si="272"/>
        <v>19000</v>
      </c>
      <c r="EJ107" s="1080">
        <f t="shared" si="272"/>
        <v>19000</v>
      </c>
      <c r="EK107" s="1080">
        <f t="shared" si="272"/>
        <v>19000</v>
      </c>
      <c r="EL107" s="1081">
        <f t="shared" si="273"/>
        <v>228000</v>
      </c>
    </row>
    <row r="108" spans="1:142" s="1085" customFormat="1">
      <c r="A108" s="973" t="s">
        <v>730</v>
      </c>
      <c r="B108" s="1068" t="s">
        <v>739</v>
      </c>
      <c r="C108" s="1069" t="s">
        <v>733</v>
      </c>
      <c r="D108" s="1086">
        <v>0.57999999999999996</v>
      </c>
      <c r="E108" s="1087">
        <f>D108</f>
        <v>0.57999999999999996</v>
      </c>
      <c r="F108" s="1088">
        <v>0.56999999999999995</v>
      </c>
      <c r="G108" s="1089">
        <f t="shared" si="261"/>
        <v>0.56999999999999995</v>
      </c>
      <c r="H108" s="1086">
        <f t="shared" si="261"/>
        <v>0.56999999999999995</v>
      </c>
      <c r="I108" s="1090">
        <f t="shared" si="261"/>
        <v>0.56999999999999995</v>
      </c>
      <c r="J108" s="1090">
        <f t="shared" si="261"/>
        <v>0.56999999999999995</v>
      </c>
      <c r="K108" s="1091">
        <f t="shared" si="261"/>
        <v>0.56999999999999995</v>
      </c>
      <c r="L108" s="1075"/>
      <c r="M108" s="1076"/>
      <c r="N108" s="1077"/>
      <c r="O108" s="1077">
        <v>1000</v>
      </c>
      <c r="P108" s="1077">
        <v>0</v>
      </c>
      <c r="Q108" s="1077">
        <v>0</v>
      </c>
      <c r="R108" s="1077">
        <v>0</v>
      </c>
      <c r="S108" s="1077">
        <v>0</v>
      </c>
      <c r="T108" s="1077">
        <v>0</v>
      </c>
      <c r="U108" s="1077">
        <v>0</v>
      </c>
      <c r="V108" s="1077">
        <v>0</v>
      </c>
      <c r="W108" s="1077">
        <v>1344</v>
      </c>
      <c r="X108" s="1077">
        <v>672</v>
      </c>
      <c r="Y108" s="1078">
        <f t="shared" si="262"/>
        <v>3016</v>
      </c>
      <c r="Z108" s="1079">
        <v>0</v>
      </c>
      <c r="AA108" s="1080">
        <v>0</v>
      </c>
      <c r="AB108" s="1080">
        <v>580</v>
      </c>
      <c r="AC108" s="1080">
        <f t="shared" si="284"/>
        <v>0</v>
      </c>
      <c r="AD108" s="1080">
        <f t="shared" si="274"/>
        <v>0</v>
      </c>
      <c r="AE108" s="1080">
        <f t="shared" si="285"/>
        <v>0</v>
      </c>
      <c r="AF108" s="1080">
        <f t="shared" si="275"/>
        <v>0</v>
      </c>
      <c r="AG108" s="1080">
        <f t="shared" si="276"/>
        <v>0</v>
      </c>
      <c r="AH108" s="1080">
        <f t="shared" si="277"/>
        <v>0</v>
      </c>
      <c r="AI108" s="1080">
        <f t="shared" si="278"/>
        <v>0</v>
      </c>
      <c r="AJ108" s="1080">
        <f t="shared" si="279"/>
        <v>766.07999999999993</v>
      </c>
      <c r="AK108" s="1080">
        <f t="shared" si="280"/>
        <v>383.03999999999996</v>
      </c>
      <c r="AL108" s="1081">
        <f t="shared" si="263"/>
        <v>1729.12</v>
      </c>
      <c r="AM108" s="1076">
        <v>1344</v>
      </c>
      <c r="AN108" s="1077">
        <v>672</v>
      </c>
      <c r="AO108" s="1077">
        <v>1344</v>
      </c>
      <c r="AP108" s="1077">
        <v>2016</v>
      </c>
      <c r="AQ108" s="1077">
        <v>14112</v>
      </c>
      <c r="AR108" s="1077">
        <v>14112</v>
      </c>
      <c r="AS108" s="1077">
        <v>14112</v>
      </c>
      <c r="AT108" s="1077">
        <v>14112</v>
      </c>
      <c r="AU108" s="1077">
        <v>13393</v>
      </c>
      <c r="AV108" s="1077">
        <v>0</v>
      </c>
      <c r="AW108" s="1077">
        <v>0</v>
      </c>
      <c r="AX108" s="1077">
        <v>0</v>
      </c>
      <c r="AY108" s="1078">
        <f t="shared" si="213"/>
        <v>75217</v>
      </c>
      <c r="AZ108" s="1079">
        <f t="shared" si="264"/>
        <v>766.07999999999993</v>
      </c>
      <c r="BA108" s="1080">
        <f t="shared" si="264"/>
        <v>383.03999999999996</v>
      </c>
      <c r="BB108" s="1080">
        <f t="shared" si="264"/>
        <v>766.07999999999993</v>
      </c>
      <c r="BC108" s="1080">
        <f t="shared" si="264"/>
        <v>1149.1199999999999</v>
      </c>
      <c r="BD108" s="1080">
        <f t="shared" si="264"/>
        <v>8043.8399999999992</v>
      </c>
      <c r="BE108" s="1080">
        <f t="shared" si="264"/>
        <v>8043.8399999999992</v>
      </c>
      <c r="BF108" s="1080">
        <f t="shared" si="264"/>
        <v>8043.8399999999992</v>
      </c>
      <c r="BG108" s="1080">
        <f t="shared" si="264"/>
        <v>8043.8399999999992</v>
      </c>
      <c r="BH108" s="1080">
        <f t="shared" si="264"/>
        <v>7634.0099999999993</v>
      </c>
      <c r="BI108" s="1080">
        <f t="shared" si="264"/>
        <v>0</v>
      </c>
      <c r="BJ108" s="1080">
        <f t="shared" si="264"/>
        <v>0</v>
      </c>
      <c r="BK108" s="1080">
        <f t="shared" si="264"/>
        <v>0</v>
      </c>
      <c r="BL108" s="1081">
        <f t="shared" si="265"/>
        <v>42873.69</v>
      </c>
      <c r="BM108" s="1082">
        <f>446000/12</f>
        <v>37166.666666666664</v>
      </c>
      <c r="BN108" s="1077">
        <f t="shared" ref="BN108:BX108" si="291">446000/12</f>
        <v>37166.666666666664</v>
      </c>
      <c r="BO108" s="1077">
        <f t="shared" si="291"/>
        <v>37166.666666666664</v>
      </c>
      <c r="BP108" s="1077">
        <f t="shared" si="291"/>
        <v>37166.666666666664</v>
      </c>
      <c r="BQ108" s="1077">
        <f t="shared" si="291"/>
        <v>37166.666666666664</v>
      </c>
      <c r="BR108" s="1077">
        <f t="shared" si="291"/>
        <v>37166.666666666664</v>
      </c>
      <c r="BS108" s="1077">
        <f t="shared" si="291"/>
        <v>37166.666666666664</v>
      </c>
      <c r="BT108" s="1077">
        <f t="shared" si="291"/>
        <v>37166.666666666664</v>
      </c>
      <c r="BU108" s="1077">
        <f t="shared" si="291"/>
        <v>37166.666666666664</v>
      </c>
      <c r="BV108" s="1077">
        <f t="shared" si="291"/>
        <v>37166.666666666664</v>
      </c>
      <c r="BW108" s="1077">
        <f t="shared" si="291"/>
        <v>37166.666666666664</v>
      </c>
      <c r="BX108" s="1077">
        <f t="shared" si="291"/>
        <v>37166.666666666664</v>
      </c>
      <c r="BY108" s="1078">
        <f t="shared" si="215"/>
        <v>446000.00000000006</v>
      </c>
      <c r="BZ108" s="1083">
        <f t="shared" si="266"/>
        <v>21184.999999999996</v>
      </c>
      <c r="CA108" s="1080">
        <f t="shared" si="266"/>
        <v>21184.999999999996</v>
      </c>
      <c r="CB108" s="1080">
        <f t="shared" si="266"/>
        <v>21184.999999999996</v>
      </c>
      <c r="CC108" s="1080">
        <f t="shared" si="266"/>
        <v>21184.999999999996</v>
      </c>
      <c r="CD108" s="1080">
        <f t="shared" si="266"/>
        <v>21184.999999999996</v>
      </c>
      <c r="CE108" s="1080">
        <f t="shared" si="266"/>
        <v>21184.999999999996</v>
      </c>
      <c r="CF108" s="1080">
        <f t="shared" si="266"/>
        <v>21184.999999999996</v>
      </c>
      <c r="CG108" s="1080">
        <f t="shared" si="266"/>
        <v>21184.999999999996</v>
      </c>
      <c r="CH108" s="1080">
        <f t="shared" si="266"/>
        <v>21184.999999999996</v>
      </c>
      <c r="CI108" s="1080">
        <f t="shared" si="266"/>
        <v>21184.999999999996</v>
      </c>
      <c r="CJ108" s="1080">
        <f t="shared" si="266"/>
        <v>21184.999999999996</v>
      </c>
      <c r="CK108" s="1080">
        <f t="shared" si="266"/>
        <v>21184.999999999996</v>
      </c>
      <c r="CL108" s="1084">
        <f t="shared" si="267"/>
        <v>254219.99999999997</v>
      </c>
      <c r="CM108" s="1082">
        <f>245080/12</f>
        <v>20423.333333333332</v>
      </c>
      <c r="CN108" s="1077">
        <f t="shared" ref="CN108:CX108" si="292">245080/12</f>
        <v>20423.333333333332</v>
      </c>
      <c r="CO108" s="1077">
        <f t="shared" si="292"/>
        <v>20423.333333333332</v>
      </c>
      <c r="CP108" s="1077">
        <f t="shared" si="292"/>
        <v>20423.333333333332</v>
      </c>
      <c r="CQ108" s="1077">
        <f t="shared" si="292"/>
        <v>20423.333333333332</v>
      </c>
      <c r="CR108" s="1077">
        <f t="shared" si="292"/>
        <v>20423.333333333332</v>
      </c>
      <c r="CS108" s="1077">
        <f t="shared" si="292"/>
        <v>20423.333333333332</v>
      </c>
      <c r="CT108" s="1077">
        <f t="shared" si="292"/>
        <v>20423.333333333332</v>
      </c>
      <c r="CU108" s="1077">
        <f t="shared" si="292"/>
        <v>20423.333333333332</v>
      </c>
      <c r="CV108" s="1077">
        <f t="shared" si="292"/>
        <v>20423.333333333332</v>
      </c>
      <c r="CW108" s="1077">
        <f t="shared" si="292"/>
        <v>20423.333333333332</v>
      </c>
      <c r="CX108" s="1077">
        <f t="shared" si="292"/>
        <v>20423.333333333332</v>
      </c>
      <c r="CY108" s="1078">
        <f t="shared" si="216"/>
        <v>245080.00000000003</v>
      </c>
      <c r="CZ108" s="1079">
        <f t="shared" si="269"/>
        <v>11641.299999999997</v>
      </c>
      <c r="DA108" s="1080">
        <f t="shared" si="269"/>
        <v>11641.299999999997</v>
      </c>
      <c r="DB108" s="1080">
        <f t="shared" si="269"/>
        <v>11641.299999999997</v>
      </c>
      <c r="DC108" s="1080">
        <f t="shared" si="269"/>
        <v>11641.299999999997</v>
      </c>
      <c r="DD108" s="1080">
        <f t="shared" si="269"/>
        <v>11641.299999999997</v>
      </c>
      <c r="DE108" s="1080">
        <f t="shared" si="269"/>
        <v>11641.299999999997</v>
      </c>
      <c r="DF108" s="1080">
        <f t="shared" si="269"/>
        <v>11641.299999999997</v>
      </c>
      <c r="DG108" s="1080">
        <f t="shared" si="269"/>
        <v>11641.299999999997</v>
      </c>
      <c r="DH108" s="1080">
        <f t="shared" si="269"/>
        <v>11641.299999999997</v>
      </c>
      <c r="DI108" s="1080">
        <f t="shared" si="269"/>
        <v>11641.299999999997</v>
      </c>
      <c r="DJ108" s="1080">
        <f t="shared" si="269"/>
        <v>11641.299999999997</v>
      </c>
      <c r="DK108" s="1080">
        <f t="shared" si="269"/>
        <v>11641.299999999997</v>
      </c>
      <c r="DL108" s="1081">
        <f t="shared" si="270"/>
        <v>139695.6</v>
      </c>
      <c r="DM108" s="1076">
        <f>375076/12</f>
        <v>31256.333333333332</v>
      </c>
      <c r="DN108" s="1077">
        <f t="shared" ref="DN108:DX108" si="293">375076/12</f>
        <v>31256.333333333332</v>
      </c>
      <c r="DO108" s="1077">
        <f t="shared" si="293"/>
        <v>31256.333333333332</v>
      </c>
      <c r="DP108" s="1077">
        <f t="shared" si="293"/>
        <v>31256.333333333332</v>
      </c>
      <c r="DQ108" s="1077">
        <f t="shared" si="293"/>
        <v>31256.333333333332</v>
      </c>
      <c r="DR108" s="1077">
        <f t="shared" si="293"/>
        <v>31256.333333333332</v>
      </c>
      <c r="DS108" s="1077">
        <f t="shared" si="293"/>
        <v>31256.333333333332</v>
      </c>
      <c r="DT108" s="1077">
        <f t="shared" si="293"/>
        <v>31256.333333333332</v>
      </c>
      <c r="DU108" s="1077">
        <f t="shared" si="293"/>
        <v>31256.333333333332</v>
      </c>
      <c r="DV108" s="1077">
        <f t="shared" si="293"/>
        <v>31256.333333333332</v>
      </c>
      <c r="DW108" s="1077">
        <f t="shared" si="293"/>
        <v>31256.333333333332</v>
      </c>
      <c r="DX108" s="1077">
        <f t="shared" si="293"/>
        <v>31256.333333333332</v>
      </c>
      <c r="DY108" s="1078">
        <f t="shared" si="217"/>
        <v>375075.99999999994</v>
      </c>
      <c r="DZ108" s="1080">
        <f t="shared" si="272"/>
        <v>17816.109999999997</v>
      </c>
      <c r="EA108" s="1080">
        <f t="shared" si="272"/>
        <v>17816.109999999997</v>
      </c>
      <c r="EB108" s="1080">
        <f t="shared" si="272"/>
        <v>17816.109999999997</v>
      </c>
      <c r="EC108" s="1080">
        <f t="shared" si="272"/>
        <v>17816.109999999997</v>
      </c>
      <c r="ED108" s="1080">
        <f t="shared" si="272"/>
        <v>17816.109999999997</v>
      </c>
      <c r="EE108" s="1080">
        <f t="shared" si="272"/>
        <v>17816.109999999997</v>
      </c>
      <c r="EF108" s="1080">
        <f t="shared" si="272"/>
        <v>17816.109999999997</v>
      </c>
      <c r="EG108" s="1080">
        <f t="shared" si="272"/>
        <v>17816.109999999997</v>
      </c>
      <c r="EH108" s="1080">
        <f t="shared" si="272"/>
        <v>17816.109999999997</v>
      </c>
      <c r="EI108" s="1080">
        <f t="shared" si="272"/>
        <v>17816.109999999997</v>
      </c>
      <c r="EJ108" s="1080">
        <f t="shared" si="272"/>
        <v>17816.109999999997</v>
      </c>
      <c r="EK108" s="1080">
        <f t="shared" si="272"/>
        <v>17816.109999999997</v>
      </c>
      <c r="EL108" s="1081">
        <f t="shared" si="273"/>
        <v>213793.31999999992</v>
      </c>
    </row>
    <row r="109" spans="1:142" s="1085" customFormat="1">
      <c r="A109" s="973" t="s">
        <v>730</v>
      </c>
      <c r="B109" s="1068" t="s">
        <v>268</v>
      </c>
      <c r="C109" s="1069" t="s">
        <v>269</v>
      </c>
      <c r="D109" s="1086">
        <v>1.1200000000000001</v>
      </c>
      <c r="E109" s="1087">
        <f>D109</f>
        <v>1.1200000000000001</v>
      </c>
      <c r="F109" s="1088">
        <v>1.1499999999999999</v>
      </c>
      <c r="G109" s="1089">
        <f t="shared" si="261"/>
        <v>1.1499999999999999</v>
      </c>
      <c r="H109" s="1086">
        <f t="shared" si="261"/>
        <v>1.1499999999999999</v>
      </c>
      <c r="I109" s="1090">
        <f t="shared" si="261"/>
        <v>1.1499999999999999</v>
      </c>
      <c r="J109" s="1090">
        <f t="shared" si="261"/>
        <v>1.1499999999999999</v>
      </c>
      <c r="K109" s="1091">
        <f t="shared" si="261"/>
        <v>1.1499999999999999</v>
      </c>
      <c r="L109" s="1075"/>
      <c r="M109" s="1076">
        <v>28000</v>
      </c>
      <c r="N109" s="1077">
        <v>12000</v>
      </c>
      <c r="O109" s="1077">
        <v>44000</v>
      </c>
      <c r="P109" s="1077">
        <v>47000</v>
      </c>
      <c r="Q109" s="1077">
        <v>65000</v>
      </c>
      <c r="R109" s="1077">
        <v>45000</v>
      </c>
      <c r="S109" s="1077">
        <v>60000</v>
      </c>
      <c r="T109" s="1077">
        <v>60000</v>
      </c>
      <c r="U109" s="1077">
        <v>65000</v>
      </c>
      <c r="V109" s="1077">
        <v>64000</v>
      </c>
      <c r="W109" s="1077">
        <v>75000</v>
      </c>
      <c r="X109" s="1077">
        <v>70000</v>
      </c>
      <c r="Y109" s="1078">
        <f t="shared" si="262"/>
        <v>635000</v>
      </c>
      <c r="Z109" s="1079">
        <v>31360.000000000004</v>
      </c>
      <c r="AA109" s="1080">
        <v>13440.000000000002</v>
      </c>
      <c r="AB109" s="1080">
        <v>49280.000000000007</v>
      </c>
      <c r="AC109" s="1080">
        <f t="shared" si="284"/>
        <v>52640.000000000007</v>
      </c>
      <c r="AD109" s="1080">
        <f>Q109*$E109+1956.2</f>
        <v>74756.2</v>
      </c>
      <c r="AE109" s="1080">
        <f t="shared" si="285"/>
        <v>50400.000000000007</v>
      </c>
      <c r="AF109" s="1080">
        <f t="shared" si="275"/>
        <v>69000</v>
      </c>
      <c r="AG109" s="1080">
        <f t="shared" si="276"/>
        <v>69000</v>
      </c>
      <c r="AH109" s="1080">
        <f t="shared" si="277"/>
        <v>74750</v>
      </c>
      <c r="AI109" s="1080">
        <f t="shared" si="278"/>
        <v>73600</v>
      </c>
      <c r="AJ109" s="1080">
        <f t="shared" si="279"/>
        <v>86250</v>
      </c>
      <c r="AK109" s="1080">
        <f t="shared" si="280"/>
        <v>80500</v>
      </c>
      <c r="AL109" s="1081">
        <f t="shared" si="263"/>
        <v>724976.2</v>
      </c>
      <c r="AM109" s="1076">
        <v>80000</v>
      </c>
      <c r="AN109" s="1077">
        <v>92000</v>
      </c>
      <c r="AO109" s="1077">
        <v>78000</v>
      </c>
      <c r="AP109" s="1077">
        <v>90000</v>
      </c>
      <c r="AQ109" s="1077">
        <v>74000</v>
      </c>
      <c r="AR109" s="1077">
        <v>76000</v>
      </c>
      <c r="AS109" s="1077">
        <v>90000</v>
      </c>
      <c r="AT109" s="1077">
        <v>76000</v>
      </c>
      <c r="AU109" s="1077">
        <v>68000</v>
      </c>
      <c r="AV109" s="1077">
        <v>60000</v>
      </c>
      <c r="AW109" s="1077">
        <v>50000</v>
      </c>
      <c r="AX109" s="1077">
        <v>56000</v>
      </c>
      <c r="AY109" s="1078">
        <f t="shared" si="213"/>
        <v>890000</v>
      </c>
      <c r="AZ109" s="1079">
        <f t="shared" si="264"/>
        <v>92000</v>
      </c>
      <c r="BA109" s="1080">
        <f t="shared" si="264"/>
        <v>105799.99999999999</v>
      </c>
      <c r="BB109" s="1080">
        <f t="shared" si="264"/>
        <v>89700</v>
      </c>
      <c r="BC109" s="1080">
        <f t="shared" si="264"/>
        <v>103499.99999999999</v>
      </c>
      <c r="BD109" s="1080">
        <f t="shared" si="264"/>
        <v>85100</v>
      </c>
      <c r="BE109" s="1080">
        <f t="shared" si="264"/>
        <v>87400</v>
      </c>
      <c r="BF109" s="1080">
        <f t="shared" si="264"/>
        <v>103499.99999999999</v>
      </c>
      <c r="BG109" s="1080">
        <f t="shared" si="264"/>
        <v>87400</v>
      </c>
      <c r="BH109" s="1080">
        <f t="shared" si="264"/>
        <v>78200</v>
      </c>
      <c r="BI109" s="1080">
        <f t="shared" si="264"/>
        <v>69000</v>
      </c>
      <c r="BJ109" s="1080">
        <f t="shared" si="264"/>
        <v>57499.999999999993</v>
      </c>
      <c r="BK109" s="1080">
        <f t="shared" si="264"/>
        <v>64399.999999999993</v>
      </c>
      <c r="BL109" s="1081">
        <f t="shared" si="265"/>
        <v>1023500</v>
      </c>
      <c r="BM109" s="1082">
        <f>562087*55%/12</f>
        <v>25762.320833333335</v>
      </c>
      <c r="BN109" s="1077">
        <v>12000</v>
      </c>
      <c r="BO109" s="1077">
        <v>25000</v>
      </c>
      <c r="BP109" s="1077">
        <v>16000</v>
      </c>
      <c r="BQ109" s="1077">
        <v>16000</v>
      </c>
      <c r="BR109" s="1077">
        <v>16000</v>
      </c>
      <c r="BS109" s="1077">
        <v>16000</v>
      </c>
      <c r="BT109" s="1077">
        <v>16000</v>
      </c>
      <c r="BU109" s="1077">
        <v>16000</v>
      </c>
      <c r="BV109" s="1077">
        <v>16000</v>
      </c>
      <c r="BW109" s="1077">
        <v>16000</v>
      </c>
      <c r="BX109" s="1077">
        <v>16000</v>
      </c>
      <c r="BY109" s="1078">
        <f t="shared" si="215"/>
        <v>206762.32083333333</v>
      </c>
      <c r="BZ109" s="1083">
        <f t="shared" si="266"/>
        <v>29626.668958333332</v>
      </c>
      <c r="CA109" s="1080">
        <f t="shared" si="266"/>
        <v>13799.999999999998</v>
      </c>
      <c r="CB109" s="1080">
        <f t="shared" si="266"/>
        <v>28749.999999999996</v>
      </c>
      <c r="CC109" s="1080">
        <f t="shared" si="266"/>
        <v>18400</v>
      </c>
      <c r="CD109" s="1080">
        <f t="shared" si="266"/>
        <v>18400</v>
      </c>
      <c r="CE109" s="1080">
        <f t="shared" si="266"/>
        <v>18400</v>
      </c>
      <c r="CF109" s="1080">
        <f t="shared" si="266"/>
        <v>18400</v>
      </c>
      <c r="CG109" s="1080">
        <f t="shared" si="266"/>
        <v>18400</v>
      </c>
      <c r="CH109" s="1080">
        <f t="shared" si="266"/>
        <v>18400</v>
      </c>
      <c r="CI109" s="1080">
        <f t="shared" si="266"/>
        <v>18400</v>
      </c>
      <c r="CJ109" s="1080">
        <f t="shared" si="266"/>
        <v>18400</v>
      </c>
      <c r="CK109" s="1080">
        <f t="shared" si="266"/>
        <v>18400</v>
      </c>
      <c r="CL109" s="1084">
        <f t="shared" si="267"/>
        <v>237776.66895833332</v>
      </c>
      <c r="CM109" s="1082">
        <f>127849/12/2</f>
        <v>5327.041666666667</v>
      </c>
      <c r="CN109" s="1077">
        <f t="shared" ref="CN109:CX112" si="294">127849/12/2</f>
        <v>5327.041666666667</v>
      </c>
      <c r="CO109" s="1077">
        <f t="shared" si="294"/>
        <v>5327.041666666667</v>
      </c>
      <c r="CP109" s="1077">
        <f t="shared" si="294"/>
        <v>5327.041666666667</v>
      </c>
      <c r="CQ109" s="1077">
        <f t="shared" si="294"/>
        <v>5327.041666666667</v>
      </c>
      <c r="CR109" s="1077">
        <f t="shared" si="294"/>
        <v>5327.041666666667</v>
      </c>
      <c r="CS109" s="1077">
        <f t="shared" si="294"/>
        <v>5327.041666666667</v>
      </c>
      <c r="CT109" s="1077">
        <f t="shared" si="294"/>
        <v>5327.041666666667</v>
      </c>
      <c r="CU109" s="1077">
        <f t="shared" si="294"/>
        <v>5327.041666666667</v>
      </c>
      <c r="CV109" s="1077">
        <f t="shared" si="294"/>
        <v>5327.041666666667</v>
      </c>
      <c r="CW109" s="1077">
        <f t="shared" si="294"/>
        <v>5327.041666666667</v>
      </c>
      <c r="CX109" s="1077">
        <f t="shared" si="294"/>
        <v>5327.041666666667</v>
      </c>
      <c r="CY109" s="1078">
        <f t="shared" si="216"/>
        <v>63924.499999999993</v>
      </c>
      <c r="CZ109" s="1079">
        <f t="shared" si="269"/>
        <v>6126.0979166666666</v>
      </c>
      <c r="DA109" s="1080">
        <f t="shared" si="269"/>
        <v>6126.0979166666666</v>
      </c>
      <c r="DB109" s="1080">
        <f t="shared" si="269"/>
        <v>6126.0979166666666</v>
      </c>
      <c r="DC109" s="1080">
        <f t="shared" si="269"/>
        <v>6126.0979166666666</v>
      </c>
      <c r="DD109" s="1080">
        <f t="shared" si="269"/>
        <v>6126.0979166666666</v>
      </c>
      <c r="DE109" s="1080">
        <f t="shared" si="269"/>
        <v>6126.0979166666666</v>
      </c>
      <c r="DF109" s="1080">
        <f t="shared" si="269"/>
        <v>6126.0979166666666</v>
      </c>
      <c r="DG109" s="1080">
        <f t="shared" si="269"/>
        <v>6126.0979166666666</v>
      </c>
      <c r="DH109" s="1080">
        <f t="shared" si="269"/>
        <v>6126.0979166666666</v>
      </c>
      <c r="DI109" s="1080">
        <f t="shared" si="269"/>
        <v>6126.0979166666666</v>
      </c>
      <c r="DJ109" s="1080">
        <f t="shared" si="269"/>
        <v>6126.0979166666666</v>
      </c>
      <c r="DK109" s="1080">
        <f t="shared" si="269"/>
        <v>6126.0979166666666</v>
      </c>
      <c r="DL109" s="1081">
        <f t="shared" si="270"/>
        <v>73513.175000000003</v>
      </c>
      <c r="DM109" s="1076"/>
      <c r="DN109" s="1077"/>
      <c r="DO109" s="1077"/>
      <c r="DP109" s="1077"/>
      <c r="DQ109" s="1077"/>
      <c r="DR109" s="1077"/>
      <c r="DS109" s="1077"/>
      <c r="DT109" s="1077"/>
      <c r="DU109" s="1077"/>
      <c r="DV109" s="1077"/>
      <c r="DW109" s="1077"/>
      <c r="DX109" s="1077"/>
      <c r="DY109" s="1078">
        <f t="shared" si="217"/>
        <v>0</v>
      </c>
      <c r="DZ109" s="1080">
        <f t="shared" si="272"/>
        <v>0</v>
      </c>
      <c r="EA109" s="1080">
        <f t="shared" si="272"/>
        <v>0</v>
      </c>
      <c r="EB109" s="1080">
        <f t="shared" si="272"/>
        <v>0</v>
      </c>
      <c r="EC109" s="1080">
        <f t="shared" si="272"/>
        <v>0</v>
      </c>
      <c r="ED109" s="1080">
        <f t="shared" si="272"/>
        <v>0</v>
      </c>
      <c r="EE109" s="1080">
        <f t="shared" si="272"/>
        <v>0</v>
      </c>
      <c r="EF109" s="1080">
        <f t="shared" si="272"/>
        <v>0</v>
      </c>
      <c r="EG109" s="1080">
        <f t="shared" si="272"/>
        <v>0</v>
      </c>
      <c r="EH109" s="1080">
        <f t="shared" si="272"/>
        <v>0</v>
      </c>
      <c r="EI109" s="1080">
        <f t="shared" si="272"/>
        <v>0</v>
      </c>
      <c r="EJ109" s="1080">
        <f t="shared" si="272"/>
        <v>0</v>
      </c>
      <c r="EK109" s="1080">
        <f t="shared" si="272"/>
        <v>0</v>
      </c>
      <c r="EL109" s="1081">
        <f t="shared" si="273"/>
        <v>0</v>
      </c>
    </row>
    <row r="110" spans="1:142" s="1085" customFormat="1">
      <c r="A110" s="973" t="s">
        <v>730</v>
      </c>
      <c r="B110" s="1068" t="s">
        <v>270</v>
      </c>
      <c r="C110" s="1069" t="s">
        <v>271</v>
      </c>
      <c r="D110" s="1086">
        <v>1.74</v>
      </c>
      <c r="E110" s="1087">
        <v>1.73</v>
      </c>
      <c r="F110" s="1088">
        <v>1.76</v>
      </c>
      <c r="G110" s="1089">
        <f t="shared" si="261"/>
        <v>1.76</v>
      </c>
      <c r="H110" s="1086">
        <f t="shared" si="261"/>
        <v>1.76</v>
      </c>
      <c r="I110" s="1090">
        <f t="shared" si="261"/>
        <v>1.76</v>
      </c>
      <c r="J110" s="1090">
        <f t="shared" si="261"/>
        <v>1.76</v>
      </c>
      <c r="K110" s="1091">
        <f t="shared" si="261"/>
        <v>1.76</v>
      </c>
      <c r="L110" s="1075"/>
      <c r="M110" s="1076">
        <v>28000</v>
      </c>
      <c r="N110" s="1077">
        <v>12000</v>
      </c>
      <c r="O110" s="1077">
        <v>44000</v>
      </c>
      <c r="P110" s="1077">
        <v>47000</v>
      </c>
      <c r="Q110" s="1077">
        <v>65000</v>
      </c>
      <c r="R110" s="1077">
        <v>45000</v>
      </c>
      <c r="S110" s="1077">
        <v>60000</v>
      </c>
      <c r="T110" s="1077">
        <v>60000</v>
      </c>
      <c r="U110" s="1077">
        <v>65000</v>
      </c>
      <c r="V110" s="1077">
        <v>64000</v>
      </c>
      <c r="W110" s="1077">
        <v>75000</v>
      </c>
      <c r="X110" s="1077">
        <v>70000</v>
      </c>
      <c r="Y110" s="1078">
        <f t="shared" si="262"/>
        <v>635000</v>
      </c>
      <c r="Z110" s="1079">
        <v>48720</v>
      </c>
      <c r="AA110" s="1080">
        <v>20880</v>
      </c>
      <c r="AB110" s="1080">
        <v>76560</v>
      </c>
      <c r="AC110" s="1080">
        <f t="shared" si="284"/>
        <v>81310</v>
      </c>
      <c r="AD110" s="1080">
        <f t="shared" si="274"/>
        <v>112450</v>
      </c>
      <c r="AE110" s="1080">
        <f t="shared" si="285"/>
        <v>77850</v>
      </c>
      <c r="AF110" s="1080">
        <f t="shared" si="275"/>
        <v>105600</v>
      </c>
      <c r="AG110" s="1080">
        <f t="shared" si="276"/>
        <v>105600</v>
      </c>
      <c r="AH110" s="1080">
        <f t="shared" si="277"/>
        <v>114400</v>
      </c>
      <c r="AI110" s="1080">
        <f t="shared" si="278"/>
        <v>112640</v>
      </c>
      <c r="AJ110" s="1080">
        <f t="shared" si="279"/>
        <v>132000</v>
      </c>
      <c r="AK110" s="1080">
        <f t="shared" si="280"/>
        <v>123200</v>
      </c>
      <c r="AL110" s="1081">
        <f t="shared" si="263"/>
        <v>1111210</v>
      </c>
      <c r="AM110" s="1076">
        <v>80000</v>
      </c>
      <c r="AN110" s="1077">
        <v>92000</v>
      </c>
      <c r="AO110" s="1077">
        <v>78000</v>
      </c>
      <c r="AP110" s="1077">
        <v>90000</v>
      </c>
      <c r="AQ110" s="1077">
        <v>74000</v>
      </c>
      <c r="AR110" s="1077">
        <v>76000</v>
      </c>
      <c r="AS110" s="1077">
        <v>90000</v>
      </c>
      <c r="AT110" s="1077">
        <v>76000</v>
      </c>
      <c r="AU110" s="1077">
        <v>68000</v>
      </c>
      <c r="AV110" s="1077">
        <v>60000</v>
      </c>
      <c r="AW110" s="1077">
        <v>50000</v>
      </c>
      <c r="AX110" s="1077">
        <v>56000</v>
      </c>
      <c r="AY110" s="1078">
        <f t="shared" si="213"/>
        <v>890000</v>
      </c>
      <c r="AZ110" s="1079">
        <f t="shared" si="264"/>
        <v>140800</v>
      </c>
      <c r="BA110" s="1080">
        <f t="shared" si="264"/>
        <v>161920</v>
      </c>
      <c r="BB110" s="1080">
        <f t="shared" si="264"/>
        <v>137280</v>
      </c>
      <c r="BC110" s="1080">
        <f t="shared" si="264"/>
        <v>158400</v>
      </c>
      <c r="BD110" s="1080">
        <f t="shared" si="264"/>
        <v>130240</v>
      </c>
      <c r="BE110" s="1080">
        <f t="shared" si="264"/>
        <v>133760</v>
      </c>
      <c r="BF110" s="1080">
        <f t="shared" si="264"/>
        <v>158400</v>
      </c>
      <c r="BG110" s="1080">
        <f t="shared" si="264"/>
        <v>133760</v>
      </c>
      <c r="BH110" s="1080">
        <f t="shared" si="264"/>
        <v>119680</v>
      </c>
      <c r="BI110" s="1080">
        <f t="shared" si="264"/>
        <v>105600</v>
      </c>
      <c r="BJ110" s="1080">
        <f t="shared" si="264"/>
        <v>88000</v>
      </c>
      <c r="BK110" s="1080">
        <f t="shared" si="264"/>
        <v>98560</v>
      </c>
      <c r="BL110" s="1081">
        <f t="shared" si="265"/>
        <v>1566400</v>
      </c>
      <c r="BM110" s="1082">
        <f>562087*55%/12</f>
        <v>25762.320833333335</v>
      </c>
      <c r="BN110" s="1077">
        <v>12000</v>
      </c>
      <c r="BO110" s="1077">
        <v>25000</v>
      </c>
      <c r="BP110" s="1077">
        <v>16000</v>
      </c>
      <c r="BQ110" s="1077">
        <v>16000</v>
      </c>
      <c r="BR110" s="1077">
        <v>16000</v>
      </c>
      <c r="BS110" s="1077">
        <v>16000</v>
      </c>
      <c r="BT110" s="1077">
        <v>16000</v>
      </c>
      <c r="BU110" s="1077">
        <v>16000</v>
      </c>
      <c r="BV110" s="1077">
        <v>16000</v>
      </c>
      <c r="BW110" s="1077">
        <v>16000</v>
      </c>
      <c r="BX110" s="1077">
        <v>16000</v>
      </c>
      <c r="BY110" s="1078">
        <f t="shared" si="215"/>
        <v>206762.32083333333</v>
      </c>
      <c r="BZ110" s="1083">
        <f t="shared" si="266"/>
        <v>45341.684666666668</v>
      </c>
      <c r="CA110" s="1080">
        <f t="shared" si="266"/>
        <v>21120</v>
      </c>
      <c r="CB110" s="1080">
        <f t="shared" si="266"/>
        <v>44000</v>
      </c>
      <c r="CC110" s="1080">
        <f t="shared" si="266"/>
        <v>28160</v>
      </c>
      <c r="CD110" s="1080">
        <f t="shared" si="266"/>
        <v>28160</v>
      </c>
      <c r="CE110" s="1080">
        <f t="shared" si="266"/>
        <v>28160</v>
      </c>
      <c r="CF110" s="1080">
        <f t="shared" si="266"/>
        <v>28160</v>
      </c>
      <c r="CG110" s="1080">
        <f t="shared" si="266"/>
        <v>28160</v>
      </c>
      <c r="CH110" s="1080">
        <f t="shared" si="266"/>
        <v>28160</v>
      </c>
      <c r="CI110" s="1080">
        <f t="shared" si="266"/>
        <v>28160</v>
      </c>
      <c r="CJ110" s="1080">
        <f t="shared" si="266"/>
        <v>28160</v>
      </c>
      <c r="CK110" s="1080">
        <f t="shared" si="266"/>
        <v>28160</v>
      </c>
      <c r="CL110" s="1084">
        <f t="shared" si="267"/>
        <v>363901.68466666667</v>
      </c>
      <c r="CM110" s="1082">
        <f>127849/12/2</f>
        <v>5327.041666666667</v>
      </c>
      <c r="CN110" s="1077">
        <f t="shared" si="294"/>
        <v>5327.041666666667</v>
      </c>
      <c r="CO110" s="1077">
        <f t="shared" si="294"/>
        <v>5327.041666666667</v>
      </c>
      <c r="CP110" s="1077">
        <f t="shared" si="294"/>
        <v>5327.041666666667</v>
      </c>
      <c r="CQ110" s="1077">
        <f t="shared" si="294"/>
        <v>5327.041666666667</v>
      </c>
      <c r="CR110" s="1077">
        <f t="shared" si="294"/>
        <v>5327.041666666667</v>
      </c>
      <c r="CS110" s="1077">
        <f t="shared" si="294"/>
        <v>5327.041666666667</v>
      </c>
      <c r="CT110" s="1077">
        <f t="shared" si="294"/>
        <v>5327.041666666667</v>
      </c>
      <c r="CU110" s="1077">
        <f t="shared" si="294"/>
        <v>5327.041666666667</v>
      </c>
      <c r="CV110" s="1077">
        <f t="shared" si="294"/>
        <v>5327.041666666667</v>
      </c>
      <c r="CW110" s="1077">
        <f t="shared" si="294"/>
        <v>5327.041666666667</v>
      </c>
      <c r="CX110" s="1077">
        <f t="shared" si="294"/>
        <v>5327.041666666667</v>
      </c>
      <c r="CY110" s="1078">
        <f t="shared" si="216"/>
        <v>63924.499999999993</v>
      </c>
      <c r="CZ110" s="1079">
        <f t="shared" si="269"/>
        <v>9375.5933333333342</v>
      </c>
      <c r="DA110" s="1080">
        <f t="shared" si="269"/>
        <v>9375.5933333333342</v>
      </c>
      <c r="DB110" s="1080">
        <f t="shared" si="269"/>
        <v>9375.5933333333342</v>
      </c>
      <c r="DC110" s="1080">
        <f t="shared" si="269"/>
        <v>9375.5933333333342</v>
      </c>
      <c r="DD110" s="1080">
        <f t="shared" si="269"/>
        <v>9375.5933333333342</v>
      </c>
      <c r="DE110" s="1080">
        <f t="shared" si="269"/>
        <v>9375.5933333333342</v>
      </c>
      <c r="DF110" s="1080">
        <f t="shared" si="269"/>
        <v>9375.5933333333342</v>
      </c>
      <c r="DG110" s="1080">
        <f t="shared" si="269"/>
        <v>9375.5933333333342</v>
      </c>
      <c r="DH110" s="1080">
        <f t="shared" si="269"/>
        <v>9375.5933333333342</v>
      </c>
      <c r="DI110" s="1080">
        <f t="shared" si="269"/>
        <v>9375.5933333333342</v>
      </c>
      <c r="DJ110" s="1080">
        <f t="shared" si="269"/>
        <v>9375.5933333333342</v>
      </c>
      <c r="DK110" s="1080">
        <f t="shared" si="269"/>
        <v>9375.5933333333342</v>
      </c>
      <c r="DL110" s="1081">
        <f t="shared" si="270"/>
        <v>112507.12000000004</v>
      </c>
      <c r="DM110" s="1076"/>
      <c r="DN110" s="1077"/>
      <c r="DO110" s="1077"/>
      <c r="DP110" s="1077"/>
      <c r="DQ110" s="1077"/>
      <c r="DR110" s="1077"/>
      <c r="DS110" s="1077"/>
      <c r="DT110" s="1077"/>
      <c r="DU110" s="1077"/>
      <c r="DV110" s="1077"/>
      <c r="DW110" s="1077"/>
      <c r="DX110" s="1077"/>
      <c r="DY110" s="1078">
        <f t="shared" si="217"/>
        <v>0</v>
      </c>
      <c r="DZ110" s="1080">
        <f t="shared" si="272"/>
        <v>0</v>
      </c>
      <c r="EA110" s="1080">
        <f t="shared" si="272"/>
        <v>0</v>
      </c>
      <c r="EB110" s="1080">
        <f t="shared" si="272"/>
        <v>0</v>
      </c>
      <c r="EC110" s="1080">
        <f t="shared" si="272"/>
        <v>0</v>
      </c>
      <c r="ED110" s="1080">
        <f t="shared" si="272"/>
        <v>0</v>
      </c>
      <c r="EE110" s="1080">
        <f t="shared" si="272"/>
        <v>0</v>
      </c>
      <c r="EF110" s="1080">
        <f t="shared" si="272"/>
        <v>0</v>
      </c>
      <c r="EG110" s="1080">
        <f t="shared" si="272"/>
        <v>0</v>
      </c>
      <c r="EH110" s="1080">
        <f t="shared" si="272"/>
        <v>0</v>
      </c>
      <c r="EI110" s="1080">
        <f t="shared" si="272"/>
        <v>0</v>
      </c>
      <c r="EJ110" s="1080">
        <f t="shared" si="272"/>
        <v>0</v>
      </c>
      <c r="EK110" s="1080">
        <f t="shared" si="272"/>
        <v>0</v>
      </c>
      <c r="EL110" s="1081">
        <f t="shared" si="273"/>
        <v>0</v>
      </c>
    </row>
    <row r="111" spans="1:142" s="1085" customFormat="1">
      <c r="A111" s="973" t="s">
        <v>730</v>
      </c>
      <c r="B111" s="1068" t="s">
        <v>272</v>
      </c>
      <c r="C111" s="1069" t="s">
        <v>269</v>
      </c>
      <c r="D111" s="1086">
        <v>1.34</v>
      </c>
      <c r="E111" s="1087">
        <v>1.33</v>
      </c>
      <c r="F111" s="1088">
        <v>1.36</v>
      </c>
      <c r="G111" s="1089">
        <f t="shared" si="261"/>
        <v>1.36</v>
      </c>
      <c r="H111" s="1086">
        <f t="shared" si="261"/>
        <v>1.36</v>
      </c>
      <c r="I111" s="1090">
        <f t="shared" si="261"/>
        <v>1.36</v>
      </c>
      <c r="J111" s="1090">
        <f t="shared" si="261"/>
        <v>1.36</v>
      </c>
      <c r="K111" s="1091">
        <f t="shared" si="261"/>
        <v>1.36</v>
      </c>
      <c r="L111" s="1075"/>
      <c r="M111" s="1076">
        <v>13800</v>
      </c>
      <c r="N111" s="1077">
        <v>18960</v>
      </c>
      <c r="O111" s="1077">
        <v>27720</v>
      </c>
      <c r="P111" s="1077">
        <v>19380</v>
      </c>
      <c r="Q111" s="1077">
        <v>9640</v>
      </c>
      <c r="R111" s="1077">
        <v>0</v>
      </c>
      <c r="S111" s="1077"/>
      <c r="T111" s="1077">
        <v>7000</v>
      </c>
      <c r="U111" s="1077">
        <v>8000</v>
      </c>
      <c r="V111" s="1077">
        <v>8000</v>
      </c>
      <c r="W111" s="1077">
        <v>6000</v>
      </c>
      <c r="X111" s="1077">
        <v>10000</v>
      </c>
      <c r="Y111" s="1078">
        <f t="shared" si="262"/>
        <v>128500</v>
      </c>
      <c r="Z111" s="1079">
        <v>18492</v>
      </c>
      <c r="AA111" s="1080">
        <v>25406.400000000001</v>
      </c>
      <c r="AB111" s="1080">
        <v>37144.800000000003</v>
      </c>
      <c r="AC111" s="1080">
        <f t="shared" si="284"/>
        <v>25775.4</v>
      </c>
      <c r="AD111" s="1080">
        <f t="shared" si="274"/>
        <v>12821.2</v>
      </c>
      <c r="AE111" s="1080">
        <f t="shared" si="285"/>
        <v>0</v>
      </c>
      <c r="AF111" s="1080">
        <f t="shared" si="275"/>
        <v>0</v>
      </c>
      <c r="AG111" s="1080">
        <f t="shared" si="276"/>
        <v>9520</v>
      </c>
      <c r="AH111" s="1080">
        <f t="shared" si="277"/>
        <v>10880</v>
      </c>
      <c r="AI111" s="1080">
        <f t="shared" si="278"/>
        <v>10880</v>
      </c>
      <c r="AJ111" s="1080">
        <f t="shared" si="279"/>
        <v>8160.0000000000009</v>
      </c>
      <c r="AK111" s="1080">
        <f t="shared" si="280"/>
        <v>13600.000000000002</v>
      </c>
      <c r="AL111" s="1081">
        <f t="shared" si="263"/>
        <v>172679.8</v>
      </c>
      <c r="AM111" s="1076">
        <v>10000</v>
      </c>
      <c r="AN111" s="1077">
        <v>10000</v>
      </c>
      <c r="AO111" s="1077">
        <v>10000</v>
      </c>
      <c r="AP111" s="1077">
        <v>10000</v>
      </c>
      <c r="AQ111" s="1077">
        <v>10000</v>
      </c>
      <c r="AR111" s="1077">
        <v>14000</v>
      </c>
      <c r="AS111" s="1077">
        <v>14000</v>
      </c>
      <c r="AT111" s="1077">
        <v>14000</v>
      </c>
      <c r="AU111" s="1077">
        <v>12000</v>
      </c>
      <c r="AV111" s="1077">
        <v>12000</v>
      </c>
      <c r="AW111" s="1077">
        <v>9000</v>
      </c>
      <c r="AX111" s="1077">
        <v>0</v>
      </c>
      <c r="AY111" s="1078">
        <f t="shared" si="213"/>
        <v>125000</v>
      </c>
      <c r="AZ111" s="1079">
        <f t="shared" si="264"/>
        <v>13600.000000000002</v>
      </c>
      <c r="BA111" s="1080">
        <f t="shared" si="264"/>
        <v>13600.000000000002</v>
      </c>
      <c r="BB111" s="1080">
        <f t="shared" si="264"/>
        <v>13600.000000000002</v>
      </c>
      <c r="BC111" s="1080">
        <f t="shared" si="264"/>
        <v>13600.000000000002</v>
      </c>
      <c r="BD111" s="1080">
        <f t="shared" si="264"/>
        <v>13600.000000000002</v>
      </c>
      <c r="BE111" s="1080">
        <f t="shared" si="264"/>
        <v>19040</v>
      </c>
      <c r="BF111" s="1080">
        <f t="shared" si="264"/>
        <v>19040</v>
      </c>
      <c r="BG111" s="1080">
        <f t="shared" si="264"/>
        <v>19040</v>
      </c>
      <c r="BH111" s="1080">
        <f t="shared" si="264"/>
        <v>16320.000000000002</v>
      </c>
      <c r="BI111" s="1080">
        <f t="shared" si="264"/>
        <v>16320.000000000002</v>
      </c>
      <c r="BJ111" s="1080">
        <f t="shared" si="264"/>
        <v>12240</v>
      </c>
      <c r="BK111" s="1080">
        <f t="shared" si="264"/>
        <v>0</v>
      </c>
      <c r="BL111" s="1081">
        <f t="shared" si="265"/>
        <v>170000.00000000003</v>
      </c>
      <c r="BM111" s="1082">
        <f>562087*45%/12</f>
        <v>21078.262500000001</v>
      </c>
      <c r="BN111" s="1077">
        <f t="shared" ref="BN111:BX112" si="295">562087*45%/12</f>
        <v>21078.262500000001</v>
      </c>
      <c r="BO111" s="1077">
        <f t="shared" si="295"/>
        <v>21078.262500000001</v>
      </c>
      <c r="BP111" s="1077">
        <f t="shared" si="295"/>
        <v>21078.262500000001</v>
      </c>
      <c r="BQ111" s="1077">
        <f t="shared" si="295"/>
        <v>21078.262500000001</v>
      </c>
      <c r="BR111" s="1077">
        <f t="shared" si="295"/>
        <v>21078.262500000001</v>
      </c>
      <c r="BS111" s="1077">
        <f t="shared" si="295"/>
        <v>21078.262500000001</v>
      </c>
      <c r="BT111" s="1077">
        <f t="shared" si="295"/>
        <v>21078.262500000001</v>
      </c>
      <c r="BU111" s="1077">
        <f t="shared" si="295"/>
        <v>21078.262500000001</v>
      </c>
      <c r="BV111" s="1077">
        <f t="shared" si="295"/>
        <v>21078.262500000001</v>
      </c>
      <c r="BW111" s="1077">
        <f t="shared" si="295"/>
        <v>21078.262500000001</v>
      </c>
      <c r="BX111" s="1077">
        <f t="shared" si="295"/>
        <v>21078.262500000001</v>
      </c>
      <c r="BY111" s="1078">
        <f t="shared" si="215"/>
        <v>252939.15000000005</v>
      </c>
      <c r="BZ111" s="1083">
        <f t="shared" si="266"/>
        <v>28666.437000000002</v>
      </c>
      <c r="CA111" s="1080">
        <f t="shared" si="266"/>
        <v>28666.437000000002</v>
      </c>
      <c r="CB111" s="1080">
        <f t="shared" si="266"/>
        <v>28666.437000000002</v>
      </c>
      <c r="CC111" s="1080">
        <f t="shared" si="266"/>
        <v>28666.437000000002</v>
      </c>
      <c r="CD111" s="1080">
        <f t="shared" si="266"/>
        <v>28666.437000000002</v>
      </c>
      <c r="CE111" s="1080">
        <f t="shared" si="266"/>
        <v>28666.437000000002</v>
      </c>
      <c r="CF111" s="1080">
        <f t="shared" si="266"/>
        <v>28666.437000000002</v>
      </c>
      <c r="CG111" s="1080">
        <f t="shared" si="266"/>
        <v>28666.437000000002</v>
      </c>
      <c r="CH111" s="1080">
        <f t="shared" si="266"/>
        <v>28666.437000000002</v>
      </c>
      <c r="CI111" s="1080">
        <f t="shared" si="266"/>
        <v>28666.437000000002</v>
      </c>
      <c r="CJ111" s="1080">
        <f t="shared" si="266"/>
        <v>28666.437000000002</v>
      </c>
      <c r="CK111" s="1080">
        <f t="shared" si="266"/>
        <v>28666.437000000002</v>
      </c>
      <c r="CL111" s="1084">
        <f t="shared" si="267"/>
        <v>343997.24399999995</v>
      </c>
      <c r="CM111" s="1082">
        <f>127849/12/2</f>
        <v>5327.041666666667</v>
      </c>
      <c r="CN111" s="1077">
        <f t="shared" si="294"/>
        <v>5327.041666666667</v>
      </c>
      <c r="CO111" s="1077">
        <f t="shared" si="294"/>
        <v>5327.041666666667</v>
      </c>
      <c r="CP111" s="1077">
        <f t="shared" si="294"/>
        <v>5327.041666666667</v>
      </c>
      <c r="CQ111" s="1077">
        <f t="shared" si="294"/>
        <v>5327.041666666667</v>
      </c>
      <c r="CR111" s="1077">
        <f t="shared" si="294"/>
        <v>5327.041666666667</v>
      </c>
      <c r="CS111" s="1077">
        <f t="shared" si="294"/>
        <v>5327.041666666667</v>
      </c>
      <c r="CT111" s="1077">
        <f t="shared" si="294"/>
        <v>5327.041666666667</v>
      </c>
      <c r="CU111" s="1077">
        <f t="shared" si="294"/>
        <v>5327.041666666667</v>
      </c>
      <c r="CV111" s="1077">
        <f t="shared" si="294"/>
        <v>5327.041666666667</v>
      </c>
      <c r="CW111" s="1077">
        <f t="shared" si="294"/>
        <v>5327.041666666667</v>
      </c>
      <c r="CX111" s="1077">
        <f t="shared" si="294"/>
        <v>5327.041666666667</v>
      </c>
      <c r="CY111" s="1078">
        <f t="shared" si="216"/>
        <v>63924.499999999993</v>
      </c>
      <c r="CZ111" s="1079">
        <f t="shared" si="269"/>
        <v>7244.7766666666676</v>
      </c>
      <c r="DA111" s="1080">
        <f t="shared" si="269"/>
        <v>7244.7766666666676</v>
      </c>
      <c r="DB111" s="1080">
        <f t="shared" si="269"/>
        <v>7244.7766666666676</v>
      </c>
      <c r="DC111" s="1080">
        <f t="shared" si="269"/>
        <v>7244.7766666666676</v>
      </c>
      <c r="DD111" s="1080">
        <f t="shared" si="269"/>
        <v>7244.7766666666676</v>
      </c>
      <c r="DE111" s="1080">
        <f t="shared" si="269"/>
        <v>7244.7766666666676</v>
      </c>
      <c r="DF111" s="1080">
        <f t="shared" si="269"/>
        <v>7244.7766666666676</v>
      </c>
      <c r="DG111" s="1080">
        <f t="shared" si="269"/>
        <v>7244.7766666666676</v>
      </c>
      <c r="DH111" s="1080">
        <f t="shared" si="269"/>
        <v>7244.7766666666676</v>
      </c>
      <c r="DI111" s="1080">
        <f t="shared" si="269"/>
        <v>7244.7766666666676</v>
      </c>
      <c r="DJ111" s="1080">
        <f t="shared" si="269"/>
        <v>7244.7766666666676</v>
      </c>
      <c r="DK111" s="1080">
        <f t="shared" si="269"/>
        <v>7244.7766666666676</v>
      </c>
      <c r="DL111" s="1081">
        <f t="shared" si="270"/>
        <v>86937.32</v>
      </c>
      <c r="DM111" s="1076"/>
      <c r="DN111" s="1077"/>
      <c r="DO111" s="1077"/>
      <c r="DP111" s="1077"/>
      <c r="DQ111" s="1077"/>
      <c r="DR111" s="1077"/>
      <c r="DS111" s="1077"/>
      <c r="DT111" s="1077"/>
      <c r="DU111" s="1077"/>
      <c r="DV111" s="1077"/>
      <c r="DW111" s="1077"/>
      <c r="DX111" s="1077"/>
      <c r="DY111" s="1078">
        <f t="shared" si="217"/>
        <v>0</v>
      </c>
      <c r="DZ111" s="1080">
        <f t="shared" si="272"/>
        <v>0</v>
      </c>
      <c r="EA111" s="1080">
        <f t="shared" si="272"/>
        <v>0</v>
      </c>
      <c r="EB111" s="1080">
        <f t="shared" si="272"/>
        <v>0</v>
      </c>
      <c r="EC111" s="1080">
        <f t="shared" si="272"/>
        <v>0</v>
      </c>
      <c r="ED111" s="1080">
        <f t="shared" si="272"/>
        <v>0</v>
      </c>
      <c r="EE111" s="1080">
        <f t="shared" si="272"/>
        <v>0</v>
      </c>
      <c r="EF111" s="1080">
        <f t="shared" si="272"/>
        <v>0</v>
      </c>
      <c r="EG111" s="1080">
        <f t="shared" si="272"/>
        <v>0</v>
      </c>
      <c r="EH111" s="1080">
        <f t="shared" si="272"/>
        <v>0</v>
      </c>
      <c r="EI111" s="1080">
        <f t="shared" si="272"/>
        <v>0</v>
      </c>
      <c r="EJ111" s="1080">
        <f t="shared" si="272"/>
        <v>0</v>
      </c>
      <c r="EK111" s="1080">
        <f t="shared" si="272"/>
        <v>0</v>
      </c>
      <c r="EL111" s="1081">
        <f t="shared" si="273"/>
        <v>0</v>
      </c>
    </row>
    <row r="112" spans="1:142" s="1085" customFormat="1">
      <c r="A112" s="973" t="s">
        <v>730</v>
      </c>
      <c r="B112" s="1068" t="s">
        <v>273</v>
      </c>
      <c r="C112" s="1069" t="s">
        <v>271</v>
      </c>
      <c r="D112" s="1086">
        <v>1.9</v>
      </c>
      <c r="E112" s="1087">
        <v>1.89</v>
      </c>
      <c r="F112" s="1088">
        <v>1.9</v>
      </c>
      <c r="G112" s="1089">
        <f t="shared" si="261"/>
        <v>1.9</v>
      </c>
      <c r="H112" s="1086">
        <f t="shared" si="261"/>
        <v>1.9</v>
      </c>
      <c r="I112" s="1090">
        <f t="shared" si="261"/>
        <v>1.9</v>
      </c>
      <c r="J112" s="1090">
        <f t="shared" si="261"/>
        <v>1.9</v>
      </c>
      <c r="K112" s="1091">
        <f t="shared" si="261"/>
        <v>1.9</v>
      </c>
      <c r="L112" s="1075"/>
      <c r="M112" s="1076">
        <v>9660</v>
      </c>
      <c r="N112" s="1077">
        <v>22860</v>
      </c>
      <c r="O112" s="1077">
        <v>27720</v>
      </c>
      <c r="P112" s="1077">
        <v>19380</v>
      </c>
      <c r="Q112" s="1077">
        <v>9640</v>
      </c>
      <c r="R112" s="1077">
        <v>0</v>
      </c>
      <c r="S112" s="1077"/>
      <c r="T112" s="1077">
        <v>7000</v>
      </c>
      <c r="U112" s="1077">
        <v>8000</v>
      </c>
      <c r="V112" s="1077">
        <v>8000</v>
      </c>
      <c r="W112" s="1077">
        <v>6000</v>
      </c>
      <c r="X112" s="1077">
        <v>10000</v>
      </c>
      <c r="Y112" s="1078">
        <f t="shared" si="262"/>
        <v>128260</v>
      </c>
      <c r="Z112" s="1079">
        <v>18354</v>
      </c>
      <c r="AA112" s="1080">
        <v>43434</v>
      </c>
      <c r="AB112" s="1080">
        <v>52668</v>
      </c>
      <c r="AC112" s="1080">
        <f t="shared" si="284"/>
        <v>36628.199999999997</v>
      </c>
      <c r="AD112" s="1080">
        <f t="shared" si="274"/>
        <v>18219.599999999999</v>
      </c>
      <c r="AE112" s="1080">
        <f t="shared" si="285"/>
        <v>0</v>
      </c>
      <c r="AF112" s="1080">
        <f t="shared" si="275"/>
        <v>0</v>
      </c>
      <c r="AG112" s="1080">
        <f t="shared" si="276"/>
        <v>13300</v>
      </c>
      <c r="AH112" s="1080">
        <f t="shared" si="277"/>
        <v>15200</v>
      </c>
      <c r="AI112" s="1080">
        <f t="shared" si="278"/>
        <v>15200</v>
      </c>
      <c r="AJ112" s="1080">
        <f t="shared" si="279"/>
        <v>11400</v>
      </c>
      <c r="AK112" s="1080">
        <f t="shared" si="280"/>
        <v>19000</v>
      </c>
      <c r="AL112" s="1081">
        <f t="shared" si="263"/>
        <v>243403.80000000002</v>
      </c>
      <c r="AM112" s="1076">
        <v>10000</v>
      </c>
      <c r="AN112" s="1077">
        <v>10000</v>
      </c>
      <c r="AO112" s="1077">
        <v>10000</v>
      </c>
      <c r="AP112" s="1077">
        <v>10000</v>
      </c>
      <c r="AQ112" s="1077">
        <v>10000</v>
      </c>
      <c r="AR112" s="1077">
        <v>14000</v>
      </c>
      <c r="AS112" s="1077">
        <v>14000</v>
      </c>
      <c r="AT112" s="1077">
        <v>14000</v>
      </c>
      <c r="AU112" s="1077">
        <v>12000</v>
      </c>
      <c r="AV112" s="1077">
        <v>12000</v>
      </c>
      <c r="AW112" s="1077">
        <v>9000</v>
      </c>
      <c r="AX112" s="1077">
        <v>0</v>
      </c>
      <c r="AY112" s="1078">
        <f t="shared" si="213"/>
        <v>125000</v>
      </c>
      <c r="AZ112" s="1079">
        <f t="shared" si="264"/>
        <v>19000</v>
      </c>
      <c r="BA112" s="1080">
        <f t="shared" si="264"/>
        <v>19000</v>
      </c>
      <c r="BB112" s="1080">
        <f t="shared" si="264"/>
        <v>19000</v>
      </c>
      <c r="BC112" s="1080">
        <f t="shared" si="264"/>
        <v>19000</v>
      </c>
      <c r="BD112" s="1080">
        <f t="shared" si="264"/>
        <v>19000</v>
      </c>
      <c r="BE112" s="1080">
        <f t="shared" si="264"/>
        <v>26600</v>
      </c>
      <c r="BF112" s="1080">
        <f t="shared" si="264"/>
        <v>26600</v>
      </c>
      <c r="BG112" s="1080">
        <f t="shared" si="264"/>
        <v>26600</v>
      </c>
      <c r="BH112" s="1080">
        <f t="shared" si="264"/>
        <v>22800</v>
      </c>
      <c r="BI112" s="1080">
        <f t="shared" si="264"/>
        <v>22800</v>
      </c>
      <c r="BJ112" s="1080">
        <f t="shared" si="264"/>
        <v>17100</v>
      </c>
      <c r="BK112" s="1080">
        <f t="shared" si="264"/>
        <v>0</v>
      </c>
      <c r="BL112" s="1081">
        <f t="shared" si="265"/>
        <v>237500</v>
      </c>
      <c r="BM112" s="1082">
        <f>562087*45%/12</f>
        <v>21078.262500000001</v>
      </c>
      <c r="BN112" s="1077">
        <f t="shared" si="295"/>
        <v>21078.262500000001</v>
      </c>
      <c r="BO112" s="1077">
        <f t="shared" si="295"/>
        <v>21078.262500000001</v>
      </c>
      <c r="BP112" s="1077">
        <f t="shared" si="295"/>
        <v>21078.262500000001</v>
      </c>
      <c r="BQ112" s="1077">
        <f t="shared" si="295"/>
        <v>21078.262500000001</v>
      </c>
      <c r="BR112" s="1077">
        <f t="shared" si="295"/>
        <v>21078.262500000001</v>
      </c>
      <c r="BS112" s="1077">
        <f t="shared" si="295"/>
        <v>21078.262500000001</v>
      </c>
      <c r="BT112" s="1077">
        <f t="shared" si="295"/>
        <v>21078.262500000001</v>
      </c>
      <c r="BU112" s="1077">
        <f t="shared" si="295"/>
        <v>21078.262500000001</v>
      </c>
      <c r="BV112" s="1077">
        <f t="shared" si="295"/>
        <v>21078.262500000001</v>
      </c>
      <c r="BW112" s="1077">
        <f t="shared" si="295"/>
        <v>21078.262500000001</v>
      </c>
      <c r="BX112" s="1077">
        <f t="shared" si="295"/>
        <v>21078.262500000001</v>
      </c>
      <c r="BY112" s="1078">
        <f t="shared" si="215"/>
        <v>252939.15000000005</v>
      </c>
      <c r="BZ112" s="1083">
        <f t="shared" si="266"/>
        <v>40048.698749999996</v>
      </c>
      <c r="CA112" s="1080">
        <f t="shared" si="266"/>
        <v>40048.698749999996</v>
      </c>
      <c r="CB112" s="1080">
        <f t="shared" si="266"/>
        <v>40048.698749999996</v>
      </c>
      <c r="CC112" s="1080">
        <f t="shared" si="266"/>
        <v>40048.698749999996</v>
      </c>
      <c r="CD112" s="1080">
        <f t="shared" si="266"/>
        <v>40048.698749999996</v>
      </c>
      <c r="CE112" s="1080">
        <f t="shared" si="266"/>
        <v>40048.698749999996</v>
      </c>
      <c r="CF112" s="1080">
        <f t="shared" si="266"/>
        <v>40048.698749999996</v>
      </c>
      <c r="CG112" s="1080">
        <f t="shared" si="266"/>
        <v>40048.698749999996</v>
      </c>
      <c r="CH112" s="1080">
        <f t="shared" si="266"/>
        <v>40048.698749999996</v>
      </c>
      <c r="CI112" s="1080">
        <f t="shared" si="266"/>
        <v>40048.698749999996</v>
      </c>
      <c r="CJ112" s="1080">
        <f t="shared" si="266"/>
        <v>40048.698749999996</v>
      </c>
      <c r="CK112" s="1080">
        <f t="shared" si="266"/>
        <v>40048.698749999996</v>
      </c>
      <c r="CL112" s="1084">
        <f t="shared" si="267"/>
        <v>480584.38499999983</v>
      </c>
      <c r="CM112" s="1082">
        <f>127849/12/2</f>
        <v>5327.041666666667</v>
      </c>
      <c r="CN112" s="1077">
        <f t="shared" si="294"/>
        <v>5327.041666666667</v>
      </c>
      <c r="CO112" s="1077">
        <f t="shared" si="294"/>
        <v>5327.041666666667</v>
      </c>
      <c r="CP112" s="1077">
        <f t="shared" si="294"/>
        <v>5327.041666666667</v>
      </c>
      <c r="CQ112" s="1077">
        <f t="shared" si="294"/>
        <v>5327.041666666667</v>
      </c>
      <c r="CR112" s="1077">
        <f t="shared" si="294"/>
        <v>5327.041666666667</v>
      </c>
      <c r="CS112" s="1077">
        <f t="shared" si="294"/>
        <v>5327.041666666667</v>
      </c>
      <c r="CT112" s="1077">
        <f t="shared" si="294"/>
        <v>5327.041666666667</v>
      </c>
      <c r="CU112" s="1077">
        <f t="shared" si="294"/>
        <v>5327.041666666667</v>
      </c>
      <c r="CV112" s="1077">
        <f t="shared" si="294"/>
        <v>5327.041666666667</v>
      </c>
      <c r="CW112" s="1077">
        <f t="shared" si="294"/>
        <v>5327.041666666667</v>
      </c>
      <c r="CX112" s="1077">
        <f t="shared" si="294"/>
        <v>5327.041666666667</v>
      </c>
      <c r="CY112" s="1078">
        <f t="shared" si="216"/>
        <v>63924.499999999993</v>
      </c>
      <c r="CZ112" s="1079">
        <f t="shared" si="269"/>
        <v>10121.379166666668</v>
      </c>
      <c r="DA112" s="1080">
        <f t="shared" si="269"/>
        <v>10121.379166666668</v>
      </c>
      <c r="DB112" s="1080">
        <f t="shared" si="269"/>
        <v>10121.379166666668</v>
      </c>
      <c r="DC112" s="1080">
        <f t="shared" si="269"/>
        <v>10121.379166666668</v>
      </c>
      <c r="DD112" s="1080">
        <f t="shared" si="269"/>
        <v>10121.379166666668</v>
      </c>
      <c r="DE112" s="1080">
        <f t="shared" si="269"/>
        <v>10121.379166666668</v>
      </c>
      <c r="DF112" s="1080">
        <f t="shared" si="269"/>
        <v>10121.379166666668</v>
      </c>
      <c r="DG112" s="1080">
        <f t="shared" si="269"/>
        <v>10121.379166666668</v>
      </c>
      <c r="DH112" s="1080">
        <f t="shared" si="269"/>
        <v>10121.379166666668</v>
      </c>
      <c r="DI112" s="1080">
        <f t="shared" si="269"/>
        <v>10121.379166666668</v>
      </c>
      <c r="DJ112" s="1080">
        <f t="shared" si="269"/>
        <v>10121.379166666668</v>
      </c>
      <c r="DK112" s="1080">
        <f t="shared" si="269"/>
        <v>10121.379166666668</v>
      </c>
      <c r="DL112" s="1081">
        <f t="shared" si="270"/>
        <v>121456.55</v>
      </c>
      <c r="DM112" s="1076"/>
      <c r="DN112" s="1077"/>
      <c r="DO112" s="1077"/>
      <c r="DP112" s="1077"/>
      <c r="DQ112" s="1077"/>
      <c r="DR112" s="1077"/>
      <c r="DS112" s="1077"/>
      <c r="DT112" s="1077"/>
      <c r="DU112" s="1077"/>
      <c r="DV112" s="1077"/>
      <c r="DW112" s="1077"/>
      <c r="DX112" s="1077"/>
      <c r="DY112" s="1078">
        <f t="shared" si="217"/>
        <v>0</v>
      </c>
      <c r="DZ112" s="1080">
        <f t="shared" si="272"/>
        <v>0</v>
      </c>
      <c r="EA112" s="1080">
        <f t="shared" si="272"/>
        <v>0</v>
      </c>
      <c r="EB112" s="1080">
        <f t="shared" si="272"/>
        <v>0</v>
      </c>
      <c r="EC112" s="1080">
        <f t="shared" si="272"/>
        <v>0</v>
      </c>
      <c r="ED112" s="1080">
        <f t="shared" si="272"/>
        <v>0</v>
      </c>
      <c r="EE112" s="1080">
        <f t="shared" si="272"/>
        <v>0</v>
      </c>
      <c r="EF112" s="1080">
        <f t="shared" si="272"/>
        <v>0</v>
      </c>
      <c r="EG112" s="1080">
        <f t="shared" si="272"/>
        <v>0</v>
      </c>
      <c r="EH112" s="1080">
        <f t="shared" si="272"/>
        <v>0</v>
      </c>
      <c r="EI112" s="1080">
        <f t="shared" si="272"/>
        <v>0</v>
      </c>
      <c r="EJ112" s="1080">
        <f t="shared" si="272"/>
        <v>0</v>
      </c>
      <c r="EK112" s="1080">
        <f t="shared" si="272"/>
        <v>0</v>
      </c>
      <c r="EL112" s="1081">
        <f t="shared" si="273"/>
        <v>0</v>
      </c>
    </row>
    <row r="113" spans="1:142" s="1085" customFormat="1">
      <c r="A113" s="973" t="s">
        <v>730</v>
      </c>
      <c r="B113" s="1068" t="s">
        <v>84</v>
      </c>
      <c r="C113" s="1069"/>
      <c r="D113" s="1093">
        <v>4.34</v>
      </c>
      <c r="E113" s="1087">
        <f>D113</f>
        <v>4.34</v>
      </c>
      <c r="F113" s="1088">
        <v>4.3899999999999997</v>
      </c>
      <c r="G113" s="1089">
        <f t="shared" si="261"/>
        <v>4.3899999999999997</v>
      </c>
      <c r="H113" s="1093">
        <f t="shared" si="261"/>
        <v>4.3899999999999997</v>
      </c>
      <c r="I113" s="1087">
        <f t="shared" si="261"/>
        <v>4.3899999999999997</v>
      </c>
      <c r="J113" s="1087">
        <f t="shared" si="261"/>
        <v>4.3899999999999997</v>
      </c>
      <c r="K113" s="1094">
        <f t="shared" si="261"/>
        <v>4.3899999999999997</v>
      </c>
      <c r="L113" s="1075"/>
      <c r="M113" s="1076">
        <v>0</v>
      </c>
      <c r="N113" s="1077">
        <v>3200</v>
      </c>
      <c r="O113" s="1077">
        <v>4000</v>
      </c>
      <c r="P113" s="1077">
        <v>4000</v>
      </c>
      <c r="Q113" s="1077">
        <v>2000</v>
      </c>
      <c r="R113" s="1077">
        <v>3000</v>
      </c>
      <c r="S113" s="1077"/>
      <c r="T113" s="1077"/>
      <c r="U113" s="1077"/>
      <c r="V113" s="1077"/>
      <c r="W113" s="1077"/>
      <c r="X113" s="1077"/>
      <c r="Y113" s="1078">
        <f t="shared" si="262"/>
        <v>16200</v>
      </c>
      <c r="Z113" s="1079">
        <v>0</v>
      </c>
      <c r="AA113" s="1080">
        <v>13888</v>
      </c>
      <c r="AB113" s="1080">
        <v>19360</v>
      </c>
      <c r="AC113" s="1080">
        <f t="shared" si="284"/>
        <v>17360</v>
      </c>
      <c r="AD113" s="1080">
        <f t="shared" si="274"/>
        <v>8680</v>
      </c>
      <c r="AE113" s="1080">
        <f t="shared" si="285"/>
        <v>13020</v>
      </c>
      <c r="AF113" s="1080">
        <f t="shared" si="275"/>
        <v>0</v>
      </c>
      <c r="AG113" s="1080">
        <f t="shared" si="276"/>
        <v>0</v>
      </c>
      <c r="AH113" s="1080">
        <f t="shared" si="277"/>
        <v>0</v>
      </c>
      <c r="AI113" s="1080">
        <f t="shared" si="278"/>
        <v>0</v>
      </c>
      <c r="AJ113" s="1080">
        <f t="shared" si="279"/>
        <v>0</v>
      </c>
      <c r="AK113" s="1080">
        <f t="shared" si="280"/>
        <v>0</v>
      </c>
      <c r="AL113" s="1081">
        <f t="shared" si="263"/>
        <v>72308</v>
      </c>
      <c r="AM113" s="1076"/>
      <c r="AN113" s="1077"/>
      <c r="AO113" s="1077"/>
      <c r="AP113" s="1077"/>
      <c r="AQ113" s="1077"/>
      <c r="AR113" s="1077"/>
      <c r="AS113" s="1077"/>
      <c r="AT113" s="1077"/>
      <c r="AU113" s="1077"/>
      <c r="AV113" s="1077"/>
      <c r="AW113" s="1077"/>
      <c r="AX113" s="1077"/>
      <c r="AY113" s="1078">
        <f t="shared" si="213"/>
        <v>0</v>
      </c>
      <c r="AZ113" s="1079">
        <f t="shared" si="264"/>
        <v>0</v>
      </c>
      <c r="BA113" s="1080">
        <f t="shared" si="264"/>
        <v>0</v>
      </c>
      <c r="BB113" s="1080">
        <f t="shared" si="264"/>
        <v>0</v>
      </c>
      <c r="BC113" s="1080">
        <f t="shared" si="264"/>
        <v>0</v>
      </c>
      <c r="BD113" s="1080">
        <f t="shared" si="264"/>
        <v>0</v>
      </c>
      <c r="BE113" s="1080">
        <f t="shared" si="264"/>
        <v>0</v>
      </c>
      <c r="BF113" s="1080">
        <f t="shared" si="264"/>
        <v>0</v>
      </c>
      <c r="BG113" s="1080">
        <f t="shared" si="264"/>
        <v>0</v>
      </c>
      <c r="BH113" s="1080">
        <f t="shared" si="264"/>
        <v>0</v>
      </c>
      <c r="BI113" s="1080">
        <f t="shared" si="264"/>
        <v>0</v>
      </c>
      <c r="BJ113" s="1080">
        <f t="shared" si="264"/>
        <v>0</v>
      </c>
      <c r="BK113" s="1080">
        <f t="shared" si="264"/>
        <v>0</v>
      </c>
      <c r="BL113" s="1081">
        <f t="shared" si="265"/>
        <v>0</v>
      </c>
      <c r="BM113" s="1082"/>
      <c r="BN113" s="1077"/>
      <c r="BO113" s="1077"/>
      <c r="BP113" s="1077"/>
      <c r="BQ113" s="1077"/>
      <c r="BR113" s="1077"/>
      <c r="BS113" s="1077"/>
      <c r="BT113" s="1077"/>
      <c r="BU113" s="1077"/>
      <c r="BV113" s="1077"/>
      <c r="BW113" s="1077"/>
      <c r="BX113" s="1077"/>
      <c r="BY113" s="1078">
        <f t="shared" si="215"/>
        <v>0</v>
      </c>
      <c r="BZ113" s="1083">
        <f t="shared" si="266"/>
        <v>0</v>
      </c>
      <c r="CA113" s="1080">
        <f t="shared" si="266"/>
        <v>0</v>
      </c>
      <c r="CB113" s="1080">
        <f t="shared" si="266"/>
        <v>0</v>
      </c>
      <c r="CC113" s="1080">
        <f t="shared" si="266"/>
        <v>0</v>
      </c>
      <c r="CD113" s="1080">
        <f t="shared" si="266"/>
        <v>0</v>
      </c>
      <c r="CE113" s="1080">
        <f t="shared" si="266"/>
        <v>0</v>
      </c>
      <c r="CF113" s="1080">
        <f t="shared" si="266"/>
        <v>0</v>
      </c>
      <c r="CG113" s="1080">
        <f t="shared" si="266"/>
        <v>0</v>
      </c>
      <c r="CH113" s="1080">
        <f t="shared" si="266"/>
        <v>0</v>
      </c>
      <c r="CI113" s="1080">
        <f t="shared" si="266"/>
        <v>0</v>
      </c>
      <c r="CJ113" s="1080">
        <f t="shared" si="266"/>
        <v>0</v>
      </c>
      <c r="CK113" s="1080">
        <f t="shared" si="266"/>
        <v>0</v>
      </c>
      <c r="CL113" s="1084">
        <f t="shared" si="267"/>
        <v>0</v>
      </c>
      <c r="CM113" s="1082"/>
      <c r="CN113" s="1077"/>
      <c r="CO113" s="1077"/>
      <c r="CP113" s="1077"/>
      <c r="CQ113" s="1077"/>
      <c r="CR113" s="1077"/>
      <c r="CS113" s="1077"/>
      <c r="CT113" s="1077"/>
      <c r="CU113" s="1077"/>
      <c r="CV113" s="1077"/>
      <c r="CW113" s="1077"/>
      <c r="CX113" s="1077"/>
      <c r="CY113" s="1078">
        <f t="shared" si="216"/>
        <v>0</v>
      </c>
      <c r="CZ113" s="1079">
        <f t="shared" si="269"/>
        <v>0</v>
      </c>
      <c r="DA113" s="1080">
        <f t="shared" si="269"/>
        <v>0</v>
      </c>
      <c r="DB113" s="1080">
        <f t="shared" si="269"/>
        <v>0</v>
      </c>
      <c r="DC113" s="1080">
        <f t="shared" si="269"/>
        <v>0</v>
      </c>
      <c r="DD113" s="1080">
        <f t="shared" si="269"/>
        <v>0</v>
      </c>
      <c r="DE113" s="1080">
        <f t="shared" si="269"/>
        <v>0</v>
      </c>
      <c r="DF113" s="1080">
        <f t="shared" si="269"/>
        <v>0</v>
      </c>
      <c r="DG113" s="1080">
        <f t="shared" si="269"/>
        <v>0</v>
      </c>
      <c r="DH113" s="1080">
        <f t="shared" si="269"/>
        <v>0</v>
      </c>
      <c r="DI113" s="1080">
        <f t="shared" si="269"/>
        <v>0</v>
      </c>
      <c r="DJ113" s="1080">
        <f t="shared" si="269"/>
        <v>0</v>
      </c>
      <c r="DK113" s="1080">
        <f t="shared" si="269"/>
        <v>0</v>
      </c>
      <c r="DL113" s="1081">
        <f t="shared" si="270"/>
        <v>0</v>
      </c>
      <c r="DM113" s="1076"/>
      <c r="DN113" s="1077"/>
      <c r="DO113" s="1077"/>
      <c r="DP113" s="1077"/>
      <c r="DQ113" s="1077"/>
      <c r="DR113" s="1077"/>
      <c r="DS113" s="1077"/>
      <c r="DT113" s="1077"/>
      <c r="DU113" s="1077"/>
      <c r="DV113" s="1077"/>
      <c r="DW113" s="1077"/>
      <c r="DX113" s="1077"/>
      <c r="DY113" s="1078">
        <f t="shared" si="217"/>
        <v>0</v>
      </c>
      <c r="DZ113" s="1080">
        <f t="shared" si="272"/>
        <v>0</v>
      </c>
      <c r="EA113" s="1080">
        <f t="shared" si="272"/>
        <v>0</v>
      </c>
      <c r="EB113" s="1080">
        <f t="shared" si="272"/>
        <v>0</v>
      </c>
      <c r="EC113" s="1080">
        <f t="shared" si="272"/>
        <v>0</v>
      </c>
      <c r="ED113" s="1080">
        <f t="shared" si="272"/>
        <v>0</v>
      </c>
      <c r="EE113" s="1080">
        <f t="shared" si="272"/>
        <v>0</v>
      </c>
      <c r="EF113" s="1080">
        <f t="shared" si="272"/>
        <v>0</v>
      </c>
      <c r="EG113" s="1080">
        <f t="shared" si="272"/>
        <v>0</v>
      </c>
      <c r="EH113" s="1080">
        <f t="shared" si="272"/>
        <v>0</v>
      </c>
      <c r="EI113" s="1080">
        <f t="shared" si="272"/>
        <v>0</v>
      </c>
      <c r="EJ113" s="1080">
        <f t="shared" si="272"/>
        <v>0</v>
      </c>
      <c r="EK113" s="1080">
        <f t="shared" si="272"/>
        <v>0</v>
      </c>
      <c r="EL113" s="1081">
        <f t="shared" si="273"/>
        <v>0</v>
      </c>
    </row>
    <row r="114" spans="1:142" s="1085" customFormat="1">
      <c r="A114" s="973" t="s">
        <v>730</v>
      </c>
      <c r="B114" s="1068" t="s">
        <v>274</v>
      </c>
      <c r="C114" s="1069" t="s">
        <v>275</v>
      </c>
      <c r="D114" s="1093">
        <v>4.8600000000000003</v>
      </c>
      <c r="E114" s="1087">
        <v>4.88</v>
      </c>
      <c r="F114" s="1088">
        <v>5.01</v>
      </c>
      <c r="G114" s="1089">
        <f t="shared" ref="G114:K115" si="296">F114</f>
        <v>5.01</v>
      </c>
      <c r="H114" s="1093">
        <f t="shared" si="296"/>
        <v>5.01</v>
      </c>
      <c r="I114" s="1087">
        <f t="shared" si="296"/>
        <v>5.01</v>
      </c>
      <c r="J114" s="1087">
        <f t="shared" si="296"/>
        <v>5.01</v>
      </c>
      <c r="K114" s="1094">
        <f t="shared" si="296"/>
        <v>5.01</v>
      </c>
      <c r="L114" s="1075"/>
      <c r="M114" s="1076">
        <v>2688</v>
      </c>
      <c r="N114" s="1077">
        <v>4998</v>
      </c>
      <c r="O114" s="1077">
        <v>1000</v>
      </c>
      <c r="P114" s="1077">
        <v>4536</v>
      </c>
      <c r="Q114" s="1077">
        <v>1650</v>
      </c>
      <c r="R114" s="1077">
        <f>1650*2</f>
        <v>3300</v>
      </c>
      <c r="S114" s="1077">
        <v>1650</v>
      </c>
      <c r="T114" s="1077">
        <f>1650*2</f>
        <v>3300</v>
      </c>
      <c r="U114" s="1077">
        <v>1650</v>
      </c>
      <c r="V114" s="1077">
        <f>1650+1100</f>
        <v>2750</v>
      </c>
      <c r="W114" s="1077">
        <v>6050</v>
      </c>
      <c r="X114" s="1077">
        <v>5500</v>
      </c>
      <c r="Y114" s="1078">
        <f t="shared" si="262"/>
        <v>39072</v>
      </c>
      <c r="Z114" s="1079">
        <v>13063.68</v>
      </c>
      <c r="AA114" s="1080">
        <v>24290.280000000002</v>
      </c>
      <c r="AB114" s="1080">
        <v>4860</v>
      </c>
      <c r="AC114" s="1080">
        <f t="shared" si="284"/>
        <v>22135.68</v>
      </c>
      <c r="AD114" s="1080">
        <f t="shared" si="274"/>
        <v>8052</v>
      </c>
      <c r="AE114" s="1080">
        <f t="shared" si="285"/>
        <v>16104</v>
      </c>
      <c r="AF114" s="1080">
        <f t="shared" si="275"/>
        <v>8266.5</v>
      </c>
      <c r="AG114" s="1080">
        <f t="shared" si="276"/>
        <v>16533</v>
      </c>
      <c r="AH114" s="1080">
        <f t="shared" si="277"/>
        <v>8266.5</v>
      </c>
      <c r="AI114" s="1080">
        <f t="shared" si="278"/>
        <v>13777.5</v>
      </c>
      <c r="AJ114" s="1080">
        <f t="shared" si="279"/>
        <v>30310.5</v>
      </c>
      <c r="AK114" s="1080">
        <f t="shared" si="280"/>
        <v>27555</v>
      </c>
      <c r="AL114" s="1081">
        <f t="shared" si="263"/>
        <v>193214.64</v>
      </c>
      <c r="AM114" s="1076">
        <f>1650*3+550</f>
        <v>5500</v>
      </c>
      <c r="AN114" s="1077">
        <v>6600</v>
      </c>
      <c r="AO114" s="1077">
        <v>5500</v>
      </c>
      <c r="AP114" s="1077">
        <v>4300</v>
      </c>
      <c r="AQ114" s="1077">
        <v>5300</v>
      </c>
      <c r="AR114" s="1077">
        <v>5300</v>
      </c>
      <c r="AS114" s="1077">
        <v>5300</v>
      </c>
      <c r="AT114" s="1077">
        <v>5300</v>
      </c>
      <c r="AU114" s="1077">
        <v>5300</v>
      </c>
      <c r="AV114" s="1077">
        <v>3300</v>
      </c>
      <c r="AW114" s="1077">
        <v>3800</v>
      </c>
      <c r="AX114" s="1077">
        <v>3800</v>
      </c>
      <c r="AY114" s="1078">
        <f t="shared" si="213"/>
        <v>59300</v>
      </c>
      <c r="AZ114" s="1079">
        <f t="shared" si="264"/>
        <v>27555</v>
      </c>
      <c r="BA114" s="1080">
        <f t="shared" si="264"/>
        <v>33066</v>
      </c>
      <c r="BB114" s="1080">
        <f t="shared" si="264"/>
        <v>27555</v>
      </c>
      <c r="BC114" s="1080">
        <f t="shared" si="264"/>
        <v>21543</v>
      </c>
      <c r="BD114" s="1080">
        <f t="shared" si="264"/>
        <v>26553</v>
      </c>
      <c r="BE114" s="1080">
        <f t="shared" si="264"/>
        <v>26553</v>
      </c>
      <c r="BF114" s="1080">
        <f t="shared" si="264"/>
        <v>26553</v>
      </c>
      <c r="BG114" s="1080">
        <f t="shared" si="264"/>
        <v>26553</v>
      </c>
      <c r="BH114" s="1080">
        <f t="shared" si="264"/>
        <v>26553</v>
      </c>
      <c r="BI114" s="1080">
        <f t="shared" si="264"/>
        <v>16533</v>
      </c>
      <c r="BJ114" s="1080">
        <f t="shared" si="264"/>
        <v>19038</v>
      </c>
      <c r="BK114" s="1080">
        <f t="shared" si="264"/>
        <v>19038</v>
      </c>
      <c r="BL114" s="1081">
        <f t="shared" si="265"/>
        <v>297093</v>
      </c>
      <c r="BM114" s="1082">
        <f>13090/12</f>
        <v>1090.8333333333333</v>
      </c>
      <c r="BN114" s="1077">
        <f t="shared" ref="BN114:BX114" si="297">13090/12</f>
        <v>1090.8333333333333</v>
      </c>
      <c r="BO114" s="1077">
        <f t="shared" si="297"/>
        <v>1090.8333333333333</v>
      </c>
      <c r="BP114" s="1077">
        <f t="shared" si="297"/>
        <v>1090.8333333333333</v>
      </c>
      <c r="BQ114" s="1077">
        <f t="shared" si="297"/>
        <v>1090.8333333333333</v>
      </c>
      <c r="BR114" s="1077">
        <f t="shared" si="297"/>
        <v>1090.8333333333333</v>
      </c>
      <c r="BS114" s="1077">
        <f t="shared" si="297"/>
        <v>1090.8333333333333</v>
      </c>
      <c r="BT114" s="1077">
        <f t="shared" si="297"/>
        <v>1090.8333333333333</v>
      </c>
      <c r="BU114" s="1077">
        <f t="shared" si="297"/>
        <v>1090.8333333333333</v>
      </c>
      <c r="BV114" s="1077">
        <f t="shared" si="297"/>
        <v>1090.8333333333333</v>
      </c>
      <c r="BW114" s="1077">
        <f t="shared" si="297"/>
        <v>1090.8333333333333</v>
      </c>
      <c r="BX114" s="1077">
        <f t="shared" si="297"/>
        <v>1090.8333333333333</v>
      </c>
      <c r="BY114" s="1078">
        <f t="shared" si="215"/>
        <v>13090.000000000002</v>
      </c>
      <c r="BZ114" s="1083">
        <f t="shared" si="266"/>
        <v>5465.0749999999998</v>
      </c>
      <c r="CA114" s="1080">
        <f t="shared" si="266"/>
        <v>5465.0749999999998</v>
      </c>
      <c r="CB114" s="1080">
        <f t="shared" si="266"/>
        <v>5465.0749999999998</v>
      </c>
      <c r="CC114" s="1080">
        <f t="shared" si="266"/>
        <v>5465.0749999999998</v>
      </c>
      <c r="CD114" s="1080">
        <f t="shared" si="266"/>
        <v>5465.0749999999998</v>
      </c>
      <c r="CE114" s="1080">
        <f t="shared" si="266"/>
        <v>5465.0749999999998</v>
      </c>
      <c r="CF114" s="1080">
        <f t="shared" si="266"/>
        <v>5465.0749999999998</v>
      </c>
      <c r="CG114" s="1080">
        <f t="shared" si="266"/>
        <v>5465.0749999999998</v>
      </c>
      <c r="CH114" s="1080">
        <f t="shared" si="266"/>
        <v>5465.0749999999998</v>
      </c>
      <c r="CI114" s="1080">
        <f t="shared" si="266"/>
        <v>5465.0749999999998</v>
      </c>
      <c r="CJ114" s="1080">
        <f t="shared" si="266"/>
        <v>5465.0749999999998</v>
      </c>
      <c r="CK114" s="1080">
        <f t="shared" si="266"/>
        <v>5465.0749999999998</v>
      </c>
      <c r="CL114" s="1084">
        <f t="shared" si="267"/>
        <v>65580.89999999998</v>
      </c>
      <c r="CM114" s="1082"/>
      <c r="CN114" s="1077"/>
      <c r="CO114" s="1077"/>
      <c r="CP114" s="1077"/>
      <c r="CQ114" s="1077"/>
      <c r="CR114" s="1077"/>
      <c r="CS114" s="1077"/>
      <c r="CT114" s="1077"/>
      <c r="CU114" s="1077"/>
      <c r="CV114" s="1077"/>
      <c r="CW114" s="1077"/>
      <c r="CX114" s="1077"/>
      <c r="CY114" s="1078">
        <f t="shared" si="216"/>
        <v>0</v>
      </c>
      <c r="CZ114" s="1079">
        <f t="shared" si="269"/>
        <v>0</v>
      </c>
      <c r="DA114" s="1080">
        <f t="shared" si="269"/>
        <v>0</v>
      </c>
      <c r="DB114" s="1080">
        <f t="shared" si="269"/>
        <v>0</v>
      </c>
      <c r="DC114" s="1080">
        <f t="shared" si="269"/>
        <v>0</v>
      </c>
      <c r="DD114" s="1080">
        <f t="shared" si="269"/>
        <v>0</v>
      </c>
      <c r="DE114" s="1080">
        <f t="shared" si="269"/>
        <v>0</v>
      </c>
      <c r="DF114" s="1080">
        <f t="shared" si="269"/>
        <v>0</v>
      </c>
      <c r="DG114" s="1080">
        <f t="shared" si="269"/>
        <v>0</v>
      </c>
      <c r="DH114" s="1080">
        <f t="shared" si="269"/>
        <v>0</v>
      </c>
      <c r="DI114" s="1080">
        <f t="shared" si="269"/>
        <v>0</v>
      </c>
      <c r="DJ114" s="1080">
        <f t="shared" si="269"/>
        <v>0</v>
      </c>
      <c r="DK114" s="1080">
        <f t="shared" si="269"/>
        <v>0</v>
      </c>
      <c r="DL114" s="1081">
        <f t="shared" si="270"/>
        <v>0</v>
      </c>
      <c r="DM114" s="1076"/>
      <c r="DN114" s="1077"/>
      <c r="DO114" s="1077"/>
      <c r="DP114" s="1077"/>
      <c r="DQ114" s="1077"/>
      <c r="DR114" s="1077"/>
      <c r="DS114" s="1077"/>
      <c r="DT114" s="1077"/>
      <c r="DU114" s="1077"/>
      <c r="DV114" s="1077"/>
      <c r="DW114" s="1077"/>
      <c r="DX114" s="1077"/>
      <c r="DY114" s="1078">
        <f t="shared" si="217"/>
        <v>0</v>
      </c>
      <c r="DZ114" s="1080">
        <f t="shared" si="272"/>
        <v>0</v>
      </c>
      <c r="EA114" s="1080">
        <f t="shared" si="272"/>
        <v>0</v>
      </c>
      <c r="EB114" s="1080">
        <f t="shared" si="272"/>
        <v>0</v>
      </c>
      <c r="EC114" s="1080">
        <f t="shared" si="272"/>
        <v>0</v>
      </c>
      <c r="ED114" s="1080">
        <f t="shared" si="272"/>
        <v>0</v>
      </c>
      <c r="EE114" s="1080">
        <f t="shared" si="272"/>
        <v>0</v>
      </c>
      <c r="EF114" s="1080">
        <f t="shared" si="272"/>
        <v>0</v>
      </c>
      <c r="EG114" s="1080">
        <f t="shared" si="272"/>
        <v>0</v>
      </c>
      <c r="EH114" s="1080">
        <f t="shared" si="272"/>
        <v>0</v>
      </c>
      <c r="EI114" s="1080">
        <f t="shared" si="272"/>
        <v>0</v>
      </c>
      <c r="EJ114" s="1080">
        <f t="shared" si="272"/>
        <v>0</v>
      </c>
      <c r="EK114" s="1080">
        <f t="shared" si="272"/>
        <v>0</v>
      </c>
      <c r="EL114" s="1081">
        <f t="shared" si="273"/>
        <v>0</v>
      </c>
    </row>
    <row r="115" spans="1:142" s="1085" customFormat="1">
      <c r="A115" s="973" t="s">
        <v>730</v>
      </c>
      <c r="B115" s="1068" t="s">
        <v>276</v>
      </c>
      <c r="C115" s="1069" t="s">
        <v>277</v>
      </c>
      <c r="D115" s="1093">
        <v>5.14</v>
      </c>
      <c r="E115" s="1087">
        <v>5.1100000000000003</v>
      </c>
      <c r="F115" s="1088">
        <v>5.25</v>
      </c>
      <c r="G115" s="1089">
        <f t="shared" si="296"/>
        <v>5.25</v>
      </c>
      <c r="H115" s="1093">
        <f t="shared" si="296"/>
        <v>5.25</v>
      </c>
      <c r="I115" s="1087">
        <f t="shared" si="296"/>
        <v>5.25</v>
      </c>
      <c r="J115" s="1087">
        <f t="shared" si="296"/>
        <v>5.25</v>
      </c>
      <c r="K115" s="1094">
        <f t="shared" si="296"/>
        <v>5.25</v>
      </c>
      <c r="L115" s="1075"/>
      <c r="M115" s="1076"/>
      <c r="N115" s="1077"/>
      <c r="O115" s="1077">
        <v>0</v>
      </c>
      <c r="P115" s="1077">
        <v>0</v>
      </c>
      <c r="Q115" s="1077">
        <v>0</v>
      </c>
      <c r="R115" s="1077">
        <v>0</v>
      </c>
      <c r="S115" s="1077">
        <v>0</v>
      </c>
      <c r="T115" s="1077"/>
      <c r="U115" s="1077">
        <v>0</v>
      </c>
      <c r="V115" s="1077">
        <v>0</v>
      </c>
      <c r="W115" s="1077"/>
      <c r="X115" s="1077">
        <v>0</v>
      </c>
      <c r="Y115" s="1078">
        <f t="shared" si="262"/>
        <v>0</v>
      </c>
      <c r="Z115" s="1079">
        <v>0</v>
      </c>
      <c r="AA115" s="1080">
        <v>0</v>
      </c>
      <c r="AB115" s="1080">
        <v>0</v>
      </c>
      <c r="AC115" s="1080">
        <f>P115*$E115</f>
        <v>0</v>
      </c>
      <c r="AD115" s="1080">
        <f t="shared" si="274"/>
        <v>0</v>
      </c>
      <c r="AE115" s="1080">
        <f t="shared" si="285"/>
        <v>0</v>
      </c>
      <c r="AF115" s="1080">
        <f t="shared" ref="AF115:AF121" si="298">S115*E115</f>
        <v>0</v>
      </c>
      <c r="AG115" s="1080">
        <f t="shared" si="276"/>
        <v>0</v>
      </c>
      <c r="AH115" s="1080">
        <f t="shared" si="277"/>
        <v>0</v>
      </c>
      <c r="AI115" s="1080">
        <f t="shared" si="278"/>
        <v>0</v>
      </c>
      <c r="AJ115" s="1080">
        <f t="shared" si="279"/>
        <v>0</v>
      </c>
      <c r="AK115" s="1080">
        <f t="shared" si="280"/>
        <v>0</v>
      </c>
      <c r="AL115" s="1081">
        <f t="shared" si="263"/>
        <v>0</v>
      </c>
      <c r="AM115" s="1076">
        <v>2397</v>
      </c>
      <c r="AN115" s="1077">
        <v>2397</v>
      </c>
      <c r="AO115" s="1077">
        <v>2397</v>
      </c>
      <c r="AP115" s="1077">
        <v>2397</v>
      </c>
      <c r="AQ115" s="1077">
        <v>2397</v>
      </c>
      <c r="AR115" s="1077">
        <v>2397</v>
      </c>
      <c r="AS115" s="1077">
        <v>2397</v>
      </c>
      <c r="AT115" s="1077">
        <v>2397</v>
      </c>
      <c r="AU115" s="1077">
        <v>2397</v>
      </c>
      <c r="AV115" s="1077">
        <v>2397</v>
      </c>
      <c r="AW115" s="1077">
        <v>2397</v>
      </c>
      <c r="AX115" s="1077">
        <v>2397</v>
      </c>
      <c r="AY115" s="1078">
        <f t="shared" si="213"/>
        <v>28764</v>
      </c>
      <c r="AZ115" s="1079">
        <f t="shared" si="264"/>
        <v>12584.25</v>
      </c>
      <c r="BA115" s="1080">
        <f t="shared" si="264"/>
        <v>12584.25</v>
      </c>
      <c r="BB115" s="1080">
        <f t="shared" si="264"/>
        <v>12584.25</v>
      </c>
      <c r="BC115" s="1080">
        <f t="shared" si="264"/>
        <v>12584.25</v>
      </c>
      <c r="BD115" s="1080">
        <f t="shared" si="264"/>
        <v>12584.25</v>
      </c>
      <c r="BE115" s="1080">
        <f t="shared" si="264"/>
        <v>12584.25</v>
      </c>
      <c r="BF115" s="1080">
        <f t="shared" si="264"/>
        <v>12584.25</v>
      </c>
      <c r="BG115" s="1080">
        <f t="shared" si="264"/>
        <v>12584.25</v>
      </c>
      <c r="BH115" s="1080">
        <f t="shared" si="264"/>
        <v>12584.25</v>
      </c>
      <c r="BI115" s="1080">
        <f t="shared" si="264"/>
        <v>12584.25</v>
      </c>
      <c r="BJ115" s="1080">
        <f t="shared" si="264"/>
        <v>12584.25</v>
      </c>
      <c r="BK115" s="1080">
        <f t="shared" si="264"/>
        <v>12584.25</v>
      </c>
      <c r="BL115" s="1081">
        <f t="shared" si="265"/>
        <v>151011</v>
      </c>
      <c r="BM115" s="1082">
        <f>4363/12</f>
        <v>363.58333333333331</v>
      </c>
      <c r="BN115" s="1077">
        <f t="shared" ref="BN115:BX115" si="299">4363/12</f>
        <v>363.58333333333331</v>
      </c>
      <c r="BO115" s="1077">
        <f t="shared" si="299"/>
        <v>363.58333333333331</v>
      </c>
      <c r="BP115" s="1077">
        <f t="shared" si="299"/>
        <v>363.58333333333331</v>
      </c>
      <c r="BQ115" s="1077">
        <f t="shared" si="299"/>
        <v>363.58333333333331</v>
      </c>
      <c r="BR115" s="1077">
        <f t="shared" si="299"/>
        <v>363.58333333333331</v>
      </c>
      <c r="BS115" s="1077">
        <f t="shared" si="299"/>
        <v>363.58333333333331</v>
      </c>
      <c r="BT115" s="1077">
        <f t="shared" si="299"/>
        <v>363.58333333333331</v>
      </c>
      <c r="BU115" s="1077">
        <f t="shared" si="299"/>
        <v>363.58333333333331</v>
      </c>
      <c r="BV115" s="1077">
        <f t="shared" si="299"/>
        <v>363.58333333333331</v>
      </c>
      <c r="BW115" s="1077">
        <f t="shared" si="299"/>
        <v>363.58333333333331</v>
      </c>
      <c r="BX115" s="1077">
        <f t="shared" si="299"/>
        <v>363.58333333333331</v>
      </c>
      <c r="BY115" s="1078">
        <f t="shared" si="215"/>
        <v>4363.0000000000009</v>
      </c>
      <c r="BZ115" s="1083">
        <f t="shared" si="266"/>
        <v>1908.8125</v>
      </c>
      <c r="CA115" s="1080">
        <f t="shared" si="266"/>
        <v>1908.8125</v>
      </c>
      <c r="CB115" s="1080">
        <f t="shared" si="266"/>
        <v>1908.8125</v>
      </c>
      <c r="CC115" s="1080">
        <f t="shared" si="266"/>
        <v>1908.8125</v>
      </c>
      <c r="CD115" s="1080">
        <f t="shared" si="266"/>
        <v>1908.8125</v>
      </c>
      <c r="CE115" s="1080">
        <f t="shared" si="266"/>
        <v>1908.8125</v>
      </c>
      <c r="CF115" s="1080">
        <f t="shared" si="266"/>
        <v>1908.8125</v>
      </c>
      <c r="CG115" s="1080">
        <f t="shared" si="266"/>
        <v>1908.8125</v>
      </c>
      <c r="CH115" s="1080">
        <f t="shared" si="266"/>
        <v>1908.8125</v>
      </c>
      <c r="CI115" s="1080">
        <f t="shared" si="266"/>
        <v>1908.8125</v>
      </c>
      <c r="CJ115" s="1080">
        <f t="shared" si="266"/>
        <v>1908.8125</v>
      </c>
      <c r="CK115" s="1080">
        <f t="shared" si="266"/>
        <v>1908.8125</v>
      </c>
      <c r="CL115" s="1084">
        <f t="shared" si="267"/>
        <v>22905.75</v>
      </c>
      <c r="CM115" s="1082"/>
      <c r="CN115" s="1077"/>
      <c r="CO115" s="1077"/>
      <c r="CP115" s="1077"/>
      <c r="CQ115" s="1077"/>
      <c r="CR115" s="1077"/>
      <c r="CS115" s="1077"/>
      <c r="CT115" s="1077"/>
      <c r="CU115" s="1077"/>
      <c r="CV115" s="1077"/>
      <c r="CW115" s="1077"/>
      <c r="CX115" s="1077"/>
      <c r="CY115" s="1078">
        <f t="shared" si="216"/>
        <v>0</v>
      </c>
      <c r="CZ115" s="1079">
        <f t="shared" si="269"/>
        <v>0</v>
      </c>
      <c r="DA115" s="1080">
        <f t="shared" si="269"/>
        <v>0</v>
      </c>
      <c r="DB115" s="1080">
        <f t="shared" si="269"/>
        <v>0</v>
      </c>
      <c r="DC115" s="1080">
        <f t="shared" si="269"/>
        <v>0</v>
      </c>
      <c r="DD115" s="1080">
        <f t="shared" si="269"/>
        <v>0</v>
      </c>
      <c r="DE115" s="1080">
        <f t="shared" si="269"/>
        <v>0</v>
      </c>
      <c r="DF115" s="1080">
        <f t="shared" si="269"/>
        <v>0</v>
      </c>
      <c r="DG115" s="1080">
        <f t="shared" si="269"/>
        <v>0</v>
      </c>
      <c r="DH115" s="1080">
        <f t="shared" si="269"/>
        <v>0</v>
      </c>
      <c r="DI115" s="1080">
        <f t="shared" si="269"/>
        <v>0</v>
      </c>
      <c r="DJ115" s="1080">
        <f t="shared" si="269"/>
        <v>0</v>
      </c>
      <c r="DK115" s="1080">
        <f t="shared" si="269"/>
        <v>0</v>
      </c>
      <c r="DL115" s="1081">
        <f t="shared" si="270"/>
        <v>0</v>
      </c>
      <c r="DM115" s="1076"/>
      <c r="DN115" s="1077"/>
      <c r="DO115" s="1077"/>
      <c r="DP115" s="1077"/>
      <c r="DQ115" s="1077"/>
      <c r="DR115" s="1077"/>
      <c r="DS115" s="1077"/>
      <c r="DT115" s="1077"/>
      <c r="DU115" s="1077"/>
      <c r="DV115" s="1077"/>
      <c r="DW115" s="1077"/>
      <c r="DX115" s="1077"/>
      <c r="DY115" s="1078">
        <f t="shared" si="217"/>
        <v>0</v>
      </c>
      <c r="DZ115" s="1080">
        <f t="shared" si="272"/>
        <v>0</v>
      </c>
      <c r="EA115" s="1080">
        <f t="shared" si="272"/>
        <v>0</v>
      </c>
      <c r="EB115" s="1080">
        <f t="shared" si="272"/>
        <v>0</v>
      </c>
      <c r="EC115" s="1080">
        <f t="shared" si="272"/>
        <v>0</v>
      </c>
      <c r="ED115" s="1080">
        <f t="shared" si="272"/>
        <v>0</v>
      </c>
      <c r="EE115" s="1080">
        <f t="shared" si="272"/>
        <v>0</v>
      </c>
      <c r="EF115" s="1080">
        <f t="shared" si="272"/>
        <v>0</v>
      </c>
      <c r="EG115" s="1080">
        <f t="shared" si="272"/>
        <v>0</v>
      </c>
      <c r="EH115" s="1080">
        <f t="shared" si="272"/>
        <v>0</v>
      </c>
      <c r="EI115" s="1080">
        <f t="shared" si="272"/>
        <v>0</v>
      </c>
      <c r="EJ115" s="1080">
        <f t="shared" si="272"/>
        <v>0</v>
      </c>
      <c r="EK115" s="1080">
        <f t="shared" si="272"/>
        <v>0</v>
      </c>
      <c r="EL115" s="1081">
        <f t="shared" si="273"/>
        <v>0</v>
      </c>
    </row>
    <row r="116" spans="1:142">
      <c r="A116" s="973" t="s">
        <v>730</v>
      </c>
      <c r="B116" s="905" t="s">
        <v>740</v>
      </c>
      <c r="C116" s="917"/>
      <c r="D116" s="558">
        <v>4.79</v>
      </c>
      <c r="E116" s="559">
        <f>D116</f>
        <v>4.79</v>
      </c>
      <c r="F116" s="1088">
        <v>5.01</v>
      </c>
      <c r="G116" s="560">
        <f>F116</f>
        <v>5.01</v>
      </c>
      <c r="H116" s="558">
        <v>4.79</v>
      </c>
      <c r="I116" s="559">
        <f t="shared" ref="I116:K120" si="300">H116</f>
        <v>4.79</v>
      </c>
      <c r="J116" s="559">
        <f t="shared" si="300"/>
        <v>4.79</v>
      </c>
      <c r="K116" s="982">
        <f t="shared" si="300"/>
        <v>4.79</v>
      </c>
      <c r="L116" s="983"/>
      <c r="M116" s="565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885">
        <f t="shared" si="262"/>
        <v>0</v>
      </c>
      <c r="Z116" s="886">
        <v>0</v>
      </c>
      <c r="AA116" s="257">
        <v>0</v>
      </c>
      <c r="AB116" s="257">
        <v>0</v>
      </c>
      <c r="AC116" s="257">
        <f>P116*$E116</f>
        <v>0</v>
      </c>
      <c r="AD116" s="257">
        <f t="shared" si="274"/>
        <v>0</v>
      </c>
      <c r="AE116" s="1080">
        <f t="shared" si="285"/>
        <v>0</v>
      </c>
      <c r="AF116" s="1080">
        <f t="shared" si="298"/>
        <v>0</v>
      </c>
      <c r="AG116" s="1080">
        <f t="shared" si="276"/>
        <v>0</v>
      </c>
      <c r="AH116" s="1080">
        <f t="shared" si="277"/>
        <v>0</v>
      </c>
      <c r="AI116" s="1080">
        <f t="shared" si="278"/>
        <v>0</v>
      </c>
      <c r="AJ116" s="1080">
        <f t="shared" si="279"/>
        <v>0</v>
      </c>
      <c r="AK116" s="1080">
        <f t="shared" si="280"/>
        <v>0</v>
      </c>
      <c r="AL116" s="887">
        <f t="shared" si="263"/>
        <v>0</v>
      </c>
      <c r="AM116" s="565">
        <v>218.16666666666666</v>
      </c>
      <c r="AN116" s="256">
        <v>218.16666666666666</v>
      </c>
      <c r="AO116" s="256">
        <v>218.16666666666666</v>
      </c>
      <c r="AP116" s="256">
        <v>218.16666666666666</v>
      </c>
      <c r="AQ116" s="256">
        <v>218.16666666666666</v>
      </c>
      <c r="AR116" s="256">
        <v>218.16666666666666</v>
      </c>
      <c r="AS116" s="256">
        <v>218.16666666666666</v>
      </c>
      <c r="AT116" s="256">
        <v>218.16666666666666</v>
      </c>
      <c r="AU116" s="256">
        <v>218.16666666666666</v>
      </c>
      <c r="AV116" s="256">
        <v>218.16666666666666</v>
      </c>
      <c r="AW116" s="256">
        <v>218.16666666666666</v>
      </c>
      <c r="AX116" s="256">
        <v>218.16666666666666</v>
      </c>
      <c r="AY116" s="885">
        <f t="shared" si="213"/>
        <v>2618</v>
      </c>
      <c r="AZ116" s="886">
        <f t="shared" si="264"/>
        <v>1045.0183333333332</v>
      </c>
      <c r="BA116" s="257">
        <f t="shared" si="264"/>
        <v>1045.0183333333332</v>
      </c>
      <c r="BB116" s="257">
        <f t="shared" si="264"/>
        <v>1045.0183333333332</v>
      </c>
      <c r="BC116" s="257">
        <f t="shared" si="264"/>
        <v>1045.0183333333332</v>
      </c>
      <c r="BD116" s="257">
        <f t="shared" si="264"/>
        <v>1045.0183333333332</v>
      </c>
      <c r="BE116" s="257">
        <f t="shared" si="264"/>
        <v>1045.0183333333332</v>
      </c>
      <c r="BF116" s="257">
        <f t="shared" si="264"/>
        <v>1045.0183333333332</v>
      </c>
      <c r="BG116" s="257">
        <f t="shared" si="264"/>
        <v>1045.0183333333332</v>
      </c>
      <c r="BH116" s="257">
        <f t="shared" si="264"/>
        <v>1045.0183333333332</v>
      </c>
      <c r="BI116" s="257">
        <f t="shared" si="264"/>
        <v>1045.0183333333332</v>
      </c>
      <c r="BJ116" s="257">
        <f t="shared" si="264"/>
        <v>1045.0183333333332</v>
      </c>
      <c r="BK116" s="257">
        <f t="shared" si="264"/>
        <v>1045.0183333333332</v>
      </c>
      <c r="BL116" s="887">
        <f t="shared" si="265"/>
        <v>12540.22</v>
      </c>
      <c r="BM116" s="897">
        <f>43811/12</f>
        <v>3650.9166666666665</v>
      </c>
      <c r="BN116" s="256">
        <f t="shared" ref="BN116:BX116" si="301">43811/12</f>
        <v>3650.9166666666665</v>
      </c>
      <c r="BO116" s="256">
        <f t="shared" si="301"/>
        <v>3650.9166666666665</v>
      </c>
      <c r="BP116" s="256">
        <f t="shared" si="301"/>
        <v>3650.9166666666665</v>
      </c>
      <c r="BQ116" s="256">
        <f t="shared" si="301"/>
        <v>3650.9166666666665</v>
      </c>
      <c r="BR116" s="256">
        <f t="shared" si="301"/>
        <v>3650.9166666666665</v>
      </c>
      <c r="BS116" s="256">
        <f t="shared" si="301"/>
        <v>3650.9166666666665</v>
      </c>
      <c r="BT116" s="256">
        <f t="shared" si="301"/>
        <v>3650.9166666666665</v>
      </c>
      <c r="BU116" s="256">
        <f t="shared" si="301"/>
        <v>3650.9166666666665</v>
      </c>
      <c r="BV116" s="256">
        <f t="shared" si="301"/>
        <v>3650.9166666666665</v>
      </c>
      <c r="BW116" s="256">
        <f t="shared" si="301"/>
        <v>3650.9166666666665</v>
      </c>
      <c r="BX116" s="256">
        <f t="shared" si="301"/>
        <v>3650.9166666666665</v>
      </c>
      <c r="BY116" s="885">
        <f t="shared" si="215"/>
        <v>43810.999999999993</v>
      </c>
      <c r="BZ116" s="891">
        <f t="shared" si="266"/>
        <v>17487.890833333331</v>
      </c>
      <c r="CA116" s="257">
        <f t="shared" si="266"/>
        <v>17487.890833333331</v>
      </c>
      <c r="CB116" s="257">
        <f t="shared" si="266"/>
        <v>17487.890833333331</v>
      </c>
      <c r="CC116" s="257">
        <f t="shared" si="266"/>
        <v>17487.890833333331</v>
      </c>
      <c r="CD116" s="257">
        <f t="shared" si="266"/>
        <v>17487.890833333331</v>
      </c>
      <c r="CE116" s="257">
        <f t="shared" si="266"/>
        <v>17487.890833333331</v>
      </c>
      <c r="CF116" s="257">
        <f t="shared" si="266"/>
        <v>17487.890833333331</v>
      </c>
      <c r="CG116" s="257">
        <f t="shared" si="266"/>
        <v>17487.890833333331</v>
      </c>
      <c r="CH116" s="257">
        <f t="shared" si="266"/>
        <v>17487.890833333331</v>
      </c>
      <c r="CI116" s="257">
        <f t="shared" si="266"/>
        <v>17487.890833333331</v>
      </c>
      <c r="CJ116" s="257">
        <f t="shared" si="266"/>
        <v>17487.890833333331</v>
      </c>
      <c r="CK116" s="257">
        <f t="shared" si="266"/>
        <v>17487.890833333331</v>
      </c>
      <c r="CL116" s="892">
        <f t="shared" si="267"/>
        <v>209854.69000000003</v>
      </c>
      <c r="CM116" s="897">
        <f>86885/12</f>
        <v>7240.416666666667</v>
      </c>
      <c r="CN116" s="256">
        <f t="shared" ref="CN116:CX116" si="302">86885/12</f>
        <v>7240.416666666667</v>
      </c>
      <c r="CO116" s="256">
        <f t="shared" si="302"/>
        <v>7240.416666666667</v>
      </c>
      <c r="CP116" s="256">
        <f t="shared" si="302"/>
        <v>7240.416666666667</v>
      </c>
      <c r="CQ116" s="256">
        <f t="shared" si="302"/>
        <v>7240.416666666667</v>
      </c>
      <c r="CR116" s="256">
        <f t="shared" si="302"/>
        <v>7240.416666666667</v>
      </c>
      <c r="CS116" s="256">
        <f t="shared" si="302"/>
        <v>7240.416666666667</v>
      </c>
      <c r="CT116" s="256">
        <f t="shared" si="302"/>
        <v>7240.416666666667</v>
      </c>
      <c r="CU116" s="256">
        <f t="shared" si="302"/>
        <v>7240.416666666667</v>
      </c>
      <c r="CV116" s="256">
        <f t="shared" si="302"/>
        <v>7240.416666666667</v>
      </c>
      <c r="CW116" s="256">
        <f t="shared" si="302"/>
        <v>7240.416666666667</v>
      </c>
      <c r="CX116" s="256">
        <f t="shared" si="302"/>
        <v>7240.416666666667</v>
      </c>
      <c r="CY116" s="885">
        <f t="shared" si="216"/>
        <v>86885</v>
      </c>
      <c r="CZ116" s="886">
        <f t="shared" si="269"/>
        <v>34681.595833333333</v>
      </c>
      <c r="DA116" s="257">
        <f t="shared" si="269"/>
        <v>34681.595833333333</v>
      </c>
      <c r="DB116" s="257">
        <f t="shared" si="269"/>
        <v>34681.595833333333</v>
      </c>
      <c r="DC116" s="257">
        <f t="shared" si="269"/>
        <v>34681.595833333333</v>
      </c>
      <c r="DD116" s="257">
        <f t="shared" si="269"/>
        <v>34681.595833333333</v>
      </c>
      <c r="DE116" s="257">
        <f t="shared" si="269"/>
        <v>34681.595833333333</v>
      </c>
      <c r="DF116" s="257">
        <f t="shared" si="269"/>
        <v>34681.595833333333</v>
      </c>
      <c r="DG116" s="257">
        <f t="shared" si="269"/>
        <v>34681.595833333333</v>
      </c>
      <c r="DH116" s="257">
        <f t="shared" si="269"/>
        <v>34681.595833333333</v>
      </c>
      <c r="DI116" s="257">
        <f t="shared" si="269"/>
        <v>34681.595833333333</v>
      </c>
      <c r="DJ116" s="257">
        <f t="shared" si="269"/>
        <v>34681.595833333333</v>
      </c>
      <c r="DK116" s="257">
        <f t="shared" si="269"/>
        <v>34681.595833333333</v>
      </c>
      <c r="DL116" s="887">
        <f t="shared" si="270"/>
        <v>416179.14999999997</v>
      </c>
      <c r="DM116" s="565">
        <f>86885/12</f>
        <v>7240.416666666667</v>
      </c>
      <c r="DN116" s="256">
        <f t="shared" ref="DN116:DX116" si="303">86885/12</f>
        <v>7240.416666666667</v>
      </c>
      <c r="DO116" s="256">
        <f t="shared" si="303"/>
        <v>7240.416666666667</v>
      </c>
      <c r="DP116" s="256">
        <f t="shared" si="303"/>
        <v>7240.416666666667</v>
      </c>
      <c r="DQ116" s="256">
        <f t="shared" si="303"/>
        <v>7240.416666666667</v>
      </c>
      <c r="DR116" s="256">
        <f t="shared" si="303"/>
        <v>7240.416666666667</v>
      </c>
      <c r="DS116" s="256">
        <f t="shared" si="303"/>
        <v>7240.416666666667</v>
      </c>
      <c r="DT116" s="256">
        <f t="shared" si="303"/>
        <v>7240.416666666667</v>
      </c>
      <c r="DU116" s="256">
        <f t="shared" si="303"/>
        <v>7240.416666666667</v>
      </c>
      <c r="DV116" s="256">
        <f t="shared" si="303"/>
        <v>7240.416666666667</v>
      </c>
      <c r="DW116" s="256">
        <f t="shared" si="303"/>
        <v>7240.416666666667</v>
      </c>
      <c r="DX116" s="256">
        <f t="shared" si="303"/>
        <v>7240.416666666667</v>
      </c>
      <c r="DY116" s="885">
        <f t="shared" si="217"/>
        <v>86885</v>
      </c>
      <c r="DZ116" s="257">
        <f t="shared" si="272"/>
        <v>34681.595833333333</v>
      </c>
      <c r="EA116" s="257">
        <f t="shared" si="272"/>
        <v>34681.595833333333</v>
      </c>
      <c r="EB116" s="257">
        <f t="shared" si="272"/>
        <v>34681.595833333333</v>
      </c>
      <c r="EC116" s="257">
        <f t="shared" si="272"/>
        <v>34681.595833333333</v>
      </c>
      <c r="ED116" s="257">
        <f t="shared" si="272"/>
        <v>34681.595833333333</v>
      </c>
      <c r="EE116" s="257">
        <f t="shared" si="272"/>
        <v>34681.595833333333</v>
      </c>
      <c r="EF116" s="257">
        <f t="shared" si="272"/>
        <v>34681.595833333333</v>
      </c>
      <c r="EG116" s="257">
        <f t="shared" si="272"/>
        <v>34681.595833333333</v>
      </c>
      <c r="EH116" s="257">
        <f t="shared" si="272"/>
        <v>34681.595833333333</v>
      </c>
      <c r="EI116" s="257">
        <f t="shared" si="272"/>
        <v>34681.595833333333</v>
      </c>
      <c r="EJ116" s="257">
        <f t="shared" si="272"/>
        <v>34681.595833333333</v>
      </c>
      <c r="EK116" s="257">
        <f t="shared" si="272"/>
        <v>34681.595833333333</v>
      </c>
      <c r="EL116" s="887">
        <f t="shared" si="273"/>
        <v>416179.14999999997</v>
      </c>
    </row>
    <row r="117" spans="1:142">
      <c r="A117" s="973" t="s">
        <v>730</v>
      </c>
      <c r="B117" s="905" t="s">
        <v>741</v>
      </c>
      <c r="C117" s="917"/>
      <c r="D117" s="558">
        <v>5.0199999999999996</v>
      </c>
      <c r="E117" s="559">
        <f>D117</f>
        <v>5.0199999999999996</v>
      </c>
      <c r="F117" s="1088">
        <v>5.25</v>
      </c>
      <c r="G117" s="560">
        <f>F117</f>
        <v>5.25</v>
      </c>
      <c r="H117" s="558">
        <v>5.0199999999999996</v>
      </c>
      <c r="I117" s="559">
        <f t="shared" si="300"/>
        <v>5.0199999999999996</v>
      </c>
      <c r="J117" s="559">
        <f t="shared" si="300"/>
        <v>5.0199999999999996</v>
      </c>
      <c r="K117" s="982">
        <f t="shared" si="300"/>
        <v>5.0199999999999996</v>
      </c>
      <c r="L117" s="983"/>
      <c r="M117" s="565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885">
        <f t="shared" si="262"/>
        <v>0</v>
      </c>
      <c r="Z117" s="886">
        <v>0</v>
      </c>
      <c r="AA117" s="257">
        <v>0</v>
      </c>
      <c r="AB117" s="257">
        <v>0</v>
      </c>
      <c r="AC117" s="257">
        <f>P117*$E117</f>
        <v>0</v>
      </c>
      <c r="AD117" s="257">
        <f t="shared" si="274"/>
        <v>0</v>
      </c>
      <c r="AE117" s="1080">
        <f t="shared" si="285"/>
        <v>0</v>
      </c>
      <c r="AF117" s="1080">
        <f t="shared" si="298"/>
        <v>0</v>
      </c>
      <c r="AG117" s="1080">
        <f t="shared" si="276"/>
        <v>0</v>
      </c>
      <c r="AH117" s="1080">
        <f t="shared" si="277"/>
        <v>0</v>
      </c>
      <c r="AI117" s="1080">
        <f t="shared" si="278"/>
        <v>0</v>
      </c>
      <c r="AJ117" s="1080">
        <f t="shared" si="279"/>
        <v>0</v>
      </c>
      <c r="AK117" s="1080">
        <f t="shared" si="280"/>
        <v>0</v>
      </c>
      <c r="AL117" s="887">
        <f t="shared" si="263"/>
        <v>0</v>
      </c>
      <c r="AM117" s="565">
        <v>1809</v>
      </c>
      <c r="AN117" s="256">
        <v>1809</v>
      </c>
      <c r="AO117" s="256">
        <v>1809</v>
      </c>
      <c r="AP117" s="256">
        <v>1809</v>
      </c>
      <c r="AQ117" s="256">
        <v>1809</v>
      </c>
      <c r="AR117" s="256">
        <v>1809</v>
      </c>
      <c r="AS117" s="256">
        <v>1809</v>
      </c>
      <c r="AT117" s="256">
        <v>1809</v>
      </c>
      <c r="AU117" s="256">
        <v>1809</v>
      </c>
      <c r="AV117" s="256">
        <v>1809</v>
      </c>
      <c r="AW117" s="256">
        <v>1809</v>
      </c>
      <c r="AX117" s="256">
        <v>1809</v>
      </c>
      <c r="AY117" s="885">
        <f t="shared" si="213"/>
        <v>21708</v>
      </c>
      <c r="AZ117" s="886">
        <f t="shared" si="264"/>
        <v>9081.1799999999985</v>
      </c>
      <c r="BA117" s="257">
        <f t="shared" si="264"/>
        <v>9081.1799999999985</v>
      </c>
      <c r="BB117" s="257">
        <f t="shared" si="264"/>
        <v>9081.1799999999985</v>
      </c>
      <c r="BC117" s="257">
        <f t="shared" si="264"/>
        <v>9081.1799999999985</v>
      </c>
      <c r="BD117" s="257">
        <f t="shared" si="264"/>
        <v>9081.1799999999985</v>
      </c>
      <c r="BE117" s="257">
        <f t="shared" si="264"/>
        <v>9081.1799999999985</v>
      </c>
      <c r="BF117" s="257">
        <f t="shared" si="264"/>
        <v>9081.1799999999985</v>
      </c>
      <c r="BG117" s="257">
        <f t="shared" si="264"/>
        <v>9081.1799999999985</v>
      </c>
      <c r="BH117" s="257">
        <f t="shared" si="264"/>
        <v>9081.1799999999985</v>
      </c>
      <c r="BI117" s="257">
        <f t="shared" si="264"/>
        <v>9081.1799999999985</v>
      </c>
      <c r="BJ117" s="257">
        <f t="shared" si="264"/>
        <v>9081.1799999999985</v>
      </c>
      <c r="BK117" s="257">
        <f t="shared" si="264"/>
        <v>9081.1799999999985</v>
      </c>
      <c r="BL117" s="887">
        <f t="shared" si="265"/>
        <v>108974.15999999996</v>
      </c>
      <c r="BM117" s="897">
        <f>89362/12</f>
        <v>7446.833333333333</v>
      </c>
      <c r="BN117" s="256">
        <f t="shared" ref="BN117:BX117" si="304">89362/12</f>
        <v>7446.833333333333</v>
      </c>
      <c r="BO117" s="256">
        <f t="shared" si="304"/>
        <v>7446.833333333333</v>
      </c>
      <c r="BP117" s="256">
        <f t="shared" si="304"/>
        <v>7446.833333333333</v>
      </c>
      <c r="BQ117" s="256">
        <f t="shared" si="304"/>
        <v>7446.833333333333</v>
      </c>
      <c r="BR117" s="256">
        <f t="shared" si="304"/>
        <v>7446.833333333333</v>
      </c>
      <c r="BS117" s="256">
        <f t="shared" si="304"/>
        <v>7446.833333333333</v>
      </c>
      <c r="BT117" s="256">
        <f t="shared" si="304"/>
        <v>7446.833333333333</v>
      </c>
      <c r="BU117" s="256">
        <f t="shared" si="304"/>
        <v>7446.833333333333</v>
      </c>
      <c r="BV117" s="256">
        <f t="shared" si="304"/>
        <v>7446.833333333333</v>
      </c>
      <c r="BW117" s="256">
        <f t="shared" si="304"/>
        <v>7446.833333333333</v>
      </c>
      <c r="BX117" s="256">
        <f t="shared" si="304"/>
        <v>7446.833333333333</v>
      </c>
      <c r="BY117" s="885">
        <f t="shared" si="215"/>
        <v>89361.999999999985</v>
      </c>
      <c r="BZ117" s="891">
        <f t="shared" si="266"/>
        <v>37383.103333333325</v>
      </c>
      <c r="CA117" s="257">
        <f t="shared" si="266"/>
        <v>37383.103333333325</v>
      </c>
      <c r="CB117" s="257">
        <f t="shared" si="266"/>
        <v>37383.103333333325</v>
      </c>
      <c r="CC117" s="257">
        <f t="shared" si="266"/>
        <v>37383.103333333325</v>
      </c>
      <c r="CD117" s="257">
        <f t="shared" si="266"/>
        <v>37383.103333333325</v>
      </c>
      <c r="CE117" s="257">
        <f t="shared" si="266"/>
        <v>37383.103333333325</v>
      </c>
      <c r="CF117" s="257">
        <f t="shared" si="266"/>
        <v>37383.103333333325</v>
      </c>
      <c r="CG117" s="257">
        <f t="shared" si="266"/>
        <v>37383.103333333325</v>
      </c>
      <c r="CH117" s="257">
        <f t="shared" si="266"/>
        <v>37383.103333333325</v>
      </c>
      <c r="CI117" s="257">
        <f t="shared" si="266"/>
        <v>37383.103333333325</v>
      </c>
      <c r="CJ117" s="257">
        <f t="shared" si="266"/>
        <v>37383.103333333325</v>
      </c>
      <c r="CK117" s="257">
        <f t="shared" si="266"/>
        <v>37383.103333333325</v>
      </c>
      <c r="CL117" s="892">
        <f t="shared" si="267"/>
        <v>448597.23999999993</v>
      </c>
      <c r="CM117" s="897">
        <f>134455/12</f>
        <v>11204.583333333334</v>
      </c>
      <c r="CN117" s="256">
        <f t="shared" ref="CN117:CX117" si="305">134455/12</f>
        <v>11204.583333333334</v>
      </c>
      <c r="CO117" s="256">
        <f t="shared" si="305"/>
        <v>11204.583333333334</v>
      </c>
      <c r="CP117" s="256">
        <f t="shared" si="305"/>
        <v>11204.583333333334</v>
      </c>
      <c r="CQ117" s="256">
        <f t="shared" si="305"/>
        <v>11204.583333333334</v>
      </c>
      <c r="CR117" s="256">
        <f t="shared" si="305"/>
        <v>11204.583333333334</v>
      </c>
      <c r="CS117" s="256">
        <f t="shared" si="305"/>
        <v>11204.583333333334</v>
      </c>
      <c r="CT117" s="256">
        <f t="shared" si="305"/>
        <v>11204.583333333334</v>
      </c>
      <c r="CU117" s="256">
        <f t="shared" si="305"/>
        <v>11204.583333333334</v>
      </c>
      <c r="CV117" s="256">
        <f t="shared" si="305"/>
        <v>11204.583333333334</v>
      </c>
      <c r="CW117" s="256">
        <f t="shared" si="305"/>
        <v>11204.583333333334</v>
      </c>
      <c r="CX117" s="256">
        <f t="shared" si="305"/>
        <v>11204.583333333334</v>
      </c>
      <c r="CY117" s="885">
        <f t="shared" si="216"/>
        <v>134454.99999999997</v>
      </c>
      <c r="CZ117" s="886">
        <f t="shared" si="269"/>
        <v>56247.008333333331</v>
      </c>
      <c r="DA117" s="257">
        <f t="shared" si="269"/>
        <v>56247.008333333331</v>
      </c>
      <c r="DB117" s="257">
        <f t="shared" si="269"/>
        <v>56247.008333333331</v>
      </c>
      <c r="DC117" s="257">
        <f t="shared" si="269"/>
        <v>56247.008333333331</v>
      </c>
      <c r="DD117" s="257">
        <f t="shared" si="269"/>
        <v>56247.008333333331</v>
      </c>
      <c r="DE117" s="257">
        <f t="shared" si="269"/>
        <v>56247.008333333331</v>
      </c>
      <c r="DF117" s="257">
        <f t="shared" si="269"/>
        <v>56247.008333333331</v>
      </c>
      <c r="DG117" s="257">
        <f t="shared" si="269"/>
        <v>56247.008333333331</v>
      </c>
      <c r="DH117" s="257">
        <f t="shared" si="269"/>
        <v>56247.008333333331</v>
      </c>
      <c r="DI117" s="257">
        <f t="shared" si="269"/>
        <v>56247.008333333331</v>
      </c>
      <c r="DJ117" s="257">
        <f t="shared" si="269"/>
        <v>56247.008333333331</v>
      </c>
      <c r="DK117" s="257">
        <f t="shared" si="269"/>
        <v>56247.008333333331</v>
      </c>
      <c r="DL117" s="887">
        <f t="shared" si="270"/>
        <v>674964.09999999974</v>
      </c>
      <c r="DM117" s="565">
        <f>134455/12</f>
        <v>11204.583333333334</v>
      </c>
      <c r="DN117" s="256">
        <f t="shared" ref="DN117:DX117" si="306">134455/12</f>
        <v>11204.583333333334</v>
      </c>
      <c r="DO117" s="256">
        <f t="shared" si="306"/>
        <v>11204.583333333334</v>
      </c>
      <c r="DP117" s="256">
        <f t="shared" si="306"/>
        <v>11204.583333333334</v>
      </c>
      <c r="DQ117" s="256">
        <f t="shared" si="306"/>
        <v>11204.583333333334</v>
      </c>
      <c r="DR117" s="256">
        <f t="shared" si="306"/>
        <v>11204.583333333334</v>
      </c>
      <c r="DS117" s="256">
        <f t="shared" si="306"/>
        <v>11204.583333333334</v>
      </c>
      <c r="DT117" s="256">
        <f t="shared" si="306"/>
        <v>11204.583333333334</v>
      </c>
      <c r="DU117" s="256">
        <f t="shared" si="306"/>
        <v>11204.583333333334</v>
      </c>
      <c r="DV117" s="256">
        <f t="shared" si="306"/>
        <v>11204.583333333334</v>
      </c>
      <c r="DW117" s="256">
        <f t="shared" si="306"/>
        <v>11204.583333333334</v>
      </c>
      <c r="DX117" s="256">
        <f t="shared" si="306"/>
        <v>11204.583333333334</v>
      </c>
      <c r="DY117" s="885">
        <f t="shared" si="217"/>
        <v>134454.99999999997</v>
      </c>
      <c r="DZ117" s="257">
        <f t="shared" si="272"/>
        <v>56247.008333333331</v>
      </c>
      <c r="EA117" s="257">
        <f t="shared" si="272"/>
        <v>56247.008333333331</v>
      </c>
      <c r="EB117" s="257">
        <f t="shared" si="272"/>
        <v>56247.008333333331</v>
      </c>
      <c r="EC117" s="257">
        <f t="shared" si="272"/>
        <v>56247.008333333331</v>
      </c>
      <c r="ED117" s="257">
        <f t="shared" si="272"/>
        <v>56247.008333333331</v>
      </c>
      <c r="EE117" s="257">
        <f t="shared" si="272"/>
        <v>56247.008333333331</v>
      </c>
      <c r="EF117" s="257">
        <f t="shared" si="272"/>
        <v>56247.008333333331</v>
      </c>
      <c r="EG117" s="257">
        <f t="shared" si="272"/>
        <v>56247.008333333331</v>
      </c>
      <c r="EH117" s="257">
        <f t="shared" si="272"/>
        <v>56247.008333333331</v>
      </c>
      <c r="EI117" s="257">
        <f t="shared" si="272"/>
        <v>56247.008333333331</v>
      </c>
      <c r="EJ117" s="257">
        <f t="shared" si="272"/>
        <v>56247.008333333331</v>
      </c>
      <c r="EK117" s="257">
        <f t="shared" si="272"/>
        <v>56247.008333333331</v>
      </c>
      <c r="EL117" s="887">
        <f t="shared" si="273"/>
        <v>674964.09999999974</v>
      </c>
    </row>
    <row r="118" spans="1:142" s="936" customFormat="1">
      <c r="A118" s="1096" t="s">
        <v>730</v>
      </c>
      <c r="B118" s="913" t="s">
        <v>742</v>
      </c>
      <c r="C118" s="921"/>
      <c r="D118" s="922"/>
      <c r="E118" s="1097"/>
      <c r="F118" s="1097"/>
      <c r="G118" s="1098"/>
      <c r="H118" s="922">
        <v>2</v>
      </c>
      <c r="I118" s="1099">
        <f t="shared" si="300"/>
        <v>2</v>
      </c>
      <c r="J118" s="1099">
        <f t="shared" si="300"/>
        <v>2</v>
      </c>
      <c r="K118" s="1100">
        <f t="shared" si="300"/>
        <v>2</v>
      </c>
      <c r="L118" s="993"/>
      <c r="M118" s="927"/>
      <c r="N118" s="928"/>
      <c r="O118" s="928"/>
      <c r="P118" s="928"/>
      <c r="Q118" s="928"/>
      <c r="R118" s="928"/>
      <c r="S118" s="928"/>
      <c r="T118" s="928"/>
      <c r="U118" s="928"/>
      <c r="V118" s="928"/>
      <c r="W118" s="928"/>
      <c r="X118" s="928"/>
      <c r="Y118" s="1101"/>
      <c r="Z118" s="930"/>
      <c r="AA118" s="931"/>
      <c r="AB118" s="931"/>
      <c r="AC118" s="931"/>
      <c r="AD118" s="931"/>
      <c r="AE118" s="1080">
        <f t="shared" si="285"/>
        <v>0</v>
      </c>
      <c r="AF118" s="1080">
        <f t="shared" si="298"/>
        <v>0</v>
      </c>
      <c r="AG118" s="1080">
        <f t="shared" si="276"/>
        <v>0</v>
      </c>
      <c r="AH118" s="1080">
        <f t="shared" si="277"/>
        <v>0</v>
      </c>
      <c r="AI118" s="1080">
        <f t="shared" si="278"/>
        <v>0</v>
      </c>
      <c r="AJ118" s="1080">
        <f t="shared" si="279"/>
        <v>0</v>
      </c>
      <c r="AK118" s="1080">
        <f t="shared" si="280"/>
        <v>0</v>
      </c>
      <c r="AL118" s="887">
        <f t="shared" si="263"/>
        <v>0</v>
      </c>
      <c r="AM118" s="927"/>
      <c r="AN118" s="928"/>
      <c r="AO118" s="928"/>
      <c r="AP118" s="928"/>
      <c r="AQ118" s="928"/>
      <c r="AR118" s="928"/>
      <c r="AS118" s="928"/>
      <c r="AT118" s="928"/>
      <c r="AU118" s="928"/>
      <c r="AV118" s="928"/>
      <c r="AW118" s="928"/>
      <c r="AX118" s="928"/>
      <c r="AY118" s="1101"/>
      <c r="AZ118" s="930"/>
      <c r="BA118" s="931"/>
      <c r="BB118" s="931"/>
      <c r="BC118" s="931"/>
      <c r="BD118" s="931"/>
      <c r="BE118" s="931"/>
      <c r="BF118" s="931"/>
      <c r="BG118" s="931"/>
      <c r="BH118" s="931"/>
      <c r="BI118" s="931"/>
      <c r="BJ118" s="931"/>
      <c r="BK118" s="931"/>
      <c r="BL118" s="996"/>
      <c r="BM118" s="927"/>
      <c r="BN118" s="928"/>
      <c r="BO118" s="928"/>
      <c r="BP118" s="928"/>
      <c r="BQ118" s="928"/>
      <c r="BR118" s="928"/>
      <c r="BS118" s="928">
        <f>100000/12</f>
        <v>8333.3333333333339</v>
      </c>
      <c r="BT118" s="928">
        <f t="shared" ref="BT118:BX119" si="307">100000/12</f>
        <v>8333.3333333333339</v>
      </c>
      <c r="BU118" s="928">
        <f t="shared" si="307"/>
        <v>8333.3333333333339</v>
      </c>
      <c r="BV118" s="928">
        <f t="shared" si="307"/>
        <v>8333.3333333333339</v>
      </c>
      <c r="BW118" s="928">
        <f t="shared" si="307"/>
        <v>8333.3333333333339</v>
      </c>
      <c r="BX118" s="928">
        <f t="shared" si="307"/>
        <v>8333.3333333333339</v>
      </c>
      <c r="BY118" s="1101">
        <f t="shared" si="215"/>
        <v>50000.000000000007</v>
      </c>
      <c r="BZ118" s="930">
        <f t="shared" si="266"/>
        <v>0</v>
      </c>
      <c r="CA118" s="931">
        <f t="shared" si="266"/>
        <v>0</v>
      </c>
      <c r="CB118" s="931">
        <f t="shared" si="266"/>
        <v>0</v>
      </c>
      <c r="CC118" s="931">
        <f t="shared" si="266"/>
        <v>0</v>
      </c>
      <c r="CD118" s="931">
        <f t="shared" si="266"/>
        <v>0</v>
      </c>
      <c r="CE118" s="931">
        <f t="shared" si="266"/>
        <v>0</v>
      </c>
      <c r="CF118" s="931">
        <f t="shared" si="266"/>
        <v>16666.666666666668</v>
      </c>
      <c r="CG118" s="931">
        <f t="shared" si="266"/>
        <v>16666.666666666668</v>
      </c>
      <c r="CH118" s="931">
        <f t="shared" si="266"/>
        <v>16666.666666666668</v>
      </c>
      <c r="CI118" s="931">
        <f t="shared" si="266"/>
        <v>16666.666666666668</v>
      </c>
      <c r="CJ118" s="931">
        <f t="shared" si="266"/>
        <v>16666.666666666668</v>
      </c>
      <c r="CK118" s="931">
        <f t="shared" si="266"/>
        <v>16666.666666666668</v>
      </c>
      <c r="CL118" s="996">
        <f>SUM(BZ118:CK118)</f>
        <v>100000.00000000001</v>
      </c>
      <c r="CM118" s="927">
        <f>1500000/12</f>
        <v>125000</v>
      </c>
      <c r="CN118" s="927">
        <f t="shared" ref="CN118:CX119" si="308">1500000/12</f>
        <v>125000</v>
      </c>
      <c r="CO118" s="927">
        <f t="shared" si="308"/>
        <v>125000</v>
      </c>
      <c r="CP118" s="927">
        <f t="shared" si="308"/>
        <v>125000</v>
      </c>
      <c r="CQ118" s="927">
        <f t="shared" si="308"/>
        <v>125000</v>
      </c>
      <c r="CR118" s="927">
        <f t="shared" si="308"/>
        <v>125000</v>
      </c>
      <c r="CS118" s="927">
        <f t="shared" si="308"/>
        <v>125000</v>
      </c>
      <c r="CT118" s="927">
        <f t="shared" si="308"/>
        <v>125000</v>
      </c>
      <c r="CU118" s="927">
        <f t="shared" si="308"/>
        <v>125000</v>
      </c>
      <c r="CV118" s="927">
        <f t="shared" si="308"/>
        <v>125000</v>
      </c>
      <c r="CW118" s="927">
        <f t="shared" si="308"/>
        <v>125000</v>
      </c>
      <c r="CX118" s="927">
        <f t="shared" si="308"/>
        <v>125000</v>
      </c>
      <c r="CY118" s="999">
        <f>SUM(CM118:CX118)</f>
        <v>1500000</v>
      </c>
      <c r="CZ118" s="1000">
        <f t="shared" si="269"/>
        <v>250000</v>
      </c>
      <c r="DA118" s="1001">
        <f t="shared" si="269"/>
        <v>250000</v>
      </c>
      <c r="DB118" s="1001">
        <f t="shared" si="269"/>
        <v>250000</v>
      </c>
      <c r="DC118" s="1001">
        <f t="shared" si="269"/>
        <v>250000</v>
      </c>
      <c r="DD118" s="1001">
        <f t="shared" si="269"/>
        <v>250000</v>
      </c>
      <c r="DE118" s="1001">
        <f t="shared" si="269"/>
        <v>250000</v>
      </c>
      <c r="DF118" s="1001">
        <f t="shared" si="269"/>
        <v>250000</v>
      </c>
      <c r="DG118" s="1001">
        <f t="shared" si="269"/>
        <v>250000</v>
      </c>
      <c r="DH118" s="1001">
        <f t="shared" si="269"/>
        <v>250000</v>
      </c>
      <c r="DI118" s="1001">
        <f t="shared" si="269"/>
        <v>250000</v>
      </c>
      <c r="DJ118" s="1001">
        <f t="shared" si="269"/>
        <v>250000</v>
      </c>
      <c r="DK118" s="1001">
        <f t="shared" si="269"/>
        <v>250000</v>
      </c>
      <c r="DL118" s="1002">
        <f>SUM(CZ118:DK118)</f>
        <v>3000000</v>
      </c>
      <c r="DM118" s="927">
        <f>1800000/12</f>
        <v>150000</v>
      </c>
      <c r="DN118" s="927">
        <f t="shared" ref="DN118:DX119" si="309">1800000/12</f>
        <v>150000</v>
      </c>
      <c r="DO118" s="927">
        <f t="shared" si="309"/>
        <v>150000</v>
      </c>
      <c r="DP118" s="927">
        <f t="shared" si="309"/>
        <v>150000</v>
      </c>
      <c r="DQ118" s="927">
        <f t="shared" si="309"/>
        <v>150000</v>
      </c>
      <c r="DR118" s="927">
        <f t="shared" si="309"/>
        <v>150000</v>
      </c>
      <c r="DS118" s="927">
        <f t="shared" si="309"/>
        <v>150000</v>
      </c>
      <c r="DT118" s="927">
        <f t="shared" si="309"/>
        <v>150000</v>
      </c>
      <c r="DU118" s="927">
        <f t="shared" si="309"/>
        <v>150000</v>
      </c>
      <c r="DV118" s="927">
        <f t="shared" si="309"/>
        <v>150000</v>
      </c>
      <c r="DW118" s="927">
        <f t="shared" si="309"/>
        <v>150000</v>
      </c>
      <c r="DX118" s="927">
        <f t="shared" si="309"/>
        <v>150000</v>
      </c>
      <c r="DY118" s="999">
        <f>SUM(DM118:DX118)</f>
        <v>1800000</v>
      </c>
      <c r="DZ118" s="1000">
        <f t="shared" si="272"/>
        <v>300000</v>
      </c>
      <c r="EA118" s="1001">
        <f t="shared" si="272"/>
        <v>300000</v>
      </c>
      <c r="EB118" s="1001">
        <f t="shared" si="272"/>
        <v>300000</v>
      </c>
      <c r="EC118" s="1001">
        <f t="shared" si="272"/>
        <v>300000</v>
      </c>
      <c r="ED118" s="1001">
        <f t="shared" si="272"/>
        <v>300000</v>
      </c>
      <c r="EE118" s="1001">
        <f t="shared" si="272"/>
        <v>300000</v>
      </c>
      <c r="EF118" s="1001">
        <f t="shared" si="272"/>
        <v>300000</v>
      </c>
      <c r="EG118" s="1001">
        <f t="shared" si="272"/>
        <v>300000</v>
      </c>
      <c r="EH118" s="1001">
        <f t="shared" si="272"/>
        <v>300000</v>
      </c>
      <c r="EI118" s="1001">
        <f t="shared" si="272"/>
        <v>300000</v>
      </c>
      <c r="EJ118" s="1001">
        <f t="shared" si="272"/>
        <v>300000</v>
      </c>
      <c r="EK118" s="1001">
        <f t="shared" si="272"/>
        <v>300000</v>
      </c>
      <c r="EL118" s="1002">
        <f>SUM(DZ118:EK118)</f>
        <v>3600000</v>
      </c>
    </row>
    <row r="119" spans="1:142" s="936" customFormat="1">
      <c r="A119" s="1096" t="s">
        <v>730</v>
      </c>
      <c r="B119" s="913" t="s">
        <v>743</v>
      </c>
      <c r="C119" s="921"/>
      <c r="D119" s="922"/>
      <c r="E119" s="1097"/>
      <c r="F119" s="1097"/>
      <c r="G119" s="1098"/>
      <c r="H119" s="922">
        <v>1.5</v>
      </c>
      <c r="I119" s="1099">
        <f t="shared" si="300"/>
        <v>1.5</v>
      </c>
      <c r="J119" s="1099">
        <f t="shared" si="300"/>
        <v>1.5</v>
      </c>
      <c r="K119" s="1100">
        <f t="shared" si="300"/>
        <v>1.5</v>
      </c>
      <c r="L119" s="993"/>
      <c r="M119" s="927"/>
      <c r="N119" s="928"/>
      <c r="O119" s="928"/>
      <c r="P119" s="928"/>
      <c r="Q119" s="928"/>
      <c r="R119" s="928"/>
      <c r="S119" s="928"/>
      <c r="T119" s="928"/>
      <c r="U119" s="928"/>
      <c r="V119" s="928"/>
      <c r="W119" s="928"/>
      <c r="X119" s="928"/>
      <c r="Y119" s="1101"/>
      <c r="Z119" s="930"/>
      <c r="AA119" s="931"/>
      <c r="AB119" s="931"/>
      <c r="AC119" s="931"/>
      <c r="AD119" s="931"/>
      <c r="AE119" s="1080">
        <f t="shared" si="285"/>
        <v>0</v>
      </c>
      <c r="AF119" s="1080">
        <f t="shared" si="298"/>
        <v>0</v>
      </c>
      <c r="AG119" s="1080">
        <f t="shared" si="276"/>
        <v>0</v>
      </c>
      <c r="AH119" s="1080">
        <f t="shared" si="277"/>
        <v>0</v>
      </c>
      <c r="AI119" s="1080">
        <f t="shared" si="278"/>
        <v>0</v>
      </c>
      <c r="AJ119" s="1080">
        <f t="shared" si="279"/>
        <v>0</v>
      </c>
      <c r="AK119" s="1080">
        <f t="shared" si="280"/>
        <v>0</v>
      </c>
      <c r="AL119" s="887">
        <f t="shared" si="263"/>
        <v>0</v>
      </c>
      <c r="AM119" s="927"/>
      <c r="AN119" s="928"/>
      <c r="AO119" s="928"/>
      <c r="AP119" s="928"/>
      <c r="AQ119" s="928"/>
      <c r="AR119" s="928"/>
      <c r="AS119" s="928"/>
      <c r="AT119" s="928"/>
      <c r="AU119" s="928"/>
      <c r="AV119" s="928"/>
      <c r="AW119" s="928"/>
      <c r="AX119" s="928"/>
      <c r="AY119" s="1101"/>
      <c r="AZ119" s="930"/>
      <c r="BA119" s="931"/>
      <c r="BB119" s="931"/>
      <c r="BC119" s="931"/>
      <c r="BD119" s="931"/>
      <c r="BE119" s="931"/>
      <c r="BF119" s="931"/>
      <c r="BG119" s="931"/>
      <c r="BH119" s="931"/>
      <c r="BI119" s="931"/>
      <c r="BJ119" s="931"/>
      <c r="BK119" s="931"/>
      <c r="BL119" s="996"/>
      <c r="BM119" s="927"/>
      <c r="BN119" s="928"/>
      <c r="BO119" s="928"/>
      <c r="BP119" s="928"/>
      <c r="BQ119" s="928"/>
      <c r="BR119" s="928"/>
      <c r="BS119" s="928">
        <f>100000/12</f>
        <v>8333.3333333333339</v>
      </c>
      <c r="BT119" s="928">
        <f t="shared" si="307"/>
        <v>8333.3333333333339</v>
      </c>
      <c r="BU119" s="928">
        <f t="shared" si="307"/>
        <v>8333.3333333333339</v>
      </c>
      <c r="BV119" s="928">
        <f t="shared" si="307"/>
        <v>8333.3333333333339</v>
      </c>
      <c r="BW119" s="928">
        <f t="shared" si="307"/>
        <v>8333.3333333333339</v>
      </c>
      <c r="BX119" s="928">
        <f t="shared" si="307"/>
        <v>8333.3333333333339</v>
      </c>
      <c r="BY119" s="1101">
        <f t="shared" si="215"/>
        <v>50000.000000000007</v>
      </c>
      <c r="BZ119" s="930">
        <f t="shared" si="266"/>
        <v>0</v>
      </c>
      <c r="CA119" s="931">
        <f t="shared" si="266"/>
        <v>0</v>
      </c>
      <c r="CB119" s="931">
        <f t="shared" si="266"/>
        <v>0</v>
      </c>
      <c r="CC119" s="931">
        <f t="shared" ref="BZ119:CK121" si="310">BP119*$I119</f>
        <v>0</v>
      </c>
      <c r="CD119" s="931">
        <f t="shared" si="310"/>
        <v>0</v>
      </c>
      <c r="CE119" s="931">
        <f t="shared" si="310"/>
        <v>0</v>
      </c>
      <c r="CF119" s="931">
        <f t="shared" si="310"/>
        <v>12500</v>
      </c>
      <c r="CG119" s="931">
        <f t="shared" si="310"/>
        <v>12500</v>
      </c>
      <c r="CH119" s="931">
        <f t="shared" si="310"/>
        <v>12500</v>
      </c>
      <c r="CI119" s="931">
        <f t="shared" si="310"/>
        <v>12500</v>
      </c>
      <c r="CJ119" s="931">
        <f t="shared" si="310"/>
        <v>12500</v>
      </c>
      <c r="CK119" s="931">
        <f t="shared" si="310"/>
        <v>12500</v>
      </c>
      <c r="CL119" s="996">
        <f>SUM(BZ119:CK119)</f>
        <v>75000</v>
      </c>
      <c r="CM119" s="927">
        <f>1500000/12</f>
        <v>125000</v>
      </c>
      <c r="CN119" s="927">
        <f t="shared" si="308"/>
        <v>125000</v>
      </c>
      <c r="CO119" s="927">
        <f t="shared" si="308"/>
        <v>125000</v>
      </c>
      <c r="CP119" s="927">
        <f t="shared" si="308"/>
        <v>125000</v>
      </c>
      <c r="CQ119" s="927">
        <f t="shared" si="308"/>
        <v>125000</v>
      </c>
      <c r="CR119" s="927">
        <f t="shared" si="308"/>
        <v>125000</v>
      </c>
      <c r="CS119" s="927">
        <f t="shared" si="308"/>
        <v>125000</v>
      </c>
      <c r="CT119" s="927">
        <f t="shared" si="308"/>
        <v>125000</v>
      </c>
      <c r="CU119" s="927">
        <f t="shared" si="308"/>
        <v>125000</v>
      </c>
      <c r="CV119" s="927">
        <f t="shared" si="308"/>
        <v>125000</v>
      </c>
      <c r="CW119" s="927">
        <f t="shared" si="308"/>
        <v>125000</v>
      </c>
      <c r="CX119" s="927">
        <f t="shared" si="308"/>
        <v>125000</v>
      </c>
      <c r="CY119" s="999">
        <f>SUM(CM119:CX119)</f>
        <v>1500000</v>
      </c>
      <c r="CZ119" s="1000">
        <f t="shared" si="269"/>
        <v>187500</v>
      </c>
      <c r="DA119" s="1001">
        <f t="shared" si="269"/>
        <v>187500</v>
      </c>
      <c r="DB119" s="1001">
        <f t="shared" si="269"/>
        <v>187500</v>
      </c>
      <c r="DC119" s="1001">
        <f t="shared" ref="DC119:DK121" si="311">CP119*$J119</f>
        <v>187500</v>
      </c>
      <c r="DD119" s="1001">
        <f t="shared" si="311"/>
        <v>187500</v>
      </c>
      <c r="DE119" s="1001">
        <f t="shared" si="311"/>
        <v>187500</v>
      </c>
      <c r="DF119" s="1001">
        <f t="shared" si="311"/>
        <v>187500</v>
      </c>
      <c r="DG119" s="1001">
        <f t="shared" si="311"/>
        <v>187500</v>
      </c>
      <c r="DH119" s="1001">
        <f t="shared" si="311"/>
        <v>187500</v>
      </c>
      <c r="DI119" s="1001">
        <f t="shared" si="311"/>
        <v>187500</v>
      </c>
      <c r="DJ119" s="1001">
        <f t="shared" si="311"/>
        <v>187500</v>
      </c>
      <c r="DK119" s="1001">
        <f t="shared" si="311"/>
        <v>187500</v>
      </c>
      <c r="DL119" s="1002">
        <f>SUM(CZ119:DK119)</f>
        <v>2250000</v>
      </c>
      <c r="DM119" s="927">
        <f>1800000/12</f>
        <v>150000</v>
      </c>
      <c r="DN119" s="927">
        <f t="shared" si="309"/>
        <v>150000</v>
      </c>
      <c r="DO119" s="927">
        <f t="shared" si="309"/>
        <v>150000</v>
      </c>
      <c r="DP119" s="927">
        <f t="shared" si="309"/>
        <v>150000</v>
      </c>
      <c r="DQ119" s="927">
        <f t="shared" si="309"/>
        <v>150000</v>
      </c>
      <c r="DR119" s="927">
        <f t="shared" si="309"/>
        <v>150000</v>
      </c>
      <c r="DS119" s="927">
        <f t="shared" si="309"/>
        <v>150000</v>
      </c>
      <c r="DT119" s="927">
        <f t="shared" si="309"/>
        <v>150000</v>
      </c>
      <c r="DU119" s="927">
        <f t="shared" si="309"/>
        <v>150000</v>
      </c>
      <c r="DV119" s="927">
        <f t="shared" si="309"/>
        <v>150000</v>
      </c>
      <c r="DW119" s="927">
        <f t="shared" si="309"/>
        <v>150000</v>
      </c>
      <c r="DX119" s="927">
        <f t="shared" si="309"/>
        <v>150000</v>
      </c>
      <c r="DY119" s="999">
        <f>SUM(DM119:DX119)</f>
        <v>1800000</v>
      </c>
      <c r="DZ119" s="1000">
        <f t="shared" si="272"/>
        <v>225000</v>
      </c>
      <c r="EA119" s="1001">
        <f t="shared" si="272"/>
        <v>225000</v>
      </c>
      <c r="EB119" s="1001">
        <f t="shared" si="272"/>
        <v>225000</v>
      </c>
      <c r="EC119" s="1001">
        <f t="shared" ref="EC119:EK121" si="312">DP119*$K119</f>
        <v>225000</v>
      </c>
      <c r="ED119" s="1001">
        <f t="shared" si="312"/>
        <v>225000</v>
      </c>
      <c r="EE119" s="1001">
        <f t="shared" si="312"/>
        <v>225000</v>
      </c>
      <c r="EF119" s="1001">
        <f t="shared" si="312"/>
        <v>225000</v>
      </c>
      <c r="EG119" s="1001">
        <f t="shared" si="312"/>
        <v>225000</v>
      </c>
      <c r="EH119" s="1001">
        <f t="shared" si="312"/>
        <v>225000</v>
      </c>
      <c r="EI119" s="1001">
        <f t="shared" si="312"/>
        <v>225000</v>
      </c>
      <c r="EJ119" s="1001">
        <f t="shared" si="312"/>
        <v>225000</v>
      </c>
      <c r="EK119" s="1001">
        <f t="shared" si="312"/>
        <v>225000</v>
      </c>
      <c r="EL119" s="1002">
        <f>SUM(DZ119:EK119)</f>
        <v>2700000</v>
      </c>
    </row>
    <row r="120" spans="1:142" s="936" customFormat="1">
      <c r="A120" s="1096" t="s">
        <v>730</v>
      </c>
      <c r="B120" s="913" t="s">
        <v>744</v>
      </c>
      <c r="C120" s="921"/>
      <c r="D120" s="922"/>
      <c r="E120" s="1097"/>
      <c r="F120" s="1097"/>
      <c r="G120" s="1098"/>
      <c r="H120" s="922">
        <v>3</v>
      </c>
      <c r="I120" s="1099">
        <f t="shared" si="300"/>
        <v>3</v>
      </c>
      <c r="J120" s="1099">
        <f t="shared" si="300"/>
        <v>3</v>
      </c>
      <c r="K120" s="1100">
        <f t="shared" si="300"/>
        <v>3</v>
      </c>
      <c r="L120" s="993"/>
      <c r="M120" s="927"/>
      <c r="N120" s="928"/>
      <c r="O120" s="928"/>
      <c r="P120" s="928"/>
      <c r="Q120" s="928"/>
      <c r="R120" s="928"/>
      <c r="S120" s="928"/>
      <c r="T120" s="928"/>
      <c r="U120" s="928"/>
      <c r="V120" s="928"/>
      <c r="W120" s="928"/>
      <c r="X120" s="928"/>
      <c r="Y120" s="1101"/>
      <c r="Z120" s="930"/>
      <c r="AA120" s="931"/>
      <c r="AB120" s="931"/>
      <c r="AC120" s="931"/>
      <c r="AD120" s="931"/>
      <c r="AE120" s="1080">
        <f t="shared" si="285"/>
        <v>0</v>
      </c>
      <c r="AF120" s="1080">
        <f t="shared" si="298"/>
        <v>0</v>
      </c>
      <c r="AG120" s="1080">
        <f t="shared" si="276"/>
        <v>0</v>
      </c>
      <c r="AH120" s="1080">
        <f t="shared" si="277"/>
        <v>0</v>
      </c>
      <c r="AI120" s="1080">
        <f t="shared" si="278"/>
        <v>0</v>
      </c>
      <c r="AJ120" s="1080">
        <f t="shared" si="279"/>
        <v>0</v>
      </c>
      <c r="AK120" s="1080">
        <f t="shared" si="280"/>
        <v>0</v>
      </c>
      <c r="AL120" s="887">
        <f t="shared" si="263"/>
        <v>0</v>
      </c>
      <c r="AM120" s="927"/>
      <c r="AN120" s="928"/>
      <c r="AO120" s="928"/>
      <c r="AP120" s="928"/>
      <c r="AQ120" s="928"/>
      <c r="AR120" s="928"/>
      <c r="AS120" s="928"/>
      <c r="AT120" s="928"/>
      <c r="AU120" s="928"/>
      <c r="AV120" s="928"/>
      <c r="AW120" s="928"/>
      <c r="AX120" s="928"/>
      <c r="AY120" s="1101"/>
      <c r="AZ120" s="930"/>
      <c r="BA120" s="931"/>
      <c r="BB120" s="931"/>
      <c r="BC120" s="931"/>
      <c r="BD120" s="931"/>
      <c r="BE120" s="931"/>
      <c r="BF120" s="931"/>
      <c r="BG120" s="931"/>
      <c r="BH120" s="931"/>
      <c r="BI120" s="931"/>
      <c r="BJ120" s="931"/>
      <c r="BK120" s="931"/>
      <c r="BL120" s="996"/>
      <c r="BM120" s="927"/>
      <c r="BN120" s="928"/>
      <c r="BO120" s="928"/>
      <c r="BP120" s="928"/>
      <c r="BQ120" s="928"/>
      <c r="BR120" s="928"/>
      <c r="BS120" s="928">
        <f t="shared" ref="BS120:BX120" si="313">100000/6</f>
        <v>16666.666666666668</v>
      </c>
      <c r="BT120" s="928">
        <f t="shared" si="313"/>
        <v>16666.666666666668</v>
      </c>
      <c r="BU120" s="928">
        <f t="shared" si="313"/>
        <v>16666.666666666668</v>
      </c>
      <c r="BV120" s="928">
        <f t="shared" si="313"/>
        <v>16666.666666666668</v>
      </c>
      <c r="BW120" s="928">
        <f t="shared" si="313"/>
        <v>16666.666666666668</v>
      </c>
      <c r="BX120" s="928">
        <f t="shared" si="313"/>
        <v>16666.666666666668</v>
      </c>
      <c r="BY120" s="1101">
        <f t="shared" si="215"/>
        <v>100000.00000000001</v>
      </c>
      <c r="BZ120" s="930">
        <f t="shared" si="310"/>
        <v>0</v>
      </c>
      <c r="CA120" s="931">
        <f t="shared" si="310"/>
        <v>0</v>
      </c>
      <c r="CB120" s="931">
        <f t="shared" si="310"/>
        <v>0</v>
      </c>
      <c r="CC120" s="931">
        <f t="shared" si="310"/>
        <v>0</v>
      </c>
      <c r="CD120" s="931">
        <f t="shared" si="310"/>
        <v>0</v>
      </c>
      <c r="CE120" s="931">
        <f t="shared" si="310"/>
        <v>0</v>
      </c>
      <c r="CF120" s="931">
        <f t="shared" si="310"/>
        <v>50000</v>
      </c>
      <c r="CG120" s="931">
        <f t="shared" si="310"/>
        <v>50000</v>
      </c>
      <c r="CH120" s="931">
        <f t="shared" si="310"/>
        <v>50000</v>
      </c>
      <c r="CI120" s="931">
        <f t="shared" si="310"/>
        <v>50000</v>
      </c>
      <c r="CJ120" s="931">
        <f t="shared" si="310"/>
        <v>50000</v>
      </c>
      <c r="CK120" s="931">
        <f t="shared" si="310"/>
        <v>50000</v>
      </c>
      <c r="CL120" s="996">
        <f>SUM(BZ120:CK120)</f>
        <v>300000</v>
      </c>
      <c r="CM120" s="927">
        <f>1000000/12</f>
        <v>83333.333333333328</v>
      </c>
      <c r="CN120" s="927">
        <f t="shared" ref="CN120:CX120" si="314">1000000/12</f>
        <v>83333.333333333328</v>
      </c>
      <c r="CO120" s="927">
        <f t="shared" si="314"/>
        <v>83333.333333333328</v>
      </c>
      <c r="CP120" s="927">
        <f t="shared" si="314"/>
        <v>83333.333333333328</v>
      </c>
      <c r="CQ120" s="927">
        <f t="shared" si="314"/>
        <v>83333.333333333328</v>
      </c>
      <c r="CR120" s="927">
        <f t="shared" si="314"/>
        <v>83333.333333333328</v>
      </c>
      <c r="CS120" s="927">
        <f t="shared" si="314"/>
        <v>83333.333333333328</v>
      </c>
      <c r="CT120" s="927">
        <f t="shared" si="314"/>
        <v>83333.333333333328</v>
      </c>
      <c r="CU120" s="927">
        <f t="shared" si="314"/>
        <v>83333.333333333328</v>
      </c>
      <c r="CV120" s="927">
        <f t="shared" si="314"/>
        <v>83333.333333333328</v>
      </c>
      <c r="CW120" s="927">
        <f t="shared" si="314"/>
        <v>83333.333333333328</v>
      </c>
      <c r="CX120" s="927">
        <f t="shared" si="314"/>
        <v>83333.333333333328</v>
      </c>
      <c r="CY120" s="999">
        <f>SUM(CM120:CX120)</f>
        <v>1000000.0000000001</v>
      </c>
      <c r="CZ120" s="1000">
        <f t="shared" ref="CZ120:DB121" si="315">CM120*$J120</f>
        <v>250000</v>
      </c>
      <c r="DA120" s="1001">
        <f t="shared" si="315"/>
        <v>250000</v>
      </c>
      <c r="DB120" s="1001">
        <f t="shared" si="315"/>
        <v>250000</v>
      </c>
      <c r="DC120" s="1001">
        <f t="shared" si="311"/>
        <v>250000</v>
      </c>
      <c r="DD120" s="1001">
        <f t="shared" si="311"/>
        <v>250000</v>
      </c>
      <c r="DE120" s="1001">
        <f t="shared" si="311"/>
        <v>250000</v>
      </c>
      <c r="DF120" s="1001">
        <f t="shared" si="311"/>
        <v>250000</v>
      </c>
      <c r="DG120" s="1001">
        <f t="shared" si="311"/>
        <v>250000</v>
      </c>
      <c r="DH120" s="1001">
        <f t="shared" si="311"/>
        <v>250000</v>
      </c>
      <c r="DI120" s="1001">
        <f t="shared" si="311"/>
        <v>250000</v>
      </c>
      <c r="DJ120" s="1001">
        <f t="shared" si="311"/>
        <v>250000</v>
      </c>
      <c r="DK120" s="1001">
        <f t="shared" si="311"/>
        <v>250000</v>
      </c>
      <c r="DL120" s="1002">
        <f>SUM(CZ120:DK120)</f>
        <v>3000000</v>
      </c>
      <c r="DM120" s="927">
        <f>1500000/12</f>
        <v>125000</v>
      </c>
      <c r="DN120" s="927">
        <f t="shared" ref="DN120:DX120" si="316">1500000/12</f>
        <v>125000</v>
      </c>
      <c r="DO120" s="927">
        <f t="shared" si="316"/>
        <v>125000</v>
      </c>
      <c r="DP120" s="927">
        <f t="shared" si="316"/>
        <v>125000</v>
      </c>
      <c r="DQ120" s="927">
        <f t="shared" si="316"/>
        <v>125000</v>
      </c>
      <c r="DR120" s="927">
        <f t="shared" si="316"/>
        <v>125000</v>
      </c>
      <c r="DS120" s="927">
        <f t="shared" si="316"/>
        <v>125000</v>
      </c>
      <c r="DT120" s="927">
        <f t="shared" si="316"/>
        <v>125000</v>
      </c>
      <c r="DU120" s="927">
        <f t="shared" si="316"/>
        <v>125000</v>
      </c>
      <c r="DV120" s="927">
        <f t="shared" si="316"/>
        <v>125000</v>
      </c>
      <c r="DW120" s="927">
        <f t="shared" si="316"/>
        <v>125000</v>
      </c>
      <c r="DX120" s="927">
        <f t="shared" si="316"/>
        <v>125000</v>
      </c>
      <c r="DY120" s="999">
        <f>SUM(DM120:DX120)</f>
        <v>1500000</v>
      </c>
      <c r="DZ120" s="1000">
        <f t="shared" ref="DZ120:EB121" si="317">DM120*$K120</f>
        <v>375000</v>
      </c>
      <c r="EA120" s="1001">
        <f t="shared" si="317"/>
        <v>375000</v>
      </c>
      <c r="EB120" s="1001">
        <f t="shared" si="317"/>
        <v>375000</v>
      </c>
      <c r="EC120" s="1001">
        <f t="shared" si="312"/>
        <v>375000</v>
      </c>
      <c r="ED120" s="1001">
        <f t="shared" si="312"/>
        <v>375000</v>
      </c>
      <c r="EE120" s="1001">
        <f t="shared" si="312"/>
        <v>375000</v>
      </c>
      <c r="EF120" s="1001">
        <f t="shared" si="312"/>
        <v>375000</v>
      </c>
      <c r="EG120" s="1001">
        <f t="shared" si="312"/>
        <v>375000</v>
      </c>
      <c r="EH120" s="1001">
        <f t="shared" si="312"/>
        <v>375000</v>
      </c>
      <c r="EI120" s="1001">
        <f t="shared" si="312"/>
        <v>375000</v>
      </c>
      <c r="EJ120" s="1001">
        <f t="shared" si="312"/>
        <v>375000</v>
      </c>
      <c r="EK120" s="1001">
        <f t="shared" si="312"/>
        <v>375000</v>
      </c>
      <c r="EL120" s="1002">
        <f>SUM(DZ120:EK120)</f>
        <v>4500000</v>
      </c>
    </row>
    <row r="121" spans="1:142" ht="18" thickBot="1">
      <c r="A121" s="974" t="s">
        <v>730</v>
      </c>
      <c r="B121" s="905" t="s">
        <v>745</v>
      </c>
      <c r="C121" s="917"/>
      <c r="D121" s="558"/>
      <c r="E121" s="566"/>
      <c r="F121" s="566"/>
      <c r="G121" s="567"/>
      <c r="H121" s="558"/>
      <c r="I121" s="559"/>
      <c r="J121" s="559"/>
      <c r="K121" s="982"/>
      <c r="L121" s="983"/>
      <c r="M121" s="565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885">
        <f>SUM(M121:X121)</f>
        <v>0</v>
      </c>
      <c r="Z121" s="886">
        <v>-23375</v>
      </c>
      <c r="AA121" s="257">
        <v>-23375</v>
      </c>
      <c r="AB121" s="257">
        <v>-23375</v>
      </c>
      <c r="AC121" s="257"/>
      <c r="AD121" s="257"/>
      <c r="AE121" s="257">
        <f>-23375-1578.07</f>
        <v>-24953.07</v>
      </c>
      <c r="AF121" s="1080">
        <f t="shared" si="298"/>
        <v>0</v>
      </c>
      <c r="AG121" s="1080">
        <f t="shared" si="276"/>
        <v>0</v>
      </c>
      <c r="AH121" s="1080">
        <f t="shared" si="277"/>
        <v>0</v>
      </c>
      <c r="AI121" s="1080">
        <f t="shared" si="278"/>
        <v>0</v>
      </c>
      <c r="AJ121" s="1080">
        <f t="shared" si="279"/>
        <v>0</v>
      </c>
      <c r="AK121" s="1080">
        <f t="shared" si="280"/>
        <v>0</v>
      </c>
      <c r="AL121" s="887">
        <f>SUM(Z121:AK121)</f>
        <v>-95078.07</v>
      </c>
      <c r="AM121" s="565"/>
      <c r="AN121" s="256"/>
      <c r="AO121" s="256"/>
      <c r="AP121" s="256"/>
      <c r="AQ121" s="256"/>
      <c r="AR121" s="256"/>
      <c r="AS121" s="256"/>
      <c r="AT121" s="256"/>
      <c r="AU121" s="256"/>
      <c r="AV121" s="256"/>
      <c r="AW121" s="256"/>
      <c r="AX121" s="256"/>
      <c r="AY121" s="885">
        <f t="shared" si="213"/>
        <v>0</v>
      </c>
      <c r="AZ121" s="886">
        <f t="shared" si="264"/>
        <v>0</v>
      </c>
      <c r="BA121" s="257">
        <f t="shared" si="264"/>
        <v>0</v>
      </c>
      <c r="BB121" s="257">
        <f t="shared" si="264"/>
        <v>0</v>
      </c>
      <c r="BC121" s="257">
        <f t="shared" si="264"/>
        <v>0</v>
      </c>
      <c r="BD121" s="257">
        <f t="shared" si="264"/>
        <v>0</v>
      </c>
      <c r="BE121" s="257">
        <f t="shared" si="264"/>
        <v>0</v>
      </c>
      <c r="BF121" s="257">
        <f t="shared" si="264"/>
        <v>0</v>
      </c>
      <c r="BG121" s="257">
        <f t="shared" si="264"/>
        <v>0</v>
      </c>
      <c r="BH121" s="257">
        <f t="shared" si="264"/>
        <v>0</v>
      </c>
      <c r="BI121" s="257">
        <f t="shared" si="264"/>
        <v>0</v>
      </c>
      <c r="BJ121" s="257">
        <f t="shared" si="264"/>
        <v>0</v>
      </c>
      <c r="BK121" s="257">
        <f t="shared" si="264"/>
        <v>0</v>
      </c>
      <c r="BL121" s="887">
        <f t="shared" si="265"/>
        <v>0</v>
      </c>
      <c r="BM121" s="897"/>
      <c r="BN121" s="256"/>
      <c r="BO121" s="256"/>
      <c r="BP121" s="256"/>
      <c r="BQ121" s="256"/>
      <c r="BR121" s="256"/>
      <c r="BS121" s="256"/>
      <c r="BT121" s="256"/>
      <c r="BU121" s="256"/>
      <c r="BV121" s="256"/>
      <c r="BW121" s="256"/>
      <c r="BX121" s="256"/>
      <c r="BY121" s="885">
        <f t="shared" si="215"/>
        <v>0</v>
      </c>
      <c r="BZ121" s="891">
        <f t="shared" si="310"/>
        <v>0</v>
      </c>
      <c r="CA121" s="257">
        <f t="shared" si="310"/>
        <v>0</v>
      </c>
      <c r="CB121" s="257">
        <f t="shared" si="310"/>
        <v>0</v>
      </c>
      <c r="CC121" s="257">
        <f t="shared" si="310"/>
        <v>0</v>
      </c>
      <c r="CD121" s="257">
        <f t="shared" si="310"/>
        <v>0</v>
      </c>
      <c r="CE121" s="257">
        <f t="shared" si="310"/>
        <v>0</v>
      </c>
      <c r="CF121" s="257">
        <f t="shared" si="310"/>
        <v>0</v>
      </c>
      <c r="CG121" s="257">
        <f t="shared" si="310"/>
        <v>0</v>
      </c>
      <c r="CH121" s="257">
        <f t="shared" si="310"/>
        <v>0</v>
      </c>
      <c r="CI121" s="257">
        <f t="shared" si="310"/>
        <v>0</v>
      </c>
      <c r="CJ121" s="257">
        <f t="shared" si="310"/>
        <v>0</v>
      </c>
      <c r="CK121" s="257">
        <f t="shared" si="310"/>
        <v>0</v>
      </c>
      <c r="CL121" s="892">
        <f t="shared" si="267"/>
        <v>0</v>
      </c>
      <c r="CM121" s="897"/>
      <c r="CN121" s="256"/>
      <c r="CO121" s="256"/>
      <c r="CP121" s="256"/>
      <c r="CQ121" s="256"/>
      <c r="CR121" s="256"/>
      <c r="CS121" s="256"/>
      <c r="CT121" s="256"/>
      <c r="CU121" s="256"/>
      <c r="CV121" s="256"/>
      <c r="CW121" s="256"/>
      <c r="CX121" s="256"/>
      <c r="CY121" s="885">
        <f t="shared" si="216"/>
        <v>0</v>
      </c>
      <c r="CZ121" s="886">
        <f t="shared" si="315"/>
        <v>0</v>
      </c>
      <c r="DA121" s="257">
        <f t="shared" si="315"/>
        <v>0</v>
      </c>
      <c r="DB121" s="257">
        <f t="shared" si="315"/>
        <v>0</v>
      </c>
      <c r="DC121" s="257">
        <f t="shared" si="311"/>
        <v>0</v>
      </c>
      <c r="DD121" s="257">
        <f t="shared" si="311"/>
        <v>0</v>
      </c>
      <c r="DE121" s="257">
        <f t="shared" si="311"/>
        <v>0</v>
      </c>
      <c r="DF121" s="257">
        <f t="shared" si="311"/>
        <v>0</v>
      </c>
      <c r="DG121" s="257">
        <f t="shared" si="311"/>
        <v>0</v>
      </c>
      <c r="DH121" s="257">
        <f t="shared" si="311"/>
        <v>0</v>
      </c>
      <c r="DI121" s="257">
        <f t="shared" si="311"/>
        <v>0</v>
      </c>
      <c r="DJ121" s="257">
        <f t="shared" si="311"/>
        <v>0</v>
      </c>
      <c r="DK121" s="257">
        <f t="shared" si="311"/>
        <v>0</v>
      </c>
      <c r="DL121" s="887">
        <f t="shared" si="270"/>
        <v>0</v>
      </c>
      <c r="DM121" s="565"/>
      <c r="DN121" s="256"/>
      <c r="DO121" s="256"/>
      <c r="DP121" s="256"/>
      <c r="DQ121" s="256"/>
      <c r="DR121" s="256"/>
      <c r="DS121" s="256"/>
      <c r="DT121" s="256"/>
      <c r="DU121" s="256"/>
      <c r="DV121" s="256"/>
      <c r="DW121" s="256"/>
      <c r="DX121" s="256"/>
      <c r="DY121" s="885">
        <f t="shared" si="217"/>
        <v>0</v>
      </c>
      <c r="DZ121" s="257">
        <f t="shared" si="317"/>
        <v>0</v>
      </c>
      <c r="EA121" s="257">
        <f t="shared" si="317"/>
        <v>0</v>
      </c>
      <c r="EB121" s="257">
        <f t="shared" si="317"/>
        <v>0</v>
      </c>
      <c r="EC121" s="257">
        <f t="shared" si="312"/>
        <v>0</v>
      </c>
      <c r="ED121" s="257">
        <f t="shared" si="312"/>
        <v>0</v>
      </c>
      <c r="EE121" s="257">
        <f t="shared" si="312"/>
        <v>0</v>
      </c>
      <c r="EF121" s="257">
        <f t="shared" si="312"/>
        <v>0</v>
      </c>
      <c r="EG121" s="257">
        <f t="shared" si="312"/>
        <v>0</v>
      </c>
      <c r="EH121" s="257">
        <f t="shared" si="312"/>
        <v>0</v>
      </c>
      <c r="EI121" s="257">
        <f t="shared" si="312"/>
        <v>0</v>
      </c>
      <c r="EJ121" s="257">
        <f t="shared" si="312"/>
        <v>0</v>
      </c>
      <c r="EK121" s="257">
        <f t="shared" si="312"/>
        <v>0</v>
      </c>
      <c r="EL121" s="887">
        <f t="shared" si="273"/>
        <v>0</v>
      </c>
    </row>
    <row r="122" spans="1:142" ht="18.75" thickTop="1" thickBot="1">
      <c r="A122" s="5218" t="s">
        <v>85</v>
      </c>
      <c r="B122" s="5219"/>
      <c r="C122" s="5220"/>
      <c r="D122" s="898"/>
      <c r="E122" s="898"/>
      <c r="F122" s="898"/>
      <c r="G122" s="898"/>
      <c r="H122" s="898"/>
      <c r="I122" s="898"/>
      <c r="J122" s="898"/>
      <c r="K122" s="899"/>
      <c r="L122" s="900"/>
      <c r="M122" s="901">
        <f t="shared" ref="M122:BX122" si="318">SUM(M98:M121)</f>
        <v>166332</v>
      </c>
      <c r="N122" s="544">
        <f t="shared" si="318"/>
        <v>417450</v>
      </c>
      <c r="O122" s="544">
        <f t="shared" si="318"/>
        <v>545598</v>
      </c>
      <c r="P122" s="544">
        <f t="shared" si="318"/>
        <v>520116</v>
      </c>
      <c r="Q122" s="544">
        <f t="shared" si="318"/>
        <v>387294</v>
      </c>
      <c r="R122" s="544">
        <f t="shared" si="318"/>
        <v>359788</v>
      </c>
      <c r="S122" s="544">
        <f>SUM(S98:S121)</f>
        <v>441410</v>
      </c>
      <c r="T122" s="544">
        <f t="shared" si="318"/>
        <v>501636</v>
      </c>
      <c r="U122" s="544">
        <f t="shared" si="318"/>
        <v>485050</v>
      </c>
      <c r="V122" s="544">
        <f t="shared" si="318"/>
        <v>517806</v>
      </c>
      <c r="W122" s="544">
        <f t="shared" si="318"/>
        <v>536090</v>
      </c>
      <c r="X122" s="544">
        <f t="shared" si="318"/>
        <v>542324</v>
      </c>
      <c r="Y122" s="545">
        <f t="shared" si="318"/>
        <v>5420894</v>
      </c>
      <c r="Z122" s="546">
        <f t="shared" si="318"/>
        <v>245490.84000000003</v>
      </c>
      <c r="AA122" s="546">
        <f t="shared" si="318"/>
        <v>489526.08000000007</v>
      </c>
      <c r="AB122" s="546">
        <f t="shared" si="318"/>
        <v>587705.66</v>
      </c>
      <c r="AC122" s="546">
        <f>SUM(AC98:AC121)</f>
        <v>643875.08000000007</v>
      </c>
      <c r="AD122" s="546">
        <f>SUM(AD98:AD121)</f>
        <v>511064.1</v>
      </c>
      <c r="AE122" s="546">
        <f>SUM(AE98:AE121)</f>
        <v>415632.12999999995</v>
      </c>
      <c r="AF122" s="546">
        <f>SUM(AF98:AF121)</f>
        <v>501594.02</v>
      </c>
      <c r="AG122" s="546">
        <f t="shared" si="318"/>
        <v>592137.96</v>
      </c>
      <c r="AH122" s="546">
        <f t="shared" si="318"/>
        <v>552570.41999999993</v>
      </c>
      <c r="AI122" s="546">
        <f t="shared" si="318"/>
        <v>609572.06000000006</v>
      </c>
      <c r="AJ122" s="546">
        <f t="shared" si="318"/>
        <v>649094.74</v>
      </c>
      <c r="AK122" s="546">
        <f t="shared" si="318"/>
        <v>664187.32000000007</v>
      </c>
      <c r="AL122" s="547">
        <f t="shared" si="318"/>
        <v>6462450.4099999992</v>
      </c>
      <c r="AM122" s="544">
        <f t="shared" si="318"/>
        <v>654764.16666666663</v>
      </c>
      <c r="AN122" s="544">
        <f t="shared" si="318"/>
        <v>510184.16666666669</v>
      </c>
      <c r="AO122" s="544">
        <f t="shared" si="318"/>
        <v>554100.16666666663</v>
      </c>
      <c r="AP122" s="544">
        <f t="shared" si="318"/>
        <v>628732.16666666663</v>
      </c>
      <c r="AQ122" s="544">
        <f t="shared" si="318"/>
        <v>659172.16666666663</v>
      </c>
      <c r="AR122" s="544">
        <f t="shared" si="318"/>
        <v>565668.16666666663</v>
      </c>
      <c r="AS122" s="544">
        <f t="shared" si="318"/>
        <v>621332.16666666663</v>
      </c>
      <c r="AT122" s="544">
        <f t="shared" si="318"/>
        <v>592324.16666666663</v>
      </c>
      <c r="AU122" s="544">
        <f t="shared" si="318"/>
        <v>509445.16666666669</v>
      </c>
      <c r="AV122" s="544">
        <f t="shared" si="318"/>
        <v>536212.16666666663</v>
      </c>
      <c r="AW122" s="544">
        <f t="shared" si="318"/>
        <v>466056.16666666669</v>
      </c>
      <c r="AX122" s="544">
        <f t="shared" si="318"/>
        <v>360208.16666666669</v>
      </c>
      <c r="AY122" s="545">
        <f t="shared" si="318"/>
        <v>6658199</v>
      </c>
      <c r="AZ122" s="546">
        <f t="shared" si="318"/>
        <v>808574.40833333333</v>
      </c>
      <c r="BA122" s="546">
        <f t="shared" si="318"/>
        <v>700997.80833333323</v>
      </c>
      <c r="BB122" s="546">
        <f t="shared" si="318"/>
        <v>698579.20833333337</v>
      </c>
      <c r="BC122" s="546">
        <f t="shared" si="318"/>
        <v>795008.16833333333</v>
      </c>
      <c r="BD122" s="546">
        <f t="shared" si="318"/>
        <v>802992.24833333341</v>
      </c>
      <c r="BE122" s="546">
        <f t="shared" si="318"/>
        <v>701404.96833333338</v>
      </c>
      <c r="BF122" s="546">
        <f t="shared" si="318"/>
        <v>767290.16833333333</v>
      </c>
      <c r="BG122" s="546">
        <f t="shared" si="318"/>
        <v>747055.6083333334</v>
      </c>
      <c r="BH122" s="546">
        <f t="shared" si="318"/>
        <v>646507.8583333334</v>
      </c>
      <c r="BI122" s="546">
        <f t="shared" si="318"/>
        <v>676911.76833333343</v>
      </c>
      <c r="BJ122" s="546">
        <f t="shared" si="318"/>
        <v>576096.1283333333</v>
      </c>
      <c r="BK122" s="546">
        <f t="shared" si="318"/>
        <v>476319.48833333328</v>
      </c>
      <c r="BL122" s="547">
        <f t="shared" si="318"/>
        <v>8397737.8300000001</v>
      </c>
      <c r="BM122" s="544">
        <f t="shared" si="318"/>
        <v>682353.33333333326</v>
      </c>
      <c r="BN122" s="544">
        <f t="shared" si="318"/>
        <v>657500.69166666665</v>
      </c>
      <c r="BO122" s="544">
        <f t="shared" si="318"/>
        <v>673204.69166666665</v>
      </c>
      <c r="BP122" s="544">
        <f t="shared" si="318"/>
        <v>659204.69166666665</v>
      </c>
      <c r="BQ122" s="544">
        <f t="shared" si="318"/>
        <v>659204.69166666665</v>
      </c>
      <c r="BR122" s="544">
        <f t="shared" si="318"/>
        <v>659204.69166666665</v>
      </c>
      <c r="BS122" s="544">
        <f t="shared" si="318"/>
        <v>692538.02500000002</v>
      </c>
      <c r="BT122" s="544">
        <f t="shared" si="318"/>
        <v>692538.02500000002</v>
      </c>
      <c r="BU122" s="544">
        <f t="shared" si="318"/>
        <v>692538.02500000002</v>
      </c>
      <c r="BV122" s="544">
        <f t="shared" si="318"/>
        <v>692538.02500000002</v>
      </c>
      <c r="BW122" s="544">
        <f t="shared" si="318"/>
        <v>692538.02500000002</v>
      </c>
      <c r="BX122" s="544">
        <f t="shared" si="318"/>
        <v>692538.02500000002</v>
      </c>
      <c r="BY122" s="545">
        <f t="shared" ref="BY122:EJ122" si="319">SUM(BY98:BY121)</f>
        <v>8145900.9416666692</v>
      </c>
      <c r="BZ122" s="902">
        <f t="shared" si="319"/>
        <v>889205.78770833334</v>
      </c>
      <c r="CA122" s="546">
        <f t="shared" si="319"/>
        <v>834137.11408333329</v>
      </c>
      <c r="CB122" s="546">
        <f t="shared" si="319"/>
        <v>849524.8740833333</v>
      </c>
      <c r="CC122" s="546">
        <f t="shared" si="319"/>
        <v>825654.8740833333</v>
      </c>
      <c r="CD122" s="546">
        <f t="shared" si="319"/>
        <v>825654.8740833333</v>
      </c>
      <c r="CE122" s="546">
        <f t="shared" si="319"/>
        <v>825654.8740833333</v>
      </c>
      <c r="CF122" s="546">
        <f t="shared" si="319"/>
        <v>904821.54074999993</v>
      </c>
      <c r="CG122" s="546">
        <f t="shared" si="319"/>
        <v>904821.54074999993</v>
      </c>
      <c r="CH122" s="546">
        <f t="shared" si="319"/>
        <v>904821.54074999993</v>
      </c>
      <c r="CI122" s="546">
        <f t="shared" si="319"/>
        <v>904821.54074999993</v>
      </c>
      <c r="CJ122" s="546">
        <f t="shared" si="319"/>
        <v>904821.54074999993</v>
      </c>
      <c r="CK122" s="546">
        <f t="shared" si="319"/>
        <v>904821.54074999993</v>
      </c>
      <c r="CL122" s="903">
        <f t="shared" si="319"/>
        <v>10478761.642625</v>
      </c>
      <c r="CM122" s="544">
        <f t="shared" si="319"/>
        <v>516406.49999999994</v>
      </c>
      <c r="CN122" s="544">
        <f t="shared" si="319"/>
        <v>516406.49999999994</v>
      </c>
      <c r="CO122" s="544">
        <f t="shared" si="319"/>
        <v>516406.49999999994</v>
      </c>
      <c r="CP122" s="544">
        <f t="shared" si="319"/>
        <v>516406.49999999994</v>
      </c>
      <c r="CQ122" s="544">
        <f t="shared" si="319"/>
        <v>516406.49999999994</v>
      </c>
      <c r="CR122" s="544">
        <f t="shared" si="319"/>
        <v>516406.49999999994</v>
      </c>
      <c r="CS122" s="544">
        <f t="shared" si="319"/>
        <v>516406.49999999994</v>
      </c>
      <c r="CT122" s="544">
        <f t="shared" si="319"/>
        <v>516406.49999999994</v>
      </c>
      <c r="CU122" s="544">
        <f t="shared" si="319"/>
        <v>516406.49999999994</v>
      </c>
      <c r="CV122" s="544">
        <f t="shared" si="319"/>
        <v>516406.49999999994</v>
      </c>
      <c r="CW122" s="544">
        <f t="shared" si="319"/>
        <v>516406.49999999994</v>
      </c>
      <c r="CX122" s="544">
        <f t="shared" si="319"/>
        <v>516406.49999999994</v>
      </c>
      <c r="CY122" s="545">
        <f t="shared" si="319"/>
        <v>6196878</v>
      </c>
      <c r="CZ122" s="546">
        <f t="shared" si="319"/>
        <v>931672.38458333327</v>
      </c>
      <c r="DA122" s="546">
        <f t="shared" si="319"/>
        <v>931672.38458333327</v>
      </c>
      <c r="DB122" s="546">
        <f t="shared" si="319"/>
        <v>931672.38458333327</v>
      </c>
      <c r="DC122" s="546">
        <f t="shared" si="319"/>
        <v>931672.38458333327</v>
      </c>
      <c r="DD122" s="546">
        <f t="shared" si="319"/>
        <v>931672.38458333327</v>
      </c>
      <c r="DE122" s="546">
        <f t="shared" si="319"/>
        <v>931672.38458333327</v>
      </c>
      <c r="DF122" s="546">
        <f t="shared" si="319"/>
        <v>931672.38458333327</v>
      </c>
      <c r="DG122" s="546">
        <f t="shared" si="319"/>
        <v>931672.38458333327</v>
      </c>
      <c r="DH122" s="546">
        <f t="shared" si="319"/>
        <v>931672.38458333327</v>
      </c>
      <c r="DI122" s="546">
        <f t="shared" si="319"/>
        <v>931672.38458333327</v>
      </c>
      <c r="DJ122" s="546">
        <f t="shared" si="319"/>
        <v>931672.38458333327</v>
      </c>
      <c r="DK122" s="546">
        <f t="shared" si="319"/>
        <v>931672.38458333327</v>
      </c>
      <c r="DL122" s="547">
        <f t="shared" si="319"/>
        <v>11180068.615</v>
      </c>
      <c r="DM122" s="901">
        <f t="shared" si="319"/>
        <v>565099</v>
      </c>
      <c r="DN122" s="544">
        <f t="shared" si="319"/>
        <v>565099</v>
      </c>
      <c r="DO122" s="544">
        <f t="shared" si="319"/>
        <v>565099</v>
      </c>
      <c r="DP122" s="544">
        <f t="shared" si="319"/>
        <v>565099</v>
      </c>
      <c r="DQ122" s="544">
        <f t="shared" si="319"/>
        <v>565099</v>
      </c>
      <c r="DR122" s="544">
        <f t="shared" si="319"/>
        <v>565099</v>
      </c>
      <c r="DS122" s="544">
        <f t="shared" si="319"/>
        <v>565099</v>
      </c>
      <c r="DT122" s="544">
        <f t="shared" si="319"/>
        <v>565099</v>
      </c>
      <c r="DU122" s="544">
        <f t="shared" si="319"/>
        <v>565099</v>
      </c>
      <c r="DV122" s="544">
        <f t="shared" si="319"/>
        <v>565099</v>
      </c>
      <c r="DW122" s="544">
        <f t="shared" si="319"/>
        <v>565099</v>
      </c>
      <c r="DX122" s="544">
        <f t="shared" si="319"/>
        <v>565099</v>
      </c>
      <c r="DY122" s="545">
        <f t="shared" si="319"/>
        <v>6781188</v>
      </c>
      <c r="DZ122" s="546">
        <f t="shared" si="319"/>
        <v>1085738.6575</v>
      </c>
      <c r="EA122" s="546">
        <f t="shared" si="319"/>
        <v>1085738.6575</v>
      </c>
      <c r="EB122" s="546">
        <f t="shared" si="319"/>
        <v>1085738.6575</v>
      </c>
      <c r="EC122" s="546">
        <f t="shared" si="319"/>
        <v>1085738.6575</v>
      </c>
      <c r="ED122" s="546">
        <f t="shared" si="319"/>
        <v>1085738.6575</v>
      </c>
      <c r="EE122" s="546">
        <f t="shared" si="319"/>
        <v>1085738.6575</v>
      </c>
      <c r="EF122" s="546">
        <f t="shared" si="319"/>
        <v>1085738.6575</v>
      </c>
      <c r="EG122" s="546">
        <f t="shared" si="319"/>
        <v>1085738.6575</v>
      </c>
      <c r="EH122" s="546">
        <f t="shared" si="319"/>
        <v>1085738.6575</v>
      </c>
      <c r="EI122" s="546">
        <f t="shared" si="319"/>
        <v>1085738.6575</v>
      </c>
      <c r="EJ122" s="546">
        <f t="shared" si="319"/>
        <v>1085738.6575</v>
      </c>
      <c r="EK122" s="546">
        <f>SUM(EK98:EK121)</f>
        <v>1085738.6575</v>
      </c>
      <c r="EL122" s="547">
        <f>SUM(EL98:EL121)</f>
        <v>13028863.890000001</v>
      </c>
    </row>
    <row r="123" spans="1:142" ht="18" thickTop="1">
      <c r="A123" s="1102" t="s">
        <v>746</v>
      </c>
      <c r="B123" s="1103" t="s">
        <v>747</v>
      </c>
      <c r="C123" s="957"/>
      <c r="D123" s="572">
        <v>0.97</v>
      </c>
      <c r="E123" s="573">
        <v>1.08</v>
      </c>
      <c r="F123" s="573">
        <v>0.97</v>
      </c>
      <c r="G123" s="574">
        <v>0.97</v>
      </c>
      <c r="H123" s="572">
        <v>0.97</v>
      </c>
      <c r="I123" s="573">
        <v>0.97</v>
      </c>
      <c r="J123" s="573">
        <v>0.97</v>
      </c>
      <c r="K123" s="1104">
        <v>0.97</v>
      </c>
      <c r="L123" s="884"/>
      <c r="M123" s="949">
        <v>0</v>
      </c>
      <c r="N123" s="256"/>
      <c r="O123" s="256">
        <v>0</v>
      </c>
      <c r="P123" s="256">
        <v>0</v>
      </c>
      <c r="Q123" s="256"/>
      <c r="R123" s="256">
        <f>9072+37800</f>
        <v>46872</v>
      </c>
      <c r="S123" s="256">
        <f>7560+15288+12964</f>
        <v>35812</v>
      </c>
      <c r="T123" s="256">
        <f>1512*7+50000+9548</f>
        <v>70132</v>
      </c>
      <c r="U123" s="256">
        <v>50000</v>
      </c>
      <c r="V123" s="256">
        <v>75000</v>
      </c>
      <c r="W123" s="256">
        <v>75000</v>
      </c>
      <c r="X123" s="256">
        <v>75000</v>
      </c>
      <c r="Y123" s="885">
        <f>SUM(M123:X123)</f>
        <v>427816</v>
      </c>
      <c r="Z123" s="886">
        <f t="shared" ref="Z123:AB126" si="320">M123*$D123</f>
        <v>0</v>
      </c>
      <c r="AA123" s="257">
        <f t="shared" si="320"/>
        <v>0</v>
      </c>
      <c r="AB123" s="257">
        <f t="shared" si="320"/>
        <v>0</v>
      </c>
      <c r="AC123" s="257">
        <f t="shared" ref="AC123:AD126" si="321">P123*$E123</f>
        <v>0</v>
      </c>
      <c r="AD123" s="257">
        <f t="shared" si="321"/>
        <v>0</v>
      </c>
      <c r="AE123" s="257">
        <f>R123*$E123</f>
        <v>50621.760000000002</v>
      </c>
      <c r="AF123" s="257">
        <f>S123*$E123</f>
        <v>38676.959999999999</v>
      </c>
      <c r="AG123" s="257">
        <f>50000*0.97+6584*1.08+9548*1.08</f>
        <v>65922.559999999998</v>
      </c>
      <c r="AH123" s="257">
        <f>U123*$F123</f>
        <v>48500</v>
      </c>
      <c r="AI123" s="257">
        <f>V123*$G123</f>
        <v>72750</v>
      </c>
      <c r="AJ123" s="257">
        <f t="shared" ref="AI123:AK126" si="322">W123*$G123</f>
        <v>72750</v>
      </c>
      <c r="AK123" s="257">
        <f t="shared" si="322"/>
        <v>72750</v>
      </c>
      <c r="AL123" s="887">
        <f>SUM(Z123:AK123)</f>
        <v>421971.28</v>
      </c>
      <c r="AM123" s="951">
        <f>4315200/12*50%</f>
        <v>179800</v>
      </c>
      <c r="AN123" s="575">
        <f t="shared" ref="AN123:AX123" si="323">4315200/12*50%</f>
        <v>179800</v>
      </c>
      <c r="AO123" s="575">
        <f t="shared" si="323"/>
        <v>179800</v>
      </c>
      <c r="AP123" s="575">
        <f t="shared" si="323"/>
        <v>179800</v>
      </c>
      <c r="AQ123" s="575">
        <f t="shared" si="323"/>
        <v>179800</v>
      </c>
      <c r="AR123" s="575">
        <f t="shared" si="323"/>
        <v>179800</v>
      </c>
      <c r="AS123" s="575">
        <f t="shared" si="323"/>
        <v>179800</v>
      </c>
      <c r="AT123" s="575">
        <f t="shared" si="323"/>
        <v>179800</v>
      </c>
      <c r="AU123" s="575">
        <f t="shared" si="323"/>
        <v>179800</v>
      </c>
      <c r="AV123" s="575">
        <f t="shared" si="323"/>
        <v>179800</v>
      </c>
      <c r="AW123" s="575">
        <f t="shared" si="323"/>
        <v>179800</v>
      </c>
      <c r="AX123" s="575">
        <f t="shared" si="323"/>
        <v>179800</v>
      </c>
      <c r="AY123" s="885">
        <f t="shared" si="213"/>
        <v>2157600</v>
      </c>
      <c r="AZ123" s="886">
        <f t="shared" ref="AZ123:BK126" si="324">AM123*$H123</f>
        <v>174406</v>
      </c>
      <c r="BA123" s="257">
        <f t="shared" si="324"/>
        <v>174406</v>
      </c>
      <c r="BB123" s="257">
        <f t="shared" si="324"/>
        <v>174406</v>
      </c>
      <c r="BC123" s="257">
        <f t="shared" si="324"/>
        <v>174406</v>
      </c>
      <c r="BD123" s="257">
        <f t="shared" si="324"/>
        <v>174406</v>
      </c>
      <c r="BE123" s="257">
        <f t="shared" si="324"/>
        <v>174406</v>
      </c>
      <c r="BF123" s="257">
        <f t="shared" si="324"/>
        <v>174406</v>
      </c>
      <c r="BG123" s="257">
        <f t="shared" si="324"/>
        <v>174406</v>
      </c>
      <c r="BH123" s="257">
        <f t="shared" si="324"/>
        <v>174406</v>
      </c>
      <c r="BI123" s="257">
        <f t="shared" si="324"/>
        <v>174406</v>
      </c>
      <c r="BJ123" s="257">
        <f t="shared" si="324"/>
        <v>174406</v>
      </c>
      <c r="BK123" s="257">
        <f t="shared" si="324"/>
        <v>174406</v>
      </c>
      <c r="BL123" s="887">
        <f t="shared" ref="BL123:BL129" si="325">SUM(AZ123:BK123)</f>
        <v>2092872</v>
      </c>
      <c r="BM123" s="951">
        <f t="shared" ref="BM123:BX123" si="326">4315200/12*50%</f>
        <v>179800</v>
      </c>
      <c r="BN123" s="575">
        <f t="shared" si="326"/>
        <v>179800</v>
      </c>
      <c r="BO123" s="575">
        <f t="shared" si="326"/>
        <v>179800</v>
      </c>
      <c r="BP123" s="575">
        <f t="shared" si="326"/>
        <v>179800</v>
      </c>
      <c r="BQ123" s="575">
        <f t="shared" si="326"/>
        <v>179800</v>
      </c>
      <c r="BR123" s="575">
        <f t="shared" si="326"/>
        <v>179800</v>
      </c>
      <c r="BS123" s="575">
        <f t="shared" si="326"/>
        <v>179800</v>
      </c>
      <c r="BT123" s="575">
        <f t="shared" si="326"/>
        <v>179800</v>
      </c>
      <c r="BU123" s="575">
        <f t="shared" si="326"/>
        <v>179800</v>
      </c>
      <c r="BV123" s="575">
        <f t="shared" si="326"/>
        <v>179800</v>
      </c>
      <c r="BW123" s="575">
        <f t="shared" si="326"/>
        <v>179800</v>
      </c>
      <c r="BX123" s="575">
        <f t="shared" si="326"/>
        <v>179800</v>
      </c>
      <c r="BY123" s="885">
        <f t="shared" si="215"/>
        <v>2157600</v>
      </c>
      <c r="BZ123" s="891">
        <f t="shared" ref="BZ123:CK126" si="327">BM123*$I123</f>
        <v>174406</v>
      </c>
      <c r="CA123" s="257">
        <f t="shared" si="327"/>
        <v>174406</v>
      </c>
      <c r="CB123" s="257">
        <f t="shared" si="327"/>
        <v>174406</v>
      </c>
      <c r="CC123" s="257">
        <f t="shared" si="327"/>
        <v>174406</v>
      </c>
      <c r="CD123" s="257">
        <f t="shared" si="327"/>
        <v>174406</v>
      </c>
      <c r="CE123" s="257">
        <f t="shared" si="327"/>
        <v>174406</v>
      </c>
      <c r="CF123" s="257">
        <f t="shared" si="327"/>
        <v>174406</v>
      </c>
      <c r="CG123" s="257">
        <f t="shared" si="327"/>
        <v>174406</v>
      </c>
      <c r="CH123" s="257">
        <f t="shared" si="327"/>
        <v>174406</v>
      </c>
      <c r="CI123" s="257">
        <f t="shared" si="327"/>
        <v>174406</v>
      </c>
      <c r="CJ123" s="257">
        <f t="shared" si="327"/>
        <v>174406</v>
      </c>
      <c r="CK123" s="257">
        <f t="shared" si="327"/>
        <v>174406</v>
      </c>
      <c r="CL123" s="892">
        <f t="shared" ref="CL123:CL129" si="328">SUM(BZ123:CK123)</f>
        <v>2092872</v>
      </c>
      <c r="CM123" s="951">
        <f>2000000/12</f>
        <v>166666.66666666666</v>
      </c>
      <c r="CN123" s="575">
        <f t="shared" ref="CN123:CX123" si="329">2000000/12</f>
        <v>166666.66666666666</v>
      </c>
      <c r="CO123" s="575">
        <f t="shared" si="329"/>
        <v>166666.66666666666</v>
      </c>
      <c r="CP123" s="575">
        <f t="shared" si="329"/>
        <v>166666.66666666666</v>
      </c>
      <c r="CQ123" s="575">
        <f t="shared" si="329"/>
        <v>166666.66666666666</v>
      </c>
      <c r="CR123" s="575">
        <f t="shared" si="329"/>
        <v>166666.66666666666</v>
      </c>
      <c r="CS123" s="575">
        <f t="shared" si="329"/>
        <v>166666.66666666666</v>
      </c>
      <c r="CT123" s="575">
        <f t="shared" si="329"/>
        <v>166666.66666666666</v>
      </c>
      <c r="CU123" s="575">
        <f t="shared" si="329"/>
        <v>166666.66666666666</v>
      </c>
      <c r="CV123" s="575">
        <f t="shared" si="329"/>
        <v>166666.66666666666</v>
      </c>
      <c r="CW123" s="575">
        <f t="shared" si="329"/>
        <v>166666.66666666666</v>
      </c>
      <c r="CX123" s="575">
        <f t="shared" si="329"/>
        <v>166666.66666666666</v>
      </c>
      <c r="CY123" s="885">
        <f t="shared" si="216"/>
        <v>2000000.0000000002</v>
      </c>
      <c r="CZ123" s="886">
        <f t="shared" ref="CZ123:DK126" si="330">CM123*$J123</f>
        <v>161666.66666666666</v>
      </c>
      <c r="DA123" s="257">
        <f t="shared" si="330"/>
        <v>161666.66666666666</v>
      </c>
      <c r="DB123" s="257">
        <f t="shared" si="330"/>
        <v>161666.66666666666</v>
      </c>
      <c r="DC123" s="257">
        <f t="shared" si="330"/>
        <v>161666.66666666666</v>
      </c>
      <c r="DD123" s="257">
        <f t="shared" si="330"/>
        <v>161666.66666666666</v>
      </c>
      <c r="DE123" s="257">
        <f t="shared" si="330"/>
        <v>161666.66666666666</v>
      </c>
      <c r="DF123" s="257">
        <f t="shared" si="330"/>
        <v>161666.66666666666</v>
      </c>
      <c r="DG123" s="257">
        <f t="shared" si="330"/>
        <v>161666.66666666666</v>
      </c>
      <c r="DH123" s="257">
        <f t="shared" si="330"/>
        <v>161666.66666666666</v>
      </c>
      <c r="DI123" s="257">
        <f t="shared" si="330"/>
        <v>161666.66666666666</v>
      </c>
      <c r="DJ123" s="257">
        <f t="shared" si="330"/>
        <v>161666.66666666666</v>
      </c>
      <c r="DK123" s="257">
        <f t="shared" si="330"/>
        <v>161666.66666666666</v>
      </c>
      <c r="DL123" s="887">
        <f t="shared" ref="DL123:DL129" si="331">SUM(CZ123:DK123)</f>
        <v>1940000.0000000002</v>
      </c>
      <c r="DM123" s="949">
        <f>2000000/12</f>
        <v>166666.66666666666</v>
      </c>
      <c r="DN123" s="575">
        <f t="shared" ref="DN123:DX123" si="332">2000000/12</f>
        <v>166666.66666666666</v>
      </c>
      <c r="DO123" s="575">
        <f t="shared" si="332"/>
        <v>166666.66666666666</v>
      </c>
      <c r="DP123" s="575">
        <f t="shared" si="332"/>
        <v>166666.66666666666</v>
      </c>
      <c r="DQ123" s="575">
        <f t="shared" si="332"/>
        <v>166666.66666666666</v>
      </c>
      <c r="DR123" s="575">
        <f t="shared" si="332"/>
        <v>166666.66666666666</v>
      </c>
      <c r="DS123" s="575">
        <f t="shared" si="332"/>
        <v>166666.66666666666</v>
      </c>
      <c r="DT123" s="575">
        <f t="shared" si="332"/>
        <v>166666.66666666666</v>
      </c>
      <c r="DU123" s="575">
        <f t="shared" si="332"/>
        <v>166666.66666666666</v>
      </c>
      <c r="DV123" s="575">
        <f t="shared" si="332"/>
        <v>166666.66666666666</v>
      </c>
      <c r="DW123" s="575">
        <f t="shared" si="332"/>
        <v>166666.66666666666</v>
      </c>
      <c r="DX123" s="575">
        <f t="shared" si="332"/>
        <v>166666.66666666666</v>
      </c>
      <c r="DY123" s="885">
        <f t="shared" si="217"/>
        <v>2000000.0000000002</v>
      </c>
      <c r="DZ123" s="257">
        <f t="shared" ref="DZ123:EK126" si="333">DM123*$K123</f>
        <v>161666.66666666666</v>
      </c>
      <c r="EA123" s="257">
        <f t="shared" si="333"/>
        <v>161666.66666666666</v>
      </c>
      <c r="EB123" s="257">
        <f t="shared" si="333"/>
        <v>161666.66666666666</v>
      </c>
      <c r="EC123" s="257">
        <f t="shared" si="333"/>
        <v>161666.66666666666</v>
      </c>
      <c r="ED123" s="257">
        <f t="shared" si="333"/>
        <v>161666.66666666666</v>
      </c>
      <c r="EE123" s="257">
        <f t="shared" si="333"/>
        <v>161666.66666666666</v>
      </c>
      <c r="EF123" s="257">
        <f t="shared" si="333"/>
        <v>161666.66666666666</v>
      </c>
      <c r="EG123" s="257">
        <f t="shared" si="333"/>
        <v>161666.66666666666</v>
      </c>
      <c r="EH123" s="257">
        <f t="shared" si="333"/>
        <v>161666.66666666666</v>
      </c>
      <c r="EI123" s="257">
        <f t="shared" si="333"/>
        <v>161666.66666666666</v>
      </c>
      <c r="EJ123" s="257">
        <f t="shared" si="333"/>
        <v>161666.66666666666</v>
      </c>
      <c r="EK123" s="257">
        <f t="shared" si="333"/>
        <v>161666.66666666666</v>
      </c>
      <c r="EL123" s="887">
        <f t="shared" ref="EL123:EL129" si="334">SUM(DZ123:EK123)</f>
        <v>1940000.0000000002</v>
      </c>
    </row>
    <row r="124" spans="1:142">
      <c r="A124" s="1102" t="s">
        <v>746</v>
      </c>
      <c r="B124" s="913" t="s">
        <v>748</v>
      </c>
      <c r="C124" s="917"/>
      <c r="D124" s="536">
        <v>1.67</v>
      </c>
      <c r="E124" s="537">
        <v>1.67</v>
      </c>
      <c r="F124" s="537">
        <v>1.67</v>
      </c>
      <c r="G124" s="538">
        <v>1.67</v>
      </c>
      <c r="H124" s="536">
        <v>1.67</v>
      </c>
      <c r="I124" s="537">
        <v>1.67</v>
      </c>
      <c r="J124" s="537">
        <v>1.67</v>
      </c>
      <c r="K124" s="883">
        <v>1.67</v>
      </c>
      <c r="L124" s="884"/>
      <c r="M124" s="565">
        <v>0</v>
      </c>
      <c r="N124" s="256">
        <v>0</v>
      </c>
      <c r="O124" s="256">
        <v>0</v>
      </c>
      <c r="P124" s="256">
        <v>0</v>
      </c>
      <c r="Q124" s="256">
        <v>0</v>
      </c>
      <c r="R124" s="256"/>
      <c r="S124" s="256"/>
      <c r="T124" s="256"/>
      <c r="U124" s="256"/>
      <c r="V124" s="256"/>
      <c r="W124" s="256"/>
      <c r="X124" s="256"/>
      <c r="Y124" s="885">
        <f>SUM(M124:X124)</f>
        <v>0</v>
      </c>
      <c r="Z124" s="886">
        <f t="shared" si="320"/>
        <v>0</v>
      </c>
      <c r="AA124" s="257">
        <f t="shared" si="320"/>
        <v>0</v>
      </c>
      <c r="AB124" s="257">
        <f t="shared" si="320"/>
        <v>0</v>
      </c>
      <c r="AC124" s="257">
        <f t="shared" si="321"/>
        <v>0</v>
      </c>
      <c r="AD124" s="257">
        <f t="shared" si="321"/>
        <v>0</v>
      </c>
      <c r="AE124" s="257">
        <f>R124*$E124</f>
        <v>0</v>
      </c>
      <c r="AF124" s="257">
        <f t="shared" ref="AF124:AH126" si="335">S124*$F124</f>
        <v>0</v>
      </c>
      <c r="AG124" s="257">
        <f t="shared" si="335"/>
        <v>0</v>
      </c>
      <c r="AH124" s="257">
        <f t="shared" si="335"/>
        <v>0</v>
      </c>
      <c r="AI124" s="257">
        <f t="shared" si="322"/>
        <v>0</v>
      </c>
      <c r="AJ124" s="257">
        <f t="shared" si="322"/>
        <v>0</v>
      </c>
      <c r="AK124" s="257">
        <f t="shared" si="322"/>
        <v>0</v>
      </c>
      <c r="AL124" s="887">
        <f>SUM(Z124:AK124)</f>
        <v>0</v>
      </c>
      <c r="AM124" s="897">
        <f>720000/12*50%</f>
        <v>30000</v>
      </c>
      <c r="AN124" s="256">
        <f t="shared" ref="AN124:AX124" si="336">720000/12*50%</f>
        <v>30000</v>
      </c>
      <c r="AO124" s="256">
        <f t="shared" si="336"/>
        <v>30000</v>
      </c>
      <c r="AP124" s="256">
        <f t="shared" si="336"/>
        <v>30000</v>
      </c>
      <c r="AQ124" s="256">
        <f t="shared" si="336"/>
        <v>30000</v>
      </c>
      <c r="AR124" s="256">
        <f t="shared" si="336"/>
        <v>30000</v>
      </c>
      <c r="AS124" s="256">
        <f t="shared" si="336"/>
        <v>30000</v>
      </c>
      <c r="AT124" s="256">
        <f t="shared" si="336"/>
        <v>30000</v>
      </c>
      <c r="AU124" s="256">
        <f t="shared" si="336"/>
        <v>30000</v>
      </c>
      <c r="AV124" s="256">
        <f t="shared" si="336"/>
        <v>30000</v>
      </c>
      <c r="AW124" s="256">
        <f t="shared" si="336"/>
        <v>30000</v>
      </c>
      <c r="AX124" s="256">
        <f t="shared" si="336"/>
        <v>30000</v>
      </c>
      <c r="AY124" s="885">
        <f>SUM(AM124:AX124)</f>
        <v>360000</v>
      </c>
      <c r="AZ124" s="886">
        <f t="shared" si="324"/>
        <v>50100</v>
      </c>
      <c r="BA124" s="257">
        <f t="shared" si="324"/>
        <v>50100</v>
      </c>
      <c r="BB124" s="257">
        <f t="shared" si="324"/>
        <v>50100</v>
      </c>
      <c r="BC124" s="257">
        <f t="shared" si="324"/>
        <v>50100</v>
      </c>
      <c r="BD124" s="257">
        <f t="shared" si="324"/>
        <v>50100</v>
      </c>
      <c r="BE124" s="257">
        <f t="shared" si="324"/>
        <v>50100</v>
      </c>
      <c r="BF124" s="257">
        <f t="shared" si="324"/>
        <v>50100</v>
      </c>
      <c r="BG124" s="257">
        <f t="shared" si="324"/>
        <v>50100</v>
      </c>
      <c r="BH124" s="257">
        <f t="shared" si="324"/>
        <v>50100</v>
      </c>
      <c r="BI124" s="257">
        <f t="shared" si="324"/>
        <v>50100</v>
      </c>
      <c r="BJ124" s="257">
        <f t="shared" si="324"/>
        <v>50100</v>
      </c>
      <c r="BK124" s="257">
        <f t="shared" si="324"/>
        <v>50100</v>
      </c>
      <c r="BL124" s="887">
        <f t="shared" si="325"/>
        <v>601200</v>
      </c>
      <c r="BM124" s="897">
        <f t="shared" ref="BM124:BX124" si="337">720000/12*50%</f>
        <v>30000</v>
      </c>
      <c r="BN124" s="256">
        <f t="shared" si="337"/>
        <v>30000</v>
      </c>
      <c r="BO124" s="256">
        <f t="shared" si="337"/>
        <v>30000</v>
      </c>
      <c r="BP124" s="256">
        <f t="shared" si="337"/>
        <v>30000</v>
      </c>
      <c r="BQ124" s="256">
        <f t="shared" si="337"/>
        <v>30000</v>
      </c>
      <c r="BR124" s="256">
        <f t="shared" si="337"/>
        <v>30000</v>
      </c>
      <c r="BS124" s="256">
        <f t="shared" si="337"/>
        <v>30000</v>
      </c>
      <c r="BT124" s="256">
        <f t="shared" si="337"/>
        <v>30000</v>
      </c>
      <c r="BU124" s="256">
        <f t="shared" si="337"/>
        <v>30000</v>
      </c>
      <c r="BV124" s="256">
        <f t="shared" si="337"/>
        <v>30000</v>
      </c>
      <c r="BW124" s="256">
        <f t="shared" si="337"/>
        <v>30000</v>
      </c>
      <c r="BX124" s="256">
        <f t="shared" si="337"/>
        <v>30000</v>
      </c>
      <c r="BY124" s="885">
        <f>SUM(BM124:BX124)</f>
        <v>360000</v>
      </c>
      <c r="BZ124" s="891">
        <f t="shared" si="327"/>
        <v>50100</v>
      </c>
      <c r="CA124" s="257">
        <f t="shared" si="327"/>
        <v>50100</v>
      </c>
      <c r="CB124" s="257">
        <f t="shared" si="327"/>
        <v>50100</v>
      </c>
      <c r="CC124" s="257">
        <f t="shared" si="327"/>
        <v>50100</v>
      </c>
      <c r="CD124" s="257">
        <f t="shared" si="327"/>
        <v>50100</v>
      </c>
      <c r="CE124" s="257">
        <f t="shared" si="327"/>
        <v>50100</v>
      </c>
      <c r="CF124" s="257">
        <f t="shared" si="327"/>
        <v>50100</v>
      </c>
      <c r="CG124" s="257">
        <f t="shared" si="327"/>
        <v>50100</v>
      </c>
      <c r="CH124" s="257">
        <f t="shared" si="327"/>
        <v>50100</v>
      </c>
      <c r="CI124" s="257">
        <f t="shared" si="327"/>
        <v>50100</v>
      </c>
      <c r="CJ124" s="257">
        <f t="shared" si="327"/>
        <v>50100</v>
      </c>
      <c r="CK124" s="257">
        <f t="shared" si="327"/>
        <v>50100</v>
      </c>
      <c r="CL124" s="892">
        <f t="shared" si="328"/>
        <v>601200</v>
      </c>
      <c r="CM124" s="897">
        <f>360000/12</f>
        <v>30000</v>
      </c>
      <c r="CN124" s="256">
        <f t="shared" ref="CN124:CX124" si="338">360000/12</f>
        <v>30000</v>
      </c>
      <c r="CO124" s="256">
        <f t="shared" si="338"/>
        <v>30000</v>
      </c>
      <c r="CP124" s="256">
        <f t="shared" si="338"/>
        <v>30000</v>
      </c>
      <c r="CQ124" s="256">
        <f t="shared" si="338"/>
        <v>30000</v>
      </c>
      <c r="CR124" s="256">
        <f t="shared" si="338"/>
        <v>30000</v>
      </c>
      <c r="CS124" s="256">
        <f t="shared" si="338"/>
        <v>30000</v>
      </c>
      <c r="CT124" s="256">
        <f t="shared" si="338"/>
        <v>30000</v>
      </c>
      <c r="CU124" s="256">
        <f t="shared" si="338"/>
        <v>30000</v>
      </c>
      <c r="CV124" s="256">
        <f t="shared" si="338"/>
        <v>30000</v>
      </c>
      <c r="CW124" s="256">
        <f t="shared" si="338"/>
        <v>30000</v>
      </c>
      <c r="CX124" s="256">
        <f t="shared" si="338"/>
        <v>30000</v>
      </c>
      <c r="CY124" s="885">
        <f>SUM(CM124:CX124)</f>
        <v>360000</v>
      </c>
      <c r="CZ124" s="886">
        <f t="shared" si="330"/>
        <v>50100</v>
      </c>
      <c r="DA124" s="257">
        <f t="shared" si="330"/>
        <v>50100</v>
      </c>
      <c r="DB124" s="257">
        <f t="shared" si="330"/>
        <v>50100</v>
      </c>
      <c r="DC124" s="257">
        <f t="shared" si="330"/>
        <v>50100</v>
      </c>
      <c r="DD124" s="257">
        <f t="shared" si="330"/>
        <v>50100</v>
      </c>
      <c r="DE124" s="257">
        <f t="shared" si="330"/>
        <v>50100</v>
      </c>
      <c r="DF124" s="257">
        <f t="shared" si="330"/>
        <v>50100</v>
      </c>
      <c r="DG124" s="257">
        <f t="shared" si="330"/>
        <v>50100</v>
      </c>
      <c r="DH124" s="257">
        <f t="shared" si="330"/>
        <v>50100</v>
      </c>
      <c r="DI124" s="257">
        <f t="shared" si="330"/>
        <v>50100</v>
      </c>
      <c r="DJ124" s="257">
        <f t="shared" si="330"/>
        <v>50100</v>
      </c>
      <c r="DK124" s="257">
        <f t="shared" si="330"/>
        <v>50100</v>
      </c>
      <c r="DL124" s="887">
        <f t="shared" si="331"/>
        <v>601200</v>
      </c>
      <c r="DM124" s="565">
        <f>360000/12</f>
        <v>30000</v>
      </c>
      <c r="DN124" s="256">
        <f t="shared" ref="DN124:DX124" si="339">360000/12</f>
        <v>30000</v>
      </c>
      <c r="DO124" s="256">
        <f t="shared" si="339"/>
        <v>30000</v>
      </c>
      <c r="DP124" s="256">
        <f t="shared" si="339"/>
        <v>30000</v>
      </c>
      <c r="DQ124" s="256">
        <f t="shared" si="339"/>
        <v>30000</v>
      </c>
      <c r="DR124" s="256">
        <f t="shared" si="339"/>
        <v>30000</v>
      </c>
      <c r="DS124" s="256">
        <f t="shared" si="339"/>
        <v>30000</v>
      </c>
      <c r="DT124" s="256">
        <f t="shared" si="339"/>
        <v>30000</v>
      </c>
      <c r="DU124" s="256">
        <f t="shared" si="339"/>
        <v>30000</v>
      </c>
      <c r="DV124" s="256">
        <f t="shared" si="339"/>
        <v>30000</v>
      </c>
      <c r="DW124" s="256">
        <f t="shared" si="339"/>
        <v>30000</v>
      </c>
      <c r="DX124" s="256">
        <f t="shared" si="339"/>
        <v>30000</v>
      </c>
      <c r="DY124" s="885">
        <f>SUM(DM124:DX124)</f>
        <v>360000</v>
      </c>
      <c r="DZ124" s="257">
        <f t="shared" si="333"/>
        <v>50100</v>
      </c>
      <c r="EA124" s="257">
        <f t="shared" si="333"/>
        <v>50100</v>
      </c>
      <c r="EB124" s="257">
        <f t="shared" si="333"/>
        <v>50100</v>
      </c>
      <c r="EC124" s="257">
        <f t="shared" si="333"/>
        <v>50100</v>
      </c>
      <c r="ED124" s="257">
        <f t="shared" si="333"/>
        <v>50100</v>
      </c>
      <c r="EE124" s="257">
        <f t="shared" si="333"/>
        <v>50100</v>
      </c>
      <c r="EF124" s="257">
        <f t="shared" si="333"/>
        <v>50100</v>
      </c>
      <c r="EG124" s="257">
        <f t="shared" si="333"/>
        <v>50100</v>
      </c>
      <c r="EH124" s="257">
        <f t="shared" si="333"/>
        <v>50100</v>
      </c>
      <c r="EI124" s="257">
        <f t="shared" si="333"/>
        <v>50100</v>
      </c>
      <c r="EJ124" s="257">
        <f t="shared" si="333"/>
        <v>50100</v>
      </c>
      <c r="EK124" s="257">
        <f t="shared" si="333"/>
        <v>50100</v>
      </c>
      <c r="EL124" s="887">
        <f t="shared" si="334"/>
        <v>601200</v>
      </c>
    </row>
    <row r="125" spans="1:142">
      <c r="A125" s="1105" t="s">
        <v>746</v>
      </c>
      <c r="B125" s="1106" t="s">
        <v>749</v>
      </c>
      <c r="C125" s="988"/>
      <c r="D125" s="1107"/>
      <c r="E125" s="1108"/>
      <c r="F125" s="1108"/>
      <c r="G125" s="1109"/>
      <c r="H125" s="1107"/>
      <c r="I125" s="1108">
        <v>4.95</v>
      </c>
      <c r="J125" s="1108">
        <v>4.84</v>
      </c>
      <c r="K125" s="1110">
        <v>4.7300000000000004</v>
      </c>
      <c r="L125" s="1011"/>
      <c r="M125" s="1111">
        <v>0</v>
      </c>
      <c r="N125" s="1112">
        <v>0</v>
      </c>
      <c r="O125" s="1112">
        <v>0</v>
      </c>
      <c r="P125" s="1112">
        <v>0</v>
      </c>
      <c r="Q125" s="1112">
        <v>0</v>
      </c>
      <c r="R125" s="1112">
        <v>0</v>
      </c>
      <c r="S125" s="1112">
        <v>0</v>
      </c>
      <c r="T125" s="1112">
        <v>0</v>
      </c>
      <c r="U125" s="1112">
        <v>0</v>
      </c>
      <c r="V125" s="1112">
        <v>0</v>
      </c>
      <c r="W125" s="1112">
        <v>0</v>
      </c>
      <c r="X125" s="1112">
        <v>0</v>
      </c>
      <c r="Y125" s="999">
        <f>SUM(M125:X125)</f>
        <v>0</v>
      </c>
      <c r="Z125" s="1000">
        <f t="shared" si="320"/>
        <v>0</v>
      </c>
      <c r="AA125" s="1001">
        <f t="shared" si="320"/>
        <v>0</v>
      </c>
      <c r="AB125" s="1001">
        <f t="shared" si="320"/>
        <v>0</v>
      </c>
      <c r="AC125" s="1001">
        <f t="shared" si="321"/>
        <v>0</v>
      </c>
      <c r="AD125" s="1001">
        <f t="shared" si="321"/>
        <v>0</v>
      </c>
      <c r="AE125" s="1001">
        <f>R125*$E125</f>
        <v>0</v>
      </c>
      <c r="AF125" s="1001">
        <f t="shared" si="335"/>
        <v>0</v>
      </c>
      <c r="AG125" s="1001">
        <f t="shared" si="335"/>
        <v>0</v>
      </c>
      <c r="AH125" s="1001">
        <f t="shared" si="335"/>
        <v>0</v>
      </c>
      <c r="AI125" s="1001">
        <f t="shared" si="322"/>
        <v>0</v>
      </c>
      <c r="AJ125" s="1001">
        <f t="shared" si="322"/>
        <v>0</v>
      </c>
      <c r="AK125" s="1001">
        <f t="shared" si="322"/>
        <v>0</v>
      </c>
      <c r="AL125" s="1002">
        <f>SUM(Z125:AK125)</f>
        <v>0</v>
      </c>
      <c r="AM125" s="1111"/>
      <c r="AN125" s="1112"/>
      <c r="AO125" s="1112"/>
      <c r="AP125" s="1112"/>
      <c r="AQ125" s="1112"/>
      <c r="AR125" s="1112"/>
      <c r="AS125" s="1112"/>
      <c r="AT125" s="1112"/>
      <c r="AU125" s="1112"/>
      <c r="AV125" s="1112"/>
      <c r="AW125" s="1112"/>
      <c r="AX125" s="1112"/>
      <c r="AY125" s="999">
        <f>SUM(AM125:AX125)</f>
        <v>0</v>
      </c>
      <c r="AZ125" s="1000">
        <f t="shared" si="324"/>
        <v>0</v>
      </c>
      <c r="BA125" s="1001">
        <f t="shared" si="324"/>
        <v>0</v>
      </c>
      <c r="BB125" s="1001">
        <f t="shared" si="324"/>
        <v>0</v>
      </c>
      <c r="BC125" s="1001">
        <f t="shared" si="324"/>
        <v>0</v>
      </c>
      <c r="BD125" s="1001">
        <f t="shared" si="324"/>
        <v>0</v>
      </c>
      <c r="BE125" s="1001">
        <f t="shared" si="324"/>
        <v>0</v>
      </c>
      <c r="BF125" s="1001">
        <f t="shared" si="324"/>
        <v>0</v>
      </c>
      <c r="BG125" s="1001">
        <f t="shared" si="324"/>
        <v>0</v>
      </c>
      <c r="BH125" s="1001">
        <f t="shared" si="324"/>
        <v>0</v>
      </c>
      <c r="BI125" s="1001">
        <f t="shared" si="324"/>
        <v>0</v>
      </c>
      <c r="BJ125" s="1001">
        <f t="shared" si="324"/>
        <v>0</v>
      </c>
      <c r="BK125" s="1001">
        <f t="shared" si="324"/>
        <v>0</v>
      </c>
      <c r="BL125" s="1002">
        <f t="shared" si="325"/>
        <v>0</v>
      </c>
      <c r="BM125" s="1111">
        <f>234000/12</f>
        <v>19500</v>
      </c>
      <c r="BN125" s="1112">
        <f t="shared" ref="BN125:BX126" si="340">234000/12</f>
        <v>19500</v>
      </c>
      <c r="BO125" s="1112">
        <f t="shared" si="340"/>
        <v>19500</v>
      </c>
      <c r="BP125" s="1112">
        <f t="shared" si="340"/>
        <v>19500</v>
      </c>
      <c r="BQ125" s="1112">
        <f t="shared" si="340"/>
        <v>19500</v>
      </c>
      <c r="BR125" s="1112">
        <f t="shared" si="340"/>
        <v>19500</v>
      </c>
      <c r="BS125" s="1112">
        <f t="shared" si="340"/>
        <v>19500</v>
      </c>
      <c r="BT125" s="1112">
        <f t="shared" si="340"/>
        <v>19500</v>
      </c>
      <c r="BU125" s="1112">
        <f t="shared" si="340"/>
        <v>19500</v>
      </c>
      <c r="BV125" s="1112">
        <f t="shared" si="340"/>
        <v>19500</v>
      </c>
      <c r="BW125" s="1112">
        <f t="shared" si="340"/>
        <v>19500</v>
      </c>
      <c r="BX125" s="1112">
        <f t="shared" si="340"/>
        <v>19500</v>
      </c>
      <c r="BY125" s="999">
        <f>SUM(BM125:BX125)</f>
        <v>234000</v>
      </c>
      <c r="BZ125" s="1000">
        <f t="shared" si="327"/>
        <v>96525</v>
      </c>
      <c r="CA125" s="1001">
        <f t="shared" si="327"/>
        <v>96525</v>
      </c>
      <c r="CB125" s="1001">
        <f t="shared" si="327"/>
        <v>96525</v>
      </c>
      <c r="CC125" s="1001">
        <f t="shared" si="327"/>
        <v>96525</v>
      </c>
      <c r="CD125" s="1001">
        <f t="shared" si="327"/>
        <v>96525</v>
      </c>
      <c r="CE125" s="1001">
        <f t="shared" si="327"/>
        <v>96525</v>
      </c>
      <c r="CF125" s="1001">
        <f t="shared" si="327"/>
        <v>96525</v>
      </c>
      <c r="CG125" s="1001">
        <f t="shared" si="327"/>
        <v>96525</v>
      </c>
      <c r="CH125" s="1001">
        <f t="shared" si="327"/>
        <v>96525</v>
      </c>
      <c r="CI125" s="1001">
        <f t="shared" si="327"/>
        <v>96525</v>
      </c>
      <c r="CJ125" s="1001">
        <f t="shared" si="327"/>
        <v>96525</v>
      </c>
      <c r="CK125" s="1001">
        <f t="shared" si="327"/>
        <v>96525</v>
      </c>
      <c r="CL125" s="1002">
        <f t="shared" si="328"/>
        <v>1158300</v>
      </c>
      <c r="CM125" s="1111">
        <f>312000/12</f>
        <v>26000</v>
      </c>
      <c r="CN125" s="1112">
        <f t="shared" ref="CN125:CX126" si="341">312000/12</f>
        <v>26000</v>
      </c>
      <c r="CO125" s="1112">
        <f t="shared" si="341"/>
        <v>26000</v>
      </c>
      <c r="CP125" s="1112">
        <f t="shared" si="341"/>
        <v>26000</v>
      </c>
      <c r="CQ125" s="1112">
        <f t="shared" si="341"/>
        <v>26000</v>
      </c>
      <c r="CR125" s="1112">
        <f t="shared" si="341"/>
        <v>26000</v>
      </c>
      <c r="CS125" s="1112">
        <f t="shared" si="341"/>
        <v>26000</v>
      </c>
      <c r="CT125" s="1112">
        <f t="shared" si="341"/>
        <v>26000</v>
      </c>
      <c r="CU125" s="1112">
        <f t="shared" si="341"/>
        <v>26000</v>
      </c>
      <c r="CV125" s="1112">
        <f t="shared" si="341"/>
        <v>26000</v>
      </c>
      <c r="CW125" s="1112">
        <f t="shared" si="341"/>
        <v>26000</v>
      </c>
      <c r="CX125" s="1112">
        <f t="shared" si="341"/>
        <v>26000</v>
      </c>
      <c r="CY125" s="999">
        <f>SUM(CM125:CX125)</f>
        <v>312000</v>
      </c>
      <c r="CZ125" s="1000">
        <f t="shared" si="330"/>
        <v>125840</v>
      </c>
      <c r="DA125" s="1001">
        <f t="shared" si="330"/>
        <v>125840</v>
      </c>
      <c r="DB125" s="1001">
        <f t="shared" si="330"/>
        <v>125840</v>
      </c>
      <c r="DC125" s="1001">
        <f t="shared" si="330"/>
        <v>125840</v>
      </c>
      <c r="DD125" s="1001">
        <f t="shared" si="330"/>
        <v>125840</v>
      </c>
      <c r="DE125" s="1001">
        <f t="shared" si="330"/>
        <v>125840</v>
      </c>
      <c r="DF125" s="1001">
        <f t="shared" si="330"/>
        <v>125840</v>
      </c>
      <c r="DG125" s="1001">
        <f t="shared" si="330"/>
        <v>125840</v>
      </c>
      <c r="DH125" s="1001">
        <f t="shared" si="330"/>
        <v>125840</v>
      </c>
      <c r="DI125" s="1001">
        <f t="shared" si="330"/>
        <v>125840</v>
      </c>
      <c r="DJ125" s="1001">
        <f t="shared" si="330"/>
        <v>125840</v>
      </c>
      <c r="DK125" s="1001">
        <f t="shared" si="330"/>
        <v>125840</v>
      </c>
      <c r="DL125" s="1002">
        <f t="shared" si="331"/>
        <v>1510080</v>
      </c>
      <c r="DM125" s="1111">
        <f>312000/12</f>
        <v>26000</v>
      </c>
      <c r="DN125" s="1112">
        <f t="shared" ref="DN125:DX126" si="342">312000/12</f>
        <v>26000</v>
      </c>
      <c r="DO125" s="1112">
        <f t="shared" si="342"/>
        <v>26000</v>
      </c>
      <c r="DP125" s="1112">
        <f t="shared" si="342"/>
        <v>26000</v>
      </c>
      <c r="DQ125" s="1112">
        <f t="shared" si="342"/>
        <v>26000</v>
      </c>
      <c r="DR125" s="1112">
        <f t="shared" si="342"/>
        <v>26000</v>
      </c>
      <c r="DS125" s="1112">
        <f t="shared" si="342"/>
        <v>26000</v>
      </c>
      <c r="DT125" s="1112">
        <f t="shared" si="342"/>
        <v>26000</v>
      </c>
      <c r="DU125" s="1112">
        <f t="shared" si="342"/>
        <v>26000</v>
      </c>
      <c r="DV125" s="1112">
        <f t="shared" si="342"/>
        <v>26000</v>
      </c>
      <c r="DW125" s="1112">
        <f t="shared" si="342"/>
        <v>26000</v>
      </c>
      <c r="DX125" s="1112">
        <f t="shared" si="342"/>
        <v>26000</v>
      </c>
      <c r="DY125" s="999">
        <f>SUM(DM125:DX125)</f>
        <v>312000</v>
      </c>
      <c r="DZ125" s="1000">
        <f t="shared" si="333"/>
        <v>122980.00000000001</v>
      </c>
      <c r="EA125" s="1001">
        <f t="shared" si="333"/>
        <v>122980.00000000001</v>
      </c>
      <c r="EB125" s="1001">
        <f t="shared" si="333"/>
        <v>122980.00000000001</v>
      </c>
      <c r="EC125" s="1001">
        <f t="shared" si="333"/>
        <v>122980.00000000001</v>
      </c>
      <c r="ED125" s="1001">
        <f t="shared" si="333"/>
        <v>122980.00000000001</v>
      </c>
      <c r="EE125" s="1001">
        <f t="shared" si="333"/>
        <v>122980.00000000001</v>
      </c>
      <c r="EF125" s="1001">
        <f t="shared" si="333"/>
        <v>122980.00000000001</v>
      </c>
      <c r="EG125" s="1001">
        <f t="shared" si="333"/>
        <v>122980.00000000001</v>
      </c>
      <c r="EH125" s="1001">
        <f t="shared" si="333"/>
        <v>122980.00000000001</v>
      </c>
      <c r="EI125" s="1001">
        <f t="shared" si="333"/>
        <v>122980.00000000001</v>
      </c>
      <c r="EJ125" s="1001">
        <f t="shared" si="333"/>
        <v>122980.00000000001</v>
      </c>
      <c r="EK125" s="1001">
        <f t="shared" si="333"/>
        <v>122980.00000000001</v>
      </c>
      <c r="EL125" s="1002">
        <f t="shared" si="334"/>
        <v>1475760.0000000002</v>
      </c>
    </row>
    <row r="126" spans="1:142" ht="18" thickBot="1">
      <c r="A126" s="1105" t="s">
        <v>746</v>
      </c>
      <c r="B126" s="1106" t="s">
        <v>750</v>
      </c>
      <c r="C126" s="988"/>
      <c r="D126" s="1107"/>
      <c r="E126" s="1108"/>
      <c r="F126" s="1108"/>
      <c r="G126" s="1109"/>
      <c r="H126" s="1107"/>
      <c r="I126" s="1108">
        <v>2.4300000000000002</v>
      </c>
      <c r="J126" s="1108">
        <v>2.38</v>
      </c>
      <c r="K126" s="1110">
        <v>2.3199999999999998</v>
      </c>
      <c r="L126" s="1011"/>
      <c r="M126" s="1111">
        <v>0</v>
      </c>
      <c r="N126" s="1112">
        <v>0</v>
      </c>
      <c r="O126" s="1112">
        <v>0</v>
      </c>
      <c r="P126" s="1112">
        <v>0</v>
      </c>
      <c r="Q126" s="1112">
        <v>0</v>
      </c>
      <c r="R126" s="1112">
        <v>0</v>
      </c>
      <c r="S126" s="1112">
        <v>0</v>
      </c>
      <c r="T126" s="1112">
        <v>0</v>
      </c>
      <c r="U126" s="1112">
        <v>0</v>
      </c>
      <c r="V126" s="1112">
        <v>0</v>
      </c>
      <c r="W126" s="1112">
        <v>0</v>
      </c>
      <c r="X126" s="1112">
        <v>0</v>
      </c>
      <c r="Y126" s="999">
        <f>SUM(M126:X126)</f>
        <v>0</v>
      </c>
      <c r="Z126" s="1000">
        <f t="shared" si="320"/>
        <v>0</v>
      </c>
      <c r="AA126" s="1001">
        <f t="shared" si="320"/>
        <v>0</v>
      </c>
      <c r="AB126" s="1001">
        <f t="shared" si="320"/>
        <v>0</v>
      </c>
      <c r="AC126" s="1001">
        <f t="shared" si="321"/>
        <v>0</v>
      </c>
      <c r="AD126" s="1001">
        <f t="shared" si="321"/>
        <v>0</v>
      </c>
      <c r="AE126" s="1001">
        <f>R126*$E126</f>
        <v>0</v>
      </c>
      <c r="AF126" s="1001">
        <f t="shared" si="335"/>
        <v>0</v>
      </c>
      <c r="AG126" s="1001">
        <f t="shared" si="335"/>
        <v>0</v>
      </c>
      <c r="AH126" s="1001">
        <f t="shared" si="335"/>
        <v>0</v>
      </c>
      <c r="AI126" s="1001">
        <f t="shared" si="322"/>
        <v>0</v>
      </c>
      <c r="AJ126" s="1001">
        <f t="shared" si="322"/>
        <v>0</v>
      </c>
      <c r="AK126" s="1001">
        <f t="shared" si="322"/>
        <v>0</v>
      </c>
      <c r="AL126" s="1002">
        <f>SUM(Z126:AK126)</f>
        <v>0</v>
      </c>
      <c r="AM126" s="1113"/>
      <c r="AN126" s="1114"/>
      <c r="AO126" s="1112"/>
      <c r="AP126" s="1112"/>
      <c r="AQ126" s="1112"/>
      <c r="AR126" s="1112"/>
      <c r="AS126" s="1112"/>
      <c r="AT126" s="1112"/>
      <c r="AU126" s="1112"/>
      <c r="AV126" s="1112"/>
      <c r="AW126" s="1112"/>
      <c r="AX126" s="1112"/>
      <c r="AY126" s="999">
        <f>SUM(AM126:AX126)</f>
        <v>0</v>
      </c>
      <c r="AZ126" s="1000">
        <f t="shared" si="324"/>
        <v>0</v>
      </c>
      <c r="BA126" s="1001">
        <f t="shared" si="324"/>
        <v>0</v>
      </c>
      <c r="BB126" s="1001">
        <f t="shared" si="324"/>
        <v>0</v>
      </c>
      <c r="BC126" s="1001">
        <f t="shared" si="324"/>
        <v>0</v>
      </c>
      <c r="BD126" s="1001">
        <f t="shared" si="324"/>
        <v>0</v>
      </c>
      <c r="BE126" s="1001">
        <f t="shared" si="324"/>
        <v>0</v>
      </c>
      <c r="BF126" s="1001">
        <f t="shared" si="324"/>
        <v>0</v>
      </c>
      <c r="BG126" s="1001">
        <f t="shared" si="324"/>
        <v>0</v>
      </c>
      <c r="BH126" s="1001">
        <f t="shared" si="324"/>
        <v>0</v>
      </c>
      <c r="BI126" s="1001">
        <f t="shared" si="324"/>
        <v>0</v>
      </c>
      <c r="BJ126" s="1001">
        <f t="shared" si="324"/>
        <v>0</v>
      </c>
      <c r="BK126" s="1001">
        <f t="shared" si="324"/>
        <v>0</v>
      </c>
      <c r="BL126" s="1002">
        <f t="shared" si="325"/>
        <v>0</v>
      </c>
      <c r="BM126" s="1111">
        <f>234000/12</f>
        <v>19500</v>
      </c>
      <c r="BN126" s="1112">
        <f t="shared" si="340"/>
        <v>19500</v>
      </c>
      <c r="BO126" s="1112">
        <f t="shared" si="340"/>
        <v>19500</v>
      </c>
      <c r="BP126" s="1112">
        <f t="shared" si="340"/>
        <v>19500</v>
      </c>
      <c r="BQ126" s="1112">
        <f t="shared" si="340"/>
        <v>19500</v>
      </c>
      <c r="BR126" s="1112">
        <f t="shared" si="340"/>
        <v>19500</v>
      </c>
      <c r="BS126" s="1112">
        <f t="shared" si="340"/>
        <v>19500</v>
      </c>
      <c r="BT126" s="1112">
        <f t="shared" si="340"/>
        <v>19500</v>
      </c>
      <c r="BU126" s="1112">
        <f t="shared" si="340"/>
        <v>19500</v>
      </c>
      <c r="BV126" s="1112">
        <f t="shared" si="340"/>
        <v>19500</v>
      </c>
      <c r="BW126" s="1112">
        <f t="shared" si="340"/>
        <v>19500</v>
      </c>
      <c r="BX126" s="1112">
        <f t="shared" si="340"/>
        <v>19500</v>
      </c>
      <c r="BY126" s="999">
        <f>SUM(BM126:BX126)</f>
        <v>234000</v>
      </c>
      <c r="BZ126" s="1000">
        <f t="shared" si="327"/>
        <v>47385</v>
      </c>
      <c r="CA126" s="1001">
        <f t="shared" si="327"/>
        <v>47385</v>
      </c>
      <c r="CB126" s="1001">
        <f t="shared" si="327"/>
        <v>47385</v>
      </c>
      <c r="CC126" s="1001">
        <f t="shared" si="327"/>
        <v>47385</v>
      </c>
      <c r="CD126" s="1001">
        <f t="shared" si="327"/>
        <v>47385</v>
      </c>
      <c r="CE126" s="1001">
        <f t="shared" si="327"/>
        <v>47385</v>
      </c>
      <c r="CF126" s="1001">
        <f t="shared" si="327"/>
        <v>47385</v>
      </c>
      <c r="CG126" s="1001">
        <f t="shared" si="327"/>
        <v>47385</v>
      </c>
      <c r="CH126" s="1001">
        <f t="shared" si="327"/>
        <v>47385</v>
      </c>
      <c r="CI126" s="1001">
        <f t="shared" si="327"/>
        <v>47385</v>
      </c>
      <c r="CJ126" s="1001">
        <f t="shared" si="327"/>
        <v>47385</v>
      </c>
      <c r="CK126" s="1001">
        <f t="shared" si="327"/>
        <v>47385</v>
      </c>
      <c r="CL126" s="1002">
        <f t="shared" si="328"/>
        <v>568620</v>
      </c>
      <c r="CM126" s="1111">
        <f>312000/12</f>
        <v>26000</v>
      </c>
      <c r="CN126" s="1112">
        <f t="shared" si="341"/>
        <v>26000</v>
      </c>
      <c r="CO126" s="1112">
        <f t="shared" si="341"/>
        <v>26000</v>
      </c>
      <c r="CP126" s="1112">
        <f t="shared" si="341"/>
        <v>26000</v>
      </c>
      <c r="CQ126" s="1112">
        <f t="shared" si="341"/>
        <v>26000</v>
      </c>
      <c r="CR126" s="1112">
        <f t="shared" si="341"/>
        <v>26000</v>
      </c>
      <c r="CS126" s="1112">
        <f t="shared" si="341"/>
        <v>26000</v>
      </c>
      <c r="CT126" s="1112">
        <f t="shared" si="341"/>
        <v>26000</v>
      </c>
      <c r="CU126" s="1112">
        <f t="shared" si="341"/>
        <v>26000</v>
      </c>
      <c r="CV126" s="1112">
        <f t="shared" si="341"/>
        <v>26000</v>
      </c>
      <c r="CW126" s="1112">
        <f t="shared" si="341"/>
        <v>26000</v>
      </c>
      <c r="CX126" s="1112">
        <f t="shared" si="341"/>
        <v>26000</v>
      </c>
      <c r="CY126" s="999">
        <f>SUM(CM126:CX126)</f>
        <v>312000</v>
      </c>
      <c r="CZ126" s="1000">
        <f t="shared" si="330"/>
        <v>61880</v>
      </c>
      <c r="DA126" s="1001">
        <f t="shared" si="330"/>
        <v>61880</v>
      </c>
      <c r="DB126" s="1001">
        <f t="shared" si="330"/>
        <v>61880</v>
      </c>
      <c r="DC126" s="1001">
        <f t="shared" si="330"/>
        <v>61880</v>
      </c>
      <c r="DD126" s="1001">
        <f t="shared" si="330"/>
        <v>61880</v>
      </c>
      <c r="DE126" s="1001">
        <f t="shared" si="330"/>
        <v>61880</v>
      </c>
      <c r="DF126" s="1001">
        <f t="shared" si="330"/>
        <v>61880</v>
      </c>
      <c r="DG126" s="1001">
        <f t="shared" si="330"/>
        <v>61880</v>
      </c>
      <c r="DH126" s="1001">
        <f t="shared" si="330"/>
        <v>61880</v>
      </c>
      <c r="DI126" s="1001">
        <f t="shared" si="330"/>
        <v>61880</v>
      </c>
      <c r="DJ126" s="1001">
        <f t="shared" si="330"/>
        <v>61880</v>
      </c>
      <c r="DK126" s="1001">
        <f t="shared" si="330"/>
        <v>61880</v>
      </c>
      <c r="DL126" s="1002">
        <f t="shared" si="331"/>
        <v>742560</v>
      </c>
      <c r="DM126" s="1111">
        <f>312000/12</f>
        <v>26000</v>
      </c>
      <c r="DN126" s="1112">
        <f t="shared" si="342"/>
        <v>26000</v>
      </c>
      <c r="DO126" s="1112">
        <f t="shared" si="342"/>
        <v>26000</v>
      </c>
      <c r="DP126" s="1112">
        <f t="shared" si="342"/>
        <v>26000</v>
      </c>
      <c r="DQ126" s="1112">
        <f t="shared" si="342"/>
        <v>26000</v>
      </c>
      <c r="DR126" s="1112">
        <f t="shared" si="342"/>
        <v>26000</v>
      </c>
      <c r="DS126" s="1112">
        <f t="shared" si="342"/>
        <v>26000</v>
      </c>
      <c r="DT126" s="1112">
        <f t="shared" si="342"/>
        <v>26000</v>
      </c>
      <c r="DU126" s="1112">
        <f t="shared" si="342"/>
        <v>26000</v>
      </c>
      <c r="DV126" s="1112">
        <f t="shared" si="342"/>
        <v>26000</v>
      </c>
      <c r="DW126" s="1112">
        <f t="shared" si="342"/>
        <v>26000</v>
      </c>
      <c r="DX126" s="1112">
        <f t="shared" si="342"/>
        <v>26000</v>
      </c>
      <c r="DY126" s="999">
        <f>SUM(DM126:DX126)</f>
        <v>312000</v>
      </c>
      <c r="DZ126" s="1000">
        <f t="shared" si="333"/>
        <v>60319.999999999993</v>
      </c>
      <c r="EA126" s="1001">
        <f t="shared" si="333"/>
        <v>60319.999999999993</v>
      </c>
      <c r="EB126" s="1001">
        <f t="shared" si="333"/>
        <v>60319.999999999993</v>
      </c>
      <c r="EC126" s="1001">
        <f t="shared" si="333"/>
        <v>60319.999999999993</v>
      </c>
      <c r="ED126" s="1001">
        <f t="shared" si="333"/>
        <v>60319.999999999993</v>
      </c>
      <c r="EE126" s="1001">
        <f t="shared" si="333"/>
        <v>60319.999999999993</v>
      </c>
      <c r="EF126" s="1001">
        <f t="shared" si="333"/>
        <v>60319.999999999993</v>
      </c>
      <c r="EG126" s="1001">
        <f t="shared" si="333"/>
        <v>60319.999999999993</v>
      </c>
      <c r="EH126" s="1001">
        <f t="shared" si="333"/>
        <v>60319.999999999993</v>
      </c>
      <c r="EI126" s="1001">
        <f t="shared" si="333"/>
        <v>60319.999999999993</v>
      </c>
      <c r="EJ126" s="1001">
        <f t="shared" si="333"/>
        <v>60319.999999999993</v>
      </c>
      <c r="EK126" s="1001">
        <f t="shared" si="333"/>
        <v>60319.999999999993</v>
      </c>
      <c r="EL126" s="1002">
        <f t="shared" si="334"/>
        <v>723839.99999999988</v>
      </c>
    </row>
    <row r="127" spans="1:142" ht="18.75" thickTop="1" thickBot="1">
      <c r="A127" s="5218" t="s">
        <v>751</v>
      </c>
      <c r="B127" s="5219"/>
      <c r="C127" s="5220"/>
      <c r="D127" s="898"/>
      <c r="E127" s="898"/>
      <c r="F127" s="898"/>
      <c r="G127" s="898"/>
      <c r="H127" s="898"/>
      <c r="I127" s="898"/>
      <c r="J127" s="898"/>
      <c r="K127" s="899"/>
      <c r="L127" s="900"/>
      <c r="M127" s="901">
        <f>SUM(M123:M126)</f>
        <v>0</v>
      </c>
      <c r="N127" s="576">
        <f t="shared" ref="N127:BY127" si="343">SUM(N123:N126)</f>
        <v>0</v>
      </c>
      <c r="O127" s="576">
        <f t="shared" si="343"/>
        <v>0</v>
      </c>
      <c r="P127" s="576">
        <f t="shared" si="343"/>
        <v>0</v>
      </c>
      <c r="Q127" s="1115">
        <f t="shared" si="343"/>
        <v>0</v>
      </c>
      <c r="R127" s="576">
        <f t="shared" si="343"/>
        <v>46872</v>
      </c>
      <c r="S127" s="576">
        <f t="shared" si="343"/>
        <v>35812</v>
      </c>
      <c r="T127" s="576">
        <f t="shared" si="343"/>
        <v>70132</v>
      </c>
      <c r="U127" s="576">
        <f t="shared" si="343"/>
        <v>50000</v>
      </c>
      <c r="V127" s="576">
        <f t="shared" si="343"/>
        <v>75000</v>
      </c>
      <c r="W127" s="576">
        <f t="shared" si="343"/>
        <v>75000</v>
      </c>
      <c r="X127" s="576">
        <f t="shared" si="343"/>
        <v>75000</v>
      </c>
      <c r="Y127" s="545">
        <f t="shared" si="343"/>
        <v>427816</v>
      </c>
      <c r="Z127" s="550">
        <f t="shared" si="343"/>
        <v>0</v>
      </c>
      <c r="AA127" s="550">
        <f t="shared" si="343"/>
        <v>0</v>
      </c>
      <c r="AB127" s="550">
        <f t="shared" si="343"/>
        <v>0</v>
      </c>
      <c r="AC127" s="550">
        <f t="shared" si="343"/>
        <v>0</v>
      </c>
      <c r="AD127" s="550">
        <f t="shared" si="343"/>
        <v>0</v>
      </c>
      <c r="AE127" s="550">
        <f t="shared" si="343"/>
        <v>50621.760000000002</v>
      </c>
      <c r="AF127" s="550">
        <f t="shared" si="343"/>
        <v>38676.959999999999</v>
      </c>
      <c r="AG127" s="550">
        <f t="shared" si="343"/>
        <v>65922.559999999998</v>
      </c>
      <c r="AH127" s="550">
        <f t="shared" si="343"/>
        <v>48500</v>
      </c>
      <c r="AI127" s="550">
        <f t="shared" si="343"/>
        <v>72750</v>
      </c>
      <c r="AJ127" s="550">
        <f t="shared" si="343"/>
        <v>72750</v>
      </c>
      <c r="AK127" s="550">
        <f t="shared" si="343"/>
        <v>72750</v>
      </c>
      <c r="AL127" s="547">
        <f t="shared" si="343"/>
        <v>421971.28</v>
      </c>
      <c r="AM127" s="544">
        <f t="shared" si="343"/>
        <v>209800</v>
      </c>
      <c r="AN127" s="576">
        <f t="shared" si="343"/>
        <v>209800</v>
      </c>
      <c r="AO127" s="576">
        <f t="shared" si="343"/>
        <v>209800</v>
      </c>
      <c r="AP127" s="576">
        <f t="shared" si="343"/>
        <v>209800</v>
      </c>
      <c r="AQ127" s="576">
        <f t="shared" si="343"/>
        <v>209800</v>
      </c>
      <c r="AR127" s="576">
        <f t="shared" si="343"/>
        <v>209800</v>
      </c>
      <c r="AS127" s="576">
        <f t="shared" si="343"/>
        <v>209800</v>
      </c>
      <c r="AT127" s="576">
        <f t="shared" si="343"/>
        <v>209800</v>
      </c>
      <c r="AU127" s="576">
        <f t="shared" si="343"/>
        <v>209800</v>
      </c>
      <c r="AV127" s="576">
        <f t="shared" si="343"/>
        <v>209800</v>
      </c>
      <c r="AW127" s="576">
        <f t="shared" si="343"/>
        <v>209800</v>
      </c>
      <c r="AX127" s="576">
        <f t="shared" si="343"/>
        <v>209800</v>
      </c>
      <c r="AY127" s="545">
        <f t="shared" si="343"/>
        <v>2517600</v>
      </c>
      <c r="AZ127" s="550">
        <f t="shared" si="343"/>
        <v>224506</v>
      </c>
      <c r="BA127" s="550">
        <f t="shared" si="343"/>
        <v>224506</v>
      </c>
      <c r="BB127" s="550">
        <f t="shared" si="343"/>
        <v>224506</v>
      </c>
      <c r="BC127" s="550">
        <f t="shared" si="343"/>
        <v>224506</v>
      </c>
      <c r="BD127" s="550">
        <f t="shared" si="343"/>
        <v>224506</v>
      </c>
      <c r="BE127" s="550">
        <f t="shared" si="343"/>
        <v>224506</v>
      </c>
      <c r="BF127" s="550">
        <f t="shared" si="343"/>
        <v>224506</v>
      </c>
      <c r="BG127" s="550">
        <f t="shared" si="343"/>
        <v>224506</v>
      </c>
      <c r="BH127" s="550">
        <f t="shared" si="343"/>
        <v>224506</v>
      </c>
      <c r="BI127" s="550">
        <f t="shared" si="343"/>
        <v>224506</v>
      </c>
      <c r="BJ127" s="550">
        <f t="shared" si="343"/>
        <v>224506</v>
      </c>
      <c r="BK127" s="550">
        <f t="shared" si="343"/>
        <v>224506</v>
      </c>
      <c r="BL127" s="547">
        <f t="shared" si="343"/>
        <v>2694072</v>
      </c>
      <c r="BM127" s="544">
        <f t="shared" si="343"/>
        <v>248800</v>
      </c>
      <c r="BN127" s="576">
        <f t="shared" si="343"/>
        <v>248800</v>
      </c>
      <c r="BO127" s="576">
        <f t="shared" si="343"/>
        <v>248800</v>
      </c>
      <c r="BP127" s="576">
        <f t="shared" si="343"/>
        <v>248800</v>
      </c>
      <c r="BQ127" s="576">
        <f t="shared" si="343"/>
        <v>248800</v>
      </c>
      <c r="BR127" s="576">
        <f t="shared" si="343"/>
        <v>248800</v>
      </c>
      <c r="BS127" s="576">
        <f t="shared" si="343"/>
        <v>248800</v>
      </c>
      <c r="BT127" s="576">
        <f t="shared" si="343"/>
        <v>248800</v>
      </c>
      <c r="BU127" s="576">
        <f t="shared" si="343"/>
        <v>248800</v>
      </c>
      <c r="BV127" s="576">
        <f t="shared" si="343"/>
        <v>248800</v>
      </c>
      <c r="BW127" s="576">
        <f t="shared" si="343"/>
        <v>248800</v>
      </c>
      <c r="BX127" s="576">
        <f t="shared" si="343"/>
        <v>248800</v>
      </c>
      <c r="BY127" s="545">
        <f t="shared" si="343"/>
        <v>2985600</v>
      </c>
      <c r="BZ127" s="946">
        <f t="shared" ref="BZ127:EK127" si="344">SUM(BZ123:BZ126)</f>
        <v>368416</v>
      </c>
      <c r="CA127" s="550">
        <f t="shared" si="344"/>
        <v>368416</v>
      </c>
      <c r="CB127" s="550">
        <f t="shared" si="344"/>
        <v>368416</v>
      </c>
      <c r="CC127" s="550">
        <f t="shared" si="344"/>
        <v>368416</v>
      </c>
      <c r="CD127" s="550">
        <f t="shared" si="344"/>
        <v>368416</v>
      </c>
      <c r="CE127" s="550">
        <f t="shared" si="344"/>
        <v>368416</v>
      </c>
      <c r="CF127" s="550">
        <f t="shared" si="344"/>
        <v>368416</v>
      </c>
      <c r="CG127" s="550">
        <f t="shared" si="344"/>
        <v>368416</v>
      </c>
      <c r="CH127" s="550">
        <f t="shared" si="344"/>
        <v>368416</v>
      </c>
      <c r="CI127" s="550">
        <f t="shared" si="344"/>
        <v>368416</v>
      </c>
      <c r="CJ127" s="550">
        <f t="shared" si="344"/>
        <v>368416</v>
      </c>
      <c r="CK127" s="550">
        <f t="shared" si="344"/>
        <v>368416</v>
      </c>
      <c r="CL127" s="903">
        <f t="shared" si="344"/>
        <v>4420992</v>
      </c>
      <c r="CM127" s="544">
        <f t="shared" si="344"/>
        <v>248666.66666666666</v>
      </c>
      <c r="CN127" s="576">
        <f t="shared" si="344"/>
        <v>248666.66666666666</v>
      </c>
      <c r="CO127" s="576">
        <f t="shared" si="344"/>
        <v>248666.66666666666</v>
      </c>
      <c r="CP127" s="576">
        <f t="shared" si="344"/>
        <v>248666.66666666666</v>
      </c>
      <c r="CQ127" s="576">
        <f t="shared" si="344"/>
        <v>248666.66666666666</v>
      </c>
      <c r="CR127" s="576">
        <f t="shared" si="344"/>
        <v>248666.66666666666</v>
      </c>
      <c r="CS127" s="576">
        <f t="shared" si="344"/>
        <v>248666.66666666666</v>
      </c>
      <c r="CT127" s="576">
        <f t="shared" si="344"/>
        <v>248666.66666666666</v>
      </c>
      <c r="CU127" s="576">
        <f t="shared" si="344"/>
        <v>248666.66666666666</v>
      </c>
      <c r="CV127" s="576">
        <f t="shared" si="344"/>
        <v>248666.66666666666</v>
      </c>
      <c r="CW127" s="576">
        <f t="shared" si="344"/>
        <v>248666.66666666666</v>
      </c>
      <c r="CX127" s="576">
        <f t="shared" si="344"/>
        <v>248666.66666666666</v>
      </c>
      <c r="CY127" s="545">
        <f t="shared" si="344"/>
        <v>2984000</v>
      </c>
      <c r="CZ127" s="550">
        <f t="shared" si="344"/>
        <v>399486.66666666663</v>
      </c>
      <c r="DA127" s="550">
        <f t="shared" si="344"/>
        <v>399486.66666666663</v>
      </c>
      <c r="DB127" s="550">
        <f t="shared" si="344"/>
        <v>399486.66666666663</v>
      </c>
      <c r="DC127" s="550">
        <f t="shared" si="344"/>
        <v>399486.66666666663</v>
      </c>
      <c r="DD127" s="550">
        <f t="shared" si="344"/>
        <v>399486.66666666663</v>
      </c>
      <c r="DE127" s="550">
        <f t="shared" si="344"/>
        <v>399486.66666666663</v>
      </c>
      <c r="DF127" s="550">
        <f t="shared" si="344"/>
        <v>399486.66666666663</v>
      </c>
      <c r="DG127" s="550">
        <f t="shared" si="344"/>
        <v>399486.66666666663</v>
      </c>
      <c r="DH127" s="550">
        <f t="shared" si="344"/>
        <v>399486.66666666663</v>
      </c>
      <c r="DI127" s="550">
        <f t="shared" si="344"/>
        <v>399486.66666666663</v>
      </c>
      <c r="DJ127" s="550">
        <f t="shared" si="344"/>
        <v>399486.66666666663</v>
      </c>
      <c r="DK127" s="550">
        <f t="shared" si="344"/>
        <v>399486.66666666663</v>
      </c>
      <c r="DL127" s="547">
        <f t="shared" si="344"/>
        <v>4793840</v>
      </c>
      <c r="DM127" s="901">
        <f t="shared" si="344"/>
        <v>248666.66666666666</v>
      </c>
      <c r="DN127" s="576">
        <f t="shared" si="344"/>
        <v>248666.66666666666</v>
      </c>
      <c r="DO127" s="576">
        <f t="shared" si="344"/>
        <v>248666.66666666666</v>
      </c>
      <c r="DP127" s="576">
        <f t="shared" si="344"/>
        <v>248666.66666666666</v>
      </c>
      <c r="DQ127" s="576">
        <f t="shared" si="344"/>
        <v>248666.66666666666</v>
      </c>
      <c r="DR127" s="576">
        <f t="shared" si="344"/>
        <v>248666.66666666666</v>
      </c>
      <c r="DS127" s="576">
        <f t="shared" si="344"/>
        <v>248666.66666666666</v>
      </c>
      <c r="DT127" s="576">
        <f t="shared" si="344"/>
        <v>248666.66666666666</v>
      </c>
      <c r="DU127" s="576">
        <f t="shared" si="344"/>
        <v>248666.66666666666</v>
      </c>
      <c r="DV127" s="576">
        <f t="shared" si="344"/>
        <v>248666.66666666666</v>
      </c>
      <c r="DW127" s="576">
        <f t="shared" si="344"/>
        <v>248666.66666666666</v>
      </c>
      <c r="DX127" s="576">
        <f t="shared" si="344"/>
        <v>248666.66666666666</v>
      </c>
      <c r="DY127" s="545">
        <f t="shared" si="344"/>
        <v>2984000</v>
      </c>
      <c r="DZ127" s="550">
        <f t="shared" si="344"/>
        <v>395066.66666666669</v>
      </c>
      <c r="EA127" s="550">
        <f t="shared" si="344"/>
        <v>395066.66666666669</v>
      </c>
      <c r="EB127" s="550">
        <f t="shared" si="344"/>
        <v>395066.66666666669</v>
      </c>
      <c r="EC127" s="550">
        <f t="shared" si="344"/>
        <v>395066.66666666669</v>
      </c>
      <c r="ED127" s="550">
        <f t="shared" si="344"/>
        <v>395066.66666666669</v>
      </c>
      <c r="EE127" s="550">
        <f t="shared" si="344"/>
        <v>395066.66666666669</v>
      </c>
      <c r="EF127" s="550">
        <f t="shared" si="344"/>
        <v>395066.66666666669</v>
      </c>
      <c r="EG127" s="550">
        <f t="shared" si="344"/>
        <v>395066.66666666669</v>
      </c>
      <c r="EH127" s="550">
        <f t="shared" si="344"/>
        <v>395066.66666666669</v>
      </c>
      <c r="EI127" s="550">
        <f t="shared" si="344"/>
        <v>395066.66666666669</v>
      </c>
      <c r="EJ127" s="550">
        <f t="shared" si="344"/>
        <v>395066.66666666669</v>
      </c>
      <c r="EK127" s="550">
        <f t="shared" si="344"/>
        <v>395066.66666666669</v>
      </c>
      <c r="EL127" s="547">
        <f>SUM(EL123:EL126)</f>
        <v>4740800</v>
      </c>
    </row>
    <row r="128" spans="1:142" ht="18.75" thickTop="1" thickBot="1">
      <c r="A128" s="1116" t="s">
        <v>752</v>
      </c>
      <c r="B128" s="1117" t="s">
        <v>753</v>
      </c>
      <c r="C128" s="1118"/>
      <c r="D128" s="536">
        <v>1.3220000000000001</v>
      </c>
      <c r="E128" s="536">
        <v>1.3220000000000001</v>
      </c>
      <c r="F128" s="536">
        <v>1.3220000000000001</v>
      </c>
      <c r="G128" s="536">
        <v>1.3220000000000001</v>
      </c>
      <c r="H128" s="536">
        <v>1.3220000000000001</v>
      </c>
      <c r="I128" s="536">
        <v>1.3220000000000001</v>
      </c>
      <c r="J128" s="536">
        <v>1.3220000000000001</v>
      </c>
      <c r="K128" s="1119">
        <v>1.3220000000000001</v>
      </c>
      <c r="L128" s="884"/>
      <c r="M128" s="1120">
        <v>10000</v>
      </c>
      <c r="N128" s="1121">
        <v>20000</v>
      </c>
      <c r="O128" s="1121">
        <v>20000</v>
      </c>
      <c r="P128" s="1121">
        <v>20000</v>
      </c>
      <c r="Q128" s="1121">
        <v>36000</v>
      </c>
      <c r="R128" s="1121">
        <f>4014+5986</f>
        <v>10000</v>
      </c>
      <c r="S128" s="1121">
        <v>26000</v>
      </c>
      <c r="T128" s="1121">
        <v>30000</v>
      </c>
      <c r="U128" s="1121">
        <v>30000</v>
      </c>
      <c r="V128" s="1121"/>
      <c r="W128" s="583"/>
      <c r="X128" s="584"/>
      <c r="Y128" s="545">
        <f>SUM(M128:X128)</f>
        <v>202000</v>
      </c>
      <c r="Z128" s="579">
        <f>M128*$D$128</f>
        <v>13220</v>
      </c>
      <c r="AA128" s="580">
        <f>N128*$D$128</f>
        <v>26440</v>
      </c>
      <c r="AB128" s="580">
        <f>O128*$D$128</f>
        <v>26440</v>
      </c>
      <c r="AC128" s="580">
        <f>P128*$D$128</f>
        <v>26440</v>
      </c>
      <c r="AD128" s="580">
        <f>Q128*$D$128</f>
        <v>47592</v>
      </c>
      <c r="AE128" s="580">
        <f>R128*$D$128+2</f>
        <v>13222</v>
      </c>
      <c r="AF128" s="580">
        <f t="shared" ref="AF128:AK128" si="345">S128*$D$128</f>
        <v>34372</v>
      </c>
      <c r="AG128" s="580">
        <f t="shared" si="345"/>
        <v>39660</v>
      </c>
      <c r="AH128" s="580">
        <f t="shared" si="345"/>
        <v>39660</v>
      </c>
      <c r="AI128" s="580">
        <f t="shared" si="345"/>
        <v>0</v>
      </c>
      <c r="AJ128" s="580">
        <f t="shared" si="345"/>
        <v>0</v>
      </c>
      <c r="AK128" s="581">
        <f t="shared" si="345"/>
        <v>0</v>
      </c>
      <c r="AL128" s="547">
        <f>SUM(Z128:AK128)</f>
        <v>267046</v>
      </c>
      <c r="AM128" s="1122"/>
      <c r="AN128" s="1121"/>
      <c r="AO128" s="1121"/>
      <c r="AP128" s="1121"/>
      <c r="AQ128" s="1121"/>
      <c r="AR128" s="1121"/>
      <c r="AS128" s="1121"/>
      <c r="AT128" s="1121"/>
      <c r="AU128" s="1121"/>
      <c r="AV128" s="583"/>
      <c r="AW128" s="583"/>
      <c r="AX128" s="584"/>
      <c r="AY128" s="545">
        <f>SUM(AM128:AX128)</f>
        <v>0</v>
      </c>
      <c r="AZ128" s="1123">
        <f t="shared" ref="AZ128:BK128" si="346">AM128*$H128</f>
        <v>0</v>
      </c>
      <c r="BA128" s="1124">
        <f t="shared" si="346"/>
        <v>0</v>
      </c>
      <c r="BB128" s="1124">
        <f t="shared" si="346"/>
        <v>0</v>
      </c>
      <c r="BC128" s="1124">
        <f t="shared" si="346"/>
        <v>0</v>
      </c>
      <c r="BD128" s="1124">
        <f t="shared" si="346"/>
        <v>0</v>
      </c>
      <c r="BE128" s="1124">
        <f t="shared" si="346"/>
        <v>0</v>
      </c>
      <c r="BF128" s="1124">
        <f t="shared" si="346"/>
        <v>0</v>
      </c>
      <c r="BG128" s="1124">
        <f t="shared" si="346"/>
        <v>0</v>
      </c>
      <c r="BH128" s="1124">
        <f t="shared" si="346"/>
        <v>0</v>
      </c>
      <c r="BI128" s="1124">
        <f t="shared" si="346"/>
        <v>0</v>
      </c>
      <c r="BJ128" s="1124">
        <f t="shared" si="346"/>
        <v>0</v>
      </c>
      <c r="BK128" s="1124">
        <f t="shared" si="346"/>
        <v>0</v>
      </c>
      <c r="BL128" s="547">
        <f t="shared" si="325"/>
        <v>0</v>
      </c>
      <c r="BM128" s="1122"/>
      <c r="BN128" s="1121"/>
      <c r="BO128" s="1121"/>
      <c r="BP128" s="1121"/>
      <c r="BQ128" s="1121"/>
      <c r="BR128" s="1121"/>
      <c r="BS128" s="1121"/>
      <c r="BT128" s="1121"/>
      <c r="BU128" s="1121"/>
      <c r="BV128" s="583"/>
      <c r="BW128" s="583"/>
      <c r="BX128" s="584"/>
      <c r="BY128" s="545">
        <f>SUM(BM128:BX128)</f>
        <v>0</v>
      </c>
      <c r="BZ128" s="891">
        <f t="shared" ref="BZ128:CK128" si="347">BM128*$I128</f>
        <v>0</v>
      </c>
      <c r="CA128" s="257">
        <f t="shared" si="347"/>
        <v>0</v>
      </c>
      <c r="CB128" s="257">
        <f t="shared" si="347"/>
        <v>0</v>
      </c>
      <c r="CC128" s="257">
        <f t="shared" si="347"/>
        <v>0</v>
      </c>
      <c r="CD128" s="257">
        <f t="shared" si="347"/>
        <v>0</v>
      </c>
      <c r="CE128" s="257">
        <f t="shared" si="347"/>
        <v>0</v>
      </c>
      <c r="CF128" s="257">
        <f t="shared" si="347"/>
        <v>0</v>
      </c>
      <c r="CG128" s="257">
        <f t="shared" si="347"/>
        <v>0</v>
      </c>
      <c r="CH128" s="257">
        <f t="shared" si="347"/>
        <v>0</v>
      </c>
      <c r="CI128" s="257">
        <f t="shared" si="347"/>
        <v>0</v>
      </c>
      <c r="CJ128" s="257">
        <f t="shared" si="347"/>
        <v>0</v>
      </c>
      <c r="CK128" s="257">
        <f t="shared" si="347"/>
        <v>0</v>
      </c>
      <c r="CL128" s="903">
        <f t="shared" si="328"/>
        <v>0</v>
      </c>
      <c r="CM128" s="1122"/>
      <c r="CN128" s="1121"/>
      <c r="CO128" s="1121"/>
      <c r="CP128" s="1121"/>
      <c r="CQ128" s="1121"/>
      <c r="CR128" s="1121"/>
      <c r="CS128" s="1121"/>
      <c r="CT128" s="1121"/>
      <c r="CU128" s="1121"/>
      <c r="CV128" s="583"/>
      <c r="CW128" s="583"/>
      <c r="CX128" s="584"/>
      <c r="CY128" s="545">
        <f>SUM(CM128:CX128)</f>
        <v>0</v>
      </c>
      <c r="CZ128" s="886">
        <f t="shared" ref="CZ128:DK128" si="348">CM128*$J128</f>
        <v>0</v>
      </c>
      <c r="DA128" s="257">
        <f t="shared" si="348"/>
        <v>0</v>
      </c>
      <c r="DB128" s="257">
        <f t="shared" si="348"/>
        <v>0</v>
      </c>
      <c r="DC128" s="257">
        <f t="shared" si="348"/>
        <v>0</v>
      </c>
      <c r="DD128" s="257">
        <f t="shared" si="348"/>
        <v>0</v>
      </c>
      <c r="DE128" s="257">
        <f t="shared" si="348"/>
        <v>0</v>
      </c>
      <c r="DF128" s="257">
        <f t="shared" si="348"/>
        <v>0</v>
      </c>
      <c r="DG128" s="257">
        <f t="shared" si="348"/>
        <v>0</v>
      </c>
      <c r="DH128" s="257">
        <f t="shared" si="348"/>
        <v>0</v>
      </c>
      <c r="DI128" s="257">
        <f t="shared" si="348"/>
        <v>0</v>
      </c>
      <c r="DJ128" s="257">
        <f t="shared" si="348"/>
        <v>0</v>
      </c>
      <c r="DK128" s="257">
        <f t="shared" si="348"/>
        <v>0</v>
      </c>
      <c r="DL128" s="547">
        <f t="shared" si="331"/>
        <v>0</v>
      </c>
      <c r="DM128" s="1120"/>
      <c r="DN128" s="1121"/>
      <c r="DO128" s="1121"/>
      <c r="DP128" s="1121"/>
      <c r="DQ128" s="1121"/>
      <c r="DR128" s="1121"/>
      <c r="DS128" s="1121"/>
      <c r="DT128" s="1121"/>
      <c r="DU128" s="1121"/>
      <c r="DV128" s="583"/>
      <c r="DW128" s="583"/>
      <c r="DX128" s="584"/>
      <c r="DY128" s="545">
        <f>SUM(DM128:DX128)</f>
        <v>0</v>
      </c>
      <c r="DZ128" s="257">
        <f t="shared" ref="DZ128:EK128" si="349">DM128*$K128</f>
        <v>0</v>
      </c>
      <c r="EA128" s="257">
        <f t="shared" si="349"/>
        <v>0</v>
      </c>
      <c r="EB128" s="257">
        <f t="shared" si="349"/>
        <v>0</v>
      </c>
      <c r="EC128" s="257">
        <f t="shared" si="349"/>
        <v>0</v>
      </c>
      <c r="ED128" s="257">
        <f t="shared" si="349"/>
        <v>0</v>
      </c>
      <c r="EE128" s="257">
        <f t="shared" si="349"/>
        <v>0</v>
      </c>
      <c r="EF128" s="257">
        <f t="shared" si="349"/>
        <v>0</v>
      </c>
      <c r="EG128" s="257">
        <f t="shared" si="349"/>
        <v>0</v>
      </c>
      <c r="EH128" s="257">
        <f t="shared" si="349"/>
        <v>0</v>
      </c>
      <c r="EI128" s="257">
        <f t="shared" si="349"/>
        <v>0</v>
      </c>
      <c r="EJ128" s="257">
        <f t="shared" si="349"/>
        <v>0</v>
      </c>
      <c r="EK128" s="257">
        <f t="shared" si="349"/>
        <v>0</v>
      </c>
      <c r="EL128" s="547">
        <f t="shared" si="334"/>
        <v>0</v>
      </c>
    </row>
    <row r="129" spans="1:142" ht="18.75" thickTop="1" thickBot="1">
      <c r="A129" s="1125" t="s">
        <v>754</v>
      </c>
      <c r="B129" s="1126" t="s">
        <v>755</v>
      </c>
      <c r="C129" s="1127"/>
      <c r="D129" s="898"/>
      <c r="E129" s="898"/>
      <c r="F129" s="898"/>
      <c r="G129" s="898"/>
      <c r="H129" s="898"/>
      <c r="I129" s="898"/>
      <c r="J129" s="898"/>
      <c r="K129" s="899"/>
      <c r="L129" s="900"/>
      <c r="M129" s="1128">
        <v>0</v>
      </c>
      <c r="N129" s="583"/>
      <c r="O129" s="583"/>
      <c r="P129" s="583"/>
      <c r="Q129" s="583"/>
      <c r="R129" s="583"/>
      <c r="S129" s="583"/>
      <c r="T129" s="583"/>
      <c r="U129" s="583"/>
      <c r="V129" s="583"/>
      <c r="W129" s="583"/>
      <c r="X129" s="584"/>
      <c r="Y129" s="545">
        <f>SUM(M129:X129)</f>
        <v>0</v>
      </c>
      <c r="Z129" s="1129">
        <f>102995+155000+4864+26137</f>
        <v>288996</v>
      </c>
      <c r="AA129" s="585">
        <f>11965+65380+44396</f>
        <v>121741</v>
      </c>
      <c r="AB129" s="585">
        <f>100290+19818</f>
        <v>120108</v>
      </c>
      <c r="AC129" s="585">
        <f>2157751999/24500+34536</f>
        <v>122607.51016326531</v>
      </c>
      <c r="AD129" s="585">
        <f>68021+1596</f>
        <v>69617</v>
      </c>
      <c r="AE129" s="585">
        <f>2377359786/25000-2+36625</f>
        <v>131717.39144000001</v>
      </c>
      <c r="AF129" s="585">
        <v>80000</v>
      </c>
      <c r="AG129" s="585">
        <v>80000</v>
      </c>
      <c r="AH129" s="585">
        <v>75000</v>
      </c>
      <c r="AI129" s="585">
        <v>75000</v>
      </c>
      <c r="AJ129" s="585">
        <v>75000</v>
      </c>
      <c r="AK129" s="585">
        <v>75000</v>
      </c>
      <c r="AL129" s="547">
        <f>SUM(Z129:AK129)</f>
        <v>1314786.9016032652</v>
      </c>
      <c r="AM129" s="582">
        <v>0</v>
      </c>
      <c r="AN129" s="583"/>
      <c r="AO129" s="583"/>
      <c r="AP129" s="583"/>
      <c r="AQ129" s="583"/>
      <c r="AR129" s="583"/>
      <c r="AS129" s="583"/>
      <c r="AT129" s="583"/>
      <c r="AU129" s="583"/>
      <c r="AV129" s="583"/>
      <c r="AW129" s="583"/>
      <c r="AX129" s="584"/>
      <c r="AY129" s="545">
        <f>SUM(AM129:AX129)</f>
        <v>0</v>
      </c>
      <c r="AZ129" s="1123">
        <v>50000</v>
      </c>
      <c r="BA129" s="1124">
        <v>50000</v>
      </c>
      <c r="BB129" s="1124">
        <v>50000</v>
      </c>
      <c r="BC129" s="1124">
        <v>50000</v>
      </c>
      <c r="BD129" s="1124">
        <v>50000</v>
      </c>
      <c r="BE129" s="1124">
        <v>50000</v>
      </c>
      <c r="BF129" s="1124">
        <v>50000</v>
      </c>
      <c r="BG129" s="1124">
        <v>50000</v>
      </c>
      <c r="BH129" s="1124">
        <v>50000</v>
      </c>
      <c r="BI129" s="1124">
        <v>50000</v>
      </c>
      <c r="BJ129" s="1124">
        <v>50000</v>
      </c>
      <c r="BK129" s="1124">
        <v>50000</v>
      </c>
      <c r="BL129" s="547">
        <f t="shared" si="325"/>
        <v>600000</v>
      </c>
      <c r="BM129" s="582">
        <v>0</v>
      </c>
      <c r="BN129" s="583"/>
      <c r="BO129" s="583"/>
      <c r="BP129" s="583"/>
      <c r="BQ129" s="583"/>
      <c r="BR129" s="583"/>
      <c r="BS129" s="583"/>
      <c r="BT129" s="583"/>
      <c r="BU129" s="583"/>
      <c r="BV129" s="583"/>
      <c r="BW129" s="583"/>
      <c r="BX129" s="584"/>
      <c r="BY129" s="545">
        <f>SUM(BM129:BX129)</f>
        <v>0</v>
      </c>
      <c r="BZ129" s="1130">
        <v>50000</v>
      </c>
      <c r="CA129" s="1124">
        <v>50000</v>
      </c>
      <c r="CB129" s="1124">
        <v>50000</v>
      </c>
      <c r="CC129" s="1124">
        <v>50000</v>
      </c>
      <c r="CD129" s="1124">
        <v>50000</v>
      </c>
      <c r="CE129" s="1124">
        <v>50000</v>
      </c>
      <c r="CF129" s="1124">
        <v>50000</v>
      </c>
      <c r="CG129" s="1124">
        <v>50000</v>
      </c>
      <c r="CH129" s="1124">
        <v>50000</v>
      </c>
      <c r="CI129" s="1124">
        <v>50000</v>
      </c>
      <c r="CJ129" s="1124">
        <v>50000</v>
      </c>
      <c r="CK129" s="1124">
        <v>50000</v>
      </c>
      <c r="CL129" s="903">
        <f t="shared" si="328"/>
        <v>600000</v>
      </c>
      <c r="CM129" s="582">
        <v>0</v>
      </c>
      <c r="CN129" s="583"/>
      <c r="CO129" s="583"/>
      <c r="CP129" s="583"/>
      <c r="CQ129" s="583"/>
      <c r="CR129" s="583"/>
      <c r="CS129" s="583"/>
      <c r="CT129" s="583"/>
      <c r="CU129" s="583"/>
      <c r="CV129" s="583"/>
      <c r="CW129" s="583"/>
      <c r="CX129" s="584"/>
      <c r="CY129" s="545">
        <f>SUM(CM129:CX129)</f>
        <v>0</v>
      </c>
      <c r="CZ129" s="1123">
        <v>50000</v>
      </c>
      <c r="DA129" s="1124">
        <v>50000</v>
      </c>
      <c r="DB129" s="1124">
        <v>50000</v>
      </c>
      <c r="DC129" s="1124">
        <v>50000</v>
      </c>
      <c r="DD129" s="1124">
        <v>50000</v>
      </c>
      <c r="DE129" s="1124">
        <v>50000</v>
      </c>
      <c r="DF129" s="1124">
        <v>50000</v>
      </c>
      <c r="DG129" s="1124">
        <v>50000</v>
      </c>
      <c r="DH129" s="1124">
        <v>50000</v>
      </c>
      <c r="DI129" s="1124">
        <v>50000</v>
      </c>
      <c r="DJ129" s="1124">
        <v>50000</v>
      </c>
      <c r="DK129" s="1124">
        <v>50000</v>
      </c>
      <c r="DL129" s="547">
        <f t="shared" si="331"/>
        <v>600000</v>
      </c>
      <c r="DM129" s="1128">
        <v>0</v>
      </c>
      <c r="DN129" s="583"/>
      <c r="DO129" s="583"/>
      <c r="DP129" s="583"/>
      <c r="DQ129" s="583"/>
      <c r="DR129" s="583"/>
      <c r="DS129" s="583"/>
      <c r="DT129" s="583"/>
      <c r="DU129" s="583"/>
      <c r="DV129" s="583"/>
      <c r="DW129" s="583"/>
      <c r="DX129" s="584"/>
      <c r="DY129" s="545">
        <f>SUM(DM129:DX129)</f>
        <v>0</v>
      </c>
      <c r="DZ129" s="1123">
        <v>50000</v>
      </c>
      <c r="EA129" s="1124">
        <v>50000</v>
      </c>
      <c r="EB129" s="1124">
        <v>50000</v>
      </c>
      <c r="EC129" s="1124">
        <v>50000</v>
      </c>
      <c r="ED129" s="1124">
        <v>50000</v>
      </c>
      <c r="EE129" s="1124">
        <v>50000</v>
      </c>
      <c r="EF129" s="1124">
        <v>50000</v>
      </c>
      <c r="EG129" s="1124">
        <v>50000</v>
      </c>
      <c r="EH129" s="1124">
        <v>50000</v>
      </c>
      <c r="EI129" s="1124">
        <v>50000</v>
      </c>
      <c r="EJ129" s="1124">
        <v>50000</v>
      </c>
      <c r="EK129" s="1124">
        <v>50000</v>
      </c>
      <c r="EL129" s="547">
        <f t="shared" si="334"/>
        <v>600000</v>
      </c>
    </row>
    <row r="130" spans="1:142" ht="18.75" thickTop="1" thickBot="1">
      <c r="A130" s="5218" t="s">
        <v>45</v>
      </c>
      <c r="B130" s="5219"/>
      <c r="C130" s="5220"/>
      <c r="D130" s="898"/>
      <c r="E130" s="898"/>
      <c r="F130" s="898"/>
      <c r="G130" s="898"/>
      <c r="H130" s="898"/>
      <c r="I130" s="898"/>
      <c r="J130" s="898"/>
      <c r="K130" s="899"/>
      <c r="L130" s="1131"/>
      <c r="M130" s="901">
        <f t="shared" ref="M130:BX130" si="350">M14+M24+M29+M74+M122+M127+M129+M97+M5+M128</f>
        <v>2553263</v>
      </c>
      <c r="N130" s="544">
        <f t="shared" si="350"/>
        <v>2469346</v>
      </c>
      <c r="O130" s="544">
        <f t="shared" si="350"/>
        <v>3336440</v>
      </c>
      <c r="P130" s="544">
        <f t="shared" si="350"/>
        <v>2791346</v>
      </c>
      <c r="Q130" s="544">
        <f t="shared" si="350"/>
        <v>2504531</v>
      </c>
      <c r="R130" s="544">
        <f t="shared" si="350"/>
        <v>2626469</v>
      </c>
      <c r="S130" s="544">
        <f t="shared" si="350"/>
        <v>2668942</v>
      </c>
      <c r="T130" s="544">
        <f t="shared" si="350"/>
        <v>2763305</v>
      </c>
      <c r="U130" s="544">
        <f t="shared" si="350"/>
        <v>2727272</v>
      </c>
      <c r="V130" s="544">
        <f t="shared" si="350"/>
        <v>2703221</v>
      </c>
      <c r="W130" s="544">
        <f t="shared" si="350"/>
        <v>2533904</v>
      </c>
      <c r="X130" s="544">
        <f t="shared" si="350"/>
        <v>2384411</v>
      </c>
      <c r="Y130" s="545">
        <f t="shared" si="350"/>
        <v>32062450</v>
      </c>
      <c r="Z130" s="546">
        <f t="shared" si="350"/>
        <v>3721227.8727516667</v>
      </c>
      <c r="AA130" s="546">
        <f t="shared" si="350"/>
        <v>3617053.8699166663</v>
      </c>
      <c r="AB130" s="546">
        <f t="shared" si="350"/>
        <v>4320015.8805020414</v>
      </c>
      <c r="AC130" s="546">
        <f t="shared" si="350"/>
        <v>4106069.399877551</v>
      </c>
      <c r="AD130" s="546">
        <f t="shared" si="350"/>
        <v>4005553.6236979589</v>
      </c>
      <c r="AE130" s="546">
        <f>AE14+AE24+AE29+AE74+AE122+AE127+AE129+AE97+AE5+AE128</f>
        <v>3994843.7938399995</v>
      </c>
      <c r="AF130" s="546">
        <f t="shared" si="350"/>
        <v>4020468.3603181532</v>
      </c>
      <c r="AG130" s="546">
        <f t="shared" si="350"/>
        <v>4229394.378852753</v>
      </c>
      <c r="AH130" s="546">
        <f>AH14+AH24+AH29+AH74+AH122+AH127+AH129+AH97+AH5+AH128</f>
        <v>3968189.5170930624</v>
      </c>
      <c r="AI130" s="546">
        <f t="shared" si="350"/>
        <v>4064086.92</v>
      </c>
      <c r="AJ130" s="546">
        <f t="shared" si="350"/>
        <v>3968526.7</v>
      </c>
      <c r="AK130" s="546">
        <f t="shared" si="350"/>
        <v>3805981.12</v>
      </c>
      <c r="AL130" s="546">
        <f t="shared" si="350"/>
        <v>47790671.236849859</v>
      </c>
      <c r="AM130" s="544">
        <f t="shared" si="350"/>
        <v>2103357.333333333</v>
      </c>
      <c r="AN130" s="544">
        <f t="shared" si="350"/>
        <v>1708054.9333333331</v>
      </c>
      <c r="AO130" s="544">
        <f t="shared" si="350"/>
        <v>1868542.3333333333</v>
      </c>
      <c r="AP130" s="544">
        <f t="shared" si="350"/>
        <v>1901090.533333333</v>
      </c>
      <c r="AQ130" s="544">
        <f t="shared" si="350"/>
        <v>1913734.7333333332</v>
      </c>
      <c r="AR130" s="544">
        <f t="shared" si="350"/>
        <v>1859302.9333333331</v>
      </c>
      <c r="AS130" s="544">
        <f t="shared" si="350"/>
        <v>2135599.0166666666</v>
      </c>
      <c r="AT130" s="544">
        <f t="shared" si="350"/>
        <v>2141675.7166666668</v>
      </c>
      <c r="AU130" s="544">
        <f t="shared" si="350"/>
        <v>2040488.416666667</v>
      </c>
      <c r="AV130" s="544">
        <f t="shared" si="350"/>
        <v>2058761.4166666665</v>
      </c>
      <c r="AW130" s="544">
        <f t="shared" si="350"/>
        <v>2012699.416666667</v>
      </c>
      <c r="AX130" s="544">
        <f t="shared" si="350"/>
        <v>1933201.416666667</v>
      </c>
      <c r="AY130" s="545">
        <f t="shared" si="350"/>
        <v>23676508.199999999</v>
      </c>
      <c r="AZ130" s="546">
        <f t="shared" si="350"/>
        <v>3249544.1204421767</v>
      </c>
      <c r="BA130" s="546">
        <f t="shared" si="350"/>
        <v>2792624.3730952376</v>
      </c>
      <c r="BB130" s="546">
        <f t="shared" si="350"/>
        <v>3057332.2081972789</v>
      </c>
      <c r="BC130" s="546">
        <f t="shared" si="350"/>
        <v>3225351.5355442176</v>
      </c>
      <c r="BD130" s="546">
        <f t="shared" si="350"/>
        <v>3085977.6155442176</v>
      </c>
      <c r="BE130" s="546">
        <f t="shared" si="350"/>
        <v>2954862.10085034</v>
      </c>
      <c r="BF130" s="546">
        <f t="shared" si="350"/>
        <v>3596122.4775170069</v>
      </c>
      <c r="BG130" s="546">
        <f t="shared" si="350"/>
        <v>3798514.3375170073</v>
      </c>
      <c r="BH130" s="546">
        <f t="shared" si="350"/>
        <v>3633284.9548639464</v>
      </c>
      <c r="BI130" s="546">
        <f t="shared" si="350"/>
        <v>3700058.8648639461</v>
      </c>
      <c r="BJ130" s="546">
        <f t="shared" si="350"/>
        <v>3606191.224863946</v>
      </c>
      <c r="BK130" s="546">
        <f t="shared" si="350"/>
        <v>3623661.9347114465</v>
      </c>
      <c r="BL130" s="546">
        <f t="shared" si="350"/>
        <v>40323525.748010769</v>
      </c>
      <c r="BM130" s="544">
        <f t="shared" si="350"/>
        <v>3050918.9166666665</v>
      </c>
      <c r="BN130" s="544">
        <f t="shared" si="350"/>
        <v>2638423.2749999999</v>
      </c>
      <c r="BO130" s="544">
        <f t="shared" si="350"/>
        <v>2952137.2749999999</v>
      </c>
      <c r="BP130" s="544">
        <f t="shared" si="350"/>
        <v>3132850.855</v>
      </c>
      <c r="BQ130" s="544">
        <f t="shared" si="350"/>
        <v>3236039.2749999999</v>
      </c>
      <c r="BR130" s="544">
        <f t="shared" si="350"/>
        <v>3346041.3249999997</v>
      </c>
      <c r="BS130" s="544">
        <f t="shared" si="350"/>
        <v>3473468.6083333334</v>
      </c>
      <c r="BT130" s="544">
        <f t="shared" si="350"/>
        <v>3295359.2783333333</v>
      </c>
      <c r="BU130" s="544">
        <f t="shared" si="350"/>
        <v>3211901.6083333334</v>
      </c>
      <c r="BV130" s="544">
        <f t="shared" si="350"/>
        <v>3149857.6083333334</v>
      </c>
      <c r="BW130" s="544">
        <f t="shared" si="350"/>
        <v>3111141.6083333334</v>
      </c>
      <c r="BX130" s="544">
        <f t="shared" si="350"/>
        <v>3101535.6083333334</v>
      </c>
      <c r="BY130" s="545">
        <f t="shared" ref="BY130:CM130" si="351">BY14+BY24+BY29+BY74+BY122+BY127+BY129+BY97+BY5+BY128</f>
        <v>37699675.241666675</v>
      </c>
      <c r="BZ130" s="902">
        <f t="shared" si="351"/>
        <v>4499338.7454936821</v>
      </c>
      <c r="CA130" s="546">
        <f t="shared" si="351"/>
        <v>4073869.9951339876</v>
      </c>
      <c r="CB130" s="546">
        <f t="shared" si="351"/>
        <v>4521006.8718686821</v>
      </c>
      <c r="CC130" s="546">
        <f t="shared" si="351"/>
        <v>4585049.3718686812</v>
      </c>
      <c r="CD130" s="546">
        <f t="shared" si="351"/>
        <v>4670839.6718686819</v>
      </c>
      <c r="CE130" s="546">
        <f t="shared" si="351"/>
        <v>4823571.6718686819</v>
      </c>
      <c r="CF130" s="546">
        <f t="shared" si="351"/>
        <v>4945633.378535348</v>
      </c>
      <c r="CG130" s="546">
        <f t="shared" si="351"/>
        <v>4938438.7985353479</v>
      </c>
      <c r="CH130" s="546">
        <f t="shared" si="351"/>
        <v>4824156.7985353479</v>
      </c>
      <c r="CI130" s="546">
        <f t="shared" si="351"/>
        <v>4805490.7985353479</v>
      </c>
      <c r="CJ130" s="546">
        <f t="shared" si="351"/>
        <v>4743524.7985353479</v>
      </c>
      <c r="CK130" s="546">
        <f t="shared" si="351"/>
        <v>4755158.2785353484</v>
      </c>
      <c r="CL130" s="1132">
        <f t="shared" si="351"/>
        <v>56186079.179314494</v>
      </c>
      <c r="CM130" s="544">
        <f t="shared" si="351"/>
        <v>2989568.0833333335</v>
      </c>
      <c r="CN130" s="544">
        <f>CN14+CN24+CN29+CL43+CN122+CN127+CN129+CN97+CN5+CN128</f>
        <v>3498863.396666666</v>
      </c>
      <c r="CO130" s="544">
        <f t="shared" ref="CO130:EL130" si="352">CO14+CO24+CO29+CO74+CO122+CO127+CO129+CO97+CO5+CO128</f>
        <v>2893370.0833333335</v>
      </c>
      <c r="CP130" s="544">
        <f t="shared" si="352"/>
        <v>3083082.2053333335</v>
      </c>
      <c r="CQ130" s="544">
        <f t="shared" si="352"/>
        <v>3175572.0833333335</v>
      </c>
      <c r="CR130" s="544">
        <f t="shared" si="352"/>
        <v>3279473.7283333335</v>
      </c>
      <c r="CS130" s="544">
        <f t="shared" si="352"/>
        <v>3359972.0833333335</v>
      </c>
      <c r="CT130" s="544">
        <f t="shared" si="352"/>
        <v>3174074.1863333336</v>
      </c>
      <c r="CU130" s="544">
        <f t="shared" si="352"/>
        <v>3079213.0833333335</v>
      </c>
      <c r="CV130" s="544">
        <f t="shared" si="352"/>
        <v>3024573.0833333335</v>
      </c>
      <c r="CW130" s="544">
        <f t="shared" si="352"/>
        <v>2970129.0833333335</v>
      </c>
      <c r="CX130" s="544">
        <f t="shared" si="352"/>
        <v>2958073.0833333335</v>
      </c>
      <c r="CY130" s="545">
        <f t="shared" si="352"/>
        <v>36600668.869999997</v>
      </c>
      <c r="CZ130" s="546">
        <f t="shared" si="352"/>
        <v>5010520.2759314692</v>
      </c>
      <c r="DA130" s="546">
        <f t="shared" si="352"/>
        <v>4647893.9431967754</v>
      </c>
      <c r="DB130" s="546">
        <f t="shared" si="352"/>
        <v>5014931.1399314692</v>
      </c>
      <c r="DC130" s="546">
        <f t="shared" si="352"/>
        <v>5083734.3579314686</v>
      </c>
      <c r="DD130" s="546">
        <f t="shared" si="352"/>
        <v>5120757.8839314692</v>
      </c>
      <c r="DE130" s="546">
        <f t="shared" si="352"/>
        <v>5252003.2439314695</v>
      </c>
      <c r="DF130" s="546">
        <f t="shared" si="352"/>
        <v>5259653.9303314695</v>
      </c>
      <c r="DG130" s="546">
        <f t="shared" si="352"/>
        <v>5210593.2103314688</v>
      </c>
      <c r="DH130" s="546">
        <f t="shared" si="352"/>
        <v>5089992.8503314694</v>
      </c>
      <c r="DI130" s="546">
        <f t="shared" si="352"/>
        <v>5089120.1703314688</v>
      </c>
      <c r="DJ130" s="546">
        <f t="shared" si="352"/>
        <v>4969277.4903314691</v>
      </c>
      <c r="DK130" s="546">
        <f t="shared" si="352"/>
        <v>4968972.4903314691</v>
      </c>
      <c r="DL130" s="546">
        <f t="shared" si="352"/>
        <v>60717450.98684293</v>
      </c>
      <c r="DM130" s="901">
        <f t="shared" si="352"/>
        <v>3133770.833333333</v>
      </c>
      <c r="DN130" s="544">
        <f t="shared" si="352"/>
        <v>2770569.833333333</v>
      </c>
      <c r="DO130" s="544">
        <f t="shared" si="352"/>
        <v>3049451.833333333</v>
      </c>
      <c r="DP130" s="544">
        <f t="shared" si="352"/>
        <v>3241284.643133333</v>
      </c>
      <c r="DQ130" s="544">
        <f t="shared" si="352"/>
        <v>3333024.833333333</v>
      </c>
      <c r="DR130" s="544">
        <f t="shared" si="352"/>
        <v>3436535.1138333334</v>
      </c>
      <c r="DS130" s="544">
        <f t="shared" si="352"/>
        <v>3517034.833333333</v>
      </c>
      <c r="DT130" s="544">
        <f t="shared" si="352"/>
        <v>3332276.4260333329</v>
      </c>
      <c r="DU130" s="544">
        <f t="shared" si="352"/>
        <v>3238551.333333333</v>
      </c>
      <c r="DV130" s="544">
        <f t="shared" si="352"/>
        <v>3177275.833333333</v>
      </c>
      <c r="DW130" s="544">
        <f t="shared" si="352"/>
        <v>3129175.7333333329</v>
      </c>
      <c r="DX130" s="544">
        <f t="shared" si="352"/>
        <v>3115525.833333333</v>
      </c>
      <c r="DY130" s="545">
        <f t="shared" si="352"/>
        <v>38474477.083000004</v>
      </c>
      <c r="DZ130" s="546">
        <f t="shared" si="352"/>
        <v>5540557.1941493601</v>
      </c>
      <c r="EA130" s="546">
        <f t="shared" si="352"/>
        <v>5279274.3880693614</v>
      </c>
      <c r="EB130" s="546">
        <f t="shared" si="352"/>
        <v>5482532.8408693597</v>
      </c>
      <c r="EC130" s="546">
        <f t="shared" si="352"/>
        <v>5599124.7457093606</v>
      </c>
      <c r="ED130" s="546">
        <f t="shared" si="352"/>
        <v>5611313.0499893604</v>
      </c>
      <c r="EE130" s="546">
        <f t="shared" si="352"/>
        <v>5715457.5027893605</v>
      </c>
      <c r="EF130" s="546">
        <f t="shared" si="352"/>
        <v>5745921.1754613612</v>
      </c>
      <c r="EG130" s="546">
        <f t="shared" si="352"/>
        <v>5700469.269861361</v>
      </c>
      <c r="EH130" s="546">
        <f t="shared" si="352"/>
        <v>5592155.3170613609</v>
      </c>
      <c r="EI130" s="546">
        <f t="shared" si="352"/>
        <v>5558858.09066136</v>
      </c>
      <c r="EJ130" s="546">
        <f t="shared" si="352"/>
        <v>5471487.8642613608</v>
      </c>
      <c r="EK130" s="546">
        <f t="shared" si="352"/>
        <v>5463213.3642613608</v>
      </c>
      <c r="EL130" s="546">
        <f t="shared" si="352"/>
        <v>66760364.803144328</v>
      </c>
    </row>
    <row r="131" spans="1:142" ht="18" thickTop="1">
      <c r="Z131" s="1134">
        <v>3721228</v>
      </c>
      <c r="AA131" s="1134">
        <v>3617054</v>
      </c>
      <c r="AB131" s="1134">
        <v>4320016</v>
      </c>
      <c r="AC131" s="1134">
        <v>4106069</v>
      </c>
      <c r="AD131" s="1134">
        <v>4005554</v>
      </c>
      <c r="AE131" s="1134">
        <v>3994844</v>
      </c>
      <c r="AF131" s="562"/>
      <c r="AG131" s="562"/>
      <c r="AH131" s="562"/>
      <c r="AI131" s="562"/>
      <c r="AJ131" s="562"/>
      <c r="AK131" s="562"/>
      <c r="AZ131" s="562"/>
      <c r="BA131" s="562"/>
      <c r="BB131" s="562"/>
      <c r="BC131" s="562"/>
      <c r="BD131" s="562"/>
      <c r="BE131" s="562"/>
      <c r="BF131" s="562"/>
      <c r="BG131" s="562"/>
      <c r="BH131" s="562"/>
      <c r="BI131" s="562"/>
      <c r="BJ131" s="562"/>
      <c r="BK131" s="562"/>
      <c r="BL131" s="1135"/>
      <c r="BM131" s="1136"/>
      <c r="BN131" s="1136"/>
      <c r="BO131" s="1136"/>
      <c r="BP131" s="1136"/>
      <c r="BQ131" s="1136"/>
      <c r="BR131" s="1136"/>
      <c r="BS131" s="1136"/>
      <c r="BT131" s="1136"/>
      <c r="BU131" s="1136"/>
      <c r="BV131" s="1136"/>
      <c r="BW131" s="1136"/>
      <c r="BX131" s="1136"/>
      <c r="BY131" s="1136"/>
      <c r="BZ131" s="1136"/>
      <c r="CA131" s="1136"/>
      <c r="CB131" s="1136"/>
      <c r="CC131" s="1136"/>
      <c r="CD131" s="1136"/>
      <c r="CE131" s="1136"/>
      <c r="CF131" s="1136"/>
      <c r="CG131" s="1136"/>
      <c r="CH131" s="1136"/>
      <c r="CI131" s="1136"/>
      <c r="CJ131" s="1136"/>
      <c r="CK131" s="1136"/>
      <c r="CL131" s="1135">
        <f>(CL130-BL130)/BL130</f>
        <v>0.39338210478993774</v>
      </c>
      <c r="CM131" s="1136"/>
      <c r="CN131" s="1136"/>
      <c r="CO131" s="1136"/>
      <c r="CP131" s="1136"/>
      <c r="CQ131" s="1136"/>
      <c r="CR131" s="1136"/>
      <c r="CS131" s="1136"/>
      <c r="CT131" s="1136"/>
      <c r="CU131" s="1136"/>
      <c r="CV131" s="1136"/>
      <c r="CW131" s="1136"/>
      <c r="CX131" s="1136"/>
      <c r="CY131" s="1136"/>
      <c r="CZ131" s="1136"/>
      <c r="DA131" s="1136"/>
      <c r="DB131" s="1136"/>
      <c r="DC131" s="1136"/>
      <c r="DD131" s="1136"/>
      <c r="DE131" s="1136"/>
      <c r="DF131" s="1136"/>
      <c r="DG131" s="1136"/>
      <c r="DH131" s="1136"/>
      <c r="DI131" s="1136"/>
      <c r="DJ131" s="1136"/>
      <c r="DK131" s="1136"/>
      <c r="DL131" s="1135">
        <f>(DL130-CL130)/CL130</f>
        <v>8.0649368557411449E-2</v>
      </c>
      <c r="DM131" s="1136"/>
      <c r="DN131" s="1136"/>
      <c r="DO131" s="1136"/>
      <c r="DP131" s="1136"/>
      <c r="DQ131" s="1136"/>
      <c r="DR131" s="1136"/>
      <c r="DS131" s="1136"/>
      <c r="DT131" s="1136"/>
      <c r="DU131" s="1136"/>
      <c r="DV131" s="1136"/>
      <c r="DW131" s="1136"/>
      <c r="DX131" s="1136"/>
      <c r="DY131" s="1136"/>
      <c r="DZ131" s="1136"/>
      <c r="EA131" s="1136"/>
      <c r="EB131" s="1136"/>
      <c r="EC131" s="1136"/>
      <c r="ED131" s="1136"/>
      <c r="EE131" s="1136"/>
      <c r="EF131" s="1136"/>
      <c r="EG131" s="1136"/>
      <c r="EH131" s="1136"/>
      <c r="EI131" s="1136"/>
      <c r="EJ131" s="1136"/>
      <c r="EK131" s="1136"/>
      <c r="EL131" s="1135">
        <f>(EL130-DL130)/DL130</f>
        <v>9.9525156575015927E-2</v>
      </c>
    </row>
    <row r="132" spans="1:142">
      <c r="Z132" s="1134">
        <f t="shared" ref="Z132:AE132" si="353">Z131-Z130</f>
        <v>0.12724833330139518</v>
      </c>
      <c r="AA132" s="1134">
        <f t="shared" si="353"/>
        <v>0.13008333370089531</v>
      </c>
      <c r="AB132" s="1134">
        <f t="shared" si="353"/>
        <v>0.11949795857071877</v>
      </c>
      <c r="AC132" s="1134">
        <f t="shared" si="353"/>
        <v>-0.39987755101174116</v>
      </c>
      <c r="AD132" s="1134">
        <f t="shared" si="353"/>
        <v>0.37630204111337662</v>
      </c>
      <c r="AE132" s="1134">
        <f t="shared" si="353"/>
        <v>0.20616000052541494</v>
      </c>
      <c r="AF132" s="562"/>
      <c r="AG132" s="562"/>
      <c r="AH132" s="562"/>
      <c r="AI132" s="562"/>
      <c r="AJ132" s="562"/>
      <c r="AK132" s="562"/>
      <c r="AL132" s="562"/>
      <c r="AZ132" s="562"/>
      <c r="BA132" s="562"/>
      <c r="BB132" s="562"/>
      <c r="BC132" s="562"/>
      <c r="BD132" s="562"/>
      <c r="BE132" s="562"/>
      <c r="BF132" s="562"/>
      <c r="BG132" s="562"/>
      <c r="BH132" s="562"/>
      <c r="BI132" s="562"/>
      <c r="BJ132" s="562"/>
      <c r="BK132" s="562"/>
      <c r="BL132" s="1137"/>
      <c r="BZ132" s="562"/>
      <c r="CA132" s="562"/>
      <c r="CB132" s="562"/>
      <c r="CC132" s="562"/>
      <c r="CD132" s="562"/>
      <c r="CE132" s="562"/>
      <c r="CF132" s="562"/>
      <c r="CG132" s="562"/>
      <c r="CH132" s="562"/>
      <c r="CI132" s="562"/>
      <c r="CJ132" s="562"/>
      <c r="CK132" s="562"/>
      <c r="CL132" s="1137"/>
      <c r="CZ132" s="562"/>
      <c r="DA132" s="562"/>
      <c r="DB132" s="562"/>
      <c r="DC132" s="562"/>
      <c r="DD132" s="562"/>
      <c r="DE132" s="562"/>
      <c r="DF132" s="562"/>
      <c r="DG132" s="562"/>
      <c r="DH132" s="562"/>
      <c r="DI132" s="562"/>
      <c r="DJ132" s="562"/>
      <c r="DK132" s="562"/>
      <c r="DL132" s="1137"/>
      <c r="DZ132" s="562"/>
      <c r="EA132" s="562"/>
      <c r="EB132" s="562"/>
      <c r="EC132" s="562"/>
      <c r="ED132" s="562"/>
      <c r="EE132" s="562"/>
      <c r="EF132" s="562"/>
      <c r="EG132" s="562"/>
      <c r="EH132" s="562"/>
      <c r="EI132" s="562"/>
      <c r="EJ132" s="562"/>
      <c r="EK132" s="562"/>
      <c r="EL132" s="1137"/>
    </row>
    <row r="133" spans="1:142" hidden="1">
      <c r="O133" s="562">
        <f>O98*80%</f>
        <v>0</v>
      </c>
      <c r="P133" s="562">
        <f t="shared" ref="P133:X133" si="354">P98*80%</f>
        <v>4656</v>
      </c>
      <c r="Q133" s="562">
        <f t="shared" si="354"/>
        <v>2793.6000000000004</v>
      </c>
      <c r="R133" s="562">
        <f t="shared" si="354"/>
        <v>3724.8</v>
      </c>
      <c r="S133" s="562">
        <f t="shared" si="354"/>
        <v>3724.8</v>
      </c>
      <c r="T133" s="562">
        <f t="shared" si="354"/>
        <v>7449.6</v>
      </c>
      <c r="U133" s="562">
        <f t="shared" si="354"/>
        <v>3724.8</v>
      </c>
      <c r="V133" s="562">
        <f t="shared" si="354"/>
        <v>7449.6</v>
      </c>
      <c r="W133" s="562">
        <f t="shared" si="354"/>
        <v>7449.6</v>
      </c>
      <c r="X133" s="562">
        <f t="shared" si="354"/>
        <v>7449.6</v>
      </c>
      <c r="BO133" s="562">
        <f>BO98*80%</f>
        <v>6400</v>
      </c>
      <c r="BP133" s="562">
        <f t="shared" ref="BP133:BX133" si="355">BP98*80%</f>
        <v>6400</v>
      </c>
      <c r="BQ133" s="562">
        <f t="shared" si="355"/>
        <v>6400</v>
      </c>
      <c r="BR133" s="562">
        <f t="shared" si="355"/>
        <v>6400</v>
      </c>
      <c r="BS133" s="562">
        <f t="shared" si="355"/>
        <v>6400</v>
      </c>
      <c r="BT133" s="562">
        <f t="shared" si="355"/>
        <v>6400</v>
      </c>
      <c r="BU133" s="562">
        <f t="shared" si="355"/>
        <v>6400</v>
      </c>
      <c r="BV133" s="562">
        <f t="shared" si="355"/>
        <v>6400</v>
      </c>
      <c r="BW133" s="562">
        <f t="shared" si="355"/>
        <v>6400</v>
      </c>
      <c r="BX133" s="562">
        <f t="shared" si="355"/>
        <v>6400</v>
      </c>
      <c r="CO133" s="562">
        <f>CO98*80%</f>
        <v>666.66666666666674</v>
      </c>
      <c r="CP133" s="562">
        <f t="shared" ref="CP133:CX133" si="356">CP98*80%</f>
        <v>666.66666666666674</v>
      </c>
      <c r="CQ133" s="562">
        <f t="shared" si="356"/>
        <v>666.66666666666674</v>
      </c>
      <c r="CR133" s="562">
        <f t="shared" si="356"/>
        <v>666.66666666666674</v>
      </c>
      <c r="CS133" s="562">
        <f t="shared" si="356"/>
        <v>666.66666666666674</v>
      </c>
      <c r="CT133" s="562">
        <f t="shared" si="356"/>
        <v>666.66666666666674</v>
      </c>
      <c r="CU133" s="562">
        <f t="shared" si="356"/>
        <v>666.66666666666674</v>
      </c>
      <c r="CV133" s="562">
        <f t="shared" si="356"/>
        <v>666.66666666666674</v>
      </c>
      <c r="CW133" s="562">
        <f t="shared" si="356"/>
        <v>666.66666666666674</v>
      </c>
      <c r="CX133" s="562">
        <f t="shared" si="356"/>
        <v>666.66666666666674</v>
      </c>
      <c r="DO133" s="562">
        <f>DO98*80%</f>
        <v>666.66666666666674</v>
      </c>
      <c r="DP133" s="562">
        <f t="shared" ref="DP133:DX133" si="357">DP98*80%</f>
        <v>666.66666666666674</v>
      </c>
      <c r="DQ133" s="562">
        <f t="shared" si="357"/>
        <v>666.66666666666674</v>
      </c>
      <c r="DR133" s="562">
        <f t="shared" si="357"/>
        <v>666.66666666666674</v>
      </c>
      <c r="DS133" s="562">
        <f t="shared" si="357"/>
        <v>666.66666666666674</v>
      </c>
      <c r="DT133" s="562">
        <f t="shared" si="357"/>
        <v>666.66666666666674</v>
      </c>
      <c r="DU133" s="562">
        <f t="shared" si="357"/>
        <v>666.66666666666674</v>
      </c>
      <c r="DV133" s="562">
        <f t="shared" si="357"/>
        <v>666.66666666666674</v>
      </c>
      <c r="DW133" s="562">
        <f t="shared" si="357"/>
        <v>666.66666666666674</v>
      </c>
      <c r="DX133" s="562">
        <f t="shared" si="357"/>
        <v>666.66666666666674</v>
      </c>
    </row>
    <row r="134" spans="1:142" hidden="1">
      <c r="O134" s="562">
        <f t="shared" ref="O134:X149" si="358">O99*80%</f>
        <v>61440</v>
      </c>
      <c r="P134" s="562">
        <f t="shared" si="358"/>
        <v>41472</v>
      </c>
      <c r="Q134" s="562">
        <f t="shared" si="358"/>
        <v>38400</v>
      </c>
      <c r="R134" s="562">
        <f t="shared" si="358"/>
        <v>49088</v>
      </c>
      <c r="S134" s="562">
        <f t="shared" si="358"/>
        <v>21504</v>
      </c>
      <c r="T134" s="562">
        <f t="shared" si="358"/>
        <v>38400</v>
      </c>
      <c r="U134" s="562">
        <f t="shared" si="358"/>
        <v>49088</v>
      </c>
      <c r="V134" s="562">
        <f t="shared" si="358"/>
        <v>49088</v>
      </c>
      <c r="W134" s="562">
        <f t="shared" si="358"/>
        <v>38400</v>
      </c>
      <c r="X134" s="562">
        <f t="shared" si="358"/>
        <v>49088</v>
      </c>
      <c r="BO134" s="562">
        <f t="shared" ref="BO134:BX149" si="359">BO99*80%</f>
        <v>27353.133333333331</v>
      </c>
      <c r="BP134" s="562">
        <f t="shared" si="359"/>
        <v>27353.133333333331</v>
      </c>
      <c r="BQ134" s="562">
        <f t="shared" si="359"/>
        <v>27353.133333333331</v>
      </c>
      <c r="BR134" s="562">
        <f t="shared" si="359"/>
        <v>27353.133333333331</v>
      </c>
      <c r="BS134" s="562">
        <f t="shared" si="359"/>
        <v>27353.133333333331</v>
      </c>
      <c r="BT134" s="562">
        <f t="shared" si="359"/>
        <v>27353.133333333331</v>
      </c>
      <c r="BU134" s="562">
        <f t="shared" si="359"/>
        <v>27353.133333333331</v>
      </c>
      <c r="BV134" s="562">
        <f t="shared" si="359"/>
        <v>27353.133333333331</v>
      </c>
      <c r="BW134" s="562">
        <f t="shared" si="359"/>
        <v>27353.133333333331</v>
      </c>
      <c r="BX134" s="562">
        <f t="shared" si="359"/>
        <v>27353.133333333331</v>
      </c>
      <c r="CO134" s="562">
        <f t="shared" ref="CO134:CX149" si="360">CO99*80%</f>
        <v>23661.333333333336</v>
      </c>
      <c r="CP134" s="562">
        <f t="shared" si="360"/>
        <v>23661.333333333336</v>
      </c>
      <c r="CQ134" s="562">
        <f t="shared" si="360"/>
        <v>23661.333333333336</v>
      </c>
      <c r="CR134" s="562">
        <f t="shared" si="360"/>
        <v>23661.333333333336</v>
      </c>
      <c r="CS134" s="562">
        <f t="shared" si="360"/>
        <v>23661.333333333336</v>
      </c>
      <c r="CT134" s="562">
        <f t="shared" si="360"/>
        <v>23661.333333333336</v>
      </c>
      <c r="CU134" s="562">
        <f t="shared" si="360"/>
        <v>23661.333333333336</v>
      </c>
      <c r="CV134" s="562">
        <f t="shared" si="360"/>
        <v>23661.333333333336</v>
      </c>
      <c r="CW134" s="562">
        <f t="shared" si="360"/>
        <v>23661.333333333336</v>
      </c>
      <c r="CX134" s="562">
        <f t="shared" si="360"/>
        <v>23661.333333333336</v>
      </c>
      <c r="DO134" s="562">
        <f t="shared" ref="DO134:DX149" si="361">DO99*80%</f>
        <v>14994.933333333334</v>
      </c>
      <c r="DP134" s="562">
        <f t="shared" si="361"/>
        <v>14994.933333333334</v>
      </c>
      <c r="DQ134" s="562">
        <f t="shared" si="361"/>
        <v>14994.933333333334</v>
      </c>
      <c r="DR134" s="562">
        <f t="shared" si="361"/>
        <v>14994.933333333334</v>
      </c>
      <c r="DS134" s="562">
        <f t="shared" si="361"/>
        <v>14994.933333333334</v>
      </c>
      <c r="DT134" s="562">
        <f t="shared" si="361"/>
        <v>14994.933333333334</v>
      </c>
      <c r="DU134" s="562">
        <f t="shared" si="361"/>
        <v>14994.933333333334</v>
      </c>
      <c r="DV134" s="562">
        <f t="shared" si="361"/>
        <v>14994.933333333334</v>
      </c>
      <c r="DW134" s="562">
        <f t="shared" si="361"/>
        <v>14994.933333333334</v>
      </c>
      <c r="DX134" s="562">
        <f t="shared" si="361"/>
        <v>14994.933333333334</v>
      </c>
    </row>
    <row r="135" spans="1:142" hidden="1">
      <c r="O135" s="562">
        <f t="shared" si="358"/>
        <v>52224</v>
      </c>
      <c r="P135" s="562">
        <f t="shared" si="358"/>
        <v>73728</v>
      </c>
      <c r="Q135" s="562">
        <f t="shared" si="358"/>
        <v>5504</v>
      </c>
      <c r="R135" s="562">
        <f t="shared" si="358"/>
        <v>58368</v>
      </c>
      <c r="S135" s="562">
        <f t="shared" si="358"/>
        <v>30720</v>
      </c>
      <c r="T135" s="562">
        <f t="shared" si="358"/>
        <v>38400</v>
      </c>
      <c r="U135" s="562">
        <f t="shared" si="358"/>
        <v>49088</v>
      </c>
      <c r="V135" s="562">
        <f t="shared" si="358"/>
        <v>49088</v>
      </c>
      <c r="W135" s="562">
        <f t="shared" si="358"/>
        <v>49088</v>
      </c>
      <c r="X135" s="562">
        <f t="shared" si="358"/>
        <v>58368</v>
      </c>
      <c r="BO135" s="562">
        <f t="shared" si="359"/>
        <v>27353.133333333331</v>
      </c>
      <c r="BP135" s="562">
        <f t="shared" si="359"/>
        <v>27353.133333333331</v>
      </c>
      <c r="BQ135" s="562">
        <f t="shared" si="359"/>
        <v>27353.133333333331</v>
      </c>
      <c r="BR135" s="562">
        <f t="shared" si="359"/>
        <v>27353.133333333331</v>
      </c>
      <c r="BS135" s="562">
        <f t="shared" si="359"/>
        <v>27353.133333333331</v>
      </c>
      <c r="BT135" s="562">
        <f t="shared" si="359"/>
        <v>27353.133333333331</v>
      </c>
      <c r="BU135" s="562">
        <f t="shared" si="359"/>
        <v>27353.133333333331</v>
      </c>
      <c r="BV135" s="562">
        <f t="shared" si="359"/>
        <v>27353.133333333331</v>
      </c>
      <c r="BW135" s="562">
        <f t="shared" si="359"/>
        <v>27353.133333333331</v>
      </c>
      <c r="BX135" s="562">
        <f t="shared" si="359"/>
        <v>27353.133333333331</v>
      </c>
      <c r="CO135" s="562">
        <f t="shared" si="360"/>
        <v>23661.333333333336</v>
      </c>
      <c r="CP135" s="562">
        <f t="shared" si="360"/>
        <v>23661.333333333336</v>
      </c>
      <c r="CQ135" s="562">
        <f t="shared" si="360"/>
        <v>23661.333333333336</v>
      </c>
      <c r="CR135" s="562">
        <f t="shared" si="360"/>
        <v>23661.333333333336</v>
      </c>
      <c r="CS135" s="562">
        <f t="shared" si="360"/>
        <v>23661.333333333336</v>
      </c>
      <c r="CT135" s="562">
        <f t="shared" si="360"/>
        <v>23661.333333333336</v>
      </c>
      <c r="CU135" s="562">
        <f t="shared" si="360"/>
        <v>23661.333333333336</v>
      </c>
      <c r="CV135" s="562">
        <f t="shared" si="360"/>
        <v>23661.333333333336</v>
      </c>
      <c r="CW135" s="562">
        <f t="shared" si="360"/>
        <v>23661.333333333336</v>
      </c>
      <c r="CX135" s="562">
        <f t="shared" si="360"/>
        <v>23661.333333333336</v>
      </c>
      <c r="DO135" s="562">
        <f t="shared" si="361"/>
        <v>14994.933333333334</v>
      </c>
      <c r="DP135" s="562">
        <f t="shared" si="361"/>
        <v>14994.933333333334</v>
      </c>
      <c r="DQ135" s="562">
        <f t="shared" si="361"/>
        <v>14994.933333333334</v>
      </c>
      <c r="DR135" s="562">
        <f t="shared" si="361"/>
        <v>14994.933333333334</v>
      </c>
      <c r="DS135" s="562">
        <f t="shared" si="361"/>
        <v>14994.933333333334</v>
      </c>
      <c r="DT135" s="562">
        <f t="shared" si="361"/>
        <v>14994.933333333334</v>
      </c>
      <c r="DU135" s="562">
        <f t="shared" si="361"/>
        <v>14994.933333333334</v>
      </c>
      <c r="DV135" s="562">
        <f t="shared" si="361"/>
        <v>14994.933333333334</v>
      </c>
      <c r="DW135" s="562">
        <f t="shared" si="361"/>
        <v>14994.933333333334</v>
      </c>
      <c r="DX135" s="562">
        <f t="shared" si="361"/>
        <v>14994.933333333334</v>
      </c>
    </row>
    <row r="136" spans="1:142" hidden="1">
      <c r="O136" s="562">
        <f t="shared" si="358"/>
        <v>103219.20000000001</v>
      </c>
      <c r="P136" s="562">
        <f t="shared" si="358"/>
        <v>51616</v>
      </c>
      <c r="Q136" s="562">
        <f t="shared" si="358"/>
        <v>19353.600000000002</v>
      </c>
      <c r="R136" s="562">
        <f t="shared" si="358"/>
        <v>51609.600000000006</v>
      </c>
      <c r="S136" s="562">
        <f t="shared" si="358"/>
        <v>103219.20000000001</v>
      </c>
      <c r="T136" s="562">
        <f t="shared" si="358"/>
        <v>103219.20000000001</v>
      </c>
      <c r="U136" s="562">
        <f t="shared" si="358"/>
        <v>103219.20000000001</v>
      </c>
      <c r="V136" s="562">
        <f t="shared" si="358"/>
        <v>103219.20000000001</v>
      </c>
      <c r="W136" s="562">
        <f t="shared" si="358"/>
        <v>103219.20000000001</v>
      </c>
      <c r="X136" s="562">
        <f t="shared" si="358"/>
        <v>86016</v>
      </c>
      <c r="BO136" s="562">
        <f t="shared" si="359"/>
        <v>27353.133333333331</v>
      </c>
      <c r="BP136" s="562">
        <f t="shared" si="359"/>
        <v>27353.133333333331</v>
      </c>
      <c r="BQ136" s="562">
        <f t="shared" si="359"/>
        <v>27353.133333333331</v>
      </c>
      <c r="BR136" s="562">
        <f t="shared" si="359"/>
        <v>27353.133333333331</v>
      </c>
      <c r="BS136" s="562">
        <f t="shared" si="359"/>
        <v>27353.133333333331</v>
      </c>
      <c r="BT136" s="562">
        <f t="shared" si="359"/>
        <v>27353.133333333331</v>
      </c>
      <c r="BU136" s="562">
        <f t="shared" si="359"/>
        <v>27353.133333333331</v>
      </c>
      <c r="BV136" s="562">
        <f t="shared" si="359"/>
        <v>27353.133333333331</v>
      </c>
      <c r="BW136" s="562">
        <f t="shared" si="359"/>
        <v>27353.133333333331</v>
      </c>
      <c r="BX136" s="562">
        <f t="shared" si="359"/>
        <v>27353.133333333331</v>
      </c>
      <c r="CO136" s="562">
        <f t="shared" si="360"/>
        <v>23661.333333333336</v>
      </c>
      <c r="CP136" s="562">
        <f t="shared" si="360"/>
        <v>23661.333333333336</v>
      </c>
      <c r="CQ136" s="562">
        <f t="shared" si="360"/>
        <v>23661.333333333336</v>
      </c>
      <c r="CR136" s="562">
        <f t="shared" si="360"/>
        <v>23661.333333333336</v>
      </c>
      <c r="CS136" s="562">
        <f t="shared" si="360"/>
        <v>23661.333333333336</v>
      </c>
      <c r="CT136" s="562">
        <f t="shared" si="360"/>
        <v>23661.333333333336</v>
      </c>
      <c r="CU136" s="562">
        <f t="shared" si="360"/>
        <v>23661.333333333336</v>
      </c>
      <c r="CV136" s="562">
        <f t="shared" si="360"/>
        <v>23661.333333333336</v>
      </c>
      <c r="CW136" s="562">
        <f t="shared" si="360"/>
        <v>23661.333333333336</v>
      </c>
      <c r="CX136" s="562">
        <f t="shared" si="360"/>
        <v>23661.333333333336</v>
      </c>
      <c r="DO136" s="562">
        <f t="shared" si="361"/>
        <v>14994.933333333334</v>
      </c>
      <c r="DP136" s="562">
        <f t="shared" si="361"/>
        <v>14994.933333333334</v>
      </c>
      <c r="DQ136" s="562">
        <f t="shared" si="361"/>
        <v>14994.933333333334</v>
      </c>
      <c r="DR136" s="562">
        <f t="shared" si="361"/>
        <v>14994.933333333334</v>
      </c>
      <c r="DS136" s="562">
        <f t="shared" si="361"/>
        <v>14994.933333333334</v>
      </c>
      <c r="DT136" s="562">
        <f t="shared" si="361"/>
        <v>14994.933333333334</v>
      </c>
      <c r="DU136" s="562">
        <f t="shared" si="361"/>
        <v>14994.933333333334</v>
      </c>
      <c r="DV136" s="562">
        <f t="shared" si="361"/>
        <v>14994.933333333334</v>
      </c>
      <c r="DW136" s="562">
        <f t="shared" si="361"/>
        <v>14994.933333333334</v>
      </c>
      <c r="DX136" s="562">
        <f t="shared" si="361"/>
        <v>14994.933333333334</v>
      </c>
    </row>
    <row r="137" spans="1:142" hidden="1">
      <c r="A137" s="869"/>
      <c r="D137" s="869"/>
      <c r="E137" s="869"/>
      <c r="F137" s="869"/>
      <c r="G137" s="869"/>
      <c r="H137" s="869"/>
      <c r="I137" s="869"/>
      <c r="J137" s="869"/>
      <c r="K137" s="869"/>
      <c r="L137" s="869"/>
      <c r="O137" s="562">
        <f t="shared" si="358"/>
        <v>24000</v>
      </c>
      <c r="P137" s="562">
        <f t="shared" si="358"/>
        <v>23200</v>
      </c>
      <c r="Q137" s="562">
        <f t="shared" si="358"/>
        <v>7840</v>
      </c>
      <c r="R137" s="562">
        <f t="shared" si="358"/>
        <v>0</v>
      </c>
      <c r="S137" s="562">
        <f t="shared" si="358"/>
        <v>640</v>
      </c>
      <c r="T137" s="562">
        <f t="shared" si="358"/>
        <v>8000</v>
      </c>
      <c r="U137" s="562">
        <f t="shared" si="358"/>
        <v>10400</v>
      </c>
      <c r="V137" s="562">
        <f t="shared" si="358"/>
        <v>9600</v>
      </c>
      <c r="W137" s="562">
        <f t="shared" si="358"/>
        <v>7200</v>
      </c>
      <c r="X137" s="562">
        <f t="shared" si="358"/>
        <v>13600</v>
      </c>
      <c r="AL137" s="869"/>
      <c r="BL137" s="869"/>
      <c r="BO137" s="562">
        <f t="shared" si="359"/>
        <v>12800</v>
      </c>
      <c r="BP137" s="562">
        <f t="shared" si="359"/>
        <v>16000</v>
      </c>
      <c r="BQ137" s="562">
        <f t="shared" si="359"/>
        <v>16000</v>
      </c>
      <c r="BR137" s="562">
        <f t="shared" si="359"/>
        <v>16000</v>
      </c>
      <c r="BS137" s="562">
        <f t="shared" si="359"/>
        <v>16000</v>
      </c>
      <c r="BT137" s="562">
        <f t="shared" si="359"/>
        <v>16000</v>
      </c>
      <c r="BU137" s="562">
        <f t="shared" si="359"/>
        <v>16000</v>
      </c>
      <c r="BV137" s="562">
        <f t="shared" si="359"/>
        <v>16000</v>
      </c>
      <c r="BW137" s="562">
        <f t="shared" si="359"/>
        <v>16000</v>
      </c>
      <c r="BX137" s="562">
        <f t="shared" si="359"/>
        <v>16000</v>
      </c>
      <c r="CL137" s="869"/>
      <c r="CO137" s="562">
        <f t="shared" si="360"/>
        <v>0</v>
      </c>
      <c r="CP137" s="562">
        <f t="shared" si="360"/>
        <v>0</v>
      </c>
      <c r="CQ137" s="562">
        <f t="shared" si="360"/>
        <v>0</v>
      </c>
      <c r="CR137" s="562">
        <f t="shared" si="360"/>
        <v>0</v>
      </c>
      <c r="CS137" s="562">
        <f t="shared" si="360"/>
        <v>0</v>
      </c>
      <c r="CT137" s="562">
        <f t="shared" si="360"/>
        <v>0</v>
      </c>
      <c r="CU137" s="562">
        <f t="shared" si="360"/>
        <v>0</v>
      </c>
      <c r="CV137" s="562">
        <f t="shared" si="360"/>
        <v>0</v>
      </c>
      <c r="CW137" s="562">
        <f t="shared" si="360"/>
        <v>0</v>
      </c>
      <c r="CX137" s="562">
        <f t="shared" si="360"/>
        <v>0</v>
      </c>
      <c r="DL137" s="869"/>
      <c r="DO137" s="562">
        <f t="shared" si="361"/>
        <v>0</v>
      </c>
      <c r="DP137" s="562">
        <f t="shared" si="361"/>
        <v>0</v>
      </c>
      <c r="DQ137" s="562">
        <f t="shared" si="361"/>
        <v>0</v>
      </c>
      <c r="DR137" s="562">
        <f t="shared" si="361"/>
        <v>0</v>
      </c>
      <c r="DS137" s="562">
        <f t="shared" si="361"/>
        <v>0</v>
      </c>
      <c r="DT137" s="562">
        <f t="shared" si="361"/>
        <v>0</v>
      </c>
      <c r="DU137" s="562">
        <f t="shared" si="361"/>
        <v>0</v>
      </c>
      <c r="DV137" s="562">
        <f t="shared" si="361"/>
        <v>0</v>
      </c>
      <c r="DW137" s="562">
        <f t="shared" si="361"/>
        <v>0</v>
      </c>
      <c r="DX137" s="562">
        <f t="shared" si="361"/>
        <v>0</v>
      </c>
      <c r="EL137" s="869"/>
    </row>
    <row r="138" spans="1:142" hidden="1">
      <c r="A138" s="869"/>
      <c r="D138" s="869"/>
      <c r="E138" s="869"/>
      <c r="F138" s="869"/>
      <c r="G138" s="869"/>
      <c r="H138" s="869"/>
      <c r="I138" s="869"/>
      <c r="J138" s="869"/>
      <c r="K138" s="869"/>
      <c r="L138" s="869"/>
      <c r="O138" s="562">
        <f t="shared" si="358"/>
        <v>800</v>
      </c>
      <c r="P138" s="562">
        <f t="shared" si="358"/>
        <v>4000</v>
      </c>
      <c r="Q138" s="562">
        <f t="shared" si="358"/>
        <v>800</v>
      </c>
      <c r="R138" s="562">
        <f t="shared" si="358"/>
        <v>0</v>
      </c>
      <c r="S138" s="562">
        <f t="shared" si="358"/>
        <v>0</v>
      </c>
      <c r="T138" s="562">
        <f t="shared" si="358"/>
        <v>0</v>
      </c>
      <c r="U138" s="562">
        <f t="shared" si="358"/>
        <v>3200</v>
      </c>
      <c r="V138" s="562">
        <f t="shared" si="358"/>
        <v>3200</v>
      </c>
      <c r="W138" s="562">
        <f t="shared" si="358"/>
        <v>2400</v>
      </c>
      <c r="X138" s="562">
        <f t="shared" si="358"/>
        <v>5600</v>
      </c>
      <c r="AL138" s="869"/>
      <c r="BL138" s="869"/>
      <c r="BO138" s="562">
        <f t="shared" si="359"/>
        <v>101853.73333333334</v>
      </c>
      <c r="BP138" s="562">
        <f t="shared" si="359"/>
        <v>101853.73333333334</v>
      </c>
      <c r="BQ138" s="562">
        <f t="shared" si="359"/>
        <v>101853.73333333334</v>
      </c>
      <c r="BR138" s="562">
        <f t="shared" si="359"/>
        <v>101853.73333333334</v>
      </c>
      <c r="BS138" s="562">
        <f t="shared" si="359"/>
        <v>101853.73333333334</v>
      </c>
      <c r="BT138" s="562">
        <f t="shared" si="359"/>
        <v>101853.73333333334</v>
      </c>
      <c r="BU138" s="562">
        <f t="shared" si="359"/>
        <v>101853.73333333334</v>
      </c>
      <c r="BV138" s="562">
        <f t="shared" si="359"/>
        <v>101853.73333333334</v>
      </c>
      <c r="BW138" s="562">
        <f t="shared" si="359"/>
        <v>101853.73333333334</v>
      </c>
      <c r="BX138" s="562">
        <f t="shared" si="359"/>
        <v>101853.73333333334</v>
      </c>
      <c r="CL138" s="869"/>
      <c r="CO138" s="562">
        <f t="shared" si="360"/>
        <v>0</v>
      </c>
      <c r="CP138" s="562">
        <f t="shared" si="360"/>
        <v>0</v>
      </c>
      <c r="CQ138" s="562">
        <f t="shared" si="360"/>
        <v>0</v>
      </c>
      <c r="CR138" s="562">
        <f t="shared" si="360"/>
        <v>0</v>
      </c>
      <c r="CS138" s="562">
        <f t="shared" si="360"/>
        <v>0</v>
      </c>
      <c r="CT138" s="562">
        <f t="shared" si="360"/>
        <v>0</v>
      </c>
      <c r="CU138" s="562">
        <f t="shared" si="360"/>
        <v>0</v>
      </c>
      <c r="CV138" s="562">
        <f t="shared" si="360"/>
        <v>0</v>
      </c>
      <c r="CW138" s="562">
        <f t="shared" si="360"/>
        <v>0</v>
      </c>
      <c r="CX138" s="562">
        <f t="shared" si="360"/>
        <v>0</v>
      </c>
      <c r="DL138" s="869"/>
      <c r="DO138" s="562">
        <f t="shared" si="361"/>
        <v>0</v>
      </c>
      <c r="DP138" s="562">
        <f t="shared" si="361"/>
        <v>0</v>
      </c>
      <c r="DQ138" s="562">
        <f t="shared" si="361"/>
        <v>0</v>
      </c>
      <c r="DR138" s="562">
        <f t="shared" si="361"/>
        <v>0</v>
      </c>
      <c r="DS138" s="562">
        <f t="shared" si="361"/>
        <v>0</v>
      </c>
      <c r="DT138" s="562">
        <f t="shared" si="361"/>
        <v>0</v>
      </c>
      <c r="DU138" s="562">
        <f t="shared" si="361"/>
        <v>0</v>
      </c>
      <c r="DV138" s="562">
        <f t="shared" si="361"/>
        <v>0</v>
      </c>
      <c r="DW138" s="562">
        <f t="shared" si="361"/>
        <v>0</v>
      </c>
      <c r="DX138" s="562">
        <f t="shared" si="361"/>
        <v>0</v>
      </c>
      <c r="EL138" s="869"/>
    </row>
    <row r="139" spans="1:142" hidden="1">
      <c r="A139" s="869"/>
      <c r="D139" s="869"/>
      <c r="E139" s="869"/>
      <c r="F139" s="869"/>
      <c r="G139" s="869"/>
      <c r="H139" s="869"/>
      <c r="I139" s="869"/>
      <c r="J139" s="869"/>
      <c r="K139" s="869"/>
      <c r="L139" s="869"/>
      <c r="O139" s="562">
        <f t="shared" si="358"/>
        <v>800</v>
      </c>
      <c r="P139" s="562">
        <f t="shared" si="358"/>
        <v>4000</v>
      </c>
      <c r="Q139" s="562">
        <f t="shared" si="358"/>
        <v>800</v>
      </c>
      <c r="R139" s="562">
        <f t="shared" si="358"/>
        <v>0</v>
      </c>
      <c r="S139" s="562">
        <f t="shared" si="358"/>
        <v>0</v>
      </c>
      <c r="T139" s="562">
        <f t="shared" si="358"/>
        <v>0</v>
      </c>
      <c r="U139" s="562">
        <f t="shared" si="358"/>
        <v>3200</v>
      </c>
      <c r="V139" s="562">
        <f t="shared" si="358"/>
        <v>3200</v>
      </c>
      <c r="W139" s="562">
        <f t="shared" si="358"/>
        <v>2400</v>
      </c>
      <c r="X139" s="562">
        <f t="shared" si="358"/>
        <v>5600</v>
      </c>
      <c r="AL139" s="869"/>
      <c r="BL139" s="869"/>
      <c r="BO139" s="562">
        <f t="shared" si="359"/>
        <v>101853.73333333334</v>
      </c>
      <c r="BP139" s="562">
        <f t="shared" si="359"/>
        <v>101853.73333333334</v>
      </c>
      <c r="BQ139" s="562">
        <f t="shared" si="359"/>
        <v>101853.73333333334</v>
      </c>
      <c r="BR139" s="562">
        <f t="shared" si="359"/>
        <v>101853.73333333334</v>
      </c>
      <c r="BS139" s="562">
        <f t="shared" si="359"/>
        <v>101853.73333333334</v>
      </c>
      <c r="BT139" s="562">
        <f t="shared" si="359"/>
        <v>101853.73333333334</v>
      </c>
      <c r="BU139" s="562">
        <f t="shared" si="359"/>
        <v>101853.73333333334</v>
      </c>
      <c r="BV139" s="562">
        <f t="shared" si="359"/>
        <v>101853.73333333334</v>
      </c>
      <c r="BW139" s="562">
        <f t="shared" si="359"/>
        <v>101853.73333333334</v>
      </c>
      <c r="BX139" s="562">
        <f t="shared" si="359"/>
        <v>101853.73333333334</v>
      </c>
      <c r="CL139" s="869"/>
      <c r="CO139" s="562">
        <f t="shared" si="360"/>
        <v>0</v>
      </c>
      <c r="CP139" s="562">
        <f t="shared" si="360"/>
        <v>0</v>
      </c>
      <c r="CQ139" s="562">
        <f t="shared" si="360"/>
        <v>0</v>
      </c>
      <c r="CR139" s="562">
        <f t="shared" si="360"/>
        <v>0</v>
      </c>
      <c r="CS139" s="562">
        <f t="shared" si="360"/>
        <v>0</v>
      </c>
      <c r="CT139" s="562">
        <f t="shared" si="360"/>
        <v>0</v>
      </c>
      <c r="CU139" s="562">
        <f t="shared" si="360"/>
        <v>0</v>
      </c>
      <c r="CV139" s="562">
        <f t="shared" si="360"/>
        <v>0</v>
      </c>
      <c r="CW139" s="562">
        <f t="shared" si="360"/>
        <v>0</v>
      </c>
      <c r="CX139" s="562">
        <f t="shared" si="360"/>
        <v>0</v>
      </c>
      <c r="DL139" s="869"/>
      <c r="DO139" s="562">
        <f t="shared" si="361"/>
        <v>0</v>
      </c>
      <c r="DP139" s="562">
        <f t="shared" si="361"/>
        <v>0</v>
      </c>
      <c r="DQ139" s="562">
        <f t="shared" si="361"/>
        <v>0</v>
      </c>
      <c r="DR139" s="562">
        <f t="shared" si="361"/>
        <v>0</v>
      </c>
      <c r="DS139" s="562">
        <f t="shared" si="361"/>
        <v>0</v>
      </c>
      <c r="DT139" s="562">
        <f t="shared" si="361"/>
        <v>0</v>
      </c>
      <c r="DU139" s="562">
        <f t="shared" si="361"/>
        <v>0</v>
      </c>
      <c r="DV139" s="562">
        <f t="shared" si="361"/>
        <v>0</v>
      </c>
      <c r="DW139" s="562">
        <f t="shared" si="361"/>
        <v>0</v>
      </c>
      <c r="DX139" s="562">
        <f t="shared" si="361"/>
        <v>0</v>
      </c>
      <c r="EL139" s="869"/>
    </row>
    <row r="140" spans="1:142" hidden="1">
      <c r="A140" s="869"/>
      <c r="D140" s="869"/>
      <c r="E140" s="869"/>
      <c r="F140" s="869"/>
      <c r="G140" s="869"/>
      <c r="H140" s="869"/>
      <c r="I140" s="869"/>
      <c r="J140" s="869"/>
      <c r="K140" s="869"/>
      <c r="L140" s="869"/>
      <c r="O140" s="562">
        <f t="shared" si="358"/>
        <v>37221.599999999999</v>
      </c>
      <c r="P140" s="562">
        <f t="shared" si="358"/>
        <v>50192</v>
      </c>
      <c r="Q140" s="562">
        <f t="shared" si="358"/>
        <v>52000</v>
      </c>
      <c r="R140" s="562">
        <f t="shared" si="358"/>
        <v>24000</v>
      </c>
      <c r="S140" s="562">
        <f t="shared" si="358"/>
        <v>48000</v>
      </c>
      <c r="T140" s="562">
        <f t="shared" si="358"/>
        <v>48000</v>
      </c>
      <c r="U140" s="562">
        <f t="shared" si="358"/>
        <v>24000</v>
      </c>
      <c r="V140" s="562">
        <f t="shared" si="358"/>
        <v>36000</v>
      </c>
      <c r="W140" s="562">
        <f t="shared" si="358"/>
        <v>41600</v>
      </c>
      <c r="X140" s="562">
        <f t="shared" si="358"/>
        <v>37600</v>
      </c>
      <c r="AL140" s="869"/>
      <c r="BL140" s="869"/>
      <c r="BO140" s="562">
        <f t="shared" si="359"/>
        <v>40032.200000000004</v>
      </c>
      <c r="BP140" s="562">
        <f t="shared" si="359"/>
        <v>40032.200000000004</v>
      </c>
      <c r="BQ140" s="562">
        <f t="shared" si="359"/>
        <v>40032.200000000004</v>
      </c>
      <c r="BR140" s="562">
        <f t="shared" si="359"/>
        <v>40032.200000000004</v>
      </c>
      <c r="BS140" s="562">
        <f t="shared" si="359"/>
        <v>40032.200000000004</v>
      </c>
      <c r="BT140" s="562">
        <f t="shared" si="359"/>
        <v>40032.200000000004</v>
      </c>
      <c r="BU140" s="562">
        <f t="shared" si="359"/>
        <v>40032.200000000004</v>
      </c>
      <c r="BV140" s="562">
        <f t="shared" si="359"/>
        <v>40032.200000000004</v>
      </c>
      <c r="BW140" s="562">
        <f t="shared" si="359"/>
        <v>40032.200000000004</v>
      </c>
      <c r="BX140" s="562">
        <f t="shared" si="359"/>
        <v>40032.200000000004</v>
      </c>
      <c r="CL140" s="869"/>
      <c r="CO140" s="562">
        <f t="shared" si="360"/>
        <v>0</v>
      </c>
      <c r="CP140" s="562">
        <f t="shared" si="360"/>
        <v>0</v>
      </c>
      <c r="CQ140" s="562">
        <f t="shared" si="360"/>
        <v>0</v>
      </c>
      <c r="CR140" s="562">
        <f t="shared" si="360"/>
        <v>0</v>
      </c>
      <c r="CS140" s="562">
        <f t="shared" si="360"/>
        <v>0</v>
      </c>
      <c r="CT140" s="562">
        <f t="shared" si="360"/>
        <v>0</v>
      </c>
      <c r="CU140" s="562">
        <f t="shared" si="360"/>
        <v>0</v>
      </c>
      <c r="CV140" s="562">
        <f t="shared" si="360"/>
        <v>0</v>
      </c>
      <c r="CW140" s="562">
        <f t="shared" si="360"/>
        <v>0</v>
      </c>
      <c r="CX140" s="562">
        <f t="shared" si="360"/>
        <v>0</v>
      </c>
      <c r="DL140" s="869"/>
      <c r="DO140" s="562">
        <f t="shared" si="361"/>
        <v>0</v>
      </c>
      <c r="DP140" s="562">
        <f t="shared" si="361"/>
        <v>0</v>
      </c>
      <c r="DQ140" s="562">
        <f t="shared" si="361"/>
        <v>0</v>
      </c>
      <c r="DR140" s="562">
        <f t="shared" si="361"/>
        <v>0</v>
      </c>
      <c r="DS140" s="562">
        <f t="shared" si="361"/>
        <v>0</v>
      </c>
      <c r="DT140" s="562">
        <f t="shared" si="361"/>
        <v>0</v>
      </c>
      <c r="DU140" s="562">
        <f t="shared" si="361"/>
        <v>0</v>
      </c>
      <c r="DV140" s="562">
        <f t="shared" si="361"/>
        <v>0</v>
      </c>
      <c r="DW140" s="562">
        <f t="shared" si="361"/>
        <v>0</v>
      </c>
      <c r="DX140" s="562">
        <f t="shared" si="361"/>
        <v>0</v>
      </c>
      <c r="EL140" s="869"/>
    </row>
    <row r="141" spans="1:142" hidden="1">
      <c r="A141" s="869"/>
      <c r="D141" s="869"/>
      <c r="E141" s="869"/>
      <c r="F141" s="869"/>
      <c r="G141" s="869"/>
      <c r="H141" s="869"/>
      <c r="I141" s="869"/>
      <c r="J141" s="869"/>
      <c r="K141" s="869"/>
      <c r="L141" s="869"/>
      <c r="O141" s="562">
        <f t="shared" si="358"/>
        <v>37221.599999999999</v>
      </c>
      <c r="P141" s="562">
        <f t="shared" si="358"/>
        <v>50192</v>
      </c>
      <c r="Q141" s="562">
        <f t="shared" si="358"/>
        <v>60000</v>
      </c>
      <c r="R141" s="562">
        <f t="shared" si="358"/>
        <v>24000</v>
      </c>
      <c r="S141" s="562">
        <f t="shared" si="358"/>
        <v>48000</v>
      </c>
      <c r="T141" s="562">
        <f t="shared" si="358"/>
        <v>48000</v>
      </c>
      <c r="U141" s="562">
        <f t="shared" si="358"/>
        <v>24000</v>
      </c>
      <c r="V141" s="562">
        <f t="shared" si="358"/>
        <v>36000</v>
      </c>
      <c r="W141" s="562">
        <f t="shared" si="358"/>
        <v>41600</v>
      </c>
      <c r="X141" s="562">
        <f t="shared" si="358"/>
        <v>37600</v>
      </c>
      <c r="AL141" s="869"/>
      <c r="BL141" s="869"/>
      <c r="BO141" s="562">
        <f t="shared" si="359"/>
        <v>40032.200000000004</v>
      </c>
      <c r="BP141" s="562">
        <f t="shared" si="359"/>
        <v>40032.200000000004</v>
      </c>
      <c r="BQ141" s="562">
        <f t="shared" si="359"/>
        <v>40032.200000000004</v>
      </c>
      <c r="BR141" s="562">
        <f t="shared" si="359"/>
        <v>40032.200000000004</v>
      </c>
      <c r="BS141" s="562">
        <f t="shared" si="359"/>
        <v>40032.200000000004</v>
      </c>
      <c r="BT141" s="562">
        <f t="shared" si="359"/>
        <v>40032.200000000004</v>
      </c>
      <c r="BU141" s="562">
        <f t="shared" si="359"/>
        <v>40032.200000000004</v>
      </c>
      <c r="BV141" s="562">
        <f t="shared" si="359"/>
        <v>40032.200000000004</v>
      </c>
      <c r="BW141" s="562">
        <f t="shared" si="359"/>
        <v>40032.200000000004</v>
      </c>
      <c r="BX141" s="562">
        <f t="shared" si="359"/>
        <v>40032.200000000004</v>
      </c>
      <c r="CL141" s="869"/>
      <c r="CO141" s="562">
        <f t="shared" si="360"/>
        <v>0</v>
      </c>
      <c r="CP141" s="562">
        <f t="shared" si="360"/>
        <v>0</v>
      </c>
      <c r="CQ141" s="562">
        <f t="shared" si="360"/>
        <v>0</v>
      </c>
      <c r="CR141" s="562">
        <f t="shared" si="360"/>
        <v>0</v>
      </c>
      <c r="CS141" s="562">
        <f t="shared" si="360"/>
        <v>0</v>
      </c>
      <c r="CT141" s="562">
        <f t="shared" si="360"/>
        <v>0</v>
      </c>
      <c r="CU141" s="562">
        <f t="shared" si="360"/>
        <v>0</v>
      </c>
      <c r="CV141" s="562">
        <f t="shared" si="360"/>
        <v>0</v>
      </c>
      <c r="CW141" s="562">
        <f t="shared" si="360"/>
        <v>0</v>
      </c>
      <c r="CX141" s="562">
        <f t="shared" si="360"/>
        <v>0</v>
      </c>
      <c r="DL141" s="869"/>
      <c r="DO141" s="562">
        <f t="shared" si="361"/>
        <v>0</v>
      </c>
      <c r="DP141" s="562">
        <f t="shared" si="361"/>
        <v>0</v>
      </c>
      <c r="DQ141" s="562">
        <f t="shared" si="361"/>
        <v>0</v>
      </c>
      <c r="DR141" s="562">
        <f t="shared" si="361"/>
        <v>0</v>
      </c>
      <c r="DS141" s="562">
        <f t="shared" si="361"/>
        <v>0</v>
      </c>
      <c r="DT141" s="562">
        <f t="shared" si="361"/>
        <v>0</v>
      </c>
      <c r="DU141" s="562">
        <f t="shared" si="361"/>
        <v>0</v>
      </c>
      <c r="DV141" s="562">
        <f t="shared" si="361"/>
        <v>0</v>
      </c>
      <c r="DW141" s="562">
        <f t="shared" si="361"/>
        <v>0</v>
      </c>
      <c r="DX141" s="562">
        <f t="shared" si="361"/>
        <v>0</v>
      </c>
      <c r="EL141" s="869"/>
    </row>
    <row r="142" spans="1:142" hidden="1">
      <c r="A142" s="869"/>
      <c r="D142" s="869"/>
      <c r="E142" s="869"/>
      <c r="F142" s="869"/>
      <c r="G142" s="869"/>
      <c r="H142" s="869"/>
      <c r="I142" s="869"/>
      <c r="J142" s="869"/>
      <c r="K142" s="869"/>
      <c r="L142" s="869"/>
      <c r="O142" s="562">
        <f t="shared" si="358"/>
        <v>0</v>
      </c>
      <c r="P142" s="562">
        <f t="shared" si="358"/>
        <v>0</v>
      </c>
      <c r="Q142" s="562">
        <f t="shared" si="358"/>
        <v>0</v>
      </c>
      <c r="R142" s="562">
        <f t="shared" si="358"/>
        <v>0</v>
      </c>
      <c r="S142" s="562">
        <f t="shared" si="358"/>
        <v>0</v>
      </c>
      <c r="T142" s="562">
        <f t="shared" si="358"/>
        <v>0</v>
      </c>
      <c r="U142" s="562">
        <f t="shared" si="358"/>
        <v>0</v>
      </c>
      <c r="V142" s="562">
        <f t="shared" si="358"/>
        <v>0</v>
      </c>
      <c r="W142" s="562">
        <f t="shared" si="358"/>
        <v>0</v>
      </c>
      <c r="X142" s="562">
        <f t="shared" si="358"/>
        <v>0</v>
      </c>
      <c r="AL142" s="869"/>
      <c r="BL142" s="869"/>
      <c r="BO142" s="562">
        <f t="shared" si="359"/>
        <v>40032.200000000004</v>
      </c>
      <c r="BP142" s="562">
        <f t="shared" si="359"/>
        <v>40032.200000000004</v>
      </c>
      <c r="BQ142" s="562">
        <f t="shared" si="359"/>
        <v>40032.200000000004</v>
      </c>
      <c r="BR142" s="562">
        <f t="shared" si="359"/>
        <v>40032.200000000004</v>
      </c>
      <c r="BS142" s="562">
        <f t="shared" si="359"/>
        <v>40032.200000000004</v>
      </c>
      <c r="BT142" s="562">
        <f t="shared" si="359"/>
        <v>40032.200000000004</v>
      </c>
      <c r="BU142" s="562">
        <f t="shared" si="359"/>
        <v>40032.200000000004</v>
      </c>
      <c r="BV142" s="562">
        <f t="shared" si="359"/>
        <v>40032.200000000004</v>
      </c>
      <c r="BW142" s="562">
        <f t="shared" si="359"/>
        <v>40032.200000000004</v>
      </c>
      <c r="BX142" s="562">
        <f t="shared" si="359"/>
        <v>40032.200000000004</v>
      </c>
      <c r="CL142" s="869"/>
      <c r="CO142" s="562">
        <f t="shared" si="360"/>
        <v>26666.666666666672</v>
      </c>
      <c r="CP142" s="562">
        <f t="shared" si="360"/>
        <v>26666.666666666672</v>
      </c>
      <c r="CQ142" s="562">
        <f t="shared" si="360"/>
        <v>26666.666666666672</v>
      </c>
      <c r="CR142" s="562">
        <f t="shared" si="360"/>
        <v>26666.666666666672</v>
      </c>
      <c r="CS142" s="562">
        <f t="shared" si="360"/>
        <v>26666.666666666672</v>
      </c>
      <c r="CT142" s="562">
        <f t="shared" si="360"/>
        <v>26666.666666666672</v>
      </c>
      <c r="CU142" s="562">
        <f t="shared" si="360"/>
        <v>26666.666666666672</v>
      </c>
      <c r="CV142" s="562">
        <f t="shared" si="360"/>
        <v>26666.666666666672</v>
      </c>
      <c r="CW142" s="562">
        <f t="shared" si="360"/>
        <v>26666.666666666672</v>
      </c>
      <c r="CX142" s="562">
        <f t="shared" si="360"/>
        <v>26666.666666666672</v>
      </c>
      <c r="DL142" s="869"/>
      <c r="DO142" s="562">
        <f t="shared" si="361"/>
        <v>26666.666666666672</v>
      </c>
      <c r="DP142" s="562">
        <f t="shared" si="361"/>
        <v>26666.666666666672</v>
      </c>
      <c r="DQ142" s="562">
        <f t="shared" si="361"/>
        <v>26666.666666666672</v>
      </c>
      <c r="DR142" s="562">
        <f t="shared" si="361"/>
        <v>26666.666666666672</v>
      </c>
      <c r="DS142" s="562">
        <f t="shared" si="361"/>
        <v>26666.666666666672</v>
      </c>
      <c r="DT142" s="562">
        <f t="shared" si="361"/>
        <v>26666.666666666672</v>
      </c>
      <c r="DU142" s="562">
        <f t="shared" si="361"/>
        <v>26666.666666666672</v>
      </c>
      <c r="DV142" s="562">
        <f t="shared" si="361"/>
        <v>26666.666666666672</v>
      </c>
      <c r="DW142" s="562">
        <f t="shared" si="361"/>
        <v>26666.666666666672</v>
      </c>
      <c r="DX142" s="562">
        <f t="shared" si="361"/>
        <v>26666.666666666672</v>
      </c>
      <c r="EL142" s="869"/>
    </row>
    <row r="143" spans="1:142" hidden="1">
      <c r="A143" s="869"/>
      <c r="D143" s="869"/>
      <c r="E143" s="869"/>
      <c r="F143" s="869"/>
      <c r="G143" s="869"/>
      <c r="H143" s="869"/>
      <c r="I143" s="869"/>
      <c r="J143" s="869"/>
      <c r="K143" s="869"/>
      <c r="L143" s="869"/>
      <c r="O143" s="562">
        <f t="shared" si="358"/>
        <v>800</v>
      </c>
      <c r="P143" s="562">
        <f t="shared" si="358"/>
        <v>0</v>
      </c>
      <c r="Q143" s="562">
        <f t="shared" si="358"/>
        <v>0</v>
      </c>
      <c r="R143" s="562">
        <f t="shared" si="358"/>
        <v>0</v>
      </c>
      <c r="S143" s="562">
        <f t="shared" si="358"/>
        <v>0</v>
      </c>
      <c r="T143" s="562">
        <f t="shared" si="358"/>
        <v>0</v>
      </c>
      <c r="U143" s="562">
        <f t="shared" si="358"/>
        <v>0</v>
      </c>
      <c r="V143" s="562">
        <f t="shared" si="358"/>
        <v>0</v>
      </c>
      <c r="W143" s="562">
        <f t="shared" si="358"/>
        <v>1075.2</v>
      </c>
      <c r="X143" s="562">
        <f t="shared" si="358"/>
        <v>537.6</v>
      </c>
      <c r="AL143" s="869"/>
      <c r="BL143" s="869"/>
      <c r="BO143" s="562">
        <f t="shared" si="359"/>
        <v>29733.333333333332</v>
      </c>
      <c r="BP143" s="562">
        <f t="shared" si="359"/>
        <v>29733.333333333332</v>
      </c>
      <c r="BQ143" s="562">
        <f t="shared" si="359"/>
        <v>29733.333333333332</v>
      </c>
      <c r="BR143" s="562">
        <f t="shared" si="359"/>
        <v>29733.333333333332</v>
      </c>
      <c r="BS143" s="562">
        <f t="shared" si="359"/>
        <v>29733.333333333332</v>
      </c>
      <c r="BT143" s="562">
        <f t="shared" si="359"/>
        <v>29733.333333333332</v>
      </c>
      <c r="BU143" s="562">
        <f t="shared" si="359"/>
        <v>29733.333333333332</v>
      </c>
      <c r="BV143" s="562">
        <f t="shared" si="359"/>
        <v>29733.333333333332</v>
      </c>
      <c r="BW143" s="562">
        <f t="shared" si="359"/>
        <v>29733.333333333332</v>
      </c>
      <c r="BX143" s="562">
        <f t="shared" si="359"/>
        <v>29733.333333333332</v>
      </c>
      <c r="CL143" s="869"/>
      <c r="CO143" s="562">
        <f t="shared" si="360"/>
        <v>16338.666666666666</v>
      </c>
      <c r="CP143" s="562">
        <f t="shared" si="360"/>
        <v>16338.666666666666</v>
      </c>
      <c r="CQ143" s="562">
        <f t="shared" si="360"/>
        <v>16338.666666666666</v>
      </c>
      <c r="CR143" s="562">
        <f t="shared" si="360"/>
        <v>16338.666666666666</v>
      </c>
      <c r="CS143" s="562">
        <f t="shared" si="360"/>
        <v>16338.666666666666</v>
      </c>
      <c r="CT143" s="562">
        <f t="shared" si="360"/>
        <v>16338.666666666666</v>
      </c>
      <c r="CU143" s="562">
        <f t="shared" si="360"/>
        <v>16338.666666666666</v>
      </c>
      <c r="CV143" s="562">
        <f t="shared" si="360"/>
        <v>16338.666666666666</v>
      </c>
      <c r="CW143" s="562">
        <f t="shared" si="360"/>
        <v>16338.666666666666</v>
      </c>
      <c r="CX143" s="562">
        <f t="shared" si="360"/>
        <v>16338.666666666666</v>
      </c>
      <c r="DL143" s="869"/>
      <c r="DO143" s="562">
        <f t="shared" si="361"/>
        <v>25005.066666666666</v>
      </c>
      <c r="DP143" s="562">
        <f t="shared" si="361"/>
        <v>25005.066666666666</v>
      </c>
      <c r="DQ143" s="562">
        <f t="shared" si="361"/>
        <v>25005.066666666666</v>
      </c>
      <c r="DR143" s="562">
        <f t="shared" si="361"/>
        <v>25005.066666666666</v>
      </c>
      <c r="DS143" s="562">
        <f t="shared" si="361"/>
        <v>25005.066666666666</v>
      </c>
      <c r="DT143" s="562">
        <f t="shared" si="361"/>
        <v>25005.066666666666</v>
      </c>
      <c r="DU143" s="562">
        <f t="shared" si="361"/>
        <v>25005.066666666666</v>
      </c>
      <c r="DV143" s="562">
        <f t="shared" si="361"/>
        <v>25005.066666666666</v>
      </c>
      <c r="DW143" s="562">
        <f t="shared" si="361"/>
        <v>25005.066666666666</v>
      </c>
      <c r="DX143" s="562">
        <f t="shared" si="361"/>
        <v>25005.066666666666</v>
      </c>
      <c r="EL143" s="869"/>
    </row>
    <row r="144" spans="1:142" hidden="1">
      <c r="A144" s="869"/>
      <c r="D144" s="869"/>
      <c r="E144" s="869"/>
      <c r="F144" s="869"/>
      <c r="G144" s="869"/>
      <c r="H144" s="869"/>
      <c r="I144" s="869"/>
      <c r="J144" s="869"/>
      <c r="K144" s="869"/>
      <c r="L144" s="869"/>
      <c r="O144" s="562">
        <f t="shared" si="358"/>
        <v>35200</v>
      </c>
      <c r="P144" s="562">
        <f t="shared" si="358"/>
        <v>37600</v>
      </c>
      <c r="Q144" s="562">
        <f t="shared" si="358"/>
        <v>52000</v>
      </c>
      <c r="R144" s="562">
        <f t="shared" si="358"/>
        <v>36000</v>
      </c>
      <c r="S144" s="562">
        <f t="shared" si="358"/>
        <v>48000</v>
      </c>
      <c r="T144" s="562">
        <f t="shared" si="358"/>
        <v>48000</v>
      </c>
      <c r="U144" s="562">
        <f t="shared" si="358"/>
        <v>52000</v>
      </c>
      <c r="V144" s="562">
        <f t="shared" si="358"/>
        <v>51200</v>
      </c>
      <c r="W144" s="562">
        <f t="shared" si="358"/>
        <v>60000</v>
      </c>
      <c r="X144" s="562">
        <f t="shared" si="358"/>
        <v>56000</v>
      </c>
      <c r="AL144" s="869"/>
      <c r="BL144" s="869"/>
      <c r="BO144" s="562">
        <f t="shared" si="359"/>
        <v>20000</v>
      </c>
      <c r="BP144" s="562">
        <f t="shared" si="359"/>
        <v>12800</v>
      </c>
      <c r="BQ144" s="562">
        <f t="shared" si="359"/>
        <v>12800</v>
      </c>
      <c r="BR144" s="562">
        <f t="shared" si="359"/>
        <v>12800</v>
      </c>
      <c r="BS144" s="562">
        <f t="shared" si="359"/>
        <v>12800</v>
      </c>
      <c r="BT144" s="562">
        <f t="shared" si="359"/>
        <v>12800</v>
      </c>
      <c r="BU144" s="562">
        <f t="shared" si="359"/>
        <v>12800</v>
      </c>
      <c r="BV144" s="562">
        <f t="shared" si="359"/>
        <v>12800</v>
      </c>
      <c r="BW144" s="562">
        <f t="shared" si="359"/>
        <v>12800</v>
      </c>
      <c r="BX144" s="562">
        <f t="shared" si="359"/>
        <v>12800</v>
      </c>
      <c r="CL144" s="869"/>
      <c r="CO144" s="562">
        <f t="shared" si="360"/>
        <v>4261.6333333333341</v>
      </c>
      <c r="CP144" s="562">
        <f t="shared" si="360"/>
        <v>4261.6333333333341</v>
      </c>
      <c r="CQ144" s="562">
        <f t="shared" si="360"/>
        <v>4261.6333333333341</v>
      </c>
      <c r="CR144" s="562">
        <f t="shared" si="360"/>
        <v>4261.6333333333341</v>
      </c>
      <c r="CS144" s="562">
        <f t="shared" si="360"/>
        <v>4261.6333333333341</v>
      </c>
      <c r="CT144" s="562">
        <f t="shared" si="360"/>
        <v>4261.6333333333341</v>
      </c>
      <c r="CU144" s="562">
        <f t="shared" si="360"/>
        <v>4261.6333333333341</v>
      </c>
      <c r="CV144" s="562">
        <f t="shared" si="360"/>
        <v>4261.6333333333341</v>
      </c>
      <c r="CW144" s="562">
        <f t="shared" si="360"/>
        <v>4261.6333333333341</v>
      </c>
      <c r="CX144" s="562">
        <f t="shared" si="360"/>
        <v>4261.6333333333341</v>
      </c>
      <c r="DL144" s="869"/>
      <c r="DO144" s="562">
        <f t="shared" si="361"/>
        <v>0</v>
      </c>
      <c r="DP144" s="562">
        <f t="shared" si="361"/>
        <v>0</v>
      </c>
      <c r="DQ144" s="562">
        <f t="shared" si="361"/>
        <v>0</v>
      </c>
      <c r="DR144" s="562">
        <f t="shared" si="361"/>
        <v>0</v>
      </c>
      <c r="DS144" s="562">
        <f t="shared" si="361"/>
        <v>0</v>
      </c>
      <c r="DT144" s="562">
        <f t="shared" si="361"/>
        <v>0</v>
      </c>
      <c r="DU144" s="562">
        <f t="shared" si="361"/>
        <v>0</v>
      </c>
      <c r="DV144" s="562">
        <f t="shared" si="361"/>
        <v>0</v>
      </c>
      <c r="DW144" s="562">
        <f t="shared" si="361"/>
        <v>0</v>
      </c>
      <c r="DX144" s="562">
        <f t="shared" si="361"/>
        <v>0</v>
      </c>
      <c r="EL144" s="869"/>
    </row>
    <row r="145" spans="1:142" hidden="1">
      <c r="A145" s="869"/>
      <c r="D145" s="869"/>
      <c r="E145" s="869"/>
      <c r="F145" s="869"/>
      <c r="G145" s="869"/>
      <c r="H145" s="869"/>
      <c r="I145" s="869"/>
      <c r="J145" s="869"/>
      <c r="K145" s="869"/>
      <c r="L145" s="869"/>
      <c r="M145" s="869"/>
      <c r="N145" s="869"/>
      <c r="O145" s="562">
        <f t="shared" si="358"/>
        <v>35200</v>
      </c>
      <c r="P145" s="562">
        <f t="shared" si="358"/>
        <v>37600</v>
      </c>
      <c r="Q145" s="562">
        <f t="shared" si="358"/>
        <v>52000</v>
      </c>
      <c r="R145" s="562">
        <f t="shared" si="358"/>
        <v>36000</v>
      </c>
      <c r="S145" s="562">
        <f t="shared" si="358"/>
        <v>48000</v>
      </c>
      <c r="T145" s="562">
        <f t="shared" si="358"/>
        <v>48000</v>
      </c>
      <c r="U145" s="562">
        <f t="shared" si="358"/>
        <v>52000</v>
      </c>
      <c r="V145" s="562">
        <f t="shared" si="358"/>
        <v>51200</v>
      </c>
      <c r="W145" s="562">
        <f t="shared" si="358"/>
        <v>60000</v>
      </c>
      <c r="X145" s="562">
        <f t="shared" si="358"/>
        <v>56000</v>
      </c>
      <c r="Y145" s="869"/>
      <c r="AL145" s="869"/>
      <c r="AM145" s="869"/>
      <c r="AN145" s="869"/>
      <c r="AY145" s="869"/>
      <c r="BL145" s="869"/>
      <c r="BM145" s="869"/>
      <c r="BN145" s="869"/>
      <c r="BO145" s="562">
        <f t="shared" si="359"/>
        <v>20000</v>
      </c>
      <c r="BP145" s="562">
        <f t="shared" si="359"/>
        <v>12800</v>
      </c>
      <c r="BQ145" s="562">
        <f t="shared" si="359"/>
        <v>12800</v>
      </c>
      <c r="BR145" s="562">
        <f t="shared" si="359"/>
        <v>12800</v>
      </c>
      <c r="BS145" s="562">
        <f t="shared" si="359"/>
        <v>12800</v>
      </c>
      <c r="BT145" s="562">
        <f t="shared" si="359"/>
        <v>12800</v>
      </c>
      <c r="BU145" s="562">
        <f t="shared" si="359"/>
        <v>12800</v>
      </c>
      <c r="BV145" s="562">
        <f t="shared" si="359"/>
        <v>12800</v>
      </c>
      <c r="BW145" s="562">
        <f t="shared" si="359"/>
        <v>12800</v>
      </c>
      <c r="BX145" s="562">
        <f t="shared" si="359"/>
        <v>12800</v>
      </c>
      <c r="BY145" s="869"/>
      <c r="CL145" s="869"/>
      <c r="CM145" s="869"/>
      <c r="CN145" s="869"/>
      <c r="CO145" s="562">
        <f t="shared" si="360"/>
        <v>4261.6333333333341</v>
      </c>
      <c r="CP145" s="562">
        <f t="shared" si="360"/>
        <v>4261.6333333333341</v>
      </c>
      <c r="CQ145" s="562">
        <f t="shared" si="360"/>
        <v>4261.6333333333341</v>
      </c>
      <c r="CR145" s="562">
        <f t="shared" si="360"/>
        <v>4261.6333333333341</v>
      </c>
      <c r="CS145" s="562">
        <f t="shared" si="360"/>
        <v>4261.6333333333341</v>
      </c>
      <c r="CT145" s="562">
        <f t="shared" si="360"/>
        <v>4261.6333333333341</v>
      </c>
      <c r="CU145" s="562">
        <f t="shared" si="360"/>
        <v>4261.6333333333341</v>
      </c>
      <c r="CV145" s="562">
        <f t="shared" si="360"/>
        <v>4261.6333333333341</v>
      </c>
      <c r="CW145" s="562">
        <f t="shared" si="360"/>
        <v>4261.6333333333341</v>
      </c>
      <c r="CX145" s="562">
        <f t="shared" si="360"/>
        <v>4261.6333333333341</v>
      </c>
      <c r="CY145" s="869"/>
      <c r="DL145" s="869"/>
      <c r="DM145" s="869"/>
      <c r="DN145" s="869"/>
      <c r="DO145" s="562">
        <f t="shared" si="361"/>
        <v>0</v>
      </c>
      <c r="DP145" s="562">
        <f t="shared" si="361"/>
        <v>0</v>
      </c>
      <c r="DQ145" s="562">
        <f t="shared" si="361"/>
        <v>0</v>
      </c>
      <c r="DR145" s="562">
        <f t="shared" si="361"/>
        <v>0</v>
      </c>
      <c r="DS145" s="562">
        <f t="shared" si="361"/>
        <v>0</v>
      </c>
      <c r="DT145" s="562">
        <f t="shared" si="361"/>
        <v>0</v>
      </c>
      <c r="DU145" s="562">
        <f t="shared" si="361"/>
        <v>0</v>
      </c>
      <c r="DV145" s="562">
        <f t="shared" si="361"/>
        <v>0</v>
      </c>
      <c r="DW145" s="562">
        <f t="shared" si="361"/>
        <v>0</v>
      </c>
      <c r="DX145" s="562">
        <f t="shared" si="361"/>
        <v>0</v>
      </c>
      <c r="DY145" s="869"/>
      <c r="EL145" s="869"/>
    </row>
    <row r="146" spans="1:142" hidden="1">
      <c r="A146" s="869"/>
      <c r="D146" s="869"/>
      <c r="E146" s="869"/>
      <c r="F146" s="869"/>
      <c r="G146" s="869"/>
      <c r="H146" s="869"/>
      <c r="I146" s="869"/>
      <c r="J146" s="869"/>
      <c r="K146" s="869"/>
      <c r="L146" s="869"/>
      <c r="M146" s="869"/>
      <c r="N146" s="869"/>
      <c r="O146" s="562">
        <f t="shared" si="358"/>
        <v>22176</v>
      </c>
      <c r="P146" s="562">
        <f t="shared" si="358"/>
        <v>15504</v>
      </c>
      <c r="Q146" s="562">
        <f t="shared" si="358"/>
        <v>7712</v>
      </c>
      <c r="R146" s="562">
        <f t="shared" si="358"/>
        <v>0</v>
      </c>
      <c r="S146" s="562">
        <f t="shared" si="358"/>
        <v>0</v>
      </c>
      <c r="T146" s="562">
        <f t="shared" si="358"/>
        <v>5600</v>
      </c>
      <c r="U146" s="562">
        <f t="shared" si="358"/>
        <v>6400</v>
      </c>
      <c r="V146" s="562">
        <f t="shared" si="358"/>
        <v>6400</v>
      </c>
      <c r="W146" s="562">
        <f t="shared" si="358"/>
        <v>4800</v>
      </c>
      <c r="X146" s="562">
        <f t="shared" si="358"/>
        <v>8000</v>
      </c>
      <c r="Y146" s="869"/>
      <c r="AL146" s="869"/>
      <c r="AM146" s="869"/>
      <c r="AN146" s="869"/>
      <c r="AY146" s="869"/>
      <c r="BL146" s="869"/>
      <c r="BM146" s="869"/>
      <c r="BN146" s="869"/>
      <c r="BO146" s="562">
        <f t="shared" si="359"/>
        <v>16862.61</v>
      </c>
      <c r="BP146" s="562">
        <f t="shared" si="359"/>
        <v>16862.61</v>
      </c>
      <c r="BQ146" s="562">
        <f t="shared" si="359"/>
        <v>16862.61</v>
      </c>
      <c r="BR146" s="562">
        <f t="shared" si="359"/>
        <v>16862.61</v>
      </c>
      <c r="BS146" s="562">
        <f t="shared" si="359"/>
        <v>16862.61</v>
      </c>
      <c r="BT146" s="562">
        <f t="shared" si="359"/>
        <v>16862.61</v>
      </c>
      <c r="BU146" s="562">
        <f t="shared" si="359"/>
        <v>16862.61</v>
      </c>
      <c r="BV146" s="562">
        <f t="shared" si="359"/>
        <v>16862.61</v>
      </c>
      <c r="BW146" s="562">
        <f t="shared" si="359"/>
        <v>16862.61</v>
      </c>
      <c r="BX146" s="562">
        <f t="shared" si="359"/>
        <v>16862.61</v>
      </c>
      <c r="BY146" s="869"/>
      <c r="CL146" s="869"/>
      <c r="CM146" s="869"/>
      <c r="CN146" s="869"/>
      <c r="CO146" s="562">
        <f t="shared" si="360"/>
        <v>4261.6333333333341</v>
      </c>
      <c r="CP146" s="562">
        <f t="shared" si="360"/>
        <v>4261.6333333333341</v>
      </c>
      <c r="CQ146" s="562">
        <f t="shared" si="360"/>
        <v>4261.6333333333341</v>
      </c>
      <c r="CR146" s="562">
        <f t="shared" si="360"/>
        <v>4261.6333333333341</v>
      </c>
      <c r="CS146" s="562">
        <f t="shared" si="360"/>
        <v>4261.6333333333341</v>
      </c>
      <c r="CT146" s="562">
        <f t="shared" si="360"/>
        <v>4261.6333333333341</v>
      </c>
      <c r="CU146" s="562">
        <f t="shared" si="360"/>
        <v>4261.6333333333341</v>
      </c>
      <c r="CV146" s="562">
        <f t="shared" si="360"/>
        <v>4261.6333333333341</v>
      </c>
      <c r="CW146" s="562">
        <f t="shared" si="360"/>
        <v>4261.6333333333341</v>
      </c>
      <c r="CX146" s="562">
        <f t="shared" si="360"/>
        <v>4261.6333333333341</v>
      </c>
      <c r="CY146" s="869"/>
      <c r="DL146" s="869"/>
      <c r="DM146" s="869"/>
      <c r="DN146" s="869"/>
      <c r="DO146" s="562">
        <f t="shared" si="361"/>
        <v>0</v>
      </c>
      <c r="DP146" s="562">
        <f t="shared" si="361"/>
        <v>0</v>
      </c>
      <c r="DQ146" s="562">
        <f t="shared" si="361"/>
        <v>0</v>
      </c>
      <c r="DR146" s="562">
        <f t="shared" si="361"/>
        <v>0</v>
      </c>
      <c r="DS146" s="562">
        <f t="shared" si="361"/>
        <v>0</v>
      </c>
      <c r="DT146" s="562">
        <f t="shared" si="361"/>
        <v>0</v>
      </c>
      <c r="DU146" s="562">
        <f t="shared" si="361"/>
        <v>0</v>
      </c>
      <c r="DV146" s="562">
        <f t="shared" si="361"/>
        <v>0</v>
      </c>
      <c r="DW146" s="562">
        <f t="shared" si="361"/>
        <v>0</v>
      </c>
      <c r="DX146" s="562">
        <f t="shared" si="361"/>
        <v>0</v>
      </c>
      <c r="DY146" s="869"/>
      <c r="EL146" s="869"/>
    </row>
    <row r="147" spans="1:142" hidden="1">
      <c r="A147" s="869"/>
      <c r="D147" s="869"/>
      <c r="E147" s="869"/>
      <c r="F147" s="869"/>
      <c r="G147" s="869"/>
      <c r="H147" s="869"/>
      <c r="I147" s="869"/>
      <c r="J147" s="869"/>
      <c r="K147" s="869"/>
      <c r="L147" s="869"/>
      <c r="M147" s="869"/>
      <c r="N147" s="869"/>
      <c r="O147" s="562">
        <f t="shared" si="358"/>
        <v>22176</v>
      </c>
      <c r="P147" s="562">
        <f t="shared" si="358"/>
        <v>15504</v>
      </c>
      <c r="Q147" s="562">
        <f t="shared" si="358"/>
        <v>7712</v>
      </c>
      <c r="R147" s="562">
        <f t="shared" si="358"/>
        <v>0</v>
      </c>
      <c r="S147" s="562">
        <f t="shared" si="358"/>
        <v>0</v>
      </c>
      <c r="T147" s="562">
        <f t="shared" si="358"/>
        <v>5600</v>
      </c>
      <c r="U147" s="562">
        <f t="shared" si="358"/>
        <v>6400</v>
      </c>
      <c r="V147" s="562">
        <f t="shared" si="358"/>
        <v>6400</v>
      </c>
      <c r="W147" s="562">
        <f t="shared" si="358"/>
        <v>4800</v>
      </c>
      <c r="X147" s="562">
        <f t="shared" si="358"/>
        <v>8000</v>
      </c>
      <c r="Y147" s="869"/>
      <c r="AL147" s="869"/>
      <c r="AM147" s="869"/>
      <c r="AN147" s="869"/>
      <c r="AY147" s="869"/>
      <c r="BL147" s="869"/>
      <c r="BM147" s="869"/>
      <c r="BN147" s="869"/>
      <c r="BO147" s="562">
        <f t="shared" si="359"/>
        <v>16862.61</v>
      </c>
      <c r="BP147" s="562">
        <f t="shared" si="359"/>
        <v>16862.61</v>
      </c>
      <c r="BQ147" s="562">
        <f t="shared" si="359"/>
        <v>16862.61</v>
      </c>
      <c r="BR147" s="562">
        <f t="shared" si="359"/>
        <v>16862.61</v>
      </c>
      <c r="BS147" s="562">
        <f t="shared" si="359"/>
        <v>16862.61</v>
      </c>
      <c r="BT147" s="562">
        <f t="shared" si="359"/>
        <v>16862.61</v>
      </c>
      <c r="BU147" s="562">
        <f t="shared" si="359"/>
        <v>16862.61</v>
      </c>
      <c r="BV147" s="562">
        <f t="shared" si="359"/>
        <v>16862.61</v>
      </c>
      <c r="BW147" s="562">
        <f t="shared" si="359"/>
        <v>16862.61</v>
      </c>
      <c r="BX147" s="562">
        <f t="shared" si="359"/>
        <v>16862.61</v>
      </c>
      <c r="BY147" s="869"/>
      <c r="CL147" s="869"/>
      <c r="CM147" s="869"/>
      <c r="CN147" s="869"/>
      <c r="CO147" s="562">
        <f t="shared" si="360"/>
        <v>4261.6333333333341</v>
      </c>
      <c r="CP147" s="562">
        <f t="shared" si="360"/>
        <v>4261.6333333333341</v>
      </c>
      <c r="CQ147" s="562">
        <f t="shared" si="360"/>
        <v>4261.6333333333341</v>
      </c>
      <c r="CR147" s="562">
        <f t="shared" si="360"/>
        <v>4261.6333333333341</v>
      </c>
      <c r="CS147" s="562">
        <f t="shared" si="360"/>
        <v>4261.6333333333341</v>
      </c>
      <c r="CT147" s="562">
        <f t="shared" si="360"/>
        <v>4261.6333333333341</v>
      </c>
      <c r="CU147" s="562">
        <f t="shared" si="360"/>
        <v>4261.6333333333341</v>
      </c>
      <c r="CV147" s="562">
        <f t="shared" si="360"/>
        <v>4261.6333333333341</v>
      </c>
      <c r="CW147" s="562">
        <f t="shared" si="360"/>
        <v>4261.6333333333341</v>
      </c>
      <c r="CX147" s="562">
        <f t="shared" si="360"/>
        <v>4261.6333333333341</v>
      </c>
      <c r="CY147" s="869"/>
      <c r="DL147" s="869"/>
      <c r="DM147" s="869"/>
      <c r="DN147" s="869"/>
      <c r="DO147" s="562">
        <f t="shared" si="361"/>
        <v>0</v>
      </c>
      <c r="DP147" s="562">
        <f t="shared" si="361"/>
        <v>0</v>
      </c>
      <c r="DQ147" s="562">
        <f t="shared" si="361"/>
        <v>0</v>
      </c>
      <c r="DR147" s="562">
        <f t="shared" si="361"/>
        <v>0</v>
      </c>
      <c r="DS147" s="562">
        <f t="shared" si="361"/>
        <v>0</v>
      </c>
      <c r="DT147" s="562">
        <f t="shared" si="361"/>
        <v>0</v>
      </c>
      <c r="DU147" s="562">
        <f t="shared" si="361"/>
        <v>0</v>
      </c>
      <c r="DV147" s="562">
        <f t="shared" si="361"/>
        <v>0</v>
      </c>
      <c r="DW147" s="562">
        <f t="shared" si="361"/>
        <v>0</v>
      </c>
      <c r="DX147" s="562">
        <f t="shared" si="361"/>
        <v>0</v>
      </c>
      <c r="DY147" s="869"/>
      <c r="EL147" s="869"/>
    </row>
    <row r="148" spans="1:142" hidden="1">
      <c r="A148" s="869"/>
      <c r="D148" s="869"/>
      <c r="E148" s="869"/>
      <c r="F148" s="869"/>
      <c r="G148" s="869"/>
      <c r="H148" s="869"/>
      <c r="I148" s="869"/>
      <c r="J148" s="869"/>
      <c r="K148" s="869"/>
      <c r="L148" s="869"/>
      <c r="M148" s="869"/>
      <c r="N148" s="869"/>
      <c r="O148" s="562">
        <f t="shared" si="358"/>
        <v>3200</v>
      </c>
      <c r="P148" s="562">
        <f t="shared" si="358"/>
        <v>3200</v>
      </c>
      <c r="Q148" s="562">
        <f t="shared" si="358"/>
        <v>1600</v>
      </c>
      <c r="R148" s="562">
        <f t="shared" si="358"/>
        <v>2400</v>
      </c>
      <c r="S148" s="562">
        <f t="shared" si="358"/>
        <v>0</v>
      </c>
      <c r="T148" s="562">
        <f t="shared" si="358"/>
        <v>0</v>
      </c>
      <c r="U148" s="562">
        <f t="shared" si="358"/>
        <v>0</v>
      </c>
      <c r="V148" s="562">
        <f t="shared" si="358"/>
        <v>0</v>
      </c>
      <c r="W148" s="562">
        <f t="shared" si="358"/>
        <v>0</v>
      </c>
      <c r="X148" s="562">
        <f t="shared" si="358"/>
        <v>0</v>
      </c>
      <c r="Y148" s="869"/>
      <c r="AL148" s="869"/>
      <c r="AM148" s="869"/>
      <c r="AN148" s="869"/>
      <c r="AY148" s="869"/>
      <c r="BL148" s="869"/>
      <c r="BM148" s="869"/>
      <c r="BN148" s="869"/>
      <c r="BO148" s="562">
        <f t="shared" si="359"/>
        <v>0</v>
      </c>
      <c r="BP148" s="562">
        <f t="shared" si="359"/>
        <v>0</v>
      </c>
      <c r="BQ148" s="562">
        <f t="shared" si="359"/>
        <v>0</v>
      </c>
      <c r="BR148" s="562">
        <f t="shared" si="359"/>
        <v>0</v>
      </c>
      <c r="BS148" s="562">
        <f t="shared" si="359"/>
        <v>0</v>
      </c>
      <c r="BT148" s="562">
        <f t="shared" si="359"/>
        <v>0</v>
      </c>
      <c r="BU148" s="562">
        <f t="shared" si="359"/>
        <v>0</v>
      </c>
      <c r="BV148" s="562">
        <f t="shared" si="359"/>
        <v>0</v>
      </c>
      <c r="BW148" s="562">
        <f t="shared" si="359"/>
        <v>0</v>
      </c>
      <c r="BX148" s="562">
        <f t="shared" si="359"/>
        <v>0</v>
      </c>
      <c r="BY148" s="869"/>
      <c r="CL148" s="869"/>
      <c r="CM148" s="869"/>
      <c r="CN148" s="869"/>
      <c r="CO148" s="562">
        <f t="shared" si="360"/>
        <v>0</v>
      </c>
      <c r="CP148" s="562">
        <f t="shared" si="360"/>
        <v>0</v>
      </c>
      <c r="CQ148" s="562">
        <f t="shared" si="360"/>
        <v>0</v>
      </c>
      <c r="CR148" s="562">
        <f t="shared" si="360"/>
        <v>0</v>
      </c>
      <c r="CS148" s="562">
        <f t="shared" si="360"/>
        <v>0</v>
      </c>
      <c r="CT148" s="562">
        <f t="shared" si="360"/>
        <v>0</v>
      </c>
      <c r="CU148" s="562">
        <f t="shared" si="360"/>
        <v>0</v>
      </c>
      <c r="CV148" s="562">
        <f t="shared" si="360"/>
        <v>0</v>
      </c>
      <c r="CW148" s="562">
        <f t="shared" si="360"/>
        <v>0</v>
      </c>
      <c r="CX148" s="562">
        <f t="shared" si="360"/>
        <v>0</v>
      </c>
      <c r="CY148" s="869"/>
      <c r="DL148" s="869"/>
      <c r="DM148" s="869"/>
      <c r="DN148" s="869"/>
      <c r="DO148" s="562">
        <f t="shared" si="361"/>
        <v>0</v>
      </c>
      <c r="DP148" s="562">
        <f t="shared" si="361"/>
        <v>0</v>
      </c>
      <c r="DQ148" s="562">
        <f t="shared" si="361"/>
        <v>0</v>
      </c>
      <c r="DR148" s="562">
        <f t="shared" si="361"/>
        <v>0</v>
      </c>
      <c r="DS148" s="562">
        <f t="shared" si="361"/>
        <v>0</v>
      </c>
      <c r="DT148" s="562">
        <f t="shared" si="361"/>
        <v>0</v>
      </c>
      <c r="DU148" s="562">
        <f t="shared" si="361"/>
        <v>0</v>
      </c>
      <c r="DV148" s="562">
        <f t="shared" si="361"/>
        <v>0</v>
      </c>
      <c r="DW148" s="562">
        <f t="shared" si="361"/>
        <v>0</v>
      </c>
      <c r="DX148" s="562">
        <f t="shared" si="361"/>
        <v>0</v>
      </c>
      <c r="DY148" s="869"/>
      <c r="EL148" s="869"/>
    </row>
    <row r="149" spans="1:142" hidden="1">
      <c r="A149" s="869"/>
      <c r="D149" s="869"/>
      <c r="E149" s="869"/>
      <c r="F149" s="869"/>
      <c r="G149" s="869"/>
      <c r="H149" s="869"/>
      <c r="I149" s="869"/>
      <c r="J149" s="869"/>
      <c r="K149" s="869"/>
      <c r="L149" s="869"/>
      <c r="M149" s="869"/>
      <c r="N149" s="869"/>
      <c r="O149" s="562">
        <f t="shared" si="358"/>
        <v>800</v>
      </c>
      <c r="P149" s="562">
        <f t="shared" si="358"/>
        <v>3628.8</v>
      </c>
      <c r="Q149" s="562">
        <f t="shared" si="358"/>
        <v>1320</v>
      </c>
      <c r="R149" s="562">
        <f t="shared" si="358"/>
        <v>2640</v>
      </c>
      <c r="S149" s="562">
        <f t="shared" si="358"/>
        <v>1320</v>
      </c>
      <c r="T149" s="562">
        <f t="shared" si="358"/>
        <v>2640</v>
      </c>
      <c r="U149" s="562">
        <f t="shared" si="358"/>
        <v>1320</v>
      </c>
      <c r="V149" s="562">
        <f t="shared" si="358"/>
        <v>2200</v>
      </c>
      <c r="W149" s="562">
        <f t="shared" si="358"/>
        <v>4840</v>
      </c>
      <c r="X149" s="562">
        <f t="shared" si="358"/>
        <v>4400</v>
      </c>
      <c r="Y149" s="869"/>
      <c r="AL149" s="869"/>
      <c r="AM149" s="869"/>
      <c r="AN149" s="869"/>
      <c r="AY149" s="869"/>
      <c r="BL149" s="869"/>
      <c r="BM149" s="869"/>
      <c r="BN149" s="869"/>
      <c r="BO149" s="562">
        <f t="shared" si="359"/>
        <v>872.66666666666663</v>
      </c>
      <c r="BP149" s="562">
        <f t="shared" si="359"/>
        <v>872.66666666666663</v>
      </c>
      <c r="BQ149" s="562">
        <f t="shared" si="359"/>
        <v>872.66666666666663</v>
      </c>
      <c r="BR149" s="562">
        <f t="shared" si="359"/>
        <v>872.66666666666663</v>
      </c>
      <c r="BS149" s="562">
        <f t="shared" si="359"/>
        <v>872.66666666666663</v>
      </c>
      <c r="BT149" s="562">
        <f t="shared" si="359"/>
        <v>872.66666666666663</v>
      </c>
      <c r="BU149" s="562">
        <f t="shared" si="359"/>
        <v>872.66666666666663</v>
      </c>
      <c r="BV149" s="562">
        <f t="shared" si="359"/>
        <v>872.66666666666663</v>
      </c>
      <c r="BW149" s="562">
        <f t="shared" si="359"/>
        <v>872.66666666666663</v>
      </c>
      <c r="BX149" s="562">
        <f t="shared" si="359"/>
        <v>872.66666666666663</v>
      </c>
      <c r="BY149" s="869"/>
      <c r="CL149" s="869"/>
      <c r="CM149" s="869"/>
      <c r="CN149" s="869"/>
      <c r="CO149" s="562">
        <f t="shared" si="360"/>
        <v>0</v>
      </c>
      <c r="CP149" s="562">
        <f t="shared" si="360"/>
        <v>0</v>
      </c>
      <c r="CQ149" s="562">
        <f t="shared" si="360"/>
        <v>0</v>
      </c>
      <c r="CR149" s="562">
        <f t="shared" si="360"/>
        <v>0</v>
      </c>
      <c r="CS149" s="562">
        <f t="shared" si="360"/>
        <v>0</v>
      </c>
      <c r="CT149" s="562">
        <f t="shared" si="360"/>
        <v>0</v>
      </c>
      <c r="CU149" s="562">
        <f t="shared" si="360"/>
        <v>0</v>
      </c>
      <c r="CV149" s="562">
        <f t="shared" si="360"/>
        <v>0</v>
      </c>
      <c r="CW149" s="562">
        <f t="shared" si="360"/>
        <v>0</v>
      </c>
      <c r="CX149" s="562">
        <f t="shared" si="360"/>
        <v>0</v>
      </c>
      <c r="CY149" s="869"/>
      <c r="DL149" s="869"/>
      <c r="DM149" s="869"/>
      <c r="DN149" s="869"/>
      <c r="DO149" s="562">
        <f t="shared" si="361"/>
        <v>0</v>
      </c>
      <c r="DP149" s="562">
        <f t="shared" si="361"/>
        <v>0</v>
      </c>
      <c r="DQ149" s="562">
        <f t="shared" si="361"/>
        <v>0</v>
      </c>
      <c r="DR149" s="562">
        <f t="shared" si="361"/>
        <v>0</v>
      </c>
      <c r="DS149" s="562">
        <f t="shared" si="361"/>
        <v>0</v>
      </c>
      <c r="DT149" s="562">
        <f t="shared" si="361"/>
        <v>0</v>
      </c>
      <c r="DU149" s="562">
        <f t="shared" si="361"/>
        <v>0</v>
      </c>
      <c r="DV149" s="562">
        <f t="shared" si="361"/>
        <v>0</v>
      </c>
      <c r="DW149" s="562">
        <f t="shared" si="361"/>
        <v>0</v>
      </c>
      <c r="DX149" s="562">
        <f t="shared" si="361"/>
        <v>0</v>
      </c>
      <c r="DY149" s="869"/>
      <c r="EL149" s="869"/>
    </row>
    <row r="150" spans="1:142" hidden="1">
      <c r="A150" s="869"/>
      <c r="D150" s="869"/>
      <c r="E150" s="869"/>
      <c r="F150" s="869"/>
      <c r="G150" s="869"/>
      <c r="H150" s="869"/>
      <c r="I150" s="869"/>
      <c r="J150" s="869"/>
      <c r="K150" s="869"/>
      <c r="L150" s="869"/>
      <c r="M150" s="869"/>
      <c r="N150" s="869"/>
      <c r="O150" s="562">
        <f t="shared" ref="O150:X150" si="362">O115*80%</f>
        <v>0</v>
      </c>
      <c r="P150" s="562">
        <f t="shared" si="362"/>
        <v>0</v>
      </c>
      <c r="Q150" s="562">
        <f t="shared" si="362"/>
        <v>0</v>
      </c>
      <c r="R150" s="562">
        <f t="shared" si="362"/>
        <v>0</v>
      </c>
      <c r="S150" s="562">
        <f t="shared" si="362"/>
        <v>0</v>
      </c>
      <c r="T150" s="562">
        <f t="shared" si="362"/>
        <v>0</v>
      </c>
      <c r="U150" s="562">
        <f t="shared" si="362"/>
        <v>0</v>
      </c>
      <c r="V150" s="562">
        <f t="shared" si="362"/>
        <v>0</v>
      </c>
      <c r="W150" s="562">
        <f t="shared" si="362"/>
        <v>0</v>
      </c>
      <c r="X150" s="562">
        <f t="shared" si="362"/>
        <v>0</v>
      </c>
      <c r="Y150" s="869"/>
      <c r="AL150" s="869"/>
      <c r="AM150" s="869"/>
      <c r="AN150" s="869"/>
      <c r="AY150" s="869"/>
      <c r="BL150" s="869"/>
      <c r="BM150" s="869"/>
      <c r="BN150" s="869"/>
      <c r="BO150" s="562">
        <f t="shared" ref="BO150:BX150" si="363">BO115*80%</f>
        <v>290.86666666666667</v>
      </c>
      <c r="BP150" s="562">
        <f t="shared" si="363"/>
        <v>290.86666666666667</v>
      </c>
      <c r="BQ150" s="562">
        <f t="shared" si="363"/>
        <v>290.86666666666667</v>
      </c>
      <c r="BR150" s="562">
        <f t="shared" si="363"/>
        <v>290.86666666666667</v>
      </c>
      <c r="BS150" s="562">
        <f t="shared" si="363"/>
        <v>290.86666666666667</v>
      </c>
      <c r="BT150" s="562">
        <f t="shared" si="363"/>
        <v>290.86666666666667</v>
      </c>
      <c r="BU150" s="562">
        <f t="shared" si="363"/>
        <v>290.86666666666667</v>
      </c>
      <c r="BV150" s="562">
        <f t="shared" si="363"/>
        <v>290.86666666666667</v>
      </c>
      <c r="BW150" s="562">
        <f t="shared" si="363"/>
        <v>290.86666666666667</v>
      </c>
      <c r="BX150" s="562">
        <f t="shared" si="363"/>
        <v>290.86666666666667</v>
      </c>
      <c r="BY150" s="869"/>
      <c r="CL150" s="869"/>
      <c r="CM150" s="869"/>
      <c r="CN150" s="869"/>
      <c r="CO150" s="562">
        <f t="shared" ref="CO150:CX150" si="364">CO115*80%</f>
        <v>0</v>
      </c>
      <c r="CP150" s="562">
        <f t="shared" si="364"/>
        <v>0</v>
      </c>
      <c r="CQ150" s="562">
        <f t="shared" si="364"/>
        <v>0</v>
      </c>
      <c r="CR150" s="562">
        <f t="shared" si="364"/>
        <v>0</v>
      </c>
      <c r="CS150" s="562">
        <f t="shared" si="364"/>
        <v>0</v>
      </c>
      <c r="CT150" s="562">
        <f t="shared" si="364"/>
        <v>0</v>
      </c>
      <c r="CU150" s="562">
        <f t="shared" si="364"/>
        <v>0</v>
      </c>
      <c r="CV150" s="562">
        <f t="shared" si="364"/>
        <v>0</v>
      </c>
      <c r="CW150" s="562">
        <f t="shared" si="364"/>
        <v>0</v>
      </c>
      <c r="CX150" s="562">
        <f t="shared" si="364"/>
        <v>0</v>
      </c>
      <c r="CY150" s="869"/>
      <c r="DL150" s="869"/>
      <c r="DM150" s="869"/>
      <c r="DN150" s="869"/>
      <c r="DO150" s="562">
        <f t="shared" ref="DO150:DX150" si="365">DO115*80%</f>
        <v>0</v>
      </c>
      <c r="DP150" s="562">
        <f t="shared" si="365"/>
        <v>0</v>
      </c>
      <c r="DQ150" s="562">
        <f t="shared" si="365"/>
        <v>0</v>
      </c>
      <c r="DR150" s="562">
        <f t="shared" si="365"/>
        <v>0</v>
      </c>
      <c r="DS150" s="562">
        <f t="shared" si="365"/>
        <v>0</v>
      </c>
      <c r="DT150" s="562">
        <f t="shared" si="365"/>
        <v>0</v>
      </c>
      <c r="DU150" s="562">
        <f t="shared" si="365"/>
        <v>0</v>
      </c>
      <c r="DV150" s="562">
        <f t="shared" si="365"/>
        <v>0</v>
      </c>
      <c r="DW150" s="562">
        <f t="shared" si="365"/>
        <v>0</v>
      </c>
      <c r="DX150" s="562">
        <f t="shared" si="365"/>
        <v>0</v>
      </c>
      <c r="DY150" s="869"/>
      <c r="EL150" s="869"/>
    </row>
    <row r="151" spans="1:142">
      <c r="A151" s="869"/>
      <c r="D151" s="869"/>
      <c r="E151" s="869"/>
      <c r="F151" s="869"/>
      <c r="G151" s="869"/>
      <c r="H151" s="869"/>
      <c r="I151" s="869"/>
      <c r="J151" s="869"/>
      <c r="K151" s="869"/>
      <c r="L151" s="869"/>
      <c r="M151" s="869"/>
      <c r="N151" s="869"/>
      <c r="O151" s="869"/>
      <c r="P151" s="869"/>
      <c r="Q151" s="869"/>
      <c r="R151" s="869"/>
      <c r="S151" s="869"/>
      <c r="T151" s="1138"/>
      <c r="U151" s="869"/>
      <c r="V151" s="869"/>
      <c r="W151" s="869"/>
      <c r="X151" s="869"/>
      <c r="Y151" s="869"/>
      <c r="AC151" s="1137"/>
      <c r="AD151" s="1137"/>
      <c r="AE151" s="1137"/>
      <c r="AL151" s="869"/>
      <c r="AM151" s="869"/>
      <c r="AN151" s="869"/>
      <c r="AO151" s="869"/>
      <c r="AP151" s="869"/>
      <c r="AQ151" s="869"/>
      <c r="AR151" s="869"/>
      <c r="AS151" s="869"/>
      <c r="AT151" s="869"/>
      <c r="AU151" s="869"/>
      <c r="AV151" s="869"/>
      <c r="AW151" s="869"/>
      <c r="AX151" s="869"/>
      <c r="AY151" s="869"/>
      <c r="BL151" s="869"/>
      <c r="BM151" s="869"/>
      <c r="BN151" s="869"/>
      <c r="BO151" s="869"/>
      <c r="BP151" s="869"/>
      <c r="BQ151" s="869"/>
      <c r="BR151" s="869"/>
      <c r="BS151" s="869"/>
      <c r="BT151" s="869"/>
      <c r="BU151" s="869"/>
      <c r="BV151" s="869"/>
      <c r="BW151" s="869"/>
      <c r="BX151" s="869"/>
      <c r="BY151" s="869"/>
      <c r="CL151" s="869"/>
      <c r="CM151" s="869"/>
      <c r="CN151" s="869"/>
      <c r="CO151" s="869"/>
      <c r="CP151" s="869"/>
      <c r="CQ151" s="869"/>
      <c r="CR151" s="869"/>
      <c r="CS151" s="869"/>
      <c r="CT151" s="869"/>
      <c r="CU151" s="869"/>
      <c r="CV151" s="869"/>
      <c r="CW151" s="869"/>
      <c r="CX151" s="869"/>
      <c r="CY151" s="869"/>
      <c r="DL151" s="869"/>
      <c r="DM151" s="869"/>
      <c r="DN151" s="869"/>
      <c r="DO151" s="869"/>
      <c r="DP151" s="869"/>
      <c r="DQ151" s="869"/>
      <c r="DR151" s="869"/>
      <c r="DS151" s="869"/>
      <c r="DT151" s="869"/>
      <c r="DU151" s="869"/>
      <c r="DV151" s="869"/>
      <c r="DW151" s="869"/>
      <c r="DX151" s="869"/>
      <c r="DY151" s="869"/>
      <c r="EL151" s="869"/>
    </row>
    <row r="152" spans="1:142">
      <c r="A152" s="869"/>
      <c r="D152" s="869"/>
      <c r="E152" s="869"/>
      <c r="F152" s="869"/>
      <c r="G152" s="869"/>
      <c r="H152" s="869"/>
      <c r="I152" s="869"/>
      <c r="J152" s="869"/>
      <c r="K152" s="869"/>
      <c r="L152" s="869"/>
      <c r="M152" s="869"/>
      <c r="N152" s="869"/>
      <c r="O152" s="869"/>
      <c r="P152" s="869"/>
      <c r="Q152" s="869"/>
      <c r="R152" s="869"/>
      <c r="S152" s="869"/>
      <c r="T152" s="869"/>
      <c r="U152" s="869"/>
      <c r="V152" s="869"/>
      <c r="W152" s="869"/>
      <c r="X152" s="869"/>
      <c r="Y152" s="869"/>
      <c r="AL152" s="562"/>
      <c r="BL152" s="562"/>
      <c r="BM152" s="562">
        <v>4595428.13353875</v>
      </c>
      <c r="BN152" s="562">
        <v>4134789.2359554167</v>
      </c>
      <c r="BO152" s="562">
        <v>4591737.1759554166</v>
      </c>
      <c r="BP152" s="562">
        <v>4665057.1759554166</v>
      </c>
      <c r="BQ152" s="562">
        <v>4753857.1759554166</v>
      </c>
      <c r="BR152" s="562">
        <v>4860917.1759554166</v>
      </c>
      <c r="BS152" s="562">
        <v>5041829.202622083</v>
      </c>
      <c r="BT152" s="562">
        <v>4979598.6226220829</v>
      </c>
      <c r="BU152" s="562">
        <v>4922848.6226220829</v>
      </c>
      <c r="BV152" s="562">
        <v>4904598.6226220829</v>
      </c>
      <c r="BW152" s="562">
        <v>4826848.6226220829</v>
      </c>
      <c r="BX152" s="562">
        <v>4854682.1026220834</v>
      </c>
      <c r="CL152" s="562">
        <v>57132191.869048327</v>
      </c>
      <c r="CM152" s="562">
        <v>5070199.1381848706</v>
      </c>
      <c r="CN152" s="562">
        <v>4691603.4161848705</v>
      </c>
      <c r="CO152" s="562">
        <v>5053199.1381848706</v>
      </c>
      <c r="CP152" s="562">
        <v>5133699.1381848706</v>
      </c>
      <c r="CQ152" s="562">
        <v>5192199.1381848706</v>
      </c>
      <c r="CR152" s="562">
        <v>5287699.1381848706</v>
      </c>
      <c r="CS152" s="562">
        <v>5350999.1381848706</v>
      </c>
      <c r="CT152" s="562">
        <v>5249499.1381848706</v>
      </c>
      <c r="CU152" s="562">
        <v>5179224.1381848706</v>
      </c>
      <c r="CV152" s="562">
        <v>5177999.1381848706</v>
      </c>
      <c r="CW152" s="562">
        <v>5043224.1381848706</v>
      </c>
      <c r="CX152" s="562">
        <v>5057499.1381848706</v>
      </c>
      <c r="DL152" s="562">
        <v>61487043.936218455</v>
      </c>
      <c r="DM152" s="562">
        <v>5612762.6478826934</v>
      </c>
      <c r="DN152" s="562">
        <v>5332789.8403226938</v>
      </c>
      <c r="DO152" s="562">
        <v>5532235.6478826934</v>
      </c>
      <c r="DP152" s="562">
        <v>5663335.6478826934</v>
      </c>
      <c r="DQ152" s="562">
        <v>5698085.6478826934</v>
      </c>
      <c r="DR152" s="562">
        <v>5771635.6478826934</v>
      </c>
      <c r="DS152" s="562">
        <v>5854935.6478826934</v>
      </c>
      <c r="DT152" s="562">
        <v>5759135.6478826934</v>
      </c>
      <c r="DU152" s="562">
        <v>5694538.1478826934</v>
      </c>
      <c r="DV152" s="562">
        <v>5660135.6478826934</v>
      </c>
      <c r="DW152" s="562">
        <v>5558538.1478826934</v>
      </c>
      <c r="DX152" s="562">
        <v>5563385.6478826934</v>
      </c>
      <c r="EL152" s="562">
        <v>67701513.967032328</v>
      </c>
    </row>
    <row r="153" spans="1:142">
      <c r="A153" s="869"/>
      <c r="D153" s="869"/>
      <c r="E153" s="869"/>
      <c r="F153" s="869"/>
      <c r="G153" s="869"/>
      <c r="H153" s="869"/>
      <c r="I153" s="869"/>
      <c r="J153" s="869"/>
      <c r="K153" s="869"/>
      <c r="L153" s="869"/>
      <c r="M153" s="869"/>
      <c r="N153" s="869"/>
      <c r="O153" s="869"/>
      <c r="P153" s="869"/>
      <c r="Q153" s="869"/>
      <c r="R153" s="869"/>
      <c r="S153" s="869"/>
      <c r="T153" s="869"/>
      <c r="U153" s="869"/>
      <c r="V153" s="869"/>
      <c r="W153" s="869"/>
      <c r="X153" s="869"/>
      <c r="Y153" s="869"/>
      <c r="AD153" s="1137"/>
      <c r="AF153" s="562"/>
      <c r="AL153" s="869"/>
      <c r="AM153" s="869"/>
      <c r="AN153" s="869"/>
      <c r="AO153" s="869"/>
      <c r="AP153" s="869"/>
      <c r="AQ153" s="869"/>
      <c r="AR153" s="869"/>
      <c r="AS153" s="869"/>
      <c r="AT153" s="869"/>
      <c r="AU153" s="869"/>
      <c r="AV153" s="869"/>
      <c r="AW153" s="869"/>
      <c r="AX153" s="869"/>
      <c r="AY153" s="869"/>
      <c r="BL153" s="869"/>
      <c r="BM153" s="869"/>
      <c r="BN153" s="869"/>
      <c r="BO153" s="869"/>
      <c r="BP153" s="869"/>
      <c r="BQ153" s="869"/>
      <c r="BR153" s="869"/>
      <c r="BS153" s="869"/>
      <c r="BT153" s="869"/>
      <c r="BU153" s="869"/>
      <c r="BV153" s="869"/>
      <c r="BW153" s="869"/>
      <c r="BX153" s="869"/>
      <c r="BY153" s="869"/>
      <c r="CL153" s="869"/>
      <c r="CM153" s="869"/>
      <c r="CN153" s="869"/>
      <c r="CO153" s="869"/>
      <c r="CP153" s="869"/>
      <c r="CQ153" s="869"/>
      <c r="CR153" s="869"/>
      <c r="CS153" s="869"/>
      <c r="CT153" s="869"/>
      <c r="CU153" s="869"/>
      <c r="CV153" s="869"/>
      <c r="CW153" s="869"/>
      <c r="CX153" s="869"/>
      <c r="CY153" s="869"/>
      <c r="DL153" s="869"/>
      <c r="DM153" s="869"/>
      <c r="DN153" s="869"/>
      <c r="DO153" s="869"/>
      <c r="DP153" s="869"/>
      <c r="DQ153" s="869"/>
      <c r="DR153" s="869"/>
      <c r="DS153" s="869"/>
      <c r="DT153" s="869"/>
      <c r="DU153" s="869"/>
      <c r="DV153" s="869"/>
      <c r="DW153" s="869"/>
      <c r="DX153" s="869"/>
      <c r="DY153" s="869"/>
      <c r="EL153" s="869"/>
    </row>
    <row r="154" spans="1:142">
      <c r="A154" s="869"/>
      <c r="D154" s="869"/>
      <c r="E154" s="869"/>
      <c r="F154" s="869"/>
      <c r="G154" s="869"/>
      <c r="H154" s="869"/>
      <c r="I154" s="869"/>
      <c r="J154" s="869"/>
      <c r="K154" s="869"/>
      <c r="L154" s="869"/>
      <c r="M154" s="869"/>
      <c r="N154" s="869"/>
      <c r="O154" s="869"/>
      <c r="P154" s="869"/>
      <c r="Q154" s="869"/>
      <c r="R154" s="869"/>
      <c r="S154" s="869"/>
      <c r="T154" s="869"/>
      <c r="U154" s="869"/>
      <c r="V154" s="869"/>
      <c r="W154" s="869"/>
      <c r="X154" s="869"/>
      <c r="Y154" s="869"/>
      <c r="AL154" s="869"/>
      <c r="AM154" s="869"/>
      <c r="AN154" s="869"/>
      <c r="AO154" s="869"/>
      <c r="AP154" s="869"/>
      <c r="AQ154" s="869"/>
      <c r="AR154" s="869"/>
      <c r="AS154" s="869"/>
      <c r="AT154" s="869"/>
      <c r="AU154" s="869"/>
      <c r="AV154" s="869"/>
      <c r="AW154" s="869"/>
      <c r="AX154" s="869"/>
      <c r="AY154" s="869"/>
      <c r="BL154" s="869"/>
      <c r="BM154" s="869"/>
      <c r="BN154" s="869"/>
      <c r="BO154" s="869"/>
      <c r="BP154" s="869"/>
      <c r="BQ154" s="869"/>
      <c r="BR154" s="869"/>
      <c r="BS154" s="869"/>
      <c r="BT154" s="869"/>
      <c r="BU154" s="869"/>
      <c r="BV154" s="869"/>
      <c r="BW154" s="869"/>
      <c r="BX154" s="869"/>
      <c r="BY154" s="869"/>
      <c r="CL154" s="869"/>
      <c r="CM154" s="869"/>
      <c r="CN154" s="869"/>
      <c r="CO154" s="869"/>
      <c r="CP154" s="869"/>
      <c r="CQ154" s="869"/>
      <c r="CR154" s="869"/>
      <c r="CS154" s="869"/>
      <c r="CT154" s="869"/>
      <c r="CU154" s="869"/>
      <c r="CV154" s="869"/>
      <c r="CW154" s="869"/>
      <c r="CX154" s="869"/>
      <c r="CY154" s="869"/>
      <c r="DL154" s="869"/>
      <c r="DM154" s="869"/>
      <c r="DN154" s="869"/>
      <c r="DO154" s="869"/>
      <c r="DP154" s="869"/>
      <c r="DQ154" s="869"/>
      <c r="DR154" s="869"/>
      <c r="DS154" s="869"/>
      <c r="DT154" s="869"/>
      <c r="DU154" s="869"/>
      <c r="DV154" s="869"/>
      <c r="DW154" s="869"/>
      <c r="DX154" s="869"/>
      <c r="DY154" s="869"/>
      <c r="EL154" s="869"/>
    </row>
    <row r="155" spans="1:142">
      <c r="A155" s="869"/>
      <c r="D155" s="869"/>
      <c r="E155" s="869"/>
      <c r="F155" s="869"/>
      <c r="G155" s="869"/>
      <c r="H155" s="869"/>
      <c r="I155" s="869"/>
      <c r="J155" s="869"/>
      <c r="K155" s="869"/>
      <c r="L155" s="869"/>
      <c r="M155" s="869"/>
      <c r="N155" s="869"/>
      <c r="O155" s="869"/>
      <c r="P155" s="869"/>
      <c r="Q155" s="869"/>
      <c r="R155" s="869"/>
      <c r="S155" s="869"/>
      <c r="T155" s="869"/>
      <c r="U155" s="869"/>
      <c r="V155" s="869"/>
      <c r="W155" s="869"/>
      <c r="X155" s="869"/>
      <c r="Y155" s="869"/>
      <c r="AL155" s="869"/>
      <c r="AM155" s="869"/>
      <c r="AN155" s="869"/>
      <c r="AO155" s="869"/>
      <c r="AP155" s="869"/>
      <c r="AQ155" s="869"/>
      <c r="AR155" s="869"/>
      <c r="AS155" s="869"/>
      <c r="AT155" s="869"/>
      <c r="AU155" s="869"/>
      <c r="AV155" s="869"/>
      <c r="AW155" s="869"/>
      <c r="AX155" s="869"/>
      <c r="AY155" s="869"/>
      <c r="BL155" s="869"/>
      <c r="BM155" s="869"/>
      <c r="BN155" s="869"/>
      <c r="BO155" s="869"/>
      <c r="BP155" s="869"/>
      <c r="BQ155" s="869"/>
      <c r="BR155" s="869"/>
      <c r="BS155" s="869"/>
      <c r="BT155" s="869"/>
      <c r="BU155" s="869"/>
      <c r="BV155" s="869"/>
      <c r="BW155" s="869"/>
      <c r="BX155" s="869"/>
      <c r="BY155" s="869"/>
      <c r="CL155" s="869"/>
      <c r="CM155" s="869"/>
      <c r="CN155" s="869"/>
      <c r="CO155" s="869"/>
      <c r="CP155" s="869"/>
      <c r="CQ155" s="869"/>
      <c r="CR155" s="869"/>
      <c r="CS155" s="869"/>
      <c r="CT155" s="869"/>
      <c r="CU155" s="869"/>
      <c r="CV155" s="869"/>
      <c r="CW155" s="869"/>
      <c r="CX155" s="869"/>
      <c r="CY155" s="869"/>
      <c r="DL155" s="869"/>
      <c r="DM155" s="869"/>
      <c r="DN155" s="869"/>
      <c r="DO155" s="869"/>
      <c r="DP155" s="869"/>
      <c r="DQ155" s="869"/>
      <c r="DR155" s="869"/>
      <c r="DS155" s="869"/>
      <c r="DT155" s="869"/>
      <c r="DU155" s="869"/>
      <c r="DV155" s="869"/>
      <c r="DW155" s="869"/>
      <c r="DX155" s="869"/>
      <c r="DY155" s="869"/>
      <c r="EL155" s="869"/>
    </row>
    <row r="156" spans="1:142">
      <c r="A156" s="869"/>
      <c r="D156" s="869"/>
      <c r="E156" s="869"/>
      <c r="F156" s="869"/>
      <c r="G156" s="869"/>
      <c r="H156" s="869"/>
      <c r="I156" s="869"/>
      <c r="J156" s="869"/>
      <c r="K156" s="869"/>
      <c r="L156" s="869"/>
      <c r="M156" s="869"/>
      <c r="N156" s="869"/>
      <c r="O156" s="869"/>
      <c r="P156" s="869"/>
      <c r="Q156" s="869"/>
      <c r="R156" s="869"/>
      <c r="S156" s="869"/>
      <c r="T156" s="869"/>
      <c r="U156" s="869"/>
      <c r="V156" s="869"/>
      <c r="W156" s="869"/>
      <c r="X156" s="869"/>
      <c r="Y156" s="869"/>
      <c r="AL156" s="869"/>
      <c r="AM156" s="869"/>
      <c r="AN156" s="869"/>
      <c r="AO156" s="869"/>
      <c r="AP156" s="869"/>
      <c r="AQ156" s="869"/>
      <c r="AR156" s="869"/>
      <c r="AS156" s="869"/>
      <c r="AT156" s="869"/>
      <c r="AU156" s="869"/>
      <c r="AV156" s="869"/>
      <c r="AW156" s="869"/>
      <c r="AX156" s="869"/>
      <c r="AY156" s="869"/>
      <c r="BL156" s="869"/>
      <c r="BM156" s="869"/>
      <c r="BN156" s="869"/>
      <c r="BO156" s="869"/>
      <c r="BP156" s="869"/>
      <c r="BQ156" s="869"/>
      <c r="BR156" s="869"/>
      <c r="BS156" s="869"/>
      <c r="BT156" s="869"/>
      <c r="BU156" s="869"/>
      <c r="BV156" s="869"/>
      <c r="BW156" s="869"/>
      <c r="BX156" s="869"/>
      <c r="BY156" s="869"/>
      <c r="CL156" s="869"/>
      <c r="CM156" s="869"/>
      <c r="CN156" s="869"/>
      <c r="CO156" s="869"/>
      <c r="CP156" s="869"/>
      <c r="CQ156" s="869"/>
      <c r="CR156" s="869"/>
      <c r="CS156" s="869"/>
      <c r="CT156" s="869"/>
      <c r="CU156" s="869"/>
      <c r="CV156" s="869"/>
      <c r="CW156" s="869"/>
      <c r="CX156" s="869"/>
      <c r="CY156" s="869"/>
      <c r="DL156" s="869"/>
      <c r="DM156" s="869"/>
      <c r="DN156" s="869"/>
      <c r="DO156" s="869"/>
      <c r="DP156" s="869"/>
      <c r="DQ156" s="869"/>
      <c r="DR156" s="869"/>
      <c r="DS156" s="869"/>
      <c r="DT156" s="869"/>
      <c r="DU156" s="869"/>
      <c r="DV156" s="869"/>
      <c r="DW156" s="869"/>
      <c r="DX156" s="869"/>
      <c r="DY156" s="869"/>
      <c r="EL156" s="869"/>
    </row>
    <row r="157" spans="1:142">
      <c r="A157" s="869"/>
      <c r="D157" s="869"/>
      <c r="E157" s="869"/>
      <c r="F157" s="869"/>
      <c r="G157" s="869"/>
      <c r="H157" s="869"/>
      <c r="I157" s="869"/>
      <c r="J157" s="869"/>
      <c r="K157" s="869"/>
      <c r="L157" s="869"/>
      <c r="M157" s="869"/>
      <c r="N157" s="869"/>
      <c r="O157" s="869"/>
      <c r="P157" s="869"/>
      <c r="Q157" s="869"/>
      <c r="R157" s="869"/>
      <c r="S157" s="869"/>
      <c r="T157" s="869"/>
      <c r="U157" s="869"/>
      <c r="V157" s="869"/>
      <c r="W157" s="869"/>
      <c r="X157" s="869"/>
      <c r="Y157" s="869"/>
      <c r="AL157" s="869"/>
      <c r="AM157" s="869"/>
      <c r="AN157" s="869"/>
      <c r="AO157" s="869"/>
      <c r="AP157" s="869"/>
      <c r="AQ157" s="869"/>
      <c r="AR157" s="869"/>
      <c r="AS157" s="869"/>
      <c r="AT157" s="869"/>
      <c r="AU157" s="869"/>
      <c r="AV157" s="869"/>
      <c r="AW157" s="869"/>
      <c r="AX157" s="869"/>
      <c r="AY157" s="869"/>
      <c r="BL157" s="869"/>
      <c r="BM157" s="869"/>
      <c r="BN157" s="869"/>
      <c r="BO157" s="869"/>
      <c r="BP157" s="869"/>
      <c r="BQ157" s="869"/>
      <c r="BR157" s="869"/>
      <c r="BS157" s="869"/>
      <c r="BT157" s="869"/>
      <c r="BU157" s="869"/>
      <c r="BV157" s="869"/>
      <c r="BW157" s="869"/>
      <c r="BX157" s="869"/>
      <c r="BY157" s="869"/>
      <c r="CL157" s="869"/>
      <c r="CM157" s="869"/>
      <c r="CN157" s="869"/>
      <c r="CO157" s="869"/>
      <c r="CP157" s="869"/>
      <c r="CQ157" s="869"/>
      <c r="CR157" s="869"/>
      <c r="CS157" s="869"/>
      <c r="CT157" s="869"/>
      <c r="CU157" s="869"/>
      <c r="CV157" s="869"/>
      <c r="CW157" s="869"/>
      <c r="CX157" s="869"/>
      <c r="CY157" s="869"/>
      <c r="DL157" s="869"/>
      <c r="DM157" s="869"/>
      <c r="DN157" s="869"/>
      <c r="DO157" s="869"/>
      <c r="DP157" s="869"/>
      <c r="DQ157" s="869"/>
      <c r="DR157" s="869"/>
      <c r="DS157" s="869"/>
      <c r="DT157" s="869"/>
      <c r="DU157" s="869"/>
      <c r="DV157" s="869"/>
      <c r="DW157" s="869"/>
      <c r="DX157" s="869"/>
      <c r="DY157" s="869"/>
      <c r="EL157" s="869"/>
    </row>
    <row r="158" spans="1:142">
      <c r="A158" s="869"/>
      <c r="D158" s="869"/>
      <c r="E158" s="869"/>
      <c r="F158" s="869"/>
      <c r="G158" s="869"/>
      <c r="H158" s="869"/>
      <c r="I158" s="869"/>
      <c r="J158" s="869"/>
      <c r="K158" s="869"/>
      <c r="L158" s="869"/>
      <c r="M158" s="869"/>
      <c r="N158" s="869"/>
      <c r="O158" s="869"/>
      <c r="P158" s="869"/>
      <c r="Q158" s="869"/>
      <c r="R158" s="869"/>
      <c r="S158" s="869"/>
      <c r="T158" s="869"/>
      <c r="U158" s="869"/>
      <c r="V158" s="869"/>
      <c r="W158" s="869"/>
      <c r="X158" s="869"/>
      <c r="Y158" s="869"/>
      <c r="AL158" s="869"/>
      <c r="AM158" s="869"/>
      <c r="AN158" s="869"/>
      <c r="AO158" s="869"/>
      <c r="AP158" s="869"/>
      <c r="AQ158" s="869"/>
      <c r="AR158" s="869"/>
      <c r="AS158" s="869"/>
      <c r="AT158" s="869"/>
      <c r="AU158" s="869"/>
      <c r="AV158" s="869"/>
      <c r="AW158" s="869"/>
      <c r="AX158" s="869"/>
      <c r="AY158" s="869"/>
      <c r="BL158" s="869"/>
      <c r="BM158" s="869"/>
      <c r="BN158" s="869"/>
      <c r="BO158" s="869"/>
      <c r="BP158" s="869"/>
      <c r="BQ158" s="869"/>
      <c r="BR158" s="869"/>
      <c r="BS158" s="869"/>
      <c r="BT158" s="869"/>
      <c r="BU158" s="869"/>
      <c r="BV158" s="869"/>
      <c r="BW158" s="869"/>
      <c r="BX158" s="869"/>
      <c r="BY158" s="869"/>
      <c r="CL158" s="869"/>
      <c r="CM158" s="869"/>
      <c r="CN158" s="869"/>
      <c r="CO158" s="869"/>
      <c r="CP158" s="869"/>
      <c r="CQ158" s="869"/>
      <c r="CR158" s="869"/>
      <c r="CS158" s="869"/>
      <c r="CT158" s="869"/>
      <c r="CU158" s="869"/>
      <c r="CV158" s="869"/>
      <c r="CW158" s="869"/>
      <c r="CX158" s="869"/>
      <c r="CY158" s="869"/>
      <c r="DL158" s="869"/>
      <c r="DM158" s="869"/>
      <c r="DN158" s="869"/>
      <c r="DO158" s="869"/>
      <c r="DP158" s="869"/>
      <c r="DQ158" s="869"/>
      <c r="DR158" s="869"/>
      <c r="DS158" s="869"/>
      <c r="DT158" s="869"/>
      <c r="DU158" s="869"/>
      <c r="DV158" s="869"/>
      <c r="DW158" s="869"/>
      <c r="DX158" s="869"/>
      <c r="DY158" s="869"/>
      <c r="EL158" s="869"/>
    </row>
    <row r="159" spans="1:142">
      <c r="A159" s="869"/>
      <c r="D159" s="869"/>
      <c r="E159" s="869"/>
      <c r="F159" s="869"/>
      <c r="G159" s="869"/>
      <c r="H159" s="869"/>
      <c r="I159" s="869"/>
      <c r="J159" s="869"/>
      <c r="K159" s="869"/>
      <c r="L159" s="869"/>
      <c r="M159" s="869"/>
      <c r="N159" s="869"/>
      <c r="O159" s="869"/>
      <c r="P159" s="869"/>
      <c r="Q159" s="869"/>
      <c r="R159" s="869"/>
      <c r="S159" s="869"/>
      <c r="T159" s="869"/>
      <c r="U159" s="869"/>
      <c r="V159" s="869"/>
      <c r="W159" s="869"/>
      <c r="X159" s="869"/>
      <c r="Y159" s="869"/>
      <c r="AL159" s="869"/>
      <c r="AM159" s="869"/>
      <c r="AN159" s="869"/>
      <c r="AO159" s="869"/>
      <c r="AP159" s="869"/>
      <c r="AQ159" s="869"/>
      <c r="AR159" s="869"/>
      <c r="AS159" s="869"/>
      <c r="AT159" s="869"/>
      <c r="AU159" s="869"/>
      <c r="AV159" s="869"/>
      <c r="AW159" s="869"/>
      <c r="AX159" s="869"/>
      <c r="AY159" s="869"/>
      <c r="BL159" s="869"/>
      <c r="BM159" s="869"/>
      <c r="BN159" s="869"/>
      <c r="BO159" s="869"/>
      <c r="BP159" s="869"/>
      <c r="BQ159" s="869"/>
      <c r="BR159" s="869"/>
      <c r="BS159" s="869"/>
      <c r="BT159" s="869"/>
      <c r="BU159" s="869"/>
      <c r="BV159" s="869"/>
      <c r="BW159" s="869"/>
      <c r="BX159" s="869"/>
      <c r="BY159" s="869"/>
      <c r="CL159" s="869"/>
      <c r="CM159" s="869"/>
      <c r="CN159" s="869"/>
      <c r="CO159" s="869"/>
      <c r="CP159" s="869"/>
      <c r="CQ159" s="869"/>
      <c r="CR159" s="869"/>
      <c r="CS159" s="869"/>
      <c r="CT159" s="869"/>
      <c r="CU159" s="869"/>
      <c r="CV159" s="869"/>
      <c r="CW159" s="869"/>
      <c r="CX159" s="869"/>
      <c r="CY159" s="869"/>
      <c r="DL159" s="869"/>
      <c r="DM159" s="869"/>
      <c r="DN159" s="869"/>
      <c r="DO159" s="869"/>
      <c r="DP159" s="869"/>
      <c r="DQ159" s="869"/>
      <c r="DR159" s="869"/>
      <c r="DS159" s="869"/>
      <c r="DT159" s="869"/>
      <c r="DU159" s="869"/>
      <c r="DV159" s="869"/>
      <c r="DW159" s="869"/>
      <c r="DX159" s="869"/>
      <c r="DY159" s="869"/>
      <c r="EL159" s="869"/>
    </row>
    <row r="160" spans="1:142">
      <c r="A160" s="869"/>
      <c r="D160" s="869"/>
      <c r="E160" s="869"/>
      <c r="F160" s="869"/>
      <c r="G160" s="869"/>
      <c r="H160" s="869"/>
      <c r="I160" s="869"/>
      <c r="J160" s="869"/>
      <c r="K160" s="869"/>
      <c r="L160" s="869"/>
      <c r="M160" s="869"/>
      <c r="N160" s="869"/>
      <c r="O160" s="869"/>
      <c r="P160" s="869"/>
      <c r="Q160" s="869"/>
      <c r="R160" s="869"/>
      <c r="S160" s="869"/>
      <c r="T160" s="869"/>
      <c r="U160" s="869"/>
      <c r="V160" s="869"/>
      <c r="W160" s="869"/>
      <c r="X160" s="869"/>
      <c r="Y160" s="869"/>
      <c r="AL160" s="869"/>
      <c r="AM160" s="869"/>
      <c r="AN160" s="869"/>
      <c r="AO160" s="869"/>
      <c r="AP160" s="869"/>
      <c r="AQ160" s="869"/>
      <c r="AR160" s="869"/>
      <c r="AS160" s="869"/>
      <c r="AT160" s="869"/>
      <c r="AU160" s="869"/>
      <c r="AV160" s="869"/>
      <c r="AW160" s="869"/>
      <c r="AX160" s="869"/>
      <c r="AY160" s="869"/>
      <c r="BL160" s="869"/>
      <c r="BM160" s="869"/>
      <c r="BN160" s="869"/>
      <c r="BO160" s="869"/>
      <c r="BP160" s="869"/>
      <c r="BQ160" s="869"/>
      <c r="BR160" s="869"/>
      <c r="BS160" s="869"/>
      <c r="BT160" s="869"/>
      <c r="BU160" s="869"/>
      <c r="BV160" s="869"/>
      <c r="BW160" s="869"/>
      <c r="BX160" s="869"/>
      <c r="BY160" s="869"/>
      <c r="CL160" s="869"/>
      <c r="CM160" s="869"/>
      <c r="CN160" s="869"/>
      <c r="CO160" s="869"/>
      <c r="CP160" s="869"/>
      <c r="CQ160" s="869"/>
      <c r="CR160" s="869"/>
      <c r="CS160" s="869"/>
      <c r="CT160" s="869"/>
      <c r="CU160" s="869"/>
      <c r="CV160" s="869"/>
      <c r="CW160" s="869"/>
      <c r="CX160" s="869"/>
      <c r="CY160" s="869"/>
      <c r="DL160" s="869"/>
      <c r="DM160" s="869"/>
      <c r="DN160" s="869"/>
      <c r="DO160" s="869"/>
      <c r="DP160" s="869"/>
      <c r="DQ160" s="869"/>
      <c r="DR160" s="869"/>
      <c r="DS160" s="869"/>
      <c r="DT160" s="869"/>
      <c r="DU160" s="869"/>
      <c r="DV160" s="869"/>
      <c r="DW160" s="869"/>
      <c r="DX160" s="869"/>
      <c r="DY160" s="869"/>
      <c r="EL160" s="869"/>
    </row>
    <row r="161" s="869" customFormat="1"/>
    <row r="162" s="869" customFormat="1"/>
    <row r="163" s="869" customFormat="1"/>
    <row r="164" s="869" customFormat="1"/>
    <row r="165" s="869" customFormat="1"/>
    <row r="166" s="869" customFormat="1"/>
    <row r="167" s="869" customFormat="1"/>
    <row r="168" s="869" customFormat="1"/>
    <row r="169" s="869" customFormat="1"/>
    <row r="170" s="869" customFormat="1"/>
    <row r="171" s="869" customFormat="1"/>
    <row r="172" s="869" customFormat="1"/>
    <row r="173" s="869" customFormat="1"/>
    <row r="174" s="869" customFormat="1"/>
    <row r="175" s="869" customFormat="1"/>
    <row r="176" s="869" customFormat="1"/>
    <row r="177" s="869" customFormat="1"/>
    <row r="178" s="869" customFormat="1"/>
    <row r="179" s="869" customFormat="1"/>
    <row r="180" s="869" customFormat="1"/>
    <row r="181" s="869" customFormat="1"/>
    <row r="182" s="869" customFormat="1"/>
    <row r="183" s="869" customFormat="1"/>
    <row r="184" s="869" customFormat="1"/>
    <row r="185" s="869" customFormat="1"/>
    <row r="186" s="869" customFormat="1"/>
    <row r="187" s="869" customFormat="1"/>
    <row r="188" s="869" customFormat="1"/>
    <row r="189" s="869" customFormat="1"/>
    <row r="190" s="869" customFormat="1"/>
    <row r="191" s="869" customFormat="1"/>
    <row r="192" s="869" customFormat="1"/>
    <row r="193" s="869" customFormat="1"/>
    <row r="194" s="869" customFormat="1"/>
    <row r="195" s="869" customFormat="1"/>
    <row r="196" s="869" customFormat="1"/>
    <row r="197" s="869" customFormat="1"/>
    <row r="198" s="869" customFormat="1"/>
    <row r="199" s="869" customFormat="1"/>
    <row r="200" s="869" customFormat="1"/>
    <row r="201" s="869" customFormat="1"/>
    <row r="202" s="869" customFormat="1"/>
    <row r="203" s="869" customFormat="1"/>
    <row r="204" s="869" customFormat="1"/>
    <row r="205" s="869" customFormat="1"/>
    <row r="206" s="869" customFormat="1"/>
    <row r="207" s="869" customFormat="1"/>
    <row r="208" s="869" customFormat="1"/>
    <row r="209" s="869" customFormat="1"/>
    <row r="210" s="869" customFormat="1"/>
    <row r="211" s="869" customFormat="1"/>
    <row r="212" s="869" customFormat="1"/>
    <row r="213" s="869" customFormat="1"/>
    <row r="214" s="869" customFormat="1"/>
    <row r="215" s="869" customFormat="1"/>
    <row r="216" s="869" customFormat="1"/>
    <row r="217" s="869" customFormat="1"/>
    <row r="218" s="869" customFormat="1"/>
    <row r="219" s="869" customFormat="1"/>
    <row r="220" s="869" customFormat="1"/>
    <row r="221" s="869" customFormat="1"/>
    <row r="222" s="869" customFormat="1"/>
    <row r="223" s="869" customFormat="1"/>
    <row r="224" s="869" customFormat="1"/>
    <row r="225" s="869" customFormat="1"/>
    <row r="226" s="869" customFormat="1"/>
    <row r="227" s="869" customFormat="1"/>
    <row r="228" s="869" customFormat="1"/>
    <row r="229" s="869" customFormat="1"/>
    <row r="230" s="869" customFormat="1"/>
    <row r="231" s="869" customFormat="1"/>
    <row r="232" s="869" customFormat="1"/>
    <row r="233" s="869" customFormat="1"/>
    <row r="234" s="869" customFormat="1"/>
    <row r="235" s="869" customFormat="1"/>
    <row r="236" s="869" customFormat="1"/>
    <row r="237" s="869" customFormat="1"/>
    <row r="238" s="869" customFormat="1"/>
    <row r="239" s="869" customFormat="1"/>
    <row r="240" s="869" customFormat="1"/>
    <row r="241" s="869" customFormat="1"/>
    <row r="242" s="869" customFormat="1"/>
    <row r="243" s="869" customFormat="1"/>
    <row r="244" s="869" customFormat="1"/>
    <row r="245" s="869" customFormat="1"/>
    <row r="246" s="869" customFormat="1"/>
    <row r="247" s="869" customFormat="1"/>
    <row r="248" s="869" customFormat="1"/>
    <row r="249" s="869" customFormat="1"/>
    <row r="250" s="869" customFormat="1"/>
    <row r="251" s="869" customFormat="1"/>
    <row r="252" s="869" customFormat="1"/>
    <row r="253" s="869" customFormat="1"/>
    <row r="254" s="869" customFormat="1"/>
    <row r="255" s="869" customFormat="1"/>
    <row r="256" s="869" customFormat="1"/>
    <row r="257" s="869" customFormat="1"/>
    <row r="258" s="869" customFormat="1"/>
    <row r="259" s="869" customFormat="1"/>
    <row r="260" s="869" customFormat="1"/>
    <row r="261" s="869" customFormat="1"/>
    <row r="262" s="869" customFormat="1"/>
    <row r="263" s="869" customFormat="1"/>
    <row r="264" s="869" customFormat="1"/>
    <row r="265" s="869" customFormat="1"/>
    <row r="266" s="869" customFormat="1"/>
    <row r="267" s="869" customFormat="1"/>
    <row r="268" s="869" customFormat="1"/>
    <row r="269" s="869" customFormat="1"/>
    <row r="270" s="869" customFormat="1"/>
    <row r="271" s="869" customFormat="1"/>
    <row r="272" s="869" customFormat="1"/>
    <row r="273" s="869" customFormat="1"/>
    <row r="274" s="869" customFormat="1"/>
    <row r="275" s="869" customFormat="1"/>
    <row r="276" s="869" customFormat="1"/>
    <row r="277" s="869" customFormat="1"/>
    <row r="278" s="869" customFormat="1"/>
    <row r="279" s="869" customFormat="1"/>
    <row r="280" s="869" customFormat="1"/>
    <row r="281" s="869" customFormat="1"/>
    <row r="282" s="869" customFormat="1"/>
    <row r="283" s="869" customFormat="1"/>
    <row r="284" s="869" customFormat="1"/>
    <row r="285" s="869" customFormat="1"/>
  </sheetData>
  <mergeCells count="30">
    <mergeCell ref="J1:J2"/>
    <mergeCell ref="K1:K2"/>
    <mergeCell ref="M1:Y1"/>
    <mergeCell ref="A1:A2"/>
    <mergeCell ref="B1:B2"/>
    <mergeCell ref="C1:C2"/>
    <mergeCell ref="D1:D2"/>
    <mergeCell ref="E1:E2"/>
    <mergeCell ref="F1:F2"/>
    <mergeCell ref="A130:C130"/>
    <mergeCell ref="CZ1:DL1"/>
    <mergeCell ref="DM1:DY1"/>
    <mergeCell ref="DZ1:EL1"/>
    <mergeCell ref="A5:C5"/>
    <mergeCell ref="A14:C14"/>
    <mergeCell ref="A24:C24"/>
    <mergeCell ref="Z1:AL1"/>
    <mergeCell ref="AM1:AY1"/>
    <mergeCell ref="AZ1:BL1"/>
    <mergeCell ref="BM1:BY1"/>
    <mergeCell ref="BZ1:CL1"/>
    <mergeCell ref="CM1:CY1"/>
    <mergeCell ref="G1:G2"/>
    <mergeCell ref="H1:H2"/>
    <mergeCell ref="I1:I2"/>
    <mergeCell ref="A29:C29"/>
    <mergeCell ref="A74:C74"/>
    <mergeCell ref="A97:C97"/>
    <mergeCell ref="A122:C122"/>
    <mergeCell ref="A127:C127"/>
  </mergeCells>
  <phoneticPr fontId="8" type="noConversion"/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U436"/>
  <sheetViews>
    <sheetView showGridLines="0" topLeftCell="A90" zoomScale="70" zoomScaleNormal="70" workbookViewId="0">
      <selection activeCell="C79" sqref="A79:XFD83"/>
    </sheetView>
  </sheetViews>
  <sheetFormatPr defaultColWidth="9" defaultRowHeight="13.5"/>
  <cols>
    <col min="1" max="1" width="4.125" style="1537" customWidth="1"/>
    <col min="2" max="2" width="16.125" style="9" customWidth="1"/>
    <col min="3" max="3" width="14.25" style="9" customWidth="1"/>
    <col min="4" max="4" width="13.75" style="9" bestFit="1" customWidth="1"/>
    <col min="5" max="5" width="6.375" style="9" customWidth="1"/>
    <col min="6" max="6" width="27.25" style="9" customWidth="1"/>
    <col min="7" max="7" width="11.625" style="9" customWidth="1"/>
    <col min="8" max="8" width="11.625" style="1715" customWidth="1"/>
    <col min="9" max="9" width="11.625" style="2618" customWidth="1"/>
    <col min="10" max="21" width="14.375" style="9" customWidth="1"/>
    <col min="22" max="22" width="19.125" style="9" customWidth="1"/>
    <col min="23" max="23" width="11" style="1544" hidden="1" customWidth="1"/>
    <col min="24" max="26" width="10.125" style="1544" hidden="1" customWidth="1"/>
    <col min="27" max="27" width="8.875" style="9" hidden="1" customWidth="1"/>
    <col min="28" max="28" width="8.875" style="1715" hidden="1" customWidth="1"/>
    <col min="29" max="29" width="8.875" style="1716" hidden="1" customWidth="1"/>
    <col min="30" max="32" width="10.125" style="1544" hidden="1" customWidth="1"/>
    <col min="33" max="33" width="10.125" style="1544" customWidth="1"/>
    <col min="34" max="34" width="9" style="1544" customWidth="1"/>
    <col min="35" max="35" width="10.375" style="9" bestFit="1" customWidth="1"/>
    <col min="36" max="16384" width="9" style="9"/>
  </cols>
  <sheetData>
    <row r="1" spans="1:32" ht="23.25" customHeight="1">
      <c r="A1" s="1538" t="s">
        <v>34</v>
      </c>
      <c r="B1" s="1539"/>
      <c r="C1" s="1539"/>
      <c r="D1" s="1539"/>
      <c r="E1" s="1539"/>
      <c r="F1" s="1539"/>
      <c r="G1" s="1541"/>
      <c r="J1" s="1541"/>
      <c r="K1" s="1541"/>
      <c r="L1" s="1541"/>
      <c r="M1" s="1541"/>
      <c r="N1" s="1541"/>
      <c r="O1" s="1541"/>
      <c r="P1" s="1541"/>
      <c r="Q1" s="1541"/>
      <c r="R1" s="1541"/>
      <c r="S1" s="1541"/>
      <c r="T1" s="1541"/>
      <c r="U1" s="1541"/>
      <c r="AA1" s="1541"/>
    </row>
    <row r="2" spans="1:32" ht="23.25" customHeight="1">
      <c r="A2" s="1717"/>
      <c r="F2" s="1718"/>
      <c r="G2" s="1718"/>
      <c r="H2" s="1718"/>
      <c r="I2" s="1718"/>
      <c r="J2" s="1718"/>
      <c r="K2" s="1718"/>
      <c r="L2" s="1718"/>
      <c r="M2" s="1718"/>
      <c r="N2" s="1718"/>
      <c r="O2" s="1718"/>
      <c r="P2" s="1718"/>
      <c r="Q2" s="1718"/>
      <c r="R2" s="1718"/>
      <c r="S2" s="1718"/>
      <c r="T2" s="1718"/>
      <c r="U2" s="1718"/>
      <c r="AA2" s="1718"/>
      <c r="AB2" s="1718"/>
      <c r="AC2" s="1718"/>
    </row>
    <row r="3" spans="1:32" ht="23.25" customHeight="1" thickBot="1">
      <c r="A3" s="1547" t="s">
        <v>437</v>
      </c>
      <c r="B3" s="2104"/>
      <c r="G3" s="1719">
        <v>7</v>
      </c>
      <c r="H3" s="1719">
        <v>10</v>
      </c>
      <c r="I3" s="4192">
        <v>15</v>
      </c>
      <c r="U3" s="1546"/>
      <c r="V3" s="1546" t="s">
        <v>105</v>
      </c>
    </row>
    <row r="4" spans="1:32" ht="27" customHeight="1" thickBot="1">
      <c r="A4" s="1548" t="s">
        <v>41</v>
      </c>
      <c r="B4" s="81" t="s">
        <v>107</v>
      </c>
      <c r="C4" s="81" t="s">
        <v>106</v>
      </c>
      <c r="D4" s="81" t="s">
        <v>1007</v>
      </c>
      <c r="E4" s="81" t="s">
        <v>1028</v>
      </c>
      <c r="F4" s="81" t="s">
        <v>108</v>
      </c>
      <c r="G4" s="1699" t="s">
        <v>389</v>
      </c>
      <c r="H4" s="4360" t="s">
        <v>284</v>
      </c>
      <c r="I4" s="1722" t="s">
        <v>187</v>
      </c>
      <c r="J4" s="1548" t="str">
        <f>'2. S Plan'!L4</f>
        <v>Jan.26</v>
      </c>
      <c r="K4" s="81" t="str">
        <f>'2. S Plan'!M4</f>
        <v>Feb.26</v>
      </c>
      <c r="L4" s="1549" t="str">
        <f>'2. S Plan'!N4</f>
        <v>Mar.26</v>
      </c>
      <c r="M4" s="1548" t="str">
        <f>'2. S Plan'!O4</f>
        <v>Apr.26</v>
      </c>
      <c r="N4" s="81" t="str">
        <f>'2. S Plan'!P4</f>
        <v>May.26</v>
      </c>
      <c r="O4" s="1549" t="str">
        <f>'2. S Plan'!Q4</f>
        <v>Jun.26</v>
      </c>
      <c r="P4" s="1548" t="str">
        <f>'2. S Plan'!R4</f>
        <v>Jul.26</v>
      </c>
      <c r="Q4" s="81" t="str">
        <f>'2. S Plan'!S4</f>
        <v>Aug.26</v>
      </c>
      <c r="R4" s="1549" t="str">
        <f>'2. S Plan'!T4</f>
        <v>Sep.26</v>
      </c>
      <c r="S4" s="1548" t="str">
        <f>'2. S Plan'!U4</f>
        <v>Oct.26</v>
      </c>
      <c r="T4" s="81" t="str">
        <f>'2. S Plan'!V4</f>
        <v>Nov.26</v>
      </c>
      <c r="U4" s="1549" t="str">
        <f>'2. S Plan'!W4</f>
        <v>Dec.26</v>
      </c>
      <c r="V4" s="1550" t="str">
        <f>'2. S Plan'!X4</f>
        <v>2026
Total</v>
      </c>
      <c r="AA4" s="1720" t="s">
        <v>389</v>
      </c>
      <c r="AB4" s="1721" t="s">
        <v>284</v>
      </c>
      <c r="AC4" s="1722" t="s">
        <v>187</v>
      </c>
    </row>
    <row r="5" spans="1:32" ht="15.75" customHeight="1">
      <c r="A5" s="5189">
        <v>1</v>
      </c>
      <c r="B5" s="5245" t="s">
        <v>16</v>
      </c>
      <c r="C5" s="5248" t="s">
        <v>19</v>
      </c>
      <c r="D5" s="5131" t="s">
        <v>861</v>
      </c>
      <c r="E5" s="1628"/>
      <c r="F5" s="1688" t="str">
        <f>'2. S Plan'!F5</f>
        <v>A34</v>
      </c>
      <c r="G5" s="4371">
        <f>IFERROR(VLOOKUP(F5,B.BasicInfomation!$B:$O,6,0),"")</f>
        <v>0.95</v>
      </c>
      <c r="H5" s="4361">
        <f>IFERROR(VLOOKUP(F5,B.BasicInfomation!$B:$O,9,0),"")</f>
        <v>3.7560000000000003E-2</v>
      </c>
      <c r="I5" s="4193" t="str">
        <f>IFERROR(VLOOKUP(F5,B.BasicInfomation!$B:$O,14,0),"")</f>
        <v>S36</v>
      </c>
      <c r="J5" s="1725">
        <f>'2. S Plan'!L5</f>
        <v>0</v>
      </c>
      <c r="K5" s="1726">
        <f>'2. S Plan'!M5</f>
        <v>0</v>
      </c>
      <c r="L5" s="1727">
        <f>'2. S Plan'!N5</f>
        <v>0</v>
      </c>
      <c r="M5" s="1725">
        <f>'2. S Plan'!O5</f>
        <v>0</v>
      </c>
      <c r="N5" s="1726">
        <f>'2. S Plan'!P5</f>
        <v>0</v>
      </c>
      <c r="O5" s="1728">
        <f>'2. S Plan'!Q5</f>
        <v>0</v>
      </c>
      <c r="P5" s="1655">
        <f>'2. S Plan'!R5</f>
        <v>0</v>
      </c>
      <c r="Q5" s="1552">
        <f>'2. S Plan'!S5</f>
        <v>0</v>
      </c>
      <c r="R5" s="1553">
        <f>'2. S Plan'!T5</f>
        <v>0</v>
      </c>
      <c r="S5" s="1729">
        <f>'2. S Plan'!U5</f>
        <v>0</v>
      </c>
      <c r="T5" s="1552">
        <f>'2. S Plan'!V5</f>
        <v>0</v>
      </c>
      <c r="U5" s="1553">
        <f>'2. S Plan'!W5</f>
        <v>0</v>
      </c>
      <c r="V5" s="1554">
        <f>SUM(J5:U5)</f>
        <v>0</v>
      </c>
      <c r="W5" s="1730"/>
      <c r="X5" s="1731">
        <v>0.19</v>
      </c>
      <c r="Y5" s="1731">
        <f>_xlfn.XLOOKUP(F5,B.BasicInfomation!B:B,B.BasicInfomation!J:J,"",0)</f>
        <v>3.7560000000000003E-2</v>
      </c>
      <c r="AA5" s="1723">
        <f t="shared" ref="AA5:AA18" si="0">G5</f>
        <v>0.95</v>
      </c>
      <c r="AB5" s="1732">
        <f t="shared" ref="AB5:AB18" si="1">H5</f>
        <v>3.7560000000000003E-2</v>
      </c>
      <c r="AC5" s="1724" t="str">
        <f t="shared" ref="AC5:AC18" si="2">I5</f>
        <v>S36</v>
      </c>
      <c r="AD5" s="1544" t="b">
        <f t="shared" ref="AD5:AD40" si="3">AA5=G5</f>
        <v>1</v>
      </c>
      <c r="AE5" s="1544" t="b">
        <f t="shared" ref="AE5:AE40" si="4">AB5=H5</f>
        <v>1</v>
      </c>
      <c r="AF5" s="1544" t="b">
        <f t="shared" ref="AF5:AF40" si="5">AC5=I5</f>
        <v>1</v>
      </c>
    </row>
    <row r="6" spans="1:32" ht="15.75" customHeight="1">
      <c r="A6" s="5190"/>
      <c r="B6" s="5246"/>
      <c r="C6" s="5249"/>
      <c r="D6" s="5132"/>
      <c r="E6" s="84">
        <v>1</v>
      </c>
      <c r="F6" s="1673" t="str">
        <f>'2. S Plan'!F6</f>
        <v>A15/17</v>
      </c>
      <c r="G6" s="4022">
        <f>IFERROR(VLOOKUP(F6,B.BasicInfomation!$B:$O,6,0),"")</f>
        <v>0.95</v>
      </c>
      <c r="H6" s="4362">
        <f>IFERROR(VLOOKUP(F6,B.BasicInfomation!$B:$O,9,0),"")</f>
        <v>3.7560000000000003E-2</v>
      </c>
      <c r="I6" s="4194" t="str">
        <f>IFERROR(VLOOKUP(F6,B.BasicInfomation!$B:$O,14,0),"")</f>
        <v>S36</v>
      </c>
      <c r="J6" s="5">
        <f>'2. S Plan'!L6</f>
        <v>690000</v>
      </c>
      <c r="K6" s="1657">
        <f>'2. S Plan'!M6</f>
        <v>550000</v>
      </c>
      <c r="L6" s="1658">
        <f>'2. S Plan'!N6</f>
        <v>748000</v>
      </c>
      <c r="M6" s="5">
        <f>'2. S Plan'!O6</f>
        <v>738000</v>
      </c>
      <c r="N6" s="1657">
        <f>'2. S Plan'!P6</f>
        <v>738000</v>
      </c>
      <c r="O6" s="3396">
        <f>'2. S Plan'!Q6</f>
        <v>588000</v>
      </c>
      <c r="P6" s="1743">
        <f>'2. S Plan'!R6</f>
        <v>450000</v>
      </c>
      <c r="Q6" s="1563">
        <f>'2. S Plan'!S6</f>
        <v>300000</v>
      </c>
      <c r="R6" s="1564">
        <f>'2. S Plan'!T6</f>
        <v>200000</v>
      </c>
      <c r="S6" s="1626">
        <f>'2. S Plan'!U6</f>
        <v>150000</v>
      </c>
      <c r="T6" s="1563">
        <f>'2. S Plan'!V6</f>
        <v>120000</v>
      </c>
      <c r="U6" s="1660">
        <f>'2. S Plan'!W6</f>
        <v>120000</v>
      </c>
      <c r="V6" s="1566">
        <f>SUM(J6:U6)</f>
        <v>5392000</v>
      </c>
      <c r="W6" s="1730"/>
      <c r="X6" s="1731">
        <v>1.19</v>
      </c>
      <c r="Y6" s="1731">
        <f>_xlfn.XLOOKUP(F6,B.BasicInfomation!B:B,B.BasicInfomation!J:J,"",0)</f>
        <v>3.7560000000000003E-2</v>
      </c>
      <c r="AA6" s="1740">
        <f t="shared" si="0"/>
        <v>0.95</v>
      </c>
      <c r="AB6" s="1741">
        <f t="shared" si="1"/>
        <v>3.7560000000000003E-2</v>
      </c>
      <c r="AC6" s="3395" t="str">
        <f t="shared" si="2"/>
        <v>S36</v>
      </c>
      <c r="AD6" s="1544" t="b">
        <f t="shared" si="3"/>
        <v>1</v>
      </c>
      <c r="AE6" s="1544" t="b">
        <f t="shared" si="4"/>
        <v>1</v>
      </c>
      <c r="AF6" s="1544" t="b">
        <f t="shared" si="5"/>
        <v>1</v>
      </c>
    </row>
    <row r="7" spans="1:32" ht="15.75" customHeight="1">
      <c r="A7" s="5190"/>
      <c r="B7" s="5246"/>
      <c r="C7" s="5249"/>
      <c r="D7" s="5132"/>
      <c r="E7" s="84">
        <v>2</v>
      </c>
      <c r="F7" s="1673" t="str">
        <f>'2. S Plan'!F7</f>
        <v>A36</v>
      </c>
      <c r="G7" s="4022">
        <f>IFERROR(VLOOKUP(F7,B.BasicInfomation!$B:$O,6,0),"")</f>
        <v>0.95</v>
      </c>
      <c r="H7" s="4362">
        <f>IFERROR(VLOOKUP(F7,B.BasicInfomation!$B:$O,9,0),"")</f>
        <v>3.7560000000000003E-2</v>
      </c>
      <c r="I7" s="4194" t="str">
        <f>IFERROR(VLOOKUP(F7,B.BasicInfomation!$B:$O,14,0),"")</f>
        <v>S36</v>
      </c>
      <c r="J7" s="5">
        <f>'2. S Plan'!L7</f>
        <v>100000</v>
      </c>
      <c r="K7" s="1657">
        <f>'2. S Plan'!M7</f>
        <v>100000</v>
      </c>
      <c r="L7" s="1658">
        <f>'2. S Plan'!N7</f>
        <v>100000</v>
      </c>
      <c r="M7" s="5">
        <f>'2. S Plan'!O7</f>
        <v>0</v>
      </c>
      <c r="N7" s="1657">
        <f>'2. S Plan'!P7</f>
        <v>0</v>
      </c>
      <c r="O7" s="3396">
        <f>'2. S Plan'!Q7</f>
        <v>0</v>
      </c>
      <c r="P7" s="1743">
        <f>'2. S Plan'!R7</f>
        <v>0</v>
      </c>
      <c r="Q7" s="1563">
        <f>'2. S Plan'!S7</f>
        <v>0</v>
      </c>
      <c r="R7" s="1564">
        <f>'2. S Plan'!T7</f>
        <v>0</v>
      </c>
      <c r="S7" s="1626">
        <f>'2. S Plan'!U7</f>
        <v>0</v>
      </c>
      <c r="T7" s="1563">
        <f>'2. S Plan'!V7</f>
        <v>0</v>
      </c>
      <c r="U7" s="1660">
        <f>'2. S Plan'!W7</f>
        <v>0</v>
      </c>
      <c r="V7" s="1566">
        <f>SUM(J7:U7)</f>
        <v>300000</v>
      </c>
      <c r="W7" s="1730"/>
      <c r="X7" s="1731">
        <v>2.19</v>
      </c>
      <c r="Y7" s="1731">
        <f>_xlfn.XLOOKUP(F7,B.BasicInfomation!B:B,B.BasicInfomation!J:J,"",0)</f>
        <v>3.7560000000000003E-2</v>
      </c>
      <c r="AA7" s="1740">
        <f t="shared" si="0"/>
        <v>0.95</v>
      </c>
      <c r="AB7" s="1741">
        <f t="shared" si="1"/>
        <v>3.7560000000000003E-2</v>
      </c>
      <c r="AC7" s="3395" t="str">
        <f t="shared" si="2"/>
        <v>S36</v>
      </c>
      <c r="AD7" s="1544" t="b">
        <f t="shared" si="3"/>
        <v>1</v>
      </c>
      <c r="AE7" s="1544" t="b">
        <f t="shared" si="4"/>
        <v>1</v>
      </c>
      <c r="AF7" s="1544" t="b">
        <f t="shared" si="5"/>
        <v>1</v>
      </c>
    </row>
    <row r="8" spans="1:32" ht="15.75" customHeight="1">
      <c r="A8" s="5190"/>
      <c r="B8" s="5246"/>
      <c r="C8" s="5249"/>
      <c r="D8" s="5132"/>
      <c r="E8" s="84">
        <v>3</v>
      </c>
      <c r="F8" s="1673" t="str">
        <f>'2. S Plan'!F8</f>
        <v>A26</v>
      </c>
      <c r="G8" s="4022">
        <f>IFERROR(VLOOKUP(F8,B.BasicInfomation!$B:$O,6,0),"")</f>
        <v>0.95</v>
      </c>
      <c r="H8" s="4362">
        <f>IFERROR(VLOOKUP(F8,B.BasicInfomation!$B:$O,9,0),"")</f>
        <v>3.7560000000000003E-2</v>
      </c>
      <c r="I8" s="4194" t="str">
        <f>IFERROR(VLOOKUP(F8,B.BasicInfomation!$B:$O,14,0),"")</f>
        <v>S36</v>
      </c>
      <c r="J8" s="5">
        <f>'2. S Plan'!L8</f>
        <v>250000</v>
      </c>
      <c r="K8" s="1657">
        <f>'2. S Plan'!M8</f>
        <v>120000</v>
      </c>
      <c r="L8" s="1658">
        <f>'2. S Plan'!N8</f>
        <v>150000</v>
      </c>
      <c r="M8" s="5">
        <f>'2. S Plan'!O8</f>
        <v>150000</v>
      </c>
      <c r="N8" s="1657">
        <f>'2. S Plan'!P8</f>
        <v>100000</v>
      </c>
      <c r="O8" s="3396">
        <f>'2. S Plan'!Q8</f>
        <v>100000</v>
      </c>
      <c r="P8" s="1743">
        <f>'2. S Plan'!R8</f>
        <v>50000</v>
      </c>
      <c r="Q8" s="1563">
        <f>'2. S Plan'!S8</f>
        <v>0</v>
      </c>
      <c r="R8" s="1564">
        <f>'2. S Plan'!T8</f>
        <v>0</v>
      </c>
      <c r="S8" s="1626">
        <f>'2. S Plan'!U8</f>
        <v>0</v>
      </c>
      <c r="T8" s="1563">
        <f>'2. S Plan'!V8</f>
        <v>0</v>
      </c>
      <c r="U8" s="1660">
        <f>'2. S Plan'!W8</f>
        <v>0</v>
      </c>
      <c r="V8" s="1566">
        <f>SUM(J8:U8)</f>
        <v>920000</v>
      </c>
      <c r="W8" s="1730"/>
      <c r="X8" s="1731">
        <v>3.19</v>
      </c>
      <c r="Y8" s="1731">
        <f>_xlfn.XLOOKUP(F8,B.BasicInfomation!B:B,B.BasicInfomation!J:J,"",0)</f>
        <v>3.7560000000000003E-2</v>
      </c>
      <c r="AA8" s="1740">
        <f t="shared" si="0"/>
        <v>0.95</v>
      </c>
      <c r="AB8" s="1741">
        <f t="shared" si="1"/>
        <v>3.7560000000000003E-2</v>
      </c>
      <c r="AC8" s="3395" t="str">
        <f t="shared" si="2"/>
        <v>S36</v>
      </c>
      <c r="AD8" s="1544" t="b">
        <f t="shared" si="3"/>
        <v>1</v>
      </c>
      <c r="AE8" s="1544" t="b">
        <f t="shared" si="4"/>
        <v>1</v>
      </c>
      <c r="AF8" s="1544" t="b">
        <f t="shared" si="5"/>
        <v>1</v>
      </c>
    </row>
    <row r="9" spans="1:32" ht="15.75" customHeight="1">
      <c r="A9" s="5190"/>
      <c r="B9" s="5246"/>
      <c r="C9" s="5249"/>
      <c r="D9" s="5132"/>
      <c r="E9" s="84">
        <v>4</v>
      </c>
      <c r="F9" s="1673" t="str">
        <f>'2. S Plan'!F9</f>
        <v>A27</v>
      </c>
      <c r="G9" s="4022">
        <f>IFERROR(VLOOKUP(F9,B.BasicInfomation!$B:$O,6,0),"")</f>
        <v>0.95</v>
      </c>
      <c r="H9" s="4362">
        <f>IFERROR(VLOOKUP(F9,B.BasicInfomation!$B:$O,9,0),"")</f>
        <v>3.7560000000000003E-2</v>
      </c>
      <c r="I9" s="4194" t="str">
        <f>IFERROR(VLOOKUP(F9,B.BasicInfomation!$B:$O,14,0),"")</f>
        <v>S36</v>
      </c>
      <c r="J9" s="5">
        <f>'2. S Plan'!L9</f>
        <v>0</v>
      </c>
      <c r="K9" s="1657">
        <f>'2. S Plan'!M9</f>
        <v>0</v>
      </c>
      <c r="L9" s="1658">
        <f>'2. S Plan'!N9</f>
        <v>50000</v>
      </c>
      <c r="M9" s="5">
        <f>'2. S Plan'!O9</f>
        <v>200000</v>
      </c>
      <c r="N9" s="1657">
        <f>'2. S Plan'!P9</f>
        <v>300000</v>
      </c>
      <c r="O9" s="3396">
        <f>'2. S Plan'!Q9</f>
        <v>550000</v>
      </c>
      <c r="P9" s="1743">
        <f>'2. S Plan'!R9</f>
        <v>550000</v>
      </c>
      <c r="Q9" s="1563">
        <f>'2. S Plan'!S9</f>
        <v>550000</v>
      </c>
      <c r="R9" s="1564">
        <f>'2. S Plan'!T9</f>
        <v>550000</v>
      </c>
      <c r="S9" s="1626">
        <f>'2. S Plan'!U9</f>
        <v>500000</v>
      </c>
      <c r="T9" s="1563">
        <f>'2. S Plan'!V9</f>
        <v>300000</v>
      </c>
      <c r="U9" s="1660">
        <f>'2. S Plan'!W9</f>
        <v>215000</v>
      </c>
      <c r="V9" s="1566">
        <f t="shared" ref="V9:V13" si="6">SUM(J9:U9)</f>
        <v>3765000</v>
      </c>
      <c r="W9" s="1730"/>
      <c r="X9" s="1731"/>
      <c r="Y9" s="1731"/>
      <c r="AA9" s="1740">
        <f t="shared" si="0"/>
        <v>0.95</v>
      </c>
      <c r="AB9" s="1741">
        <f t="shared" si="1"/>
        <v>3.7560000000000003E-2</v>
      </c>
      <c r="AC9" s="3395" t="str">
        <f t="shared" si="2"/>
        <v>S36</v>
      </c>
      <c r="AD9" s="1544" t="b">
        <f t="shared" si="3"/>
        <v>1</v>
      </c>
      <c r="AE9" s="1544" t="b">
        <f t="shared" si="4"/>
        <v>1</v>
      </c>
      <c r="AF9" s="1544" t="b">
        <f t="shared" si="5"/>
        <v>1</v>
      </c>
    </row>
    <row r="10" spans="1:32" ht="15.75" customHeight="1">
      <c r="A10" s="5190"/>
      <c r="B10" s="5246"/>
      <c r="C10" s="5249"/>
      <c r="D10" s="5132"/>
      <c r="E10" s="84">
        <v>5</v>
      </c>
      <c r="F10" s="1673" t="str">
        <f>'2. S Plan'!F10</f>
        <v>A37</v>
      </c>
      <c r="G10" s="4022">
        <f>IFERROR(VLOOKUP(F10,B.BasicInfomation!$B:$O,6,0),"")</f>
        <v>0.95</v>
      </c>
      <c r="H10" s="4362">
        <f>IFERROR(VLOOKUP(F10,B.BasicInfomation!$B:$O,9,0),"")</f>
        <v>3.7560000000000003E-2</v>
      </c>
      <c r="I10" s="4194" t="str">
        <f>IFERROR(VLOOKUP(F10,B.BasicInfomation!$B:$O,14,0),"")</f>
        <v>S36</v>
      </c>
      <c r="J10" s="5">
        <f>'2. S Plan'!L10</f>
        <v>40000</v>
      </c>
      <c r="K10" s="1657">
        <f>'2. S Plan'!M10</f>
        <v>370000</v>
      </c>
      <c r="L10" s="1658">
        <f>'2. S Plan'!N10</f>
        <v>624000</v>
      </c>
      <c r="M10" s="5">
        <f>'2. S Plan'!O10</f>
        <v>550000</v>
      </c>
      <c r="N10" s="1657">
        <f>'2. S Plan'!P10</f>
        <v>550000</v>
      </c>
      <c r="O10" s="3396">
        <f>'2. S Plan'!Q10</f>
        <v>550000</v>
      </c>
      <c r="P10" s="1743">
        <f>'2. S Plan'!R10</f>
        <v>550000</v>
      </c>
      <c r="Q10" s="1563">
        <f>'2. S Plan'!S10</f>
        <v>550000</v>
      </c>
      <c r="R10" s="1564">
        <f>'2. S Plan'!T10</f>
        <v>550000</v>
      </c>
      <c r="S10" s="1626">
        <f>'2. S Plan'!U10</f>
        <v>500000</v>
      </c>
      <c r="T10" s="1563">
        <f>'2. S Plan'!V10</f>
        <v>300000</v>
      </c>
      <c r="U10" s="1660">
        <f>'2. S Plan'!W10</f>
        <v>223000</v>
      </c>
      <c r="V10" s="1566">
        <f t="shared" si="6"/>
        <v>5357000</v>
      </c>
      <c r="W10" s="1730"/>
      <c r="X10" s="1731"/>
      <c r="Y10" s="1731"/>
      <c r="AA10" s="1740">
        <f t="shared" si="0"/>
        <v>0.95</v>
      </c>
      <c r="AB10" s="1741">
        <f t="shared" si="1"/>
        <v>3.7560000000000003E-2</v>
      </c>
      <c r="AC10" s="3395" t="str">
        <f t="shared" si="2"/>
        <v>S36</v>
      </c>
      <c r="AD10" s="1544" t="b">
        <f t="shared" si="3"/>
        <v>1</v>
      </c>
      <c r="AE10" s="1544" t="b">
        <f t="shared" si="4"/>
        <v>1</v>
      </c>
      <c r="AF10" s="1544" t="b">
        <f t="shared" si="5"/>
        <v>1</v>
      </c>
    </row>
    <row r="11" spans="1:32" ht="15.75" customHeight="1">
      <c r="A11" s="5190"/>
      <c r="B11" s="5246"/>
      <c r="C11" s="5249"/>
      <c r="D11" s="5132"/>
      <c r="E11" s="84">
        <v>6</v>
      </c>
      <c r="F11" s="1673" t="str">
        <f>'2. S Plan'!F11</f>
        <v>A18</v>
      </c>
      <c r="G11" s="4022">
        <f>IFERROR(VLOOKUP(F11,B.BasicInfomation!$B:$O,6,0),"")</f>
        <v>0.95</v>
      </c>
      <c r="H11" s="4362">
        <f>IFERROR(VLOOKUP(F11,B.BasicInfomation!$B:$O,9,0),"")</f>
        <v>3.7560000000000003E-2</v>
      </c>
      <c r="I11" s="4194" t="str">
        <f>IFERROR(VLOOKUP(F11,B.BasicInfomation!$B:$O,14,0),"")</f>
        <v>S36</v>
      </c>
      <c r="J11" s="5">
        <f>'2. S Plan'!L11</f>
        <v>0</v>
      </c>
      <c r="K11" s="1657">
        <f>'2. S Plan'!M11</f>
        <v>0</v>
      </c>
      <c r="L11" s="1658">
        <f>'2. S Plan'!N11</f>
        <v>0</v>
      </c>
      <c r="M11" s="5">
        <f>'2. S Plan'!O11</f>
        <v>0</v>
      </c>
      <c r="N11" s="1657">
        <f>'2. S Plan'!P11</f>
        <v>0</v>
      </c>
      <c r="O11" s="3396">
        <f>'2. S Plan'!Q11</f>
        <v>0</v>
      </c>
      <c r="P11" s="1743">
        <f>'2. S Plan'!R11</f>
        <v>0</v>
      </c>
      <c r="Q11" s="1563">
        <f>'2. S Plan'!S11</f>
        <v>50000</v>
      </c>
      <c r="R11" s="1564">
        <f>'2. S Plan'!T11</f>
        <v>250000</v>
      </c>
      <c r="S11" s="1626">
        <f>'2. S Plan'!U11</f>
        <v>350000</v>
      </c>
      <c r="T11" s="1563">
        <f>'2. S Plan'!V11</f>
        <v>400000</v>
      </c>
      <c r="U11" s="1660">
        <f>'2. S Plan'!W11</f>
        <v>400000</v>
      </c>
      <c r="V11" s="1566">
        <f t="shared" si="6"/>
        <v>1450000</v>
      </c>
      <c r="W11" s="1730"/>
      <c r="X11" s="1731"/>
      <c r="Y11" s="1731"/>
      <c r="AA11" s="1740">
        <f t="shared" si="0"/>
        <v>0.95</v>
      </c>
      <c r="AB11" s="1741">
        <f t="shared" si="1"/>
        <v>3.7560000000000003E-2</v>
      </c>
      <c r="AC11" s="3395" t="str">
        <f t="shared" si="2"/>
        <v>S36</v>
      </c>
      <c r="AD11" s="1544" t="b">
        <f t="shared" si="3"/>
        <v>1</v>
      </c>
      <c r="AE11" s="1544" t="b">
        <f t="shared" si="4"/>
        <v>1</v>
      </c>
      <c r="AF11" s="1544" t="b">
        <f t="shared" si="5"/>
        <v>1</v>
      </c>
    </row>
    <row r="12" spans="1:32" ht="15.75" customHeight="1">
      <c r="A12" s="5190"/>
      <c r="B12" s="5246"/>
      <c r="C12" s="5250"/>
      <c r="D12" s="5140"/>
      <c r="E12" s="83"/>
      <c r="F12" s="1733" t="str">
        <f>'2. S Plan'!F12</f>
        <v>CNC</v>
      </c>
      <c r="G12" s="4372">
        <f>IFERROR(VLOOKUP(F12,B.BasicInfomation!$B:$O,6,0),"")</f>
        <v>0.95</v>
      </c>
      <c r="H12" s="4363">
        <f>IFERROR(VLOOKUP(F12,B.BasicInfomation!$B:$O,9,0),"")</f>
        <v>0</v>
      </c>
      <c r="I12" s="4195">
        <f>IFERROR(VLOOKUP(F12,B.BasicInfomation!$B:$O,14,0),"")</f>
        <v>0</v>
      </c>
      <c r="J12" s="1737">
        <f>'2. S Plan'!L12</f>
        <v>450000</v>
      </c>
      <c r="K12" s="1738">
        <f>'2. S Plan'!M12</f>
        <v>444690</v>
      </c>
      <c r="L12" s="1739">
        <f>'2. S Plan'!N12</f>
        <v>460000</v>
      </c>
      <c r="M12" s="1737">
        <f>'2. S Plan'!O12</f>
        <v>500909</v>
      </c>
      <c r="N12" s="1738">
        <f>'2. S Plan'!P12</f>
        <v>460000</v>
      </c>
      <c r="O12" s="1567">
        <f>'2. S Plan'!Q12</f>
        <v>530000</v>
      </c>
      <c r="P12" s="1663">
        <f>'2. S Plan'!R12</f>
        <v>530000</v>
      </c>
      <c r="Q12" s="1558">
        <f>'2. S Plan'!S12</f>
        <v>530000</v>
      </c>
      <c r="R12" s="1559">
        <f>'2. S Plan'!T12</f>
        <v>530000</v>
      </c>
      <c r="S12" s="1677">
        <f>'2. S Plan'!U12</f>
        <v>530000</v>
      </c>
      <c r="T12" s="1558">
        <f>'2. S Plan'!V12</f>
        <v>530000</v>
      </c>
      <c r="U12" s="1664">
        <f>'2. S Plan'!W12</f>
        <v>500000</v>
      </c>
      <c r="V12" s="1560">
        <f t="shared" si="6"/>
        <v>5995599</v>
      </c>
      <c r="W12" s="1730"/>
      <c r="X12" s="1731">
        <v>4.1900000000000004</v>
      </c>
      <c r="Y12" s="1731">
        <f>_xlfn.XLOOKUP(F12,B.BasicInfomation!B:B,B.BasicInfomation!J:J,"",0)</f>
        <v>0</v>
      </c>
      <c r="AA12" s="1740">
        <f t="shared" si="0"/>
        <v>0.95</v>
      </c>
      <c r="AB12" s="1741">
        <f t="shared" si="1"/>
        <v>0</v>
      </c>
      <c r="AC12" s="3395">
        <f t="shared" si="2"/>
        <v>0</v>
      </c>
      <c r="AD12" s="1544" t="b">
        <f t="shared" si="3"/>
        <v>1</v>
      </c>
      <c r="AE12" s="1544" t="b">
        <f t="shared" si="4"/>
        <v>1</v>
      </c>
      <c r="AF12" s="1544" t="b">
        <f t="shared" si="5"/>
        <v>1</v>
      </c>
    </row>
    <row r="13" spans="1:32" ht="15.75" customHeight="1">
      <c r="A13" s="5190"/>
      <c r="B13" s="5246"/>
      <c r="C13" s="5249" t="s">
        <v>24</v>
      </c>
      <c r="D13" s="1629" t="s">
        <v>861</v>
      </c>
      <c r="E13" s="1629">
        <v>7</v>
      </c>
      <c r="F13" s="1673" t="str">
        <f>'2. S Plan'!F13</f>
        <v>MTP+IDP+ADP</v>
      </c>
      <c r="G13" s="4022">
        <f>IFERROR(VLOOKUP(F13,B.BasicInfomation!$B:$O,6,0),"")</f>
        <v>1</v>
      </c>
      <c r="H13" s="4364">
        <f>IFERROR(VLOOKUP(F13,B.BasicInfomation!$B:$O,9,0),"")</f>
        <v>0.1</v>
      </c>
      <c r="I13" s="4194" t="str">
        <f>IFERROR(VLOOKUP(F13,B.BasicInfomation!$B:$O,14,0),"")</f>
        <v>ADC12</v>
      </c>
      <c r="J13" s="5">
        <f>'2. S Plan'!L13</f>
        <v>32633.204633204634</v>
      </c>
      <c r="K13" s="1657">
        <f>'2. S Plan'!M13</f>
        <v>32266.409266409268</v>
      </c>
      <c r="L13" s="1658">
        <f>'2. S Plan'!N13</f>
        <v>34266.409266409268</v>
      </c>
      <c r="M13" s="5">
        <f>'2. S Plan'!O13</f>
        <v>53266.409266409268</v>
      </c>
      <c r="N13" s="1657">
        <f>'2. S Plan'!P13</f>
        <v>40266.409266409268</v>
      </c>
      <c r="O13" s="1565">
        <f>'2. S Plan'!Q13</f>
        <v>37066.409266409268</v>
      </c>
      <c r="P13" s="1743">
        <f>'2. S Plan'!R13</f>
        <v>37066.409266409268</v>
      </c>
      <c r="Q13" s="1563">
        <f>'2. S Plan'!S13</f>
        <v>27066.409266409268</v>
      </c>
      <c r="R13" s="1564">
        <f>'2. S Plan'!T13</f>
        <v>27066.409266409268</v>
      </c>
      <c r="S13" s="1626">
        <f>'2. S Plan'!U13</f>
        <v>37066.409266409268</v>
      </c>
      <c r="T13" s="1563">
        <f>'2. S Plan'!V13</f>
        <v>22433.204633204634</v>
      </c>
      <c r="U13" s="1660">
        <f>'2. S Plan'!W13</f>
        <v>22433.204633204634</v>
      </c>
      <c r="V13" s="1566">
        <f t="shared" si="6"/>
        <v>402897.29729729734</v>
      </c>
      <c r="W13" s="1730"/>
      <c r="X13" s="1731">
        <v>5.19</v>
      </c>
      <c r="Y13" s="1731">
        <f>_xlfn.XLOOKUP(F13,B.BasicInfomation!B:B,B.BasicInfomation!J:J,"",0)</f>
        <v>0.1</v>
      </c>
      <c r="AA13" s="1740">
        <f t="shared" si="0"/>
        <v>1</v>
      </c>
      <c r="AB13" s="1741">
        <f t="shared" si="1"/>
        <v>0.1</v>
      </c>
      <c r="AC13" s="1742" t="str">
        <f t="shared" si="2"/>
        <v>ADC12</v>
      </c>
      <c r="AD13" s="1544" t="b">
        <f t="shared" si="3"/>
        <v>1</v>
      </c>
      <c r="AE13" s="1544" t="b">
        <f t="shared" si="4"/>
        <v>1</v>
      </c>
      <c r="AF13" s="1544" t="b">
        <f t="shared" si="5"/>
        <v>1</v>
      </c>
    </row>
    <row r="14" spans="1:32" ht="15.75" customHeight="1">
      <c r="A14" s="5190"/>
      <c r="B14" s="5246"/>
      <c r="C14" s="5249"/>
      <c r="D14" s="1629"/>
      <c r="E14" s="1629">
        <v>8</v>
      </c>
      <c r="F14" s="1673" t="str">
        <f>'2. S Plan'!F14</f>
        <v>Ride5</v>
      </c>
      <c r="G14" s="4022">
        <f>IFERROR(VLOOKUP(F14,B.BasicInfomation!$B:$O,6,0),"")</f>
        <v>1</v>
      </c>
      <c r="H14" s="4364">
        <f>IFERROR(VLOOKUP(F14,B.BasicInfomation!$B:$O,9,0),"")</f>
        <v>0.51861000000000002</v>
      </c>
      <c r="I14" s="4194" t="str">
        <f>IFERROR(VLOOKUP(F14,B.BasicInfomation!$B:$O,14,0),"")</f>
        <v>ADC12</v>
      </c>
      <c r="J14" s="5">
        <f>'2. S Plan'!L14</f>
        <v>200</v>
      </c>
      <c r="K14" s="1657">
        <f>'2. S Plan'!M14</f>
        <v>200</v>
      </c>
      <c r="L14" s="1658">
        <f>'2. S Plan'!N14</f>
        <v>200</v>
      </c>
      <c r="M14" s="5">
        <f>'2. S Plan'!O14</f>
        <v>200</v>
      </c>
      <c r="N14" s="1657">
        <f>'2. S Plan'!P14</f>
        <v>200</v>
      </c>
      <c r="O14" s="1565">
        <f>'2. S Plan'!Q14</f>
        <v>200</v>
      </c>
      <c r="P14" s="1743">
        <f>'2. S Plan'!R14</f>
        <v>249.99999999999997</v>
      </c>
      <c r="Q14" s="1563">
        <f>'2. S Plan'!S14</f>
        <v>249.99999999999997</v>
      </c>
      <c r="R14" s="1564">
        <f>'2. S Plan'!T14</f>
        <v>249.99999999999997</v>
      </c>
      <c r="S14" s="1626">
        <f>'2. S Plan'!U14</f>
        <v>249.99999999999997</v>
      </c>
      <c r="T14" s="1563">
        <f>'2. S Plan'!V14</f>
        <v>249.99999999999997</v>
      </c>
      <c r="U14" s="1660">
        <f>'2. S Plan'!W14</f>
        <v>249.99999999999997</v>
      </c>
      <c r="V14" s="1566">
        <f>SUM(J14:U14)</f>
        <v>2700</v>
      </c>
      <c r="W14" s="1730"/>
      <c r="X14" s="1731">
        <v>6.19</v>
      </c>
      <c r="Y14" s="1731">
        <f>_xlfn.XLOOKUP(F14,B.BasicInfomation!B:B,B.BasicInfomation!J:J,"",0)</f>
        <v>0.51861000000000002</v>
      </c>
      <c r="AA14" s="1744">
        <f t="shared" si="0"/>
        <v>1</v>
      </c>
      <c r="AB14" s="1741">
        <f t="shared" si="1"/>
        <v>0.51861000000000002</v>
      </c>
      <c r="AC14" s="1745" t="str">
        <f t="shared" si="2"/>
        <v>ADC12</v>
      </c>
      <c r="AD14" s="1544" t="b">
        <f t="shared" si="3"/>
        <v>1</v>
      </c>
      <c r="AE14" s="1544" t="b">
        <f t="shared" si="4"/>
        <v>1</v>
      </c>
      <c r="AF14" s="1544" t="b">
        <f t="shared" si="5"/>
        <v>1</v>
      </c>
    </row>
    <row r="15" spans="1:32" ht="15.75" customHeight="1">
      <c r="A15" s="5190"/>
      <c r="B15" s="5246"/>
      <c r="C15" s="5249"/>
      <c r="D15" s="1629"/>
      <c r="E15" s="1629"/>
      <c r="F15" s="1673" t="str">
        <f>'2. S Plan'!F15</f>
        <v>Glymur</v>
      </c>
      <c r="G15" s="4022">
        <f>IFERROR(VLOOKUP(F15,B.BasicInfomation!$B:$O,6,0),"")</f>
        <v>1</v>
      </c>
      <c r="H15" s="4364">
        <f>IFERROR(VLOOKUP(F15,B.BasicInfomation!$B:$O,9,0),"")</f>
        <v>1.51861</v>
      </c>
      <c r="I15" s="4194" t="str">
        <f>IFERROR(VLOOKUP(F15,B.BasicInfomation!$B:$O,14,0),"")</f>
        <v>ADC12</v>
      </c>
      <c r="J15" s="5">
        <f>'2. S Plan'!L15</f>
        <v>0</v>
      </c>
      <c r="K15" s="1657">
        <f>'2. S Plan'!M15</f>
        <v>0</v>
      </c>
      <c r="L15" s="1658">
        <f>'2. S Plan'!N15</f>
        <v>0</v>
      </c>
      <c r="M15" s="5">
        <f>'2. S Plan'!O15</f>
        <v>0</v>
      </c>
      <c r="N15" s="1657">
        <f>'2. S Plan'!P15</f>
        <v>0</v>
      </c>
      <c r="O15" s="1565">
        <f>'2. S Plan'!Q15</f>
        <v>0</v>
      </c>
      <c r="P15" s="1743">
        <f>'2. S Plan'!R15</f>
        <v>0</v>
      </c>
      <c r="Q15" s="1563">
        <f>'2. S Plan'!S15</f>
        <v>0</v>
      </c>
      <c r="R15" s="1564">
        <f>'2. S Plan'!T15</f>
        <v>0</v>
      </c>
      <c r="S15" s="1626">
        <f>'2. S Plan'!U15</f>
        <v>0</v>
      </c>
      <c r="T15" s="1563">
        <f>'2. S Plan'!V15</f>
        <v>0</v>
      </c>
      <c r="U15" s="1660">
        <f>'2. S Plan'!W15</f>
        <v>0</v>
      </c>
      <c r="V15" s="1566">
        <f>SUM(J15:U15)</f>
        <v>0</v>
      </c>
      <c r="W15" s="1730"/>
      <c r="X15" s="1731">
        <v>7.19</v>
      </c>
      <c r="Y15" s="1731">
        <f>_xlfn.XLOOKUP(F15,B.BasicInfomation!B:B,B.BasicInfomation!J:J,"",0)</f>
        <v>1.51861</v>
      </c>
      <c r="AA15" s="1744">
        <f t="shared" si="0"/>
        <v>1</v>
      </c>
      <c r="AB15" s="1741">
        <f t="shared" si="1"/>
        <v>1.51861</v>
      </c>
      <c r="AC15" s="1745" t="str">
        <f t="shared" si="2"/>
        <v>ADC12</v>
      </c>
      <c r="AD15" s="1544" t="b">
        <f t="shared" si="3"/>
        <v>1</v>
      </c>
      <c r="AE15" s="1544" t="b">
        <f t="shared" si="4"/>
        <v>1</v>
      </c>
      <c r="AF15" s="1544" t="b">
        <f t="shared" si="5"/>
        <v>1</v>
      </c>
    </row>
    <row r="16" spans="1:32" ht="15.75" customHeight="1">
      <c r="A16" s="5190"/>
      <c r="B16" s="5246"/>
      <c r="C16" s="5249"/>
      <c r="D16" s="1629"/>
      <c r="E16" s="1629">
        <v>9</v>
      </c>
      <c r="F16" s="1673" t="str">
        <f>'2. S Plan'!F16</f>
        <v>MTP Hawi</v>
      </c>
      <c r="G16" s="4022">
        <f>IFERROR(VLOOKUP(F16,B.BasicInfomation!$B:$O,6,0),"")</f>
        <v>1</v>
      </c>
      <c r="H16" s="4364">
        <f>IFERROR(VLOOKUP(F16,B.BasicInfomation!$B:$O,9,0),"")</f>
        <v>0.51861000000000002</v>
      </c>
      <c r="I16" s="4194" t="str">
        <f>IFERROR(VLOOKUP(F16,B.BasicInfomation!$B:$O,14,0),"")</f>
        <v>ADC12</v>
      </c>
      <c r="J16" s="5">
        <f>'2. S Plan'!L16</f>
        <v>1000</v>
      </c>
      <c r="K16" s="1657">
        <f>'2. S Plan'!M16</f>
        <v>1500</v>
      </c>
      <c r="L16" s="1658">
        <f>'2. S Plan'!N16</f>
        <v>1000</v>
      </c>
      <c r="M16" s="5">
        <f>'2. S Plan'!O16</f>
        <v>1000</v>
      </c>
      <c r="N16" s="1657">
        <f>'2. S Plan'!P16</f>
        <v>1000</v>
      </c>
      <c r="O16" s="1565">
        <f>'2. S Plan'!Q16</f>
        <v>1000</v>
      </c>
      <c r="P16" s="1743">
        <f>'2. S Plan'!R16</f>
        <v>1000</v>
      </c>
      <c r="Q16" s="1563">
        <f>'2. S Plan'!S16</f>
        <v>1000</v>
      </c>
      <c r="R16" s="1564">
        <f>'2. S Plan'!T16</f>
        <v>1000</v>
      </c>
      <c r="S16" s="1626">
        <f>'2. S Plan'!U16</f>
        <v>1000</v>
      </c>
      <c r="T16" s="1563">
        <f>'2. S Plan'!V16</f>
        <v>1000</v>
      </c>
      <c r="U16" s="1660">
        <f>'2. S Plan'!W16</f>
        <v>1000</v>
      </c>
      <c r="V16" s="1566">
        <f>SUM(J16:U16)</f>
        <v>12500</v>
      </c>
      <c r="W16" s="1730"/>
      <c r="X16" s="1731">
        <v>8.19</v>
      </c>
      <c r="Y16" s="1731">
        <f>_xlfn.XLOOKUP(F16,B.BasicInfomation!B:B,B.BasicInfomation!J:J,"",0)</f>
        <v>0.51861000000000002</v>
      </c>
      <c r="AA16" s="1744">
        <f t="shared" si="0"/>
        <v>1</v>
      </c>
      <c r="AB16" s="1741">
        <f t="shared" si="1"/>
        <v>0.51861000000000002</v>
      </c>
      <c r="AC16" s="1745" t="str">
        <f t="shared" si="2"/>
        <v>ADC12</v>
      </c>
      <c r="AD16" s="1544" t="b">
        <f t="shared" si="3"/>
        <v>1</v>
      </c>
      <c r="AE16" s="1544" t="b">
        <f t="shared" si="4"/>
        <v>1</v>
      </c>
      <c r="AF16" s="1544" t="b">
        <f t="shared" si="5"/>
        <v>1</v>
      </c>
    </row>
    <row r="17" spans="1:32" ht="15.75" customHeight="1">
      <c r="A17" s="5190"/>
      <c r="B17" s="5246"/>
      <c r="C17" s="5249"/>
      <c r="D17" s="1629"/>
      <c r="E17" s="1629">
        <v>10</v>
      </c>
      <c r="F17" s="1673" t="str">
        <f>'2. S Plan'!F17</f>
        <v>QMP Amboseli</v>
      </c>
      <c r="G17" s="4022">
        <f>IFERROR(VLOOKUP(F17,B.BasicInfomation!$B:$O,6,0),"")</f>
        <v>1</v>
      </c>
      <c r="H17" s="4364">
        <f>IFERROR(VLOOKUP(F17,B.BasicInfomation!$B:$O,9,0),"")</f>
        <v>0.51861000000000002</v>
      </c>
      <c r="I17" s="4194" t="str">
        <f>IFERROR(VLOOKUP(F17,B.BasicInfomation!$B:$O,14,0),"")</f>
        <v>ADC12</v>
      </c>
      <c r="J17" s="5">
        <f>'2. S Plan'!L17</f>
        <v>500</v>
      </c>
      <c r="K17" s="1657">
        <f>'2. S Plan'!M17</f>
        <v>0</v>
      </c>
      <c r="L17" s="1658">
        <f>'2. S Plan'!N17</f>
        <v>500</v>
      </c>
      <c r="M17" s="5">
        <f>'2. S Plan'!O17</f>
        <v>0</v>
      </c>
      <c r="N17" s="1657">
        <f>'2. S Plan'!P17</f>
        <v>500</v>
      </c>
      <c r="O17" s="1565">
        <f>'2. S Plan'!Q17</f>
        <v>0</v>
      </c>
      <c r="P17" s="1743">
        <f>'2. S Plan'!R17</f>
        <v>500</v>
      </c>
      <c r="Q17" s="1563">
        <f>'2. S Plan'!S17</f>
        <v>0</v>
      </c>
      <c r="R17" s="1564">
        <f>'2. S Plan'!T17</f>
        <v>500</v>
      </c>
      <c r="S17" s="1626">
        <f>'2. S Plan'!U17</f>
        <v>0</v>
      </c>
      <c r="T17" s="1563">
        <f>'2. S Plan'!V17</f>
        <v>500</v>
      </c>
      <c r="U17" s="1660">
        <f>'2. S Plan'!W17</f>
        <v>0</v>
      </c>
      <c r="V17" s="1566">
        <f>SUM(J17:U17)</f>
        <v>3000</v>
      </c>
      <c r="W17" s="1730"/>
      <c r="X17" s="1731">
        <v>9.19</v>
      </c>
      <c r="Y17" s="1731">
        <f>_xlfn.XLOOKUP(F17,B.BasicInfomation!B:B,B.BasicInfomation!J:J,"",0)</f>
        <v>0.51861000000000002</v>
      </c>
      <c r="AA17" s="1744">
        <f t="shared" si="0"/>
        <v>1</v>
      </c>
      <c r="AB17" s="1741">
        <f t="shared" si="1"/>
        <v>0.51861000000000002</v>
      </c>
      <c r="AC17" s="1745" t="str">
        <f t="shared" si="2"/>
        <v>ADC12</v>
      </c>
      <c r="AD17" s="1544" t="b">
        <f t="shared" si="3"/>
        <v>1</v>
      </c>
      <c r="AE17" s="1544" t="b">
        <f t="shared" si="4"/>
        <v>1</v>
      </c>
      <c r="AF17" s="1544" t="b">
        <f t="shared" si="5"/>
        <v>1</v>
      </c>
    </row>
    <row r="18" spans="1:32" ht="15.75" customHeight="1">
      <c r="A18" s="5190"/>
      <c r="B18" s="5246"/>
      <c r="C18" s="5250"/>
      <c r="D18" s="1629"/>
      <c r="E18" s="1629"/>
      <c r="F18" s="1733" t="str">
        <f>'2. S Plan'!F18</f>
        <v>LDS Antenna</v>
      </c>
      <c r="G18" s="4372">
        <f>IFERROR(VLOOKUP(F18,B.BasicInfomation!$B:$O,6,0),"")</f>
        <v>1</v>
      </c>
      <c r="H18" s="4364">
        <f>IFERROR(VLOOKUP(F18,B.BasicInfomation!$B:$O,9,0),"")</f>
        <v>0.51861000000000002</v>
      </c>
      <c r="I18" s="4194" t="str">
        <f>IFERROR(VLOOKUP(F18,B.BasicInfomation!$B:$O,14,0),"")</f>
        <v>ADC12</v>
      </c>
      <c r="J18" s="1737">
        <f>'2. S Plan'!L18</f>
        <v>3500</v>
      </c>
      <c r="K18" s="1738">
        <f>'2. S Plan'!M18</f>
        <v>3500</v>
      </c>
      <c r="L18" s="1739">
        <f>'2. S Plan'!N18</f>
        <v>4500</v>
      </c>
      <c r="M18" s="1737">
        <f>'2. S Plan'!O18</f>
        <v>4500</v>
      </c>
      <c r="N18" s="1738">
        <f>'2. S Plan'!P18</f>
        <v>3000</v>
      </c>
      <c r="O18" s="1567">
        <f>'2. S Plan'!Q18</f>
        <v>3000</v>
      </c>
      <c r="P18" s="1663">
        <f>'2. S Plan'!R18</f>
        <v>2500</v>
      </c>
      <c r="Q18" s="1558">
        <f>'2. S Plan'!S18</f>
        <v>2500</v>
      </c>
      <c r="R18" s="1559">
        <f>'2. S Plan'!T18</f>
        <v>2500</v>
      </c>
      <c r="S18" s="1677">
        <f>'2. S Plan'!U18</f>
        <v>6000</v>
      </c>
      <c r="T18" s="1558">
        <f>'2. S Plan'!V18</f>
        <v>6000</v>
      </c>
      <c r="U18" s="1664">
        <f>'2. S Plan'!W18</f>
        <v>3999.9999999999995</v>
      </c>
      <c r="V18" s="1560">
        <f t="shared" ref="V18" si="7">SUM(J18:U18)</f>
        <v>45500</v>
      </c>
      <c r="W18" s="1730"/>
      <c r="X18" s="1731">
        <v>10.19</v>
      </c>
      <c r="Y18" s="1731">
        <f>_xlfn.XLOOKUP(F18,B.BasicInfomation!B:B,B.BasicInfomation!J:J,"",0)</f>
        <v>0.51861000000000002</v>
      </c>
      <c r="AA18" s="1746">
        <f t="shared" si="0"/>
        <v>1</v>
      </c>
      <c r="AB18" s="1735">
        <f t="shared" si="1"/>
        <v>0.51861000000000002</v>
      </c>
      <c r="AC18" s="1736" t="str">
        <f t="shared" si="2"/>
        <v>ADC12</v>
      </c>
      <c r="AD18" s="1544" t="b">
        <f t="shared" si="3"/>
        <v>1</v>
      </c>
      <c r="AE18" s="1544" t="b">
        <f t="shared" si="4"/>
        <v>1</v>
      </c>
      <c r="AF18" s="1544" t="b">
        <f t="shared" si="5"/>
        <v>1</v>
      </c>
    </row>
    <row r="19" spans="1:32" ht="15.75" customHeight="1">
      <c r="A19" s="5244"/>
      <c r="B19" s="5247"/>
      <c r="C19" s="1747" t="s">
        <v>44</v>
      </c>
      <c r="D19" s="1747"/>
      <c r="E19" s="1747"/>
      <c r="F19" s="1748"/>
      <c r="G19" s="4373">
        <f>IFERROR(VLOOKUP(E19,B.BasicInfomation!$A$10:$O$72,7,0),"")</f>
        <v>0.95</v>
      </c>
      <c r="H19" s="4365"/>
      <c r="I19" s="2058">
        <v>0</v>
      </c>
      <c r="J19" s="1752">
        <f t="shared" ref="J19:V19" si="8">SUM(J5:J18)</f>
        <v>1567833.2046332047</v>
      </c>
      <c r="K19" s="1753">
        <f t="shared" si="8"/>
        <v>1622156.4092664092</v>
      </c>
      <c r="L19" s="1754">
        <f t="shared" si="8"/>
        <v>2172466.4092664095</v>
      </c>
      <c r="M19" s="1752">
        <f t="shared" si="8"/>
        <v>2197875.4092664095</v>
      </c>
      <c r="N19" s="1753">
        <f t="shared" si="8"/>
        <v>2192966.4092664095</v>
      </c>
      <c r="O19" s="1638">
        <f t="shared" si="8"/>
        <v>2359266.4092664095</v>
      </c>
      <c r="P19" s="1755">
        <f t="shared" si="8"/>
        <v>2171316.4092664095</v>
      </c>
      <c r="Q19" s="1633">
        <f t="shared" si="8"/>
        <v>2010816.4092664092</v>
      </c>
      <c r="R19" s="1634">
        <f t="shared" si="8"/>
        <v>2111316.4092664095</v>
      </c>
      <c r="S19" s="1665">
        <f t="shared" si="8"/>
        <v>2074316.4092664092</v>
      </c>
      <c r="T19" s="1633">
        <f t="shared" si="8"/>
        <v>1680183.2046332047</v>
      </c>
      <c r="U19" s="1666">
        <f t="shared" si="8"/>
        <v>1485683.2046332047</v>
      </c>
      <c r="V19" s="1576">
        <f t="shared" si="8"/>
        <v>23646196.297297299</v>
      </c>
      <c r="W19" s="1730"/>
      <c r="AA19" s="1749"/>
      <c r="AB19" s="1750"/>
      <c r="AC19" s="1751">
        <v>0</v>
      </c>
      <c r="AD19" s="1544" t="b">
        <f t="shared" si="3"/>
        <v>0</v>
      </c>
      <c r="AE19" s="1544" t="b">
        <f t="shared" si="4"/>
        <v>1</v>
      </c>
      <c r="AF19" s="1544" t="b">
        <f t="shared" si="5"/>
        <v>1</v>
      </c>
    </row>
    <row r="20" spans="1:32" ht="15.75" customHeight="1">
      <c r="A20" s="5251">
        <v>2</v>
      </c>
      <c r="B20" s="5252" t="s">
        <v>23</v>
      </c>
      <c r="C20" s="1592" t="s">
        <v>556</v>
      </c>
      <c r="D20" s="1592" t="s">
        <v>865</v>
      </c>
      <c r="E20" s="1592">
        <v>11</v>
      </c>
      <c r="F20" s="1756" t="str">
        <f>'2. S Plan'!F20</f>
        <v>GEN3 AL5 Housing (YT)</v>
      </c>
      <c r="G20" s="4021">
        <f>IFERROR(VLOOKUP(F20,B.BasicInfomation!$B:$O,6,0),"")</f>
        <v>0.85</v>
      </c>
      <c r="H20" s="4366">
        <f>IFERROR(VLOOKUP(F20,B.BasicInfomation!$B:$O,9,0),"")</f>
        <v>0.33662999999999998</v>
      </c>
      <c r="I20" s="2967" t="str">
        <f>IFERROR(VLOOKUP(F20,B.BasicInfomation!$B:$O,14,0),"")</f>
        <v>ADC12</v>
      </c>
      <c r="J20" s="1760">
        <f>'2. S Plan'!L20</f>
        <v>38045.578302635215</v>
      </c>
      <c r="K20" s="1761">
        <f>'2. S Plan'!M20</f>
        <v>26862.1312051778</v>
      </c>
      <c r="L20" s="1762">
        <f>'2. S Plan'!N20</f>
        <v>46792.099518696814</v>
      </c>
      <c r="M20" s="1760">
        <f>'2. S Plan'!O20</f>
        <v>30087.512550602372</v>
      </c>
      <c r="N20" s="1761">
        <f>'2. S Plan'!P20</f>
        <v>0</v>
      </c>
      <c r="O20" s="1597">
        <f>'2. S Plan'!Q20</f>
        <v>0</v>
      </c>
      <c r="P20" s="1763">
        <f>'2. S Plan'!R20</f>
        <v>0</v>
      </c>
      <c r="Q20" s="1595">
        <f>'2. S Plan'!S20</f>
        <v>0</v>
      </c>
      <c r="R20" s="1596">
        <f>'2. S Plan'!T20</f>
        <v>0</v>
      </c>
      <c r="S20" s="1764">
        <f>'2. S Plan'!U20</f>
        <v>0</v>
      </c>
      <c r="T20" s="1595">
        <f>'2. S Plan'!V20</f>
        <v>0</v>
      </c>
      <c r="U20" s="1765">
        <f>'2. S Plan'!W20</f>
        <v>0</v>
      </c>
      <c r="V20" s="1598">
        <f>SUM(J20:U20)</f>
        <v>141787.32157711219</v>
      </c>
      <c r="W20" s="1730"/>
      <c r="X20" s="1544">
        <v>0.71501000000000003</v>
      </c>
      <c r="Y20" s="1731">
        <f>_xlfn.XLOOKUP(F20,B.BasicInfomation!B:B,B.BasicInfomation!J:J,"",0)</f>
        <v>0.33662999999999998</v>
      </c>
      <c r="AA20" s="1757">
        <f t="shared" ref="AA20:AA55" si="9">G20</f>
        <v>0.85</v>
      </c>
      <c r="AB20" s="1758">
        <f t="shared" ref="AB20:AB55" si="10">H20</f>
        <v>0.33662999999999998</v>
      </c>
      <c r="AC20" s="1759" t="str">
        <f t="shared" ref="AC20:AC55" si="11">I20</f>
        <v>ADC12</v>
      </c>
      <c r="AD20" s="1544" t="b">
        <f t="shared" si="3"/>
        <v>1</v>
      </c>
      <c r="AE20" s="1544" t="b">
        <f t="shared" si="4"/>
        <v>1</v>
      </c>
      <c r="AF20" s="1544" t="b">
        <f t="shared" si="5"/>
        <v>1</v>
      </c>
    </row>
    <row r="21" spans="1:32" ht="15.75" customHeight="1">
      <c r="A21" s="5190"/>
      <c r="B21" s="5246"/>
      <c r="C21" s="15"/>
      <c r="D21" s="15"/>
      <c r="E21" s="15">
        <v>12</v>
      </c>
      <c r="F21" s="1673" t="str">
        <f>'2. S Plan'!F21</f>
        <v>GEN3 AL6 Housing (YT)</v>
      </c>
      <c r="G21" s="4022">
        <f>IFERROR(VLOOKUP(F21,B.BasicInfomation!$B:$O,6,0),"")</f>
        <v>0.85</v>
      </c>
      <c r="H21" s="4364">
        <f>IFERROR(VLOOKUP(F21,B.BasicInfomation!$B:$O,9,0),"")</f>
        <v>0.33662999999999998</v>
      </c>
      <c r="I21" s="2013" t="str">
        <f>IFERROR(VLOOKUP(F21,B.BasicInfomation!$B:$O,14,0),"")</f>
        <v>ADC12</v>
      </c>
      <c r="J21" s="5">
        <f>'2. S Plan'!L21</f>
        <v>0</v>
      </c>
      <c r="K21" s="1657">
        <f>'2. S Plan'!M21</f>
        <v>0</v>
      </c>
      <c r="L21" s="1658">
        <f>'2. S Plan'!N21</f>
        <v>0</v>
      </c>
      <c r="M21" s="5">
        <f>'2. S Plan'!O21</f>
        <v>0</v>
      </c>
      <c r="N21" s="1657">
        <f>'2. S Plan'!P21</f>
        <v>0</v>
      </c>
      <c r="O21" s="1565">
        <f>'2. S Plan'!Q21</f>
        <v>0</v>
      </c>
      <c r="P21" s="1743">
        <f>'2. S Plan'!R21</f>
        <v>0</v>
      </c>
      <c r="Q21" s="1563">
        <f>'2. S Plan'!S21</f>
        <v>0</v>
      </c>
      <c r="R21" s="1564">
        <f>'2. S Plan'!T21</f>
        <v>0</v>
      </c>
      <c r="S21" s="1610">
        <f>'2. S Plan'!U21</f>
        <v>0</v>
      </c>
      <c r="T21" s="1563">
        <f>'2. S Plan'!V21</f>
        <v>0</v>
      </c>
      <c r="U21" s="1564">
        <f>'2. S Plan'!W21</f>
        <v>0</v>
      </c>
      <c r="V21" s="1566">
        <f>SUM(J21:U21)</f>
        <v>0</v>
      </c>
      <c r="W21" s="1730"/>
      <c r="X21" s="1544">
        <v>0.74354999999999993</v>
      </c>
      <c r="Y21" s="1731">
        <f>_xlfn.XLOOKUP(F21,B.BasicInfomation!B:B,B.BasicInfomation!J:J,"",0)</f>
        <v>0.33662999999999998</v>
      </c>
      <c r="AA21" s="1744">
        <f t="shared" si="9"/>
        <v>0.85</v>
      </c>
      <c r="AB21" s="1741">
        <f t="shared" si="10"/>
        <v>0.33662999999999998</v>
      </c>
      <c r="AC21" s="1745" t="str">
        <f t="shared" si="11"/>
        <v>ADC12</v>
      </c>
      <c r="AD21" s="1544" t="b">
        <f t="shared" si="3"/>
        <v>1</v>
      </c>
      <c r="AE21" s="1544" t="b">
        <f t="shared" si="4"/>
        <v>1</v>
      </c>
      <c r="AF21" s="1544" t="b">
        <f t="shared" si="5"/>
        <v>1</v>
      </c>
    </row>
    <row r="22" spans="1:32" ht="15.75" customHeight="1">
      <c r="A22" s="5190"/>
      <c r="B22" s="5246"/>
      <c r="C22" s="15"/>
      <c r="D22" s="15"/>
      <c r="E22" s="15"/>
      <c r="F22" s="1673" t="str">
        <f>'2. S Plan'!F22</f>
        <v>GEN3 AL5  Housing (MX)</v>
      </c>
      <c r="G22" s="4022">
        <f>IFERROR(VLOOKUP(F22,B.BasicInfomation!$B:$O,6,0),"")</f>
        <v>0.85</v>
      </c>
      <c r="H22" s="4364">
        <f>IFERROR(VLOOKUP(F22,B.BasicInfomation!$B:$O,9,0),"")</f>
        <v>0.33662999999999998</v>
      </c>
      <c r="I22" s="2013" t="str">
        <f>IFERROR(VLOOKUP(F22,B.BasicInfomation!$B:$O,14,0),"")</f>
        <v>ADC12</v>
      </c>
      <c r="J22" s="5">
        <f>'2. S Plan'!L22</f>
        <v>0</v>
      </c>
      <c r="K22" s="1657">
        <f>'2. S Plan'!M22</f>
        <v>0</v>
      </c>
      <c r="L22" s="1658">
        <f>'2. S Plan'!N22</f>
        <v>0</v>
      </c>
      <c r="M22" s="5">
        <f>'2. S Plan'!O22</f>
        <v>0</v>
      </c>
      <c r="N22" s="1657">
        <f>'2. S Plan'!P22</f>
        <v>0</v>
      </c>
      <c r="O22" s="1565">
        <f>'2. S Plan'!Q22</f>
        <v>0</v>
      </c>
      <c r="P22" s="1743">
        <f>'2. S Plan'!R22</f>
        <v>0</v>
      </c>
      <c r="Q22" s="1563">
        <f>'2. S Plan'!S22</f>
        <v>0</v>
      </c>
      <c r="R22" s="1564">
        <f>'2. S Plan'!T22</f>
        <v>0</v>
      </c>
      <c r="S22" s="1610">
        <f>'2. S Plan'!U22</f>
        <v>0</v>
      </c>
      <c r="T22" s="1563">
        <f>'2. S Plan'!V22</f>
        <v>0</v>
      </c>
      <c r="U22" s="1564">
        <f>'2. S Plan'!W22</f>
        <v>0</v>
      </c>
      <c r="V22" s="1566">
        <f>SUM(J22:U22)</f>
        <v>0</v>
      </c>
      <c r="W22" s="1730"/>
      <c r="X22" s="1544">
        <v>0.71501000000000003</v>
      </c>
      <c r="Y22" s="1731">
        <f>_xlfn.XLOOKUP(F22,B.BasicInfomation!B:B,B.BasicInfomation!J:J,"",0)</f>
        <v>0.33662999999999998</v>
      </c>
      <c r="AA22" s="1744">
        <f t="shared" si="9"/>
        <v>0.85</v>
      </c>
      <c r="AB22" s="1741">
        <f t="shared" si="10"/>
        <v>0.33662999999999998</v>
      </c>
      <c r="AC22" s="1745" t="str">
        <f t="shared" si="11"/>
        <v>ADC12</v>
      </c>
      <c r="AD22" s="1544" t="b">
        <f t="shared" si="3"/>
        <v>1</v>
      </c>
      <c r="AE22" s="1544" t="b">
        <f t="shared" si="4"/>
        <v>1</v>
      </c>
      <c r="AF22" s="1544" t="b">
        <f t="shared" si="5"/>
        <v>1</v>
      </c>
    </row>
    <row r="23" spans="1:32" ht="15.75" customHeight="1">
      <c r="A23" s="5190"/>
      <c r="B23" s="5246"/>
      <c r="C23" s="15"/>
      <c r="D23" s="15"/>
      <c r="E23" s="15"/>
      <c r="F23" s="1673" t="str">
        <f>'2. S Plan'!F23</f>
        <v>GEN3 AL6  Housing (MX)</v>
      </c>
      <c r="G23" s="4022">
        <f>IFERROR(VLOOKUP(F23,B.BasicInfomation!$B:$O,6,0),"")</f>
        <v>0.85</v>
      </c>
      <c r="H23" s="4364">
        <f>IFERROR(VLOOKUP(F23,B.BasicInfomation!$B:$O,9,0),"")</f>
        <v>0.33662999999999998</v>
      </c>
      <c r="I23" s="2013" t="str">
        <f>IFERROR(VLOOKUP(F23,B.BasicInfomation!$B:$O,14,0),"")</f>
        <v>ADC12</v>
      </c>
      <c r="J23" s="5">
        <f>'2. S Plan'!L23</f>
        <v>0</v>
      </c>
      <c r="K23" s="1657">
        <f>'2. S Plan'!M23</f>
        <v>0</v>
      </c>
      <c r="L23" s="1658">
        <f>'2. S Plan'!N23</f>
        <v>0</v>
      </c>
      <c r="M23" s="5">
        <f>'2. S Plan'!O23</f>
        <v>0</v>
      </c>
      <c r="N23" s="1657">
        <f>'2. S Plan'!P23</f>
        <v>0</v>
      </c>
      <c r="O23" s="1565">
        <f>'2. S Plan'!Q23</f>
        <v>0</v>
      </c>
      <c r="P23" s="1743">
        <f>'2. S Plan'!R23</f>
        <v>0</v>
      </c>
      <c r="Q23" s="1563">
        <f>'2. S Plan'!S23</f>
        <v>0</v>
      </c>
      <c r="R23" s="1564">
        <f>'2. S Plan'!T23</f>
        <v>0</v>
      </c>
      <c r="S23" s="1610">
        <f>'2. S Plan'!U23</f>
        <v>0</v>
      </c>
      <c r="T23" s="1563">
        <f>'2. S Plan'!V23</f>
        <v>0</v>
      </c>
      <c r="U23" s="1564">
        <f>'2. S Plan'!W23</f>
        <v>0</v>
      </c>
      <c r="V23" s="1566">
        <f t="shared" ref="V23:V72" si="12">SUM(J23:U23)</f>
        <v>0</v>
      </c>
      <c r="W23" s="1730"/>
      <c r="Y23" s="1731"/>
      <c r="AA23" s="1744">
        <f t="shared" si="9"/>
        <v>0.85</v>
      </c>
      <c r="AB23" s="1741">
        <f t="shared" si="10"/>
        <v>0.33662999999999998</v>
      </c>
      <c r="AC23" s="1745" t="str">
        <f t="shared" si="11"/>
        <v>ADC12</v>
      </c>
      <c r="AD23" s="1544" t="b">
        <f t="shared" si="3"/>
        <v>1</v>
      </c>
      <c r="AE23" s="1544" t="b">
        <f t="shared" si="4"/>
        <v>1</v>
      </c>
      <c r="AF23" s="1544" t="b">
        <f t="shared" si="5"/>
        <v>1</v>
      </c>
    </row>
    <row r="24" spans="1:32" ht="15.75" customHeight="1">
      <c r="A24" s="5190"/>
      <c r="B24" s="5246"/>
      <c r="C24" s="15"/>
      <c r="D24" s="15"/>
      <c r="E24" s="15"/>
      <c r="F24" s="1673" t="str">
        <f>'2. S Plan'!F24</f>
        <v>T6 Housing</v>
      </c>
      <c r="G24" s="4022">
        <f>IFERROR(VLOOKUP(F24,B.BasicInfomation!$B:$O,6,0),"")</f>
        <v>0.8</v>
      </c>
      <c r="H24" s="4364">
        <f>IFERROR(VLOOKUP(F24,B.BasicInfomation!$B:$O,9,0),"")</f>
        <v>0.44851999999999997</v>
      </c>
      <c r="I24" s="2013" t="str">
        <f>IFERROR(VLOOKUP(F24,B.BasicInfomation!$B:$O,14,0),"")</f>
        <v>ADC12</v>
      </c>
      <c r="J24" s="5">
        <f>'2. S Plan'!L24</f>
        <v>0</v>
      </c>
      <c r="K24" s="1657">
        <f>'2. S Plan'!M24</f>
        <v>0</v>
      </c>
      <c r="L24" s="1658">
        <f>'2. S Plan'!N24</f>
        <v>0</v>
      </c>
      <c r="M24" s="5">
        <f>'2. S Plan'!O24</f>
        <v>0</v>
      </c>
      <c r="N24" s="1657">
        <f>'2. S Plan'!P24</f>
        <v>0</v>
      </c>
      <c r="O24" s="1565">
        <f>'2. S Plan'!Q24</f>
        <v>0</v>
      </c>
      <c r="P24" s="1743">
        <f>'2. S Plan'!R24</f>
        <v>0</v>
      </c>
      <c r="Q24" s="1563">
        <f>'2. S Plan'!S24</f>
        <v>0</v>
      </c>
      <c r="R24" s="1564">
        <f>'2. S Plan'!T24</f>
        <v>0</v>
      </c>
      <c r="S24" s="1610">
        <f>'2. S Plan'!U24</f>
        <v>0</v>
      </c>
      <c r="T24" s="1563">
        <f>'2. S Plan'!V24</f>
        <v>0</v>
      </c>
      <c r="U24" s="1564">
        <f>'2. S Plan'!W24</f>
        <v>0</v>
      </c>
      <c r="V24" s="1566">
        <f t="shared" si="12"/>
        <v>0</v>
      </c>
      <c r="W24" s="1730"/>
      <c r="X24" s="1544">
        <v>1.6369100000000001</v>
      </c>
      <c r="Y24" s="1731">
        <f>_xlfn.XLOOKUP(F24,B.BasicInfomation!B:B,B.BasicInfomation!J:J,"",0)</f>
        <v>0.44851999999999997</v>
      </c>
      <c r="AA24" s="1744">
        <f t="shared" si="9"/>
        <v>0.8</v>
      </c>
      <c r="AB24" s="1741">
        <f t="shared" si="10"/>
        <v>0.44851999999999997</v>
      </c>
      <c r="AC24" s="1745" t="str">
        <f t="shared" si="11"/>
        <v>ADC12</v>
      </c>
      <c r="AD24" s="1544" t="b">
        <f t="shared" si="3"/>
        <v>1</v>
      </c>
      <c r="AE24" s="1544" t="b">
        <f t="shared" si="4"/>
        <v>1</v>
      </c>
      <c r="AF24" s="1544" t="b">
        <f t="shared" si="5"/>
        <v>1</v>
      </c>
    </row>
    <row r="25" spans="1:32" s="1579" customFormat="1" ht="15.75" customHeight="1">
      <c r="A25" s="5190"/>
      <c r="B25" s="5246"/>
      <c r="C25" s="15"/>
      <c r="D25" s="15"/>
      <c r="E25" s="15">
        <v>13</v>
      </c>
      <c r="F25" s="1673" t="str">
        <f>'2. S Plan'!F25</f>
        <v>CL4 Housing (YT)</v>
      </c>
      <c r="G25" s="4022">
        <f>IFERROR(VLOOKUP(F25,B.BasicInfomation!$B:$O,6,0),"")</f>
        <v>0.8</v>
      </c>
      <c r="H25" s="4364">
        <f>IFERROR(VLOOKUP(F25,B.BasicInfomation!$B:$O,9,0),"")</f>
        <v>0.44851999999999997</v>
      </c>
      <c r="I25" s="2013" t="str">
        <f>IFERROR(VLOOKUP(F25,B.BasicInfomation!$B:$O,14,0),"")</f>
        <v>ADC12</v>
      </c>
      <c r="J25" s="5">
        <f>'2. S Plan'!L25</f>
        <v>18328.052353823481</v>
      </c>
      <c r="K25" s="1657">
        <f>'2. S Plan'!M25</f>
        <v>32074.091619191095</v>
      </c>
      <c r="L25" s="1658">
        <f>'2. S Plan'!N25</f>
        <v>20364.502615359423</v>
      </c>
      <c r="M25" s="5">
        <f>'2. S Plan'!O25</f>
        <v>32074.091619191095</v>
      </c>
      <c r="N25" s="1657">
        <f>'2. S Plan'!P25</f>
        <v>32074.091619191095</v>
      </c>
      <c r="O25" s="1565">
        <f>'2. S Plan'!Q25</f>
        <v>25455.628269199282</v>
      </c>
      <c r="P25" s="1743">
        <f>'2. S Plan'!R25</f>
        <v>25455.628269199282</v>
      </c>
      <c r="Q25" s="1563">
        <f>'2. S Plan'!S25</f>
        <v>25455.628269199282</v>
      </c>
      <c r="R25" s="1564">
        <f>'2. S Plan'!T25</f>
        <v>25455.628269199282</v>
      </c>
      <c r="S25" s="1610">
        <f>'2. S Plan'!U25</f>
        <v>25455.628269199282</v>
      </c>
      <c r="T25" s="1563">
        <f>'2. S Plan'!V25</f>
        <v>25455.628269199282</v>
      </c>
      <c r="U25" s="1564">
        <f>'2. S Plan'!W25</f>
        <v>25455.628269199282</v>
      </c>
      <c r="V25" s="1566">
        <f t="shared" si="12"/>
        <v>313104.22771115118</v>
      </c>
      <c r="W25" s="1766"/>
      <c r="X25" s="1579">
        <v>1.0222</v>
      </c>
      <c r="Y25" s="1731">
        <f>_xlfn.XLOOKUP(F25,B.BasicInfomation!B:B,B.BasicInfomation!J:J,"",0)</f>
        <v>0.44851999999999997</v>
      </c>
      <c r="AA25" s="1744">
        <f t="shared" si="9"/>
        <v>0.8</v>
      </c>
      <c r="AB25" s="1741">
        <f t="shared" si="10"/>
        <v>0.44851999999999997</v>
      </c>
      <c r="AC25" s="1745" t="str">
        <f t="shared" si="11"/>
        <v>ADC12</v>
      </c>
      <c r="AD25" s="1544" t="b">
        <f t="shared" si="3"/>
        <v>1</v>
      </c>
      <c r="AE25" s="1544" t="b">
        <f t="shared" si="4"/>
        <v>1</v>
      </c>
      <c r="AF25" s="1544" t="b">
        <f t="shared" si="5"/>
        <v>1</v>
      </c>
    </row>
    <row r="26" spans="1:32" s="1579" customFormat="1" ht="15.75" customHeight="1">
      <c r="A26" s="5190"/>
      <c r="B26" s="5246"/>
      <c r="C26" s="15"/>
      <c r="D26" s="15"/>
      <c r="E26" s="15"/>
      <c r="F26" s="1673" t="str">
        <f>'2. S Plan'!F26</f>
        <v>CL4 Housing (MX)</v>
      </c>
      <c r="G26" s="4022">
        <f>IFERROR(VLOOKUP(F26,B.BasicInfomation!$B:$O,6,0),"")</f>
        <v>0.8</v>
      </c>
      <c r="H26" s="4364">
        <f>IFERROR(VLOOKUP(F26,B.BasicInfomation!$B:$O,9,0),"")</f>
        <v>0.44851999999999997</v>
      </c>
      <c r="I26" s="2013" t="str">
        <f>IFERROR(VLOOKUP(F26,B.BasicInfomation!$B:$O,14,0),"")</f>
        <v>ADC12</v>
      </c>
      <c r="J26" s="5">
        <f>'2. S Plan'!L26</f>
        <v>47233.734939759037</v>
      </c>
      <c r="K26" s="1657">
        <f>'2. S Plan'!M26</f>
        <v>23616.867469879518</v>
      </c>
      <c r="L26" s="1658">
        <f>'2. S Plan'!N26</f>
        <v>23616.867469879518</v>
      </c>
      <c r="M26" s="5">
        <f>'2. S Plan'!O26</f>
        <v>23616.867469879518</v>
      </c>
      <c r="N26" s="1657">
        <f>'2. S Plan'!P26</f>
        <v>23616.867469879518</v>
      </c>
      <c r="O26" s="1565">
        <f>'2. S Plan'!Q26</f>
        <v>23616.867469879518</v>
      </c>
      <c r="P26" s="1743">
        <f>'2. S Plan'!R26</f>
        <v>23616.867469879518</v>
      </c>
      <c r="Q26" s="1563">
        <f>'2. S Plan'!S26</f>
        <v>23616.867469879518</v>
      </c>
      <c r="R26" s="1564">
        <f>'2. S Plan'!T26</f>
        <v>23616.867469879518</v>
      </c>
      <c r="S26" s="1610">
        <f>'2. S Plan'!U26</f>
        <v>23616.867469879518</v>
      </c>
      <c r="T26" s="1563">
        <f>'2. S Plan'!V26</f>
        <v>23616.867469879518</v>
      </c>
      <c r="U26" s="1564">
        <f>'2. S Plan'!W26</f>
        <v>23616.867469879518</v>
      </c>
      <c r="V26" s="1566"/>
      <c r="W26" s="1766"/>
      <c r="Y26" s="1731"/>
      <c r="AA26" s="1744"/>
      <c r="AB26" s="1741"/>
      <c r="AC26" s="1745"/>
      <c r="AD26" s="1544"/>
      <c r="AE26" s="1544"/>
      <c r="AF26" s="1544"/>
    </row>
    <row r="27" spans="1:32" s="1579" customFormat="1" ht="15.75" customHeight="1">
      <c r="A27" s="5190"/>
      <c r="B27" s="5246"/>
      <c r="C27" s="15"/>
      <c r="D27" s="15"/>
      <c r="E27" s="15">
        <v>14</v>
      </c>
      <c r="F27" s="1673" t="str">
        <f>'2. S Plan'!F27</f>
        <v>MQ4a PE Housing (YT)</v>
      </c>
      <c r="G27" s="4022">
        <f>IFERROR(VLOOKUP(F27,B.BasicInfomation!$B:$O,6,0),"")</f>
        <v>0.8</v>
      </c>
      <c r="H27" s="4364">
        <f>IFERROR(VLOOKUP(F27,B.BasicInfomation!$B:$O,9,0),"")</f>
        <v>0.44851999999999997</v>
      </c>
      <c r="I27" s="2013" t="str">
        <f>IFERROR(VLOOKUP(F27,B.BasicInfomation!$B:$O,14,0),"")</f>
        <v>ADC12</v>
      </c>
      <c r="J27" s="5">
        <f>'2. S Plan'!L27</f>
        <v>20298.594765762922</v>
      </c>
      <c r="K27" s="1657">
        <f>'2. S Plan'!M27</f>
        <v>16634.945954381321</v>
      </c>
      <c r="L27" s="1658">
        <f>'2. S Plan'!N27</f>
        <v>14357.542639198165</v>
      </c>
      <c r="M27" s="5">
        <f>'2. S Plan'!O27</f>
        <v>14852.630316411894</v>
      </c>
      <c r="N27" s="1657">
        <f>'2. S Plan'!P27</f>
        <v>16634.945954381321</v>
      </c>
      <c r="O27" s="1565">
        <f>'2. S Plan'!Q27</f>
        <v>15238.798704638602</v>
      </c>
      <c r="P27" s="1743">
        <f>'2. S Plan'!R27</f>
        <v>15238.798704638602</v>
      </c>
      <c r="Q27" s="1563">
        <f>'2. S Plan'!S27</f>
        <v>15238.798704638602</v>
      </c>
      <c r="R27" s="1564">
        <f>'2. S Plan'!T27</f>
        <v>15238.798704638602</v>
      </c>
      <c r="S27" s="1610">
        <f>'2. S Plan'!U27</f>
        <v>15238.798704638602</v>
      </c>
      <c r="T27" s="1563">
        <f>'2. S Plan'!V27</f>
        <v>15238.798704638602</v>
      </c>
      <c r="U27" s="1564">
        <f>'2. S Plan'!W27</f>
        <v>15238.798704638602</v>
      </c>
      <c r="V27" s="1566">
        <f t="shared" si="12"/>
        <v>189450.25056260586</v>
      </c>
      <c r="W27" s="1766"/>
      <c r="X27" s="1579">
        <v>1.07331</v>
      </c>
      <c r="Y27" s="1731">
        <f>_xlfn.XLOOKUP(F27,B.BasicInfomation!B:B,B.BasicInfomation!J:J,"",0)</f>
        <v>0.44851999999999997</v>
      </c>
      <c r="AA27" s="1744">
        <f t="shared" si="9"/>
        <v>0.8</v>
      </c>
      <c r="AB27" s="1741">
        <f t="shared" si="10"/>
        <v>0.44851999999999997</v>
      </c>
      <c r="AC27" s="1745" t="str">
        <f t="shared" si="11"/>
        <v>ADC12</v>
      </c>
      <c r="AD27" s="1544" t="b">
        <f t="shared" si="3"/>
        <v>1</v>
      </c>
      <c r="AE27" s="1544" t="b">
        <f t="shared" si="4"/>
        <v>1</v>
      </c>
      <c r="AF27" s="1544" t="b">
        <f t="shared" si="5"/>
        <v>1</v>
      </c>
    </row>
    <row r="28" spans="1:32" s="1579" customFormat="1" ht="15.75" customHeight="1">
      <c r="A28" s="5190"/>
      <c r="B28" s="5246"/>
      <c r="C28" s="15"/>
      <c r="D28" s="15"/>
      <c r="E28" s="15"/>
      <c r="F28" s="1673" t="str">
        <f>'2. S Plan'!F28</f>
        <v>MQ4a PE Housing (MX)</v>
      </c>
      <c r="G28" s="4022">
        <f>IFERROR(VLOOKUP(F28,B.BasicInfomation!$B:$O,6,0),"")</f>
        <v>0.8</v>
      </c>
      <c r="H28" s="4364">
        <f>IFERROR(VLOOKUP(F28,B.BasicInfomation!$B:$O,9,0),"")</f>
        <v>0.44851999999999997</v>
      </c>
      <c r="I28" s="2013" t="str">
        <f>IFERROR(VLOOKUP(F28,B.BasicInfomation!$B:$O,14,0),"")</f>
        <v>ADC12</v>
      </c>
      <c r="J28" s="5">
        <f>'2. S Plan'!L28</f>
        <v>47228.466257668719</v>
      </c>
      <c r="K28" s="1657">
        <f>'2. S Plan'!M28</f>
        <v>23614.233128834359</v>
      </c>
      <c r="L28" s="1658">
        <f>'2. S Plan'!N28</f>
        <v>23614.233128834359</v>
      </c>
      <c r="M28" s="5">
        <f>'2. S Plan'!O28</f>
        <v>23614.233128834359</v>
      </c>
      <c r="N28" s="1657">
        <f>'2. S Plan'!P28</f>
        <v>21865.030674846628</v>
      </c>
      <c r="O28" s="1565">
        <f>'2. S Plan'!Q28</f>
        <v>21865.030674846628</v>
      </c>
      <c r="P28" s="1743">
        <f>'2. S Plan'!R28</f>
        <v>21865.030674846628</v>
      </c>
      <c r="Q28" s="1563">
        <f>'2. S Plan'!S28</f>
        <v>21865.030674846628</v>
      </c>
      <c r="R28" s="1564">
        <f>'2. S Plan'!T28</f>
        <v>21865.030674846628</v>
      </c>
      <c r="S28" s="1610">
        <f>'2. S Plan'!U28</f>
        <v>21865.030674846628</v>
      </c>
      <c r="T28" s="1563">
        <f>'2. S Plan'!V28</f>
        <v>21865.030674846628</v>
      </c>
      <c r="U28" s="1564">
        <f>'2. S Plan'!W28</f>
        <v>21865.030674846628</v>
      </c>
      <c r="V28" s="1566"/>
      <c r="W28" s="1766"/>
      <c r="Y28" s="1731"/>
      <c r="AA28" s="1744"/>
      <c r="AB28" s="1741"/>
      <c r="AC28" s="1745"/>
      <c r="AD28" s="1544"/>
      <c r="AE28" s="1544"/>
      <c r="AF28" s="1544"/>
    </row>
    <row r="29" spans="1:32" s="1579" customFormat="1" ht="15.75" customHeight="1">
      <c r="A29" s="5190"/>
      <c r="B29" s="5246"/>
      <c r="C29" s="15"/>
      <c r="D29" s="15"/>
      <c r="E29" s="15"/>
      <c r="F29" s="1673" t="str">
        <f>'2. S Plan'!F29</f>
        <v>BYD Housing</v>
      </c>
      <c r="G29" s="4022">
        <f>IFERROR(VLOOKUP(F29,B.BasicInfomation!$B:$O,6,0),"")</f>
        <v>0.8</v>
      </c>
      <c r="H29" s="4364">
        <f>IFERROR(VLOOKUP(F29,B.BasicInfomation!$B:$O,9,0),"")</f>
        <v>0.44851999999999997</v>
      </c>
      <c r="I29" s="2013" t="str">
        <f>IFERROR(VLOOKUP(F29,B.BasicInfomation!$B:$O,14,0),"")</f>
        <v>ADC12</v>
      </c>
      <c r="J29" s="5">
        <f>'2. S Plan'!L29</f>
        <v>0</v>
      </c>
      <c r="K29" s="1657">
        <f>'2. S Plan'!M29</f>
        <v>0</v>
      </c>
      <c r="L29" s="1658">
        <f>'2. S Plan'!N29</f>
        <v>0</v>
      </c>
      <c r="M29" s="5">
        <f>'2. S Plan'!O29</f>
        <v>0</v>
      </c>
      <c r="N29" s="1657">
        <f>'2. S Plan'!P29</f>
        <v>0</v>
      </c>
      <c r="O29" s="1565">
        <f>'2. S Plan'!Q29</f>
        <v>0</v>
      </c>
      <c r="P29" s="1743">
        <f>'2. S Plan'!R29</f>
        <v>0</v>
      </c>
      <c r="Q29" s="1563">
        <f>'2. S Plan'!S29</f>
        <v>0</v>
      </c>
      <c r="R29" s="1564">
        <f>'2. S Plan'!T29</f>
        <v>0</v>
      </c>
      <c r="S29" s="1610">
        <f>'2. S Plan'!U29</f>
        <v>0</v>
      </c>
      <c r="T29" s="1563">
        <f>'2. S Plan'!V29</f>
        <v>0</v>
      </c>
      <c r="U29" s="1564">
        <f>'2. S Plan'!W29</f>
        <v>0</v>
      </c>
      <c r="V29" s="1566">
        <f t="shared" si="12"/>
        <v>0</v>
      </c>
      <c r="W29" s="1766"/>
      <c r="Y29" s="1731"/>
      <c r="AA29" s="1744">
        <f t="shared" si="9"/>
        <v>0.8</v>
      </c>
      <c r="AB29" s="1741">
        <f t="shared" si="10"/>
        <v>0.44851999999999997</v>
      </c>
      <c r="AC29" s="1745" t="str">
        <f t="shared" si="11"/>
        <v>ADC12</v>
      </c>
      <c r="AD29" s="1544" t="b">
        <f t="shared" si="3"/>
        <v>1</v>
      </c>
      <c r="AE29" s="1544" t="b">
        <f t="shared" si="4"/>
        <v>1</v>
      </c>
      <c r="AF29" s="1544" t="b">
        <f t="shared" si="5"/>
        <v>1</v>
      </c>
    </row>
    <row r="30" spans="1:32" s="1579" customFormat="1" ht="15.75" customHeight="1">
      <c r="A30" s="5190"/>
      <c r="B30" s="5246"/>
      <c r="C30" s="15"/>
      <c r="D30" s="15"/>
      <c r="E30" s="15">
        <v>15</v>
      </c>
      <c r="F30" s="1673" t="str">
        <f>'2. S Plan'!F30</f>
        <v>MX5 Housing</v>
      </c>
      <c r="G30" s="4022">
        <f>IFERROR(VLOOKUP(F30,B.BasicInfomation!$B:$O,6,0),"")</f>
        <v>0.8</v>
      </c>
      <c r="H30" s="4364">
        <f>IFERROR(VLOOKUP(F30,B.BasicInfomation!$B:$O,9,0),"")</f>
        <v>0.44569999999999999</v>
      </c>
      <c r="I30" s="2013" t="str">
        <f>IFERROR(VLOOKUP(F30,B.BasicInfomation!$B:$O,14,0),"")</f>
        <v>ADC12</v>
      </c>
      <c r="J30" s="5">
        <f>'2. S Plan'!L30</f>
        <v>0</v>
      </c>
      <c r="K30" s="1657">
        <f>'2. S Plan'!M30</f>
        <v>0</v>
      </c>
      <c r="L30" s="1658">
        <f>'2. S Plan'!N30</f>
        <v>0</v>
      </c>
      <c r="M30" s="5">
        <f>'2. S Plan'!O30</f>
        <v>0</v>
      </c>
      <c r="N30" s="1657">
        <f>'2. S Plan'!P30</f>
        <v>0</v>
      </c>
      <c r="O30" s="1565">
        <f>'2. S Plan'!Q30</f>
        <v>0</v>
      </c>
      <c r="P30" s="1743">
        <f>'2. S Plan'!R30</f>
        <v>0</v>
      </c>
      <c r="Q30" s="1563">
        <f>'2. S Plan'!S30</f>
        <v>0</v>
      </c>
      <c r="R30" s="1564">
        <f>'2. S Plan'!T30</f>
        <v>0</v>
      </c>
      <c r="S30" s="1610">
        <f>'2. S Plan'!U30</f>
        <v>0</v>
      </c>
      <c r="T30" s="1563">
        <f>'2. S Plan'!V30</f>
        <v>0</v>
      </c>
      <c r="U30" s="1564">
        <f>'2. S Plan'!W30</f>
        <v>0</v>
      </c>
      <c r="V30" s="1566">
        <f t="shared" si="12"/>
        <v>0</v>
      </c>
      <c r="W30" s="1766"/>
      <c r="Y30" s="1731"/>
      <c r="AA30" s="1744">
        <f t="shared" si="9"/>
        <v>0.8</v>
      </c>
      <c r="AB30" s="1741">
        <f t="shared" si="10"/>
        <v>0.44569999999999999</v>
      </c>
      <c r="AC30" s="1745" t="str">
        <f t="shared" si="11"/>
        <v>ADC12</v>
      </c>
      <c r="AD30" s="1544" t="b">
        <f t="shared" si="3"/>
        <v>1</v>
      </c>
      <c r="AE30" s="1544" t="b">
        <f t="shared" si="4"/>
        <v>1</v>
      </c>
      <c r="AF30" s="1544" t="b">
        <f t="shared" si="5"/>
        <v>1</v>
      </c>
    </row>
    <row r="31" spans="1:32" s="1579" customFormat="1" ht="15.75" customHeight="1">
      <c r="A31" s="5190"/>
      <c r="B31" s="5246"/>
      <c r="C31" s="15"/>
      <c r="D31" s="12" t="s">
        <v>874</v>
      </c>
      <c r="E31" s="12"/>
      <c r="F31" s="1673" t="str">
        <f>'2. S Plan'!F31</f>
        <v>Gen2 Cover</v>
      </c>
      <c r="G31" s="4022">
        <f>IFERROR(VLOOKUP(F31,B.BasicInfomation!$B:$O,6,0),"")</f>
        <v>0.85</v>
      </c>
      <c r="H31" s="4364">
        <f>IFERROR(VLOOKUP(F31,B.BasicInfomation!$B:$O,9,0),"")</f>
        <v>0.1162</v>
      </c>
      <c r="I31" s="2013" t="str">
        <f>IFERROR(VLOOKUP(F31,B.BasicInfomation!$B:$O,14,0),"")</f>
        <v>ADC12</v>
      </c>
      <c r="J31" s="1769">
        <f>'2. S Plan'!L31</f>
        <v>4017.6964983339863</v>
      </c>
      <c r="K31" s="1770">
        <f>'2. S Plan'!M31</f>
        <v>5062.2975879008227</v>
      </c>
      <c r="L31" s="1771">
        <f>'2. S Plan'!N31</f>
        <v>5022.1206229174832</v>
      </c>
      <c r="M31" s="1769">
        <f>'2. S Plan'!O31</f>
        <v>0</v>
      </c>
      <c r="N31" s="1770">
        <f>'2. S Plan'!P31</f>
        <v>0</v>
      </c>
      <c r="O31" s="1584">
        <f>'2. S Plan'!Q31</f>
        <v>0</v>
      </c>
      <c r="P31" s="1661">
        <f>'2. S Plan'!R31</f>
        <v>0</v>
      </c>
      <c r="Q31" s="1582">
        <f>'2. S Plan'!S31</f>
        <v>0</v>
      </c>
      <c r="R31" s="1583">
        <f>'2. S Plan'!T31</f>
        <v>0</v>
      </c>
      <c r="S31" s="1772">
        <f>'2. S Plan'!U31</f>
        <v>0</v>
      </c>
      <c r="T31" s="1582">
        <f>'2. S Plan'!V31</f>
        <v>0</v>
      </c>
      <c r="U31" s="1583">
        <f>'2. S Plan'!W31</f>
        <v>0</v>
      </c>
      <c r="V31" s="1585">
        <f t="shared" si="12"/>
        <v>14102.114709152291</v>
      </c>
      <c r="W31" s="1766"/>
      <c r="X31" s="1579">
        <v>0.48707499999999998</v>
      </c>
      <c r="Y31" s="1731">
        <f>_xlfn.XLOOKUP(F31,B.BasicInfomation!B:B,B.BasicInfomation!J:J,"",0)</f>
        <v>0.1162</v>
      </c>
      <c r="AA31" s="1744">
        <f t="shared" si="9"/>
        <v>0.85</v>
      </c>
      <c r="AB31" s="1741">
        <f t="shared" si="10"/>
        <v>0.1162</v>
      </c>
      <c r="AC31" s="1745" t="str">
        <f t="shared" si="11"/>
        <v>ADC12</v>
      </c>
      <c r="AD31" s="1544" t="b">
        <f t="shared" si="3"/>
        <v>1</v>
      </c>
      <c r="AE31" s="1544" t="b">
        <f t="shared" si="4"/>
        <v>1</v>
      </c>
      <c r="AF31" s="1544" t="b">
        <f t="shared" si="5"/>
        <v>1</v>
      </c>
    </row>
    <row r="32" spans="1:32" s="1579" customFormat="1" ht="15.75" customHeight="1">
      <c r="A32" s="5190"/>
      <c r="B32" s="5246"/>
      <c r="C32" s="15"/>
      <c r="D32" s="15"/>
      <c r="E32" s="15"/>
      <c r="F32" s="1673" t="str">
        <f>'2. S Plan'!F32</f>
        <v>T6 Cover</v>
      </c>
      <c r="G32" s="4022">
        <f>IFERROR(VLOOKUP(F32,B.BasicInfomation!$B:$O,6,0),"")</f>
        <v>0.85</v>
      </c>
      <c r="H32" s="4364">
        <f>IFERROR(VLOOKUP(F32,B.BasicInfomation!$B:$O,9,0),"")</f>
        <v>0.1162</v>
      </c>
      <c r="I32" s="2013" t="str">
        <f>IFERROR(VLOOKUP(F32,B.BasicInfomation!$B:$O,14,0),"")</f>
        <v>ADC12</v>
      </c>
      <c r="J32" s="5">
        <f>'2. S Plan'!L32</f>
        <v>0</v>
      </c>
      <c r="K32" s="1657">
        <f>'2. S Plan'!M32</f>
        <v>0</v>
      </c>
      <c r="L32" s="1658">
        <f>'2. S Plan'!N32</f>
        <v>0</v>
      </c>
      <c r="M32" s="5">
        <f>'2. S Plan'!O32</f>
        <v>0</v>
      </c>
      <c r="N32" s="1657">
        <f>'2. S Plan'!P32</f>
        <v>0</v>
      </c>
      <c r="O32" s="1565">
        <f>'2. S Plan'!Q32</f>
        <v>0</v>
      </c>
      <c r="P32" s="1743">
        <f>'2. S Plan'!R32</f>
        <v>0</v>
      </c>
      <c r="Q32" s="1563">
        <f>'2. S Plan'!S32</f>
        <v>0</v>
      </c>
      <c r="R32" s="1564">
        <f>'2. S Plan'!T32</f>
        <v>0</v>
      </c>
      <c r="S32" s="1610">
        <f>'2. S Plan'!U32</f>
        <v>0</v>
      </c>
      <c r="T32" s="1563">
        <f>'2. S Plan'!V32</f>
        <v>0</v>
      </c>
      <c r="U32" s="1564">
        <f>'2. S Plan'!W32</f>
        <v>0</v>
      </c>
      <c r="V32" s="1566">
        <f t="shared" si="12"/>
        <v>0</v>
      </c>
      <c r="W32" s="1766"/>
      <c r="X32" s="1579">
        <v>0.30774499999999999</v>
      </c>
      <c r="Y32" s="1731">
        <f>_xlfn.XLOOKUP(F32,B.BasicInfomation!B:B,B.BasicInfomation!J:J,"",0)</f>
        <v>0.1162</v>
      </c>
      <c r="AA32" s="1744">
        <f t="shared" si="9"/>
        <v>0.85</v>
      </c>
      <c r="AB32" s="1741">
        <f t="shared" si="10"/>
        <v>0.1162</v>
      </c>
      <c r="AC32" s="1745" t="str">
        <f t="shared" si="11"/>
        <v>ADC12</v>
      </c>
      <c r="AD32" s="1544" t="b">
        <f t="shared" si="3"/>
        <v>1</v>
      </c>
      <c r="AE32" s="1544" t="b">
        <f t="shared" si="4"/>
        <v>1</v>
      </c>
      <c r="AF32" s="1544" t="b">
        <f t="shared" si="5"/>
        <v>1</v>
      </c>
    </row>
    <row r="33" spans="1:32" s="1579" customFormat="1" ht="15.75" customHeight="1">
      <c r="A33" s="5190"/>
      <c r="B33" s="5246"/>
      <c r="C33" s="15"/>
      <c r="D33" s="15"/>
      <c r="E33" s="15">
        <v>16</v>
      </c>
      <c r="F33" s="1673" t="str">
        <f>'2. S Plan'!F33</f>
        <v>EK_Part Cover</v>
      </c>
      <c r="G33" s="4022">
        <f>IFERROR(VLOOKUP(F33,B.BasicInfomation!$B:$O,6,0),"")</f>
        <v>0.85</v>
      </c>
      <c r="H33" s="4364">
        <f>IFERROR(VLOOKUP(F33,B.BasicInfomation!$B:$O,9,0),"")</f>
        <v>0.1162</v>
      </c>
      <c r="I33" s="2013" t="str">
        <f>IFERROR(VLOOKUP(F33,B.BasicInfomation!$B:$O,14,0),"")</f>
        <v>ADC12</v>
      </c>
      <c r="J33" s="5">
        <f>'2. S Plan'!L33</f>
        <v>17369.27272262501</v>
      </c>
      <c r="K33" s="1657">
        <f>'2. S Plan'!M33</f>
        <v>13026.954541968757</v>
      </c>
      <c r="L33" s="1658">
        <f>'2. S Plan'!N33</f>
        <v>13026.954541968757</v>
      </c>
      <c r="M33" s="5">
        <f>'2. S Plan'!O33</f>
        <v>13026.954541968757</v>
      </c>
      <c r="N33" s="1657">
        <f>'2. S Plan'!P33</f>
        <v>13026.954541968757</v>
      </c>
      <c r="O33" s="1565">
        <f>'2. S Plan'!Q33</f>
        <v>13026.954541968757</v>
      </c>
      <c r="P33" s="1743">
        <f>'2. S Plan'!R33</f>
        <v>9892.1122575208574</v>
      </c>
      <c r="Q33" s="1563">
        <f>'2. S Plan'!S33</f>
        <v>9892.1122575208574</v>
      </c>
      <c r="R33" s="1564">
        <f>'2. S Plan'!T33</f>
        <v>9892.1122575208574</v>
      </c>
      <c r="S33" s="1610">
        <f>'2. S Plan'!U33</f>
        <v>9892.1122575208574</v>
      </c>
      <c r="T33" s="1563">
        <f>'2. S Plan'!V33</f>
        <v>9892.1122575208574</v>
      </c>
      <c r="U33" s="1564">
        <f>'2. S Plan'!W33</f>
        <v>9892.1122575208574</v>
      </c>
      <c r="V33" s="1566">
        <f t="shared" si="12"/>
        <v>141856.71897759393</v>
      </c>
      <c r="W33" s="1766"/>
      <c r="X33" s="1579">
        <v>0.97</v>
      </c>
      <c r="Y33" s="1731">
        <f>_xlfn.XLOOKUP(F33,B.BasicInfomation!B:B,B.BasicInfomation!J:J,"",0)</f>
        <v>0.1162</v>
      </c>
      <c r="AA33" s="1744">
        <f t="shared" si="9"/>
        <v>0.85</v>
      </c>
      <c r="AB33" s="1741">
        <f t="shared" si="10"/>
        <v>0.1162</v>
      </c>
      <c r="AC33" s="1745" t="str">
        <f t="shared" si="11"/>
        <v>ADC12</v>
      </c>
      <c r="AD33" s="1544" t="b">
        <f t="shared" si="3"/>
        <v>1</v>
      </c>
      <c r="AE33" s="1544" t="b">
        <f t="shared" si="4"/>
        <v>1</v>
      </c>
      <c r="AF33" s="1544" t="b">
        <f t="shared" si="5"/>
        <v>1</v>
      </c>
    </row>
    <row r="34" spans="1:32" s="1579" customFormat="1" ht="15.75" customHeight="1">
      <c r="A34" s="5190"/>
      <c r="B34" s="5246"/>
      <c r="C34" s="15"/>
      <c r="D34" s="15"/>
      <c r="E34" s="1773"/>
      <c r="F34" s="1673" t="str">
        <f>'2. S Plan'!F34</f>
        <v>570W Cover</v>
      </c>
      <c r="G34" s="4022">
        <f>IFERROR(VLOOKUP(F34,B.BasicInfomation!$B:$O,6,0),"")</f>
        <v>0.85</v>
      </c>
      <c r="H34" s="4364">
        <f>IFERROR(VLOOKUP(F34,B.BasicInfomation!$B:$O,9,0),"")</f>
        <v>0.1162</v>
      </c>
      <c r="I34" s="2013" t="str">
        <f>IFERROR(VLOOKUP(F34,B.BasicInfomation!$B:$O,14,0),"")</f>
        <v>ADC12</v>
      </c>
      <c r="J34" s="5">
        <f>'2. S Plan'!L34</f>
        <v>0</v>
      </c>
      <c r="K34" s="1657">
        <f>'2. S Plan'!M34</f>
        <v>0</v>
      </c>
      <c r="L34" s="1658">
        <f>'2. S Plan'!N34</f>
        <v>0</v>
      </c>
      <c r="M34" s="5">
        <f>'2. S Plan'!O34</f>
        <v>0</v>
      </c>
      <c r="N34" s="1657">
        <f>'2. S Plan'!P34</f>
        <v>0</v>
      </c>
      <c r="O34" s="1565">
        <f>'2. S Plan'!Q34</f>
        <v>0</v>
      </c>
      <c r="P34" s="1743">
        <f>'2. S Plan'!R34</f>
        <v>0</v>
      </c>
      <c r="Q34" s="1563">
        <f>'2. S Plan'!S34</f>
        <v>0</v>
      </c>
      <c r="R34" s="1564">
        <f>'2. S Plan'!T34</f>
        <v>0</v>
      </c>
      <c r="S34" s="1610">
        <f>'2. S Plan'!U34</f>
        <v>0</v>
      </c>
      <c r="T34" s="1563">
        <f>'2. S Plan'!V34</f>
        <v>0</v>
      </c>
      <c r="U34" s="1564">
        <f>'2. S Plan'!W34</f>
        <v>0</v>
      </c>
      <c r="V34" s="1566">
        <f t="shared" si="12"/>
        <v>0</v>
      </c>
      <c r="W34" s="1766"/>
      <c r="Y34" s="1731"/>
      <c r="AA34" s="1744">
        <f t="shared" si="9"/>
        <v>0.85</v>
      </c>
      <c r="AB34" s="1741">
        <f t="shared" si="10"/>
        <v>0.1162</v>
      </c>
      <c r="AC34" s="1745" t="str">
        <f t="shared" si="11"/>
        <v>ADC12</v>
      </c>
      <c r="AD34" s="1544" t="b">
        <f t="shared" si="3"/>
        <v>1</v>
      </c>
      <c r="AE34" s="1544" t="b">
        <f t="shared" si="4"/>
        <v>1</v>
      </c>
      <c r="AF34" s="1544" t="b">
        <f t="shared" si="5"/>
        <v>1</v>
      </c>
    </row>
    <row r="35" spans="1:32" ht="15.75" customHeight="1">
      <c r="A35" s="5190"/>
      <c r="B35" s="5246"/>
      <c r="C35" s="15"/>
      <c r="D35" s="15"/>
      <c r="E35" s="15">
        <v>17</v>
      </c>
      <c r="F35" s="1673" t="str">
        <f>'2. S Plan'!F35</f>
        <v>CL4 Cover (YT)</v>
      </c>
      <c r="G35" s="4022">
        <f>IFERROR(VLOOKUP(F35,B.BasicInfomation!$B:$O,6,0),"")</f>
        <v>0.85</v>
      </c>
      <c r="H35" s="4364">
        <f>IFERROR(VLOOKUP(F35,B.BasicInfomation!$B:$O,9,0),"")</f>
        <v>0.1162</v>
      </c>
      <c r="I35" s="2013" t="str">
        <f>IFERROR(VLOOKUP(F35,B.BasicInfomation!$B:$O,14,0),"")</f>
        <v>ADC12</v>
      </c>
      <c r="J35" s="5">
        <f>'2. S Plan'!L35</f>
        <v>18970.855669044646</v>
      </c>
      <c r="K35" s="1657">
        <f>'2. S Plan'!M35</f>
        <v>0</v>
      </c>
      <c r="L35" s="1658">
        <f>'2. S Plan'!N35</f>
        <v>0</v>
      </c>
      <c r="M35" s="5">
        <f>'2. S Plan'!O35</f>
        <v>0</v>
      </c>
      <c r="N35" s="1657">
        <f>'2. S Plan'!P35</f>
        <v>0</v>
      </c>
      <c r="O35" s="1565">
        <f>'2. S Plan'!Q35</f>
        <v>0</v>
      </c>
      <c r="P35" s="1743">
        <f>'2. S Plan'!R35</f>
        <v>0</v>
      </c>
      <c r="Q35" s="1563">
        <f>'2. S Plan'!S35</f>
        <v>0</v>
      </c>
      <c r="R35" s="1564">
        <f>'2. S Plan'!T35</f>
        <v>0</v>
      </c>
      <c r="S35" s="1610">
        <f>'2. S Plan'!U35</f>
        <v>0</v>
      </c>
      <c r="T35" s="1563">
        <f>'2. S Plan'!V35</f>
        <v>0</v>
      </c>
      <c r="U35" s="1564">
        <f>'2. S Plan'!W35</f>
        <v>0</v>
      </c>
      <c r="V35" s="1566">
        <f t="shared" si="12"/>
        <v>18970.855669044646</v>
      </c>
      <c r="W35" s="1730"/>
      <c r="X35" s="1544">
        <v>0.346225</v>
      </c>
      <c r="Y35" s="1731">
        <f>_xlfn.XLOOKUP(F35,B.BasicInfomation!B:B,B.BasicInfomation!J:J,"",0)</f>
        <v>0.1162</v>
      </c>
      <c r="AA35" s="1744">
        <f t="shared" si="9"/>
        <v>0.85</v>
      </c>
      <c r="AB35" s="1741">
        <f t="shared" si="10"/>
        <v>0.1162</v>
      </c>
      <c r="AC35" s="1745" t="str">
        <f t="shared" si="11"/>
        <v>ADC12</v>
      </c>
      <c r="AD35" s="1544" t="b">
        <f t="shared" si="3"/>
        <v>1</v>
      </c>
      <c r="AE35" s="1544" t="b">
        <f t="shared" si="4"/>
        <v>1</v>
      </c>
      <c r="AF35" s="1544" t="b">
        <f t="shared" si="5"/>
        <v>1</v>
      </c>
    </row>
    <row r="36" spans="1:32" ht="15.75" customHeight="1">
      <c r="A36" s="5190"/>
      <c r="B36" s="5246"/>
      <c r="C36" s="15"/>
      <c r="D36" s="15"/>
      <c r="E36" s="15"/>
      <c r="F36" s="1673" t="str">
        <f>'2. S Plan'!F36</f>
        <v>CL4 Cover (MX)</v>
      </c>
      <c r="G36" s="4022">
        <f>IFERROR(VLOOKUP(F36,B.BasicInfomation!$B:$O,6,0),"")</f>
        <v>0.85</v>
      </c>
      <c r="H36" s="4364">
        <f>IFERROR(VLOOKUP(F36,B.BasicInfomation!$B:$O,9,0),"")</f>
        <v>0.1162</v>
      </c>
      <c r="I36" s="2013" t="str">
        <f>IFERROR(VLOOKUP(F36,B.BasicInfomation!$B:$O,14,0),"")</f>
        <v>ADC12</v>
      </c>
      <c r="J36" s="5">
        <f>'2. S Plan'!L36</f>
        <v>47165.373134328358</v>
      </c>
      <c r="K36" s="1657">
        <f>'2. S Plan'!M36</f>
        <v>23582.686567164179</v>
      </c>
      <c r="L36" s="1658">
        <f>'2. S Plan'!N36</f>
        <v>23582.686567164179</v>
      </c>
      <c r="M36" s="5">
        <f>'2. S Plan'!O36</f>
        <v>23582.686567164179</v>
      </c>
      <c r="N36" s="1657">
        <f>'2. S Plan'!P36</f>
        <v>23582.686567164179</v>
      </c>
      <c r="O36" s="1565">
        <f>'2. S Plan'!Q36</f>
        <v>23582.686567164179</v>
      </c>
      <c r="P36" s="1743">
        <f>'2. S Plan'!R36</f>
        <v>23582.686567164179</v>
      </c>
      <c r="Q36" s="1563">
        <f>'2. S Plan'!S36</f>
        <v>23582.686567164179</v>
      </c>
      <c r="R36" s="1564">
        <f>'2. S Plan'!T36</f>
        <v>23582.686567164179</v>
      </c>
      <c r="S36" s="1610">
        <f>'2. S Plan'!U36</f>
        <v>23582.686567164179</v>
      </c>
      <c r="T36" s="1563">
        <f>'2. S Plan'!V36</f>
        <v>23582.686567164179</v>
      </c>
      <c r="U36" s="1564">
        <f>'2. S Plan'!W36</f>
        <v>23582.686567164179</v>
      </c>
      <c r="V36" s="1566"/>
      <c r="W36" s="1730"/>
      <c r="Y36" s="1731"/>
      <c r="AA36" s="1744"/>
      <c r="AB36" s="1741"/>
      <c r="AC36" s="1745"/>
    </row>
    <row r="37" spans="1:32" ht="15.75" customHeight="1">
      <c r="A37" s="5190"/>
      <c r="B37" s="5246"/>
      <c r="C37" s="15"/>
      <c r="D37" s="15"/>
      <c r="E37" s="15">
        <v>18</v>
      </c>
      <c r="F37" s="1673" t="str">
        <f>'2. S Plan'!F37</f>
        <v>MQ4a PE Cover (YT)</v>
      </c>
      <c r="G37" s="4022">
        <f>IFERROR(VLOOKUP(F37,B.BasicInfomation!$B:$O,6,0),"")</f>
        <v>0.85</v>
      </c>
      <c r="H37" s="4364">
        <f>IFERROR(VLOOKUP(F37,B.BasicInfomation!$B:$O,9,0),"")</f>
        <v>0.1162</v>
      </c>
      <c r="I37" s="2013" t="str">
        <f>IFERROR(VLOOKUP(F37,B.BasicInfomation!$B:$O,14,0),"")</f>
        <v>ADC12</v>
      </c>
      <c r="J37" s="5">
        <f>'2. S Plan'!L37</f>
        <v>25744.141415643957</v>
      </c>
      <c r="K37" s="1657">
        <f>'2. S Plan'!M37</f>
        <v>23598.796297673623</v>
      </c>
      <c r="L37" s="1658">
        <f>'2. S Plan'!N37</f>
        <v>15017.415825792306</v>
      </c>
      <c r="M37" s="5">
        <f>'2. S Plan'!O37</f>
        <v>14898.229985905067</v>
      </c>
      <c r="N37" s="1657">
        <f>'2. S Plan'!P37</f>
        <v>16686.017584213674</v>
      </c>
      <c r="O37" s="1565">
        <f>'2. S Plan'!Q37</f>
        <v>15285.583965538599</v>
      </c>
      <c r="P37" s="1743">
        <f>'2. S Plan'!R37</f>
        <v>15285.583965538599</v>
      </c>
      <c r="Q37" s="1563">
        <f>'2. S Plan'!S37</f>
        <v>15285.583965538599</v>
      </c>
      <c r="R37" s="1564">
        <f>'2. S Plan'!T37</f>
        <v>15285.583965538599</v>
      </c>
      <c r="S37" s="1610">
        <f>'2. S Plan'!U37</f>
        <v>15285.583965538599</v>
      </c>
      <c r="T37" s="1563">
        <f>'2. S Plan'!V37</f>
        <v>15285.583965538599</v>
      </c>
      <c r="U37" s="1564">
        <f>'2. S Plan'!W37</f>
        <v>15285.583965538599</v>
      </c>
      <c r="V37" s="1566">
        <f t="shared" si="12"/>
        <v>202943.68886799878</v>
      </c>
      <c r="W37" s="1730"/>
      <c r="X37" s="1544">
        <v>0.37648000000000004</v>
      </c>
      <c r="Y37" s="1731">
        <f>_xlfn.XLOOKUP(F37,B.BasicInfomation!B:B,B.BasicInfomation!J:J,"",0)</f>
        <v>0.1162</v>
      </c>
      <c r="AA37" s="1744">
        <f t="shared" si="9"/>
        <v>0.85</v>
      </c>
      <c r="AB37" s="1741">
        <f t="shared" si="10"/>
        <v>0.1162</v>
      </c>
      <c r="AC37" s="1745" t="str">
        <f t="shared" si="11"/>
        <v>ADC12</v>
      </c>
      <c r="AD37" s="1544" t="b">
        <f t="shared" si="3"/>
        <v>1</v>
      </c>
      <c r="AE37" s="1544" t="b">
        <f t="shared" si="4"/>
        <v>1</v>
      </c>
      <c r="AF37" s="1544" t="b">
        <f t="shared" si="5"/>
        <v>1</v>
      </c>
    </row>
    <row r="38" spans="1:32" ht="15.75" customHeight="1">
      <c r="A38" s="5190"/>
      <c r="B38" s="5246"/>
      <c r="C38" s="15"/>
      <c r="D38" s="15"/>
      <c r="E38" s="15"/>
      <c r="F38" s="1673" t="str">
        <f>'2. S Plan'!F38</f>
        <v>MQ4a PE Cover (MX)</v>
      </c>
      <c r="G38" s="4022">
        <f>IFERROR(VLOOKUP(F38,B.BasicInfomation!$B:$O,6,0),"")</f>
        <v>0.85</v>
      </c>
      <c r="H38" s="4364">
        <f>IFERROR(VLOOKUP(F38,B.BasicInfomation!$B:$O,9,0),"")</f>
        <v>0.1162</v>
      </c>
      <c r="I38" s="2013" t="str">
        <f>IFERROR(VLOOKUP(F38,B.BasicInfomation!$B:$O,14,0),"")</f>
        <v>ADC12</v>
      </c>
      <c r="J38" s="5">
        <f>'2. S Plan'!L38</f>
        <v>45177.464788732403</v>
      </c>
      <c r="K38" s="1657">
        <f>'2. S Plan'!M38</f>
        <v>22588.732394366201</v>
      </c>
      <c r="L38" s="1658">
        <f>'2. S Plan'!N38</f>
        <v>22588.732394366201</v>
      </c>
      <c r="M38" s="5">
        <f>'2. S Plan'!O38</f>
        <v>22588.732394366201</v>
      </c>
      <c r="N38" s="1657">
        <f>'2. S Plan'!P38</f>
        <v>20915.492957746483</v>
      </c>
      <c r="O38" s="1565">
        <f>'2. S Plan'!Q38</f>
        <v>20915.492957746483</v>
      </c>
      <c r="P38" s="1743">
        <f>'2. S Plan'!R38</f>
        <v>20915.492957746483</v>
      </c>
      <c r="Q38" s="1563">
        <f>'2. S Plan'!S38</f>
        <v>20915.492957746483</v>
      </c>
      <c r="R38" s="1564">
        <f>'2. S Plan'!T38</f>
        <v>20915.492957746483</v>
      </c>
      <c r="S38" s="1610">
        <f>'2. S Plan'!U38</f>
        <v>20915.492957746483</v>
      </c>
      <c r="T38" s="1563">
        <f>'2. S Plan'!V38</f>
        <v>20915.492957746483</v>
      </c>
      <c r="U38" s="1564">
        <f>'2. S Plan'!W38</f>
        <v>20915.492957746483</v>
      </c>
      <c r="V38" s="1566"/>
      <c r="W38" s="1730"/>
      <c r="Y38" s="1731"/>
      <c r="AA38" s="1744"/>
      <c r="AB38" s="1741"/>
      <c r="AC38" s="1745"/>
    </row>
    <row r="39" spans="1:32" ht="15.75" customHeight="1">
      <c r="A39" s="5190"/>
      <c r="B39" s="5246"/>
      <c r="C39" s="15"/>
      <c r="D39" s="15"/>
      <c r="E39" s="15"/>
      <c r="F39" s="1673" t="str">
        <f>'2. S Plan'!F39</f>
        <v>BYD Cover</v>
      </c>
      <c r="G39" s="4022">
        <f>IFERROR(VLOOKUP(F39,B.BasicInfomation!$B:$O,6,0),"")</f>
        <v>0.85</v>
      </c>
      <c r="H39" s="4364">
        <f>IFERROR(VLOOKUP(F39,B.BasicInfomation!$B:$O,9,0),"")</f>
        <v>0.1162</v>
      </c>
      <c r="I39" s="2013" t="str">
        <f>IFERROR(VLOOKUP(F39,B.BasicInfomation!$B:$O,14,0),"")</f>
        <v>ADC12</v>
      </c>
      <c r="J39" s="5">
        <f>'2. S Plan'!L39</f>
        <v>5521.3457112570686</v>
      </c>
      <c r="K39" s="1657">
        <f>'2. S Plan'!M39</f>
        <v>0</v>
      </c>
      <c r="L39" s="1658">
        <f>'2. S Plan'!N39</f>
        <v>0</v>
      </c>
      <c r="M39" s="5">
        <f>'2. S Plan'!O39</f>
        <v>0</v>
      </c>
      <c r="N39" s="1657">
        <f>'2. S Plan'!P39</f>
        <v>0</v>
      </c>
      <c r="O39" s="1565">
        <f>'2. S Plan'!Q39</f>
        <v>0</v>
      </c>
      <c r="P39" s="1743">
        <f>'2. S Plan'!R39</f>
        <v>0</v>
      </c>
      <c r="Q39" s="1563">
        <f>'2. S Plan'!S39</f>
        <v>0</v>
      </c>
      <c r="R39" s="1564">
        <f>'2. S Plan'!T39</f>
        <v>0</v>
      </c>
      <c r="S39" s="1610">
        <f>'2. S Plan'!U39</f>
        <v>0</v>
      </c>
      <c r="T39" s="1563">
        <f>'2. S Plan'!V39</f>
        <v>0</v>
      </c>
      <c r="U39" s="1564">
        <f>'2. S Plan'!W39</f>
        <v>0</v>
      </c>
      <c r="V39" s="1566">
        <f t="shared" si="12"/>
        <v>5521.3457112570686</v>
      </c>
      <c r="W39" s="1730"/>
      <c r="Y39" s="1731"/>
      <c r="AA39" s="1744">
        <f t="shared" si="9"/>
        <v>0.85</v>
      </c>
      <c r="AB39" s="1741">
        <f t="shared" si="10"/>
        <v>0.1162</v>
      </c>
      <c r="AC39" s="1745" t="str">
        <f t="shared" si="11"/>
        <v>ADC12</v>
      </c>
      <c r="AD39" s="1544" t="b">
        <f t="shared" si="3"/>
        <v>1</v>
      </c>
      <c r="AE39" s="1544" t="b">
        <f t="shared" si="4"/>
        <v>1</v>
      </c>
      <c r="AF39" s="1544" t="b">
        <f t="shared" si="5"/>
        <v>1</v>
      </c>
    </row>
    <row r="40" spans="1:32" ht="15.75" customHeight="1">
      <c r="A40" s="5190"/>
      <c r="B40" s="5246"/>
      <c r="C40" s="15"/>
      <c r="D40" s="1586"/>
      <c r="E40" s="1586">
        <v>19</v>
      </c>
      <c r="F40" s="1774" t="str">
        <f>'2. S Plan'!F40</f>
        <v>MX5 Cover</v>
      </c>
      <c r="G40" s="4022">
        <f>IFERROR(VLOOKUP(F40,B.BasicInfomation!$B:$O,6,0),"")</f>
        <v>0.85</v>
      </c>
      <c r="H40" s="4364">
        <f>IFERROR(VLOOKUP(F40,B.BasicInfomation!$B:$O,9,0),"")</f>
        <v>0.1162</v>
      </c>
      <c r="I40" s="2013" t="str">
        <f>IFERROR(VLOOKUP(F40,B.BasicInfomation!$B:$O,14,0),"")</f>
        <v>ADC12</v>
      </c>
      <c r="J40" s="1776">
        <f>'2. S Plan'!L40</f>
        <v>0</v>
      </c>
      <c r="K40" s="1777">
        <f>'2. S Plan'!M40</f>
        <v>0</v>
      </c>
      <c r="L40" s="1778">
        <f>'2. S Plan'!N40</f>
        <v>0</v>
      </c>
      <c r="M40" s="1776">
        <f>'2. S Plan'!O40</f>
        <v>0</v>
      </c>
      <c r="N40" s="1777">
        <f>'2. S Plan'!P40</f>
        <v>0</v>
      </c>
      <c r="O40" s="1590">
        <f>'2. S Plan'!Q40</f>
        <v>0</v>
      </c>
      <c r="P40" s="1779">
        <f>'2. S Plan'!R40</f>
        <v>0</v>
      </c>
      <c r="Q40" s="1588">
        <f>'2. S Plan'!S40</f>
        <v>0</v>
      </c>
      <c r="R40" s="1589">
        <f>'2. S Plan'!T40</f>
        <v>0</v>
      </c>
      <c r="S40" s="1780">
        <f>'2. S Plan'!U40</f>
        <v>0</v>
      </c>
      <c r="T40" s="1588">
        <f>'2. S Plan'!V40</f>
        <v>0</v>
      </c>
      <c r="U40" s="1589">
        <f>'2. S Plan'!W40</f>
        <v>0</v>
      </c>
      <c r="V40" s="1591">
        <f t="shared" si="12"/>
        <v>0</v>
      </c>
      <c r="W40" s="1730"/>
      <c r="Y40" s="1731"/>
      <c r="AA40" s="1744">
        <f t="shared" si="9"/>
        <v>0.85</v>
      </c>
      <c r="AB40" s="1741">
        <f t="shared" si="10"/>
        <v>0.1162</v>
      </c>
      <c r="AC40" s="1745" t="str">
        <f t="shared" si="11"/>
        <v>ADC12</v>
      </c>
      <c r="AD40" s="1544" t="b">
        <f t="shared" si="3"/>
        <v>1</v>
      </c>
      <c r="AE40" s="1544" t="b">
        <f t="shared" si="4"/>
        <v>1</v>
      </c>
      <c r="AF40" s="1544" t="b">
        <f t="shared" si="5"/>
        <v>1</v>
      </c>
    </row>
    <row r="41" spans="1:32" ht="15.75" customHeight="1">
      <c r="A41" s="5190"/>
      <c r="B41" s="5246"/>
      <c r="C41" s="15"/>
      <c r="D41" s="15" t="s">
        <v>905</v>
      </c>
      <c r="E41" s="15"/>
      <c r="F41" s="1673" t="str">
        <f>'2. S Plan'!F41</f>
        <v>FCM30-Upper Housing</v>
      </c>
      <c r="G41" s="4022">
        <f>IFERROR(VLOOKUP(F41,B.BasicInfomation!$B:$O,6,0),"")</f>
        <v>0.85</v>
      </c>
      <c r="H41" s="4364">
        <f>IFERROR(VLOOKUP(F41,B.BasicInfomation!$B:$O,9,0),"")</f>
        <v>4.4400000000000004E-3</v>
      </c>
      <c r="I41" s="2013" t="str">
        <f>IFERROR(VLOOKUP(F41,B.BasicInfomation!$B:$O,14,0),"")</f>
        <v>ADC12</v>
      </c>
      <c r="J41" s="5">
        <f>'2. S Plan'!L41</f>
        <v>0</v>
      </c>
      <c r="K41" s="1657">
        <f>'2. S Plan'!M41</f>
        <v>0</v>
      </c>
      <c r="L41" s="1658">
        <f>'2. S Plan'!N41</f>
        <v>0</v>
      </c>
      <c r="M41" s="5">
        <f>'2. S Plan'!O41</f>
        <v>0</v>
      </c>
      <c r="N41" s="1657">
        <f>'2. S Plan'!P41</f>
        <v>0</v>
      </c>
      <c r="O41" s="1565">
        <f>'2. S Plan'!Q41</f>
        <v>0</v>
      </c>
      <c r="P41" s="1743">
        <f>'2. S Plan'!R41</f>
        <v>0</v>
      </c>
      <c r="Q41" s="1563">
        <f>'2. S Plan'!S41</f>
        <v>0</v>
      </c>
      <c r="R41" s="1564">
        <f>'2. S Plan'!T41</f>
        <v>0</v>
      </c>
      <c r="S41" s="1610">
        <f>'2. S Plan'!U41</f>
        <v>0</v>
      </c>
      <c r="T41" s="1563">
        <f>'2. S Plan'!V41</f>
        <v>0</v>
      </c>
      <c r="U41" s="1564">
        <f>'2. S Plan'!W41</f>
        <v>0</v>
      </c>
      <c r="V41" s="1566">
        <f t="shared" si="12"/>
        <v>0</v>
      </c>
      <c r="W41" s="1730"/>
      <c r="Y41" s="1731"/>
      <c r="AA41" s="1744">
        <f t="shared" si="9"/>
        <v>0.85</v>
      </c>
      <c r="AB41" s="1741">
        <f t="shared" si="10"/>
        <v>4.4400000000000004E-3</v>
      </c>
      <c r="AC41" s="1745" t="str">
        <f t="shared" si="11"/>
        <v>ADC12</v>
      </c>
      <c r="AD41" s="1544" t="b">
        <f t="shared" ref="AD41:AD72" si="13">AA41=G41</f>
        <v>1</v>
      </c>
      <c r="AE41" s="1544" t="b">
        <f t="shared" ref="AE41:AE72" si="14">AB41=H41</f>
        <v>1</v>
      </c>
      <c r="AF41" s="1544" t="b">
        <f t="shared" ref="AF41:AF72" si="15">AC41=I41</f>
        <v>1</v>
      </c>
    </row>
    <row r="42" spans="1:32" ht="15.75" customHeight="1">
      <c r="A42" s="5190"/>
      <c r="B42" s="5246"/>
      <c r="C42" s="15"/>
      <c r="D42" s="15"/>
      <c r="E42" s="15">
        <v>20</v>
      </c>
      <c r="F42" s="1673" t="str">
        <f>'2. S Plan'!F42</f>
        <v>DCU15 Housing</v>
      </c>
      <c r="G42" s="4022">
        <f>IFERROR(VLOOKUP(F42,B.BasicInfomation!$B:$O,6,0),"")</f>
        <v>0.85</v>
      </c>
      <c r="H42" s="4364">
        <f>IFERROR(VLOOKUP(F42,B.BasicInfomation!$B:$O,9,0),"")</f>
        <v>4.4400000000000004E-3</v>
      </c>
      <c r="I42" s="2013" t="str">
        <f>IFERROR(VLOOKUP(F42,B.BasicInfomation!$B:$O,14,0),"")</f>
        <v>ADC12</v>
      </c>
      <c r="J42" s="5">
        <f>'2. S Plan'!L42</f>
        <v>23065.82517237611</v>
      </c>
      <c r="K42" s="1657">
        <f>'2. S Plan'!M42</f>
        <v>27077.273028441516</v>
      </c>
      <c r="L42" s="1658">
        <f>'2. S Plan'!N42</f>
        <v>25071.549100408814</v>
      </c>
      <c r="M42" s="5">
        <f>'2. S Plan'!O42</f>
        <v>27077.273028441516</v>
      </c>
      <c r="N42" s="1657">
        <f>'2. S Plan'!P42</f>
        <v>27077.273028441516</v>
      </c>
      <c r="O42" s="1565">
        <f>'2. S Plan'!Q42</f>
        <v>27077.273028441516</v>
      </c>
      <c r="P42" s="1743">
        <f>'2. S Plan'!R42</f>
        <v>27077.273028441516</v>
      </c>
      <c r="Q42" s="1563">
        <f>'2. S Plan'!S42</f>
        <v>27077.273028441516</v>
      </c>
      <c r="R42" s="1564">
        <f>'2. S Plan'!T42</f>
        <v>27077.273028441516</v>
      </c>
      <c r="S42" s="1610">
        <f>'2. S Plan'!U42</f>
        <v>27077.273028441516</v>
      </c>
      <c r="T42" s="1563">
        <f>'2. S Plan'!V42</f>
        <v>27077.273028441516</v>
      </c>
      <c r="U42" s="1564">
        <f>'2. S Plan'!W42</f>
        <v>27077.273028441516</v>
      </c>
      <c r="V42" s="1566">
        <f t="shared" si="12"/>
        <v>318910.10455720016</v>
      </c>
      <c r="W42" s="1730"/>
      <c r="X42" s="1544">
        <v>0.19533</v>
      </c>
      <c r="Y42" s="1731">
        <f>_xlfn.XLOOKUP(F42,B.BasicInfomation!B:B,B.BasicInfomation!J:J,"",0)</f>
        <v>4.4400000000000004E-3</v>
      </c>
      <c r="AA42" s="1744">
        <f t="shared" si="9"/>
        <v>0.85</v>
      </c>
      <c r="AB42" s="1741">
        <f t="shared" si="10"/>
        <v>4.4400000000000004E-3</v>
      </c>
      <c r="AC42" s="1745" t="str">
        <f t="shared" si="11"/>
        <v>ADC12</v>
      </c>
      <c r="AD42" s="1544" t="b">
        <f t="shared" si="13"/>
        <v>1</v>
      </c>
      <c r="AE42" s="1544" t="b">
        <f t="shared" si="14"/>
        <v>1</v>
      </c>
      <c r="AF42" s="1544" t="b">
        <f t="shared" si="15"/>
        <v>1</v>
      </c>
    </row>
    <row r="43" spans="1:32" ht="15.75" customHeight="1">
      <c r="A43" s="5190"/>
      <c r="B43" s="5246"/>
      <c r="C43" s="15"/>
      <c r="D43" s="12" t="s">
        <v>882</v>
      </c>
      <c r="E43" s="12">
        <v>21</v>
      </c>
      <c r="F43" s="1767" t="str">
        <f>'2. S Plan'!F43</f>
        <v>DCU15 Cover</v>
      </c>
      <c r="G43" s="4374">
        <f>IFERROR(VLOOKUP(F43,B.BasicInfomation!$B:$O,6,0),"")</f>
        <v>0.85</v>
      </c>
      <c r="H43" s="4367">
        <f>IFERROR(VLOOKUP(F43,B.BasicInfomation!$B:$O,9,0),"")</f>
        <v>4.4400000000000004E-3</v>
      </c>
      <c r="I43" s="2037" t="str">
        <f>IFERROR(VLOOKUP(F43,B.BasicInfomation!$B:$O,14,0),"")</f>
        <v>ADC12</v>
      </c>
      <c r="J43" s="1769">
        <f>'2. S Plan'!L43</f>
        <v>23073.514762233615</v>
      </c>
      <c r="K43" s="1770">
        <f>'2. S Plan'!M43</f>
        <v>27086.299938274246</v>
      </c>
      <c r="L43" s="1771">
        <f>'2. S Plan'!N43</f>
        <v>25079.907350253929</v>
      </c>
      <c r="M43" s="1769">
        <f>'2. S Plan'!O43</f>
        <v>27086.299938274246</v>
      </c>
      <c r="N43" s="1770">
        <f>'2. S Plan'!P43</f>
        <v>27086.299938274246</v>
      </c>
      <c r="O43" s="1584">
        <f>'2. S Plan'!Q43</f>
        <v>27086.299938274246</v>
      </c>
      <c r="P43" s="1661">
        <f>'2. S Plan'!R43</f>
        <v>27086.299938274246</v>
      </c>
      <c r="Q43" s="1582">
        <f>'2. S Plan'!S43</f>
        <v>27086.299938274246</v>
      </c>
      <c r="R43" s="1583">
        <f>'2. S Plan'!T43</f>
        <v>27086.299938274246</v>
      </c>
      <c r="S43" s="1772">
        <f>'2. S Plan'!U43</f>
        <v>27086.299938274246</v>
      </c>
      <c r="T43" s="1582">
        <f>'2. S Plan'!V43</f>
        <v>27086.299938274246</v>
      </c>
      <c r="U43" s="1583">
        <f>'2. S Plan'!W43</f>
        <v>27086.299938274246</v>
      </c>
      <c r="V43" s="1585">
        <f t="shared" si="12"/>
        <v>319016.42149523005</v>
      </c>
      <c r="W43" s="1730"/>
      <c r="X43" s="1544">
        <v>0.13100000000000001</v>
      </c>
      <c r="Y43" s="1731">
        <f>_xlfn.XLOOKUP(F43,B.BasicInfomation!B:B,B.BasicInfomation!J:J,"",0)</f>
        <v>4.4400000000000004E-3</v>
      </c>
      <c r="AA43" s="1744">
        <f t="shared" si="9"/>
        <v>0.85</v>
      </c>
      <c r="AB43" s="1741">
        <f t="shared" si="10"/>
        <v>4.4400000000000004E-3</v>
      </c>
      <c r="AC43" s="1745" t="str">
        <f t="shared" si="11"/>
        <v>ADC12</v>
      </c>
      <c r="AD43" s="1544" t="b">
        <f t="shared" si="13"/>
        <v>1</v>
      </c>
      <c r="AE43" s="1544" t="b">
        <f t="shared" si="14"/>
        <v>1</v>
      </c>
      <c r="AF43" s="1544" t="b">
        <f t="shared" si="15"/>
        <v>1</v>
      </c>
    </row>
    <row r="44" spans="1:32" ht="15.75" customHeight="1">
      <c r="A44" s="5190"/>
      <c r="B44" s="5246"/>
      <c r="C44" s="15"/>
      <c r="D44" s="13"/>
      <c r="E44" s="13"/>
      <c r="F44" s="1673" t="str">
        <f>'2. S Plan'!F44</f>
        <v>FCM30-Lower Housing</v>
      </c>
      <c r="G44" s="4022">
        <f>IFERROR(VLOOKUP(F44,B.BasicInfomation!$B:$O,6,0),"")</f>
        <v>0.85</v>
      </c>
      <c r="H44" s="4364">
        <f>IFERROR(VLOOKUP(F44,B.BasicInfomation!$B:$O,9,0),"")</f>
        <v>4.4400000000000004E-3</v>
      </c>
      <c r="I44" s="2013" t="str">
        <f>IFERROR(VLOOKUP(F44,B.BasicInfomation!$B:$O,14,0),"")</f>
        <v>ADC12</v>
      </c>
      <c r="J44" s="5">
        <f>'2. S Plan'!L44</f>
        <v>0</v>
      </c>
      <c r="K44" s="1657">
        <f>'2. S Plan'!M44</f>
        <v>0</v>
      </c>
      <c r="L44" s="1658">
        <f>'2. S Plan'!N44</f>
        <v>0</v>
      </c>
      <c r="M44" s="5">
        <f>'2. S Plan'!O44</f>
        <v>0</v>
      </c>
      <c r="N44" s="1657">
        <f>'2. S Plan'!P44</f>
        <v>0</v>
      </c>
      <c r="O44" s="1565">
        <f>'2. S Plan'!Q44</f>
        <v>0</v>
      </c>
      <c r="P44" s="1743">
        <f>'2. S Plan'!R44</f>
        <v>0</v>
      </c>
      <c r="Q44" s="1563">
        <f>'2. S Plan'!S44</f>
        <v>0</v>
      </c>
      <c r="R44" s="1564">
        <f>'2. S Plan'!T44</f>
        <v>0</v>
      </c>
      <c r="S44" s="1610">
        <f>'2. S Plan'!U44</f>
        <v>0</v>
      </c>
      <c r="T44" s="1563">
        <f>'2. S Plan'!V44</f>
        <v>0</v>
      </c>
      <c r="U44" s="1564">
        <f>'2. S Plan'!W44</f>
        <v>0</v>
      </c>
      <c r="V44" s="1566">
        <f t="shared" si="12"/>
        <v>0</v>
      </c>
      <c r="W44" s="1730"/>
      <c r="Y44" s="1731"/>
      <c r="AA44" s="1744">
        <f t="shared" si="9"/>
        <v>0.85</v>
      </c>
      <c r="AB44" s="1741">
        <f t="shared" si="10"/>
        <v>4.4400000000000004E-3</v>
      </c>
      <c r="AC44" s="1745" t="str">
        <f t="shared" si="11"/>
        <v>ADC12</v>
      </c>
      <c r="AD44" s="1544" t="b">
        <f t="shared" si="13"/>
        <v>1</v>
      </c>
      <c r="AE44" s="1544" t="b">
        <f t="shared" si="14"/>
        <v>1</v>
      </c>
      <c r="AF44" s="1544" t="b">
        <f t="shared" si="15"/>
        <v>1</v>
      </c>
    </row>
    <row r="45" spans="1:32" ht="15.75" customHeight="1">
      <c r="A45" s="5190"/>
      <c r="B45" s="5246"/>
      <c r="C45" s="15"/>
      <c r="D45" s="13"/>
      <c r="E45" s="13"/>
      <c r="F45" s="1673" t="str">
        <f>'2. S Plan'!F45</f>
        <v>OMS Entry Vcsel Cover(250A)</v>
      </c>
      <c r="G45" s="4022">
        <f>IFERROR(VLOOKUP(F45,B.BasicInfomation!$B:$O,6,0),"")</f>
        <v>0.85</v>
      </c>
      <c r="H45" s="4364">
        <f>IFERROR(VLOOKUP(F45,B.BasicInfomation!$B:$O,9,0),"")</f>
        <v>2E-3</v>
      </c>
      <c r="I45" s="2013" t="str">
        <f>IFERROR(VLOOKUP(F45,B.BasicInfomation!$B:$O,14,0),"")</f>
        <v>ADC12</v>
      </c>
      <c r="J45" s="5">
        <f>'2. S Plan'!L45</f>
        <v>0</v>
      </c>
      <c r="K45" s="1657">
        <f>'2. S Plan'!M45</f>
        <v>0</v>
      </c>
      <c r="L45" s="1658">
        <f>'2. S Plan'!N45</f>
        <v>0</v>
      </c>
      <c r="M45" s="5">
        <f>'2. S Plan'!O45</f>
        <v>0</v>
      </c>
      <c r="N45" s="1657">
        <f>'2. S Plan'!P45</f>
        <v>0</v>
      </c>
      <c r="O45" s="1565">
        <f>'2. S Plan'!Q45</f>
        <v>0</v>
      </c>
      <c r="P45" s="1743">
        <f>'2. S Plan'!R45</f>
        <v>0</v>
      </c>
      <c r="Q45" s="1563">
        <f>'2. S Plan'!S45</f>
        <v>0</v>
      </c>
      <c r="R45" s="1564">
        <f>'2. S Plan'!T45</f>
        <v>0</v>
      </c>
      <c r="S45" s="1610">
        <f>'2. S Plan'!U45</f>
        <v>0</v>
      </c>
      <c r="T45" s="1563">
        <f>'2. S Plan'!V45</f>
        <v>0</v>
      </c>
      <c r="U45" s="1564">
        <f>'2. S Plan'!W45</f>
        <v>0</v>
      </c>
      <c r="V45" s="1566">
        <f t="shared" si="12"/>
        <v>0</v>
      </c>
      <c r="W45" s="1730"/>
      <c r="X45" s="1544">
        <v>6.4329999999999998E-2</v>
      </c>
      <c r="Y45" s="1731">
        <f>_xlfn.XLOOKUP(F45,B.BasicInfomation!B:B,B.BasicInfomation!J:J,"",0)</f>
        <v>2E-3</v>
      </c>
      <c r="AA45" s="1744">
        <f t="shared" si="9"/>
        <v>0.85</v>
      </c>
      <c r="AB45" s="1741">
        <f t="shared" si="10"/>
        <v>2E-3</v>
      </c>
      <c r="AC45" s="1745" t="str">
        <f t="shared" si="11"/>
        <v>ADC12</v>
      </c>
      <c r="AD45" s="1544" t="b">
        <f t="shared" si="13"/>
        <v>1</v>
      </c>
      <c r="AE45" s="1544" t="b">
        <f t="shared" si="14"/>
        <v>1</v>
      </c>
      <c r="AF45" s="1544" t="b">
        <f t="shared" si="15"/>
        <v>1</v>
      </c>
    </row>
    <row r="46" spans="1:32" ht="15.75" customHeight="1">
      <c r="A46" s="5190"/>
      <c r="B46" s="5246"/>
      <c r="C46" s="15"/>
      <c r="D46" s="13"/>
      <c r="E46" s="13"/>
      <c r="F46" s="1673" t="str">
        <f>'2. S Plan'!F46</f>
        <v>HKMC Ikc Camera Base</v>
      </c>
      <c r="G46" s="4022">
        <f>IFERROR(VLOOKUP(F46,B.BasicInfomation!$B:$O,6,0),"")</f>
        <v>0.85</v>
      </c>
      <c r="H46" s="4364">
        <f>IFERROR(VLOOKUP(F46,B.BasicInfomation!$B:$O,9,0),"")</f>
        <v>2E-3</v>
      </c>
      <c r="I46" s="2013" t="str">
        <f>IFERROR(VLOOKUP(F46,B.BasicInfomation!$B:$O,14,0),"")</f>
        <v>ADC12</v>
      </c>
      <c r="J46" s="5">
        <f>'2. S Plan'!L46</f>
        <v>600</v>
      </c>
      <c r="K46" s="1657">
        <f>'2. S Plan'!M46</f>
        <v>600</v>
      </c>
      <c r="L46" s="1658">
        <f>'2. S Plan'!N46</f>
        <v>0</v>
      </c>
      <c r="M46" s="5">
        <f>'2. S Plan'!O46</f>
        <v>0</v>
      </c>
      <c r="N46" s="1657">
        <f>'2. S Plan'!P46</f>
        <v>0</v>
      </c>
      <c r="O46" s="1565">
        <f>'2. S Plan'!Q46</f>
        <v>0</v>
      </c>
      <c r="P46" s="1743">
        <f>'2. S Plan'!R46</f>
        <v>0</v>
      </c>
      <c r="Q46" s="1563">
        <f>'2. S Plan'!S46</f>
        <v>0</v>
      </c>
      <c r="R46" s="1564">
        <f>'2. S Plan'!T46</f>
        <v>0</v>
      </c>
      <c r="S46" s="1610">
        <f>'2. S Plan'!U46</f>
        <v>0</v>
      </c>
      <c r="T46" s="1563">
        <f>'2. S Plan'!V46</f>
        <v>0</v>
      </c>
      <c r="U46" s="1564">
        <f>'2. S Plan'!W46</f>
        <v>0</v>
      </c>
      <c r="V46" s="1566">
        <f t="shared" si="12"/>
        <v>1200</v>
      </c>
      <c r="W46" s="1730"/>
      <c r="Y46" s="1731"/>
      <c r="AA46" s="1744">
        <f t="shared" si="9"/>
        <v>0.85</v>
      </c>
      <c r="AB46" s="1741">
        <f t="shared" si="10"/>
        <v>2E-3</v>
      </c>
      <c r="AC46" s="1745" t="str">
        <f t="shared" si="11"/>
        <v>ADC12</v>
      </c>
      <c r="AD46" s="1544" t="b">
        <f t="shared" si="13"/>
        <v>1</v>
      </c>
      <c r="AE46" s="1544" t="b">
        <f t="shared" si="14"/>
        <v>1</v>
      </c>
      <c r="AF46" s="1544" t="b">
        <f t="shared" si="15"/>
        <v>1</v>
      </c>
    </row>
    <row r="47" spans="1:32" ht="15.75" customHeight="1">
      <c r="A47" s="5190"/>
      <c r="B47" s="5246"/>
      <c r="C47" s="15"/>
      <c r="D47" s="13" t="s">
        <v>885</v>
      </c>
      <c r="E47" s="13"/>
      <c r="F47" s="1673" t="str">
        <f>'2. S Plan'!F47</f>
        <v>OMS Entry Lens Holder (203A)</v>
      </c>
      <c r="G47" s="4022">
        <f>IFERROR(VLOOKUP(F47,B.BasicInfomation!$B:$O,6,0),"")</f>
        <v>0.85</v>
      </c>
      <c r="H47" s="4364">
        <f>IFERROR(VLOOKUP(F47,B.BasicInfomation!$B:$O,9,0),"")</f>
        <v>2E-3</v>
      </c>
      <c r="I47" s="2013" t="str">
        <f>IFERROR(VLOOKUP(F47,B.BasicInfomation!$B:$O,14,0),"")</f>
        <v>ADC12</v>
      </c>
      <c r="J47" s="5">
        <f>'2. S Plan'!L47</f>
        <v>0</v>
      </c>
      <c r="K47" s="1657">
        <f>'2. S Plan'!M47</f>
        <v>0</v>
      </c>
      <c r="L47" s="1658">
        <f>'2. S Plan'!N47</f>
        <v>0</v>
      </c>
      <c r="M47" s="5">
        <f>'2. S Plan'!O47</f>
        <v>0</v>
      </c>
      <c r="N47" s="1657">
        <f>'2. S Plan'!P47</f>
        <v>0</v>
      </c>
      <c r="O47" s="1565">
        <f>'2. S Plan'!Q47</f>
        <v>0</v>
      </c>
      <c r="P47" s="1743">
        <f>'2. S Plan'!R47</f>
        <v>0</v>
      </c>
      <c r="Q47" s="1563">
        <f>'2. S Plan'!S47</f>
        <v>0</v>
      </c>
      <c r="R47" s="1564">
        <f>'2. S Plan'!T47</f>
        <v>0</v>
      </c>
      <c r="S47" s="1610">
        <f>'2. S Plan'!U47</f>
        <v>0</v>
      </c>
      <c r="T47" s="1563">
        <f>'2. S Plan'!V47</f>
        <v>0</v>
      </c>
      <c r="U47" s="1564">
        <f>'2. S Plan'!W47</f>
        <v>0</v>
      </c>
      <c r="V47" s="1566">
        <f t="shared" si="12"/>
        <v>0</v>
      </c>
      <c r="W47" s="1730"/>
      <c r="X47" s="1544">
        <v>4.335E-2</v>
      </c>
      <c r="Y47" s="1731">
        <f>_xlfn.XLOOKUP(F47,B.BasicInfomation!B:B,B.BasicInfomation!J:J,"",0)</f>
        <v>2E-3</v>
      </c>
      <c r="AA47" s="1744">
        <f t="shared" si="9"/>
        <v>0.85</v>
      </c>
      <c r="AB47" s="1741">
        <f t="shared" si="10"/>
        <v>2E-3</v>
      </c>
      <c r="AC47" s="1745" t="str">
        <f t="shared" si="11"/>
        <v>ADC12</v>
      </c>
      <c r="AD47" s="1544" t="b">
        <f t="shared" si="13"/>
        <v>1</v>
      </c>
      <c r="AE47" s="1544" t="b">
        <f t="shared" si="14"/>
        <v>1</v>
      </c>
      <c r="AF47" s="1544" t="b">
        <f t="shared" si="15"/>
        <v>1</v>
      </c>
    </row>
    <row r="48" spans="1:32" ht="15.75" customHeight="1">
      <c r="A48" s="5190"/>
      <c r="B48" s="5246"/>
      <c r="C48" s="15"/>
      <c r="D48" s="15"/>
      <c r="E48" s="15"/>
      <c r="F48" s="1673" t="str">
        <f>'2. S Plan'!F48</f>
        <v>OMS Front Lens Holder (207A)</v>
      </c>
      <c r="G48" s="4022">
        <f>IFERROR(VLOOKUP(F48,B.BasicInfomation!$B:$O,6,0),"")</f>
        <v>0.85</v>
      </c>
      <c r="H48" s="4364">
        <f>IFERROR(VLOOKUP(F48,B.BasicInfomation!$B:$O,9,0),"")</f>
        <v>2E-3</v>
      </c>
      <c r="I48" s="2013" t="str">
        <f>IFERROR(VLOOKUP(F48,B.BasicInfomation!$B:$O,14,0),"")</f>
        <v>ADC12</v>
      </c>
      <c r="J48" s="5">
        <f>'2. S Plan'!L48</f>
        <v>0</v>
      </c>
      <c r="K48" s="1657">
        <f>'2. S Plan'!M48</f>
        <v>0</v>
      </c>
      <c r="L48" s="1658">
        <f>'2. S Plan'!N48</f>
        <v>0</v>
      </c>
      <c r="M48" s="5">
        <f>'2. S Plan'!O48</f>
        <v>0</v>
      </c>
      <c r="N48" s="1657">
        <f>'2. S Plan'!P48</f>
        <v>0</v>
      </c>
      <c r="O48" s="1565">
        <f>'2. S Plan'!Q48</f>
        <v>0</v>
      </c>
      <c r="P48" s="1743">
        <f>'2. S Plan'!R48</f>
        <v>0</v>
      </c>
      <c r="Q48" s="1563">
        <f>'2. S Plan'!S48</f>
        <v>0</v>
      </c>
      <c r="R48" s="1564">
        <f>'2. S Plan'!T48</f>
        <v>0</v>
      </c>
      <c r="S48" s="1610">
        <f>'2. S Plan'!U48</f>
        <v>0</v>
      </c>
      <c r="T48" s="1563">
        <f>'2. S Plan'!V48</f>
        <v>0</v>
      </c>
      <c r="U48" s="1564">
        <f>'2. S Plan'!W48</f>
        <v>0</v>
      </c>
      <c r="V48" s="1566">
        <f t="shared" si="12"/>
        <v>0</v>
      </c>
      <c r="W48" s="1730"/>
      <c r="X48" s="1544">
        <v>4.163E-2</v>
      </c>
      <c r="Y48" s="1731">
        <f>_xlfn.XLOOKUP(F48,B.BasicInfomation!B:B,B.BasicInfomation!J:J,"",0)</f>
        <v>2E-3</v>
      </c>
      <c r="AA48" s="1744">
        <f t="shared" si="9"/>
        <v>0.85</v>
      </c>
      <c r="AB48" s="1741">
        <f t="shared" si="10"/>
        <v>2E-3</v>
      </c>
      <c r="AC48" s="1745" t="str">
        <f t="shared" si="11"/>
        <v>ADC12</v>
      </c>
      <c r="AD48" s="1544" t="b">
        <f t="shared" si="13"/>
        <v>1</v>
      </c>
      <c r="AE48" s="1544" t="b">
        <f t="shared" si="14"/>
        <v>1</v>
      </c>
      <c r="AF48" s="1544" t="b">
        <f t="shared" si="15"/>
        <v>1</v>
      </c>
    </row>
    <row r="49" spans="1:32" ht="15.75" customHeight="1">
      <c r="A49" s="5190"/>
      <c r="B49" s="5246"/>
      <c r="C49" s="15"/>
      <c r="D49" s="15"/>
      <c r="E49" s="15">
        <v>22</v>
      </c>
      <c r="F49" s="1673" t="str">
        <f>'2. S Plan'!F49</f>
        <v>MPC5.5 Cover Lens</v>
      </c>
      <c r="G49" s="4022">
        <f>IFERROR(VLOOKUP(F49,B.BasicInfomation!$B:$O,6,0),"")</f>
        <v>0.85</v>
      </c>
      <c r="H49" s="4364">
        <f>IFERROR(VLOOKUP(F49,B.BasicInfomation!$B:$O,9,0),"")</f>
        <v>2E-3</v>
      </c>
      <c r="I49" s="2013" t="str">
        <f>IFERROR(VLOOKUP(F49,B.BasicInfomation!$B:$O,14,0),"")</f>
        <v>ADC12</v>
      </c>
      <c r="J49" s="5">
        <f>'2. S Plan'!L49</f>
        <v>134976.13521916189</v>
      </c>
      <c r="K49" s="1657">
        <f>'2. S Plan'!M49</f>
        <v>81949.796383062581</v>
      </c>
      <c r="L49" s="1658">
        <f>'2. S Plan'!N49</f>
        <v>115693.83018785305</v>
      </c>
      <c r="M49" s="5">
        <f>'2. S Plan'!O49</f>
        <v>67488.067609580947</v>
      </c>
      <c r="N49" s="1657">
        <f>'2. S Plan'!P49</f>
        <v>67488.067609580947</v>
      </c>
      <c r="O49" s="1565">
        <f>'2. S Plan'!Q49</f>
        <v>48205.762578272108</v>
      </c>
      <c r="P49" s="1743">
        <f>'2. S Plan'!R49</f>
        <v>48205.762578272108</v>
      </c>
      <c r="Q49" s="1563">
        <f>'2. S Plan'!S49</f>
        <v>48205.762578272108</v>
      </c>
      <c r="R49" s="1564">
        <f>'2. S Plan'!T49</f>
        <v>48205.762578272108</v>
      </c>
      <c r="S49" s="1610">
        <f>'2. S Plan'!U49</f>
        <v>48205.762578272108</v>
      </c>
      <c r="T49" s="1563">
        <f>'2. S Plan'!V49</f>
        <v>48205.762578272108</v>
      </c>
      <c r="U49" s="1564">
        <f>'2. S Plan'!W49</f>
        <v>48205.762578272108</v>
      </c>
      <c r="V49" s="1566">
        <f t="shared" si="12"/>
        <v>805036.23505714431</v>
      </c>
      <c r="W49" s="1730"/>
      <c r="X49" s="1544">
        <v>6.2E-2</v>
      </c>
      <c r="Y49" s="1731">
        <f>_xlfn.XLOOKUP(F49,B.BasicInfomation!B:B,B.BasicInfomation!J:J,"",0)</f>
        <v>2E-3</v>
      </c>
      <c r="AA49" s="1744">
        <f t="shared" si="9"/>
        <v>0.85</v>
      </c>
      <c r="AB49" s="1741">
        <f t="shared" si="10"/>
        <v>2E-3</v>
      </c>
      <c r="AC49" s="1745" t="str">
        <f t="shared" si="11"/>
        <v>ADC12</v>
      </c>
      <c r="AD49" s="1544" t="b">
        <f t="shared" si="13"/>
        <v>1</v>
      </c>
      <c r="AE49" s="1544" t="b">
        <f t="shared" si="14"/>
        <v>1</v>
      </c>
      <c r="AF49" s="1544" t="b">
        <f t="shared" si="15"/>
        <v>1</v>
      </c>
    </row>
    <row r="50" spans="1:32" ht="15.75" customHeight="1">
      <c r="A50" s="5190"/>
      <c r="B50" s="5246"/>
      <c r="C50" s="11"/>
      <c r="D50" s="11"/>
      <c r="E50" s="11"/>
      <c r="F50" s="1733" t="str">
        <f>'2. S Plan'!F50</f>
        <v xml:space="preserve">FCM30 Lens Holder </v>
      </c>
      <c r="G50" s="4372">
        <f>IFERROR(VLOOKUP(F50,B.BasicInfomation!$B:$O,6,0),"")</f>
        <v>0.85</v>
      </c>
      <c r="H50" s="4369">
        <f>IFERROR(VLOOKUP(F50,B.BasicInfomation!$B:$O,9,0),"")</f>
        <v>2E-3</v>
      </c>
      <c r="I50" s="2110" t="str">
        <f>IFERROR(VLOOKUP(F50,B.BasicInfomation!$B:$O,14,0),"")</f>
        <v>ADC12</v>
      </c>
      <c r="J50" s="1737">
        <f>'2. S Plan'!L50</f>
        <v>0</v>
      </c>
      <c r="K50" s="1738">
        <f>'2. S Plan'!M50</f>
        <v>0</v>
      </c>
      <c r="L50" s="1739">
        <f>'2. S Plan'!N50</f>
        <v>0</v>
      </c>
      <c r="M50" s="1737">
        <f>'2. S Plan'!O50</f>
        <v>0</v>
      </c>
      <c r="N50" s="1738">
        <f>'2. S Plan'!P50</f>
        <v>0</v>
      </c>
      <c r="O50" s="1567">
        <f>'2. S Plan'!Q50</f>
        <v>0</v>
      </c>
      <c r="P50" s="1663">
        <f>'2. S Plan'!R50</f>
        <v>0</v>
      </c>
      <c r="Q50" s="1558">
        <f>'2. S Plan'!S50</f>
        <v>0</v>
      </c>
      <c r="R50" s="1559">
        <f>'2. S Plan'!T50</f>
        <v>0</v>
      </c>
      <c r="S50" s="1608">
        <f>'2. S Plan'!U50</f>
        <v>0</v>
      </c>
      <c r="T50" s="1558">
        <f>'2. S Plan'!V50</f>
        <v>0</v>
      </c>
      <c r="U50" s="1559">
        <f>'2. S Plan'!W50</f>
        <v>0</v>
      </c>
      <c r="V50" s="1560">
        <f t="shared" si="12"/>
        <v>0</v>
      </c>
      <c r="W50" s="1730"/>
      <c r="Y50" s="1731"/>
      <c r="AA50" s="1744">
        <f t="shared" si="9"/>
        <v>0.85</v>
      </c>
      <c r="AB50" s="1741">
        <f t="shared" si="10"/>
        <v>2E-3</v>
      </c>
      <c r="AC50" s="1745" t="str">
        <f t="shared" si="11"/>
        <v>ADC12</v>
      </c>
      <c r="AD50" s="1544" t="b">
        <f t="shared" si="13"/>
        <v>1</v>
      </c>
      <c r="AE50" s="1544" t="b">
        <f t="shared" si="14"/>
        <v>1</v>
      </c>
      <c r="AF50" s="1544" t="b">
        <f t="shared" si="15"/>
        <v>1</v>
      </c>
    </row>
    <row r="51" spans="1:32" s="1579" customFormat="1" ht="15.75" customHeight="1">
      <c r="A51" s="5190"/>
      <c r="B51" s="5246"/>
      <c r="C51" s="15" t="s">
        <v>403</v>
      </c>
      <c r="D51" s="1599" t="s">
        <v>865</v>
      </c>
      <c r="E51" s="1599">
        <v>23</v>
      </c>
      <c r="F51" s="1673" t="str">
        <f>'2. S Plan'!F51</f>
        <v>NX4 HSG</v>
      </c>
      <c r="G51" s="4022">
        <f>IFERROR(VLOOKUP(F51,B.BasicInfomation!$B:$O,6,0),"")</f>
        <v>0.7</v>
      </c>
      <c r="H51" s="4364">
        <f>IFERROR(VLOOKUP(F51,B.BasicInfomation!$B:$O,9,0),"")</f>
        <v>0.42599999999999999</v>
      </c>
      <c r="I51" s="2013" t="str">
        <f>IFERROR(VLOOKUP(F51,B.BasicInfomation!$B:$O,14,0),"")</f>
        <v>ADC12</v>
      </c>
      <c r="J51" s="5">
        <f>'2. S Plan'!L51</f>
        <v>30240</v>
      </c>
      <c r="K51" s="1657">
        <f>'2. S Plan'!M51</f>
        <v>40320</v>
      </c>
      <c r="L51" s="1658">
        <f>'2. S Plan'!N51</f>
        <v>40000</v>
      </c>
      <c r="M51" s="5">
        <f>'2. S Plan'!O51</f>
        <v>35000</v>
      </c>
      <c r="N51" s="1657">
        <f>'2. S Plan'!P51</f>
        <v>35000</v>
      </c>
      <c r="O51" s="1565">
        <f>'2. S Plan'!Q51</f>
        <v>35000</v>
      </c>
      <c r="P51" s="1743">
        <f>'2. S Plan'!R51</f>
        <v>35000</v>
      </c>
      <c r="Q51" s="1563">
        <f>'2. S Plan'!S51</f>
        <v>35000</v>
      </c>
      <c r="R51" s="1564">
        <f>'2. S Plan'!T51</f>
        <v>35000</v>
      </c>
      <c r="S51" s="1610">
        <f>'2. S Plan'!U51</f>
        <v>35000</v>
      </c>
      <c r="T51" s="1563">
        <f>'2. S Plan'!V51</f>
        <v>35000</v>
      </c>
      <c r="U51" s="1564">
        <f>'2. S Plan'!W51</f>
        <v>35000</v>
      </c>
      <c r="V51" s="1566">
        <f t="shared" si="12"/>
        <v>425560</v>
      </c>
      <c r="W51" s="1766"/>
      <c r="X51" s="1579">
        <v>0.9897999999999999</v>
      </c>
      <c r="Y51" s="1731">
        <f>_xlfn.XLOOKUP(F51,B.BasicInfomation!B:B,B.BasicInfomation!J:J,"",0)</f>
        <v>0.42599999999999999</v>
      </c>
      <c r="AA51" s="1744">
        <f t="shared" si="9"/>
        <v>0.7</v>
      </c>
      <c r="AB51" s="1741">
        <f t="shared" si="10"/>
        <v>0.42599999999999999</v>
      </c>
      <c r="AC51" s="1745" t="str">
        <f t="shared" si="11"/>
        <v>ADC12</v>
      </c>
      <c r="AD51" s="1544" t="b">
        <f t="shared" si="13"/>
        <v>1</v>
      </c>
      <c r="AE51" s="1544" t="b">
        <f t="shared" si="14"/>
        <v>1</v>
      </c>
      <c r="AF51" s="1544" t="b">
        <f t="shared" si="15"/>
        <v>1</v>
      </c>
    </row>
    <row r="52" spans="1:32" ht="15.75" customHeight="1">
      <c r="A52" s="5190"/>
      <c r="B52" s="5246"/>
      <c r="C52" s="15"/>
      <c r="D52" s="1599"/>
      <c r="E52" s="1599">
        <v>24</v>
      </c>
      <c r="F52" s="1673" t="str">
        <f>'2. S Plan'!F52</f>
        <v>IMEB2 Housing</v>
      </c>
      <c r="G52" s="4022">
        <f>IFERROR(VLOOKUP(F52,B.BasicInfomation!$B:$O,6,0),"")</f>
        <v>0.7</v>
      </c>
      <c r="H52" s="4364">
        <f>IFERROR(VLOOKUP(F52,B.BasicInfomation!$B:$O,9,0),"")</f>
        <v>0.42599999999999999</v>
      </c>
      <c r="I52" s="2013" t="str">
        <f>IFERROR(VLOOKUP(F52,B.BasicInfomation!$B:$O,14,0),"")</f>
        <v>ADC12</v>
      </c>
      <c r="J52" s="1781">
        <f>'2. S Plan'!L52</f>
        <v>41472</v>
      </c>
      <c r="K52" s="1657">
        <f>'2. S Plan'!M52</f>
        <v>27648</v>
      </c>
      <c r="L52" s="1658">
        <f>'2. S Plan'!N52</f>
        <v>50000</v>
      </c>
      <c r="M52" s="5">
        <f>'2. S Plan'!O52</f>
        <v>50000</v>
      </c>
      <c r="N52" s="1657">
        <f>'2. S Plan'!P52</f>
        <v>50000</v>
      </c>
      <c r="O52" s="1565">
        <f>'2. S Plan'!Q52</f>
        <v>50000</v>
      </c>
      <c r="P52" s="1743">
        <f>'2. S Plan'!R52</f>
        <v>50000</v>
      </c>
      <c r="Q52" s="1563">
        <f>'2. S Plan'!S52</f>
        <v>50000</v>
      </c>
      <c r="R52" s="1564">
        <f>'2. S Plan'!T52</f>
        <v>50000</v>
      </c>
      <c r="S52" s="1610">
        <f>'2. S Plan'!U52</f>
        <v>50000</v>
      </c>
      <c r="T52" s="1563">
        <f>'2. S Plan'!V52</f>
        <v>50000</v>
      </c>
      <c r="U52" s="1564">
        <f>'2. S Plan'!W52</f>
        <v>50000</v>
      </c>
      <c r="V52" s="1566">
        <f t="shared" si="12"/>
        <v>569120</v>
      </c>
      <c r="W52" s="1730"/>
      <c r="X52" s="1544">
        <v>0.97750000000000004</v>
      </c>
      <c r="Y52" s="1731">
        <f>_xlfn.XLOOKUP(F52,B.BasicInfomation!B:B,B.BasicInfomation!J:J,"",0)</f>
        <v>0.42599999999999999</v>
      </c>
      <c r="AA52" s="1744">
        <f t="shared" si="9"/>
        <v>0.7</v>
      </c>
      <c r="AB52" s="1741">
        <f t="shared" si="10"/>
        <v>0.42599999999999999</v>
      </c>
      <c r="AC52" s="1745" t="str">
        <f t="shared" si="11"/>
        <v>ADC12</v>
      </c>
      <c r="AD52" s="1544" t="b">
        <f t="shared" si="13"/>
        <v>1</v>
      </c>
      <c r="AE52" s="1544" t="b">
        <f t="shared" si="14"/>
        <v>1</v>
      </c>
      <c r="AF52" s="1544" t="b">
        <f t="shared" si="15"/>
        <v>1</v>
      </c>
    </row>
    <row r="53" spans="1:32" ht="15.75" customHeight="1">
      <c r="A53" s="5190"/>
      <c r="B53" s="5246"/>
      <c r="C53" s="15"/>
      <c r="D53" s="1599"/>
      <c r="E53" s="1599">
        <v>25</v>
      </c>
      <c r="F53" s="1673" t="str">
        <f>'2. S Plan'!F53</f>
        <v>J100 Housing</v>
      </c>
      <c r="G53" s="4022">
        <f>IFERROR(VLOOKUP(F53,B.BasicInfomation!$B:$O,6,0),"")</f>
        <v>0.7</v>
      </c>
      <c r="H53" s="4364">
        <f>IFERROR(VLOOKUP(F53,B.BasicInfomation!$B:$O,9,0),"")</f>
        <v>0.42599999999999999</v>
      </c>
      <c r="I53" s="2013" t="str">
        <f>IFERROR(VLOOKUP(F53,B.BasicInfomation!$B:$O,14,0),"")</f>
        <v>ADC12</v>
      </c>
      <c r="J53" s="5">
        <f>'2. S Plan'!L53</f>
        <v>5040</v>
      </c>
      <c r="K53" s="1657">
        <f>'2. S Plan'!M53</f>
        <v>4998.2010582010589</v>
      </c>
      <c r="L53" s="1658">
        <f>'2. S Plan'!N53</f>
        <v>5040</v>
      </c>
      <c r="M53" s="5">
        <f>'2. S Plan'!O53</f>
        <v>2500</v>
      </c>
      <c r="N53" s="1657">
        <f>'2. S Plan'!P53</f>
        <v>2500</v>
      </c>
      <c r="O53" s="1565">
        <f>'2. S Plan'!Q53</f>
        <v>2500</v>
      </c>
      <c r="P53" s="1743">
        <f>'2. S Plan'!R53</f>
        <v>2500</v>
      </c>
      <c r="Q53" s="1563">
        <f>'2. S Plan'!S53</f>
        <v>2500</v>
      </c>
      <c r="R53" s="1564">
        <f>'2. S Plan'!T53</f>
        <v>2500</v>
      </c>
      <c r="S53" s="1610">
        <f>'2. S Plan'!U53</f>
        <v>2500</v>
      </c>
      <c r="T53" s="1563">
        <f>'2. S Plan'!V53</f>
        <v>2500</v>
      </c>
      <c r="U53" s="1564">
        <f>'2. S Plan'!W53</f>
        <v>2500</v>
      </c>
      <c r="V53" s="1566">
        <f t="shared" si="12"/>
        <v>37578.201058201055</v>
      </c>
      <c r="W53" s="1730"/>
      <c r="X53" s="1544">
        <v>0.99038999999999999</v>
      </c>
      <c r="Y53" s="1731">
        <f>_xlfn.XLOOKUP(F53,B.BasicInfomation!B:B,B.BasicInfomation!J:J,"",0)</f>
        <v>0.42599999999999999</v>
      </c>
      <c r="AA53" s="1744">
        <f t="shared" si="9"/>
        <v>0.7</v>
      </c>
      <c r="AB53" s="1741">
        <f t="shared" si="10"/>
        <v>0.42599999999999999</v>
      </c>
      <c r="AC53" s="1745" t="str">
        <f t="shared" si="11"/>
        <v>ADC12</v>
      </c>
      <c r="AD53" s="1544" t="b">
        <f t="shared" si="13"/>
        <v>1</v>
      </c>
      <c r="AE53" s="1544" t="b">
        <f t="shared" si="14"/>
        <v>1</v>
      </c>
      <c r="AF53" s="1544" t="b">
        <f t="shared" si="15"/>
        <v>1</v>
      </c>
    </row>
    <row r="54" spans="1:32" ht="15.75" customHeight="1">
      <c r="A54" s="5190"/>
      <c r="B54" s="5246"/>
      <c r="C54" s="15"/>
      <c r="D54" s="1599"/>
      <c r="E54" s="1599"/>
      <c r="F54" s="1673" t="str">
        <f>'2. S Plan'!F54</f>
        <v>BENZ R-EPS HSG (Anodizing)</v>
      </c>
      <c r="G54" s="4022">
        <f>IFERROR(VLOOKUP(F54,B.BasicInfomation!$B:$O,6,0),"")</f>
        <v>0.7</v>
      </c>
      <c r="H54" s="4364">
        <f>IFERROR(VLOOKUP(F54,B.BasicInfomation!$B:$O,9,0),"")</f>
        <v>0.42599999999999999</v>
      </c>
      <c r="I54" s="2013" t="str">
        <f>IFERROR(VLOOKUP(F54,B.BasicInfomation!$B:$O,14,0),"")</f>
        <v>ADC12</v>
      </c>
      <c r="J54" s="5">
        <f>'2. S Plan'!L54</f>
        <v>0</v>
      </c>
      <c r="K54" s="1657">
        <f>'2. S Plan'!M54</f>
        <v>0</v>
      </c>
      <c r="L54" s="1658">
        <f>'2. S Plan'!N54</f>
        <v>0</v>
      </c>
      <c r="M54" s="5">
        <f>'2. S Plan'!O54</f>
        <v>0</v>
      </c>
      <c r="N54" s="1657">
        <f>'2. S Plan'!P54</f>
        <v>0</v>
      </c>
      <c r="O54" s="1565">
        <f>'2. S Plan'!Q54</f>
        <v>0</v>
      </c>
      <c r="P54" s="1743">
        <f>'2. S Plan'!R54</f>
        <v>0</v>
      </c>
      <c r="Q54" s="1563">
        <f>'2. S Plan'!S54</f>
        <v>0</v>
      </c>
      <c r="R54" s="1564">
        <f>'2. S Plan'!T54</f>
        <v>0</v>
      </c>
      <c r="S54" s="1610">
        <f>'2. S Plan'!U54</f>
        <v>0</v>
      </c>
      <c r="T54" s="1563">
        <f>'2. S Plan'!V54</f>
        <v>0</v>
      </c>
      <c r="U54" s="1564">
        <f>'2. S Plan'!W54</f>
        <v>0</v>
      </c>
      <c r="V54" s="1566">
        <f t="shared" si="12"/>
        <v>0</v>
      </c>
      <c r="W54" s="1730"/>
      <c r="Y54" s="1731"/>
      <c r="AA54" s="1744">
        <f t="shared" si="9"/>
        <v>0.7</v>
      </c>
      <c r="AB54" s="1741">
        <f t="shared" si="10"/>
        <v>0.42599999999999999</v>
      </c>
      <c r="AC54" s="1745" t="str">
        <f t="shared" si="11"/>
        <v>ADC12</v>
      </c>
      <c r="AD54" s="1544" t="b">
        <f t="shared" si="13"/>
        <v>1</v>
      </c>
      <c r="AE54" s="1544" t="b">
        <f t="shared" si="14"/>
        <v>1</v>
      </c>
      <c r="AF54" s="1544" t="b">
        <f t="shared" si="15"/>
        <v>1</v>
      </c>
    </row>
    <row r="55" spans="1:32" ht="15.75" customHeight="1">
      <c r="A55" s="5190"/>
      <c r="B55" s="5246"/>
      <c r="C55" s="15"/>
      <c r="D55" s="1599"/>
      <c r="E55" s="1599"/>
      <c r="F55" s="1673" t="str">
        <f>'2. S Plan'!F55</f>
        <v>NE2 R-EPS HSG</v>
      </c>
      <c r="G55" s="4022">
        <f>IFERROR(VLOOKUP(F55,B.BasicInfomation!$B:$O,6,0),"")</f>
        <v>0.7</v>
      </c>
      <c r="H55" s="4364">
        <f>IFERROR(VLOOKUP(F55,B.BasicInfomation!$B:$O,9,0),"")</f>
        <v>0.42599999999999999</v>
      </c>
      <c r="I55" s="2013" t="str">
        <f>IFERROR(VLOOKUP(F55,B.BasicInfomation!$B:$O,14,0),"")</f>
        <v>ADC12</v>
      </c>
      <c r="J55" s="5">
        <f>'2. S Plan'!L55</f>
        <v>0</v>
      </c>
      <c r="K55" s="1657">
        <f>'2. S Plan'!M55</f>
        <v>0</v>
      </c>
      <c r="L55" s="1658">
        <f>'2. S Plan'!N55</f>
        <v>0</v>
      </c>
      <c r="M55" s="5">
        <f>'2. S Plan'!O55</f>
        <v>0</v>
      </c>
      <c r="N55" s="1657">
        <f>'2. S Plan'!P55</f>
        <v>0</v>
      </c>
      <c r="O55" s="1565">
        <f>'2. S Plan'!Q55</f>
        <v>0</v>
      </c>
      <c r="P55" s="1743">
        <f>'2. S Plan'!R55</f>
        <v>0</v>
      </c>
      <c r="Q55" s="1563">
        <f>'2. S Plan'!S55</f>
        <v>0</v>
      </c>
      <c r="R55" s="1564">
        <f>'2. S Plan'!T55</f>
        <v>0</v>
      </c>
      <c r="S55" s="1610">
        <f>'2. S Plan'!U55</f>
        <v>0</v>
      </c>
      <c r="T55" s="1563">
        <f>'2. S Plan'!V55</f>
        <v>0</v>
      </c>
      <c r="U55" s="1564">
        <f>'2. S Plan'!W55</f>
        <v>0</v>
      </c>
      <c r="V55" s="1566">
        <f t="shared" si="12"/>
        <v>0</v>
      </c>
      <c r="W55" s="1730"/>
      <c r="Y55" s="1731"/>
      <c r="AA55" s="1744">
        <f t="shared" si="9"/>
        <v>0.7</v>
      </c>
      <c r="AB55" s="1741">
        <f t="shared" si="10"/>
        <v>0.42599999999999999</v>
      </c>
      <c r="AC55" s="1745" t="str">
        <f t="shared" si="11"/>
        <v>ADC12</v>
      </c>
      <c r="AD55" s="1544" t="b">
        <f t="shared" si="13"/>
        <v>1</v>
      </c>
      <c r="AE55" s="1544" t="b">
        <f t="shared" si="14"/>
        <v>1</v>
      </c>
      <c r="AF55" s="1544" t="b">
        <f t="shared" si="15"/>
        <v>1</v>
      </c>
    </row>
    <row r="56" spans="1:32" ht="15.75" customHeight="1">
      <c r="A56" s="5190"/>
      <c r="B56" s="5246"/>
      <c r="C56" s="15"/>
      <c r="D56" s="1599"/>
      <c r="E56" s="1599"/>
      <c r="F56" s="1673" t="str">
        <f>'2. S Plan'!F56</f>
        <v>M184 R-EPS HSG</v>
      </c>
      <c r="G56" s="4022">
        <f>IFERROR(VLOOKUP(F56,B.BasicInfomation!$B:$O,6,0),"")</f>
        <v>0.7</v>
      </c>
      <c r="H56" s="4364">
        <f>IFERROR(VLOOKUP(F56,B.BasicInfomation!$B:$O,9,0),"")</f>
        <v>0.48799999999999999</v>
      </c>
      <c r="I56" s="2013" t="str">
        <f>IFERROR(VLOOKUP(F56,B.BasicInfomation!$B:$O,14,0),"")</f>
        <v>ADC12</v>
      </c>
      <c r="J56" s="5">
        <f>'2. S Plan'!L56</f>
        <v>0</v>
      </c>
      <c r="K56" s="1657">
        <f>'2. S Plan'!M56</f>
        <v>0</v>
      </c>
      <c r="L56" s="1658">
        <f>'2. S Plan'!N56</f>
        <v>0</v>
      </c>
      <c r="M56" s="5">
        <f>'2. S Plan'!O56</f>
        <v>0</v>
      </c>
      <c r="N56" s="1657">
        <f>'2. S Plan'!P56</f>
        <v>0</v>
      </c>
      <c r="O56" s="1565">
        <f>'2. S Plan'!Q56</f>
        <v>0</v>
      </c>
      <c r="P56" s="1743">
        <f>'2. S Plan'!R56</f>
        <v>0</v>
      </c>
      <c r="Q56" s="1563">
        <f>'2. S Plan'!S56</f>
        <v>0</v>
      </c>
      <c r="R56" s="1564">
        <f>'2. S Plan'!T56</f>
        <v>0</v>
      </c>
      <c r="S56" s="1610">
        <f>'2. S Plan'!U56</f>
        <v>0</v>
      </c>
      <c r="T56" s="1563">
        <f>'2. S Plan'!V56</f>
        <v>0</v>
      </c>
      <c r="U56" s="1564">
        <f>'2. S Plan'!W56</f>
        <v>0</v>
      </c>
      <c r="V56" s="1566">
        <f t="shared" si="12"/>
        <v>0</v>
      </c>
      <c r="W56" s="1730"/>
      <c r="Y56" s="1731"/>
      <c r="AA56" s="1744">
        <f t="shared" ref="AA56:AA84" si="16">G56</f>
        <v>0.7</v>
      </c>
      <c r="AB56" s="1741">
        <f t="shared" ref="AB56:AB84" si="17">H56</f>
        <v>0.48799999999999999</v>
      </c>
      <c r="AC56" s="1745" t="str">
        <f t="shared" ref="AC56:AC84" si="18">I56</f>
        <v>ADC12</v>
      </c>
      <c r="AD56" s="1544" t="b">
        <f t="shared" si="13"/>
        <v>1</v>
      </c>
      <c r="AE56" s="1544" t="b">
        <f t="shared" si="14"/>
        <v>1</v>
      </c>
      <c r="AF56" s="1544" t="b">
        <f t="shared" si="15"/>
        <v>1</v>
      </c>
    </row>
    <row r="57" spans="1:32" ht="15.75" customHeight="1">
      <c r="A57" s="5190"/>
      <c r="B57" s="5246"/>
      <c r="C57" s="15"/>
      <c r="D57" s="12" t="s">
        <v>874</v>
      </c>
      <c r="E57" s="12">
        <v>26</v>
      </c>
      <c r="F57" s="1767" t="str">
        <f>'2. S Plan'!F57</f>
        <v>NX4 Cover</v>
      </c>
      <c r="G57" s="4374">
        <f>IFERROR(VLOOKUP(F57,B.BasicInfomation!$B:$O,6,0),"")</f>
        <v>0.85</v>
      </c>
      <c r="H57" s="4367">
        <f>IFERROR(VLOOKUP(F57,B.BasicInfomation!$B:$O,9,0),"")</f>
        <v>0.13</v>
      </c>
      <c r="I57" s="2037" t="str">
        <f>IFERROR(VLOOKUP(F57,B.BasicInfomation!$B:$O,14,0),"")</f>
        <v>ADC12</v>
      </c>
      <c r="J57" s="1769">
        <f>'2. S Plan'!L57</f>
        <v>43200</v>
      </c>
      <c r="K57" s="1770">
        <f>'2. S Plan'!M57</f>
        <v>49680.000000000007</v>
      </c>
      <c r="L57" s="1771">
        <f>'2. S Plan'!N57</f>
        <v>50000</v>
      </c>
      <c r="M57" s="1769">
        <f>'2. S Plan'!O57</f>
        <v>45000</v>
      </c>
      <c r="N57" s="1770">
        <f>'2. S Plan'!P57</f>
        <v>45000</v>
      </c>
      <c r="O57" s="1584">
        <f>'2. S Plan'!Q57</f>
        <v>45000</v>
      </c>
      <c r="P57" s="1661">
        <f>'2. S Plan'!R57</f>
        <v>45000</v>
      </c>
      <c r="Q57" s="1582">
        <f>'2. S Plan'!S57</f>
        <v>45000</v>
      </c>
      <c r="R57" s="1583">
        <f>'2. S Plan'!T57</f>
        <v>45000</v>
      </c>
      <c r="S57" s="1772">
        <f>'2. S Plan'!U57</f>
        <v>45000</v>
      </c>
      <c r="T57" s="1582">
        <f>'2. S Plan'!V57</f>
        <v>45000</v>
      </c>
      <c r="U57" s="1583">
        <f>'2. S Plan'!W57</f>
        <v>45000</v>
      </c>
      <c r="V57" s="1585">
        <f t="shared" si="12"/>
        <v>547880</v>
      </c>
      <c r="W57" s="1730"/>
      <c r="X57" s="1544">
        <v>0.32343</v>
      </c>
      <c r="Y57" s="1731">
        <f>_xlfn.XLOOKUP(F57,B.BasicInfomation!B:B,B.BasicInfomation!J:J,"",0)</f>
        <v>0.13</v>
      </c>
      <c r="AA57" s="1744">
        <f t="shared" si="16"/>
        <v>0.85</v>
      </c>
      <c r="AB57" s="1741">
        <f t="shared" si="17"/>
        <v>0.13</v>
      </c>
      <c r="AC57" s="1745" t="str">
        <f t="shared" si="18"/>
        <v>ADC12</v>
      </c>
      <c r="AD57" s="1544" t="b">
        <f t="shared" si="13"/>
        <v>1</v>
      </c>
      <c r="AE57" s="1544" t="b">
        <f t="shared" si="14"/>
        <v>1</v>
      </c>
      <c r="AF57" s="1544" t="b">
        <f t="shared" si="15"/>
        <v>1</v>
      </c>
    </row>
    <row r="58" spans="1:32" ht="15.75" customHeight="1">
      <c r="A58" s="5190"/>
      <c r="B58" s="5246"/>
      <c r="C58" s="15"/>
      <c r="D58" s="1586"/>
      <c r="E58" s="1586">
        <v>27</v>
      </c>
      <c r="F58" s="1774" t="str">
        <f>'2. S Plan'!F58</f>
        <v>Tey Gen4 Cover</v>
      </c>
      <c r="G58" s="4375">
        <f>IFERROR(VLOOKUP(F58,B.BasicInfomation!$B:$O,6,0),"")</f>
        <v>0.85</v>
      </c>
      <c r="H58" s="4368">
        <f>IFERROR(VLOOKUP(F58,B.BasicInfomation!$B:$O,9,0),"")</f>
        <v>0.13</v>
      </c>
      <c r="I58" s="2025" t="str">
        <f>IFERROR(VLOOKUP(F58,B.BasicInfomation!$B:$O,14,0),"")</f>
        <v>ADC12</v>
      </c>
      <c r="J58" s="1776">
        <f>'2. S Plan'!L58</f>
        <v>82000</v>
      </c>
      <c r="K58" s="1777">
        <f>'2. S Plan'!M58</f>
        <v>66000</v>
      </c>
      <c r="L58" s="1778">
        <f>'2. S Plan'!N58</f>
        <v>82000</v>
      </c>
      <c r="M58" s="1776">
        <f>'2. S Plan'!O58</f>
        <v>80000</v>
      </c>
      <c r="N58" s="1777">
        <f>'2. S Plan'!P58</f>
        <v>80000</v>
      </c>
      <c r="O58" s="1590">
        <f>'2. S Plan'!Q58</f>
        <v>80000</v>
      </c>
      <c r="P58" s="1779">
        <f>'2. S Plan'!R58</f>
        <v>75000</v>
      </c>
      <c r="Q58" s="1588">
        <f>'2. S Plan'!S58</f>
        <v>75000</v>
      </c>
      <c r="R58" s="1589">
        <f>'2. S Plan'!T58</f>
        <v>75000</v>
      </c>
      <c r="S58" s="1780">
        <f>'2. S Plan'!U58</f>
        <v>70000</v>
      </c>
      <c r="T58" s="1588">
        <f>'2. S Plan'!V58</f>
        <v>70000</v>
      </c>
      <c r="U58" s="1589">
        <f>'2. S Plan'!W58</f>
        <v>70000</v>
      </c>
      <c r="V58" s="1591">
        <f t="shared" si="12"/>
        <v>905000</v>
      </c>
      <c r="W58" s="1730"/>
      <c r="X58" s="1544">
        <v>0.65985000000000005</v>
      </c>
      <c r="Y58" s="1731">
        <f>_xlfn.XLOOKUP(F58,B.BasicInfomation!B:B,B.BasicInfomation!J:J,"",0)</f>
        <v>0.13</v>
      </c>
      <c r="AA58" s="1744">
        <f t="shared" si="16"/>
        <v>0.85</v>
      </c>
      <c r="AB58" s="1741">
        <f t="shared" si="17"/>
        <v>0.13</v>
      </c>
      <c r="AC58" s="1745" t="str">
        <f t="shared" si="18"/>
        <v>ADC12</v>
      </c>
      <c r="AD58" s="1544" t="b">
        <f t="shared" si="13"/>
        <v>1</v>
      </c>
      <c r="AE58" s="1544" t="b">
        <f t="shared" si="14"/>
        <v>1</v>
      </c>
      <c r="AF58" s="1544" t="b">
        <f t="shared" si="15"/>
        <v>1</v>
      </c>
    </row>
    <row r="59" spans="1:32" ht="15.75" customHeight="1">
      <c r="A59" s="5190"/>
      <c r="B59" s="5246"/>
      <c r="C59" s="15"/>
      <c r="D59" s="13"/>
      <c r="E59" s="13">
        <v>28</v>
      </c>
      <c r="F59" s="1673" t="str">
        <f>'2. S Plan'!F59</f>
        <v>CEER RWA CVR-만도향</v>
      </c>
      <c r="G59" s="4022">
        <f>IFERROR(VLOOKUP(F59,B.BasicInfomation!$B:$O,6,0),"")</f>
        <v>0.85</v>
      </c>
      <c r="H59" s="4364">
        <f>IFERROR(VLOOKUP(F59,B.BasicInfomation!$B:$O,9,0),"")</f>
        <v>0.27400000000000002</v>
      </c>
      <c r="I59" s="2013" t="str">
        <f>IFERROR(VLOOKUP(F59,B.BasicInfomation!$B:$O,14,0),"")</f>
        <v>ADC12</v>
      </c>
      <c r="J59" s="5">
        <f>'2. S Plan'!L59</f>
        <v>0</v>
      </c>
      <c r="K59" s="1657">
        <f>'2. S Plan'!M59</f>
        <v>0</v>
      </c>
      <c r="L59" s="1658">
        <f>'2. S Plan'!N59</f>
        <v>0</v>
      </c>
      <c r="M59" s="5">
        <f>'2. S Plan'!O59</f>
        <v>0</v>
      </c>
      <c r="N59" s="1657">
        <f>'2. S Plan'!P59</f>
        <v>0</v>
      </c>
      <c r="O59" s="1565">
        <f>'2. S Plan'!Q59</f>
        <v>0</v>
      </c>
      <c r="P59" s="1743">
        <f>'2. S Plan'!R59</f>
        <v>0</v>
      </c>
      <c r="Q59" s="1563">
        <f>'2. S Plan'!S59</f>
        <v>0</v>
      </c>
      <c r="R59" s="1564">
        <f>'2. S Plan'!T59</f>
        <v>0</v>
      </c>
      <c r="S59" s="1610">
        <f>'2. S Plan'!U59</f>
        <v>0</v>
      </c>
      <c r="T59" s="1563">
        <f>'2. S Plan'!V59</f>
        <v>0</v>
      </c>
      <c r="U59" s="1564">
        <f>'2. S Plan'!W59</f>
        <v>0</v>
      </c>
      <c r="V59" s="1566">
        <f t="shared" si="12"/>
        <v>0</v>
      </c>
      <c r="W59" s="1730"/>
      <c r="Y59" s="1731"/>
      <c r="AA59" s="1744">
        <f t="shared" si="16"/>
        <v>0.85</v>
      </c>
      <c r="AB59" s="1741">
        <f t="shared" si="17"/>
        <v>0.27400000000000002</v>
      </c>
      <c r="AC59" s="1745" t="str">
        <f t="shared" si="18"/>
        <v>ADC12</v>
      </c>
      <c r="AD59" s="1544" t="b">
        <f t="shared" si="13"/>
        <v>1</v>
      </c>
      <c r="AE59" s="1544" t="b">
        <f t="shared" si="14"/>
        <v>1</v>
      </c>
      <c r="AF59" s="1544" t="b">
        <f t="shared" si="15"/>
        <v>1</v>
      </c>
    </row>
    <row r="60" spans="1:32" ht="15.75" customHeight="1">
      <c r="A60" s="5190"/>
      <c r="B60" s="5246"/>
      <c r="C60" s="15"/>
      <c r="D60" s="13"/>
      <c r="E60" s="13">
        <v>29</v>
      </c>
      <c r="F60" s="1673" t="str">
        <f>'2. S Plan'!F60</f>
        <v>CEER RWS CVR-만도향</v>
      </c>
      <c r="G60" s="4022">
        <f>IFERROR(VLOOKUP(F60,B.BasicInfomation!$B:$O,6,0),"")</f>
        <v>0.85</v>
      </c>
      <c r="H60" s="4364">
        <f>IFERROR(VLOOKUP(F60,B.BasicInfomation!$B:$O,9,0),"")</f>
        <v>0.29899999999999999</v>
      </c>
      <c r="I60" s="2013" t="str">
        <f>IFERROR(VLOOKUP(F60,B.BasicInfomation!$B:$O,14,0),"")</f>
        <v>ADC12</v>
      </c>
      <c r="J60" s="5">
        <f>'2. S Plan'!L60</f>
        <v>0</v>
      </c>
      <c r="K60" s="1657">
        <f>'2. S Plan'!M60</f>
        <v>0</v>
      </c>
      <c r="L60" s="1658">
        <f>'2. S Plan'!N60</f>
        <v>0</v>
      </c>
      <c r="M60" s="5">
        <f>'2. S Plan'!O60</f>
        <v>0</v>
      </c>
      <c r="N60" s="1657">
        <f>'2. S Plan'!P60</f>
        <v>0</v>
      </c>
      <c r="O60" s="1565">
        <f>'2. S Plan'!Q60</f>
        <v>0</v>
      </c>
      <c r="P60" s="1743">
        <f>'2. S Plan'!R60</f>
        <v>0</v>
      </c>
      <c r="Q60" s="1563">
        <f>'2. S Plan'!S60</f>
        <v>0</v>
      </c>
      <c r="R60" s="1564">
        <f>'2. S Plan'!T60</f>
        <v>0</v>
      </c>
      <c r="S60" s="1610">
        <f>'2. S Plan'!U60</f>
        <v>0</v>
      </c>
      <c r="T60" s="1563">
        <f>'2. S Plan'!V60</f>
        <v>3000</v>
      </c>
      <c r="U60" s="1564">
        <f>'2. S Plan'!W60</f>
        <v>333.33333333333331</v>
      </c>
      <c r="V60" s="1566">
        <f t="shared" si="12"/>
        <v>3333.3333333333335</v>
      </c>
      <c r="W60" s="1730"/>
      <c r="Y60" s="1731"/>
      <c r="AA60" s="1744">
        <f t="shared" si="16"/>
        <v>0.85</v>
      </c>
      <c r="AB60" s="1741">
        <f t="shared" si="17"/>
        <v>0.29899999999999999</v>
      </c>
      <c r="AC60" s="1745" t="str">
        <f t="shared" si="18"/>
        <v>ADC12</v>
      </c>
      <c r="AD60" s="1544" t="b">
        <f t="shared" si="13"/>
        <v>1</v>
      </c>
      <c r="AE60" s="1544" t="b">
        <f t="shared" si="14"/>
        <v>1</v>
      </c>
      <c r="AF60" s="1544" t="b">
        <f t="shared" si="15"/>
        <v>1</v>
      </c>
    </row>
    <row r="61" spans="1:32" ht="15.75" customHeight="1">
      <c r="A61" s="5190"/>
      <c r="B61" s="5246"/>
      <c r="C61" s="15"/>
      <c r="D61" s="13"/>
      <c r="E61" s="13">
        <v>30</v>
      </c>
      <c r="F61" s="1673" t="str">
        <f>'2. S Plan'!F61</f>
        <v>JG R-EPS CVR-만도향</v>
      </c>
      <c r="G61" s="4022">
        <f>IFERROR(VLOOKUP(F61,B.BasicInfomation!$B:$O,6,0),"")</f>
        <v>0.85</v>
      </c>
      <c r="H61" s="4364">
        <f>IFERROR(VLOOKUP(F61,B.BasicInfomation!$B:$O,9,0),"")</f>
        <v>0.27300000000000002</v>
      </c>
      <c r="I61" s="2013" t="str">
        <f>IFERROR(VLOOKUP(F61,B.BasicInfomation!$B:$O,14,0),"")</f>
        <v>ADC12</v>
      </c>
      <c r="J61" s="5">
        <f>'2. S Plan'!L61</f>
        <v>0</v>
      </c>
      <c r="K61" s="1657">
        <f>'2. S Plan'!M61</f>
        <v>0</v>
      </c>
      <c r="L61" s="1658">
        <f>'2. S Plan'!N61</f>
        <v>0</v>
      </c>
      <c r="M61" s="5">
        <f>'2. S Plan'!O61</f>
        <v>0</v>
      </c>
      <c r="N61" s="1657">
        <f>'2. S Plan'!P61</f>
        <v>11666.666666666666</v>
      </c>
      <c r="O61" s="1565">
        <f>'2. S Plan'!Q61</f>
        <v>11666.666666666666</v>
      </c>
      <c r="P61" s="1743">
        <f>'2. S Plan'!R61</f>
        <v>11666.666666666666</v>
      </c>
      <c r="Q61" s="1563">
        <f>'2. S Plan'!S61</f>
        <v>11666.666666666666</v>
      </c>
      <c r="R61" s="1564">
        <f>'2. S Plan'!T61</f>
        <v>11666.666666666666</v>
      </c>
      <c r="S61" s="1610">
        <f>'2. S Plan'!U61</f>
        <v>11666.666666666666</v>
      </c>
      <c r="T61" s="1563">
        <f>'2. S Plan'!V61</f>
        <v>11666.666666666666</v>
      </c>
      <c r="U61" s="1564">
        <f>'2. S Plan'!W61</f>
        <v>11666.666666666666</v>
      </c>
      <c r="V61" s="1566">
        <f t="shared" si="12"/>
        <v>93333.333333333343</v>
      </c>
      <c r="W61" s="1730"/>
      <c r="Y61" s="1731"/>
      <c r="AA61" s="1744">
        <f t="shared" si="16"/>
        <v>0.85</v>
      </c>
      <c r="AB61" s="1741">
        <f t="shared" si="17"/>
        <v>0.27300000000000002</v>
      </c>
      <c r="AC61" s="1745" t="str">
        <f t="shared" si="18"/>
        <v>ADC12</v>
      </c>
      <c r="AD61" s="1544" t="b">
        <f t="shared" si="13"/>
        <v>1</v>
      </c>
      <c r="AE61" s="1544" t="b">
        <f t="shared" si="14"/>
        <v>1</v>
      </c>
      <c r="AF61" s="1544" t="b">
        <f t="shared" si="15"/>
        <v>1</v>
      </c>
    </row>
    <row r="62" spans="1:32" ht="15.75" customHeight="1">
      <c r="A62" s="5190"/>
      <c r="B62" s="5246"/>
      <c r="C62" s="15"/>
      <c r="D62" s="13"/>
      <c r="E62" s="13">
        <v>31</v>
      </c>
      <c r="F62" s="1673" t="str">
        <f>'2. S Plan'!F62</f>
        <v>JG RWS CVR-만도향</v>
      </c>
      <c r="G62" s="4022">
        <f>IFERROR(VLOOKUP(F62,B.BasicInfomation!$B:$O,6,0),"")</f>
        <v>0.85</v>
      </c>
      <c r="H62" s="4364">
        <f>IFERROR(VLOOKUP(F62,B.BasicInfomation!$B:$O,9,0),"")</f>
        <v>0.29899999999999999</v>
      </c>
      <c r="I62" s="2013" t="str">
        <f>IFERROR(VLOOKUP(F62,B.BasicInfomation!$B:$O,14,0),"")</f>
        <v>ADC12</v>
      </c>
      <c r="J62" s="5">
        <f>'2. S Plan'!L62</f>
        <v>0</v>
      </c>
      <c r="K62" s="1657">
        <f>'2. S Plan'!M62</f>
        <v>0</v>
      </c>
      <c r="L62" s="1658">
        <f>'2. S Plan'!N62</f>
        <v>0</v>
      </c>
      <c r="M62" s="5">
        <f>'2. S Plan'!O62</f>
        <v>0</v>
      </c>
      <c r="N62" s="1657">
        <f>'2. S Plan'!P62</f>
        <v>2500</v>
      </c>
      <c r="O62" s="1565">
        <f>'2. S Plan'!Q62</f>
        <v>2500</v>
      </c>
      <c r="P62" s="1743">
        <f>'2. S Plan'!R62</f>
        <v>2500</v>
      </c>
      <c r="Q62" s="1563">
        <f>'2. S Plan'!S62</f>
        <v>2500</v>
      </c>
      <c r="R62" s="1564">
        <f>'2. S Plan'!T62</f>
        <v>2500</v>
      </c>
      <c r="S62" s="1610">
        <f>'2. S Plan'!U62</f>
        <v>2500</v>
      </c>
      <c r="T62" s="1563">
        <f>'2. S Plan'!V62</f>
        <v>2500</v>
      </c>
      <c r="U62" s="1564">
        <f>'2. S Plan'!W62</f>
        <v>2500</v>
      </c>
      <c r="V62" s="1566">
        <f t="shared" si="12"/>
        <v>20000</v>
      </c>
      <c r="W62" s="1730"/>
      <c r="Y62" s="1731"/>
      <c r="AA62" s="1744">
        <f t="shared" si="16"/>
        <v>0.85</v>
      </c>
      <c r="AB62" s="1741">
        <f t="shared" si="17"/>
        <v>0.29899999999999999</v>
      </c>
      <c r="AC62" s="1745" t="str">
        <f t="shared" si="18"/>
        <v>ADC12</v>
      </c>
      <c r="AD62" s="1544" t="b">
        <f t="shared" si="13"/>
        <v>1</v>
      </c>
      <c r="AE62" s="1544" t="b">
        <f t="shared" si="14"/>
        <v>1</v>
      </c>
      <c r="AF62" s="1544" t="b">
        <f t="shared" si="15"/>
        <v>1</v>
      </c>
    </row>
    <row r="63" spans="1:32" ht="15.75" customHeight="1">
      <c r="A63" s="5190"/>
      <c r="B63" s="5246"/>
      <c r="C63" s="11"/>
      <c r="D63" s="1607" t="s">
        <v>892</v>
      </c>
      <c r="E63" s="1607">
        <v>32</v>
      </c>
      <c r="F63" s="1733" t="str">
        <f>'2. S Plan'!F148</f>
        <v>MAS65 Heatsink Cover</v>
      </c>
      <c r="G63" s="4372">
        <f>IFERROR(VLOOKUP(F63,B.BasicInfomation!$B:$O,6,0),"")</f>
        <v>0.85</v>
      </c>
      <c r="H63" s="4369">
        <f>IFERROR(VLOOKUP(F63,B.BasicInfomation!$B:$O,9,0),"")</f>
        <v>0.12</v>
      </c>
      <c r="I63" s="2110" t="str">
        <f>IFERROR(VLOOKUP(F63,B.BasicInfomation!$B:$O,14,0),"")</f>
        <v>ADC12</v>
      </c>
      <c r="J63" s="1737">
        <f>'2. S Plan'!L63</f>
        <v>99489.877014332174</v>
      </c>
      <c r="K63" s="1738">
        <f>'2. S Plan'!M63</f>
        <v>66326.58467622145</v>
      </c>
      <c r="L63" s="1739">
        <f>'2. S Plan'!N63</f>
        <v>77933.736994560211</v>
      </c>
      <c r="M63" s="1737">
        <f>'2. S Plan'!O63</f>
        <v>57246.159393167327</v>
      </c>
      <c r="N63" s="1738">
        <f>'2. S Plan'!P63</f>
        <v>57246.159393167327</v>
      </c>
      <c r="O63" s="1567">
        <f>'2. S Plan'!Q63</f>
        <v>57246.159393167327</v>
      </c>
      <c r="P63" s="1663">
        <f>'2. S Plan'!R63</f>
        <v>57246.159393167327</v>
      </c>
      <c r="Q63" s="1558">
        <f>'2. S Plan'!S63</f>
        <v>57246.159393167327</v>
      </c>
      <c r="R63" s="1559">
        <f>'2. S Plan'!T63</f>
        <v>57246.159393167327</v>
      </c>
      <c r="S63" s="1608">
        <f>'2. S Plan'!U63</f>
        <v>57246.159393167327</v>
      </c>
      <c r="T63" s="1558">
        <f>'2. S Plan'!V63</f>
        <v>57246.159393167327</v>
      </c>
      <c r="U63" s="1559">
        <f>'2. S Plan'!W63</f>
        <v>57246.159393167327</v>
      </c>
      <c r="V63" s="1560">
        <f t="shared" si="12"/>
        <v>758965.63322362001</v>
      </c>
      <c r="W63" s="1730"/>
      <c r="X63" s="1544">
        <v>0.38539999999999996</v>
      </c>
      <c r="Y63" s="1731">
        <f>_xlfn.XLOOKUP(F63,B.BasicInfomation!B:B,B.BasicInfomation!J:J,"",0)</f>
        <v>0.12</v>
      </c>
      <c r="AA63" s="1744">
        <f t="shared" si="16"/>
        <v>0.85</v>
      </c>
      <c r="AB63" s="1741">
        <f t="shared" si="17"/>
        <v>0.12</v>
      </c>
      <c r="AC63" s="1745" t="str">
        <f t="shared" si="18"/>
        <v>ADC12</v>
      </c>
      <c r="AD63" s="1544" t="b">
        <f t="shared" si="13"/>
        <v>1</v>
      </c>
      <c r="AE63" s="1544" t="b">
        <f t="shared" si="14"/>
        <v>1</v>
      </c>
      <c r="AF63" s="1544" t="b">
        <f t="shared" si="15"/>
        <v>1</v>
      </c>
    </row>
    <row r="64" spans="1:32" ht="15.75" customHeight="1">
      <c r="A64" s="5190"/>
      <c r="B64" s="5246"/>
      <c r="C64" s="15" t="s">
        <v>405</v>
      </c>
      <c r="D64" s="1599" t="s">
        <v>865</v>
      </c>
      <c r="E64" s="1599">
        <v>33</v>
      </c>
      <c r="F64" s="1673" t="str">
        <f>'2. S Plan'!F149</f>
        <v>FCA Housing</v>
      </c>
      <c r="G64" s="4022">
        <f>IFERROR(VLOOKUP(F64,B.BasicInfomation!$B:$O,6,0),"")</f>
        <v>0.85</v>
      </c>
      <c r="H64" s="4364">
        <f>IFERROR(VLOOKUP(F64,B.BasicInfomation!$B:$O,9,0),"")</f>
        <v>0.12</v>
      </c>
      <c r="I64" s="2013" t="str">
        <f>IFERROR(VLOOKUP(F64,B.BasicInfomation!$B:$O,14,0),"")</f>
        <v>ADC12</v>
      </c>
      <c r="J64" s="5">
        <f>'2. S Plan'!L64</f>
        <v>51756.897751324432</v>
      </c>
      <c r="K64" s="1657">
        <f>'2. S Plan'!M64</f>
        <v>51756.897751324432</v>
      </c>
      <c r="L64" s="1658">
        <f>'2. S Plan'!N64</f>
        <v>44813.046982411215</v>
      </c>
      <c r="M64" s="5">
        <f>'2. S Plan'!O64</f>
        <v>44813.046982411215</v>
      </c>
      <c r="N64" s="1657">
        <f>'2. S Plan'!P64</f>
        <v>44813.046982411215</v>
      </c>
      <c r="O64" s="1565">
        <f>'2. S Plan'!Q64</f>
        <v>44813.046982411215</v>
      </c>
      <c r="P64" s="1743">
        <f>'2. S Plan'!R64</f>
        <v>44813.046982411215</v>
      </c>
      <c r="Q64" s="1563">
        <f>'2. S Plan'!S64</f>
        <v>44813.046982411215</v>
      </c>
      <c r="R64" s="1564">
        <f>'2. S Plan'!T64</f>
        <v>44813.046982411215</v>
      </c>
      <c r="S64" s="1610">
        <f>'2. S Plan'!U64</f>
        <v>44813.046982411215</v>
      </c>
      <c r="T64" s="1563">
        <f>'2. S Plan'!V64</f>
        <v>44813.046982411215</v>
      </c>
      <c r="U64" s="1564">
        <f>'2. S Plan'!W64</f>
        <v>44813.046982411215</v>
      </c>
      <c r="V64" s="1566">
        <f t="shared" si="12"/>
        <v>551644.26532676106</v>
      </c>
      <c r="W64" s="1730"/>
      <c r="X64" s="1544">
        <v>0.25819900000000001</v>
      </c>
      <c r="Y64" s="1731">
        <f>_xlfn.XLOOKUP(F64,B.BasicInfomation!B:B,B.BasicInfomation!J:J,"",0)</f>
        <v>0.12</v>
      </c>
      <c r="AA64" s="1744">
        <f t="shared" si="16"/>
        <v>0.85</v>
      </c>
      <c r="AB64" s="1741">
        <f t="shared" si="17"/>
        <v>0.12</v>
      </c>
      <c r="AC64" s="1745" t="str">
        <f t="shared" si="18"/>
        <v>ADC12</v>
      </c>
      <c r="AD64" s="1544" t="b">
        <f t="shared" si="13"/>
        <v>1</v>
      </c>
      <c r="AE64" s="1544" t="b">
        <f t="shared" si="14"/>
        <v>1</v>
      </c>
      <c r="AF64" s="1544" t="b">
        <f t="shared" si="15"/>
        <v>1</v>
      </c>
    </row>
    <row r="65" spans="1:32" ht="15.75" customHeight="1">
      <c r="A65" s="5190"/>
      <c r="B65" s="5246"/>
      <c r="C65" s="15"/>
      <c r="D65" s="15"/>
      <c r="E65" s="15">
        <v>34</v>
      </c>
      <c r="F65" s="1673" t="str">
        <f>'2. S Plan'!F150</f>
        <v>GM EU2L Housing</v>
      </c>
      <c r="G65" s="4022">
        <f>IFERROR(VLOOKUP(F65,B.BasicInfomation!$B:$O,6,0),"")</f>
        <v>0.85</v>
      </c>
      <c r="H65" s="4364">
        <f>IFERROR(VLOOKUP(F65,B.BasicInfomation!$B:$O,9,0),"")</f>
        <v>0.12</v>
      </c>
      <c r="I65" s="2013" t="str">
        <f>IFERROR(VLOOKUP(F65,B.BasicInfomation!$B:$O,14,0),"")</f>
        <v>ADC12</v>
      </c>
      <c r="J65" s="5">
        <f>'2. S Plan'!L65</f>
        <v>47655.158868995495</v>
      </c>
      <c r="K65" s="1657">
        <f>'2. S Plan'!M65</f>
        <v>45723.108610945441</v>
      </c>
      <c r="L65" s="1658">
        <f>'2. S Plan'!N65</f>
        <v>48649.145145400762</v>
      </c>
      <c r="M65" s="5">
        <f>'2. S Plan'!O65</f>
        <v>48649.145145400762</v>
      </c>
      <c r="N65" s="1657">
        <f>'2. S Plan'!P65</f>
        <v>49655.421321468486</v>
      </c>
      <c r="O65" s="1565">
        <f>'2. S Plan'!Q65</f>
        <v>64530.101468511763</v>
      </c>
      <c r="P65" s="1743">
        <f>'2. S Plan'!R65</f>
        <v>60325.525213614193</v>
      </c>
      <c r="Q65" s="1563">
        <f>'2. S Plan'!S65</f>
        <v>60325.525213614193</v>
      </c>
      <c r="R65" s="1564">
        <f>'2. S Plan'!T65</f>
        <v>59158.244849375624</v>
      </c>
      <c r="S65" s="1610">
        <f>'2. S Plan'!U65</f>
        <v>48488.140957229916</v>
      </c>
      <c r="T65" s="1563">
        <f>'2. S Plan'!V65</f>
        <v>33613.460810186647</v>
      </c>
      <c r="U65" s="1564">
        <f>'2. S Plan'!W65</f>
        <v>34780.741174425217</v>
      </c>
      <c r="V65" s="1566">
        <f t="shared" si="12"/>
        <v>601553.71877916856</v>
      </c>
      <c r="W65" s="1730"/>
      <c r="X65" s="1544">
        <v>0.22728999999999999</v>
      </c>
      <c r="Y65" s="1731">
        <f>_xlfn.XLOOKUP(F65,B.BasicInfomation!B:B,B.BasicInfomation!J:J,"",0)</f>
        <v>0.12</v>
      </c>
      <c r="AA65" s="1744">
        <f t="shared" si="16"/>
        <v>0.85</v>
      </c>
      <c r="AB65" s="1741">
        <f t="shared" si="17"/>
        <v>0.12</v>
      </c>
      <c r="AC65" s="1745" t="str">
        <f t="shared" si="18"/>
        <v>ADC12</v>
      </c>
      <c r="AD65" s="1544" t="b">
        <f t="shared" si="13"/>
        <v>1</v>
      </c>
      <c r="AE65" s="1544" t="b">
        <f t="shared" si="14"/>
        <v>1</v>
      </c>
      <c r="AF65" s="1544" t="b">
        <f t="shared" si="15"/>
        <v>1</v>
      </c>
    </row>
    <row r="66" spans="1:32" ht="15.75" customHeight="1">
      <c r="A66" s="5190"/>
      <c r="B66" s="5246"/>
      <c r="C66" s="15"/>
      <c r="D66" s="15"/>
      <c r="E66" s="15">
        <v>35</v>
      </c>
      <c r="F66" s="1673" t="str">
        <f>'2. S Plan'!F151</f>
        <v>GM ACP Housing</v>
      </c>
      <c r="G66" s="4022">
        <f>IFERROR(VLOOKUP(F66,B.BasicInfomation!$B:$O,6,0),"")</f>
        <v>0.85</v>
      </c>
      <c r="H66" s="4364">
        <f>IFERROR(VLOOKUP(F66,B.BasicInfomation!$B:$O,9,0),"")</f>
        <v>0.12</v>
      </c>
      <c r="I66" s="2013" t="str">
        <f>IFERROR(VLOOKUP(F66,B.BasicInfomation!$B:$O,14,0),"")</f>
        <v>ADC12</v>
      </c>
      <c r="J66" s="5">
        <f>'2. S Plan'!L66</f>
        <v>118419.24603668497</v>
      </c>
      <c r="K66" s="1657">
        <f>'2. S Plan'!M66</f>
        <v>118419.24603668497</v>
      </c>
      <c r="L66" s="1658">
        <f>'2. S Plan'!N66</f>
        <v>122382.69852946539</v>
      </c>
      <c r="M66" s="5">
        <f>'2. S Plan'!O66</f>
        <v>117083.57763810563</v>
      </c>
      <c r="N66" s="1657">
        <f>'2. S Plan'!P66</f>
        <v>121081.19744567382</v>
      </c>
      <c r="O66" s="1565">
        <f>'2. S Plan'!Q66</f>
        <v>121081.19744567382</v>
      </c>
      <c r="P66" s="1743">
        <f>'2. S Plan'!R66</f>
        <v>121081.19744567382</v>
      </c>
      <c r="Q66" s="1563">
        <f>'2. S Plan'!S66</f>
        <v>121081.19744567382</v>
      </c>
      <c r="R66" s="1564">
        <f>'2. S Plan'!T66</f>
        <v>115782.07655431407</v>
      </c>
      <c r="S66" s="1610">
        <f>'2. S Plan'!U66</f>
        <v>115782.07655431407</v>
      </c>
      <c r="T66" s="1563">
        <f>'2. S Plan'!V66</f>
        <v>115782.07655431407</v>
      </c>
      <c r="U66" s="1564">
        <f>'2. S Plan'!W66</f>
        <v>121081.19744567382</v>
      </c>
      <c r="V66" s="1566">
        <f t="shared" si="12"/>
        <v>1429056.9851322523</v>
      </c>
      <c r="W66" s="1730"/>
      <c r="X66" s="1544">
        <v>0.22728999999999999</v>
      </c>
      <c r="Y66" s="1731">
        <f>_xlfn.XLOOKUP(F66,B.BasicInfomation!B:B,B.BasicInfomation!J:J,"",0)</f>
        <v>0.12</v>
      </c>
      <c r="AA66" s="1744">
        <f t="shared" si="16"/>
        <v>0.85</v>
      </c>
      <c r="AB66" s="1741">
        <f t="shared" si="17"/>
        <v>0.12</v>
      </c>
      <c r="AC66" s="1745" t="str">
        <f t="shared" si="18"/>
        <v>ADC12</v>
      </c>
      <c r="AD66" s="1544" t="b">
        <f t="shared" si="13"/>
        <v>1</v>
      </c>
      <c r="AE66" s="1544" t="b">
        <f t="shared" si="14"/>
        <v>1</v>
      </c>
      <c r="AF66" s="1544" t="b">
        <f t="shared" si="15"/>
        <v>1</v>
      </c>
    </row>
    <row r="67" spans="1:32" ht="15.75" customHeight="1">
      <c r="A67" s="5190"/>
      <c r="B67" s="5246"/>
      <c r="C67" s="15"/>
      <c r="D67" s="12" t="s">
        <v>874</v>
      </c>
      <c r="E67" s="12">
        <v>36</v>
      </c>
      <c r="F67" s="1767" t="str">
        <f>'2. S Plan'!F152</f>
        <v>FCA Cover</v>
      </c>
      <c r="G67" s="4374">
        <f>IFERROR(VLOOKUP(F67,B.BasicInfomation!$B:$O,6,0),"")</f>
        <v>0.85</v>
      </c>
      <c r="H67" s="4367">
        <f>IFERROR(VLOOKUP(F67,B.BasicInfomation!$B:$O,9,0),"")</f>
        <v>3.2000000000000001E-2</v>
      </c>
      <c r="I67" s="2037" t="str">
        <f>IFERROR(VLOOKUP(F67,B.BasicInfomation!$B:$O,14,0),"")</f>
        <v>ADC12</v>
      </c>
      <c r="J67" s="1769">
        <f>'2. S Plan'!L67</f>
        <v>51791.726116169986</v>
      </c>
      <c r="K67" s="1770">
        <f>'2. S Plan'!M67</f>
        <v>51791.726116169986</v>
      </c>
      <c r="L67" s="1771">
        <f>'2. S Plan'!N67</f>
        <v>44843.202676008674</v>
      </c>
      <c r="M67" s="1769">
        <f>'2. S Plan'!O67</f>
        <v>44843.202676008674</v>
      </c>
      <c r="N67" s="1770">
        <f>'2. S Plan'!P67</f>
        <v>44843.202676008674</v>
      </c>
      <c r="O67" s="1584">
        <f>'2. S Plan'!Q67</f>
        <v>44843.202676008674</v>
      </c>
      <c r="P67" s="1661">
        <f>'2. S Plan'!R67</f>
        <v>44843.202676008674</v>
      </c>
      <c r="Q67" s="1582">
        <f>'2. S Plan'!S67</f>
        <v>44843.202676008674</v>
      </c>
      <c r="R67" s="1583">
        <f>'2. S Plan'!T67</f>
        <v>44843.202676008674</v>
      </c>
      <c r="S67" s="1772">
        <f>'2. S Plan'!U67</f>
        <v>44843.202676008674</v>
      </c>
      <c r="T67" s="1582">
        <f>'2. S Plan'!V67</f>
        <v>44843.202676008674</v>
      </c>
      <c r="U67" s="1583">
        <f>'2. S Plan'!W67</f>
        <v>44843.202676008674</v>
      </c>
      <c r="V67" s="1585">
        <f t="shared" si="12"/>
        <v>552015.47899242677</v>
      </c>
      <c r="W67" s="1730"/>
      <c r="X67" s="1544">
        <v>0.15737999999999999</v>
      </c>
      <c r="Y67" s="1731">
        <f>_xlfn.XLOOKUP(F67,B.BasicInfomation!B:B,B.BasicInfomation!J:J,"",0)</f>
        <v>3.2000000000000001E-2</v>
      </c>
      <c r="AA67" s="1744">
        <f t="shared" si="16"/>
        <v>0.85</v>
      </c>
      <c r="AB67" s="1741">
        <f t="shared" si="17"/>
        <v>3.2000000000000001E-2</v>
      </c>
      <c r="AC67" s="1745" t="str">
        <f t="shared" si="18"/>
        <v>ADC12</v>
      </c>
      <c r="AD67" s="1544" t="b">
        <f t="shared" si="13"/>
        <v>1</v>
      </c>
      <c r="AE67" s="1544" t="b">
        <f t="shared" si="14"/>
        <v>1</v>
      </c>
      <c r="AF67" s="1544" t="b">
        <f t="shared" si="15"/>
        <v>1</v>
      </c>
    </row>
    <row r="68" spans="1:32" s="1579" customFormat="1" ht="15.75" customHeight="1">
      <c r="A68" s="5190"/>
      <c r="B68" s="5246"/>
      <c r="C68" s="15"/>
      <c r="D68" s="15"/>
      <c r="E68" s="15">
        <v>37</v>
      </c>
      <c r="F68" s="1673" t="str">
        <f>'2. S Plan'!F153</f>
        <v>GM EU2L Cover</v>
      </c>
      <c r="G68" s="4022">
        <f>IFERROR(VLOOKUP(F68,B.BasicInfomation!$B:$O,6,0),"")</f>
        <v>0.85</v>
      </c>
      <c r="H68" s="4364">
        <f>IFERROR(VLOOKUP(F68,B.BasicInfomation!$B:$O,9,0),"")</f>
        <v>4.0000000000000008E-2</v>
      </c>
      <c r="I68" s="2013" t="str">
        <f>IFERROR(VLOOKUP(F68,B.BasicInfomation!$B:$O,14,0),"")</f>
        <v>ADC12</v>
      </c>
      <c r="J68" s="5">
        <f>'2. S Plan'!L68</f>
        <v>46698.6944694013</v>
      </c>
      <c r="K68" s="1657">
        <f>'2. S Plan'!M68</f>
        <v>44736.771903476809</v>
      </c>
      <c r="L68" s="1658">
        <f>'2. S Plan'!N68</f>
        <v>47675.396093260541</v>
      </c>
      <c r="M68" s="5">
        <f>'2. S Plan'!O68</f>
        <v>47675.396093260541</v>
      </c>
      <c r="N68" s="1657">
        <f>'2. S Plan'!P68</f>
        <v>48697.013511500001</v>
      </c>
      <c r="O68" s="1565">
        <f>'2. S Plan'!Q68</f>
        <v>63226.6556516009</v>
      </c>
      <c r="P68" s="1743">
        <f>'2. S Plan'!R68</f>
        <v>59119.610139999051</v>
      </c>
      <c r="Q68" s="1563">
        <f>'2. S Plan'!S68</f>
        <v>59119.610139999051</v>
      </c>
      <c r="R68" s="1564">
        <f>'2. S Plan'!T68</f>
        <v>57934.533934841267</v>
      </c>
      <c r="S68" s="1610">
        <f>'2. S Plan'!U68</f>
        <v>47511.937306342232</v>
      </c>
      <c r="T68" s="1563">
        <f>'2. S Plan'!V68</f>
        <v>32982.295166241325</v>
      </c>
      <c r="U68" s="1564">
        <f>'2. S Plan'!W68</f>
        <v>34167.371371399102</v>
      </c>
      <c r="V68" s="1566">
        <f t="shared" si="12"/>
        <v>589545.28578132228</v>
      </c>
      <c r="W68" s="1766"/>
      <c r="X68" s="1579">
        <v>0.14130999999999999</v>
      </c>
      <c r="Y68" s="1731">
        <f>_xlfn.XLOOKUP(F68,B.BasicInfomation!B:B,B.BasicInfomation!J:J,"",0)</f>
        <v>4.0000000000000008E-2</v>
      </c>
      <c r="AA68" s="1744">
        <f t="shared" si="16"/>
        <v>0.85</v>
      </c>
      <c r="AB68" s="1741">
        <f t="shared" si="17"/>
        <v>4.0000000000000008E-2</v>
      </c>
      <c r="AC68" s="1745" t="str">
        <f t="shared" si="18"/>
        <v>ADC12</v>
      </c>
      <c r="AD68" s="1544" t="b">
        <f t="shared" si="13"/>
        <v>1</v>
      </c>
      <c r="AE68" s="1544" t="b">
        <f t="shared" si="14"/>
        <v>1</v>
      </c>
      <c r="AF68" s="1544" t="b">
        <f t="shared" si="15"/>
        <v>1</v>
      </c>
    </row>
    <row r="69" spans="1:32" s="1579" customFormat="1" ht="15.75" customHeight="1">
      <c r="A69" s="5190"/>
      <c r="B69" s="5246"/>
      <c r="C69" s="13"/>
      <c r="D69" s="1586"/>
      <c r="E69" s="1586">
        <v>38</v>
      </c>
      <c r="F69" s="1774" t="str">
        <f>'2. S Plan'!F154</f>
        <v>GM ACP Cover</v>
      </c>
      <c r="G69" s="4375">
        <f>IFERROR(VLOOKUP(F69,B.BasicInfomation!$B:$O,6,0),"")</f>
        <v>0.85</v>
      </c>
      <c r="H69" s="4368">
        <f>IFERROR(VLOOKUP(F69,B.BasicInfomation!$B:$O,9,0),"")</f>
        <v>3.2000000000000001E-2</v>
      </c>
      <c r="I69" s="2025" t="str">
        <f>IFERROR(VLOOKUP(F69,B.BasicInfomation!$B:$O,14,0),"")</f>
        <v>ADC12</v>
      </c>
      <c r="J69" s="1776">
        <f>'2. S Plan'!L69</f>
        <v>117432.97923782899</v>
      </c>
      <c r="K69" s="1777">
        <f>'2. S Plan'!M69</f>
        <v>117432.97923782899</v>
      </c>
      <c r="L69" s="1778">
        <f>'2. S Plan'!N69</f>
        <v>121664.70607794165</v>
      </c>
      <c r="M69" s="1776">
        <f>'2. S Plan'!O69</f>
        <v>116006.90340569675</v>
      </c>
      <c r="N69" s="1777">
        <f>'2. S Plan'!P69</f>
        <v>120391.8151644357</v>
      </c>
      <c r="O69" s="1590">
        <f>'2. S Plan'!Q69</f>
        <v>120391.8151644357</v>
      </c>
      <c r="P69" s="1779">
        <f>'2. S Plan'!R69</f>
        <v>120391.8151644357</v>
      </c>
      <c r="Q69" s="1588">
        <f>'2. S Plan'!S69</f>
        <v>120391.8151644357</v>
      </c>
      <c r="R69" s="1589">
        <f>'2. S Plan'!T69</f>
        <v>114734.0124921908</v>
      </c>
      <c r="S69" s="1780">
        <f>'2. S Plan'!U69</f>
        <v>114734.0124921908</v>
      </c>
      <c r="T69" s="1588">
        <f>'2. S Plan'!V69</f>
        <v>114734.0124921908</v>
      </c>
      <c r="U69" s="1589">
        <f>'2. S Plan'!W69</f>
        <v>120391.8151644357</v>
      </c>
      <c r="V69" s="1591">
        <f t="shared" si="12"/>
        <v>1418698.681258047</v>
      </c>
      <c r="W69" s="1766"/>
      <c r="X69" s="1579">
        <v>0.16072999999999998</v>
      </c>
      <c r="Y69" s="1731">
        <f>_xlfn.XLOOKUP(F69,B.BasicInfomation!B:B,B.BasicInfomation!J:J,"",0)</f>
        <v>3.2000000000000001E-2</v>
      </c>
      <c r="AA69" s="1744">
        <f t="shared" si="16"/>
        <v>0.85</v>
      </c>
      <c r="AB69" s="1741">
        <f t="shared" si="17"/>
        <v>3.2000000000000001E-2</v>
      </c>
      <c r="AC69" s="1745" t="str">
        <f t="shared" si="18"/>
        <v>ADC12</v>
      </c>
      <c r="AD69" s="1544" t="b">
        <f t="shared" si="13"/>
        <v>1</v>
      </c>
      <c r="AE69" s="1544" t="b">
        <f t="shared" si="14"/>
        <v>1</v>
      </c>
      <c r="AF69" s="1544" t="b">
        <f t="shared" si="15"/>
        <v>1</v>
      </c>
    </row>
    <row r="70" spans="1:32" s="1579" customFormat="1" ht="15.75" customHeight="1">
      <c r="A70" s="5190"/>
      <c r="B70" s="5246"/>
      <c r="C70" s="13"/>
      <c r="D70" s="15" t="s">
        <v>885</v>
      </c>
      <c r="E70" s="15">
        <v>39</v>
      </c>
      <c r="F70" s="1673" t="str">
        <f>'2. S Plan'!F155</f>
        <v>Lens Mount</v>
      </c>
      <c r="G70" s="4022">
        <f>IFERROR(VLOOKUP(F70,B.BasicInfomation!$B:$O,6,0),"")</f>
        <v>0.85</v>
      </c>
      <c r="H70" s="4364">
        <f>IFERROR(VLOOKUP(F70,B.BasicInfomation!$B:$O,9,0),"")</f>
        <v>3.2000000000000002E-3</v>
      </c>
      <c r="I70" s="2013" t="str">
        <f>IFERROR(VLOOKUP(F70,B.BasicInfomation!$B:$O,14,0),"")</f>
        <v>ADC12</v>
      </c>
      <c r="J70" s="5">
        <f>'2. S Plan'!L70</f>
        <v>147443.5323287572</v>
      </c>
      <c r="K70" s="1657">
        <f>'2. S Plan'!M70</f>
        <v>148245.16741546954</v>
      </c>
      <c r="L70" s="1658">
        <f>'2. S Plan'!N70</f>
        <v>221368.92728703574</v>
      </c>
      <c r="M70" s="5">
        <f>'2. S Plan'!O70</f>
        <v>216358.70799508365</v>
      </c>
      <c r="N70" s="1657">
        <f>'2. S Plan'!P70</f>
        <v>216358.70799508365</v>
      </c>
      <c r="O70" s="1565">
        <f>'2. S Plan'!Q70</f>
        <v>208305.97006047683</v>
      </c>
      <c r="P70" s="1743">
        <f>'2. S Plan'!R70</f>
        <v>208305.97006047683</v>
      </c>
      <c r="Q70" s="1563">
        <f>'2. S Plan'!S70</f>
        <v>213316.18935242895</v>
      </c>
      <c r="R70" s="1564">
        <f>'2. S Plan'!T70</f>
        <v>221368.92728703574</v>
      </c>
      <c r="S70" s="1610">
        <f>'2. S Plan'!U70</f>
        <v>216358.70799508365</v>
      </c>
      <c r="T70" s="1563">
        <f>'2. S Plan'!V70</f>
        <v>208305.97006047683</v>
      </c>
      <c r="U70" s="1564">
        <f>'2. S Plan'!W70</f>
        <v>208305.97006047683</v>
      </c>
      <c r="V70" s="1566">
        <f t="shared" si="12"/>
        <v>2434042.7478978857</v>
      </c>
      <c r="W70" s="1766"/>
      <c r="X70" s="1579">
        <v>5.228E-2</v>
      </c>
      <c r="Y70" s="1731">
        <f>_xlfn.XLOOKUP(F70,B.BasicInfomation!B:B,B.BasicInfomation!J:J,"",0)</f>
        <v>3.2000000000000002E-3</v>
      </c>
      <c r="AA70" s="1744">
        <f t="shared" si="16"/>
        <v>0.85</v>
      </c>
      <c r="AB70" s="1741">
        <f t="shared" si="17"/>
        <v>3.2000000000000002E-3</v>
      </c>
      <c r="AC70" s="1745" t="str">
        <f t="shared" si="18"/>
        <v>ADC12</v>
      </c>
      <c r="AD70" s="1544" t="b">
        <f t="shared" si="13"/>
        <v>1</v>
      </c>
      <c r="AE70" s="1544" t="b">
        <f t="shared" si="14"/>
        <v>1</v>
      </c>
      <c r="AF70" s="1544" t="b">
        <f t="shared" si="15"/>
        <v>1</v>
      </c>
    </row>
    <row r="71" spans="1:32" s="1579" customFormat="1" ht="15.75" customHeight="1">
      <c r="A71" s="5190"/>
      <c r="B71" s="5246"/>
      <c r="C71" s="13"/>
      <c r="D71" s="12" t="s">
        <v>892</v>
      </c>
      <c r="E71" s="12">
        <v>40</v>
      </c>
      <c r="F71" s="1767" t="str">
        <f>'2. S Plan'!F156</f>
        <v>IPM 1.0 Housing</v>
      </c>
      <c r="G71" s="4374">
        <f>IFERROR(VLOOKUP(F71,B.BasicInfomation!$B:$O,6,0),"")</f>
        <v>0.85</v>
      </c>
      <c r="H71" s="4367">
        <f>IFERROR(VLOOKUP(F71,B.BasicInfomation!$B:$O,9,0),"")</f>
        <v>3.2000000000000002E-3</v>
      </c>
      <c r="I71" s="2037" t="str">
        <f>IFERROR(VLOOKUP(F71,B.BasicInfomation!$B:$O,14,0),"")</f>
        <v>ADC12</v>
      </c>
      <c r="J71" s="1769">
        <f>'2. S Plan'!L71</f>
        <v>10396.982393476275</v>
      </c>
      <c r="K71" s="1770">
        <f>'2. S Plan'!M71</f>
        <v>10396.982393476275</v>
      </c>
      <c r="L71" s="1771">
        <f>'2. S Plan'!N71</f>
        <v>8022.3629579292256</v>
      </c>
      <c r="M71" s="1769">
        <f>'2. S Plan'!O71</f>
        <v>8022.3629579292256</v>
      </c>
      <c r="N71" s="1770">
        <f>'2. S Plan'!P71</f>
        <v>14007.045724544427</v>
      </c>
      <c r="O71" s="1584">
        <f>'2. S Plan'!Q71</f>
        <v>14007.045724544427</v>
      </c>
      <c r="P71" s="1661">
        <f>'2. S Plan'!R71</f>
        <v>14007.045724544427</v>
      </c>
      <c r="Q71" s="1582">
        <f>'2. S Plan'!S71</f>
        <v>8022.3629579292256</v>
      </c>
      <c r="R71" s="1583">
        <f>'2. S Plan'!T71</f>
        <v>10396.982393476275</v>
      </c>
      <c r="S71" s="1772">
        <f>'2. S Plan'!U71</f>
        <v>10396.982393476275</v>
      </c>
      <c r="T71" s="1582">
        <f>'2. S Plan'!V71</f>
        <v>10396.982393476275</v>
      </c>
      <c r="U71" s="1583">
        <f>'2. S Plan'!W71</f>
        <v>8022.3629579292256</v>
      </c>
      <c r="V71" s="1585">
        <f t="shared" si="12"/>
        <v>126095.50097273156</v>
      </c>
      <c r="W71" s="1766"/>
      <c r="X71" s="1579">
        <v>0.67205999999999999</v>
      </c>
      <c r="Y71" s="1731">
        <f>_xlfn.XLOOKUP(F71,B.BasicInfomation!B:B,B.BasicInfomation!J:J,"",0)</f>
        <v>3.2000000000000002E-3</v>
      </c>
      <c r="AA71" s="1744">
        <f t="shared" si="16"/>
        <v>0.85</v>
      </c>
      <c r="AB71" s="1741">
        <f t="shared" si="17"/>
        <v>3.2000000000000002E-3</v>
      </c>
      <c r="AC71" s="1745" t="str">
        <f t="shared" si="18"/>
        <v>ADC12</v>
      </c>
      <c r="AD71" s="1544" t="b">
        <f t="shared" si="13"/>
        <v>1</v>
      </c>
      <c r="AE71" s="1544" t="b">
        <f t="shared" si="14"/>
        <v>1</v>
      </c>
      <c r="AF71" s="1544" t="b">
        <f t="shared" si="15"/>
        <v>1</v>
      </c>
    </row>
    <row r="72" spans="1:32" s="1579" customFormat="1" ht="15.75" customHeight="1">
      <c r="A72" s="5190"/>
      <c r="B72" s="5246"/>
      <c r="C72" s="13"/>
      <c r="D72" s="15"/>
      <c r="E72" s="15">
        <v>41</v>
      </c>
      <c r="F72" s="1673" t="str">
        <f>'2. S Plan'!F157</f>
        <v>IPM 2.0  Base Housing</v>
      </c>
      <c r="G72" s="4376">
        <f>IFERROR(VLOOKUP(F72,B.BasicInfomation!$B:$O,6,0),"")</f>
        <v>0.8</v>
      </c>
      <c r="H72" s="4364">
        <f>IFERROR(VLOOKUP(F72,B.BasicInfomation!$B:$O,9,0),"")</f>
        <v>0.33673999999999998</v>
      </c>
      <c r="I72" s="2013" t="str">
        <f>IFERROR(VLOOKUP(F72,B.BasicInfomation!$B:$O,14,0),"")</f>
        <v>ADC12</v>
      </c>
      <c r="J72" s="5">
        <f>'2. S Plan'!L72</f>
        <v>2872.419122510642</v>
      </c>
      <c r="K72" s="1657">
        <f>'2. S Plan'!M72</f>
        <v>2872.419122510642</v>
      </c>
      <c r="L72" s="1658">
        <f>'2. S Plan'!N72</f>
        <v>4808.7373702745126</v>
      </c>
      <c r="M72" s="5">
        <f>'2. S Plan'!O72</f>
        <v>2872.419122510642</v>
      </c>
      <c r="N72" s="1657">
        <f>'2. S Plan'!P72</f>
        <v>2872.419122510642</v>
      </c>
      <c r="O72" s="1565">
        <f>'2. S Plan'!Q72</f>
        <v>2872.419122510642</v>
      </c>
      <c r="P72" s="1743">
        <f>'2. S Plan'!R72</f>
        <v>4808.7373702745126</v>
      </c>
      <c r="Q72" s="1563">
        <f>'2. S Plan'!S72</f>
        <v>4808.7373702745126</v>
      </c>
      <c r="R72" s="1564">
        <f>'2. S Plan'!T72</f>
        <v>4808.7373702745126</v>
      </c>
      <c r="S72" s="1610">
        <f>'2. S Plan'!U72</f>
        <v>2872.419122510642</v>
      </c>
      <c r="T72" s="1563">
        <f>'2. S Plan'!V72</f>
        <v>2872.419122510642</v>
      </c>
      <c r="U72" s="1564">
        <f>'2. S Plan'!W72</f>
        <v>2872.419122510642</v>
      </c>
      <c r="V72" s="1566">
        <f t="shared" si="12"/>
        <v>42214.302461183186</v>
      </c>
      <c r="W72" s="1766"/>
      <c r="X72" s="1579">
        <v>0.38314999999999999</v>
      </c>
      <c r="Y72" s="1731">
        <f>_xlfn.XLOOKUP(F72,B.BasicInfomation!B:B,B.BasicInfomation!J:J,"",0)</f>
        <v>0.33673999999999998</v>
      </c>
      <c r="AA72" s="1744">
        <f t="shared" si="16"/>
        <v>0.8</v>
      </c>
      <c r="AB72" s="1741">
        <f t="shared" si="17"/>
        <v>0.33673999999999998</v>
      </c>
      <c r="AC72" s="1745" t="str">
        <f t="shared" si="18"/>
        <v>ADC12</v>
      </c>
      <c r="AD72" s="1544" t="b">
        <f t="shared" si="13"/>
        <v>1</v>
      </c>
      <c r="AE72" s="1544" t="b">
        <f t="shared" si="14"/>
        <v>1</v>
      </c>
      <c r="AF72" s="1544" t="b">
        <f t="shared" si="15"/>
        <v>1</v>
      </c>
    </row>
    <row r="73" spans="1:32" s="1579" customFormat="1" ht="15.75" customHeight="1">
      <c r="A73" s="5190"/>
      <c r="B73" s="5246"/>
      <c r="C73" s="13"/>
      <c r="D73" s="15"/>
      <c r="E73" s="15"/>
      <c r="F73" s="1673" t="str">
        <f>'2. S Plan'!F158</f>
        <v>IPM 2.0 Advanced HSG</v>
      </c>
      <c r="G73" s="4376">
        <f>IFERROR(VLOOKUP(F73,B.BasicInfomation!$B:$O,6,0),"")</f>
        <v>0.8</v>
      </c>
      <c r="H73" s="4364">
        <f>IFERROR(VLOOKUP(F73,B.BasicInfomation!$B:$O,9,0),"")</f>
        <v>0.33673999999999998</v>
      </c>
      <c r="I73" s="2013" t="str">
        <f>IFERROR(VLOOKUP(F73,B.BasicInfomation!$B:$O,14,0),"")</f>
        <v>ADC12</v>
      </c>
      <c r="J73" s="5">
        <f>'2. S Plan'!L73</f>
        <v>0</v>
      </c>
      <c r="K73" s="1657">
        <f>'2. S Plan'!M73</f>
        <v>0</v>
      </c>
      <c r="L73" s="1658">
        <f>'2. S Plan'!N73</f>
        <v>0</v>
      </c>
      <c r="M73" s="5">
        <f>'2. S Plan'!O73</f>
        <v>0</v>
      </c>
      <c r="N73" s="1657">
        <f>'2. S Plan'!P73</f>
        <v>0</v>
      </c>
      <c r="O73" s="1565">
        <f>'2. S Plan'!Q73</f>
        <v>0</v>
      </c>
      <c r="P73" s="1743">
        <f>'2. S Plan'!R73</f>
        <v>0</v>
      </c>
      <c r="Q73" s="1563">
        <f>'2. S Plan'!S73</f>
        <v>0</v>
      </c>
      <c r="R73" s="1564">
        <f>'2. S Plan'!T73</f>
        <v>0</v>
      </c>
      <c r="S73" s="1610">
        <f>'2. S Plan'!U73</f>
        <v>0</v>
      </c>
      <c r="T73" s="1563">
        <f>'2. S Plan'!V73</f>
        <v>0</v>
      </c>
      <c r="U73" s="1564">
        <f>'2. S Plan'!W73</f>
        <v>0</v>
      </c>
      <c r="V73" s="1566">
        <f t="shared" ref="V73:V75" si="19">SUM(J73:U73)</f>
        <v>0</v>
      </c>
      <c r="W73" s="1766"/>
      <c r="Y73" s="1731"/>
      <c r="AA73" s="1744">
        <f t="shared" si="16"/>
        <v>0.8</v>
      </c>
      <c r="AB73" s="1741">
        <f t="shared" si="17"/>
        <v>0.33673999999999998</v>
      </c>
      <c r="AC73" s="1745" t="str">
        <f t="shared" si="18"/>
        <v>ADC12</v>
      </c>
      <c r="AD73" s="1544" t="b">
        <f t="shared" ref="AD73:AD83" si="20">AA73=G73</f>
        <v>1</v>
      </c>
      <c r="AE73" s="1544" t="b">
        <f t="shared" ref="AE73:AE83" si="21">AB73=H73</f>
        <v>1</v>
      </c>
      <c r="AF73" s="1544" t="b">
        <f t="shared" ref="AF73:AF83" si="22">AC73=I73</f>
        <v>1</v>
      </c>
    </row>
    <row r="74" spans="1:32" s="1579" customFormat="1" ht="15.75" customHeight="1">
      <c r="A74" s="5190"/>
      <c r="B74" s="5246"/>
      <c r="C74" s="13"/>
      <c r="D74" s="15"/>
      <c r="E74" s="15"/>
      <c r="F74" s="1673" t="str">
        <f>'2. S Plan'!F159</f>
        <v>IPM 2.0 HSG Base+</v>
      </c>
      <c r="G74" s="4376">
        <f>IFERROR(VLOOKUP(F74,B.BasicInfomation!$B:$O,6,0),"")</f>
        <v>0.8</v>
      </c>
      <c r="H74" s="4364">
        <f>IFERROR(VLOOKUP(F74,B.BasicInfomation!$B:$O,9,0),"")</f>
        <v>0.33673999999999998</v>
      </c>
      <c r="I74" s="2013" t="str">
        <f>IFERROR(VLOOKUP(F74,B.BasicInfomation!$B:$O,14,0),"")</f>
        <v>ADC12</v>
      </c>
      <c r="J74" s="5">
        <f>'2. S Plan'!L74</f>
        <v>0</v>
      </c>
      <c r="K74" s="1657">
        <f>'2. S Plan'!M74</f>
        <v>0</v>
      </c>
      <c r="L74" s="1658">
        <f>'2. S Plan'!N74</f>
        <v>0</v>
      </c>
      <c r="M74" s="5">
        <f>'2. S Plan'!O74</f>
        <v>0</v>
      </c>
      <c r="N74" s="1657">
        <f>'2. S Plan'!P74</f>
        <v>0</v>
      </c>
      <c r="O74" s="1565">
        <f>'2. S Plan'!Q74</f>
        <v>0</v>
      </c>
      <c r="P74" s="1743">
        <f>'2. S Plan'!R74</f>
        <v>0</v>
      </c>
      <c r="Q74" s="1563">
        <f>'2. S Plan'!S74</f>
        <v>0</v>
      </c>
      <c r="R74" s="1564">
        <f>'2. S Plan'!T74</f>
        <v>0</v>
      </c>
      <c r="S74" s="1610">
        <f>'2. S Plan'!U74</f>
        <v>0</v>
      </c>
      <c r="T74" s="1563">
        <f>'2. S Plan'!V74</f>
        <v>0</v>
      </c>
      <c r="U74" s="1564">
        <f>'2. S Plan'!W74</f>
        <v>0</v>
      </c>
      <c r="V74" s="1566">
        <f t="shared" si="19"/>
        <v>0</v>
      </c>
      <c r="W74" s="1766"/>
      <c r="Y74" s="1731"/>
      <c r="AA74" s="1744">
        <f t="shared" si="16"/>
        <v>0.8</v>
      </c>
      <c r="AB74" s="1741">
        <f t="shared" si="17"/>
        <v>0.33673999999999998</v>
      </c>
      <c r="AC74" s="1745" t="str">
        <f t="shared" si="18"/>
        <v>ADC12</v>
      </c>
      <c r="AD74" s="1544" t="b">
        <f t="shared" si="20"/>
        <v>1</v>
      </c>
      <c r="AE74" s="1544" t="b">
        <f t="shared" si="21"/>
        <v>1</v>
      </c>
      <c r="AF74" s="1544" t="b">
        <f t="shared" si="22"/>
        <v>1</v>
      </c>
    </row>
    <row r="75" spans="1:32" s="1579" customFormat="1" ht="15.75" customHeight="1">
      <c r="A75" s="5190"/>
      <c r="B75" s="5246"/>
      <c r="C75" s="13"/>
      <c r="D75" s="15"/>
      <c r="E75" s="15"/>
      <c r="F75" s="1673" t="str">
        <f>'2. S Plan'!F160</f>
        <v>IPM 2.0 HSG Premium</v>
      </c>
      <c r="G75" s="4376">
        <f>IFERROR(VLOOKUP(F75,B.BasicInfomation!$B:$O,6,0),"")</f>
        <v>0.8</v>
      </c>
      <c r="H75" s="4364">
        <f>IFERROR(VLOOKUP(F75,B.BasicInfomation!$B:$O,9,0),"")</f>
        <v>0.33673999999999998</v>
      </c>
      <c r="I75" s="2013" t="str">
        <f>IFERROR(VLOOKUP(F75,B.BasicInfomation!$B:$O,14,0),"")</f>
        <v>ADC12</v>
      </c>
      <c r="J75" s="5">
        <f>'2. S Plan'!L75</f>
        <v>0</v>
      </c>
      <c r="K75" s="1657">
        <f>'2. S Plan'!M75</f>
        <v>0</v>
      </c>
      <c r="L75" s="1658">
        <f>'2. S Plan'!N75</f>
        <v>0</v>
      </c>
      <c r="M75" s="5">
        <f>'2. S Plan'!O75</f>
        <v>0</v>
      </c>
      <c r="N75" s="1657">
        <f>'2. S Plan'!P75</f>
        <v>0</v>
      </c>
      <c r="O75" s="1565">
        <f>'2. S Plan'!Q75</f>
        <v>0</v>
      </c>
      <c r="P75" s="1743">
        <f>'2. S Plan'!R75</f>
        <v>0</v>
      </c>
      <c r="Q75" s="1563">
        <f>'2. S Plan'!S75</f>
        <v>0</v>
      </c>
      <c r="R75" s="1564">
        <f>'2. S Plan'!T75</f>
        <v>0</v>
      </c>
      <c r="S75" s="1610">
        <f>'2. S Plan'!U75</f>
        <v>0</v>
      </c>
      <c r="T75" s="1563">
        <f>'2. S Plan'!V75</f>
        <v>0</v>
      </c>
      <c r="U75" s="1564">
        <f>'2. S Plan'!W75</f>
        <v>0</v>
      </c>
      <c r="V75" s="1566">
        <f t="shared" si="19"/>
        <v>0</v>
      </c>
      <c r="W75" s="1766"/>
      <c r="Y75" s="1731"/>
      <c r="AA75" s="1744">
        <f t="shared" si="16"/>
        <v>0.8</v>
      </c>
      <c r="AB75" s="1741">
        <f t="shared" si="17"/>
        <v>0.33673999999999998</v>
      </c>
      <c r="AC75" s="1745" t="str">
        <f t="shared" si="18"/>
        <v>ADC12</v>
      </c>
      <c r="AD75" s="1544" t="b">
        <f t="shared" si="20"/>
        <v>1</v>
      </c>
      <c r="AE75" s="1544" t="b">
        <f t="shared" si="21"/>
        <v>1</v>
      </c>
      <c r="AF75" s="1544" t="b">
        <f t="shared" si="22"/>
        <v>1</v>
      </c>
    </row>
    <row r="76" spans="1:32" s="1579" customFormat="1" ht="15.75" customHeight="1">
      <c r="A76" s="5190"/>
      <c r="B76" s="5246"/>
      <c r="C76" s="3939" t="s">
        <v>1317</v>
      </c>
      <c r="D76" s="3939" t="s">
        <v>1328</v>
      </c>
      <c r="E76" s="3939"/>
      <c r="F76" s="3734" t="str">
        <f>'2. S Plan'!F161</f>
        <v>Glass Frame (ZF60A-T5)</v>
      </c>
      <c r="G76" s="4376">
        <v>0</v>
      </c>
      <c r="H76" s="4364">
        <v>0</v>
      </c>
      <c r="I76" s="2013">
        <v>0</v>
      </c>
      <c r="J76" s="3963">
        <f>'2. S Plan'!L76</f>
        <v>0</v>
      </c>
      <c r="K76" s="3735">
        <f>'2. S Plan'!M76</f>
        <v>50</v>
      </c>
      <c r="L76" s="3736">
        <f>'2. S Plan'!N76</f>
        <v>55</v>
      </c>
      <c r="M76" s="3963">
        <f>'2. S Plan'!O76</f>
        <v>0</v>
      </c>
      <c r="N76" s="3735">
        <f>'2. S Plan'!P76</f>
        <v>0</v>
      </c>
      <c r="O76" s="3942">
        <f>'2. S Plan'!Q76</f>
        <v>0</v>
      </c>
      <c r="P76" s="3964">
        <f>'2. S Plan'!R76</f>
        <v>0</v>
      </c>
      <c r="Q76" s="3943">
        <f>'2. S Plan'!S76</f>
        <v>0</v>
      </c>
      <c r="R76" s="3944">
        <f>'2. S Plan'!T76</f>
        <v>0</v>
      </c>
      <c r="S76" s="1838">
        <f>'2. S Plan'!U76</f>
        <v>0</v>
      </c>
      <c r="T76" s="3943">
        <f>'2. S Plan'!V76</f>
        <v>0</v>
      </c>
      <c r="U76" s="3944">
        <f>'2. S Plan'!W76</f>
        <v>0</v>
      </c>
      <c r="V76" s="1598">
        <f t="shared" ref="V76:V83" si="23">SUM(J76:U76)</f>
        <v>105</v>
      </c>
      <c r="W76" s="1766"/>
      <c r="Y76" s="1731"/>
      <c r="AA76" s="1744">
        <f t="shared" si="16"/>
        <v>0</v>
      </c>
      <c r="AB76" s="1741">
        <f t="shared" si="17"/>
        <v>0</v>
      </c>
      <c r="AC76" s="1745">
        <f t="shared" si="18"/>
        <v>0</v>
      </c>
      <c r="AD76" s="1544" t="b">
        <f t="shared" si="20"/>
        <v>1</v>
      </c>
      <c r="AE76" s="1544" t="b">
        <f t="shared" si="21"/>
        <v>1</v>
      </c>
      <c r="AF76" s="1544" t="b">
        <f t="shared" si="22"/>
        <v>1</v>
      </c>
    </row>
    <row r="77" spans="1:32" s="1579" customFormat="1" ht="15.75" customHeight="1">
      <c r="A77" s="5190"/>
      <c r="B77" s="5246"/>
      <c r="C77" s="13"/>
      <c r="D77" s="15"/>
      <c r="E77" s="15"/>
      <c r="F77" s="1673" t="str">
        <f>'2. S Plan'!F162</f>
        <v>Body Compute enclosure (AL6061-T6)</v>
      </c>
      <c r="G77" s="4376">
        <v>0</v>
      </c>
      <c r="H77" s="4364">
        <v>0</v>
      </c>
      <c r="I77" s="2013">
        <v>0</v>
      </c>
      <c r="J77" s="5">
        <f>'2. S Plan'!L77</f>
        <v>0</v>
      </c>
      <c r="K77" s="1657">
        <f>'2. S Plan'!M77</f>
        <v>50</v>
      </c>
      <c r="L77" s="1658">
        <f>'2. S Plan'!N77</f>
        <v>55</v>
      </c>
      <c r="M77" s="5">
        <f>'2. S Plan'!O77</f>
        <v>0</v>
      </c>
      <c r="N77" s="1657">
        <f>'2. S Plan'!P77</f>
        <v>0</v>
      </c>
      <c r="O77" s="1565">
        <f>'2. S Plan'!Q77</f>
        <v>0</v>
      </c>
      <c r="P77" s="1743">
        <f>'2. S Plan'!R77</f>
        <v>0</v>
      </c>
      <c r="Q77" s="1563">
        <f>'2. S Plan'!S77</f>
        <v>0</v>
      </c>
      <c r="R77" s="1564">
        <f>'2. S Plan'!T77</f>
        <v>0</v>
      </c>
      <c r="S77" s="1610">
        <f>'2. S Plan'!U77</f>
        <v>0</v>
      </c>
      <c r="T77" s="1563">
        <f>'2. S Plan'!V77</f>
        <v>0</v>
      </c>
      <c r="U77" s="1564">
        <f>'2. S Plan'!W77</f>
        <v>0</v>
      </c>
      <c r="V77" s="1566">
        <f t="shared" si="23"/>
        <v>105</v>
      </c>
      <c r="W77" s="1766"/>
      <c r="Y77" s="1731"/>
      <c r="AA77" s="1744">
        <f t="shared" si="16"/>
        <v>0</v>
      </c>
      <c r="AB77" s="1741">
        <f t="shared" si="17"/>
        <v>0</v>
      </c>
      <c r="AC77" s="1745">
        <f t="shared" si="18"/>
        <v>0</v>
      </c>
      <c r="AD77" s="1544" t="b">
        <f t="shared" si="20"/>
        <v>1</v>
      </c>
      <c r="AE77" s="1544" t="b">
        <f t="shared" si="21"/>
        <v>1</v>
      </c>
      <c r="AF77" s="1544" t="b">
        <f t="shared" si="22"/>
        <v>1</v>
      </c>
    </row>
    <row r="78" spans="1:32" s="1579" customFormat="1" ht="15.75" customHeight="1">
      <c r="A78" s="5190"/>
      <c r="B78" s="5246"/>
      <c r="C78" s="13"/>
      <c r="D78" s="15"/>
      <c r="E78" s="15"/>
      <c r="F78" s="1673" t="str">
        <f>'2. S Plan'!F163</f>
        <v>Others Part</v>
      </c>
      <c r="G78" s="4376">
        <v>0</v>
      </c>
      <c r="H78" s="4364">
        <v>0</v>
      </c>
      <c r="I78" s="2013">
        <v>0</v>
      </c>
      <c r="J78" s="5">
        <f>'2. S Plan'!L78</f>
        <v>0</v>
      </c>
      <c r="K78" s="1657">
        <f>'2. S Plan'!M78</f>
        <v>170</v>
      </c>
      <c r="L78" s="1658">
        <f>'2. S Plan'!N78</f>
        <v>0</v>
      </c>
      <c r="M78" s="5">
        <f>'2. S Plan'!O78</f>
        <v>0</v>
      </c>
      <c r="N78" s="1657">
        <f>'2. S Plan'!P78</f>
        <v>0</v>
      </c>
      <c r="O78" s="1565">
        <f>'2. S Plan'!Q78</f>
        <v>0</v>
      </c>
      <c r="P78" s="1743">
        <f>'2. S Plan'!R78</f>
        <v>200</v>
      </c>
      <c r="Q78" s="1563">
        <f>'2. S Plan'!S78</f>
        <v>0</v>
      </c>
      <c r="R78" s="1564">
        <f>'2. S Plan'!T78</f>
        <v>0</v>
      </c>
      <c r="S78" s="1610">
        <f>'2. S Plan'!U78</f>
        <v>0</v>
      </c>
      <c r="T78" s="1563">
        <f>'2. S Plan'!V78</f>
        <v>0</v>
      </c>
      <c r="U78" s="1564">
        <f>'2. S Plan'!W78</f>
        <v>0</v>
      </c>
      <c r="V78" s="1566">
        <f t="shared" si="23"/>
        <v>370</v>
      </c>
      <c r="W78" s="1766"/>
      <c r="Y78" s="1731"/>
      <c r="AA78" s="1744">
        <f t="shared" si="16"/>
        <v>0</v>
      </c>
      <c r="AB78" s="1741">
        <f t="shared" si="17"/>
        <v>0</v>
      </c>
      <c r="AC78" s="1745">
        <f t="shared" si="18"/>
        <v>0</v>
      </c>
      <c r="AD78" s="1544" t="b">
        <f t="shared" si="20"/>
        <v>1</v>
      </c>
      <c r="AE78" s="1544" t="b">
        <f t="shared" si="21"/>
        <v>1</v>
      </c>
      <c r="AF78" s="1544" t="b">
        <f t="shared" si="22"/>
        <v>1</v>
      </c>
    </row>
    <row r="79" spans="1:32" s="1579" customFormat="1" ht="15.75" hidden="1" customHeight="1">
      <c r="A79" s="5190"/>
      <c r="B79" s="5246"/>
      <c r="C79" s="13"/>
      <c r="D79" s="15"/>
      <c r="E79" s="15"/>
      <c r="F79" s="1673">
        <f>'2. S Plan'!F164</f>
        <v>0</v>
      </c>
      <c r="G79" s="4376">
        <v>0</v>
      </c>
      <c r="H79" s="4364">
        <v>0</v>
      </c>
      <c r="I79" s="2013">
        <v>0</v>
      </c>
      <c r="J79" s="5">
        <f>'2. S Plan'!L79</f>
        <v>0</v>
      </c>
      <c r="K79" s="1657">
        <f>'2. S Plan'!M79</f>
        <v>0</v>
      </c>
      <c r="L79" s="1658">
        <f>'2. S Plan'!N79</f>
        <v>0</v>
      </c>
      <c r="M79" s="5">
        <f>'2. S Plan'!O79</f>
        <v>0</v>
      </c>
      <c r="N79" s="1657">
        <f>'2. S Plan'!P79</f>
        <v>0</v>
      </c>
      <c r="O79" s="1565">
        <f>'2. S Plan'!Q79</f>
        <v>0</v>
      </c>
      <c r="P79" s="1743">
        <f>'2. S Plan'!R79</f>
        <v>0</v>
      </c>
      <c r="Q79" s="1563">
        <f>'2. S Plan'!S79</f>
        <v>0</v>
      </c>
      <c r="R79" s="1564">
        <f>'2. S Plan'!T79</f>
        <v>0</v>
      </c>
      <c r="S79" s="1610">
        <f>'2. S Plan'!U79</f>
        <v>0</v>
      </c>
      <c r="T79" s="1563">
        <f>'2. S Plan'!V79</f>
        <v>0</v>
      </c>
      <c r="U79" s="1564">
        <f>'2. S Plan'!W79</f>
        <v>0</v>
      </c>
      <c r="V79" s="1566">
        <f t="shared" si="23"/>
        <v>0</v>
      </c>
      <c r="W79" s="1766"/>
      <c r="Y79" s="1731"/>
      <c r="AA79" s="1744">
        <f t="shared" si="16"/>
        <v>0</v>
      </c>
      <c r="AB79" s="1741">
        <f t="shared" si="17"/>
        <v>0</v>
      </c>
      <c r="AC79" s="1745">
        <f t="shared" si="18"/>
        <v>0</v>
      </c>
      <c r="AD79" s="1544" t="b">
        <f t="shared" si="20"/>
        <v>1</v>
      </c>
      <c r="AE79" s="1544" t="b">
        <f t="shared" si="21"/>
        <v>1</v>
      </c>
      <c r="AF79" s="1544" t="b">
        <f t="shared" si="22"/>
        <v>1</v>
      </c>
    </row>
    <row r="80" spans="1:32" s="1579" customFormat="1" ht="15.75" hidden="1" customHeight="1">
      <c r="A80" s="5190"/>
      <c r="B80" s="5246"/>
      <c r="C80" s="13"/>
      <c r="D80" s="15"/>
      <c r="E80" s="15"/>
      <c r="F80" s="1673">
        <f>'2. S Plan'!F165</f>
        <v>0</v>
      </c>
      <c r="G80" s="4376">
        <v>0</v>
      </c>
      <c r="H80" s="4364">
        <v>0</v>
      </c>
      <c r="I80" s="2013">
        <v>0</v>
      </c>
      <c r="J80" s="5">
        <f>'2. S Plan'!L80</f>
        <v>0</v>
      </c>
      <c r="K80" s="1657">
        <f>'2. S Plan'!M80</f>
        <v>0</v>
      </c>
      <c r="L80" s="1658">
        <f>'2. S Plan'!N80</f>
        <v>0</v>
      </c>
      <c r="M80" s="5">
        <f>'2. S Plan'!O80</f>
        <v>0</v>
      </c>
      <c r="N80" s="1657">
        <f>'2. S Plan'!P80</f>
        <v>0</v>
      </c>
      <c r="O80" s="1565">
        <f>'2. S Plan'!Q80</f>
        <v>0</v>
      </c>
      <c r="P80" s="1743">
        <f>'2. S Plan'!R80</f>
        <v>0</v>
      </c>
      <c r="Q80" s="1563">
        <f>'2. S Plan'!S80</f>
        <v>0</v>
      </c>
      <c r="R80" s="1564">
        <f>'2. S Plan'!T80</f>
        <v>0</v>
      </c>
      <c r="S80" s="1610">
        <f>'2. S Plan'!U80</f>
        <v>0</v>
      </c>
      <c r="T80" s="1563">
        <f>'2. S Plan'!V80</f>
        <v>0</v>
      </c>
      <c r="U80" s="1564">
        <f>'2. S Plan'!W80</f>
        <v>0</v>
      </c>
      <c r="V80" s="1566">
        <f t="shared" si="23"/>
        <v>0</v>
      </c>
      <c r="W80" s="1766"/>
      <c r="Y80" s="1731"/>
      <c r="AA80" s="1744">
        <f t="shared" si="16"/>
        <v>0</v>
      </c>
      <c r="AB80" s="1741">
        <f t="shared" si="17"/>
        <v>0</v>
      </c>
      <c r="AC80" s="1745">
        <f t="shared" si="18"/>
        <v>0</v>
      </c>
      <c r="AD80" s="1544" t="b">
        <f t="shared" si="20"/>
        <v>1</v>
      </c>
      <c r="AE80" s="1544" t="b">
        <f t="shared" si="21"/>
        <v>1</v>
      </c>
      <c r="AF80" s="1544" t="b">
        <f t="shared" si="22"/>
        <v>1</v>
      </c>
    </row>
    <row r="81" spans="1:35" s="1579" customFormat="1" ht="15.75" hidden="1" customHeight="1">
      <c r="A81" s="5190"/>
      <c r="B81" s="5246"/>
      <c r="C81" s="13"/>
      <c r="D81" s="15"/>
      <c r="E81" s="15"/>
      <c r="F81" s="1673">
        <f>'2. S Plan'!F166</f>
        <v>0</v>
      </c>
      <c r="G81" s="4376">
        <v>0</v>
      </c>
      <c r="H81" s="4364">
        <v>0</v>
      </c>
      <c r="I81" s="2013">
        <v>0</v>
      </c>
      <c r="J81" s="5">
        <f>'2. S Plan'!L81</f>
        <v>0</v>
      </c>
      <c r="K81" s="1657">
        <f>'2. S Plan'!M81</f>
        <v>0</v>
      </c>
      <c r="L81" s="1658">
        <f>'2. S Plan'!N81</f>
        <v>0</v>
      </c>
      <c r="M81" s="5">
        <f>'2. S Plan'!O81</f>
        <v>0</v>
      </c>
      <c r="N81" s="1657">
        <f>'2. S Plan'!P81</f>
        <v>0</v>
      </c>
      <c r="O81" s="1565">
        <f>'2. S Plan'!Q81</f>
        <v>0</v>
      </c>
      <c r="P81" s="1743">
        <f>'2. S Plan'!R81</f>
        <v>0</v>
      </c>
      <c r="Q81" s="1563">
        <f>'2. S Plan'!S81</f>
        <v>0</v>
      </c>
      <c r="R81" s="1564">
        <f>'2. S Plan'!T81</f>
        <v>0</v>
      </c>
      <c r="S81" s="1610">
        <f>'2. S Plan'!U81</f>
        <v>0</v>
      </c>
      <c r="T81" s="1563">
        <f>'2. S Plan'!V81</f>
        <v>0</v>
      </c>
      <c r="U81" s="1564">
        <f>'2. S Plan'!W81</f>
        <v>0</v>
      </c>
      <c r="V81" s="1566">
        <f t="shared" si="23"/>
        <v>0</v>
      </c>
      <c r="W81" s="1766"/>
      <c r="Y81" s="1731"/>
      <c r="AA81" s="1744">
        <f t="shared" si="16"/>
        <v>0</v>
      </c>
      <c r="AB81" s="1741">
        <f t="shared" si="17"/>
        <v>0</v>
      </c>
      <c r="AC81" s="1745">
        <f t="shared" si="18"/>
        <v>0</v>
      </c>
      <c r="AD81" s="1544" t="b">
        <f t="shared" si="20"/>
        <v>1</v>
      </c>
      <c r="AE81" s="1544" t="b">
        <f t="shared" si="21"/>
        <v>1</v>
      </c>
      <c r="AF81" s="1544" t="b">
        <f t="shared" si="22"/>
        <v>1</v>
      </c>
    </row>
    <row r="82" spans="1:35" s="1579" customFormat="1" ht="15.75" hidden="1" customHeight="1">
      <c r="A82" s="5190"/>
      <c r="B82" s="5246"/>
      <c r="C82" s="13"/>
      <c r="D82" s="15"/>
      <c r="E82" s="15"/>
      <c r="F82" s="1673">
        <f>'2. S Plan'!F167</f>
        <v>0</v>
      </c>
      <c r="G82" s="4376">
        <v>0</v>
      </c>
      <c r="H82" s="4364">
        <v>0</v>
      </c>
      <c r="I82" s="2013">
        <v>0</v>
      </c>
      <c r="J82" s="5">
        <f>'2. S Plan'!L82</f>
        <v>0</v>
      </c>
      <c r="K82" s="1657">
        <f>'2. S Plan'!M82</f>
        <v>0</v>
      </c>
      <c r="L82" s="1658">
        <f>'2. S Plan'!N82</f>
        <v>0</v>
      </c>
      <c r="M82" s="5">
        <f>'2. S Plan'!O82</f>
        <v>0</v>
      </c>
      <c r="N82" s="1657">
        <f>'2. S Plan'!P82</f>
        <v>0</v>
      </c>
      <c r="O82" s="1565">
        <f>'2. S Plan'!Q82</f>
        <v>0</v>
      </c>
      <c r="P82" s="1743">
        <f>'2. S Plan'!R82</f>
        <v>0</v>
      </c>
      <c r="Q82" s="1563">
        <f>'2. S Plan'!S82</f>
        <v>0</v>
      </c>
      <c r="R82" s="1564">
        <f>'2. S Plan'!T82</f>
        <v>0</v>
      </c>
      <c r="S82" s="1610">
        <f>'2. S Plan'!U82</f>
        <v>0</v>
      </c>
      <c r="T82" s="1563">
        <f>'2. S Plan'!V82</f>
        <v>0</v>
      </c>
      <c r="U82" s="1564">
        <f>'2. S Plan'!W82</f>
        <v>0</v>
      </c>
      <c r="V82" s="1566">
        <f t="shared" si="23"/>
        <v>0</v>
      </c>
      <c r="W82" s="1766"/>
      <c r="Y82" s="1731"/>
      <c r="AA82" s="1744">
        <f t="shared" si="16"/>
        <v>0</v>
      </c>
      <c r="AB82" s="1741">
        <f t="shared" si="17"/>
        <v>0</v>
      </c>
      <c r="AC82" s="1745">
        <f t="shared" si="18"/>
        <v>0</v>
      </c>
      <c r="AD82" s="1544" t="b">
        <f t="shared" si="20"/>
        <v>1</v>
      </c>
      <c r="AE82" s="1544" t="b">
        <f t="shared" si="21"/>
        <v>1</v>
      </c>
      <c r="AF82" s="1544" t="b">
        <f t="shared" si="22"/>
        <v>1</v>
      </c>
    </row>
    <row r="83" spans="1:35" s="1579" customFormat="1" ht="15.75" hidden="1" customHeight="1">
      <c r="A83" s="5190"/>
      <c r="B83" s="5246"/>
      <c r="C83" s="1607"/>
      <c r="D83" s="11"/>
      <c r="E83" s="11"/>
      <c r="F83" s="1733">
        <f>'2. S Plan'!F168</f>
        <v>0</v>
      </c>
      <c r="G83" s="2599">
        <v>0</v>
      </c>
      <c r="H83" s="4369">
        <v>0</v>
      </c>
      <c r="I83" s="2110">
        <v>0</v>
      </c>
      <c r="J83" s="1737">
        <f>'2. S Plan'!L83</f>
        <v>0</v>
      </c>
      <c r="K83" s="1738">
        <f>'2. S Plan'!M83</f>
        <v>0</v>
      </c>
      <c r="L83" s="1739">
        <f>'2. S Plan'!N83</f>
        <v>0</v>
      </c>
      <c r="M83" s="1737">
        <f>'2. S Plan'!O83</f>
        <v>0</v>
      </c>
      <c r="N83" s="1738">
        <f>'2. S Plan'!P83</f>
        <v>0</v>
      </c>
      <c r="O83" s="1567">
        <f>'2. S Plan'!Q83</f>
        <v>0</v>
      </c>
      <c r="P83" s="1663">
        <f>'2. S Plan'!R83</f>
        <v>0</v>
      </c>
      <c r="Q83" s="1558">
        <f>'2. S Plan'!S83</f>
        <v>0</v>
      </c>
      <c r="R83" s="1559">
        <f>'2. S Plan'!T83</f>
        <v>0</v>
      </c>
      <c r="S83" s="1608">
        <f>'2. S Plan'!U83</f>
        <v>0</v>
      </c>
      <c r="T83" s="1558">
        <f>'2. S Plan'!V83</f>
        <v>0</v>
      </c>
      <c r="U83" s="1559">
        <f>'2. S Plan'!W83</f>
        <v>0</v>
      </c>
      <c r="V83" s="1560">
        <f t="shared" si="23"/>
        <v>0</v>
      </c>
      <c r="W83" s="1766"/>
      <c r="Y83" s="1731"/>
      <c r="AA83" s="1744">
        <f t="shared" si="16"/>
        <v>0</v>
      </c>
      <c r="AB83" s="1741">
        <f t="shared" si="17"/>
        <v>0</v>
      </c>
      <c r="AC83" s="1745">
        <f t="shared" si="18"/>
        <v>0</v>
      </c>
      <c r="AD83" s="1544" t="b">
        <f t="shared" si="20"/>
        <v>1</v>
      </c>
      <c r="AE83" s="1544" t="b">
        <f t="shared" si="21"/>
        <v>1</v>
      </c>
      <c r="AF83" s="1544" t="b">
        <f t="shared" si="22"/>
        <v>1</v>
      </c>
    </row>
    <row r="84" spans="1:35" ht="15.75" customHeight="1" thickBot="1">
      <c r="A84" s="5244"/>
      <c r="B84" s="5247"/>
      <c r="C84" s="1747" t="s">
        <v>44</v>
      </c>
      <c r="D84" s="1747"/>
      <c r="E84" s="1747"/>
      <c r="F84" s="1748"/>
      <c r="G84" s="4377"/>
      <c r="H84" s="4370"/>
      <c r="I84" s="2969"/>
      <c r="J84" s="1752">
        <f t="shared" ref="J84:V84" si="24">SUM(J20:J83)</f>
        <v>1412725.5650528681</v>
      </c>
      <c r="K84" s="1753">
        <f t="shared" si="24"/>
        <v>1193993.1904386254</v>
      </c>
      <c r="L84" s="1754">
        <f t="shared" si="24"/>
        <v>1343140.402076981</v>
      </c>
      <c r="M84" s="1752">
        <f t="shared" si="24"/>
        <v>1236064.5005601945</v>
      </c>
      <c r="N84" s="1753">
        <f t="shared" si="24"/>
        <v>1236686.423949159</v>
      </c>
      <c r="O84" s="1638">
        <f t="shared" si="24"/>
        <v>1229340.6590519778</v>
      </c>
      <c r="P84" s="1755">
        <f t="shared" si="24"/>
        <v>1215030.5132487945</v>
      </c>
      <c r="Q84" s="1633">
        <f t="shared" si="24"/>
        <v>1213856.0497741315</v>
      </c>
      <c r="R84" s="1634">
        <f t="shared" si="24"/>
        <v>1210974.1270112842</v>
      </c>
      <c r="S84" s="1641">
        <f t="shared" si="24"/>
        <v>1177934.8889509235</v>
      </c>
      <c r="T84" s="1633">
        <f t="shared" si="24"/>
        <v>1143477.8287291725</v>
      </c>
      <c r="U84" s="1634">
        <f t="shared" si="24"/>
        <v>1151745.8227599598</v>
      </c>
      <c r="V84" s="1576">
        <f t="shared" si="24"/>
        <v>13578116.752445756</v>
      </c>
      <c r="W84" s="1730"/>
      <c r="AA84" s="1744">
        <f t="shared" si="16"/>
        <v>0</v>
      </c>
      <c r="AB84" s="1741">
        <f t="shared" si="17"/>
        <v>0</v>
      </c>
      <c r="AC84" s="1745">
        <f t="shared" si="18"/>
        <v>0</v>
      </c>
      <c r="AI84" s="1541"/>
    </row>
    <row r="85" spans="1:35" ht="15.75" customHeight="1" thickBot="1">
      <c r="A85" s="5151" t="s">
        <v>390</v>
      </c>
      <c r="B85" s="5152"/>
      <c r="C85" s="5152"/>
      <c r="D85" s="5152"/>
      <c r="E85" s="5152"/>
      <c r="F85" s="5152"/>
      <c r="G85" s="5152"/>
      <c r="H85" s="5152"/>
      <c r="I85" s="5253"/>
      <c r="J85" s="1798">
        <f>J19+J84</f>
        <v>2980558.7696860731</v>
      </c>
      <c r="K85" s="1799">
        <f t="shared" ref="K85:U85" si="25">K19+K84</f>
        <v>2816149.5997050349</v>
      </c>
      <c r="L85" s="1800">
        <f t="shared" si="25"/>
        <v>3515606.8113433905</v>
      </c>
      <c r="M85" s="1801">
        <f t="shared" si="25"/>
        <v>3433939.9098266037</v>
      </c>
      <c r="N85" s="1799">
        <f t="shared" si="25"/>
        <v>3429652.8332155682</v>
      </c>
      <c r="O85" s="1620">
        <f t="shared" si="25"/>
        <v>3588607.0683183875</v>
      </c>
      <c r="P85" s="1802">
        <f t="shared" si="25"/>
        <v>3386346.9225152042</v>
      </c>
      <c r="Q85" s="1618">
        <f t="shared" si="25"/>
        <v>3224672.4590405407</v>
      </c>
      <c r="R85" s="1619">
        <f t="shared" si="25"/>
        <v>3322290.5362776937</v>
      </c>
      <c r="S85" s="1621">
        <f t="shared" si="25"/>
        <v>3252251.2982173329</v>
      </c>
      <c r="T85" s="1618">
        <f t="shared" si="25"/>
        <v>2823661.0333623774</v>
      </c>
      <c r="U85" s="1619">
        <f t="shared" si="25"/>
        <v>2637429.0273931646</v>
      </c>
      <c r="V85" s="1692">
        <f>V19+V84</f>
        <v>37224313.049743056</v>
      </c>
      <c r="W85" s="1542"/>
      <c r="AA85" s="1544"/>
      <c r="AB85" s="1544"/>
      <c r="AC85" s="1544"/>
      <c r="AI85" s="2593"/>
    </row>
    <row r="86" spans="1:35" s="1623" customFormat="1" ht="22.5" customHeight="1">
      <c r="B86" s="1624"/>
      <c r="H86" s="1803"/>
      <c r="I86" s="1811"/>
      <c r="J86" s="1625"/>
      <c r="K86" s="1625"/>
      <c r="L86" s="1625"/>
      <c r="M86" s="1625"/>
      <c r="N86" s="1625"/>
      <c r="O86" s="1625"/>
      <c r="P86" s="1625"/>
      <c r="Q86" s="1625"/>
      <c r="R86" s="1625"/>
      <c r="S86" s="1625"/>
      <c r="T86" s="1625"/>
      <c r="U86" s="1625"/>
      <c r="V86" s="5" t="b">
        <f>V85=SUM(J85:U85)</f>
        <v>0</v>
      </c>
      <c r="W86" s="1650"/>
      <c r="X86" s="1544"/>
      <c r="Y86" s="1544"/>
      <c r="Z86" s="1544"/>
      <c r="AB86" s="1803"/>
      <c r="AC86" s="1804"/>
      <c r="AD86" s="1544"/>
      <c r="AE86" s="1544"/>
      <c r="AF86" s="1544"/>
      <c r="AG86" s="1544"/>
      <c r="AH86" s="1544"/>
    </row>
    <row r="87" spans="1:35" s="1623" customFormat="1" ht="22.5" customHeight="1">
      <c r="A87" s="1624"/>
      <c r="G87" s="1625"/>
      <c r="H87" s="1805"/>
      <c r="I87" s="4197"/>
      <c r="J87" s="1625"/>
      <c r="K87" s="1625"/>
      <c r="L87" s="1625"/>
      <c r="M87" s="1625"/>
      <c r="N87" s="1625"/>
      <c r="O87" s="1625"/>
      <c r="P87" s="1625"/>
      <c r="Q87" s="1625"/>
      <c r="R87" s="1625"/>
      <c r="S87" s="1625"/>
      <c r="T87" s="1625"/>
      <c r="W87" s="1807"/>
      <c r="X87" s="1544"/>
      <c r="Y87" s="1544"/>
      <c r="Z87" s="1544"/>
      <c r="AA87" s="1625"/>
      <c r="AB87" s="1805"/>
      <c r="AC87" s="1806"/>
      <c r="AD87" s="1544"/>
      <c r="AE87" s="1544"/>
      <c r="AF87" s="1544"/>
      <c r="AG87" s="1544"/>
      <c r="AH87" s="1544"/>
    </row>
    <row r="88" spans="1:35" s="1623" customFormat="1" ht="22.5" customHeight="1" thickBot="1">
      <c r="A88" s="1547" t="s">
        <v>118</v>
      </c>
      <c r="F88" s="1808" t="s">
        <v>391</v>
      </c>
      <c r="G88" s="1809">
        <v>0.95</v>
      </c>
      <c r="H88" s="1810">
        <v>9</v>
      </c>
      <c r="I88" s="1811">
        <v>10</v>
      </c>
      <c r="J88" s="1806"/>
      <c r="K88" s="1625"/>
      <c r="L88" s="1625"/>
      <c r="M88" s="1625"/>
      <c r="N88" s="1625"/>
      <c r="O88" s="1625"/>
      <c r="P88" s="1625"/>
      <c r="Q88" s="1625"/>
      <c r="R88" s="1625"/>
      <c r="S88" s="1625"/>
      <c r="T88" s="1625"/>
      <c r="U88" s="1625"/>
      <c r="V88" s="1546" t="s">
        <v>105</v>
      </c>
      <c r="W88" s="1544"/>
      <c r="X88" s="1544"/>
      <c r="Y88" s="1544"/>
      <c r="Z88" s="1544"/>
      <c r="AA88" s="1809">
        <v>0.95</v>
      </c>
      <c r="AB88" s="1812"/>
      <c r="AC88" s="1813"/>
      <c r="AD88" s="1544"/>
      <c r="AE88" s="1544"/>
      <c r="AF88" s="1544"/>
      <c r="AG88" s="1544"/>
      <c r="AH88" s="1544"/>
    </row>
    <row r="89" spans="1:35" s="1623" customFormat="1" ht="22.5" customHeight="1" thickBot="1">
      <c r="A89" s="1548" t="s">
        <v>41</v>
      </c>
      <c r="B89" s="81" t="s">
        <v>107</v>
      </c>
      <c r="C89" s="81" t="s">
        <v>46</v>
      </c>
      <c r="D89" s="81" t="s">
        <v>1007</v>
      </c>
      <c r="E89" s="81" t="s">
        <v>1029</v>
      </c>
      <c r="F89" s="81" t="s">
        <v>108</v>
      </c>
      <c r="G89" s="1720" t="str">
        <f>G4</f>
        <v>Present Yield%</v>
      </c>
      <c r="H89" s="1721" t="s">
        <v>284</v>
      </c>
      <c r="I89" s="1814" t="s">
        <v>1036</v>
      </c>
      <c r="J89" s="1548" t="str">
        <f>'2. S Plan'!L4</f>
        <v>Jan.26</v>
      </c>
      <c r="K89" s="81" t="str">
        <f>'2. S Plan'!M4</f>
        <v>Feb.26</v>
      </c>
      <c r="L89" s="1549" t="str">
        <f>'2. S Plan'!N4</f>
        <v>Mar.26</v>
      </c>
      <c r="M89" s="87" t="str">
        <f>'2. S Plan'!O4</f>
        <v>Apr.26</v>
      </c>
      <c r="N89" s="81" t="str">
        <f>'2. S Plan'!P4</f>
        <v>May.26</v>
      </c>
      <c r="O89" s="1549" t="str">
        <f>'2. S Plan'!Q4</f>
        <v>Jun.26</v>
      </c>
      <c r="P89" s="1548" t="str">
        <f>'2. S Plan'!R4</f>
        <v>Jul.26</v>
      </c>
      <c r="Q89" s="81" t="str">
        <f>'2. S Plan'!S4</f>
        <v>Aug.26</v>
      </c>
      <c r="R89" s="1549" t="str">
        <f>'2. S Plan'!T4</f>
        <v>Sep.26</v>
      </c>
      <c r="S89" s="1548" t="str">
        <f>'2. S Plan'!U4</f>
        <v>Oct.26</v>
      </c>
      <c r="T89" s="81" t="str">
        <f>'2. S Plan'!V4</f>
        <v>Nov.26</v>
      </c>
      <c r="U89" s="1549" t="str">
        <f>'2. S Plan'!W4</f>
        <v>Dec.26</v>
      </c>
      <c r="V89" s="1550" t="str">
        <f>'2. S Plan'!X4</f>
        <v>2026
Total</v>
      </c>
      <c r="W89" s="1544"/>
      <c r="X89" s="1544"/>
      <c r="Y89" s="1544"/>
      <c r="Z89" s="1544"/>
      <c r="AA89" s="1720" t="str">
        <f>AA4</f>
        <v>Present Yield%</v>
      </c>
      <c r="AB89" s="1721" t="s">
        <v>284</v>
      </c>
      <c r="AC89" s="1814" t="s">
        <v>1036</v>
      </c>
      <c r="AD89" s="1544"/>
      <c r="AE89" s="1544"/>
      <c r="AF89" s="1544"/>
      <c r="AG89" s="1544"/>
      <c r="AH89" s="1544"/>
    </row>
    <row r="90" spans="1:35" ht="18.75" customHeight="1">
      <c r="A90" s="5189">
        <v>1</v>
      </c>
      <c r="B90" s="5187" t="s">
        <v>16</v>
      </c>
      <c r="C90" s="1688" t="s">
        <v>19</v>
      </c>
      <c r="D90" s="62" t="str">
        <f>D5</f>
        <v>Mobile</v>
      </c>
      <c r="E90" s="1628"/>
      <c r="F90" s="1688" t="str">
        <f t="shared" ref="F90:F103" si="26">F5</f>
        <v>A34</v>
      </c>
      <c r="G90" s="1723">
        <f>IFERROR(VLOOKUP(F90,B.BasicInfomation!$B:$O,6,0),"")</f>
        <v>0.95</v>
      </c>
      <c r="H90" s="1815">
        <f>IFERROR(VLOOKUP(F90,B.BasicInfomation!B:O,8,0),"")</f>
        <v>0.19</v>
      </c>
      <c r="I90" s="4198" t="str">
        <f>IFERROR(VLOOKUP(F90,B.BasicInfomation!B:O,14,0),"")</f>
        <v>S36</v>
      </c>
      <c r="J90" s="1817">
        <f t="shared" ref="J90:U90" si="27">J5/$G90/$G$88</f>
        <v>0</v>
      </c>
      <c r="K90" s="1726">
        <f t="shared" si="27"/>
        <v>0</v>
      </c>
      <c r="L90" s="1727">
        <f t="shared" si="27"/>
        <v>0</v>
      </c>
      <c r="M90" s="1818">
        <f t="shared" si="27"/>
        <v>0</v>
      </c>
      <c r="N90" s="1726">
        <f t="shared" si="27"/>
        <v>0</v>
      </c>
      <c r="O90" s="1553">
        <f t="shared" si="27"/>
        <v>0</v>
      </c>
      <c r="P90" s="1551">
        <f t="shared" si="27"/>
        <v>0</v>
      </c>
      <c r="Q90" s="1552">
        <f t="shared" si="27"/>
        <v>0</v>
      </c>
      <c r="R90" s="1553">
        <f t="shared" si="27"/>
        <v>0</v>
      </c>
      <c r="S90" s="1551">
        <f t="shared" si="27"/>
        <v>0</v>
      </c>
      <c r="T90" s="1552">
        <f t="shared" si="27"/>
        <v>0</v>
      </c>
      <c r="U90" s="1553">
        <f t="shared" si="27"/>
        <v>0</v>
      </c>
      <c r="V90" s="1554">
        <f t="shared" ref="V90:V141" si="28">SUM(J90:U90)</f>
        <v>0</v>
      </c>
      <c r="AA90" s="1723">
        <f t="shared" ref="AA90:AA125" si="29">G90</f>
        <v>0.95</v>
      </c>
      <c r="AB90" s="1815">
        <f t="shared" ref="AB90:AB125" si="30">H90</f>
        <v>0.19</v>
      </c>
      <c r="AC90" s="1816" t="str">
        <f t="shared" ref="AC90:AC125" si="31">I90</f>
        <v>S36</v>
      </c>
      <c r="AD90" s="1544" t="b">
        <f t="shared" ref="AD90:AD125" si="32">AA90=G90</f>
        <v>1</v>
      </c>
      <c r="AE90" s="1544" t="b">
        <f t="shared" ref="AE90:AE125" si="33">AB90=H90</f>
        <v>1</v>
      </c>
      <c r="AF90" s="1544" t="b">
        <f t="shared" ref="AF90:AF125" si="34">AC90=I90</f>
        <v>1</v>
      </c>
    </row>
    <row r="91" spans="1:35" ht="18.75" customHeight="1">
      <c r="A91" s="5190"/>
      <c r="B91" s="5186"/>
      <c r="C91" s="1673"/>
      <c r="D91" s="61"/>
      <c r="E91" s="84">
        <v>1</v>
      </c>
      <c r="F91" s="1673" t="str">
        <f t="shared" si="26"/>
        <v>A15/17</v>
      </c>
      <c r="G91" s="1740">
        <f>IFERROR(VLOOKUP(F91,B.BasicInfomation!$B:$O,6,0),"")</f>
        <v>0.95</v>
      </c>
      <c r="H91" s="1821">
        <f>IFERROR(VLOOKUP(F91,B.BasicInfomation!B:O,8,0),"")</f>
        <v>0.19</v>
      </c>
      <c r="I91" s="4199" t="str">
        <f>IFERROR(VLOOKUP(F91,B.BasicInfomation!B:O,14,0),"")</f>
        <v>S36</v>
      </c>
      <c r="J91" s="3397">
        <f t="shared" ref="J91:U91" si="35">J6/$G91/$G$88</f>
        <v>764542.93628808879</v>
      </c>
      <c r="K91" s="1657">
        <f t="shared" si="35"/>
        <v>609418.28254847659</v>
      </c>
      <c r="L91" s="1658">
        <f t="shared" si="35"/>
        <v>828808.86426592804</v>
      </c>
      <c r="M91" s="5">
        <f t="shared" si="35"/>
        <v>817728.53185595584</v>
      </c>
      <c r="N91" s="1657">
        <f t="shared" si="35"/>
        <v>817728.53185595584</v>
      </c>
      <c r="O91" s="1565">
        <f t="shared" si="35"/>
        <v>651523.54570637131</v>
      </c>
      <c r="P91" s="1743">
        <f t="shared" si="35"/>
        <v>498614.95844875346</v>
      </c>
      <c r="Q91" s="1563">
        <f t="shared" si="35"/>
        <v>332409.97229916905</v>
      </c>
      <c r="R91" s="1564">
        <f t="shared" si="35"/>
        <v>221606.64819944598</v>
      </c>
      <c r="S91" s="1626">
        <f t="shared" si="35"/>
        <v>166204.98614958453</v>
      </c>
      <c r="T91" s="1563">
        <f t="shared" si="35"/>
        <v>132963.98891966761</v>
      </c>
      <c r="U91" s="1660">
        <f t="shared" si="35"/>
        <v>132963.98891966761</v>
      </c>
      <c r="V91" s="1566">
        <f t="shared" si="28"/>
        <v>5974515.2354570655</v>
      </c>
      <c r="AA91" s="1740">
        <f t="shared" si="29"/>
        <v>0.95</v>
      </c>
      <c r="AB91" s="1821">
        <f t="shared" si="30"/>
        <v>0.19</v>
      </c>
      <c r="AC91" s="1822" t="str">
        <f t="shared" si="31"/>
        <v>S36</v>
      </c>
      <c r="AD91" s="1544" t="b">
        <f t="shared" si="32"/>
        <v>1</v>
      </c>
      <c r="AE91" s="1544" t="b">
        <f t="shared" si="33"/>
        <v>1</v>
      </c>
      <c r="AF91" s="1544" t="b">
        <f t="shared" si="34"/>
        <v>1</v>
      </c>
    </row>
    <row r="92" spans="1:35" ht="18.75" customHeight="1">
      <c r="A92" s="5190"/>
      <c r="B92" s="5186"/>
      <c r="C92" s="1673"/>
      <c r="D92" s="61"/>
      <c r="E92" s="84">
        <v>2</v>
      </c>
      <c r="F92" s="1673" t="str">
        <f t="shared" si="26"/>
        <v>A36</v>
      </c>
      <c r="G92" s="1740">
        <f>IFERROR(VLOOKUP(F92,B.BasicInfomation!$B:$O,6,0),"")</f>
        <v>0.95</v>
      </c>
      <c r="H92" s="1821">
        <f>IFERROR(VLOOKUP(F92,B.BasicInfomation!B:O,8,0),"")</f>
        <v>0.19</v>
      </c>
      <c r="I92" s="4199" t="str">
        <f>IFERROR(VLOOKUP(F92,B.BasicInfomation!B:O,14,0),"")</f>
        <v>S36</v>
      </c>
      <c r="J92" s="3397">
        <f t="shared" ref="J92:U92" si="36">J7/$G92/$G$88</f>
        <v>110803.32409972299</v>
      </c>
      <c r="K92" s="1657">
        <f t="shared" si="36"/>
        <v>110803.32409972299</v>
      </c>
      <c r="L92" s="1658">
        <f t="shared" si="36"/>
        <v>110803.32409972299</v>
      </c>
      <c r="M92" s="5">
        <f t="shared" si="36"/>
        <v>0</v>
      </c>
      <c r="N92" s="1657">
        <f t="shared" si="36"/>
        <v>0</v>
      </c>
      <c r="O92" s="1565">
        <f t="shared" si="36"/>
        <v>0</v>
      </c>
      <c r="P92" s="1743">
        <f t="shared" si="36"/>
        <v>0</v>
      </c>
      <c r="Q92" s="1563">
        <f t="shared" si="36"/>
        <v>0</v>
      </c>
      <c r="R92" s="1564">
        <f t="shared" si="36"/>
        <v>0</v>
      </c>
      <c r="S92" s="1626">
        <f t="shared" si="36"/>
        <v>0</v>
      </c>
      <c r="T92" s="1563">
        <f t="shared" si="36"/>
        <v>0</v>
      </c>
      <c r="U92" s="1660">
        <f t="shared" si="36"/>
        <v>0</v>
      </c>
      <c r="V92" s="1566">
        <f t="shared" si="28"/>
        <v>332409.97229916893</v>
      </c>
      <c r="AA92" s="1740">
        <f t="shared" si="29"/>
        <v>0.95</v>
      </c>
      <c r="AB92" s="1821">
        <f t="shared" si="30"/>
        <v>0.19</v>
      </c>
      <c r="AC92" s="1822" t="str">
        <f t="shared" si="31"/>
        <v>S36</v>
      </c>
      <c r="AD92" s="1544" t="b">
        <f t="shared" si="32"/>
        <v>1</v>
      </c>
      <c r="AE92" s="1544" t="b">
        <f t="shared" si="33"/>
        <v>1</v>
      </c>
      <c r="AF92" s="1544" t="b">
        <f t="shared" si="34"/>
        <v>1</v>
      </c>
    </row>
    <row r="93" spans="1:35" ht="18.75" customHeight="1">
      <c r="A93" s="5190"/>
      <c r="B93" s="5186"/>
      <c r="C93" s="1673"/>
      <c r="D93" s="61"/>
      <c r="E93" s="84">
        <v>3</v>
      </c>
      <c r="F93" s="1673" t="str">
        <f t="shared" si="26"/>
        <v>A26</v>
      </c>
      <c r="G93" s="1740">
        <f>IFERROR(VLOOKUP(F93,B.BasicInfomation!$B:$O,6,0),"")</f>
        <v>0.95</v>
      </c>
      <c r="H93" s="1821">
        <f>IFERROR(VLOOKUP(F93,B.BasicInfomation!B:O,8,0),"")</f>
        <v>0.19</v>
      </c>
      <c r="I93" s="4199" t="str">
        <f>IFERROR(VLOOKUP(F93,B.BasicInfomation!B:O,14,0),"")</f>
        <v>S36</v>
      </c>
      <c r="J93" s="3397">
        <f t="shared" ref="J93:U93" si="37">J8/$G93/$G$88</f>
        <v>277008.31024930754</v>
      </c>
      <c r="K93" s="1657">
        <f t="shared" si="37"/>
        <v>132963.98891966761</v>
      </c>
      <c r="L93" s="1658">
        <f t="shared" si="37"/>
        <v>166204.98614958453</v>
      </c>
      <c r="M93" s="5">
        <f t="shared" si="37"/>
        <v>166204.98614958453</v>
      </c>
      <c r="N93" s="1657">
        <f t="shared" si="37"/>
        <v>110803.32409972299</v>
      </c>
      <c r="O93" s="1565">
        <f t="shared" si="37"/>
        <v>110803.32409972299</v>
      </c>
      <c r="P93" s="1743">
        <f t="shared" si="37"/>
        <v>55401.662049861494</v>
      </c>
      <c r="Q93" s="1563">
        <f t="shared" si="37"/>
        <v>0</v>
      </c>
      <c r="R93" s="1564">
        <f t="shared" si="37"/>
        <v>0</v>
      </c>
      <c r="S93" s="1626">
        <f t="shared" si="37"/>
        <v>0</v>
      </c>
      <c r="T93" s="1563">
        <f t="shared" si="37"/>
        <v>0</v>
      </c>
      <c r="U93" s="1660">
        <f t="shared" si="37"/>
        <v>0</v>
      </c>
      <c r="V93" s="1566">
        <f t="shared" si="28"/>
        <v>1019390.5817174518</v>
      </c>
      <c r="AA93" s="1740">
        <f t="shared" si="29"/>
        <v>0.95</v>
      </c>
      <c r="AB93" s="1821">
        <f t="shared" si="30"/>
        <v>0.19</v>
      </c>
      <c r="AC93" s="1822" t="str">
        <f t="shared" si="31"/>
        <v>S36</v>
      </c>
      <c r="AD93" s="1544" t="b">
        <f t="shared" si="32"/>
        <v>1</v>
      </c>
      <c r="AE93" s="1544" t="b">
        <f t="shared" si="33"/>
        <v>1</v>
      </c>
      <c r="AF93" s="1544" t="b">
        <f t="shared" si="34"/>
        <v>1</v>
      </c>
    </row>
    <row r="94" spans="1:35" ht="18.75" customHeight="1">
      <c r="A94" s="5190"/>
      <c r="B94" s="5186"/>
      <c r="C94" s="1673"/>
      <c r="D94" s="61"/>
      <c r="E94" s="84">
        <v>4</v>
      </c>
      <c r="F94" s="1673" t="str">
        <f t="shared" si="26"/>
        <v>A27</v>
      </c>
      <c r="G94" s="1740">
        <f>IFERROR(VLOOKUP(F94,B.BasicInfomation!$B:$O,6,0),"")</f>
        <v>0.95</v>
      </c>
      <c r="H94" s="1821">
        <f>IFERROR(VLOOKUP(F94,B.BasicInfomation!B:O,8,0),"")</f>
        <v>0.19</v>
      </c>
      <c r="I94" s="4199" t="str">
        <f>IFERROR(VLOOKUP(F94,B.BasicInfomation!B:O,14,0),"")</f>
        <v>S36</v>
      </c>
      <c r="J94" s="3397">
        <f t="shared" ref="J94:U94" si="38">J9/$G94/$G$88</f>
        <v>0</v>
      </c>
      <c r="K94" s="1657">
        <f t="shared" si="38"/>
        <v>0</v>
      </c>
      <c r="L94" s="1658">
        <f t="shared" si="38"/>
        <v>55401.662049861494</v>
      </c>
      <c r="M94" s="5">
        <f t="shared" si="38"/>
        <v>221606.64819944598</v>
      </c>
      <c r="N94" s="1657">
        <f t="shared" si="38"/>
        <v>332409.97229916905</v>
      </c>
      <c r="O94" s="1565">
        <f t="shared" si="38"/>
        <v>609418.28254847659</v>
      </c>
      <c r="P94" s="1743">
        <f t="shared" si="38"/>
        <v>609418.28254847659</v>
      </c>
      <c r="Q94" s="1563">
        <f t="shared" si="38"/>
        <v>609418.28254847659</v>
      </c>
      <c r="R94" s="1564">
        <f t="shared" si="38"/>
        <v>609418.28254847659</v>
      </c>
      <c r="S94" s="1626">
        <f t="shared" si="38"/>
        <v>554016.62049861508</v>
      </c>
      <c r="T94" s="1563">
        <f t="shared" si="38"/>
        <v>332409.97229916905</v>
      </c>
      <c r="U94" s="1660">
        <f t="shared" si="38"/>
        <v>238227.14681440443</v>
      </c>
      <c r="V94" s="1566">
        <f t="shared" si="28"/>
        <v>4171745.1523545706</v>
      </c>
      <c r="AA94" s="1740">
        <f t="shared" si="29"/>
        <v>0.95</v>
      </c>
      <c r="AB94" s="1821">
        <f t="shared" si="30"/>
        <v>0.19</v>
      </c>
      <c r="AC94" s="1822" t="str">
        <f t="shared" si="31"/>
        <v>S36</v>
      </c>
      <c r="AD94" s="1544" t="b">
        <f t="shared" si="32"/>
        <v>1</v>
      </c>
      <c r="AE94" s="1544" t="b">
        <f t="shared" si="33"/>
        <v>1</v>
      </c>
      <c r="AF94" s="1544" t="b">
        <f t="shared" si="34"/>
        <v>1</v>
      </c>
    </row>
    <row r="95" spans="1:35" ht="18.75" customHeight="1">
      <c r="A95" s="5190"/>
      <c r="B95" s="5186"/>
      <c r="C95" s="1673"/>
      <c r="D95" s="61"/>
      <c r="E95" s="84">
        <v>5</v>
      </c>
      <c r="F95" s="1673" t="str">
        <f t="shared" si="26"/>
        <v>A37</v>
      </c>
      <c r="G95" s="1740">
        <f>IFERROR(VLOOKUP(F95,B.BasicInfomation!$B:$O,6,0),"")</f>
        <v>0.95</v>
      </c>
      <c r="H95" s="1821">
        <f>IFERROR(VLOOKUP(F95,B.BasicInfomation!B:O,8,0),"")</f>
        <v>0.19</v>
      </c>
      <c r="I95" s="4199" t="str">
        <f>IFERROR(VLOOKUP(F95,B.BasicInfomation!B:O,14,0),"")</f>
        <v>S36</v>
      </c>
      <c r="J95" s="3397">
        <f t="shared" ref="J95:U95" si="39">J10/$G95/$G$88</f>
        <v>44321.329639889205</v>
      </c>
      <c r="K95" s="1657">
        <f t="shared" si="39"/>
        <v>409972.29916897515</v>
      </c>
      <c r="L95" s="1658">
        <f t="shared" si="39"/>
        <v>691412.74238227156</v>
      </c>
      <c r="M95" s="5">
        <f t="shared" si="39"/>
        <v>609418.28254847659</v>
      </c>
      <c r="N95" s="1657">
        <f t="shared" si="39"/>
        <v>609418.28254847659</v>
      </c>
      <c r="O95" s="1565">
        <f t="shared" si="39"/>
        <v>609418.28254847659</v>
      </c>
      <c r="P95" s="1743">
        <f t="shared" si="39"/>
        <v>609418.28254847659</v>
      </c>
      <c r="Q95" s="1563">
        <f t="shared" si="39"/>
        <v>609418.28254847659</v>
      </c>
      <c r="R95" s="1564">
        <f t="shared" si="39"/>
        <v>609418.28254847659</v>
      </c>
      <c r="S95" s="1626">
        <f t="shared" si="39"/>
        <v>554016.62049861508</v>
      </c>
      <c r="T95" s="1563">
        <f t="shared" si="39"/>
        <v>332409.97229916905</v>
      </c>
      <c r="U95" s="1660">
        <f t="shared" si="39"/>
        <v>247091.41274238229</v>
      </c>
      <c r="V95" s="1566">
        <f t="shared" si="28"/>
        <v>5935734.0720221614</v>
      </c>
      <c r="AA95" s="1740">
        <f t="shared" si="29"/>
        <v>0.95</v>
      </c>
      <c r="AB95" s="1821">
        <f t="shared" si="30"/>
        <v>0.19</v>
      </c>
      <c r="AC95" s="1822" t="str">
        <f t="shared" si="31"/>
        <v>S36</v>
      </c>
      <c r="AD95" s="1544" t="b">
        <f t="shared" si="32"/>
        <v>1</v>
      </c>
      <c r="AE95" s="1544" t="b">
        <f t="shared" si="33"/>
        <v>1</v>
      </c>
      <c r="AF95" s="1544" t="b">
        <f t="shared" si="34"/>
        <v>1</v>
      </c>
    </row>
    <row r="96" spans="1:35" ht="18.75" customHeight="1">
      <c r="A96" s="5190"/>
      <c r="B96" s="5186"/>
      <c r="C96" s="1673"/>
      <c r="D96" s="61"/>
      <c r="E96" s="84">
        <v>6</v>
      </c>
      <c r="F96" s="1673" t="str">
        <f t="shared" si="26"/>
        <v>A18</v>
      </c>
      <c r="G96" s="1740">
        <f>IFERROR(VLOOKUP(F96,B.BasicInfomation!$B:$O,6,0),"")</f>
        <v>0.95</v>
      </c>
      <c r="H96" s="1821">
        <f>IFERROR(VLOOKUP(F96,B.BasicInfomation!B:O,8,0),"")</f>
        <v>0.19</v>
      </c>
      <c r="I96" s="4199" t="str">
        <f>IFERROR(VLOOKUP(F96,B.BasicInfomation!B:O,14,0),"")</f>
        <v>S36</v>
      </c>
      <c r="J96" s="3397">
        <f t="shared" ref="J96:U96" si="40">J11/$G96/$G$88</f>
        <v>0</v>
      </c>
      <c r="K96" s="1657">
        <f t="shared" si="40"/>
        <v>0</v>
      </c>
      <c r="L96" s="1658">
        <f t="shared" si="40"/>
        <v>0</v>
      </c>
      <c r="M96" s="5">
        <f t="shared" si="40"/>
        <v>0</v>
      </c>
      <c r="N96" s="1657">
        <f t="shared" si="40"/>
        <v>0</v>
      </c>
      <c r="O96" s="1565">
        <f t="shared" si="40"/>
        <v>0</v>
      </c>
      <c r="P96" s="1743">
        <f t="shared" si="40"/>
        <v>0</v>
      </c>
      <c r="Q96" s="1563">
        <f t="shared" si="40"/>
        <v>55401.662049861494</v>
      </c>
      <c r="R96" s="1564">
        <f t="shared" si="40"/>
        <v>277008.31024930754</v>
      </c>
      <c r="S96" s="1626">
        <f t="shared" si="40"/>
        <v>387811.63434903056</v>
      </c>
      <c r="T96" s="1563">
        <f t="shared" si="40"/>
        <v>443213.29639889195</v>
      </c>
      <c r="U96" s="1660">
        <f t="shared" si="40"/>
        <v>443213.29639889195</v>
      </c>
      <c r="V96" s="1566">
        <f t="shared" si="28"/>
        <v>1606648.1994459834</v>
      </c>
      <c r="AA96" s="1740">
        <f t="shared" si="29"/>
        <v>0.95</v>
      </c>
      <c r="AB96" s="1821">
        <f t="shared" si="30"/>
        <v>0.19</v>
      </c>
      <c r="AC96" s="1822" t="str">
        <f t="shared" si="31"/>
        <v>S36</v>
      </c>
      <c r="AD96" s="1544" t="b">
        <f t="shared" si="32"/>
        <v>1</v>
      </c>
      <c r="AE96" s="1544" t="b">
        <f t="shared" si="33"/>
        <v>1</v>
      </c>
      <c r="AF96" s="1544" t="b">
        <f t="shared" si="34"/>
        <v>1</v>
      </c>
    </row>
    <row r="97" spans="1:32" ht="18.75" customHeight="1">
      <c r="A97" s="5190"/>
      <c r="B97" s="5186"/>
      <c r="C97" s="1733"/>
      <c r="D97" s="60"/>
      <c r="E97" s="60"/>
      <c r="F97" s="1733" t="str">
        <f t="shared" si="26"/>
        <v>CNC</v>
      </c>
      <c r="G97" s="1734">
        <f>IFERROR(VLOOKUP(F97,B.BasicInfomation!$B:$O,6,0),"")</f>
        <v>0.95</v>
      </c>
      <c r="H97" s="1819">
        <f>IFERROR(VLOOKUP(F97,B.BasicInfomation!B:O,8,0),"")</f>
        <v>0</v>
      </c>
      <c r="I97" s="4200">
        <f>IFERROR(VLOOKUP(F97,B.BasicInfomation!B:O,14,0),"")</f>
        <v>0</v>
      </c>
      <c r="J97" s="1820">
        <f t="shared" ref="J97:U97" si="41">J12/$G97/$G$88</f>
        <v>498614.95844875346</v>
      </c>
      <c r="K97" s="1738">
        <f t="shared" si="41"/>
        <v>492731.30193905823</v>
      </c>
      <c r="L97" s="1739">
        <f t="shared" si="41"/>
        <v>509695.29085872578</v>
      </c>
      <c r="M97" s="1737">
        <f t="shared" si="41"/>
        <v>555023.8227146815</v>
      </c>
      <c r="N97" s="1738">
        <f t="shared" si="41"/>
        <v>509695.29085872578</v>
      </c>
      <c r="O97" s="1567">
        <f t="shared" si="41"/>
        <v>587257.61772853194</v>
      </c>
      <c r="P97" s="1663">
        <f t="shared" si="41"/>
        <v>587257.61772853194</v>
      </c>
      <c r="Q97" s="1558">
        <f t="shared" si="41"/>
        <v>587257.61772853194</v>
      </c>
      <c r="R97" s="1559">
        <f t="shared" si="41"/>
        <v>587257.61772853194</v>
      </c>
      <c r="S97" s="1677">
        <f t="shared" si="41"/>
        <v>587257.61772853194</v>
      </c>
      <c r="T97" s="1558">
        <f t="shared" si="41"/>
        <v>587257.61772853194</v>
      </c>
      <c r="U97" s="1664">
        <f t="shared" si="41"/>
        <v>554016.62049861508</v>
      </c>
      <c r="V97" s="1560">
        <f t="shared" si="28"/>
        <v>6643322.9916897528</v>
      </c>
      <c r="W97" s="1730"/>
      <c r="X97" s="9"/>
      <c r="AA97" s="1740">
        <f t="shared" si="29"/>
        <v>0.95</v>
      </c>
      <c r="AB97" s="1821">
        <f t="shared" si="30"/>
        <v>0</v>
      </c>
      <c r="AC97" s="1822">
        <f t="shared" si="31"/>
        <v>0</v>
      </c>
      <c r="AD97" s="1544" t="b">
        <f t="shared" si="32"/>
        <v>1</v>
      </c>
      <c r="AE97" s="1544" t="b">
        <f t="shared" si="33"/>
        <v>1</v>
      </c>
      <c r="AF97" s="1544" t="b">
        <f t="shared" si="34"/>
        <v>1</v>
      </c>
    </row>
    <row r="98" spans="1:32" ht="18.75" customHeight="1">
      <c r="A98" s="5190"/>
      <c r="B98" s="5186"/>
      <c r="C98" s="61" t="s">
        <v>24</v>
      </c>
      <c r="D98" s="61" t="str">
        <f>D13</f>
        <v>Mobile</v>
      </c>
      <c r="E98" s="61">
        <v>7</v>
      </c>
      <c r="F98" s="1673" t="str">
        <f t="shared" si="26"/>
        <v>MTP+IDP+ADP</v>
      </c>
      <c r="G98" s="1740">
        <f>IFERROR(VLOOKUP(F98,B.BasicInfomation!$B:$O,6,0),"")</f>
        <v>1</v>
      </c>
      <c r="H98" s="1821">
        <f>IFERROR(VLOOKUP(F98,B.BasicInfomation!B:O,8,0),"")</f>
        <v>0.2</v>
      </c>
      <c r="I98" s="4199" t="str">
        <f>IFERROR(VLOOKUP(F98,B.BasicInfomation!B:O,14,0),"")</f>
        <v>ADC12</v>
      </c>
      <c r="J98" s="1659">
        <f t="shared" ref="J98:U98" si="42">J13/$G98/$G$88</f>
        <v>34350.741719162776</v>
      </c>
      <c r="K98" s="1657">
        <f t="shared" si="42"/>
        <v>33964.641333062391</v>
      </c>
      <c r="L98" s="1658">
        <f t="shared" si="42"/>
        <v>36069.904490957124</v>
      </c>
      <c r="M98" s="5">
        <f t="shared" si="42"/>
        <v>56069.904490957124</v>
      </c>
      <c r="N98" s="1657">
        <f t="shared" si="42"/>
        <v>42385.693964641338</v>
      </c>
      <c r="O98" s="1565">
        <f t="shared" si="42"/>
        <v>39017.272912009757</v>
      </c>
      <c r="P98" s="1743">
        <f t="shared" si="42"/>
        <v>39017.272912009757</v>
      </c>
      <c r="Q98" s="1563">
        <f t="shared" si="42"/>
        <v>28490.957122536074</v>
      </c>
      <c r="R98" s="1564">
        <f t="shared" si="42"/>
        <v>28490.957122536074</v>
      </c>
      <c r="S98" s="1626">
        <f t="shared" si="42"/>
        <v>39017.272912009757</v>
      </c>
      <c r="T98" s="1563">
        <f t="shared" si="42"/>
        <v>23613.899613899615</v>
      </c>
      <c r="U98" s="1660">
        <f t="shared" si="42"/>
        <v>23613.899613899615</v>
      </c>
      <c r="V98" s="1566">
        <f t="shared" si="28"/>
        <v>424102.41820768139</v>
      </c>
      <c r="W98" s="1730"/>
      <c r="X98" s="9"/>
      <c r="AA98" s="1740">
        <f t="shared" si="29"/>
        <v>1</v>
      </c>
      <c r="AB98" s="1821">
        <f t="shared" si="30"/>
        <v>0.2</v>
      </c>
      <c r="AC98" s="1822" t="str">
        <f t="shared" si="31"/>
        <v>ADC12</v>
      </c>
      <c r="AD98" s="1544" t="b">
        <f t="shared" si="32"/>
        <v>1</v>
      </c>
      <c r="AE98" s="1544" t="b">
        <f t="shared" si="33"/>
        <v>1</v>
      </c>
      <c r="AF98" s="1544" t="b">
        <f t="shared" si="34"/>
        <v>1</v>
      </c>
    </row>
    <row r="99" spans="1:32" ht="18.75" customHeight="1">
      <c r="A99" s="5190"/>
      <c r="B99" s="5186"/>
      <c r="C99" s="61"/>
      <c r="D99" s="61"/>
      <c r="E99" s="61">
        <v>8</v>
      </c>
      <c r="F99" s="1673" t="str">
        <f t="shared" si="26"/>
        <v>Ride5</v>
      </c>
      <c r="G99" s="1740">
        <f>IFERROR(VLOOKUP(F99,B.BasicInfomation!$B:$O,6,0),"")</f>
        <v>1</v>
      </c>
      <c r="H99" s="1821">
        <f>IFERROR(VLOOKUP(F99,B.BasicInfomation!B:O,8,0),"")</f>
        <v>1.7107999999999999</v>
      </c>
      <c r="I99" s="4199" t="str">
        <f>IFERROR(VLOOKUP(F99,B.BasicInfomation!B:O,14,0),"")</f>
        <v>ADC12</v>
      </c>
      <c r="J99" s="1659">
        <f t="shared" ref="J99:U99" si="43">J14/$G99/$G$88</f>
        <v>210.5263157894737</v>
      </c>
      <c r="K99" s="1657">
        <f t="shared" si="43"/>
        <v>210.5263157894737</v>
      </c>
      <c r="L99" s="1658">
        <f t="shared" si="43"/>
        <v>210.5263157894737</v>
      </c>
      <c r="M99" s="5">
        <f t="shared" si="43"/>
        <v>210.5263157894737</v>
      </c>
      <c r="N99" s="1657">
        <f t="shared" si="43"/>
        <v>210.5263157894737</v>
      </c>
      <c r="O99" s="1565">
        <f t="shared" si="43"/>
        <v>210.5263157894737</v>
      </c>
      <c r="P99" s="1743">
        <f t="shared" si="43"/>
        <v>263.15789473684208</v>
      </c>
      <c r="Q99" s="1563">
        <f t="shared" si="43"/>
        <v>263.15789473684208</v>
      </c>
      <c r="R99" s="1564">
        <f t="shared" si="43"/>
        <v>263.15789473684208</v>
      </c>
      <c r="S99" s="1626">
        <f t="shared" si="43"/>
        <v>263.15789473684208</v>
      </c>
      <c r="T99" s="1563">
        <f t="shared" si="43"/>
        <v>263.15789473684208</v>
      </c>
      <c r="U99" s="1660">
        <f t="shared" si="43"/>
        <v>263.15789473684208</v>
      </c>
      <c r="V99" s="1566">
        <f t="shared" si="28"/>
        <v>2842.1052631578946</v>
      </c>
      <c r="W99" s="1730"/>
      <c r="X99" s="9"/>
      <c r="AA99" s="1740">
        <f t="shared" si="29"/>
        <v>1</v>
      </c>
      <c r="AB99" s="1821">
        <f t="shared" si="30"/>
        <v>1.7107999999999999</v>
      </c>
      <c r="AC99" s="1822" t="str">
        <f t="shared" si="31"/>
        <v>ADC12</v>
      </c>
      <c r="AD99" s="1544" t="b">
        <f t="shared" si="32"/>
        <v>1</v>
      </c>
      <c r="AE99" s="1544" t="b">
        <f t="shared" si="33"/>
        <v>1</v>
      </c>
      <c r="AF99" s="1544" t="b">
        <f t="shared" si="34"/>
        <v>1</v>
      </c>
    </row>
    <row r="100" spans="1:32" ht="18.75" customHeight="1">
      <c r="A100" s="5190"/>
      <c r="B100" s="5186"/>
      <c r="C100" s="61"/>
      <c r="D100" s="61"/>
      <c r="E100" s="61"/>
      <c r="F100" s="1673" t="str">
        <f t="shared" si="26"/>
        <v>Glymur</v>
      </c>
      <c r="G100" s="1740">
        <f>IFERROR(VLOOKUP(F100,B.BasicInfomation!$B:$O,6,0),"")</f>
        <v>1</v>
      </c>
      <c r="H100" s="1821">
        <f>IFERROR(VLOOKUP(F100,B.BasicInfomation!B:O,8,0),"")</f>
        <v>2.7107999999999999</v>
      </c>
      <c r="I100" s="4199" t="str">
        <f>IFERROR(VLOOKUP(F100,B.BasicInfomation!B:O,14,0),"")</f>
        <v>ADC12</v>
      </c>
      <c r="J100" s="1659">
        <f t="shared" ref="J100:U100" si="44">J15/$G100/$G$88</f>
        <v>0</v>
      </c>
      <c r="K100" s="1657">
        <f t="shared" si="44"/>
        <v>0</v>
      </c>
      <c r="L100" s="1658">
        <f t="shared" si="44"/>
        <v>0</v>
      </c>
      <c r="M100" s="5">
        <f t="shared" si="44"/>
        <v>0</v>
      </c>
      <c r="N100" s="1657">
        <f t="shared" si="44"/>
        <v>0</v>
      </c>
      <c r="O100" s="1565">
        <f t="shared" si="44"/>
        <v>0</v>
      </c>
      <c r="P100" s="1743">
        <f t="shared" si="44"/>
        <v>0</v>
      </c>
      <c r="Q100" s="1563">
        <f t="shared" si="44"/>
        <v>0</v>
      </c>
      <c r="R100" s="1564">
        <f t="shared" si="44"/>
        <v>0</v>
      </c>
      <c r="S100" s="1626">
        <f t="shared" si="44"/>
        <v>0</v>
      </c>
      <c r="T100" s="1563">
        <f t="shared" si="44"/>
        <v>0</v>
      </c>
      <c r="U100" s="1660">
        <f t="shared" si="44"/>
        <v>0</v>
      </c>
      <c r="V100" s="1566">
        <f t="shared" si="28"/>
        <v>0</v>
      </c>
      <c r="W100" s="1730"/>
      <c r="X100" s="9"/>
      <c r="AA100" s="1740">
        <f t="shared" si="29"/>
        <v>1</v>
      </c>
      <c r="AB100" s="1821">
        <f t="shared" si="30"/>
        <v>2.7107999999999999</v>
      </c>
      <c r="AC100" s="1822" t="str">
        <f t="shared" si="31"/>
        <v>ADC12</v>
      </c>
      <c r="AD100" s="1544" t="b">
        <f t="shared" si="32"/>
        <v>1</v>
      </c>
      <c r="AE100" s="1544" t="b">
        <f t="shared" si="33"/>
        <v>1</v>
      </c>
      <c r="AF100" s="1544" t="b">
        <f t="shared" si="34"/>
        <v>1</v>
      </c>
    </row>
    <row r="101" spans="1:32" ht="18.75" customHeight="1">
      <c r="A101" s="5190"/>
      <c r="B101" s="5186"/>
      <c r="C101" s="61"/>
      <c r="D101" s="61"/>
      <c r="E101" s="61">
        <v>9</v>
      </c>
      <c r="F101" s="1673" t="str">
        <f t="shared" si="26"/>
        <v>MTP Hawi</v>
      </c>
      <c r="G101" s="1740">
        <f>IFERROR(VLOOKUP(F101,B.BasicInfomation!$B:$O,6,0),"")</f>
        <v>1</v>
      </c>
      <c r="H101" s="1821">
        <f>IFERROR(VLOOKUP(F101,B.BasicInfomation!B:O,8,0),"")</f>
        <v>2.7107999999999999</v>
      </c>
      <c r="I101" s="4199" t="str">
        <f>IFERROR(VLOOKUP(F101,B.BasicInfomation!B:O,14,0),"")</f>
        <v>ADC12</v>
      </c>
      <c r="J101" s="1659">
        <f t="shared" ref="J101:U101" si="45">J16/$G101/$G$88</f>
        <v>1052.6315789473686</v>
      </c>
      <c r="K101" s="1657">
        <f t="shared" si="45"/>
        <v>1578.9473684210527</v>
      </c>
      <c r="L101" s="1658">
        <f t="shared" si="45"/>
        <v>1052.6315789473686</v>
      </c>
      <c r="M101" s="5">
        <f t="shared" si="45"/>
        <v>1052.6315789473686</v>
      </c>
      <c r="N101" s="1657">
        <f t="shared" si="45"/>
        <v>1052.6315789473686</v>
      </c>
      <c r="O101" s="1565">
        <f t="shared" si="45"/>
        <v>1052.6315789473686</v>
      </c>
      <c r="P101" s="1743">
        <f t="shared" si="45"/>
        <v>1052.6315789473686</v>
      </c>
      <c r="Q101" s="1563">
        <f t="shared" si="45"/>
        <v>1052.6315789473686</v>
      </c>
      <c r="R101" s="1564">
        <f t="shared" si="45"/>
        <v>1052.6315789473686</v>
      </c>
      <c r="S101" s="1626">
        <f t="shared" si="45"/>
        <v>1052.6315789473686</v>
      </c>
      <c r="T101" s="1563">
        <f t="shared" si="45"/>
        <v>1052.6315789473686</v>
      </c>
      <c r="U101" s="1660">
        <f t="shared" si="45"/>
        <v>1052.6315789473686</v>
      </c>
      <c r="V101" s="1566">
        <f t="shared" si="28"/>
        <v>13157.894736842105</v>
      </c>
      <c r="W101" s="1730"/>
      <c r="X101" s="9"/>
      <c r="AA101" s="1740">
        <f t="shared" si="29"/>
        <v>1</v>
      </c>
      <c r="AB101" s="1821">
        <f t="shared" si="30"/>
        <v>2.7107999999999999</v>
      </c>
      <c r="AC101" s="1822" t="str">
        <f t="shared" si="31"/>
        <v>ADC12</v>
      </c>
      <c r="AD101" s="1544" t="b">
        <f t="shared" si="32"/>
        <v>1</v>
      </c>
      <c r="AE101" s="1544" t="b">
        <f t="shared" si="33"/>
        <v>1</v>
      </c>
      <c r="AF101" s="1544" t="b">
        <f t="shared" si="34"/>
        <v>1</v>
      </c>
    </row>
    <row r="102" spans="1:32" ht="18.75" customHeight="1">
      <c r="A102" s="5190"/>
      <c r="B102" s="5186"/>
      <c r="C102" s="61"/>
      <c r="D102" s="61"/>
      <c r="E102" s="61">
        <v>10</v>
      </c>
      <c r="F102" s="1673" t="str">
        <f t="shared" si="26"/>
        <v>QMP Amboseli</v>
      </c>
      <c r="G102" s="1740">
        <f>IFERROR(VLOOKUP(F102,B.BasicInfomation!$B:$O,6,0),"")</f>
        <v>1</v>
      </c>
      <c r="H102" s="1821">
        <f>IFERROR(VLOOKUP(F102,B.BasicInfomation!B:O,8,0),"")</f>
        <v>3.7107999999999999</v>
      </c>
      <c r="I102" s="4199" t="str">
        <f>IFERROR(VLOOKUP(F102,B.BasicInfomation!B:O,14,0),"")</f>
        <v>ADC12</v>
      </c>
      <c r="J102" s="1659">
        <f t="shared" ref="J102:U102" si="46">J17/$G102/$G$88</f>
        <v>526.31578947368428</v>
      </c>
      <c r="K102" s="1657">
        <f t="shared" si="46"/>
        <v>0</v>
      </c>
      <c r="L102" s="1658">
        <f t="shared" si="46"/>
        <v>526.31578947368428</v>
      </c>
      <c r="M102" s="5">
        <f t="shared" si="46"/>
        <v>0</v>
      </c>
      <c r="N102" s="1657">
        <f t="shared" si="46"/>
        <v>526.31578947368428</v>
      </c>
      <c r="O102" s="1565">
        <f t="shared" si="46"/>
        <v>0</v>
      </c>
      <c r="P102" s="1743">
        <f t="shared" si="46"/>
        <v>526.31578947368428</v>
      </c>
      <c r="Q102" s="1563">
        <f t="shared" si="46"/>
        <v>0</v>
      </c>
      <c r="R102" s="1564">
        <f t="shared" si="46"/>
        <v>526.31578947368428</v>
      </c>
      <c r="S102" s="1626">
        <f t="shared" si="46"/>
        <v>0</v>
      </c>
      <c r="T102" s="1563">
        <f t="shared" si="46"/>
        <v>526.31578947368428</v>
      </c>
      <c r="U102" s="1660">
        <f t="shared" si="46"/>
        <v>0</v>
      </c>
      <c r="V102" s="1566">
        <f t="shared" si="28"/>
        <v>3157.8947368421054</v>
      </c>
      <c r="W102" s="1730"/>
      <c r="X102" s="9"/>
      <c r="AA102" s="1740">
        <f t="shared" si="29"/>
        <v>1</v>
      </c>
      <c r="AB102" s="1821">
        <f t="shared" si="30"/>
        <v>3.7107999999999999</v>
      </c>
      <c r="AC102" s="1822" t="str">
        <f t="shared" si="31"/>
        <v>ADC12</v>
      </c>
      <c r="AD102" s="1544" t="b">
        <f t="shared" si="32"/>
        <v>1</v>
      </c>
      <c r="AE102" s="1544" t="b">
        <f t="shared" si="33"/>
        <v>1</v>
      </c>
      <c r="AF102" s="1544" t="b">
        <f t="shared" si="34"/>
        <v>1</v>
      </c>
    </row>
    <row r="103" spans="1:32" ht="18.75" customHeight="1">
      <c r="A103" s="5190"/>
      <c r="B103" s="5186"/>
      <c r="C103" s="1733"/>
      <c r="D103" s="1733"/>
      <c r="E103" s="1733"/>
      <c r="F103" s="1733" t="str">
        <f t="shared" si="26"/>
        <v>LDS Antenna</v>
      </c>
      <c r="G103" s="1823">
        <f>IFERROR(VLOOKUP(F103,B.BasicInfomation!$B:$O,6,0),"")</f>
        <v>1</v>
      </c>
      <c r="H103" s="1821">
        <f>IFERROR(VLOOKUP(F103,B.BasicInfomation!B:O,8,0),"")</f>
        <v>3.7107999999999999</v>
      </c>
      <c r="I103" s="4200" t="str">
        <f>IFERROR(VLOOKUP(F103,B.BasicInfomation!B:O,14,0),"")</f>
        <v>ADC12</v>
      </c>
      <c r="J103" s="1825">
        <f t="shared" ref="J103:U103" si="47">J18/$G103/$G$88</f>
        <v>3684.2105263157896</v>
      </c>
      <c r="K103" s="1738">
        <f t="shared" si="47"/>
        <v>3684.2105263157896</v>
      </c>
      <c r="L103" s="1739">
        <f t="shared" si="47"/>
        <v>4736.8421052631584</v>
      </c>
      <c r="M103" s="1826">
        <f t="shared" si="47"/>
        <v>4736.8421052631584</v>
      </c>
      <c r="N103" s="1738">
        <f t="shared" si="47"/>
        <v>3157.8947368421054</v>
      </c>
      <c r="O103" s="1559">
        <f t="shared" si="47"/>
        <v>3157.8947368421054</v>
      </c>
      <c r="P103" s="1557">
        <f t="shared" si="47"/>
        <v>2631.5789473684213</v>
      </c>
      <c r="Q103" s="1558">
        <f t="shared" si="47"/>
        <v>2631.5789473684213</v>
      </c>
      <c r="R103" s="1559">
        <f t="shared" si="47"/>
        <v>2631.5789473684213</v>
      </c>
      <c r="S103" s="1557">
        <f t="shared" si="47"/>
        <v>6315.7894736842109</v>
      </c>
      <c r="T103" s="1558">
        <f t="shared" si="47"/>
        <v>6315.7894736842109</v>
      </c>
      <c r="U103" s="1559">
        <f t="shared" si="47"/>
        <v>4210.5263157894733</v>
      </c>
      <c r="V103" s="1560">
        <f t="shared" si="28"/>
        <v>47894.736842105267</v>
      </c>
      <c r="AA103" s="1740">
        <f t="shared" si="29"/>
        <v>1</v>
      </c>
      <c r="AB103" s="1821">
        <f t="shared" si="30"/>
        <v>3.7107999999999999</v>
      </c>
      <c r="AC103" s="1822" t="str">
        <f t="shared" si="31"/>
        <v>ADC12</v>
      </c>
      <c r="AD103" s="1544" t="b">
        <f t="shared" si="32"/>
        <v>1</v>
      </c>
      <c r="AE103" s="1544" t="b">
        <f t="shared" si="33"/>
        <v>1</v>
      </c>
      <c r="AF103" s="1544" t="b">
        <f t="shared" si="34"/>
        <v>1</v>
      </c>
    </row>
    <row r="104" spans="1:32" ht="18.75" customHeight="1">
      <c r="A104" s="5244"/>
      <c r="B104" s="5247"/>
      <c r="C104" s="1747" t="s">
        <v>44</v>
      </c>
      <c r="D104" s="1747"/>
      <c r="E104" s="1747"/>
      <c r="F104" s="1748"/>
      <c r="G104" s="1827"/>
      <c r="H104" s="1828">
        <v>0</v>
      </c>
      <c r="I104" s="4201">
        <v>0</v>
      </c>
      <c r="J104" s="1829">
        <f t="shared" ref="J104:U104" si="48">SUM(J90:J103)</f>
        <v>1735115.2846554513</v>
      </c>
      <c r="K104" s="1753">
        <f t="shared" si="48"/>
        <v>1795327.5222194891</v>
      </c>
      <c r="L104" s="1754">
        <f t="shared" si="48"/>
        <v>2404923.0900865253</v>
      </c>
      <c r="M104" s="1830">
        <f t="shared" si="48"/>
        <v>2432052.1759591023</v>
      </c>
      <c r="N104" s="1753">
        <f t="shared" si="48"/>
        <v>2427388.4640477444</v>
      </c>
      <c r="O104" s="1634">
        <f t="shared" si="48"/>
        <v>2611859.3781751683</v>
      </c>
      <c r="P104" s="1632">
        <f t="shared" si="48"/>
        <v>2403601.760446636</v>
      </c>
      <c r="Q104" s="1633">
        <f t="shared" si="48"/>
        <v>2226344.1427181042</v>
      </c>
      <c r="R104" s="1634">
        <f t="shared" si="48"/>
        <v>2337673.7826073007</v>
      </c>
      <c r="S104" s="1632">
        <f t="shared" si="48"/>
        <v>2295956.3310837545</v>
      </c>
      <c r="T104" s="1633">
        <f t="shared" si="48"/>
        <v>1860026.6419961713</v>
      </c>
      <c r="U104" s="1633">
        <f t="shared" si="48"/>
        <v>1644652.6807773348</v>
      </c>
      <c r="V104" s="1576">
        <f t="shared" si="28"/>
        <v>26174921.254772786</v>
      </c>
      <c r="AA104" s="1740">
        <f t="shared" si="29"/>
        <v>0</v>
      </c>
      <c r="AB104" s="1821">
        <f t="shared" si="30"/>
        <v>0</v>
      </c>
      <c r="AC104" s="1822">
        <f t="shared" si="31"/>
        <v>0</v>
      </c>
      <c r="AD104" s="1544" t="b">
        <f t="shared" si="32"/>
        <v>1</v>
      </c>
      <c r="AE104" s="1544" t="b">
        <f t="shared" si="33"/>
        <v>1</v>
      </c>
      <c r="AF104" s="1544" t="b">
        <f t="shared" si="34"/>
        <v>1</v>
      </c>
    </row>
    <row r="105" spans="1:32" ht="18.75" customHeight="1">
      <c r="A105" s="5251">
        <v>2</v>
      </c>
      <c r="B105" s="5254" t="s">
        <v>23</v>
      </c>
      <c r="C105" s="1592" t="s">
        <v>556</v>
      </c>
      <c r="D105" s="1592" t="s">
        <v>865</v>
      </c>
      <c r="E105" s="1592">
        <v>11</v>
      </c>
      <c r="F105" s="1756" t="str">
        <f t="shared" ref="F105:F110" si="49">F20</f>
        <v>GEN3 AL5 Housing (YT)</v>
      </c>
      <c r="G105" s="1757">
        <f>IFERROR(VLOOKUP(F105,B.BasicInfomation!$B:$O,6,0),"")</f>
        <v>0.85</v>
      </c>
      <c r="H105" s="1831">
        <f>IFERROR(VLOOKUP(F105,B.BasicInfomation!B:O,8,0),"")</f>
        <v>0.71501000000000003</v>
      </c>
      <c r="I105" s="4202" t="str">
        <f>IFERROR(VLOOKUP(F105,B.BasicInfomation!B:O,14,0),"")</f>
        <v>ADC12</v>
      </c>
      <c r="J105" s="1832">
        <f t="shared" ref="J105" si="50">J20/$G105/$G$88</f>
        <v>47115.26724784547</v>
      </c>
      <c r="K105" s="1761">
        <f t="shared" ref="K105:U105" si="51">K20/$G105/$G$88</f>
        <v>33265.797158114925</v>
      </c>
      <c r="L105" s="1762">
        <f t="shared" si="51"/>
        <v>57946.87246897439</v>
      </c>
      <c r="M105" s="1760">
        <f t="shared" si="51"/>
        <v>37260.077462046283</v>
      </c>
      <c r="N105" s="1761">
        <f t="shared" si="51"/>
        <v>0</v>
      </c>
      <c r="O105" s="1597">
        <f t="shared" si="51"/>
        <v>0</v>
      </c>
      <c r="P105" s="1763">
        <f t="shared" si="51"/>
        <v>0</v>
      </c>
      <c r="Q105" s="1595">
        <f t="shared" si="51"/>
        <v>0</v>
      </c>
      <c r="R105" s="1596">
        <f t="shared" si="51"/>
        <v>0</v>
      </c>
      <c r="S105" s="1764">
        <f t="shared" si="51"/>
        <v>0</v>
      </c>
      <c r="T105" s="1595">
        <f t="shared" si="51"/>
        <v>0</v>
      </c>
      <c r="U105" s="1765">
        <f t="shared" si="51"/>
        <v>0</v>
      </c>
      <c r="V105" s="1598">
        <f t="shared" si="28"/>
        <v>175588.01433698108</v>
      </c>
      <c r="Y105" s="1579"/>
      <c r="AA105" s="1740">
        <f t="shared" si="29"/>
        <v>0.85</v>
      </c>
      <c r="AB105" s="1821">
        <f t="shared" si="30"/>
        <v>0.71501000000000003</v>
      </c>
      <c r="AC105" s="1822" t="str">
        <f t="shared" si="31"/>
        <v>ADC12</v>
      </c>
      <c r="AD105" s="1544" t="b">
        <f t="shared" si="32"/>
        <v>1</v>
      </c>
      <c r="AE105" s="1544" t="b">
        <f t="shared" si="33"/>
        <v>1</v>
      </c>
      <c r="AF105" s="1544" t="b">
        <f t="shared" si="34"/>
        <v>1</v>
      </c>
    </row>
    <row r="106" spans="1:32" ht="18.75" customHeight="1">
      <c r="A106" s="5190"/>
      <c r="B106" s="5186"/>
      <c r="C106" s="15"/>
      <c r="D106" s="15"/>
      <c r="E106" s="15">
        <v>12</v>
      </c>
      <c r="F106" s="1673" t="str">
        <f t="shared" si="49"/>
        <v>GEN3 AL6 Housing (YT)</v>
      </c>
      <c r="G106" s="1744">
        <f>IFERROR(VLOOKUP(F106,B.BasicInfomation!$B:$O,6,0),"")</f>
        <v>0.85</v>
      </c>
      <c r="H106" s="1821">
        <f>IFERROR(VLOOKUP(F106,B.BasicInfomation!B:O,8,0),"")</f>
        <v>0.71501000000000003</v>
      </c>
      <c r="I106" s="4199" t="str">
        <f>IFERROR(VLOOKUP(F106,B.BasicInfomation!B:O,14,0),"")</f>
        <v>ADC12</v>
      </c>
      <c r="J106" s="1659">
        <f t="shared" ref="J106:U106" si="52">J21/$G106/$G$88</f>
        <v>0</v>
      </c>
      <c r="K106" s="1657">
        <f t="shared" si="52"/>
        <v>0</v>
      </c>
      <c r="L106" s="1658">
        <f t="shared" si="52"/>
        <v>0</v>
      </c>
      <c r="M106" s="5">
        <f t="shared" si="52"/>
        <v>0</v>
      </c>
      <c r="N106" s="1657">
        <f t="shared" si="52"/>
        <v>0</v>
      </c>
      <c r="O106" s="1565">
        <f t="shared" si="52"/>
        <v>0</v>
      </c>
      <c r="P106" s="1743">
        <f t="shared" si="52"/>
        <v>0</v>
      </c>
      <c r="Q106" s="1563">
        <f t="shared" si="52"/>
        <v>0</v>
      </c>
      <c r="R106" s="1564">
        <f t="shared" si="52"/>
        <v>0</v>
      </c>
      <c r="S106" s="1610">
        <f t="shared" si="52"/>
        <v>0</v>
      </c>
      <c r="T106" s="1563">
        <f t="shared" si="52"/>
        <v>0</v>
      </c>
      <c r="U106" s="1564">
        <f t="shared" si="52"/>
        <v>0</v>
      </c>
      <c r="V106" s="1566">
        <f t="shared" si="28"/>
        <v>0</v>
      </c>
      <c r="Y106" s="1579"/>
      <c r="AA106" s="1740">
        <f t="shared" si="29"/>
        <v>0.85</v>
      </c>
      <c r="AB106" s="1821">
        <f t="shared" si="30"/>
        <v>0.71501000000000003</v>
      </c>
      <c r="AC106" s="1822" t="str">
        <f t="shared" si="31"/>
        <v>ADC12</v>
      </c>
      <c r="AD106" s="1544" t="b">
        <f t="shared" si="32"/>
        <v>1</v>
      </c>
      <c r="AE106" s="1544" t="b">
        <f t="shared" si="33"/>
        <v>1</v>
      </c>
      <c r="AF106" s="1544" t="b">
        <f t="shared" si="34"/>
        <v>1</v>
      </c>
    </row>
    <row r="107" spans="1:32" ht="18.75" customHeight="1">
      <c r="A107" s="5190"/>
      <c r="B107" s="5186"/>
      <c r="C107" s="15"/>
      <c r="D107" s="15"/>
      <c r="E107" s="15"/>
      <c r="F107" s="1673" t="str">
        <f t="shared" si="49"/>
        <v>GEN3 AL5  Housing (MX)</v>
      </c>
      <c r="G107" s="1744">
        <f>IFERROR(VLOOKUP(F107,B.BasicInfomation!$B:$O,6,0),"")</f>
        <v>0.85</v>
      </c>
      <c r="H107" s="1821">
        <f>IFERROR(VLOOKUP(F107,B.BasicInfomation!B:O,8,0),"")</f>
        <v>0.71501000000000003</v>
      </c>
      <c r="I107" s="4199" t="str">
        <f>IFERROR(VLOOKUP(F107,B.BasicInfomation!B:O,14,0),"")</f>
        <v>ADC12</v>
      </c>
      <c r="J107" s="1659">
        <f t="shared" ref="J107:U107" si="53">J22/$G107/$G$88</f>
        <v>0</v>
      </c>
      <c r="K107" s="1657">
        <f t="shared" si="53"/>
        <v>0</v>
      </c>
      <c r="L107" s="1658">
        <f t="shared" si="53"/>
        <v>0</v>
      </c>
      <c r="M107" s="5">
        <f t="shared" si="53"/>
        <v>0</v>
      </c>
      <c r="N107" s="1657">
        <f t="shared" si="53"/>
        <v>0</v>
      </c>
      <c r="O107" s="1565">
        <f t="shared" si="53"/>
        <v>0</v>
      </c>
      <c r="P107" s="1743">
        <f t="shared" si="53"/>
        <v>0</v>
      </c>
      <c r="Q107" s="1563">
        <f t="shared" si="53"/>
        <v>0</v>
      </c>
      <c r="R107" s="1564">
        <f t="shared" si="53"/>
        <v>0</v>
      </c>
      <c r="S107" s="1610">
        <f t="shared" si="53"/>
        <v>0</v>
      </c>
      <c r="T107" s="1563">
        <f t="shared" si="53"/>
        <v>0</v>
      </c>
      <c r="U107" s="1564">
        <f t="shared" si="53"/>
        <v>0</v>
      </c>
      <c r="V107" s="1566">
        <f t="shared" si="28"/>
        <v>0</v>
      </c>
      <c r="Y107" s="1579"/>
      <c r="AA107" s="1740">
        <f t="shared" si="29"/>
        <v>0.85</v>
      </c>
      <c r="AB107" s="1821">
        <f t="shared" si="30"/>
        <v>0.71501000000000003</v>
      </c>
      <c r="AC107" s="1822" t="str">
        <f t="shared" si="31"/>
        <v>ADC12</v>
      </c>
      <c r="AD107" s="1544" t="b">
        <f t="shared" si="32"/>
        <v>1</v>
      </c>
      <c r="AE107" s="1544" t="b">
        <f t="shared" si="33"/>
        <v>1</v>
      </c>
      <c r="AF107" s="1544" t="b">
        <f t="shared" si="34"/>
        <v>1</v>
      </c>
    </row>
    <row r="108" spans="1:32" ht="18.75" customHeight="1">
      <c r="A108" s="5190"/>
      <c r="B108" s="5186"/>
      <c r="C108" s="15"/>
      <c r="D108" s="15"/>
      <c r="E108" s="15"/>
      <c r="F108" s="1673" t="str">
        <f t="shared" si="49"/>
        <v>GEN3 AL6  Housing (MX)</v>
      </c>
      <c r="G108" s="1744">
        <f>IFERROR(VLOOKUP(F108,B.BasicInfomation!$B:$O,6,0),"")</f>
        <v>0.85</v>
      </c>
      <c r="H108" s="1821">
        <f>IFERROR(VLOOKUP(F108,B.BasicInfomation!B:O,8,0),"")</f>
        <v>0.71501000000000003</v>
      </c>
      <c r="I108" s="4199" t="str">
        <f>IFERROR(VLOOKUP(F108,B.BasicInfomation!B:O,14,0),"")</f>
        <v>ADC12</v>
      </c>
      <c r="J108" s="1659">
        <f t="shared" ref="J108:U108" si="54">J23/$G108/$G$88</f>
        <v>0</v>
      </c>
      <c r="K108" s="1657">
        <f t="shared" si="54"/>
        <v>0</v>
      </c>
      <c r="L108" s="1658">
        <f t="shared" si="54"/>
        <v>0</v>
      </c>
      <c r="M108" s="5">
        <f t="shared" si="54"/>
        <v>0</v>
      </c>
      <c r="N108" s="1657">
        <f t="shared" si="54"/>
        <v>0</v>
      </c>
      <c r="O108" s="1565">
        <f t="shared" si="54"/>
        <v>0</v>
      </c>
      <c r="P108" s="1743">
        <f t="shared" si="54"/>
        <v>0</v>
      </c>
      <c r="Q108" s="1563">
        <f t="shared" si="54"/>
        <v>0</v>
      </c>
      <c r="R108" s="1564">
        <f t="shared" si="54"/>
        <v>0</v>
      </c>
      <c r="S108" s="1610">
        <f t="shared" si="54"/>
        <v>0</v>
      </c>
      <c r="T108" s="1563">
        <f t="shared" si="54"/>
        <v>0</v>
      </c>
      <c r="U108" s="1564">
        <f t="shared" si="54"/>
        <v>0</v>
      </c>
      <c r="V108" s="1566">
        <f t="shared" si="28"/>
        <v>0</v>
      </c>
      <c r="Y108" s="1579"/>
      <c r="AA108" s="1740">
        <f t="shared" si="29"/>
        <v>0.85</v>
      </c>
      <c r="AB108" s="1821">
        <f t="shared" si="30"/>
        <v>0.71501000000000003</v>
      </c>
      <c r="AC108" s="1822" t="str">
        <f t="shared" si="31"/>
        <v>ADC12</v>
      </c>
      <c r="AD108" s="1544" t="b">
        <f t="shared" si="32"/>
        <v>1</v>
      </c>
      <c r="AE108" s="1544" t="b">
        <f t="shared" si="33"/>
        <v>1</v>
      </c>
      <c r="AF108" s="1544" t="b">
        <f t="shared" si="34"/>
        <v>1</v>
      </c>
    </row>
    <row r="109" spans="1:32" ht="18.75" customHeight="1">
      <c r="A109" s="5190"/>
      <c r="B109" s="5186"/>
      <c r="C109" s="15"/>
      <c r="D109" s="15"/>
      <c r="E109" s="15"/>
      <c r="F109" s="1673" t="str">
        <f t="shared" si="49"/>
        <v>T6 Housing</v>
      </c>
      <c r="G109" s="1744">
        <f>IFERROR(VLOOKUP(F109,B.BasicInfomation!$B:$O,6,0),"")</f>
        <v>0.8</v>
      </c>
      <c r="H109" s="1821">
        <f>IFERROR(VLOOKUP(F109,B.BasicInfomation!B:O,8,0),"")</f>
        <v>1.1446099999999999</v>
      </c>
      <c r="I109" s="4199" t="str">
        <f>IFERROR(VLOOKUP(F109,B.BasicInfomation!B:O,14,0),"")</f>
        <v>ADC12</v>
      </c>
      <c r="J109" s="1659">
        <f t="shared" ref="J109:U109" si="55">J24/$G109/$G$88</f>
        <v>0</v>
      </c>
      <c r="K109" s="1657">
        <f t="shared" si="55"/>
        <v>0</v>
      </c>
      <c r="L109" s="1658">
        <f t="shared" si="55"/>
        <v>0</v>
      </c>
      <c r="M109" s="5">
        <f t="shared" si="55"/>
        <v>0</v>
      </c>
      <c r="N109" s="1657">
        <f t="shared" si="55"/>
        <v>0</v>
      </c>
      <c r="O109" s="1565">
        <f t="shared" si="55"/>
        <v>0</v>
      </c>
      <c r="P109" s="1743">
        <f t="shared" si="55"/>
        <v>0</v>
      </c>
      <c r="Q109" s="1563">
        <f t="shared" si="55"/>
        <v>0</v>
      </c>
      <c r="R109" s="1564">
        <f t="shared" si="55"/>
        <v>0</v>
      </c>
      <c r="S109" s="1610">
        <f t="shared" si="55"/>
        <v>0</v>
      </c>
      <c r="T109" s="1563">
        <f t="shared" si="55"/>
        <v>0</v>
      </c>
      <c r="U109" s="1564">
        <f t="shared" si="55"/>
        <v>0</v>
      </c>
      <c r="V109" s="1566">
        <f t="shared" si="28"/>
        <v>0</v>
      </c>
      <c r="AA109" s="1740">
        <f t="shared" si="29"/>
        <v>0.8</v>
      </c>
      <c r="AB109" s="1821">
        <f t="shared" si="30"/>
        <v>1.1446099999999999</v>
      </c>
      <c r="AC109" s="1822" t="str">
        <f t="shared" si="31"/>
        <v>ADC12</v>
      </c>
      <c r="AD109" s="1544" t="b">
        <f t="shared" si="32"/>
        <v>1</v>
      </c>
      <c r="AE109" s="1544" t="b">
        <f t="shared" si="33"/>
        <v>1</v>
      </c>
      <c r="AF109" s="1544" t="b">
        <f t="shared" si="34"/>
        <v>1</v>
      </c>
    </row>
    <row r="110" spans="1:32" s="1579" customFormat="1" ht="18.75" customHeight="1">
      <c r="A110" s="5190"/>
      <c r="B110" s="5186"/>
      <c r="C110" s="15"/>
      <c r="D110" s="15"/>
      <c r="E110" s="15">
        <v>13</v>
      </c>
      <c r="F110" s="1673" t="str">
        <f t="shared" si="49"/>
        <v>CL4 Housing (YT)</v>
      </c>
      <c r="G110" s="1744">
        <f>IFERROR(VLOOKUP(F110,B.BasicInfomation!$B:$O,6,0),"")</f>
        <v>0.8</v>
      </c>
      <c r="H110" s="1821">
        <f>IFERROR(VLOOKUP(F110,B.BasicInfomation!B:O,8,0),"")</f>
        <v>1.1446099999999999</v>
      </c>
      <c r="I110" s="4199" t="str">
        <f>IFERROR(VLOOKUP(F110,B.BasicInfomation!B:O,14,0),"")</f>
        <v>ADC12</v>
      </c>
      <c r="J110" s="1659">
        <f t="shared" ref="J110:U110" si="56">J25/$G110/$G$88</f>
        <v>24115.858360294053</v>
      </c>
      <c r="K110" s="1657">
        <f t="shared" si="56"/>
        <v>42202.752130514593</v>
      </c>
      <c r="L110" s="1658">
        <f t="shared" si="56"/>
        <v>26795.398178104504</v>
      </c>
      <c r="M110" s="5">
        <f t="shared" si="56"/>
        <v>42202.752130514593</v>
      </c>
      <c r="N110" s="1657">
        <f t="shared" si="56"/>
        <v>42202.752130514593</v>
      </c>
      <c r="O110" s="1565">
        <f t="shared" si="56"/>
        <v>33494.247722630636</v>
      </c>
      <c r="P110" s="1743">
        <f t="shared" si="56"/>
        <v>33494.247722630636</v>
      </c>
      <c r="Q110" s="1563">
        <f t="shared" si="56"/>
        <v>33494.247722630636</v>
      </c>
      <c r="R110" s="1564">
        <f t="shared" si="56"/>
        <v>33494.247722630636</v>
      </c>
      <c r="S110" s="1610">
        <f t="shared" si="56"/>
        <v>33494.247722630636</v>
      </c>
      <c r="T110" s="1563">
        <f t="shared" si="56"/>
        <v>33494.247722630636</v>
      </c>
      <c r="U110" s="1564">
        <f t="shared" si="56"/>
        <v>33494.247722630636</v>
      </c>
      <c r="V110" s="1566">
        <f t="shared" si="28"/>
        <v>411979.2469883567</v>
      </c>
      <c r="Y110" s="1544"/>
      <c r="AA110" s="1740">
        <f t="shared" si="29"/>
        <v>0.8</v>
      </c>
      <c r="AB110" s="1821">
        <f t="shared" si="30"/>
        <v>1.1446099999999999</v>
      </c>
      <c r="AC110" s="1822" t="str">
        <f t="shared" si="31"/>
        <v>ADC12</v>
      </c>
      <c r="AD110" s="1544" t="b">
        <f t="shared" si="32"/>
        <v>1</v>
      </c>
      <c r="AE110" s="1544" t="b">
        <f t="shared" si="33"/>
        <v>1</v>
      </c>
      <c r="AF110" s="1544" t="b">
        <f t="shared" si="34"/>
        <v>1</v>
      </c>
    </row>
    <row r="111" spans="1:32" s="1579" customFormat="1" ht="18.75" customHeight="1">
      <c r="A111" s="5190"/>
      <c r="B111" s="5186"/>
      <c r="C111" s="15"/>
      <c r="D111" s="15"/>
      <c r="E111" s="15"/>
      <c r="F111" s="1673" t="str">
        <f t="shared" ref="F111:F123" si="57">F26</f>
        <v>CL4 Housing (MX)</v>
      </c>
      <c r="G111" s="1744">
        <f>IFERROR(VLOOKUP(F111,B.BasicInfomation!$B:$O,6,0),"")</f>
        <v>0.8</v>
      </c>
      <c r="H111" s="1821">
        <f>IFERROR(VLOOKUP(F111,B.BasicInfomation!B:O,8,0),"")</f>
        <v>1.1446099999999999</v>
      </c>
      <c r="I111" s="4199" t="str">
        <f>IFERROR(VLOOKUP(F111,B.BasicInfomation!B:O,14,0),"")</f>
        <v>ADC12</v>
      </c>
      <c r="J111" s="1659">
        <f t="shared" ref="J111:U111" si="58">J26/$G111/$G$88</f>
        <v>62149.651236525046</v>
      </c>
      <c r="K111" s="1657">
        <f t="shared" si="58"/>
        <v>31074.825618262523</v>
      </c>
      <c r="L111" s="1658">
        <f t="shared" si="58"/>
        <v>31074.825618262523</v>
      </c>
      <c r="M111" s="5">
        <f t="shared" si="58"/>
        <v>31074.825618262523</v>
      </c>
      <c r="N111" s="1657">
        <f t="shared" si="58"/>
        <v>31074.825618262523</v>
      </c>
      <c r="O111" s="1565">
        <f t="shared" si="58"/>
        <v>31074.825618262523</v>
      </c>
      <c r="P111" s="1743">
        <f t="shared" si="58"/>
        <v>31074.825618262523</v>
      </c>
      <c r="Q111" s="1563">
        <f t="shared" si="58"/>
        <v>31074.825618262523</v>
      </c>
      <c r="R111" s="1564">
        <f t="shared" si="58"/>
        <v>31074.825618262523</v>
      </c>
      <c r="S111" s="1610">
        <f t="shared" si="58"/>
        <v>31074.825618262523</v>
      </c>
      <c r="T111" s="1563">
        <f t="shared" si="58"/>
        <v>31074.825618262523</v>
      </c>
      <c r="U111" s="1564">
        <f t="shared" si="58"/>
        <v>31074.825618262523</v>
      </c>
      <c r="V111" s="1566"/>
      <c r="Y111" s="1544"/>
      <c r="AA111" s="1740"/>
      <c r="AB111" s="1821"/>
      <c r="AC111" s="1822"/>
      <c r="AD111" s="1544"/>
      <c r="AE111" s="1544"/>
      <c r="AF111" s="1544"/>
    </row>
    <row r="112" spans="1:32" s="1579" customFormat="1" ht="18.75" customHeight="1">
      <c r="A112" s="5190"/>
      <c r="B112" s="5186"/>
      <c r="C112" s="15"/>
      <c r="D112" s="15"/>
      <c r="E112" s="15">
        <v>14</v>
      </c>
      <c r="F112" s="1673" t="str">
        <f t="shared" si="57"/>
        <v>MQ4a PE Housing (YT)</v>
      </c>
      <c r="G112" s="1744">
        <f>IFERROR(VLOOKUP(F112,B.BasicInfomation!$B:$O,6,0),"")</f>
        <v>0.8</v>
      </c>
      <c r="H112" s="1821">
        <f>IFERROR(VLOOKUP(F112,B.BasicInfomation!B:O,8,0),"")</f>
        <v>1.1446099999999999</v>
      </c>
      <c r="I112" s="4199" t="str">
        <f>IFERROR(VLOOKUP(F112,B.BasicInfomation!B:O,14,0),"")</f>
        <v>ADC12</v>
      </c>
      <c r="J112" s="1659">
        <f t="shared" ref="J112:U112" si="59">J27/$G112/$G$88</f>
        <v>26708.677323372267</v>
      </c>
      <c r="K112" s="1657">
        <f t="shared" si="59"/>
        <v>21888.086782080685</v>
      </c>
      <c r="L112" s="1658">
        <f t="shared" si="59"/>
        <v>18891.503472629167</v>
      </c>
      <c r="M112" s="5">
        <f t="shared" si="59"/>
        <v>19542.934626857754</v>
      </c>
      <c r="N112" s="1657">
        <f t="shared" si="59"/>
        <v>21888.086782080685</v>
      </c>
      <c r="O112" s="1565">
        <f t="shared" si="59"/>
        <v>20051.050927156059</v>
      </c>
      <c r="P112" s="1743">
        <f t="shared" si="59"/>
        <v>20051.050927156059</v>
      </c>
      <c r="Q112" s="1563">
        <f t="shared" si="59"/>
        <v>20051.050927156059</v>
      </c>
      <c r="R112" s="1564">
        <f t="shared" si="59"/>
        <v>20051.050927156059</v>
      </c>
      <c r="S112" s="1610">
        <f t="shared" si="59"/>
        <v>20051.050927156059</v>
      </c>
      <c r="T112" s="1563">
        <f t="shared" si="59"/>
        <v>20051.050927156059</v>
      </c>
      <c r="U112" s="1564">
        <f t="shared" si="59"/>
        <v>20051.050927156059</v>
      </c>
      <c r="V112" s="1566">
        <f t="shared" si="28"/>
        <v>249276.64547711296</v>
      </c>
      <c r="Y112" s="1544"/>
      <c r="AA112" s="1740">
        <f t="shared" si="29"/>
        <v>0.8</v>
      </c>
      <c r="AB112" s="1821">
        <f t="shared" si="30"/>
        <v>1.1446099999999999</v>
      </c>
      <c r="AC112" s="1822" t="str">
        <f t="shared" si="31"/>
        <v>ADC12</v>
      </c>
      <c r="AD112" s="1544" t="b">
        <f t="shared" si="32"/>
        <v>1</v>
      </c>
      <c r="AE112" s="1544" t="b">
        <f t="shared" si="33"/>
        <v>1</v>
      </c>
      <c r="AF112" s="1544" t="b">
        <f t="shared" si="34"/>
        <v>1</v>
      </c>
    </row>
    <row r="113" spans="1:32" s="1579" customFormat="1" ht="18.75" customHeight="1">
      <c r="A113" s="5190"/>
      <c r="B113" s="5186"/>
      <c r="C113" s="15"/>
      <c r="D113" s="15"/>
      <c r="E113" s="15"/>
      <c r="F113" s="1673" t="str">
        <f t="shared" si="57"/>
        <v>MQ4a PE Housing (MX)</v>
      </c>
      <c r="G113" s="1744">
        <f>IFERROR(VLOOKUP(F113,B.BasicInfomation!$B:$O,6,0),"")</f>
        <v>0.8</v>
      </c>
      <c r="H113" s="1821">
        <f>IFERROR(VLOOKUP(F113,B.BasicInfomation!B:O,8,0),"")</f>
        <v>1.1446099999999999</v>
      </c>
      <c r="I113" s="4199" t="str">
        <f>IFERROR(VLOOKUP(F113,B.BasicInfomation!B:O,14,0),"")</f>
        <v>ADC12</v>
      </c>
      <c r="J113" s="1659">
        <f t="shared" ref="J113:U113" si="60">J28/$G113/$G$88</f>
        <v>62142.718760090422</v>
      </c>
      <c r="K113" s="1657">
        <f t="shared" si="60"/>
        <v>31071.359380045211</v>
      </c>
      <c r="L113" s="1658">
        <f t="shared" si="60"/>
        <v>31071.359380045211</v>
      </c>
      <c r="M113" s="5">
        <f t="shared" si="60"/>
        <v>31071.359380045211</v>
      </c>
      <c r="N113" s="1657">
        <f t="shared" si="60"/>
        <v>28769.777203745565</v>
      </c>
      <c r="O113" s="1565">
        <f t="shared" si="60"/>
        <v>28769.777203745565</v>
      </c>
      <c r="P113" s="1743">
        <f t="shared" si="60"/>
        <v>28769.777203745565</v>
      </c>
      <c r="Q113" s="1563">
        <f t="shared" si="60"/>
        <v>28769.777203745565</v>
      </c>
      <c r="R113" s="1564">
        <f t="shared" si="60"/>
        <v>28769.777203745565</v>
      </c>
      <c r="S113" s="1610">
        <f t="shared" si="60"/>
        <v>28769.777203745565</v>
      </c>
      <c r="T113" s="1563">
        <f t="shared" si="60"/>
        <v>28769.777203745565</v>
      </c>
      <c r="U113" s="1564">
        <f t="shared" si="60"/>
        <v>28769.777203745565</v>
      </c>
      <c r="V113" s="1566"/>
      <c r="Y113" s="1544"/>
      <c r="AA113" s="1740"/>
      <c r="AB113" s="1821"/>
      <c r="AC113" s="1822"/>
      <c r="AD113" s="1544"/>
      <c r="AE113" s="1544"/>
      <c r="AF113" s="1544"/>
    </row>
    <row r="114" spans="1:32" s="1579" customFormat="1" ht="18.75" customHeight="1">
      <c r="A114" s="5190"/>
      <c r="B114" s="5186"/>
      <c r="C114" s="15"/>
      <c r="D114" s="15"/>
      <c r="E114" s="15"/>
      <c r="F114" s="1673" t="str">
        <f t="shared" si="57"/>
        <v>BYD Housing</v>
      </c>
      <c r="G114" s="1744">
        <f>IFERROR(VLOOKUP(F114,B.BasicInfomation!$B:$O,6,0),"")</f>
        <v>0.8</v>
      </c>
      <c r="H114" s="1821">
        <f>IFERROR(VLOOKUP(F114,B.BasicInfomation!B:O,8,0),"")</f>
        <v>1.1446099999999999</v>
      </c>
      <c r="I114" s="4199" t="str">
        <f>IFERROR(VLOOKUP(F114,B.BasicInfomation!B:O,14,0),"")</f>
        <v>ADC12</v>
      </c>
      <c r="J114" s="1659">
        <f t="shared" ref="J114:U114" si="61">J29/$G114/$G$88</f>
        <v>0</v>
      </c>
      <c r="K114" s="1657">
        <f t="shared" si="61"/>
        <v>0</v>
      </c>
      <c r="L114" s="1658">
        <f t="shared" si="61"/>
        <v>0</v>
      </c>
      <c r="M114" s="5">
        <f t="shared" si="61"/>
        <v>0</v>
      </c>
      <c r="N114" s="1657">
        <f t="shared" si="61"/>
        <v>0</v>
      </c>
      <c r="O114" s="1565">
        <f t="shared" si="61"/>
        <v>0</v>
      </c>
      <c r="P114" s="1743">
        <f t="shared" si="61"/>
        <v>0</v>
      </c>
      <c r="Q114" s="1563">
        <f t="shared" si="61"/>
        <v>0</v>
      </c>
      <c r="R114" s="1564">
        <f t="shared" si="61"/>
        <v>0</v>
      </c>
      <c r="S114" s="1610">
        <f t="shared" si="61"/>
        <v>0</v>
      </c>
      <c r="T114" s="1563">
        <f t="shared" si="61"/>
        <v>0</v>
      </c>
      <c r="U114" s="1564">
        <f t="shared" si="61"/>
        <v>0</v>
      </c>
      <c r="V114" s="1566">
        <f t="shared" si="28"/>
        <v>0</v>
      </c>
      <c r="Y114" s="1544"/>
      <c r="AA114" s="1740">
        <f t="shared" si="29"/>
        <v>0.8</v>
      </c>
      <c r="AB114" s="1821">
        <f t="shared" si="30"/>
        <v>1.1446099999999999</v>
      </c>
      <c r="AC114" s="1822" t="str">
        <f t="shared" si="31"/>
        <v>ADC12</v>
      </c>
      <c r="AD114" s="1544" t="b">
        <f t="shared" si="32"/>
        <v>1</v>
      </c>
      <c r="AE114" s="1544" t="b">
        <f t="shared" si="33"/>
        <v>1</v>
      </c>
      <c r="AF114" s="1544" t="b">
        <f t="shared" si="34"/>
        <v>1</v>
      </c>
    </row>
    <row r="115" spans="1:32" s="1579" customFormat="1" ht="18.75" customHeight="1">
      <c r="A115" s="5190"/>
      <c r="B115" s="5186"/>
      <c r="C115" s="15"/>
      <c r="D115" s="15"/>
      <c r="E115" s="15">
        <v>15</v>
      </c>
      <c r="F115" s="1673" t="str">
        <f t="shared" si="57"/>
        <v>MX5 Housing</v>
      </c>
      <c r="G115" s="1744">
        <f>IFERROR(VLOOKUP(F115,B.BasicInfomation!$B:$O,6,0),"")</f>
        <v>0.8</v>
      </c>
      <c r="H115" s="1821">
        <f>IFERROR(VLOOKUP(F115,B.BasicInfomation!B:O,8,0),"")</f>
        <v>1.1446099999999999</v>
      </c>
      <c r="I115" s="4199" t="str">
        <f>IFERROR(VLOOKUP(F115,B.BasicInfomation!B:O,14,0),"")</f>
        <v>ADC12</v>
      </c>
      <c r="J115" s="1659">
        <f t="shared" ref="J115:U115" si="62">J30/$G115/$G$88</f>
        <v>0</v>
      </c>
      <c r="K115" s="1657">
        <f t="shared" si="62"/>
        <v>0</v>
      </c>
      <c r="L115" s="1658">
        <f t="shared" si="62"/>
        <v>0</v>
      </c>
      <c r="M115" s="5">
        <f t="shared" si="62"/>
        <v>0</v>
      </c>
      <c r="N115" s="1657">
        <f t="shared" si="62"/>
        <v>0</v>
      </c>
      <c r="O115" s="1565">
        <f t="shared" si="62"/>
        <v>0</v>
      </c>
      <c r="P115" s="1743">
        <f t="shared" si="62"/>
        <v>0</v>
      </c>
      <c r="Q115" s="1563">
        <f t="shared" si="62"/>
        <v>0</v>
      </c>
      <c r="R115" s="1564">
        <f t="shared" si="62"/>
        <v>0</v>
      </c>
      <c r="S115" s="1610">
        <f t="shared" si="62"/>
        <v>0</v>
      </c>
      <c r="T115" s="1563">
        <f t="shared" si="62"/>
        <v>0</v>
      </c>
      <c r="U115" s="1564">
        <f t="shared" si="62"/>
        <v>0</v>
      </c>
      <c r="V115" s="1566">
        <f t="shared" si="28"/>
        <v>0</v>
      </c>
      <c r="Y115" s="1544"/>
      <c r="AA115" s="1740">
        <f t="shared" si="29"/>
        <v>0.8</v>
      </c>
      <c r="AB115" s="1821">
        <f t="shared" si="30"/>
        <v>1.1446099999999999</v>
      </c>
      <c r="AC115" s="1822" t="str">
        <f t="shared" si="31"/>
        <v>ADC12</v>
      </c>
      <c r="AD115" s="1544" t="b">
        <f t="shared" si="32"/>
        <v>1</v>
      </c>
      <c r="AE115" s="1544" t="b">
        <f t="shared" si="33"/>
        <v>1</v>
      </c>
      <c r="AF115" s="1544" t="b">
        <f t="shared" si="34"/>
        <v>1</v>
      </c>
    </row>
    <row r="116" spans="1:32" ht="18.75" customHeight="1">
      <c r="A116" s="5190"/>
      <c r="B116" s="5186"/>
      <c r="C116" s="15"/>
      <c r="D116" s="12" t="s">
        <v>874</v>
      </c>
      <c r="E116" s="12"/>
      <c r="F116" s="1673" t="str">
        <f t="shared" si="57"/>
        <v>Gen2 Cover</v>
      </c>
      <c r="G116" s="1744">
        <f>IFERROR(VLOOKUP(F116,B.BasicInfomation!$B:$O,6,0),"")</f>
        <v>0.85</v>
      </c>
      <c r="H116" s="1821">
        <f>IFERROR(VLOOKUP(F116,B.BasicInfomation!B:O,8,0),"")</f>
        <v>1.1446099999999999</v>
      </c>
      <c r="I116" s="4199" t="str">
        <f>IFERROR(VLOOKUP(F116,B.BasicInfomation!B:O,14,0),"")</f>
        <v>ADC12</v>
      </c>
      <c r="J116" s="1834">
        <f t="shared" ref="J116:U116" si="63">J31/$G116/$G$88</f>
        <v>4975.4755397324907</v>
      </c>
      <c r="K116" s="1770">
        <f t="shared" si="63"/>
        <v>6269.099180062939</v>
      </c>
      <c r="L116" s="1771">
        <f t="shared" si="63"/>
        <v>6219.3444246656136</v>
      </c>
      <c r="M116" s="1769">
        <f t="shared" si="63"/>
        <v>0</v>
      </c>
      <c r="N116" s="1770">
        <f t="shared" si="63"/>
        <v>0</v>
      </c>
      <c r="O116" s="1584">
        <f t="shared" si="63"/>
        <v>0</v>
      </c>
      <c r="P116" s="1661">
        <f t="shared" si="63"/>
        <v>0</v>
      </c>
      <c r="Q116" s="1582">
        <f t="shared" si="63"/>
        <v>0</v>
      </c>
      <c r="R116" s="1583">
        <f t="shared" si="63"/>
        <v>0</v>
      </c>
      <c r="S116" s="1772">
        <f t="shared" si="63"/>
        <v>0</v>
      </c>
      <c r="T116" s="1582">
        <f t="shared" si="63"/>
        <v>0</v>
      </c>
      <c r="U116" s="1583">
        <f t="shared" si="63"/>
        <v>0</v>
      </c>
      <c r="V116" s="1585">
        <f t="shared" si="28"/>
        <v>17463.919144461044</v>
      </c>
      <c r="AA116" s="1740">
        <f t="shared" si="29"/>
        <v>0.85</v>
      </c>
      <c r="AB116" s="1821">
        <f t="shared" si="30"/>
        <v>1.1446099999999999</v>
      </c>
      <c r="AC116" s="1822" t="str">
        <f t="shared" si="31"/>
        <v>ADC12</v>
      </c>
      <c r="AD116" s="1544" t="b">
        <f t="shared" si="32"/>
        <v>1</v>
      </c>
      <c r="AE116" s="1544" t="b">
        <f t="shared" si="33"/>
        <v>1</v>
      </c>
      <c r="AF116" s="1544" t="b">
        <f t="shared" si="34"/>
        <v>1</v>
      </c>
    </row>
    <row r="117" spans="1:32" ht="18.75" customHeight="1">
      <c r="A117" s="5190"/>
      <c r="B117" s="5186"/>
      <c r="C117" s="15"/>
      <c r="D117" s="15"/>
      <c r="E117" s="15"/>
      <c r="F117" s="1673" t="str">
        <f t="shared" si="57"/>
        <v>T6 Cover</v>
      </c>
      <c r="G117" s="1744">
        <f>IFERROR(VLOOKUP(F117,B.BasicInfomation!$B:$O,6,0),"")</f>
        <v>0.85</v>
      </c>
      <c r="H117" s="1821">
        <f>IFERROR(VLOOKUP(F117,B.BasicInfomation!B:O,8,0),"")</f>
        <v>1.1446099999999999</v>
      </c>
      <c r="I117" s="4199" t="str">
        <f>IFERROR(VLOOKUP(F117,B.BasicInfomation!B:O,14,0),"")</f>
        <v>ADC12</v>
      </c>
      <c r="J117" s="1659">
        <f t="shared" ref="J117:U117" si="64">J32/$G117/$G$88</f>
        <v>0</v>
      </c>
      <c r="K117" s="1657">
        <f t="shared" si="64"/>
        <v>0</v>
      </c>
      <c r="L117" s="1658">
        <f t="shared" si="64"/>
        <v>0</v>
      </c>
      <c r="M117" s="5">
        <f t="shared" si="64"/>
        <v>0</v>
      </c>
      <c r="N117" s="1657">
        <f t="shared" si="64"/>
        <v>0</v>
      </c>
      <c r="O117" s="1565">
        <f t="shared" si="64"/>
        <v>0</v>
      </c>
      <c r="P117" s="1743">
        <f t="shared" si="64"/>
        <v>0</v>
      </c>
      <c r="Q117" s="1563">
        <f t="shared" si="64"/>
        <v>0</v>
      </c>
      <c r="R117" s="1564">
        <f t="shared" si="64"/>
        <v>0</v>
      </c>
      <c r="S117" s="1610">
        <f t="shared" si="64"/>
        <v>0</v>
      </c>
      <c r="T117" s="1563">
        <f t="shared" si="64"/>
        <v>0</v>
      </c>
      <c r="U117" s="1564">
        <f t="shared" si="64"/>
        <v>0</v>
      </c>
      <c r="V117" s="1566">
        <f t="shared" si="28"/>
        <v>0</v>
      </c>
      <c r="AA117" s="1740">
        <f t="shared" si="29"/>
        <v>0.85</v>
      </c>
      <c r="AB117" s="1821">
        <f t="shared" si="30"/>
        <v>1.1446099999999999</v>
      </c>
      <c r="AC117" s="1822" t="str">
        <f t="shared" si="31"/>
        <v>ADC12</v>
      </c>
      <c r="AD117" s="1544" t="b">
        <f t="shared" si="32"/>
        <v>1</v>
      </c>
      <c r="AE117" s="1544" t="b">
        <f t="shared" si="33"/>
        <v>1</v>
      </c>
      <c r="AF117" s="1544" t="b">
        <f t="shared" si="34"/>
        <v>1</v>
      </c>
    </row>
    <row r="118" spans="1:32" ht="18.75" customHeight="1">
      <c r="A118" s="5190"/>
      <c r="B118" s="5186"/>
      <c r="C118" s="15"/>
      <c r="D118" s="15"/>
      <c r="E118" s="15">
        <v>16</v>
      </c>
      <c r="F118" s="1673" t="str">
        <f t="shared" si="57"/>
        <v>EK_Part Cover</v>
      </c>
      <c r="G118" s="1744">
        <f>IFERROR(VLOOKUP(F118,B.BasicInfomation!$B:$O,6,0),"")</f>
        <v>0.85</v>
      </c>
      <c r="H118" s="1821">
        <f>IFERROR(VLOOKUP(F118,B.BasicInfomation!B:O,8,0),"")</f>
        <v>1.1446099999999999</v>
      </c>
      <c r="I118" s="4199" t="str">
        <f>IFERROR(VLOOKUP(F118,B.BasicInfomation!B:O,14,0),"")</f>
        <v>ADC12</v>
      </c>
      <c r="J118" s="1659">
        <f t="shared" ref="J118:U118" si="65">J33/$G118/$G$88</f>
        <v>21509.935260216731</v>
      </c>
      <c r="K118" s="1657">
        <f t="shared" si="65"/>
        <v>16132.451445162547</v>
      </c>
      <c r="L118" s="1658">
        <f t="shared" si="65"/>
        <v>16132.451445162547</v>
      </c>
      <c r="M118" s="5">
        <f t="shared" si="65"/>
        <v>16132.451445162547</v>
      </c>
      <c r="N118" s="1657">
        <f t="shared" si="65"/>
        <v>16132.451445162547</v>
      </c>
      <c r="O118" s="1565">
        <f t="shared" si="65"/>
        <v>16132.451445162547</v>
      </c>
      <c r="P118" s="1743">
        <f t="shared" si="65"/>
        <v>12250.293817363292</v>
      </c>
      <c r="Q118" s="1563">
        <f t="shared" si="65"/>
        <v>12250.293817363292</v>
      </c>
      <c r="R118" s="1564">
        <f t="shared" si="65"/>
        <v>12250.293817363292</v>
      </c>
      <c r="S118" s="1610">
        <f t="shared" si="65"/>
        <v>12250.293817363292</v>
      </c>
      <c r="T118" s="1563">
        <f t="shared" si="65"/>
        <v>12250.293817363292</v>
      </c>
      <c r="U118" s="1564">
        <f t="shared" si="65"/>
        <v>12250.293817363292</v>
      </c>
      <c r="V118" s="1566">
        <f t="shared" si="28"/>
        <v>175673.95539020922</v>
      </c>
      <c r="AA118" s="1740">
        <f t="shared" si="29"/>
        <v>0.85</v>
      </c>
      <c r="AB118" s="1821">
        <f t="shared" si="30"/>
        <v>1.1446099999999999</v>
      </c>
      <c r="AC118" s="1822" t="str">
        <f t="shared" si="31"/>
        <v>ADC12</v>
      </c>
      <c r="AD118" s="1544" t="b">
        <f t="shared" si="32"/>
        <v>1</v>
      </c>
      <c r="AE118" s="1544" t="b">
        <f t="shared" si="33"/>
        <v>1</v>
      </c>
      <c r="AF118" s="1544" t="b">
        <f t="shared" si="34"/>
        <v>1</v>
      </c>
    </row>
    <row r="119" spans="1:32" ht="18.75" customHeight="1">
      <c r="A119" s="5190"/>
      <c r="B119" s="5186"/>
      <c r="C119" s="15"/>
      <c r="D119" s="15"/>
      <c r="E119" s="1673"/>
      <c r="F119" s="1673" t="str">
        <f t="shared" si="57"/>
        <v>570W Cover</v>
      </c>
      <c r="G119" s="1744">
        <f>IFERROR(VLOOKUP(F119,B.BasicInfomation!$B:$O,6,0),"")</f>
        <v>0.85</v>
      </c>
      <c r="H119" s="1821">
        <f>IFERROR(VLOOKUP(F119,B.BasicInfomation!B:O,8,0),"")</f>
        <v>1.1446099999999999</v>
      </c>
      <c r="I119" s="4199" t="str">
        <f>IFERROR(VLOOKUP(F119,B.BasicInfomation!B:O,14,0),"")</f>
        <v>ADC12</v>
      </c>
      <c r="J119" s="1659">
        <f t="shared" ref="J119:U119" si="66">J34/$G119/$G$88</f>
        <v>0</v>
      </c>
      <c r="K119" s="1657">
        <f t="shared" si="66"/>
        <v>0</v>
      </c>
      <c r="L119" s="1658">
        <f t="shared" si="66"/>
        <v>0</v>
      </c>
      <c r="M119" s="5">
        <f t="shared" si="66"/>
        <v>0</v>
      </c>
      <c r="N119" s="1657">
        <f t="shared" si="66"/>
        <v>0</v>
      </c>
      <c r="O119" s="1565">
        <f t="shared" si="66"/>
        <v>0</v>
      </c>
      <c r="P119" s="1743">
        <f t="shared" si="66"/>
        <v>0</v>
      </c>
      <c r="Q119" s="1563">
        <f t="shared" si="66"/>
        <v>0</v>
      </c>
      <c r="R119" s="1564">
        <f t="shared" si="66"/>
        <v>0</v>
      </c>
      <c r="S119" s="1610">
        <f t="shared" si="66"/>
        <v>0</v>
      </c>
      <c r="T119" s="1563">
        <f t="shared" si="66"/>
        <v>0</v>
      </c>
      <c r="U119" s="1564">
        <f t="shared" si="66"/>
        <v>0</v>
      </c>
      <c r="V119" s="1566">
        <f t="shared" si="28"/>
        <v>0</v>
      </c>
      <c r="AA119" s="1740">
        <f t="shared" si="29"/>
        <v>0.85</v>
      </c>
      <c r="AB119" s="1821">
        <f t="shared" si="30"/>
        <v>1.1446099999999999</v>
      </c>
      <c r="AC119" s="1822" t="str">
        <f t="shared" si="31"/>
        <v>ADC12</v>
      </c>
      <c r="AD119" s="1544" t="b">
        <f t="shared" si="32"/>
        <v>1</v>
      </c>
      <c r="AE119" s="1544" t="b">
        <f t="shared" si="33"/>
        <v>1</v>
      </c>
      <c r="AF119" s="1544" t="b">
        <f t="shared" si="34"/>
        <v>1</v>
      </c>
    </row>
    <row r="120" spans="1:32" ht="18.75" customHeight="1">
      <c r="A120" s="5190"/>
      <c r="B120" s="5186"/>
      <c r="C120" s="15"/>
      <c r="D120" s="15"/>
      <c r="E120" s="15">
        <v>17</v>
      </c>
      <c r="F120" s="1673" t="str">
        <f t="shared" si="57"/>
        <v>CL4 Cover (YT)</v>
      </c>
      <c r="G120" s="1744">
        <f>IFERROR(VLOOKUP(F120,B.BasicInfomation!$B:$O,6,0),"")</f>
        <v>0.85</v>
      </c>
      <c r="H120" s="1821">
        <f>IFERROR(VLOOKUP(F120,B.BasicInfomation!B:O,8,0),"")</f>
        <v>1.1446099999999999</v>
      </c>
      <c r="I120" s="4199" t="str">
        <f>IFERROR(VLOOKUP(F120,B.BasicInfomation!B:O,14,0),"")</f>
        <v>ADC12</v>
      </c>
      <c r="J120" s="1659">
        <f t="shared" ref="J120:U120" si="67">J35/$G120/$G$88</f>
        <v>23493.319713987181</v>
      </c>
      <c r="K120" s="1657">
        <f t="shared" si="67"/>
        <v>0</v>
      </c>
      <c r="L120" s="1658">
        <f t="shared" si="67"/>
        <v>0</v>
      </c>
      <c r="M120" s="5">
        <f t="shared" si="67"/>
        <v>0</v>
      </c>
      <c r="N120" s="1657">
        <f t="shared" si="67"/>
        <v>0</v>
      </c>
      <c r="O120" s="1565">
        <f t="shared" si="67"/>
        <v>0</v>
      </c>
      <c r="P120" s="1743">
        <f t="shared" si="67"/>
        <v>0</v>
      </c>
      <c r="Q120" s="1563">
        <f t="shared" si="67"/>
        <v>0</v>
      </c>
      <c r="R120" s="1564">
        <f t="shared" si="67"/>
        <v>0</v>
      </c>
      <c r="S120" s="1610">
        <f t="shared" si="67"/>
        <v>0</v>
      </c>
      <c r="T120" s="1563">
        <f t="shared" si="67"/>
        <v>0</v>
      </c>
      <c r="U120" s="1564">
        <f t="shared" si="67"/>
        <v>0</v>
      </c>
      <c r="V120" s="1566">
        <f t="shared" si="28"/>
        <v>23493.319713987181</v>
      </c>
      <c r="AA120" s="1740">
        <f t="shared" si="29"/>
        <v>0.85</v>
      </c>
      <c r="AB120" s="1821">
        <f t="shared" si="30"/>
        <v>1.1446099999999999</v>
      </c>
      <c r="AC120" s="1822" t="str">
        <f t="shared" si="31"/>
        <v>ADC12</v>
      </c>
      <c r="AD120" s="1544" t="b">
        <f t="shared" si="32"/>
        <v>1</v>
      </c>
      <c r="AE120" s="1544" t="b">
        <f t="shared" si="33"/>
        <v>1</v>
      </c>
      <c r="AF120" s="1544" t="b">
        <f t="shared" si="34"/>
        <v>1</v>
      </c>
    </row>
    <row r="121" spans="1:32" ht="18.75" customHeight="1">
      <c r="A121" s="5190"/>
      <c r="B121" s="5186"/>
      <c r="C121" s="15"/>
      <c r="D121" s="15"/>
      <c r="E121" s="15"/>
      <c r="F121" s="1673" t="str">
        <f t="shared" si="57"/>
        <v>CL4 Cover (MX)</v>
      </c>
      <c r="G121" s="1744">
        <f>IFERROR(VLOOKUP(F121,B.BasicInfomation!$B:$O,6,0),"")</f>
        <v>0.85</v>
      </c>
      <c r="H121" s="1821">
        <f>IFERROR(VLOOKUP(F121,B.BasicInfomation!B:O,8,0),"")</f>
        <v>1.1446099999999999</v>
      </c>
      <c r="I121" s="4199" t="str">
        <f>IFERROR(VLOOKUP(F121,B.BasicInfomation!B:O,14,0),"")</f>
        <v>ADC12</v>
      </c>
      <c r="J121" s="1659">
        <f t="shared" ref="J121:U121" si="68">J36/$G121/$G$88</f>
        <v>58409.130816505713</v>
      </c>
      <c r="K121" s="1657">
        <f t="shared" si="68"/>
        <v>29204.565408252856</v>
      </c>
      <c r="L121" s="1658">
        <f t="shared" si="68"/>
        <v>29204.565408252856</v>
      </c>
      <c r="M121" s="5">
        <f t="shared" si="68"/>
        <v>29204.565408252856</v>
      </c>
      <c r="N121" s="1657">
        <f t="shared" si="68"/>
        <v>29204.565408252856</v>
      </c>
      <c r="O121" s="1565">
        <f t="shared" si="68"/>
        <v>29204.565408252856</v>
      </c>
      <c r="P121" s="1743">
        <f t="shared" si="68"/>
        <v>29204.565408252856</v>
      </c>
      <c r="Q121" s="1563">
        <f t="shared" si="68"/>
        <v>29204.565408252856</v>
      </c>
      <c r="R121" s="1564">
        <f t="shared" si="68"/>
        <v>29204.565408252856</v>
      </c>
      <c r="S121" s="1610">
        <f t="shared" si="68"/>
        <v>29204.565408252856</v>
      </c>
      <c r="T121" s="1563">
        <f t="shared" si="68"/>
        <v>29204.565408252856</v>
      </c>
      <c r="U121" s="1564">
        <f t="shared" si="68"/>
        <v>29204.565408252856</v>
      </c>
      <c r="V121" s="1566"/>
      <c r="AA121" s="1740"/>
      <c r="AB121" s="1821"/>
      <c r="AC121" s="1822"/>
    </row>
    <row r="122" spans="1:32" ht="18.75" customHeight="1">
      <c r="A122" s="5190"/>
      <c r="B122" s="5186"/>
      <c r="C122" s="15"/>
      <c r="D122" s="15"/>
      <c r="E122" s="15">
        <v>18</v>
      </c>
      <c r="F122" s="1673" t="str">
        <f t="shared" si="57"/>
        <v>MQ4a PE Cover (YT)</v>
      </c>
      <c r="G122" s="1744">
        <f>IFERROR(VLOOKUP(F122,B.BasicInfomation!$B:$O,6,0),"")</f>
        <v>0.85</v>
      </c>
      <c r="H122" s="1821">
        <f>IFERROR(VLOOKUP(F122,B.BasicInfomation!B:O,8,0),"")</f>
        <v>1.1446099999999999</v>
      </c>
      <c r="I122" s="4199" t="str">
        <f>IFERROR(VLOOKUP(F122,B.BasicInfomation!B:O,14,0),"")</f>
        <v>ADC12</v>
      </c>
      <c r="J122" s="1659">
        <f t="shared" ref="J122:U122" si="69">J37/$G122/$G$88</f>
        <v>31881.289678816051</v>
      </c>
      <c r="K122" s="1657">
        <f t="shared" si="69"/>
        <v>29224.515538914704</v>
      </c>
      <c r="L122" s="1658">
        <f t="shared" si="69"/>
        <v>18597.418979309357</v>
      </c>
      <c r="M122" s="5">
        <f t="shared" si="69"/>
        <v>18449.820415981507</v>
      </c>
      <c r="N122" s="1657">
        <f t="shared" si="69"/>
        <v>20663.798865899287</v>
      </c>
      <c r="O122" s="1565">
        <f t="shared" si="69"/>
        <v>18929.515746797028</v>
      </c>
      <c r="P122" s="1743">
        <f t="shared" si="69"/>
        <v>18929.515746797028</v>
      </c>
      <c r="Q122" s="1563">
        <f t="shared" si="69"/>
        <v>18929.515746797028</v>
      </c>
      <c r="R122" s="1564">
        <f t="shared" si="69"/>
        <v>18929.515746797028</v>
      </c>
      <c r="S122" s="1610">
        <f t="shared" si="69"/>
        <v>18929.515746797028</v>
      </c>
      <c r="T122" s="1563">
        <f t="shared" si="69"/>
        <v>18929.515746797028</v>
      </c>
      <c r="U122" s="1564">
        <f t="shared" si="69"/>
        <v>18929.515746797028</v>
      </c>
      <c r="V122" s="1566">
        <f t="shared" si="28"/>
        <v>251323.45370650009</v>
      </c>
      <c r="AA122" s="1740">
        <f t="shared" si="29"/>
        <v>0.85</v>
      </c>
      <c r="AB122" s="1821">
        <f t="shared" si="30"/>
        <v>1.1446099999999999</v>
      </c>
      <c r="AC122" s="1822" t="str">
        <f t="shared" si="31"/>
        <v>ADC12</v>
      </c>
      <c r="AD122" s="1544" t="b">
        <f t="shared" si="32"/>
        <v>1</v>
      </c>
      <c r="AE122" s="1544" t="b">
        <f t="shared" si="33"/>
        <v>1</v>
      </c>
      <c r="AF122" s="1544" t="b">
        <f t="shared" si="34"/>
        <v>1</v>
      </c>
    </row>
    <row r="123" spans="1:32" ht="18.75" customHeight="1">
      <c r="A123" s="5190"/>
      <c r="B123" s="5186"/>
      <c r="C123" s="15"/>
      <c r="D123" s="1586"/>
      <c r="E123" s="1586"/>
      <c r="F123" s="1673" t="str">
        <f t="shared" si="57"/>
        <v>MQ4a PE Cover (MX)</v>
      </c>
      <c r="G123" s="1744">
        <f>IFERROR(VLOOKUP(F123,B.BasicInfomation!$B:$O,6,0),"")</f>
        <v>0.85</v>
      </c>
      <c r="H123" s="1821">
        <f>IFERROR(VLOOKUP(F123,B.BasicInfomation!B:O,8,0),"")</f>
        <v>1.1446099999999999</v>
      </c>
      <c r="I123" s="4199" t="str">
        <f>IFERROR(VLOOKUP(F123,B.BasicInfomation!B:O,14,0),"")</f>
        <v>ADC12</v>
      </c>
      <c r="J123" s="1836">
        <f t="shared" ref="J123:U123" si="70">J38/$G123/$G$88</f>
        <v>55947.324815767686</v>
      </c>
      <c r="K123" s="1777">
        <f t="shared" si="70"/>
        <v>27973.662407883843</v>
      </c>
      <c r="L123" s="1778">
        <f t="shared" si="70"/>
        <v>27973.662407883843</v>
      </c>
      <c r="M123" s="1776">
        <f t="shared" si="70"/>
        <v>27973.662407883843</v>
      </c>
      <c r="N123" s="1777">
        <f t="shared" si="70"/>
        <v>25901.539266559113</v>
      </c>
      <c r="O123" s="1590">
        <f t="shared" si="70"/>
        <v>25901.539266559113</v>
      </c>
      <c r="P123" s="1779">
        <f t="shared" si="70"/>
        <v>25901.539266559113</v>
      </c>
      <c r="Q123" s="1588">
        <f t="shared" si="70"/>
        <v>25901.539266559113</v>
      </c>
      <c r="R123" s="1589">
        <f t="shared" si="70"/>
        <v>25901.539266559113</v>
      </c>
      <c r="S123" s="1780">
        <f t="shared" si="70"/>
        <v>25901.539266559113</v>
      </c>
      <c r="T123" s="1588">
        <f t="shared" si="70"/>
        <v>25901.539266559113</v>
      </c>
      <c r="U123" s="1589">
        <f t="shared" si="70"/>
        <v>25901.539266559113</v>
      </c>
      <c r="V123" s="1591"/>
      <c r="AA123" s="1740"/>
      <c r="AB123" s="1821"/>
      <c r="AC123" s="1822"/>
    </row>
    <row r="124" spans="1:32" ht="18.75" customHeight="1">
      <c r="A124" s="5190"/>
      <c r="B124" s="5186"/>
      <c r="C124" s="15"/>
      <c r="D124" s="15"/>
      <c r="E124" s="15"/>
      <c r="F124" s="1673" t="str">
        <f t="shared" ref="F124:F168" si="71">F39</f>
        <v>BYD Cover</v>
      </c>
      <c r="G124" s="1744">
        <f>IFERROR(VLOOKUP(F124,B.BasicInfomation!$B:$O,6,0),"")</f>
        <v>0.85</v>
      </c>
      <c r="H124" s="1821">
        <f>IFERROR(VLOOKUP(F124,B.BasicInfomation!B:O,8,0),"")</f>
        <v>1.1446099999999999</v>
      </c>
      <c r="I124" s="4199" t="str">
        <f>IFERROR(VLOOKUP(F124,B.BasicInfomation!B:O,14,0),"")</f>
        <v>ADC12</v>
      </c>
      <c r="J124" s="1659">
        <f t="shared" ref="J124:U124" si="72">J39/$G124/$G$88</f>
        <v>6837.5798281821289</v>
      </c>
      <c r="K124" s="1657">
        <f t="shared" si="72"/>
        <v>0</v>
      </c>
      <c r="L124" s="1658">
        <f t="shared" si="72"/>
        <v>0</v>
      </c>
      <c r="M124" s="5">
        <f t="shared" si="72"/>
        <v>0</v>
      </c>
      <c r="N124" s="1657">
        <f t="shared" si="72"/>
        <v>0</v>
      </c>
      <c r="O124" s="1565">
        <f t="shared" si="72"/>
        <v>0</v>
      </c>
      <c r="P124" s="1743">
        <f t="shared" si="72"/>
        <v>0</v>
      </c>
      <c r="Q124" s="1563">
        <f t="shared" si="72"/>
        <v>0</v>
      </c>
      <c r="R124" s="1564">
        <f t="shared" si="72"/>
        <v>0</v>
      </c>
      <c r="S124" s="1610">
        <f t="shared" si="72"/>
        <v>0</v>
      </c>
      <c r="T124" s="1563">
        <f t="shared" si="72"/>
        <v>0</v>
      </c>
      <c r="U124" s="1564">
        <f t="shared" si="72"/>
        <v>0</v>
      </c>
      <c r="V124" s="1566">
        <f t="shared" si="28"/>
        <v>6837.5798281821289</v>
      </c>
      <c r="AA124" s="1740">
        <f t="shared" si="29"/>
        <v>0.85</v>
      </c>
      <c r="AB124" s="1821">
        <f t="shared" si="30"/>
        <v>1.1446099999999999</v>
      </c>
      <c r="AC124" s="1822" t="str">
        <f t="shared" si="31"/>
        <v>ADC12</v>
      </c>
      <c r="AD124" s="1544" t="b">
        <f t="shared" si="32"/>
        <v>1</v>
      </c>
      <c r="AE124" s="1544" t="b">
        <f t="shared" si="33"/>
        <v>1</v>
      </c>
      <c r="AF124" s="1544" t="b">
        <f t="shared" si="34"/>
        <v>1</v>
      </c>
    </row>
    <row r="125" spans="1:32" ht="18.75" customHeight="1">
      <c r="A125" s="5190"/>
      <c r="B125" s="5186"/>
      <c r="C125" s="15"/>
      <c r="D125" s="15"/>
      <c r="E125" s="15">
        <v>19</v>
      </c>
      <c r="F125" s="1673" t="str">
        <f t="shared" si="71"/>
        <v>MX5 Cover</v>
      </c>
      <c r="G125" s="1744">
        <f>IFERROR(VLOOKUP(F125,B.BasicInfomation!$B:$O,6,0),"")</f>
        <v>0.85</v>
      </c>
      <c r="H125" s="1821">
        <f>IFERROR(VLOOKUP(F125,B.BasicInfomation!B:O,8,0),"")</f>
        <v>1.1446099999999999</v>
      </c>
      <c r="I125" s="4199" t="str">
        <f>IFERROR(VLOOKUP(F125,B.BasicInfomation!B:O,14,0),"")</f>
        <v>ADC12</v>
      </c>
      <c r="J125" s="1659">
        <f t="shared" ref="J125:U125" si="73">J40/$G125/$G$88</f>
        <v>0</v>
      </c>
      <c r="K125" s="1657">
        <f t="shared" si="73"/>
        <v>0</v>
      </c>
      <c r="L125" s="1658">
        <f t="shared" si="73"/>
        <v>0</v>
      </c>
      <c r="M125" s="5">
        <f t="shared" si="73"/>
        <v>0</v>
      </c>
      <c r="N125" s="1657">
        <f t="shared" si="73"/>
        <v>0</v>
      </c>
      <c r="O125" s="1565">
        <f t="shared" si="73"/>
        <v>0</v>
      </c>
      <c r="P125" s="1743">
        <f t="shared" si="73"/>
        <v>0</v>
      </c>
      <c r="Q125" s="1563">
        <f t="shared" si="73"/>
        <v>0</v>
      </c>
      <c r="R125" s="1564">
        <f t="shared" si="73"/>
        <v>0</v>
      </c>
      <c r="S125" s="1610">
        <f t="shared" si="73"/>
        <v>0</v>
      </c>
      <c r="T125" s="1563">
        <f t="shared" si="73"/>
        <v>0</v>
      </c>
      <c r="U125" s="1564">
        <f t="shared" si="73"/>
        <v>0</v>
      </c>
      <c r="V125" s="1566">
        <f t="shared" si="28"/>
        <v>0</v>
      </c>
      <c r="AA125" s="1740">
        <f t="shared" si="29"/>
        <v>0.85</v>
      </c>
      <c r="AB125" s="1821">
        <f t="shared" si="30"/>
        <v>1.1446099999999999</v>
      </c>
      <c r="AC125" s="1822" t="str">
        <f t="shared" si="31"/>
        <v>ADC12</v>
      </c>
      <c r="AD125" s="1544" t="b">
        <f t="shared" si="32"/>
        <v>1</v>
      </c>
      <c r="AE125" s="1544" t="b">
        <f t="shared" si="33"/>
        <v>1</v>
      </c>
      <c r="AF125" s="1544" t="b">
        <f t="shared" si="34"/>
        <v>1</v>
      </c>
    </row>
    <row r="126" spans="1:32" ht="18.75" customHeight="1">
      <c r="A126" s="5190"/>
      <c r="B126" s="5186"/>
      <c r="C126" s="15"/>
      <c r="D126" s="15" t="s">
        <v>905</v>
      </c>
      <c r="E126" s="15"/>
      <c r="F126" s="1673" t="str">
        <f t="shared" si="71"/>
        <v>FCM30-Upper Housing</v>
      </c>
      <c r="G126" s="1744">
        <f>IFERROR(VLOOKUP(F126,B.BasicInfomation!$B:$O,6,0),"")</f>
        <v>0.85</v>
      </c>
      <c r="H126" s="1821">
        <f>IFERROR(VLOOKUP(F126,B.BasicInfomation!B:O,8,0),"")</f>
        <v>6.4329999999999998E-2</v>
      </c>
      <c r="I126" s="4199" t="str">
        <f>IFERROR(VLOOKUP(F126,B.BasicInfomation!B:O,14,0),"")</f>
        <v>ADC12</v>
      </c>
      <c r="J126" s="1659">
        <f t="shared" ref="J126:U126" si="74">J41/$G126/$G$88</f>
        <v>0</v>
      </c>
      <c r="K126" s="1657">
        <f t="shared" si="74"/>
        <v>0</v>
      </c>
      <c r="L126" s="1658">
        <f t="shared" si="74"/>
        <v>0</v>
      </c>
      <c r="M126" s="5">
        <f t="shared" si="74"/>
        <v>0</v>
      </c>
      <c r="N126" s="1657">
        <f t="shared" si="74"/>
        <v>0</v>
      </c>
      <c r="O126" s="1565">
        <f t="shared" si="74"/>
        <v>0</v>
      </c>
      <c r="P126" s="1743">
        <f t="shared" si="74"/>
        <v>0</v>
      </c>
      <c r="Q126" s="1563">
        <f t="shared" si="74"/>
        <v>0</v>
      </c>
      <c r="R126" s="1564">
        <f t="shared" si="74"/>
        <v>0</v>
      </c>
      <c r="S126" s="1610">
        <f t="shared" si="74"/>
        <v>0</v>
      </c>
      <c r="T126" s="1563">
        <f t="shared" si="74"/>
        <v>0</v>
      </c>
      <c r="U126" s="1564">
        <f t="shared" si="74"/>
        <v>0</v>
      </c>
      <c r="V126" s="1566">
        <f t="shared" si="28"/>
        <v>0</v>
      </c>
      <c r="AA126" s="1740">
        <f t="shared" ref="AA126:AA157" si="75">G126</f>
        <v>0.85</v>
      </c>
      <c r="AB126" s="1821">
        <f t="shared" ref="AB126:AB157" si="76">H126</f>
        <v>6.4329999999999998E-2</v>
      </c>
      <c r="AC126" s="1822" t="str">
        <f t="shared" ref="AC126:AC157" si="77">I126</f>
        <v>ADC12</v>
      </c>
      <c r="AD126" s="1544" t="b">
        <f t="shared" ref="AD126:AD157" si="78">AA126=G126</f>
        <v>1</v>
      </c>
      <c r="AE126" s="1544" t="b">
        <f t="shared" ref="AE126:AE157" si="79">AB126=H126</f>
        <v>1</v>
      </c>
      <c r="AF126" s="1544" t="b">
        <f t="shared" ref="AF126:AF157" si="80">AC126=I126</f>
        <v>1</v>
      </c>
    </row>
    <row r="127" spans="1:32" ht="18.75" customHeight="1">
      <c r="A127" s="5190"/>
      <c r="B127" s="5186"/>
      <c r="C127" s="15"/>
      <c r="D127" s="15"/>
      <c r="E127" s="15">
        <v>20</v>
      </c>
      <c r="F127" s="1673" t="str">
        <f t="shared" si="71"/>
        <v>DCU15 Housing</v>
      </c>
      <c r="G127" s="1744">
        <f>IFERROR(VLOOKUP(F127,B.BasicInfomation!$B:$O,6,0),"")</f>
        <v>0.85</v>
      </c>
      <c r="H127" s="1821">
        <f>IFERROR(VLOOKUP(F127,B.BasicInfomation!B:O,8,0),"")</f>
        <v>6.4329999999999998E-2</v>
      </c>
      <c r="I127" s="4199" t="str">
        <f>IFERROR(VLOOKUP(F127,B.BasicInfomation!B:O,14,0),"")</f>
        <v>ADC12</v>
      </c>
      <c r="J127" s="1659">
        <f t="shared" ref="J127:U127" si="81">J42/$G127/$G$88</f>
        <v>28564.489377555557</v>
      </c>
      <c r="K127" s="1657">
        <f t="shared" si="81"/>
        <v>33532.226660608692</v>
      </c>
      <c r="L127" s="1658">
        <f t="shared" si="81"/>
        <v>31048.358019082127</v>
      </c>
      <c r="M127" s="5">
        <f t="shared" si="81"/>
        <v>33532.226660608692</v>
      </c>
      <c r="N127" s="1657">
        <f t="shared" si="81"/>
        <v>33532.226660608692</v>
      </c>
      <c r="O127" s="1565">
        <f t="shared" si="81"/>
        <v>33532.226660608692</v>
      </c>
      <c r="P127" s="1743">
        <f t="shared" si="81"/>
        <v>33532.226660608692</v>
      </c>
      <c r="Q127" s="1563">
        <f t="shared" si="81"/>
        <v>33532.226660608692</v>
      </c>
      <c r="R127" s="1564">
        <f t="shared" si="81"/>
        <v>33532.226660608692</v>
      </c>
      <c r="S127" s="1610">
        <f t="shared" si="81"/>
        <v>33532.226660608692</v>
      </c>
      <c r="T127" s="1563">
        <f t="shared" si="81"/>
        <v>33532.226660608692</v>
      </c>
      <c r="U127" s="1564">
        <f t="shared" si="81"/>
        <v>33532.226660608692</v>
      </c>
      <c r="V127" s="1566">
        <f t="shared" si="28"/>
        <v>394935.11400272453</v>
      </c>
      <c r="AA127" s="1740">
        <f t="shared" si="75"/>
        <v>0.85</v>
      </c>
      <c r="AB127" s="1821">
        <f t="shared" si="76"/>
        <v>6.4329999999999998E-2</v>
      </c>
      <c r="AC127" s="1822" t="str">
        <f t="shared" si="77"/>
        <v>ADC12</v>
      </c>
      <c r="AD127" s="1544" t="b">
        <f t="shared" si="78"/>
        <v>1</v>
      </c>
      <c r="AE127" s="1544" t="b">
        <f t="shared" si="79"/>
        <v>1</v>
      </c>
      <c r="AF127" s="1544" t="b">
        <f t="shared" si="80"/>
        <v>1</v>
      </c>
    </row>
    <row r="128" spans="1:32" ht="18.75" customHeight="1">
      <c r="A128" s="5190"/>
      <c r="B128" s="5186"/>
      <c r="C128" s="15"/>
      <c r="D128" s="12" t="s">
        <v>882</v>
      </c>
      <c r="E128" s="12">
        <v>21</v>
      </c>
      <c r="F128" s="1767" t="str">
        <f t="shared" si="71"/>
        <v>DCU15 Cover</v>
      </c>
      <c r="G128" s="1768">
        <f>IFERROR(VLOOKUP(F128,B.BasicInfomation!$B:$O,6,0),"")</f>
        <v>0.85</v>
      </c>
      <c r="H128" s="1833">
        <f>IFERROR(VLOOKUP(F128,B.BasicInfomation!B:O,8,0),"")</f>
        <v>6.4329999999999998E-2</v>
      </c>
      <c r="I128" s="4203" t="str">
        <f>IFERROR(VLOOKUP(F128,B.BasicInfomation!B:O,14,0),"")</f>
        <v>ADC12</v>
      </c>
      <c r="J128" s="1834">
        <f t="shared" ref="J128:U128" si="82">J43/$G128/$G$88</f>
        <v>28574.012089453394</v>
      </c>
      <c r="K128" s="1770">
        <f t="shared" si="82"/>
        <v>33543.405496314859</v>
      </c>
      <c r="L128" s="1771">
        <f t="shared" si="82"/>
        <v>31058.708792884125</v>
      </c>
      <c r="M128" s="1769">
        <f t="shared" si="82"/>
        <v>33543.405496314859</v>
      </c>
      <c r="N128" s="1770">
        <f t="shared" si="82"/>
        <v>33543.405496314859</v>
      </c>
      <c r="O128" s="1584">
        <f t="shared" si="82"/>
        <v>33543.405496314859</v>
      </c>
      <c r="P128" s="1661">
        <f t="shared" si="82"/>
        <v>33543.405496314859</v>
      </c>
      <c r="Q128" s="1582">
        <f t="shared" si="82"/>
        <v>33543.405496314859</v>
      </c>
      <c r="R128" s="1583">
        <f t="shared" si="82"/>
        <v>33543.405496314859</v>
      </c>
      <c r="S128" s="1772">
        <f t="shared" si="82"/>
        <v>33543.405496314859</v>
      </c>
      <c r="T128" s="1582">
        <f t="shared" si="82"/>
        <v>33543.405496314859</v>
      </c>
      <c r="U128" s="1583">
        <f t="shared" si="82"/>
        <v>33543.405496314859</v>
      </c>
      <c r="V128" s="1585">
        <f t="shared" si="28"/>
        <v>395066.77584548615</v>
      </c>
      <c r="AA128" s="1740">
        <f t="shared" si="75"/>
        <v>0.85</v>
      </c>
      <c r="AB128" s="1821">
        <f t="shared" si="76"/>
        <v>6.4329999999999998E-2</v>
      </c>
      <c r="AC128" s="1822" t="str">
        <f t="shared" si="77"/>
        <v>ADC12</v>
      </c>
      <c r="AD128" s="1544" t="b">
        <f t="shared" si="78"/>
        <v>1</v>
      </c>
      <c r="AE128" s="1544" t="b">
        <f t="shared" si="79"/>
        <v>1</v>
      </c>
      <c r="AF128" s="1544" t="b">
        <f t="shared" si="80"/>
        <v>1</v>
      </c>
    </row>
    <row r="129" spans="1:32" ht="18.75" customHeight="1">
      <c r="A129" s="5190"/>
      <c r="B129" s="5186"/>
      <c r="C129" s="15"/>
      <c r="D129" s="15"/>
      <c r="E129" s="13"/>
      <c r="F129" s="1673" t="str">
        <f t="shared" si="71"/>
        <v>FCM30-Lower Housing</v>
      </c>
      <c r="G129" s="1744">
        <f>IFERROR(VLOOKUP(F129,B.BasicInfomation!$B:$O,6,0),"")</f>
        <v>0.85</v>
      </c>
      <c r="H129" s="1821">
        <f>IFERROR(VLOOKUP(F129,B.BasicInfomation!B:O,8,0),"")</f>
        <v>6.4329999999999998E-2</v>
      </c>
      <c r="I129" s="4199" t="str">
        <f>IFERROR(VLOOKUP(F129,B.BasicInfomation!B:O,14,0),"")</f>
        <v>ADC12</v>
      </c>
      <c r="J129" s="1659">
        <f t="shared" ref="J129:U129" si="83">J44/$G129/$G$88</f>
        <v>0</v>
      </c>
      <c r="K129" s="1657">
        <f t="shared" si="83"/>
        <v>0</v>
      </c>
      <c r="L129" s="1658">
        <f t="shared" si="83"/>
        <v>0</v>
      </c>
      <c r="M129" s="5">
        <f t="shared" si="83"/>
        <v>0</v>
      </c>
      <c r="N129" s="1657">
        <f t="shared" si="83"/>
        <v>0</v>
      </c>
      <c r="O129" s="1565">
        <f t="shared" si="83"/>
        <v>0</v>
      </c>
      <c r="P129" s="1743">
        <f t="shared" si="83"/>
        <v>0</v>
      </c>
      <c r="Q129" s="1563">
        <f t="shared" si="83"/>
        <v>0</v>
      </c>
      <c r="R129" s="1564">
        <f t="shared" si="83"/>
        <v>0</v>
      </c>
      <c r="S129" s="1610">
        <f t="shared" si="83"/>
        <v>0</v>
      </c>
      <c r="T129" s="1563">
        <f t="shared" si="83"/>
        <v>0</v>
      </c>
      <c r="U129" s="1564">
        <f t="shared" si="83"/>
        <v>0</v>
      </c>
      <c r="V129" s="1566">
        <f t="shared" si="28"/>
        <v>0</v>
      </c>
      <c r="AA129" s="1740">
        <f t="shared" si="75"/>
        <v>0.85</v>
      </c>
      <c r="AB129" s="1821">
        <f t="shared" si="76"/>
        <v>6.4329999999999998E-2</v>
      </c>
      <c r="AC129" s="1822" t="str">
        <f t="shared" si="77"/>
        <v>ADC12</v>
      </c>
      <c r="AD129" s="1544" t="b">
        <f t="shared" si="78"/>
        <v>1</v>
      </c>
      <c r="AE129" s="1544" t="b">
        <f t="shared" si="79"/>
        <v>1</v>
      </c>
      <c r="AF129" s="1544" t="b">
        <f t="shared" si="80"/>
        <v>1</v>
      </c>
    </row>
    <row r="130" spans="1:32" ht="18.75" customHeight="1">
      <c r="A130" s="5190"/>
      <c r="B130" s="5186"/>
      <c r="C130" s="15"/>
      <c r="D130" s="1837"/>
      <c r="E130" s="1837"/>
      <c r="F130" s="1774" t="str">
        <f t="shared" si="71"/>
        <v>OMS Entry Vcsel Cover(250A)</v>
      </c>
      <c r="G130" s="1775">
        <f>IFERROR(VLOOKUP(F130,B.BasicInfomation!$B:$O,6,0),"")</f>
        <v>0.85</v>
      </c>
      <c r="H130" s="1835">
        <f>IFERROR(VLOOKUP(F130,B.BasicInfomation!B:O,8,0),"")</f>
        <v>6.4329999999999998E-2</v>
      </c>
      <c r="I130" s="4204" t="str">
        <f>IFERROR(VLOOKUP(F130,B.BasicInfomation!B:O,14,0),"")</f>
        <v>ADC12</v>
      </c>
      <c r="J130" s="1836">
        <f t="shared" ref="J130:U130" si="84">J45/$G130/$G$88</f>
        <v>0</v>
      </c>
      <c r="K130" s="1777">
        <f t="shared" si="84"/>
        <v>0</v>
      </c>
      <c r="L130" s="1778">
        <f t="shared" si="84"/>
        <v>0</v>
      </c>
      <c r="M130" s="1776">
        <f t="shared" si="84"/>
        <v>0</v>
      </c>
      <c r="N130" s="1777">
        <f t="shared" si="84"/>
        <v>0</v>
      </c>
      <c r="O130" s="1590">
        <f t="shared" si="84"/>
        <v>0</v>
      </c>
      <c r="P130" s="1779">
        <f t="shared" si="84"/>
        <v>0</v>
      </c>
      <c r="Q130" s="1588">
        <f t="shared" si="84"/>
        <v>0</v>
      </c>
      <c r="R130" s="1589">
        <f t="shared" si="84"/>
        <v>0</v>
      </c>
      <c r="S130" s="1780">
        <f t="shared" si="84"/>
        <v>0</v>
      </c>
      <c r="T130" s="1588">
        <f t="shared" si="84"/>
        <v>0</v>
      </c>
      <c r="U130" s="1589">
        <f t="shared" si="84"/>
        <v>0</v>
      </c>
      <c r="V130" s="1591">
        <f t="shared" si="28"/>
        <v>0</v>
      </c>
      <c r="AA130" s="1740">
        <f t="shared" si="75"/>
        <v>0.85</v>
      </c>
      <c r="AB130" s="1821">
        <f t="shared" si="76"/>
        <v>6.4329999999999998E-2</v>
      </c>
      <c r="AC130" s="1822" t="str">
        <f t="shared" si="77"/>
        <v>ADC12</v>
      </c>
      <c r="AD130" s="1544" t="b">
        <f t="shared" si="78"/>
        <v>1</v>
      </c>
      <c r="AE130" s="1544" t="b">
        <f t="shared" si="79"/>
        <v>1</v>
      </c>
      <c r="AF130" s="1544" t="b">
        <f t="shared" si="80"/>
        <v>1</v>
      </c>
    </row>
    <row r="131" spans="1:32" ht="18.75" customHeight="1">
      <c r="A131" s="5190"/>
      <c r="B131" s="5186"/>
      <c r="C131" s="15"/>
      <c r="D131" s="13"/>
      <c r="E131" s="13"/>
      <c r="F131" s="1673" t="str">
        <f t="shared" si="71"/>
        <v>HKMC Ikc Camera Base</v>
      </c>
      <c r="G131" s="1744">
        <f>IFERROR(VLOOKUP(F131,B.BasicInfomation!$B:$O,6,0),"")</f>
        <v>0.85</v>
      </c>
      <c r="H131" s="1821">
        <f>IFERROR(VLOOKUP(F131,B.BasicInfomation!B:O,8,0),"")</f>
        <v>6.4329999999999998E-2</v>
      </c>
      <c r="I131" s="4199" t="str">
        <f>IFERROR(VLOOKUP(F131,B.BasicInfomation!B:O,14,0),"")</f>
        <v>ADC12</v>
      </c>
      <c r="J131" s="1659">
        <f t="shared" ref="J131:U131" si="85">J46/$G131/$G$88</f>
        <v>743.03405572755423</v>
      </c>
      <c r="K131" s="1657">
        <f t="shared" si="85"/>
        <v>743.03405572755423</v>
      </c>
      <c r="L131" s="1658">
        <f t="shared" si="85"/>
        <v>0</v>
      </c>
      <c r="M131" s="5">
        <f t="shared" si="85"/>
        <v>0</v>
      </c>
      <c r="N131" s="1657">
        <f t="shared" si="85"/>
        <v>0</v>
      </c>
      <c r="O131" s="1565">
        <f t="shared" si="85"/>
        <v>0</v>
      </c>
      <c r="P131" s="1743">
        <f t="shared" si="85"/>
        <v>0</v>
      </c>
      <c r="Q131" s="1563">
        <f t="shared" si="85"/>
        <v>0</v>
      </c>
      <c r="R131" s="1564">
        <f t="shared" si="85"/>
        <v>0</v>
      </c>
      <c r="S131" s="1610">
        <f t="shared" si="85"/>
        <v>0</v>
      </c>
      <c r="T131" s="1563">
        <f t="shared" si="85"/>
        <v>0</v>
      </c>
      <c r="U131" s="1564">
        <f t="shared" si="85"/>
        <v>0</v>
      </c>
      <c r="V131" s="1566">
        <f t="shared" si="28"/>
        <v>1486.0681114551085</v>
      </c>
      <c r="AA131" s="1740">
        <f t="shared" si="75"/>
        <v>0.85</v>
      </c>
      <c r="AB131" s="1821">
        <f t="shared" si="76"/>
        <v>6.4329999999999998E-2</v>
      </c>
      <c r="AC131" s="1822" t="str">
        <f t="shared" si="77"/>
        <v>ADC12</v>
      </c>
      <c r="AD131" s="1544" t="b">
        <f t="shared" si="78"/>
        <v>1</v>
      </c>
      <c r="AE131" s="1544" t="b">
        <f t="shared" si="79"/>
        <v>1</v>
      </c>
      <c r="AF131" s="1544" t="b">
        <f t="shared" si="80"/>
        <v>1</v>
      </c>
    </row>
    <row r="132" spans="1:32" ht="18.75" customHeight="1">
      <c r="A132" s="5190"/>
      <c r="B132" s="5186"/>
      <c r="C132" s="15"/>
      <c r="D132" s="13" t="s">
        <v>885</v>
      </c>
      <c r="E132" s="13"/>
      <c r="F132" s="1673" t="str">
        <f t="shared" si="71"/>
        <v>OMS Entry Lens Holder (203A)</v>
      </c>
      <c r="G132" s="1744">
        <f>IFERROR(VLOOKUP(F132,B.BasicInfomation!$B:$O,6,0),"")</f>
        <v>0.85</v>
      </c>
      <c r="H132" s="1821">
        <f>IFERROR(VLOOKUP(F132,B.BasicInfomation!B:O,8,0),"")</f>
        <v>6.4329999999999998E-2</v>
      </c>
      <c r="I132" s="4199" t="str">
        <f>IFERROR(VLOOKUP(F132,B.BasicInfomation!B:O,14,0),"")</f>
        <v>ADC12</v>
      </c>
      <c r="J132" s="1659">
        <f t="shared" ref="J132:U132" si="86">J47/$G132/$G$88</f>
        <v>0</v>
      </c>
      <c r="K132" s="1657">
        <f t="shared" si="86"/>
        <v>0</v>
      </c>
      <c r="L132" s="1658">
        <f t="shared" si="86"/>
        <v>0</v>
      </c>
      <c r="M132" s="5">
        <f t="shared" si="86"/>
        <v>0</v>
      </c>
      <c r="N132" s="1657">
        <f t="shared" si="86"/>
        <v>0</v>
      </c>
      <c r="O132" s="1565">
        <f t="shared" si="86"/>
        <v>0</v>
      </c>
      <c r="P132" s="1743">
        <f t="shared" si="86"/>
        <v>0</v>
      </c>
      <c r="Q132" s="1563">
        <f t="shared" si="86"/>
        <v>0</v>
      </c>
      <c r="R132" s="1564">
        <f t="shared" si="86"/>
        <v>0</v>
      </c>
      <c r="S132" s="1610">
        <f t="shared" si="86"/>
        <v>0</v>
      </c>
      <c r="T132" s="1563">
        <f t="shared" si="86"/>
        <v>0</v>
      </c>
      <c r="U132" s="1564">
        <f t="shared" si="86"/>
        <v>0</v>
      </c>
      <c r="V132" s="1566">
        <f t="shared" si="28"/>
        <v>0</v>
      </c>
      <c r="AA132" s="1740">
        <f t="shared" si="75"/>
        <v>0.85</v>
      </c>
      <c r="AB132" s="1821">
        <f t="shared" si="76"/>
        <v>6.4329999999999998E-2</v>
      </c>
      <c r="AC132" s="1822" t="str">
        <f t="shared" si="77"/>
        <v>ADC12</v>
      </c>
      <c r="AD132" s="1544" t="b">
        <f t="shared" si="78"/>
        <v>1</v>
      </c>
      <c r="AE132" s="1544" t="b">
        <f t="shared" si="79"/>
        <v>1</v>
      </c>
      <c r="AF132" s="1544" t="b">
        <f t="shared" si="80"/>
        <v>1</v>
      </c>
    </row>
    <row r="133" spans="1:32" ht="18.75" customHeight="1">
      <c r="A133" s="5190"/>
      <c r="B133" s="5186"/>
      <c r="C133" s="15"/>
      <c r="D133" s="15"/>
      <c r="E133" s="15"/>
      <c r="F133" s="1673" t="str">
        <f t="shared" si="71"/>
        <v>OMS Front Lens Holder (207A)</v>
      </c>
      <c r="G133" s="1744">
        <f>IFERROR(VLOOKUP(F133,B.BasicInfomation!$B:$O,6,0),"")</f>
        <v>0.85</v>
      </c>
      <c r="H133" s="1821">
        <f>IFERROR(VLOOKUP(F133,B.BasicInfomation!B:O,8,0),"")</f>
        <v>6.4329999999999998E-2</v>
      </c>
      <c r="I133" s="4199" t="str">
        <f>IFERROR(VLOOKUP(F133,B.BasicInfomation!B:O,14,0),"")</f>
        <v>ADC12</v>
      </c>
      <c r="J133" s="1659">
        <f t="shared" ref="J133:U133" si="87">J48/$G133/$G$88</f>
        <v>0</v>
      </c>
      <c r="K133" s="1657">
        <f t="shared" si="87"/>
        <v>0</v>
      </c>
      <c r="L133" s="1658">
        <f t="shared" si="87"/>
        <v>0</v>
      </c>
      <c r="M133" s="5">
        <f t="shared" si="87"/>
        <v>0</v>
      </c>
      <c r="N133" s="1657">
        <f t="shared" si="87"/>
        <v>0</v>
      </c>
      <c r="O133" s="1565">
        <f t="shared" si="87"/>
        <v>0</v>
      </c>
      <c r="P133" s="1743">
        <f t="shared" si="87"/>
        <v>0</v>
      </c>
      <c r="Q133" s="1563">
        <f t="shared" si="87"/>
        <v>0</v>
      </c>
      <c r="R133" s="1564">
        <f t="shared" si="87"/>
        <v>0</v>
      </c>
      <c r="S133" s="1610">
        <f t="shared" si="87"/>
        <v>0</v>
      </c>
      <c r="T133" s="1563">
        <f t="shared" si="87"/>
        <v>0</v>
      </c>
      <c r="U133" s="1564">
        <f t="shared" si="87"/>
        <v>0</v>
      </c>
      <c r="V133" s="1566">
        <f t="shared" si="28"/>
        <v>0</v>
      </c>
      <c r="AA133" s="1740">
        <f t="shared" si="75"/>
        <v>0.85</v>
      </c>
      <c r="AB133" s="1821">
        <f t="shared" si="76"/>
        <v>6.4329999999999998E-2</v>
      </c>
      <c r="AC133" s="1822" t="str">
        <f t="shared" si="77"/>
        <v>ADC12</v>
      </c>
      <c r="AD133" s="1544" t="b">
        <f t="shared" si="78"/>
        <v>1</v>
      </c>
      <c r="AE133" s="1544" t="b">
        <f t="shared" si="79"/>
        <v>1</v>
      </c>
      <c r="AF133" s="1544" t="b">
        <f t="shared" si="80"/>
        <v>1</v>
      </c>
    </row>
    <row r="134" spans="1:32" ht="18.75" customHeight="1">
      <c r="A134" s="5190"/>
      <c r="B134" s="5186"/>
      <c r="C134" s="15"/>
      <c r="D134" s="15"/>
      <c r="E134" s="15">
        <v>22</v>
      </c>
      <c r="F134" s="1673" t="str">
        <f t="shared" si="71"/>
        <v>MPC5.5 Cover Lens</v>
      </c>
      <c r="G134" s="1744">
        <f>IFERROR(VLOOKUP(F134,B.BasicInfomation!$B:$O,6,0),"")</f>
        <v>0.85</v>
      </c>
      <c r="H134" s="1821">
        <f>IFERROR(VLOOKUP(F134,B.BasicInfomation!B:O,8,0),"")</f>
        <v>6.4329999999999998E-2</v>
      </c>
      <c r="I134" s="4199" t="str">
        <f>IFERROR(VLOOKUP(F134,B.BasicInfomation!B:O,14,0),"")</f>
        <v>ADC12</v>
      </c>
      <c r="J134" s="1659">
        <f t="shared" ref="J134:U134" si="88">J49/$G134/$G$88</f>
        <v>167153.10863054107</v>
      </c>
      <c r="K134" s="1657">
        <f t="shared" si="88"/>
        <v>101485.81595425708</v>
      </c>
      <c r="L134" s="1658">
        <f t="shared" si="88"/>
        <v>143274.09311189235</v>
      </c>
      <c r="M134" s="5">
        <f t="shared" si="88"/>
        <v>83576.554315270536</v>
      </c>
      <c r="N134" s="1657">
        <f t="shared" si="88"/>
        <v>83576.554315270536</v>
      </c>
      <c r="O134" s="1565">
        <f t="shared" si="88"/>
        <v>59697.538796621804</v>
      </c>
      <c r="P134" s="1743">
        <f t="shared" si="88"/>
        <v>59697.538796621804</v>
      </c>
      <c r="Q134" s="1563">
        <f t="shared" si="88"/>
        <v>59697.538796621804</v>
      </c>
      <c r="R134" s="1564">
        <f t="shared" si="88"/>
        <v>59697.538796621804</v>
      </c>
      <c r="S134" s="1610">
        <f t="shared" si="88"/>
        <v>59697.538796621804</v>
      </c>
      <c r="T134" s="1563">
        <f t="shared" si="88"/>
        <v>59697.538796621804</v>
      </c>
      <c r="U134" s="1564">
        <f t="shared" si="88"/>
        <v>59697.538796621804</v>
      </c>
      <c r="V134" s="1566">
        <f t="shared" si="28"/>
        <v>996948.89790358441</v>
      </c>
      <c r="AA134" s="1740">
        <f t="shared" si="75"/>
        <v>0.85</v>
      </c>
      <c r="AB134" s="1821">
        <f t="shared" si="76"/>
        <v>6.4329999999999998E-2</v>
      </c>
      <c r="AC134" s="1822" t="str">
        <f t="shared" si="77"/>
        <v>ADC12</v>
      </c>
      <c r="AD134" s="1544" t="b">
        <f t="shared" si="78"/>
        <v>1</v>
      </c>
      <c r="AE134" s="1544" t="b">
        <f t="shared" si="79"/>
        <v>1</v>
      </c>
      <c r="AF134" s="1544" t="b">
        <f t="shared" si="80"/>
        <v>1</v>
      </c>
    </row>
    <row r="135" spans="1:32" ht="18.75" customHeight="1">
      <c r="A135" s="5190"/>
      <c r="B135" s="5186"/>
      <c r="C135" s="11"/>
      <c r="D135" s="15"/>
      <c r="E135" s="15"/>
      <c r="F135" s="1673" t="str">
        <f t="shared" si="71"/>
        <v xml:space="preserve">FCM30 Lens Holder </v>
      </c>
      <c r="G135" s="1744">
        <f>IFERROR(VLOOKUP(F135,B.BasicInfomation!$B:$O,6,0),"")</f>
        <v>0.85</v>
      </c>
      <c r="H135" s="1821">
        <f>IFERROR(VLOOKUP(F135,B.BasicInfomation!B:O,8,0),"")</f>
        <v>6.4329999999999998E-2</v>
      </c>
      <c r="I135" s="4199" t="str">
        <f>IFERROR(VLOOKUP(F135,B.BasicInfomation!B:O,14,0),"")</f>
        <v>ADC12</v>
      </c>
      <c r="J135" s="1659">
        <f t="shared" ref="J135:U135" si="89">J50/$G135/$G$88</f>
        <v>0</v>
      </c>
      <c r="K135" s="1657">
        <f t="shared" si="89"/>
        <v>0</v>
      </c>
      <c r="L135" s="1658">
        <f t="shared" si="89"/>
        <v>0</v>
      </c>
      <c r="M135" s="5">
        <f t="shared" si="89"/>
        <v>0</v>
      </c>
      <c r="N135" s="1657">
        <f t="shared" si="89"/>
        <v>0</v>
      </c>
      <c r="O135" s="1565">
        <f t="shared" si="89"/>
        <v>0</v>
      </c>
      <c r="P135" s="1743">
        <f t="shared" si="89"/>
        <v>0</v>
      </c>
      <c r="Q135" s="1563">
        <f t="shared" si="89"/>
        <v>0</v>
      </c>
      <c r="R135" s="1564">
        <f t="shared" si="89"/>
        <v>0</v>
      </c>
      <c r="S135" s="1610">
        <f t="shared" si="89"/>
        <v>0</v>
      </c>
      <c r="T135" s="1563">
        <f t="shared" si="89"/>
        <v>0</v>
      </c>
      <c r="U135" s="1564">
        <f t="shared" si="89"/>
        <v>0</v>
      </c>
      <c r="V135" s="1566">
        <f t="shared" si="28"/>
        <v>0</v>
      </c>
      <c r="AA135" s="1740">
        <f t="shared" si="75"/>
        <v>0.85</v>
      </c>
      <c r="AB135" s="1821">
        <f t="shared" si="76"/>
        <v>6.4329999999999998E-2</v>
      </c>
      <c r="AC135" s="1822" t="str">
        <f t="shared" si="77"/>
        <v>ADC12</v>
      </c>
      <c r="AD135" s="1544" t="b">
        <f t="shared" si="78"/>
        <v>1</v>
      </c>
      <c r="AE135" s="1544" t="b">
        <f t="shared" si="79"/>
        <v>1</v>
      </c>
      <c r="AF135" s="1544" t="b">
        <f t="shared" si="80"/>
        <v>1</v>
      </c>
    </row>
    <row r="136" spans="1:32" s="1579" customFormat="1" ht="18.75" customHeight="1">
      <c r="A136" s="5190"/>
      <c r="B136" s="5186"/>
      <c r="C136" s="15" t="s">
        <v>403</v>
      </c>
      <c r="D136" s="1593" t="s">
        <v>865</v>
      </c>
      <c r="E136" s="1593">
        <v>23</v>
      </c>
      <c r="F136" s="1756" t="str">
        <f t="shared" si="71"/>
        <v>NX4 HSG</v>
      </c>
      <c r="G136" s="1757">
        <f>IFERROR(VLOOKUP(F136,B.BasicInfomation!$B:$O,6,0),"")</f>
        <v>0.7</v>
      </c>
      <c r="H136" s="1831">
        <f>IFERROR(VLOOKUP(F136,B.BasicInfomation!B:O,8,0),"")</f>
        <v>1.0724400000000001</v>
      </c>
      <c r="I136" s="4202" t="str">
        <f>IFERROR(VLOOKUP(F136,B.BasicInfomation!B:O,14,0),"")</f>
        <v>ADC12</v>
      </c>
      <c r="J136" s="1832">
        <f t="shared" ref="J136:U136" si="90">J51/$G136/$G$88</f>
        <v>45473.68421052632</v>
      </c>
      <c r="K136" s="1761">
        <f t="shared" si="90"/>
        <v>60631.578947368434</v>
      </c>
      <c r="L136" s="1762">
        <f t="shared" si="90"/>
        <v>60150.375939849626</v>
      </c>
      <c r="M136" s="1760">
        <f t="shared" si="90"/>
        <v>52631.57894736842</v>
      </c>
      <c r="N136" s="1761">
        <f t="shared" si="90"/>
        <v>52631.57894736842</v>
      </c>
      <c r="O136" s="1597">
        <f t="shared" si="90"/>
        <v>52631.57894736842</v>
      </c>
      <c r="P136" s="1763">
        <f t="shared" si="90"/>
        <v>52631.57894736842</v>
      </c>
      <c r="Q136" s="1595">
        <f t="shared" si="90"/>
        <v>52631.57894736842</v>
      </c>
      <c r="R136" s="1596">
        <f t="shared" si="90"/>
        <v>52631.57894736842</v>
      </c>
      <c r="S136" s="1838">
        <f t="shared" si="90"/>
        <v>52631.57894736842</v>
      </c>
      <c r="T136" s="1595">
        <f t="shared" si="90"/>
        <v>52631.57894736842</v>
      </c>
      <c r="U136" s="1596">
        <f t="shared" si="90"/>
        <v>52631.57894736842</v>
      </c>
      <c r="V136" s="1598">
        <f t="shared" si="28"/>
        <v>639939.84962406021</v>
      </c>
      <c r="Y136" s="1544"/>
      <c r="AA136" s="1740">
        <f t="shared" si="75"/>
        <v>0.7</v>
      </c>
      <c r="AB136" s="1821">
        <f t="shared" si="76"/>
        <v>1.0724400000000001</v>
      </c>
      <c r="AC136" s="1822" t="str">
        <f t="shared" si="77"/>
        <v>ADC12</v>
      </c>
      <c r="AD136" s="1544" t="b">
        <f t="shared" si="78"/>
        <v>1</v>
      </c>
      <c r="AE136" s="1544" t="b">
        <f t="shared" si="79"/>
        <v>1</v>
      </c>
      <c r="AF136" s="1544" t="b">
        <f t="shared" si="80"/>
        <v>1</v>
      </c>
    </row>
    <row r="137" spans="1:32" ht="18.75" customHeight="1">
      <c r="A137" s="5190"/>
      <c r="B137" s="5186"/>
      <c r="C137" s="15"/>
      <c r="D137" s="1599"/>
      <c r="E137" s="1599">
        <v>24</v>
      </c>
      <c r="F137" s="1673" t="str">
        <f t="shared" si="71"/>
        <v>IMEB2 Housing</v>
      </c>
      <c r="G137" s="1744">
        <f>IFERROR(VLOOKUP(F137,B.BasicInfomation!$B:$O,6,0),"")</f>
        <v>0.7</v>
      </c>
      <c r="H137" s="1821">
        <f>IFERROR(VLOOKUP(F137,B.BasicInfomation!B:O,8,0),"")</f>
        <v>1.0724400000000001</v>
      </c>
      <c r="I137" s="4199" t="str">
        <f>IFERROR(VLOOKUP(F137,B.BasicInfomation!B:O,14,0),"")</f>
        <v>ADC12</v>
      </c>
      <c r="J137" s="1781">
        <f t="shared" ref="J137:U137" si="91">J52/$G137/$G$88</f>
        <v>62363.909774436099</v>
      </c>
      <c r="K137" s="1657">
        <f t="shared" si="91"/>
        <v>41575.939849624068</v>
      </c>
      <c r="L137" s="1658">
        <f t="shared" si="91"/>
        <v>75187.969924812045</v>
      </c>
      <c r="M137" s="5">
        <f t="shared" si="91"/>
        <v>75187.969924812045</v>
      </c>
      <c r="N137" s="1657">
        <f t="shared" si="91"/>
        <v>75187.969924812045</v>
      </c>
      <c r="O137" s="1565">
        <f t="shared" si="91"/>
        <v>75187.969924812045</v>
      </c>
      <c r="P137" s="1743">
        <f t="shared" si="91"/>
        <v>75187.969924812045</v>
      </c>
      <c r="Q137" s="1563">
        <f t="shared" si="91"/>
        <v>75187.969924812045</v>
      </c>
      <c r="R137" s="1564">
        <f t="shared" si="91"/>
        <v>75187.969924812045</v>
      </c>
      <c r="S137" s="1610">
        <f t="shared" si="91"/>
        <v>75187.969924812045</v>
      </c>
      <c r="T137" s="1563">
        <f t="shared" si="91"/>
        <v>75187.969924812045</v>
      </c>
      <c r="U137" s="1564">
        <f t="shared" si="91"/>
        <v>75187.969924812045</v>
      </c>
      <c r="V137" s="1566">
        <f t="shared" si="28"/>
        <v>855819.54887218075</v>
      </c>
      <c r="AA137" s="1740">
        <f t="shared" si="75"/>
        <v>0.7</v>
      </c>
      <c r="AB137" s="1821">
        <f t="shared" si="76"/>
        <v>1.0724400000000001</v>
      </c>
      <c r="AC137" s="1822" t="str">
        <f t="shared" si="77"/>
        <v>ADC12</v>
      </c>
      <c r="AD137" s="1544" t="b">
        <f t="shared" si="78"/>
        <v>1</v>
      </c>
      <c r="AE137" s="1544" t="b">
        <f t="shared" si="79"/>
        <v>1</v>
      </c>
      <c r="AF137" s="1544" t="b">
        <f t="shared" si="80"/>
        <v>1</v>
      </c>
    </row>
    <row r="138" spans="1:32" ht="18.75" customHeight="1">
      <c r="A138" s="5190"/>
      <c r="B138" s="5186"/>
      <c r="C138" s="15"/>
      <c r="D138" s="1599"/>
      <c r="E138" s="1599">
        <v>25</v>
      </c>
      <c r="F138" s="1673" t="str">
        <f t="shared" si="71"/>
        <v>J100 Housing</v>
      </c>
      <c r="G138" s="1744">
        <f>IFERROR(VLOOKUP(F138,B.BasicInfomation!$B:$O,6,0),"")</f>
        <v>0.7</v>
      </c>
      <c r="H138" s="1821">
        <f>IFERROR(VLOOKUP(F138,B.BasicInfomation!B:O,8,0),"")</f>
        <v>1.0724400000000001</v>
      </c>
      <c r="I138" s="4199" t="str">
        <f>IFERROR(VLOOKUP(F138,B.BasicInfomation!B:O,14,0),"")</f>
        <v>ADC12</v>
      </c>
      <c r="J138" s="1659">
        <f t="shared" ref="J138:U138" si="92">J53/$G138/$G$88</f>
        <v>7578.9473684210543</v>
      </c>
      <c r="K138" s="1657">
        <f t="shared" si="92"/>
        <v>7516.0918168436983</v>
      </c>
      <c r="L138" s="1658">
        <f t="shared" si="92"/>
        <v>7578.9473684210543</v>
      </c>
      <c r="M138" s="5">
        <f t="shared" si="92"/>
        <v>3759.3984962406016</v>
      </c>
      <c r="N138" s="1657">
        <f t="shared" si="92"/>
        <v>3759.3984962406016</v>
      </c>
      <c r="O138" s="1565">
        <f t="shared" si="92"/>
        <v>3759.3984962406016</v>
      </c>
      <c r="P138" s="1743">
        <f t="shared" si="92"/>
        <v>3759.3984962406016</v>
      </c>
      <c r="Q138" s="1563">
        <f t="shared" si="92"/>
        <v>3759.3984962406016</v>
      </c>
      <c r="R138" s="1564">
        <f t="shared" si="92"/>
        <v>3759.3984962406016</v>
      </c>
      <c r="S138" s="1610">
        <f t="shared" si="92"/>
        <v>3759.3984962406016</v>
      </c>
      <c r="T138" s="1563">
        <f t="shared" si="92"/>
        <v>3759.3984962406016</v>
      </c>
      <c r="U138" s="1564">
        <f t="shared" si="92"/>
        <v>3759.3984962406016</v>
      </c>
      <c r="V138" s="1566">
        <f t="shared" si="28"/>
        <v>56508.573019851232</v>
      </c>
      <c r="AA138" s="1740">
        <f t="shared" si="75"/>
        <v>0.7</v>
      </c>
      <c r="AB138" s="1821">
        <f t="shared" si="76"/>
        <v>1.0724400000000001</v>
      </c>
      <c r="AC138" s="1822" t="str">
        <f t="shared" si="77"/>
        <v>ADC12</v>
      </c>
      <c r="AD138" s="1544" t="b">
        <f t="shared" si="78"/>
        <v>1</v>
      </c>
      <c r="AE138" s="1544" t="b">
        <f t="shared" si="79"/>
        <v>1</v>
      </c>
      <c r="AF138" s="1544" t="b">
        <f t="shared" si="80"/>
        <v>1</v>
      </c>
    </row>
    <row r="139" spans="1:32" ht="18.75" customHeight="1">
      <c r="A139" s="5190"/>
      <c r="B139" s="5186"/>
      <c r="C139" s="15"/>
      <c r="D139" s="1599"/>
      <c r="E139" s="1599"/>
      <c r="F139" s="1673" t="str">
        <f t="shared" si="71"/>
        <v>BENZ R-EPS HSG (Anodizing)</v>
      </c>
      <c r="G139" s="1744">
        <f>IFERROR(VLOOKUP(F139,B.BasicInfomation!$B:$O,6,0),"")</f>
        <v>0.7</v>
      </c>
      <c r="H139" s="1821">
        <f>IFERROR(VLOOKUP(F139,B.BasicInfomation!B:O,8,0),"")</f>
        <v>1.0724400000000001</v>
      </c>
      <c r="I139" s="4199" t="str">
        <f>IFERROR(VLOOKUP(F139,B.BasicInfomation!B:O,14,0),"")</f>
        <v>ADC12</v>
      </c>
      <c r="J139" s="1659">
        <f t="shared" ref="J139:U139" si="93">J54/$G139/$G$88</f>
        <v>0</v>
      </c>
      <c r="K139" s="1657">
        <f t="shared" si="93"/>
        <v>0</v>
      </c>
      <c r="L139" s="1658">
        <f t="shared" si="93"/>
        <v>0</v>
      </c>
      <c r="M139" s="5">
        <f t="shared" si="93"/>
        <v>0</v>
      </c>
      <c r="N139" s="1657">
        <f t="shared" si="93"/>
        <v>0</v>
      </c>
      <c r="O139" s="1565">
        <f t="shared" si="93"/>
        <v>0</v>
      </c>
      <c r="P139" s="1743">
        <f t="shared" si="93"/>
        <v>0</v>
      </c>
      <c r="Q139" s="1563">
        <f t="shared" si="93"/>
        <v>0</v>
      </c>
      <c r="R139" s="1564">
        <f t="shared" si="93"/>
        <v>0</v>
      </c>
      <c r="S139" s="1610">
        <f t="shared" si="93"/>
        <v>0</v>
      </c>
      <c r="T139" s="1563">
        <f t="shared" si="93"/>
        <v>0</v>
      </c>
      <c r="U139" s="1564">
        <f t="shared" si="93"/>
        <v>0</v>
      </c>
      <c r="V139" s="1566">
        <f t="shared" si="28"/>
        <v>0</v>
      </c>
      <c r="AA139" s="1740">
        <f t="shared" si="75"/>
        <v>0.7</v>
      </c>
      <c r="AB139" s="1821">
        <f t="shared" si="76"/>
        <v>1.0724400000000001</v>
      </c>
      <c r="AC139" s="1822" t="str">
        <f t="shared" si="77"/>
        <v>ADC12</v>
      </c>
      <c r="AD139" s="1544" t="b">
        <f t="shared" si="78"/>
        <v>1</v>
      </c>
      <c r="AE139" s="1544" t="b">
        <f t="shared" si="79"/>
        <v>1</v>
      </c>
      <c r="AF139" s="1544" t="b">
        <f t="shared" si="80"/>
        <v>1</v>
      </c>
    </row>
    <row r="140" spans="1:32" ht="18.75" customHeight="1">
      <c r="A140" s="5190"/>
      <c r="B140" s="5186"/>
      <c r="C140" s="15"/>
      <c r="D140" s="1599"/>
      <c r="E140" s="1599"/>
      <c r="F140" s="1673" t="str">
        <f t="shared" si="71"/>
        <v>NE2 R-EPS HSG</v>
      </c>
      <c r="G140" s="1744">
        <f>IFERROR(VLOOKUP(F140,B.BasicInfomation!$B:$O,6,0),"")</f>
        <v>0.7</v>
      </c>
      <c r="H140" s="1821">
        <f>IFERROR(VLOOKUP(F140,B.BasicInfomation!B:O,8,0),"")</f>
        <v>1.0724400000000001</v>
      </c>
      <c r="I140" s="4199" t="str">
        <f>IFERROR(VLOOKUP(F140,B.BasicInfomation!B:O,14,0),"")</f>
        <v>ADC12</v>
      </c>
      <c r="J140" s="1659">
        <f t="shared" ref="J140:U140" si="94">J55/$G140/$G$88</f>
        <v>0</v>
      </c>
      <c r="K140" s="1657">
        <f t="shared" si="94"/>
        <v>0</v>
      </c>
      <c r="L140" s="1658">
        <f t="shared" si="94"/>
        <v>0</v>
      </c>
      <c r="M140" s="5">
        <f t="shared" si="94"/>
        <v>0</v>
      </c>
      <c r="N140" s="1657">
        <f t="shared" si="94"/>
        <v>0</v>
      </c>
      <c r="O140" s="1565">
        <f t="shared" si="94"/>
        <v>0</v>
      </c>
      <c r="P140" s="1743">
        <f t="shared" si="94"/>
        <v>0</v>
      </c>
      <c r="Q140" s="1563">
        <f t="shared" si="94"/>
        <v>0</v>
      </c>
      <c r="R140" s="1564">
        <f t="shared" si="94"/>
        <v>0</v>
      </c>
      <c r="S140" s="1610">
        <f t="shared" si="94"/>
        <v>0</v>
      </c>
      <c r="T140" s="1563">
        <f t="shared" si="94"/>
        <v>0</v>
      </c>
      <c r="U140" s="1564">
        <f t="shared" si="94"/>
        <v>0</v>
      </c>
      <c r="V140" s="1566">
        <f t="shared" si="28"/>
        <v>0</v>
      </c>
      <c r="AA140" s="1740">
        <f t="shared" si="75"/>
        <v>0.7</v>
      </c>
      <c r="AB140" s="1821">
        <f t="shared" si="76"/>
        <v>1.0724400000000001</v>
      </c>
      <c r="AC140" s="1822" t="str">
        <f t="shared" si="77"/>
        <v>ADC12</v>
      </c>
      <c r="AD140" s="1544" t="b">
        <f t="shared" si="78"/>
        <v>1</v>
      </c>
      <c r="AE140" s="1544" t="b">
        <f t="shared" si="79"/>
        <v>1</v>
      </c>
      <c r="AF140" s="1544" t="b">
        <f t="shared" si="80"/>
        <v>1</v>
      </c>
    </row>
    <row r="141" spans="1:32" ht="18.75" customHeight="1">
      <c r="A141" s="5190"/>
      <c r="B141" s="5186"/>
      <c r="C141" s="15"/>
      <c r="D141" s="1599"/>
      <c r="E141" s="1599"/>
      <c r="F141" s="1673" t="str">
        <f t="shared" si="71"/>
        <v>M184 R-EPS HSG</v>
      </c>
      <c r="G141" s="1744">
        <f>IFERROR(VLOOKUP(F141,B.BasicInfomation!$B:$O,6,0),"")</f>
        <v>0.7</v>
      </c>
      <c r="H141" s="1821">
        <f>IFERROR(VLOOKUP(F141,B.BasicInfomation!B:O,8,0),"")</f>
        <v>1.0724400000000001</v>
      </c>
      <c r="I141" s="4199" t="str">
        <f>IFERROR(VLOOKUP(F141,B.BasicInfomation!B:O,14,0),"")</f>
        <v>ADC12</v>
      </c>
      <c r="J141" s="1659">
        <f t="shared" ref="J141:U141" si="95">J56/$G141/$G$88</f>
        <v>0</v>
      </c>
      <c r="K141" s="1657">
        <f t="shared" si="95"/>
        <v>0</v>
      </c>
      <c r="L141" s="1658">
        <f t="shared" si="95"/>
        <v>0</v>
      </c>
      <c r="M141" s="5">
        <f t="shared" si="95"/>
        <v>0</v>
      </c>
      <c r="N141" s="1657">
        <f t="shared" si="95"/>
        <v>0</v>
      </c>
      <c r="O141" s="1565">
        <f t="shared" si="95"/>
        <v>0</v>
      </c>
      <c r="P141" s="1743">
        <f t="shared" si="95"/>
        <v>0</v>
      </c>
      <c r="Q141" s="1563">
        <f t="shared" si="95"/>
        <v>0</v>
      </c>
      <c r="R141" s="1564">
        <f t="shared" si="95"/>
        <v>0</v>
      </c>
      <c r="S141" s="1610">
        <f t="shared" si="95"/>
        <v>0</v>
      </c>
      <c r="T141" s="1563">
        <f t="shared" si="95"/>
        <v>0</v>
      </c>
      <c r="U141" s="1564">
        <f t="shared" si="95"/>
        <v>0</v>
      </c>
      <c r="V141" s="1566">
        <f t="shared" si="28"/>
        <v>0</v>
      </c>
      <c r="AA141" s="1740">
        <f t="shared" si="75"/>
        <v>0.7</v>
      </c>
      <c r="AB141" s="1821">
        <f t="shared" si="76"/>
        <v>1.0724400000000001</v>
      </c>
      <c r="AC141" s="1822" t="str">
        <f t="shared" si="77"/>
        <v>ADC12</v>
      </c>
      <c r="AD141" s="1544" t="b">
        <f t="shared" si="78"/>
        <v>1</v>
      </c>
      <c r="AE141" s="1544" t="b">
        <f t="shared" si="79"/>
        <v>1</v>
      </c>
      <c r="AF141" s="1544" t="b">
        <f t="shared" si="80"/>
        <v>1</v>
      </c>
    </row>
    <row r="142" spans="1:32" ht="18.75" customHeight="1">
      <c r="A142" s="5190"/>
      <c r="B142" s="5186"/>
      <c r="C142" s="15"/>
      <c r="D142" s="12" t="s">
        <v>874</v>
      </c>
      <c r="E142" s="12">
        <v>26</v>
      </c>
      <c r="F142" s="1767" t="str">
        <f t="shared" si="71"/>
        <v>NX4 Cover</v>
      </c>
      <c r="G142" s="1768">
        <f>IFERROR(VLOOKUP(F142,B.BasicInfomation!$B:$O,6,0),"")</f>
        <v>0.85</v>
      </c>
      <c r="H142" s="1833">
        <f>IFERROR(VLOOKUP(F142,B.BasicInfomation!B:O,8,0),"")</f>
        <v>0.3</v>
      </c>
      <c r="I142" s="4203" t="str">
        <f>IFERROR(VLOOKUP(F142,B.BasicInfomation!B:O,14,0),"")</f>
        <v>ADC12</v>
      </c>
      <c r="J142" s="1834">
        <f t="shared" ref="J142:U142" si="96">J57/$G142/$G$88</f>
        <v>53498.452012383903</v>
      </c>
      <c r="K142" s="1770">
        <f t="shared" si="96"/>
        <v>61523.2198142415</v>
      </c>
      <c r="L142" s="1771">
        <f t="shared" si="96"/>
        <v>61919.50464396285</v>
      </c>
      <c r="M142" s="1769">
        <f t="shared" si="96"/>
        <v>55727.55417956657</v>
      </c>
      <c r="N142" s="1770">
        <f t="shared" si="96"/>
        <v>55727.55417956657</v>
      </c>
      <c r="O142" s="1584">
        <f t="shared" si="96"/>
        <v>55727.55417956657</v>
      </c>
      <c r="P142" s="1661">
        <f t="shared" si="96"/>
        <v>55727.55417956657</v>
      </c>
      <c r="Q142" s="1582">
        <f t="shared" si="96"/>
        <v>55727.55417956657</v>
      </c>
      <c r="R142" s="1583">
        <f t="shared" si="96"/>
        <v>55727.55417956657</v>
      </c>
      <c r="S142" s="1772">
        <f t="shared" si="96"/>
        <v>55727.55417956657</v>
      </c>
      <c r="T142" s="1582">
        <f t="shared" si="96"/>
        <v>55727.55417956657</v>
      </c>
      <c r="U142" s="1583">
        <f t="shared" si="96"/>
        <v>55727.55417956657</v>
      </c>
      <c r="V142" s="1585">
        <f t="shared" ref="V142:V160" si="97">SUM(J142:U142)</f>
        <v>678489.16408668738</v>
      </c>
      <c r="Y142" s="1579"/>
      <c r="AA142" s="1740">
        <f t="shared" si="75"/>
        <v>0.85</v>
      </c>
      <c r="AB142" s="1821">
        <f t="shared" si="76"/>
        <v>0.3</v>
      </c>
      <c r="AC142" s="1822" t="str">
        <f t="shared" si="77"/>
        <v>ADC12</v>
      </c>
      <c r="AD142" s="1544" t="b">
        <f t="shared" si="78"/>
        <v>1</v>
      </c>
      <c r="AE142" s="1544" t="b">
        <f t="shared" si="79"/>
        <v>1</v>
      </c>
      <c r="AF142" s="1544" t="b">
        <f t="shared" si="80"/>
        <v>1</v>
      </c>
    </row>
    <row r="143" spans="1:32" ht="18.75" customHeight="1">
      <c r="A143" s="5190"/>
      <c r="B143" s="5186"/>
      <c r="C143" s="15"/>
      <c r="D143" s="1586"/>
      <c r="E143" s="1586">
        <v>27</v>
      </c>
      <c r="F143" s="1774" t="str">
        <f t="shared" si="71"/>
        <v>Tey Gen4 Cover</v>
      </c>
      <c r="G143" s="1775">
        <f>IFERROR(VLOOKUP(F143,B.BasicInfomation!$B:$O,6,0),"")</f>
        <v>0.85</v>
      </c>
      <c r="H143" s="1835">
        <f>IFERROR(VLOOKUP(F143,B.BasicInfomation!B:O,8,0),"")</f>
        <v>0.3</v>
      </c>
      <c r="I143" s="4204" t="str">
        <f>IFERROR(VLOOKUP(F143,B.BasicInfomation!B:O,14,0),"")</f>
        <v>ADC12</v>
      </c>
      <c r="J143" s="1836">
        <f t="shared" ref="J143:U143" si="98">J58/$G143/$G$88</f>
        <v>101547.98761609908</v>
      </c>
      <c r="K143" s="1777">
        <f t="shared" si="98"/>
        <v>81733.746130030966</v>
      </c>
      <c r="L143" s="1778">
        <f t="shared" si="98"/>
        <v>101547.98761609908</v>
      </c>
      <c r="M143" s="1776">
        <f t="shared" si="98"/>
        <v>99071.207430340568</v>
      </c>
      <c r="N143" s="1777">
        <f t="shared" si="98"/>
        <v>99071.207430340568</v>
      </c>
      <c r="O143" s="1590">
        <f t="shared" si="98"/>
        <v>99071.207430340568</v>
      </c>
      <c r="P143" s="1779">
        <f t="shared" si="98"/>
        <v>92879.256965944282</v>
      </c>
      <c r="Q143" s="1588">
        <f t="shared" si="98"/>
        <v>92879.256965944282</v>
      </c>
      <c r="R143" s="1589">
        <f t="shared" si="98"/>
        <v>92879.256965944282</v>
      </c>
      <c r="S143" s="1780">
        <f t="shared" si="98"/>
        <v>86687.306501547995</v>
      </c>
      <c r="T143" s="1588">
        <f t="shared" si="98"/>
        <v>86687.306501547995</v>
      </c>
      <c r="U143" s="1589">
        <f t="shared" si="98"/>
        <v>86687.306501547995</v>
      </c>
      <c r="V143" s="1591">
        <f t="shared" si="97"/>
        <v>1120743.0340557278</v>
      </c>
      <c r="Y143" s="1579"/>
      <c r="AA143" s="1740">
        <f t="shared" si="75"/>
        <v>0.85</v>
      </c>
      <c r="AB143" s="1821">
        <f t="shared" si="76"/>
        <v>0.3</v>
      </c>
      <c r="AC143" s="1822" t="str">
        <f t="shared" si="77"/>
        <v>ADC12</v>
      </c>
      <c r="AD143" s="1544" t="b">
        <f t="shared" si="78"/>
        <v>1</v>
      </c>
      <c r="AE143" s="1544" t="b">
        <f t="shared" si="79"/>
        <v>1</v>
      </c>
      <c r="AF143" s="1544" t="b">
        <f t="shared" si="80"/>
        <v>1</v>
      </c>
    </row>
    <row r="144" spans="1:32" ht="18.75" customHeight="1">
      <c r="A144" s="5190"/>
      <c r="B144" s="5186"/>
      <c r="C144" s="15"/>
      <c r="D144" s="13"/>
      <c r="E144" s="13">
        <v>28</v>
      </c>
      <c r="F144" s="1673" t="str">
        <f t="shared" si="71"/>
        <v>CEER RWA CVR-만도향</v>
      </c>
      <c r="G144" s="1744">
        <f>IFERROR(VLOOKUP(F144,B.BasicInfomation!$B:$O,6,0),"")</f>
        <v>0.85</v>
      </c>
      <c r="H144" s="1821">
        <f>IFERROR(VLOOKUP(F144,B.BasicInfomation!B:O,8,0),"")</f>
        <v>0.67000499999999996</v>
      </c>
      <c r="I144" s="4199" t="str">
        <f>IFERROR(VLOOKUP(F144,B.BasicInfomation!B:O,14,0),"")</f>
        <v>ADC12</v>
      </c>
      <c r="J144" s="1659">
        <f t="shared" ref="J144:U144" si="99">J59/$G144/$G$88</f>
        <v>0</v>
      </c>
      <c r="K144" s="1657">
        <f t="shared" si="99"/>
        <v>0</v>
      </c>
      <c r="L144" s="1658">
        <f t="shared" si="99"/>
        <v>0</v>
      </c>
      <c r="M144" s="5">
        <f t="shared" si="99"/>
        <v>0</v>
      </c>
      <c r="N144" s="1657">
        <f t="shared" si="99"/>
        <v>0</v>
      </c>
      <c r="O144" s="1565">
        <f t="shared" si="99"/>
        <v>0</v>
      </c>
      <c r="P144" s="1743">
        <f t="shared" si="99"/>
        <v>0</v>
      </c>
      <c r="Q144" s="1563">
        <f t="shared" si="99"/>
        <v>0</v>
      </c>
      <c r="R144" s="1564">
        <f t="shared" si="99"/>
        <v>0</v>
      </c>
      <c r="S144" s="1610">
        <f t="shared" si="99"/>
        <v>0</v>
      </c>
      <c r="T144" s="1563">
        <f t="shared" si="99"/>
        <v>0</v>
      </c>
      <c r="U144" s="1564">
        <f t="shared" si="99"/>
        <v>0</v>
      </c>
      <c r="V144" s="1566">
        <f t="shared" si="97"/>
        <v>0</v>
      </c>
      <c r="Y144" s="1579"/>
      <c r="AA144" s="1740">
        <f t="shared" si="75"/>
        <v>0.85</v>
      </c>
      <c r="AB144" s="1821">
        <f t="shared" si="76"/>
        <v>0.67000499999999996</v>
      </c>
      <c r="AC144" s="1822" t="str">
        <f t="shared" si="77"/>
        <v>ADC12</v>
      </c>
      <c r="AD144" s="1544" t="b">
        <f t="shared" si="78"/>
        <v>1</v>
      </c>
      <c r="AE144" s="1544" t="b">
        <f t="shared" si="79"/>
        <v>1</v>
      </c>
      <c r="AF144" s="1544" t="b">
        <f t="shared" si="80"/>
        <v>1</v>
      </c>
    </row>
    <row r="145" spans="1:32" ht="18.75" customHeight="1">
      <c r="A145" s="5190"/>
      <c r="B145" s="5186"/>
      <c r="C145" s="15"/>
      <c r="D145" s="13"/>
      <c r="E145" s="13">
        <v>29</v>
      </c>
      <c r="F145" s="1673" t="str">
        <f t="shared" si="71"/>
        <v>CEER RWS CVR-만도향</v>
      </c>
      <c r="G145" s="1744">
        <f>IFERROR(VLOOKUP(F145,B.BasicInfomation!$B:$O,6,0),"")</f>
        <v>0.85</v>
      </c>
      <c r="H145" s="1821">
        <f>IFERROR(VLOOKUP(F145,B.BasicInfomation!B:O,8,0),"")</f>
        <v>0.67000499999999996</v>
      </c>
      <c r="I145" s="4199" t="str">
        <f>IFERROR(VLOOKUP(F145,B.BasicInfomation!B:O,14,0),"")</f>
        <v>ADC12</v>
      </c>
      <c r="J145" s="1659">
        <f t="shared" ref="J145:U145" si="100">J60/$G145/$G$88</f>
        <v>0</v>
      </c>
      <c r="K145" s="1657">
        <f t="shared" si="100"/>
        <v>0</v>
      </c>
      <c r="L145" s="1658">
        <f t="shared" si="100"/>
        <v>0</v>
      </c>
      <c r="M145" s="5">
        <f t="shared" si="100"/>
        <v>0</v>
      </c>
      <c r="N145" s="1657">
        <f t="shared" si="100"/>
        <v>0</v>
      </c>
      <c r="O145" s="1565">
        <f t="shared" si="100"/>
        <v>0</v>
      </c>
      <c r="P145" s="1743">
        <f t="shared" si="100"/>
        <v>0</v>
      </c>
      <c r="Q145" s="1563">
        <f t="shared" si="100"/>
        <v>0</v>
      </c>
      <c r="R145" s="1564">
        <f t="shared" si="100"/>
        <v>0</v>
      </c>
      <c r="S145" s="1610">
        <f t="shared" si="100"/>
        <v>0</v>
      </c>
      <c r="T145" s="1563">
        <f t="shared" si="100"/>
        <v>3715.1702786377709</v>
      </c>
      <c r="U145" s="1564">
        <f t="shared" si="100"/>
        <v>412.79669762641896</v>
      </c>
      <c r="V145" s="1566">
        <f t="shared" si="97"/>
        <v>4127.9669762641897</v>
      </c>
      <c r="Y145" s="1579"/>
      <c r="AA145" s="1740">
        <f t="shared" si="75"/>
        <v>0.85</v>
      </c>
      <c r="AB145" s="1821">
        <f t="shared" si="76"/>
        <v>0.67000499999999996</v>
      </c>
      <c r="AC145" s="1822" t="str">
        <f t="shared" si="77"/>
        <v>ADC12</v>
      </c>
      <c r="AD145" s="1544" t="b">
        <f t="shared" si="78"/>
        <v>1</v>
      </c>
      <c r="AE145" s="1544" t="b">
        <f t="shared" si="79"/>
        <v>1</v>
      </c>
      <c r="AF145" s="1544" t="b">
        <f t="shared" si="80"/>
        <v>1</v>
      </c>
    </row>
    <row r="146" spans="1:32" ht="18.75" customHeight="1">
      <c r="A146" s="5190"/>
      <c r="B146" s="5186"/>
      <c r="C146" s="15"/>
      <c r="D146" s="13"/>
      <c r="E146" s="13">
        <v>30</v>
      </c>
      <c r="F146" s="1673" t="str">
        <f t="shared" si="71"/>
        <v>JG R-EPS CVR-만도향</v>
      </c>
      <c r="G146" s="1744">
        <f>IFERROR(VLOOKUP(F146,B.BasicInfomation!$B:$O,6,0),"")</f>
        <v>0.85</v>
      </c>
      <c r="H146" s="1821">
        <f>IFERROR(VLOOKUP(F146,B.BasicInfomation!B:O,8,0),"")</f>
        <v>0.67000499999999996</v>
      </c>
      <c r="I146" s="4199" t="str">
        <f>IFERROR(VLOOKUP(F146,B.BasicInfomation!B:O,14,0),"")</f>
        <v>ADC12</v>
      </c>
      <c r="J146" s="1659">
        <f t="shared" ref="J146:U146" si="101">J61/$G146/$G$88</f>
        <v>0</v>
      </c>
      <c r="K146" s="1657">
        <f t="shared" si="101"/>
        <v>0</v>
      </c>
      <c r="L146" s="1658">
        <f t="shared" si="101"/>
        <v>0</v>
      </c>
      <c r="M146" s="5">
        <f t="shared" si="101"/>
        <v>0</v>
      </c>
      <c r="N146" s="1657">
        <f t="shared" si="101"/>
        <v>14447.884416924666</v>
      </c>
      <c r="O146" s="1565">
        <f t="shared" si="101"/>
        <v>14447.884416924666</v>
      </c>
      <c r="P146" s="1743">
        <f t="shared" si="101"/>
        <v>14447.884416924666</v>
      </c>
      <c r="Q146" s="1563">
        <f t="shared" si="101"/>
        <v>14447.884416924666</v>
      </c>
      <c r="R146" s="1564">
        <f t="shared" si="101"/>
        <v>14447.884416924666</v>
      </c>
      <c r="S146" s="1610">
        <f t="shared" si="101"/>
        <v>14447.884416924666</v>
      </c>
      <c r="T146" s="1563">
        <f t="shared" si="101"/>
        <v>14447.884416924666</v>
      </c>
      <c r="U146" s="1564">
        <f t="shared" si="101"/>
        <v>14447.884416924666</v>
      </c>
      <c r="V146" s="1566">
        <f t="shared" si="97"/>
        <v>115583.07533539736</v>
      </c>
      <c r="Y146" s="1579"/>
      <c r="AA146" s="1740">
        <f t="shared" si="75"/>
        <v>0.85</v>
      </c>
      <c r="AB146" s="1821">
        <f t="shared" si="76"/>
        <v>0.67000499999999996</v>
      </c>
      <c r="AC146" s="1822" t="str">
        <f t="shared" si="77"/>
        <v>ADC12</v>
      </c>
      <c r="AD146" s="1544" t="b">
        <f t="shared" si="78"/>
        <v>1</v>
      </c>
      <c r="AE146" s="1544" t="b">
        <f t="shared" si="79"/>
        <v>1</v>
      </c>
      <c r="AF146" s="1544" t="b">
        <f t="shared" si="80"/>
        <v>1</v>
      </c>
    </row>
    <row r="147" spans="1:32" ht="18.75" customHeight="1">
      <c r="A147" s="5190"/>
      <c r="B147" s="5186"/>
      <c r="C147" s="15"/>
      <c r="D147" s="13"/>
      <c r="E147" s="13">
        <v>31</v>
      </c>
      <c r="F147" s="1673" t="str">
        <f t="shared" si="71"/>
        <v>JG RWS CVR-만도향</v>
      </c>
      <c r="G147" s="1744">
        <f>IFERROR(VLOOKUP(F147,B.BasicInfomation!$B:$O,6,0),"")</f>
        <v>0.85</v>
      </c>
      <c r="H147" s="1821">
        <f>IFERROR(VLOOKUP(F147,B.BasicInfomation!B:O,8,0),"")</f>
        <v>0.67000499999999996</v>
      </c>
      <c r="I147" s="4199" t="str">
        <f>IFERROR(VLOOKUP(F147,B.BasicInfomation!B:O,14,0),"")</f>
        <v>ADC12</v>
      </c>
      <c r="J147" s="1659">
        <f t="shared" ref="J147:U147" si="102">J62/$G147/$G$88</f>
        <v>0</v>
      </c>
      <c r="K147" s="1657">
        <f t="shared" si="102"/>
        <v>0</v>
      </c>
      <c r="L147" s="1658">
        <f t="shared" si="102"/>
        <v>0</v>
      </c>
      <c r="M147" s="5">
        <f t="shared" si="102"/>
        <v>0</v>
      </c>
      <c r="N147" s="1657">
        <f t="shared" si="102"/>
        <v>3095.9752321981427</v>
      </c>
      <c r="O147" s="1565">
        <f t="shared" si="102"/>
        <v>3095.9752321981427</v>
      </c>
      <c r="P147" s="1743">
        <f t="shared" si="102"/>
        <v>3095.9752321981427</v>
      </c>
      <c r="Q147" s="1563">
        <f t="shared" si="102"/>
        <v>3095.9752321981427</v>
      </c>
      <c r="R147" s="1564">
        <f t="shared" si="102"/>
        <v>3095.9752321981427</v>
      </c>
      <c r="S147" s="1610">
        <f t="shared" si="102"/>
        <v>3095.9752321981427</v>
      </c>
      <c r="T147" s="1563">
        <f t="shared" si="102"/>
        <v>3095.9752321981427</v>
      </c>
      <c r="U147" s="1564">
        <f t="shared" si="102"/>
        <v>3095.9752321981427</v>
      </c>
      <c r="V147" s="1566">
        <f t="shared" si="97"/>
        <v>24767.801857585142</v>
      </c>
      <c r="Y147" s="1579"/>
      <c r="AA147" s="1740">
        <f t="shared" si="75"/>
        <v>0.85</v>
      </c>
      <c r="AB147" s="1821">
        <f t="shared" si="76"/>
        <v>0.67000499999999996</v>
      </c>
      <c r="AC147" s="1822" t="str">
        <f t="shared" si="77"/>
        <v>ADC12</v>
      </c>
      <c r="AD147" s="1544" t="b">
        <f t="shared" si="78"/>
        <v>1</v>
      </c>
      <c r="AE147" s="1544" t="b">
        <f t="shared" si="79"/>
        <v>1</v>
      </c>
      <c r="AF147" s="1544" t="b">
        <f t="shared" si="80"/>
        <v>1</v>
      </c>
    </row>
    <row r="148" spans="1:32" ht="18.75" customHeight="1">
      <c r="A148" s="5190"/>
      <c r="B148" s="5186"/>
      <c r="C148" s="11"/>
      <c r="D148" s="1607" t="s">
        <v>892</v>
      </c>
      <c r="E148" s="1607">
        <v>32</v>
      </c>
      <c r="F148" s="1733" t="str">
        <f t="shared" si="71"/>
        <v>MAS65 Heatsink Cover</v>
      </c>
      <c r="G148" s="1746">
        <f>IFERROR(VLOOKUP(F148,B.BasicInfomation!$B:$O,6,0),"")</f>
        <v>0.85</v>
      </c>
      <c r="H148" s="1819">
        <f>IFERROR(VLOOKUP(F148,B.BasicInfomation!B:O,8,0),"")</f>
        <v>0.3</v>
      </c>
      <c r="I148" s="4200" t="str">
        <f>IFERROR(VLOOKUP(F148,B.BasicInfomation!B:O,14,0),"")</f>
        <v>ADC12</v>
      </c>
      <c r="J148" s="1820">
        <f t="shared" ref="J148:U148" si="103">J63/$G148/$G$88</f>
        <v>123207.27803632469</v>
      </c>
      <c r="K148" s="1738">
        <f t="shared" si="103"/>
        <v>82138.185357549781</v>
      </c>
      <c r="L148" s="1739">
        <f t="shared" si="103"/>
        <v>96512.367795121012</v>
      </c>
      <c r="M148" s="1737">
        <f t="shared" si="103"/>
        <v>70893.076647885246</v>
      </c>
      <c r="N148" s="1738">
        <f t="shared" si="103"/>
        <v>70893.076647885246</v>
      </c>
      <c r="O148" s="1567">
        <f t="shared" si="103"/>
        <v>70893.076647885246</v>
      </c>
      <c r="P148" s="1663">
        <f t="shared" si="103"/>
        <v>70893.076647885246</v>
      </c>
      <c r="Q148" s="1558">
        <f t="shared" si="103"/>
        <v>70893.076647885246</v>
      </c>
      <c r="R148" s="1559">
        <f t="shared" si="103"/>
        <v>70893.076647885246</v>
      </c>
      <c r="S148" s="1608">
        <f t="shared" si="103"/>
        <v>70893.076647885246</v>
      </c>
      <c r="T148" s="1558">
        <f t="shared" si="103"/>
        <v>70893.076647885246</v>
      </c>
      <c r="U148" s="1559">
        <f t="shared" si="103"/>
        <v>70893.076647885246</v>
      </c>
      <c r="V148" s="1560">
        <f t="shared" si="97"/>
        <v>939895.52101996285</v>
      </c>
      <c r="AA148" s="1740">
        <f t="shared" si="75"/>
        <v>0.85</v>
      </c>
      <c r="AB148" s="1821">
        <f t="shared" si="76"/>
        <v>0.3</v>
      </c>
      <c r="AC148" s="1822" t="str">
        <f t="shared" si="77"/>
        <v>ADC12</v>
      </c>
      <c r="AD148" s="1544" t="b">
        <f t="shared" si="78"/>
        <v>1</v>
      </c>
      <c r="AE148" s="1544" t="b">
        <f t="shared" si="79"/>
        <v>1</v>
      </c>
      <c r="AF148" s="1544" t="b">
        <f t="shared" si="80"/>
        <v>1</v>
      </c>
    </row>
    <row r="149" spans="1:32" ht="18.75" customHeight="1">
      <c r="A149" s="5190"/>
      <c r="B149" s="5186"/>
      <c r="C149" s="15" t="s">
        <v>405</v>
      </c>
      <c r="D149" s="1599" t="s">
        <v>865</v>
      </c>
      <c r="E149" s="1599">
        <v>33</v>
      </c>
      <c r="F149" s="1673" t="str">
        <f t="shared" si="71"/>
        <v>FCA Housing</v>
      </c>
      <c r="G149" s="1744">
        <f>IFERROR(VLOOKUP(F149,B.BasicInfomation!$B:$O,6,0),"")</f>
        <v>0.85</v>
      </c>
      <c r="H149" s="1821">
        <f>IFERROR(VLOOKUP(F149,B.BasicInfomation!B:O,8,0),"")</f>
        <v>0.3</v>
      </c>
      <c r="I149" s="4199" t="str">
        <f>IFERROR(VLOOKUP(F149,B.BasicInfomation!B:O,14,0),"")</f>
        <v>ADC12</v>
      </c>
      <c r="J149" s="1659">
        <f t="shared" ref="J149:U149" si="104">J64/$G149/$G$88</f>
        <v>64095.229413404872</v>
      </c>
      <c r="K149" s="1657">
        <f t="shared" si="104"/>
        <v>64095.229413404872</v>
      </c>
      <c r="L149" s="1658">
        <f t="shared" si="104"/>
        <v>55496.033414750738</v>
      </c>
      <c r="M149" s="5">
        <f t="shared" si="104"/>
        <v>55496.033414750738</v>
      </c>
      <c r="N149" s="1657">
        <f t="shared" si="104"/>
        <v>55496.033414750738</v>
      </c>
      <c r="O149" s="1565">
        <f t="shared" si="104"/>
        <v>55496.033414750738</v>
      </c>
      <c r="P149" s="1743">
        <f t="shared" si="104"/>
        <v>55496.033414750738</v>
      </c>
      <c r="Q149" s="1563">
        <f t="shared" si="104"/>
        <v>55496.033414750738</v>
      </c>
      <c r="R149" s="1564">
        <f t="shared" si="104"/>
        <v>55496.033414750738</v>
      </c>
      <c r="S149" s="1610">
        <f t="shared" si="104"/>
        <v>55496.033414750738</v>
      </c>
      <c r="T149" s="1563">
        <f t="shared" si="104"/>
        <v>55496.033414750738</v>
      </c>
      <c r="U149" s="1564">
        <f t="shared" si="104"/>
        <v>55496.033414750738</v>
      </c>
      <c r="V149" s="1566">
        <f t="shared" si="97"/>
        <v>683150.79297431698</v>
      </c>
      <c r="AA149" s="1740">
        <f t="shared" si="75"/>
        <v>0.85</v>
      </c>
      <c r="AB149" s="1821">
        <f t="shared" si="76"/>
        <v>0.3</v>
      </c>
      <c r="AC149" s="1822" t="str">
        <f t="shared" si="77"/>
        <v>ADC12</v>
      </c>
      <c r="AD149" s="1544" t="b">
        <f t="shared" si="78"/>
        <v>1</v>
      </c>
      <c r="AE149" s="1544" t="b">
        <f t="shared" si="79"/>
        <v>1</v>
      </c>
      <c r="AF149" s="1544" t="b">
        <f t="shared" si="80"/>
        <v>1</v>
      </c>
    </row>
    <row r="150" spans="1:32" ht="18.75" customHeight="1">
      <c r="A150" s="5190"/>
      <c r="B150" s="5186"/>
      <c r="C150" s="15"/>
      <c r="D150" s="15"/>
      <c r="E150" s="15">
        <v>34</v>
      </c>
      <c r="F150" s="1673" t="str">
        <f t="shared" si="71"/>
        <v>GM EU2L Housing</v>
      </c>
      <c r="G150" s="1744">
        <f>IFERROR(VLOOKUP(F150,B.BasicInfomation!$B:$O,6,0),"")</f>
        <v>0.85</v>
      </c>
      <c r="H150" s="1821">
        <f>IFERROR(VLOOKUP(F150,B.BasicInfomation!B:O,8,0),"")</f>
        <v>0.3</v>
      </c>
      <c r="I150" s="4199" t="str">
        <f>IFERROR(VLOOKUP(F150,B.BasicInfomation!B:O,14,0),"")</f>
        <v>ADC12</v>
      </c>
      <c r="J150" s="1659">
        <f t="shared" ref="J150:U150" si="105">J65/$G150/$G$88</f>
        <v>59015.676617951081</v>
      </c>
      <c r="K150" s="1657">
        <f t="shared" si="105"/>
        <v>56623.044719437086</v>
      </c>
      <c r="L150" s="1658">
        <f t="shared" si="105"/>
        <v>60246.619375109301</v>
      </c>
      <c r="M150" s="5">
        <f t="shared" si="105"/>
        <v>60246.619375109301</v>
      </c>
      <c r="N150" s="1657">
        <f t="shared" si="105"/>
        <v>61492.781822252</v>
      </c>
      <c r="O150" s="1565">
        <f t="shared" si="105"/>
        <v>79913.438351098157</v>
      </c>
      <c r="P150" s="1743">
        <f t="shared" si="105"/>
        <v>74706.532772277642</v>
      </c>
      <c r="Q150" s="1563">
        <f t="shared" si="105"/>
        <v>74706.532772277642</v>
      </c>
      <c r="R150" s="1564">
        <f t="shared" si="105"/>
        <v>73260.984333592103</v>
      </c>
      <c r="S150" s="1610">
        <f t="shared" si="105"/>
        <v>60047.233383566461</v>
      </c>
      <c r="T150" s="1563">
        <f t="shared" si="105"/>
        <v>41626.576854720312</v>
      </c>
      <c r="U150" s="1564">
        <f t="shared" si="105"/>
        <v>43072.125293405843</v>
      </c>
      <c r="V150" s="1566">
        <f t="shared" si="97"/>
        <v>744958.165670797</v>
      </c>
      <c r="AA150" s="1740">
        <f t="shared" si="75"/>
        <v>0.85</v>
      </c>
      <c r="AB150" s="1821">
        <f t="shared" si="76"/>
        <v>0.3</v>
      </c>
      <c r="AC150" s="1822" t="str">
        <f t="shared" si="77"/>
        <v>ADC12</v>
      </c>
      <c r="AD150" s="1544" t="b">
        <f t="shared" si="78"/>
        <v>1</v>
      </c>
      <c r="AE150" s="1544" t="b">
        <f t="shared" si="79"/>
        <v>1</v>
      </c>
      <c r="AF150" s="1544" t="b">
        <f t="shared" si="80"/>
        <v>1</v>
      </c>
    </row>
    <row r="151" spans="1:32" ht="18.75" customHeight="1">
      <c r="A151" s="5190"/>
      <c r="B151" s="5186"/>
      <c r="C151" s="15"/>
      <c r="D151" s="15"/>
      <c r="E151" s="15">
        <v>35</v>
      </c>
      <c r="F151" s="1673" t="str">
        <f t="shared" si="71"/>
        <v>GM ACP Housing</v>
      </c>
      <c r="G151" s="1744">
        <f>IFERROR(VLOOKUP(F151,B.BasicInfomation!$B:$O,6,0),"")</f>
        <v>0.85</v>
      </c>
      <c r="H151" s="1821">
        <f>IFERROR(VLOOKUP(F151,B.BasicInfomation!B:O,8,0),"")</f>
        <v>0.3</v>
      </c>
      <c r="I151" s="4199" t="str">
        <f>IFERROR(VLOOKUP(F151,B.BasicInfomation!B:O,14,0),"")</f>
        <v>ADC12</v>
      </c>
      <c r="J151" s="1659">
        <f t="shared" ref="J151:U151" si="106">J66/$G151/$G$88</f>
        <v>146649.22109806188</v>
      </c>
      <c r="K151" s="1657">
        <f t="shared" si="106"/>
        <v>146649.22109806188</v>
      </c>
      <c r="L151" s="1658">
        <f t="shared" si="106"/>
        <v>151557.52139871876</v>
      </c>
      <c r="M151" s="5">
        <f t="shared" si="106"/>
        <v>144995.14258588935</v>
      </c>
      <c r="N151" s="1657">
        <f t="shared" si="106"/>
        <v>149945.75535067968</v>
      </c>
      <c r="O151" s="1565">
        <f t="shared" si="106"/>
        <v>149945.75535067968</v>
      </c>
      <c r="P151" s="1743">
        <f t="shared" si="106"/>
        <v>149945.75535067968</v>
      </c>
      <c r="Q151" s="1563">
        <f t="shared" si="106"/>
        <v>149945.75535067968</v>
      </c>
      <c r="R151" s="1564">
        <f t="shared" si="106"/>
        <v>143383.37653785024</v>
      </c>
      <c r="S151" s="1610">
        <f t="shared" si="106"/>
        <v>143383.37653785024</v>
      </c>
      <c r="T151" s="1563">
        <f t="shared" si="106"/>
        <v>143383.37653785024</v>
      </c>
      <c r="U151" s="1564">
        <f t="shared" si="106"/>
        <v>149945.75535067968</v>
      </c>
      <c r="V151" s="1566">
        <f t="shared" si="97"/>
        <v>1769730.0125476806</v>
      </c>
      <c r="AA151" s="1740">
        <f t="shared" si="75"/>
        <v>0.85</v>
      </c>
      <c r="AB151" s="1821">
        <f t="shared" si="76"/>
        <v>0.3</v>
      </c>
      <c r="AC151" s="1822" t="str">
        <f t="shared" si="77"/>
        <v>ADC12</v>
      </c>
      <c r="AD151" s="1544" t="b">
        <f t="shared" si="78"/>
        <v>1</v>
      </c>
      <c r="AE151" s="1544" t="b">
        <f t="shared" si="79"/>
        <v>1</v>
      </c>
      <c r="AF151" s="1544" t="b">
        <f t="shared" si="80"/>
        <v>1</v>
      </c>
    </row>
    <row r="152" spans="1:32" ht="18.75" customHeight="1">
      <c r="A152" s="5190"/>
      <c r="B152" s="5186"/>
      <c r="C152" s="15"/>
      <c r="D152" s="12" t="s">
        <v>874</v>
      </c>
      <c r="E152" s="12">
        <v>36</v>
      </c>
      <c r="F152" s="1767" t="str">
        <f t="shared" si="71"/>
        <v>FCA Cover</v>
      </c>
      <c r="G152" s="1768">
        <f>IFERROR(VLOOKUP(F152,B.BasicInfomation!$B:$O,6,0),"")</f>
        <v>0.85</v>
      </c>
      <c r="H152" s="1833">
        <f>IFERROR(VLOOKUP(F152,B.BasicInfomation!B:O,8,0),"")</f>
        <v>0.08</v>
      </c>
      <c r="I152" s="4203" t="str">
        <f>IFERROR(VLOOKUP(F152,B.BasicInfomation!B:O,14,0),"")</f>
        <v>ADC12</v>
      </c>
      <c r="J152" s="1834">
        <f t="shared" ref="J152:U152" si="107">J67/$G152/$G$88</f>
        <v>64138.360515380795</v>
      </c>
      <c r="K152" s="1770">
        <f t="shared" si="107"/>
        <v>64138.360515380795</v>
      </c>
      <c r="L152" s="1771">
        <f t="shared" si="107"/>
        <v>55533.37792694573</v>
      </c>
      <c r="M152" s="1769">
        <f t="shared" si="107"/>
        <v>55533.37792694573</v>
      </c>
      <c r="N152" s="1770">
        <f t="shared" si="107"/>
        <v>55533.37792694573</v>
      </c>
      <c r="O152" s="1584">
        <f t="shared" si="107"/>
        <v>55533.37792694573</v>
      </c>
      <c r="P152" s="1661">
        <f t="shared" si="107"/>
        <v>55533.37792694573</v>
      </c>
      <c r="Q152" s="1582">
        <f t="shared" si="107"/>
        <v>55533.37792694573</v>
      </c>
      <c r="R152" s="1583">
        <f t="shared" si="107"/>
        <v>55533.37792694573</v>
      </c>
      <c r="S152" s="1772">
        <f t="shared" si="107"/>
        <v>55533.37792694573</v>
      </c>
      <c r="T152" s="1582">
        <f t="shared" si="107"/>
        <v>55533.37792694573</v>
      </c>
      <c r="U152" s="1583">
        <f t="shared" si="107"/>
        <v>55533.37792694573</v>
      </c>
      <c r="V152" s="1585">
        <f t="shared" si="97"/>
        <v>683610.50030021882</v>
      </c>
      <c r="AA152" s="1740">
        <f t="shared" si="75"/>
        <v>0.85</v>
      </c>
      <c r="AB152" s="1821">
        <f t="shared" si="76"/>
        <v>0.08</v>
      </c>
      <c r="AC152" s="1822" t="str">
        <f t="shared" si="77"/>
        <v>ADC12</v>
      </c>
      <c r="AD152" s="1544" t="b">
        <f t="shared" si="78"/>
        <v>1</v>
      </c>
      <c r="AE152" s="1544" t="b">
        <f t="shared" si="79"/>
        <v>1</v>
      </c>
      <c r="AF152" s="1544" t="b">
        <f t="shared" si="80"/>
        <v>1</v>
      </c>
    </row>
    <row r="153" spans="1:32" s="1579" customFormat="1" ht="18.75" customHeight="1">
      <c r="A153" s="5190"/>
      <c r="B153" s="5186"/>
      <c r="C153" s="15"/>
      <c r="D153" s="15"/>
      <c r="E153" s="15">
        <v>37</v>
      </c>
      <c r="F153" s="1673" t="str">
        <f t="shared" si="71"/>
        <v>GM EU2L Cover</v>
      </c>
      <c r="G153" s="1744">
        <f>IFERROR(VLOOKUP(F153,B.BasicInfomation!$B:$O,6,0),"")</f>
        <v>0.85</v>
      </c>
      <c r="H153" s="1821">
        <f>IFERROR(VLOOKUP(F153,B.BasicInfomation!B:O,8,0),"")</f>
        <v>0.1</v>
      </c>
      <c r="I153" s="4199" t="str">
        <f>IFERROR(VLOOKUP(F153,B.BasicInfomation!B:O,14,0),"")</f>
        <v>ADC12</v>
      </c>
      <c r="J153" s="1659">
        <f t="shared" ref="J153:U153" si="108">J68/$G153/$G$88</f>
        <v>57831.20058130192</v>
      </c>
      <c r="K153" s="1657">
        <f t="shared" si="108"/>
        <v>55401.575112664781</v>
      </c>
      <c r="L153" s="1658">
        <f t="shared" si="108"/>
        <v>59040.738195988291</v>
      </c>
      <c r="M153" s="5">
        <f t="shared" si="108"/>
        <v>59040.738195988291</v>
      </c>
      <c r="N153" s="1657">
        <f t="shared" si="108"/>
        <v>60305.899085448917</v>
      </c>
      <c r="O153" s="1565">
        <f t="shared" si="108"/>
        <v>78299.26396483084</v>
      </c>
      <c r="P153" s="1743">
        <f t="shared" si="108"/>
        <v>73213.139492258895</v>
      </c>
      <c r="Q153" s="1563">
        <f t="shared" si="108"/>
        <v>73213.139492258895</v>
      </c>
      <c r="R153" s="1564">
        <f t="shared" si="108"/>
        <v>71745.55286048456</v>
      </c>
      <c r="S153" s="1610">
        <f t="shared" si="108"/>
        <v>58838.312453674589</v>
      </c>
      <c r="T153" s="1563">
        <f t="shared" si="108"/>
        <v>40844.947574292666</v>
      </c>
      <c r="U153" s="1564">
        <f t="shared" si="108"/>
        <v>42312.534206067001</v>
      </c>
      <c r="V153" s="1566">
        <f t="shared" si="97"/>
        <v>730087.0412152597</v>
      </c>
      <c r="Y153" s="1544"/>
      <c r="AA153" s="1740">
        <f t="shared" si="75"/>
        <v>0.85</v>
      </c>
      <c r="AB153" s="1821">
        <f t="shared" si="76"/>
        <v>0.1</v>
      </c>
      <c r="AC153" s="1822" t="str">
        <f t="shared" si="77"/>
        <v>ADC12</v>
      </c>
      <c r="AD153" s="1544" t="b">
        <f t="shared" si="78"/>
        <v>1</v>
      </c>
      <c r="AE153" s="1544" t="b">
        <f t="shared" si="79"/>
        <v>1</v>
      </c>
      <c r="AF153" s="1544" t="b">
        <f t="shared" si="80"/>
        <v>1</v>
      </c>
    </row>
    <row r="154" spans="1:32" s="1579" customFormat="1" ht="18.75" customHeight="1">
      <c r="A154" s="5190"/>
      <c r="B154" s="5186"/>
      <c r="C154" s="13"/>
      <c r="D154" s="1586"/>
      <c r="E154" s="1586">
        <v>38</v>
      </c>
      <c r="F154" s="1774" t="str">
        <f t="shared" si="71"/>
        <v>GM ACP Cover</v>
      </c>
      <c r="G154" s="1744">
        <f>IFERROR(VLOOKUP(F154,B.BasicInfomation!$B:$O,6,0),"")</f>
        <v>0.85</v>
      </c>
      <c r="H154" s="1821">
        <f>IFERROR(VLOOKUP(F154,B.BasicInfomation!B:O,8,0),"")</f>
        <v>0.08</v>
      </c>
      <c r="I154" s="4199" t="str">
        <f>IFERROR(VLOOKUP(F154,B.BasicInfomation!B:O,14,0),"")</f>
        <v>ADC12</v>
      </c>
      <c r="J154" s="1836">
        <f t="shared" ref="J154:U154" si="109">J69/$G154/$G$88</f>
        <v>145427.8380654229</v>
      </c>
      <c r="K154" s="1777">
        <f t="shared" si="109"/>
        <v>145427.8380654229</v>
      </c>
      <c r="L154" s="1778">
        <f t="shared" si="109"/>
        <v>150668.36665998967</v>
      </c>
      <c r="M154" s="1776">
        <f t="shared" si="109"/>
        <v>143661.7998832158</v>
      </c>
      <c r="N154" s="1777">
        <f t="shared" si="109"/>
        <v>149092.03116338787</v>
      </c>
      <c r="O154" s="1590">
        <f t="shared" si="109"/>
        <v>149092.03116338787</v>
      </c>
      <c r="P154" s="1779">
        <f t="shared" si="109"/>
        <v>149092.03116338787</v>
      </c>
      <c r="Q154" s="1588">
        <f t="shared" si="109"/>
        <v>149092.03116338787</v>
      </c>
      <c r="R154" s="1589">
        <f t="shared" si="109"/>
        <v>142085.46438661401</v>
      </c>
      <c r="S154" s="1780">
        <f t="shared" si="109"/>
        <v>142085.46438661401</v>
      </c>
      <c r="T154" s="1588">
        <f t="shared" si="109"/>
        <v>142085.46438661401</v>
      </c>
      <c r="U154" s="1589">
        <f t="shared" si="109"/>
        <v>149092.03116338787</v>
      </c>
      <c r="V154" s="1591">
        <f t="shared" si="97"/>
        <v>1756902.391650833</v>
      </c>
      <c r="Y154" s="1544"/>
      <c r="AA154" s="1740">
        <f t="shared" si="75"/>
        <v>0.85</v>
      </c>
      <c r="AB154" s="1821">
        <f t="shared" si="76"/>
        <v>0.08</v>
      </c>
      <c r="AC154" s="1822" t="str">
        <f t="shared" si="77"/>
        <v>ADC12</v>
      </c>
      <c r="AD154" s="1544" t="b">
        <f t="shared" si="78"/>
        <v>1</v>
      </c>
      <c r="AE154" s="1544" t="b">
        <f t="shared" si="79"/>
        <v>1</v>
      </c>
      <c r="AF154" s="1544" t="b">
        <f t="shared" si="80"/>
        <v>1</v>
      </c>
    </row>
    <row r="155" spans="1:32" s="1579" customFormat="1" ht="18.75" customHeight="1">
      <c r="A155" s="5190"/>
      <c r="B155" s="5186"/>
      <c r="C155" s="13"/>
      <c r="D155" s="15" t="s">
        <v>885</v>
      </c>
      <c r="E155" s="15">
        <v>39</v>
      </c>
      <c r="F155" s="1673" t="str">
        <f t="shared" si="71"/>
        <v>Lens Mount</v>
      </c>
      <c r="G155" s="3491">
        <f>IFERROR(VLOOKUP(F155,B.BasicInfomation!$B:$O,6,0),"")</f>
        <v>0.85</v>
      </c>
      <c r="H155" s="3492">
        <f>IFERROR(VLOOKUP(F155,B.BasicInfomation!B:O,8,0),"")</f>
        <v>8.0000000000000002E-3</v>
      </c>
      <c r="I155" s="4254" t="str">
        <f>IFERROR(VLOOKUP(F155,B.BasicInfomation!B:O,14,0),"")</f>
        <v>ADC12</v>
      </c>
      <c r="J155" s="1659">
        <f t="shared" ref="J155:U155" si="110">J70/$G155/$G$88</f>
        <v>182592.60969505535</v>
      </c>
      <c r="K155" s="1657">
        <f t="shared" si="110"/>
        <v>183585.34664454433</v>
      </c>
      <c r="L155" s="1658">
        <f t="shared" si="110"/>
        <v>274141.08642357367</v>
      </c>
      <c r="M155" s="5">
        <f t="shared" si="110"/>
        <v>267936.48048926773</v>
      </c>
      <c r="N155" s="1657">
        <f t="shared" si="110"/>
        <v>267936.48048926773</v>
      </c>
      <c r="O155" s="1565">
        <f t="shared" si="110"/>
        <v>257964.04961049763</v>
      </c>
      <c r="P155" s="1743">
        <f t="shared" si="110"/>
        <v>257964.04961049763</v>
      </c>
      <c r="Q155" s="1563">
        <f t="shared" si="110"/>
        <v>264168.65554480365</v>
      </c>
      <c r="R155" s="1564">
        <f t="shared" si="110"/>
        <v>274141.08642357367</v>
      </c>
      <c r="S155" s="1610">
        <f t="shared" si="110"/>
        <v>267936.48048926773</v>
      </c>
      <c r="T155" s="1563">
        <f t="shared" si="110"/>
        <v>257964.04961049763</v>
      </c>
      <c r="U155" s="1564">
        <f t="shared" si="110"/>
        <v>257964.04961049763</v>
      </c>
      <c r="V155" s="1566">
        <f t="shared" si="97"/>
        <v>3014294.4246413438</v>
      </c>
      <c r="Y155" s="1544"/>
      <c r="AA155" s="1740">
        <f t="shared" si="75"/>
        <v>0.85</v>
      </c>
      <c r="AB155" s="1821">
        <f t="shared" si="76"/>
        <v>8.0000000000000002E-3</v>
      </c>
      <c r="AC155" s="1822" t="str">
        <f t="shared" si="77"/>
        <v>ADC12</v>
      </c>
      <c r="AD155" s="1544" t="b">
        <f t="shared" si="78"/>
        <v>1</v>
      </c>
      <c r="AE155" s="1544" t="b">
        <f t="shared" si="79"/>
        <v>1</v>
      </c>
      <c r="AF155" s="1544" t="b">
        <f t="shared" si="80"/>
        <v>1</v>
      </c>
    </row>
    <row r="156" spans="1:32" s="1579" customFormat="1" ht="18.75" customHeight="1">
      <c r="A156" s="5190"/>
      <c r="B156" s="5186"/>
      <c r="C156" s="13"/>
      <c r="D156" s="12" t="s">
        <v>892</v>
      </c>
      <c r="E156" s="12">
        <v>40</v>
      </c>
      <c r="F156" s="1767" t="str">
        <f t="shared" si="71"/>
        <v>IPM 1.0 Housing</v>
      </c>
      <c r="G156" s="1744">
        <f>IFERROR(VLOOKUP(F156,B.BasicInfomation!$B:$O,6,0),"")</f>
        <v>0.85</v>
      </c>
      <c r="H156" s="1821">
        <f>IFERROR(VLOOKUP(F156,B.BasicInfomation!B:O,8,0),"")</f>
        <v>8.0000000000000002E-3</v>
      </c>
      <c r="I156" s="4199" t="str">
        <f>IFERROR(VLOOKUP(F156,B.BasicInfomation!B:O,14,0),"")</f>
        <v>ADC12</v>
      </c>
      <c r="J156" s="1834">
        <f t="shared" ref="J156:U156" si="111">J71/$G156/$G$88</f>
        <v>12875.519991921085</v>
      </c>
      <c r="K156" s="1770">
        <f t="shared" si="111"/>
        <v>12875.519991921085</v>
      </c>
      <c r="L156" s="1771">
        <f t="shared" si="111"/>
        <v>9934.8148085810863</v>
      </c>
      <c r="M156" s="1769">
        <f t="shared" si="111"/>
        <v>9934.8148085810863</v>
      </c>
      <c r="N156" s="1770">
        <f t="shared" si="111"/>
        <v>17346.186655782574</v>
      </c>
      <c r="O156" s="1584">
        <f t="shared" si="111"/>
        <v>17346.186655782574</v>
      </c>
      <c r="P156" s="1661">
        <f t="shared" si="111"/>
        <v>17346.186655782574</v>
      </c>
      <c r="Q156" s="1582">
        <f t="shared" si="111"/>
        <v>9934.8148085810863</v>
      </c>
      <c r="R156" s="1583">
        <f t="shared" si="111"/>
        <v>12875.519991921085</v>
      </c>
      <c r="S156" s="1772">
        <f t="shared" si="111"/>
        <v>12875.519991921085</v>
      </c>
      <c r="T156" s="1582">
        <f t="shared" si="111"/>
        <v>12875.519991921085</v>
      </c>
      <c r="U156" s="1583">
        <f t="shared" si="111"/>
        <v>9934.8148085810863</v>
      </c>
      <c r="V156" s="1585">
        <f t="shared" si="97"/>
        <v>156155.41916127747</v>
      </c>
      <c r="Y156" s="1544"/>
      <c r="AA156" s="1740">
        <f t="shared" si="75"/>
        <v>0.85</v>
      </c>
      <c r="AB156" s="1821">
        <f t="shared" si="76"/>
        <v>8.0000000000000002E-3</v>
      </c>
      <c r="AC156" s="1822" t="str">
        <f t="shared" si="77"/>
        <v>ADC12</v>
      </c>
      <c r="AD156" s="1544" t="b">
        <f t="shared" si="78"/>
        <v>1</v>
      </c>
      <c r="AE156" s="1544" t="b">
        <f t="shared" si="79"/>
        <v>1</v>
      </c>
      <c r="AF156" s="1544" t="b">
        <f t="shared" si="80"/>
        <v>1</v>
      </c>
    </row>
    <row r="157" spans="1:32" s="1579" customFormat="1" ht="18.75" customHeight="1">
      <c r="A157" s="5190"/>
      <c r="B157" s="5246"/>
      <c r="C157" s="13"/>
      <c r="D157" s="15"/>
      <c r="E157" s="15">
        <v>41</v>
      </c>
      <c r="F157" s="1673" t="str">
        <f t="shared" si="71"/>
        <v>IPM 2.0  Base Housing</v>
      </c>
      <c r="G157" s="1744">
        <f>IFERROR(VLOOKUP(F157,B.BasicInfomation!$B:$O,6,0),"")</f>
        <v>0.8</v>
      </c>
      <c r="H157" s="1821">
        <f>IFERROR(VLOOKUP(F157,B.BasicInfomation!B:O,8,0),"")</f>
        <v>0.6</v>
      </c>
      <c r="I157" s="4199" t="str">
        <f>IFERROR(VLOOKUP(F157,B.BasicInfomation!B:O,14,0),"")</f>
        <v>ADC12</v>
      </c>
      <c r="J157" s="1659">
        <f t="shared" ref="J157:U157" si="112">J72/$G157/$G$88</f>
        <v>3779.4988454087393</v>
      </c>
      <c r="K157" s="1657">
        <f t="shared" si="112"/>
        <v>3779.4988454087393</v>
      </c>
      <c r="L157" s="1658">
        <f t="shared" si="112"/>
        <v>6327.2860135190949</v>
      </c>
      <c r="M157" s="5">
        <f t="shared" si="112"/>
        <v>3779.4988454087393</v>
      </c>
      <c r="N157" s="1657">
        <f t="shared" si="112"/>
        <v>3779.4988454087393</v>
      </c>
      <c r="O157" s="1565">
        <f t="shared" si="112"/>
        <v>3779.4988454087393</v>
      </c>
      <c r="P157" s="1743">
        <f t="shared" si="112"/>
        <v>6327.2860135190949</v>
      </c>
      <c r="Q157" s="1563">
        <f t="shared" si="112"/>
        <v>6327.2860135190949</v>
      </c>
      <c r="R157" s="1564">
        <f t="shared" si="112"/>
        <v>6327.2860135190949</v>
      </c>
      <c r="S157" s="1610">
        <f t="shared" si="112"/>
        <v>3779.4988454087393</v>
      </c>
      <c r="T157" s="1563">
        <f t="shared" si="112"/>
        <v>3779.4988454087393</v>
      </c>
      <c r="U157" s="1564">
        <f t="shared" si="112"/>
        <v>3779.4988454087393</v>
      </c>
      <c r="V157" s="1566">
        <f t="shared" si="97"/>
        <v>55545.134817346283</v>
      </c>
      <c r="Y157" s="1544"/>
      <c r="AA157" s="1740">
        <f t="shared" si="75"/>
        <v>0.8</v>
      </c>
      <c r="AB157" s="1821">
        <f t="shared" si="76"/>
        <v>0.6</v>
      </c>
      <c r="AC157" s="1822" t="str">
        <f t="shared" si="77"/>
        <v>ADC12</v>
      </c>
      <c r="AD157" s="1544" t="b">
        <f t="shared" si="78"/>
        <v>1</v>
      </c>
      <c r="AE157" s="1544" t="b">
        <f t="shared" si="79"/>
        <v>1</v>
      </c>
      <c r="AF157" s="1544" t="b">
        <f t="shared" si="80"/>
        <v>1</v>
      </c>
    </row>
    <row r="158" spans="1:32" s="1579" customFormat="1" ht="18.75" customHeight="1">
      <c r="A158" s="5190"/>
      <c r="B158" s="5246"/>
      <c r="C158" s="13"/>
      <c r="D158" s="15"/>
      <c r="E158" s="15"/>
      <c r="F158" s="1673" t="str">
        <f t="shared" si="71"/>
        <v>IPM 2.0 Advanced HSG</v>
      </c>
      <c r="G158" s="1744">
        <f>IFERROR(VLOOKUP(F158,B.BasicInfomation!$B:$O,6,0),"")</f>
        <v>0.8</v>
      </c>
      <c r="H158" s="1821">
        <f>IFERROR(VLOOKUP(F158,B.BasicInfomation!B:O,8,0),"")</f>
        <v>0.66</v>
      </c>
      <c r="I158" s="4199" t="str">
        <f>IFERROR(VLOOKUP(F158,B.BasicInfomation!B:O,14,0),"")</f>
        <v>ADC12</v>
      </c>
      <c r="J158" s="1659">
        <f t="shared" ref="J158:U158" si="113">J73/$G158/$G$88</f>
        <v>0</v>
      </c>
      <c r="K158" s="1657">
        <f t="shared" si="113"/>
        <v>0</v>
      </c>
      <c r="L158" s="1658">
        <f t="shared" si="113"/>
        <v>0</v>
      </c>
      <c r="M158" s="5">
        <f t="shared" si="113"/>
        <v>0</v>
      </c>
      <c r="N158" s="1657">
        <f t="shared" si="113"/>
        <v>0</v>
      </c>
      <c r="O158" s="1565">
        <f t="shared" si="113"/>
        <v>0</v>
      </c>
      <c r="P158" s="1743">
        <f t="shared" si="113"/>
        <v>0</v>
      </c>
      <c r="Q158" s="1563">
        <f t="shared" si="113"/>
        <v>0</v>
      </c>
      <c r="R158" s="1564">
        <f t="shared" si="113"/>
        <v>0</v>
      </c>
      <c r="S158" s="1610">
        <f t="shared" si="113"/>
        <v>0</v>
      </c>
      <c r="T158" s="1563">
        <f t="shared" si="113"/>
        <v>0</v>
      </c>
      <c r="U158" s="1564">
        <f t="shared" si="113"/>
        <v>0</v>
      </c>
      <c r="V158" s="1566">
        <f t="shared" si="97"/>
        <v>0</v>
      </c>
      <c r="Y158" s="1544"/>
      <c r="AA158" s="1740">
        <f t="shared" ref="AA158:AA169" si="114">G158</f>
        <v>0.8</v>
      </c>
      <c r="AB158" s="1821">
        <f t="shared" ref="AB158:AB169" si="115">H158</f>
        <v>0.66</v>
      </c>
      <c r="AC158" s="1822" t="str">
        <f t="shared" ref="AC158:AC169" si="116">I158</f>
        <v>ADC12</v>
      </c>
      <c r="AD158" s="1544" t="b">
        <f t="shared" ref="AD158:AD169" si="117">AA158=G158</f>
        <v>1</v>
      </c>
      <c r="AE158" s="1544" t="b">
        <f t="shared" ref="AE158:AE169" si="118">AB158=H158</f>
        <v>1</v>
      </c>
      <c r="AF158" s="1544" t="b">
        <f t="shared" ref="AF158:AF169" si="119">AC158=I158</f>
        <v>1</v>
      </c>
    </row>
    <row r="159" spans="1:32" s="1579" customFormat="1" ht="18.75" customHeight="1">
      <c r="A159" s="5190"/>
      <c r="B159" s="5246"/>
      <c r="C159" s="13"/>
      <c r="D159" s="15"/>
      <c r="E159" s="15"/>
      <c r="F159" s="1673" t="str">
        <f t="shared" si="71"/>
        <v>IPM 2.0 HSG Base+</v>
      </c>
      <c r="G159" s="1744">
        <f>IFERROR(VLOOKUP(F159,B.BasicInfomation!$B:$O,6,0),"")</f>
        <v>0.8</v>
      </c>
      <c r="H159" s="1821">
        <f>IFERROR(VLOOKUP(F159,B.BasicInfomation!B:O,8,0),"")</f>
        <v>0.66</v>
      </c>
      <c r="I159" s="4199" t="str">
        <f>IFERROR(VLOOKUP(F159,B.BasicInfomation!B:O,14,0),"")</f>
        <v>ADC12</v>
      </c>
      <c r="J159" s="1659">
        <f t="shared" ref="J159:U159" si="120">J74/$G159/$G$88</f>
        <v>0</v>
      </c>
      <c r="K159" s="1657">
        <f t="shared" si="120"/>
        <v>0</v>
      </c>
      <c r="L159" s="1658">
        <f t="shared" si="120"/>
        <v>0</v>
      </c>
      <c r="M159" s="5">
        <f t="shared" si="120"/>
        <v>0</v>
      </c>
      <c r="N159" s="1657">
        <f t="shared" si="120"/>
        <v>0</v>
      </c>
      <c r="O159" s="1565">
        <f t="shared" si="120"/>
        <v>0</v>
      </c>
      <c r="P159" s="1743">
        <f t="shared" si="120"/>
        <v>0</v>
      </c>
      <c r="Q159" s="1563">
        <f t="shared" si="120"/>
        <v>0</v>
      </c>
      <c r="R159" s="1564">
        <f t="shared" si="120"/>
        <v>0</v>
      </c>
      <c r="S159" s="1610">
        <f t="shared" si="120"/>
        <v>0</v>
      </c>
      <c r="T159" s="1563">
        <f t="shared" si="120"/>
        <v>0</v>
      </c>
      <c r="U159" s="1564">
        <f t="shared" si="120"/>
        <v>0</v>
      </c>
      <c r="V159" s="1566">
        <f t="shared" si="97"/>
        <v>0</v>
      </c>
      <c r="Y159" s="1544"/>
      <c r="AA159" s="1740">
        <f t="shared" si="114"/>
        <v>0.8</v>
      </c>
      <c r="AB159" s="1821">
        <f t="shared" si="115"/>
        <v>0.66</v>
      </c>
      <c r="AC159" s="1822" t="str">
        <f t="shared" si="116"/>
        <v>ADC12</v>
      </c>
      <c r="AD159" s="1544" t="b">
        <f t="shared" si="117"/>
        <v>1</v>
      </c>
      <c r="AE159" s="1544" t="b">
        <f t="shared" si="118"/>
        <v>1</v>
      </c>
      <c r="AF159" s="1544" t="b">
        <f t="shared" si="119"/>
        <v>1</v>
      </c>
    </row>
    <row r="160" spans="1:32" s="1579" customFormat="1" ht="18.75" customHeight="1">
      <c r="A160" s="5190"/>
      <c r="B160" s="5246"/>
      <c r="C160" s="13"/>
      <c r="D160" s="15"/>
      <c r="E160" s="15"/>
      <c r="F160" s="1673" t="str">
        <f t="shared" si="71"/>
        <v>IPM 2.0 HSG Premium</v>
      </c>
      <c r="G160" s="1744">
        <f>IFERROR(VLOOKUP(F160,B.BasicInfomation!$B:$O,6,0),"")</f>
        <v>0.8</v>
      </c>
      <c r="H160" s="1821">
        <f>IFERROR(VLOOKUP(F160,B.BasicInfomation!B:O,8,0),"")</f>
        <v>0.66</v>
      </c>
      <c r="I160" s="4199" t="str">
        <f>IFERROR(VLOOKUP(F160,B.BasicInfomation!B:O,14,0),"")</f>
        <v>ADC12</v>
      </c>
      <c r="J160" s="1659">
        <f t="shared" ref="J160:U160" si="121">J75/$G160/$G$88</f>
        <v>0</v>
      </c>
      <c r="K160" s="1657">
        <f t="shared" si="121"/>
        <v>0</v>
      </c>
      <c r="L160" s="1658">
        <f t="shared" si="121"/>
        <v>0</v>
      </c>
      <c r="M160" s="5">
        <f t="shared" si="121"/>
        <v>0</v>
      </c>
      <c r="N160" s="1657">
        <f t="shared" si="121"/>
        <v>0</v>
      </c>
      <c r="O160" s="1565">
        <f t="shared" si="121"/>
        <v>0</v>
      </c>
      <c r="P160" s="1743">
        <f t="shared" si="121"/>
        <v>0</v>
      </c>
      <c r="Q160" s="1563">
        <f t="shared" si="121"/>
        <v>0</v>
      </c>
      <c r="R160" s="1564">
        <f t="shared" si="121"/>
        <v>0</v>
      </c>
      <c r="S160" s="1610">
        <f t="shared" si="121"/>
        <v>0</v>
      </c>
      <c r="T160" s="1563">
        <f t="shared" si="121"/>
        <v>0</v>
      </c>
      <c r="U160" s="1564">
        <f t="shared" si="121"/>
        <v>0</v>
      </c>
      <c r="V160" s="1566">
        <f t="shared" si="97"/>
        <v>0</v>
      </c>
      <c r="Y160" s="1544"/>
      <c r="AA160" s="1740">
        <f t="shared" si="114"/>
        <v>0.8</v>
      </c>
      <c r="AB160" s="1821">
        <f t="shared" si="115"/>
        <v>0.66</v>
      </c>
      <c r="AC160" s="1822" t="str">
        <f t="shared" si="116"/>
        <v>ADC12</v>
      </c>
      <c r="AD160" s="1544" t="b">
        <f t="shared" si="117"/>
        <v>1</v>
      </c>
      <c r="AE160" s="1544" t="b">
        <f t="shared" si="118"/>
        <v>1</v>
      </c>
      <c r="AF160" s="1544" t="b">
        <f t="shared" si="119"/>
        <v>1</v>
      </c>
    </row>
    <row r="161" spans="1:34" s="1579" customFormat="1" ht="18.75" customHeight="1">
      <c r="A161" s="5190"/>
      <c r="B161" s="5246"/>
      <c r="C161" s="3939" t="s">
        <v>1317</v>
      </c>
      <c r="D161" s="3939" t="s">
        <v>1328</v>
      </c>
      <c r="E161" s="3939"/>
      <c r="F161" s="3734" t="str">
        <f t="shared" si="71"/>
        <v>Glass Frame (ZF60A-T5)</v>
      </c>
      <c r="G161" s="4059">
        <v>0</v>
      </c>
      <c r="H161" s="3962">
        <v>0</v>
      </c>
      <c r="I161" s="4953">
        <v>0</v>
      </c>
      <c r="J161" s="3737">
        <f t="shared" ref="J161:U161" si="122">IFERROR(J76/$G161/$G$88,0)</f>
        <v>0</v>
      </c>
      <c r="K161" s="3735">
        <f t="shared" si="122"/>
        <v>0</v>
      </c>
      <c r="L161" s="3736">
        <f t="shared" si="122"/>
        <v>0</v>
      </c>
      <c r="M161" s="3963">
        <f t="shared" si="122"/>
        <v>0</v>
      </c>
      <c r="N161" s="3735">
        <f t="shared" si="122"/>
        <v>0</v>
      </c>
      <c r="O161" s="3942">
        <f t="shared" si="122"/>
        <v>0</v>
      </c>
      <c r="P161" s="3964">
        <f t="shared" si="122"/>
        <v>0</v>
      </c>
      <c r="Q161" s="3943">
        <f t="shared" si="122"/>
        <v>0</v>
      </c>
      <c r="R161" s="3944">
        <f t="shared" si="122"/>
        <v>0</v>
      </c>
      <c r="S161" s="1838">
        <f t="shared" si="122"/>
        <v>0</v>
      </c>
      <c r="T161" s="3943">
        <f t="shared" si="122"/>
        <v>0</v>
      </c>
      <c r="U161" s="3944">
        <f t="shared" si="122"/>
        <v>0</v>
      </c>
      <c r="V161" s="1598">
        <f t="shared" ref="V161:V168" si="123">SUM(J161:U161)</f>
        <v>0</v>
      </c>
      <c r="Y161" s="1544"/>
      <c r="AA161" s="1740">
        <f t="shared" si="114"/>
        <v>0</v>
      </c>
      <c r="AB161" s="1821">
        <f t="shared" si="115"/>
        <v>0</v>
      </c>
      <c r="AC161" s="1822">
        <f t="shared" si="116"/>
        <v>0</v>
      </c>
      <c r="AD161" s="1544" t="b">
        <f t="shared" si="117"/>
        <v>1</v>
      </c>
      <c r="AE161" s="1544" t="b">
        <f t="shared" si="118"/>
        <v>1</v>
      </c>
      <c r="AF161" s="1544" t="b">
        <f t="shared" si="119"/>
        <v>1</v>
      </c>
    </row>
    <row r="162" spans="1:34" s="1579" customFormat="1" ht="18.75" customHeight="1">
      <c r="A162" s="5190"/>
      <c r="B162" s="5246"/>
      <c r="C162" s="13"/>
      <c r="D162" s="15"/>
      <c r="E162" s="15"/>
      <c r="F162" s="1673" t="str">
        <f t="shared" si="71"/>
        <v>Body Compute enclosure (AL6061-T6)</v>
      </c>
      <c r="G162" s="1744">
        <v>0</v>
      </c>
      <c r="H162" s="1821">
        <v>0</v>
      </c>
      <c r="I162" s="4199">
        <v>0</v>
      </c>
      <c r="J162" s="1659">
        <f t="shared" ref="J162:U162" si="124">IFERROR(J77/$G162/$G$88,0)</f>
        <v>0</v>
      </c>
      <c r="K162" s="1657">
        <f t="shared" si="124"/>
        <v>0</v>
      </c>
      <c r="L162" s="1658">
        <f t="shared" si="124"/>
        <v>0</v>
      </c>
      <c r="M162" s="5">
        <f t="shared" si="124"/>
        <v>0</v>
      </c>
      <c r="N162" s="1657">
        <f t="shared" si="124"/>
        <v>0</v>
      </c>
      <c r="O162" s="1565">
        <f t="shared" si="124"/>
        <v>0</v>
      </c>
      <c r="P162" s="1743">
        <f t="shared" si="124"/>
        <v>0</v>
      </c>
      <c r="Q162" s="1563">
        <f t="shared" si="124"/>
        <v>0</v>
      </c>
      <c r="R162" s="1564">
        <f t="shared" si="124"/>
        <v>0</v>
      </c>
      <c r="S162" s="1610">
        <f t="shared" si="124"/>
        <v>0</v>
      </c>
      <c r="T162" s="1563">
        <f t="shared" si="124"/>
        <v>0</v>
      </c>
      <c r="U162" s="1564">
        <f t="shared" si="124"/>
        <v>0</v>
      </c>
      <c r="V162" s="1566">
        <f t="shared" si="123"/>
        <v>0</v>
      </c>
      <c r="Y162" s="1544"/>
      <c r="AA162" s="1740">
        <f t="shared" si="114"/>
        <v>0</v>
      </c>
      <c r="AB162" s="1821">
        <f t="shared" si="115"/>
        <v>0</v>
      </c>
      <c r="AC162" s="1822">
        <f t="shared" si="116"/>
        <v>0</v>
      </c>
      <c r="AD162" s="1544" t="b">
        <f t="shared" si="117"/>
        <v>1</v>
      </c>
      <c r="AE162" s="1544" t="b">
        <f t="shared" si="118"/>
        <v>1</v>
      </c>
      <c r="AF162" s="1544" t="b">
        <f t="shared" si="119"/>
        <v>1</v>
      </c>
    </row>
    <row r="163" spans="1:34" s="1579" customFormat="1" ht="18.75" customHeight="1">
      <c r="A163" s="5190"/>
      <c r="B163" s="5246"/>
      <c r="C163" s="13"/>
      <c r="D163" s="15"/>
      <c r="E163" s="15"/>
      <c r="F163" s="1673" t="str">
        <f t="shared" si="71"/>
        <v>Others Part</v>
      </c>
      <c r="G163" s="1744">
        <v>0</v>
      </c>
      <c r="H163" s="1821">
        <v>0</v>
      </c>
      <c r="I163" s="4199">
        <v>0</v>
      </c>
      <c r="J163" s="1659">
        <f t="shared" ref="J163:U163" si="125">IFERROR(J78/$G163/$G$88,0)</f>
        <v>0</v>
      </c>
      <c r="K163" s="1657">
        <f t="shared" si="125"/>
        <v>0</v>
      </c>
      <c r="L163" s="1658">
        <f t="shared" si="125"/>
        <v>0</v>
      </c>
      <c r="M163" s="5">
        <f t="shared" si="125"/>
        <v>0</v>
      </c>
      <c r="N163" s="1657">
        <f t="shared" si="125"/>
        <v>0</v>
      </c>
      <c r="O163" s="1565">
        <f t="shared" si="125"/>
        <v>0</v>
      </c>
      <c r="P163" s="1743">
        <f t="shared" si="125"/>
        <v>0</v>
      </c>
      <c r="Q163" s="1563">
        <f t="shared" si="125"/>
        <v>0</v>
      </c>
      <c r="R163" s="1564">
        <f t="shared" si="125"/>
        <v>0</v>
      </c>
      <c r="S163" s="1610">
        <f t="shared" si="125"/>
        <v>0</v>
      </c>
      <c r="T163" s="1563">
        <f t="shared" si="125"/>
        <v>0</v>
      </c>
      <c r="U163" s="1564">
        <f t="shared" si="125"/>
        <v>0</v>
      </c>
      <c r="V163" s="1566">
        <f t="shared" si="123"/>
        <v>0</v>
      </c>
      <c r="Y163" s="1544"/>
      <c r="AA163" s="1740">
        <f t="shared" si="114"/>
        <v>0</v>
      </c>
      <c r="AB163" s="1821">
        <f t="shared" si="115"/>
        <v>0</v>
      </c>
      <c r="AC163" s="1822">
        <f t="shared" si="116"/>
        <v>0</v>
      </c>
      <c r="AD163" s="1544" t="b">
        <f t="shared" si="117"/>
        <v>1</v>
      </c>
      <c r="AE163" s="1544" t="b">
        <f t="shared" si="118"/>
        <v>1</v>
      </c>
      <c r="AF163" s="1544" t="b">
        <f t="shared" si="119"/>
        <v>1</v>
      </c>
    </row>
    <row r="164" spans="1:34" s="1579" customFormat="1" ht="18.75" hidden="1" customHeight="1">
      <c r="A164" s="5190"/>
      <c r="B164" s="5246"/>
      <c r="C164" s="13"/>
      <c r="D164" s="15"/>
      <c r="E164" s="15"/>
      <c r="F164" s="1673">
        <f t="shared" si="71"/>
        <v>0</v>
      </c>
      <c r="G164" s="1744">
        <v>0</v>
      </c>
      <c r="H164" s="1821">
        <v>0</v>
      </c>
      <c r="I164" s="4199">
        <v>0</v>
      </c>
      <c r="J164" s="1659">
        <f t="shared" ref="J164:U164" si="126">IFERROR(J79/$G164/$G$88,0)</f>
        <v>0</v>
      </c>
      <c r="K164" s="1657">
        <f t="shared" si="126"/>
        <v>0</v>
      </c>
      <c r="L164" s="1658">
        <f t="shared" si="126"/>
        <v>0</v>
      </c>
      <c r="M164" s="5">
        <f t="shared" si="126"/>
        <v>0</v>
      </c>
      <c r="N164" s="1657">
        <f t="shared" si="126"/>
        <v>0</v>
      </c>
      <c r="O164" s="1565">
        <f t="shared" si="126"/>
        <v>0</v>
      </c>
      <c r="P164" s="1743">
        <f t="shared" si="126"/>
        <v>0</v>
      </c>
      <c r="Q164" s="1563">
        <f t="shared" si="126"/>
        <v>0</v>
      </c>
      <c r="R164" s="1564">
        <f t="shared" si="126"/>
        <v>0</v>
      </c>
      <c r="S164" s="1610">
        <f t="shared" si="126"/>
        <v>0</v>
      </c>
      <c r="T164" s="1563">
        <f t="shared" si="126"/>
        <v>0</v>
      </c>
      <c r="U164" s="1564">
        <f t="shared" si="126"/>
        <v>0</v>
      </c>
      <c r="V164" s="1566">
        <f t="shared" si="123"/>
        <v>0</v>
      </c>
      <c r="Y164" s="1544"/>
      <c r="AA164" s="1740">
        <f t="shared" si="114"/>
        <v>0</v>
      </c>
      <c r="AB164" s="1821">
        <f t="shared" si="115"/>
        <v>0</v>
      </c>
      <c r="AC164" s="1822">
        <f t="shared" si="116"/>
        <v>0</v>
      </c>
      <c r="AD164" s="1544" t="b">
        <f t="shared" si="117"/>
        <v>1</v>
      </c>
      <c r="AE164" s="1544" t="b">
        <f t="shared" si="118"/>
        <v>1</v>
      </c>
      <c r="AF164" s="1544" t="b">
        <f t="shared" si="119"/>
        <v>1</v>
      </c>
    </row>
    <row r="165" spans="1:34" s="1579" customFormat="1" ht="18.75" hidden="1" customHeight="1">
      <c r="A165" s="5190"/>
      <c r="B165" s="5246"/>
      <c r="C165" s="13"/>
      <c r="D165" s="15"/>
      <c r="E165" s="15"/>
      <c r="F165" s="1673">
        <f t="shared" si="71"/>
        <v>0</v>
      </c>
      <c r="G165" s="1744">
        <v>0</v>
      </c>
      <c r="H165" s="1821">
        <v>0</v>
      </c>
      <c r="I165" s="4199">
        <v>0</v>
      </c>
      <c r="J165" s="1659">
        <f t="shared" ref="J165:U165" si="127">IFERROR(J80/$G165/$G$88,0)</f>
        <v>0</v>
      </c>
      <c r="K165" s="1657">
        <f t="shared" si="127"/>
        <v>0</v>
      </c>
      <c r="L165" s="1658">
        <f t="shared" si="127"/>
        <v>0</v>
      </c>
      <c r="M165" s="5">
        <f t="shared" si="127"/>
        <v>0</v>
      </c>
      <c r="N165" s="1657">
        <f t="shared" si="127"/>
        <v>0</v>
      </c>
      <c r="O165" s="1565">
        <f t="shared" si="127"/>
        <v>0</v>
      </c>
      <c r="P165" s="1743">
        <f t="shared" si="127"/>
        <v>0</v>
      </c>
      <c r="Q165" s="1563">
        <f t="shared" si="127"/>
        <v>0</v>
      </c>
      <c r="R165" s="1564">
        <f t="shared" si="127"/>
        <v>0</v>
      </c>
      <c r="S165" s="1610">
        <f t="shared" si="127"/>
        <v>0</v>
      </c>
      <c r="T165" s="1563">
        <f t="shared" si="127"/>
        <v>0</v>
      </c>
      <c r="U165" s="1564">
        <f t="shared" si="127"/>
        <v>0</v>
      </c>
      <c r="V165" s="1566">
        <f t="shared" si="123"/>
        <v>0</v>
      </c>
      <c r="Y165" s="1544"/>
      <c r="AA165" s="1740">
        <f t="shared" si="114"/>
        <v>0</v>
      </c>
      <c r="AB165" s="1821">
        <f t="shared" si="115"/>
        <v>0</v>
      </c>
      <c r="AC165" s="1822">
        <f t="shared" si="116"/>
        <v>0</v>
      </c>
      <c r="AD165" s="1544" t="b">
        <f t="shared" si="117"/>
        <v>1</v>
      </c>
      <c r="AE165" s="1544" t="b">
        <f t="shared" si="118"/>
        <v>1</v>
      </c>
      <c r="AF165" s="1544" t="b">
        <f t="shared" si="119"/>
        <v>1</v>
      </c>
    </row>
    <row r="166" spans="1:34" s="1579" customFormat="1" ht="18.75" hidden="1" customHeight="1">
      <c r="A166" s="5190"/>
      <c r="B166" s="5246"/>
      <c r="C166" s="13"/>
      <c r="D166" s="15"/>
      <c r="E166" s="15"/>
      <c r="F166" s="1673">
        <f t="shared" si="71"/>
        <v>0</v>
      </c>
      <c r="G166" s="1744">
        <v>0</v>
      </c>
      <c r="H166" s="1821">
        <v>0</v>
      </c>
      <c r="I166" s="4199">
        <v>0</v>
      </c>
      <c r="J166" s="1659">
        <f t="shared" ref="J166:U166" si="128">IFERROR(J81/$G166/$G$88,0)</f>
        <v>0</v>
      </c>
      <c r="K166" s="1657">
        <f t="shared" si="128"/>
        <v>0</v>
      </c>
      <c r="L166" s="1658">
        <f t="shared" si="128"/>
        <v>0</v>
      </c>
      <c r="M166" s="5">
        <f t="shared" si="128"/>
        <v>0</v>
      </c>
      <c r="N166" s="1657">
        <f t="shared" si="128"/>
        <v>0</v>
      </c>
      <c r="O166" s="1565">
        <f t="shared" si="128"/>
        <v>0</v>
      </c>
      <c r="P166" s="1743">
        <f t="shared" si="128"/>
        <v>0</v>
      </c>
      <c r="Q166" s="1563">
        <f t="shared" si="128"/>
        <v>0</v>
      </c>
      <c r="R166" s="1564">
        <f t="shared" si="128"/>
        <v>0</v>
      </c>
      <c r="S166" s="1610">
        <f t="shared" si="128"/>
        <v>0</v>
      </c>
      <c r="T166" s="1563">
        <f t="shared" si="128"/>
        <v>0</v>
      </c>
      <c r="U166" s="1564">
        <f t="shared" si="128"/>
        <v>0</v>
      </c>
      <c r="V166" s="1566">
        <f t="shared" si="123"/>
        <v>0</v>
      </c>
      <c r="Y166" s="1544"/>
      <c r="AA166" s="1740">
        <f t="shared" si="114"/>
        <v>0</v>
      </c>
      <c r="AB166" s="1821">
        <f t="shared" si="115"/>
        <v>0</v>
      </c>
      <c r="AC166" s="1822">
        <f t="shared" si="116"/>
        <v>0</v>
      </c>
      <c r="AD166" s="1544" t="b">
        <f t="shared" si="117"/>
        <v>1</v>
      </c>
      <c r="AE166" s="1544" t="b">
        <f t="shared" si="118"/>
        <v>1</v>
      </c>
      <c r="AF166" s="1544" t="b">
        <f t="shared" si="119"/>
        <v>1</v>
      </c>
    </row>
    <row r="167" spans="1:34" s="1579" customFormat="1" ht="18.75" hidden="1" customHeight="1">
      <c r="A167" s="5190"/>
      <c r="B167" s="5246"/>
      <c r="C167" s="13"/>
      <c r="D167" s="15"/>
      <c r="E167" s="15"/>
      <c r="F167" s="1673">
        <f t="shared" si="71"/>
        <v>0</v>
      </c>
      <c r="G167" s="1744">
        <v>0</v>
      </c>
      <c r="H167" s="1821">
        <v>0</v>
      </c>
      <c r="I167" s="4199">
        <v>0</v>
      </c>
      <c r="J167" s="1659">
        <f t="shared" ref="J167:U167" si="129">IFERROR(J82/$G167/$G$88,0)</f>
        <v>0</v>
      </c>
      <c r="K167" s="1657">
        <f t="shared" si="129"/>
        <v>0</v>
      </c>
      <c r="L167" s="1658">
        <f t="shared" si="129"/>
        <v>0</v>
      </c>
      <c r="M167" s="5">
        <f t="shared" si="129"/>
        <v>0</v>
      </c>
      <c r="N167" s="1657">
        <f t="shared" si="129"/>
        <v>0</v>
      </c>
      <c r="O167" s="1565">
        <f t="shared" si="129"/>
        <v>0</v>
      </c>
      <c r="P167" s="1743">
        <f t="shared" si="129"/>
        <v>0</v>
      </c>
      <c r="Q167" s="1563">
        <f t="shared" si="129"/>
        <v>0</v>
      </c>
      <c r="R167" s="1564">
        <f t="shared" si="129"/>
        <v>0</v>
      </c>
      <c r="S167" s="1610">
        <f t="shared" si="129"/>
        <v>0</v>
      </c>
      <c r="T167" s="1563">
        <f t="shared" si="129"/>
        <v>0</v>
      </c>
      <c r="U167" s="1564">
        <f t="shared" si="129"/>
        <v>0</v>
      </c>
      <c r="V167" s="1566">
        <f t="shared" si="123"/>
        <v>0</v>
      </c>
      <c r="Y167" s="1544"/>
      <c r="AA167" s="1740">
        <f t="shared" si="114"/>
        <v>0</v>
      </c>
      <c r="AB167" s="1821">
        <f t="shared" si="115"/>
        <v>0</v>
      </c>
      <c r="AC167" s="1822">
        <f t="shared" si="116"/>
        <v>0</v>
      </c>
      <c r="AD167" s="1544" t="b">
        <f t="shared" si="117"/>
        <v>1</v>
      </c>
      <c r="AE167" s="1544" t="b">
        <f t="shared" si="118"/>
        <v>1</v>
      </c>
      <c r="AF167" s="1544" t="b">
        <f t="shared" si="119"/>
        <v>1</v>
      </c>
    </row>
    <row r="168" spans="1:34" s="1579" customFormat="1" ht="18.75" hidden="1" customHeight="1">
      <c r="A168" s="5190"/>
      <c r="B168" s="5246"/>
      <c r="C168" s="1607"/>
      <c r="D168" s="11"/>
      <c r="E168" s="11"/>
      <c r="F168" s="1733">
        <f t="shared" si="71"/>
        <v>0</v>
      </c>
      <c r="G168" s="1746">
        <v>0</v>
      </c>
      <c r="H168" s="1819">
        <v>0</v>
      </c>
      <c r="I168" s="4200">
        <v>0</v>
      </c>
      <c r="J168" s="1820">
        <f t="shared" ref="J168:U168" si="130">IFERROR(J83/$G168/$G$88,0)</f>
        <v>0</v>
      </c>
      <c r="K168" s="1738">
        <f t="shared" si="130"/>
        <v>0</v>
      </c>
      <c r="L168" s="1739">
        <f t="shared" si="130"/>
        <v>0</v>
      </c>
      <c r="M168" s="1737">
        <f t="shared" si="130"/>
        <v>0</v>
      </c>
      <c r="N168" s="1738">
        <f t="shared" si="130"/>
        <v>0</v>
      </c>
      <c r="O168" s="1567">
        <f t="shared" si="130"/>
        <v>0</v>
      </c>
      <c r="P168" s="1663">
        <f t="shared" si="130"/>
        <v>0</v>
      </c>
      <c r="Q168" s="1558">
        <f t="shared" si="130"/>
        <v>0</v>
      </c>
      <c r="R168" s="1559">
        <f t="shared" si="130"/>
        <v>0</v>
      </c>
      <c r="S168" s="1608">
        <f t="shared" si="130"/>
        <v>0</v>
      </c>
      <c r="T168" s="1558">
        <f t="shared" si="130"/>
        <v>0</v>
      </c>
      <c r="U168" s="1559">
        <f t="shared" si="130"/>
        <v>0</v>
      </c>
      <c r="V168" s="1560">
        <f t="shared" si="123"/>
        <v>0</v>
      </c>
      <c r="Y168" s="1544"/>
      <c r="AA168" s="1740">
        <f t="shared" si="114"/>
        <v>0</v>
      </c>
      <c r="AB168" s="1821">
        <f t="shared" si="115"/>
        <v>0</v>
      </c>
      <c r="AC168" s="1822">
        <f t="shared" si="116"/>
        <v>0</v>
      </c>
      <c r="AD168" s="1544" t="b">
        <f t="shared" si="117"/>
        <v>1</v>
      </c>
      <c r="AE168" s="1544" t="b">
        <f t="shared" si="118"/>
        <v>1</v>
      </c>
      <c r="AF168" s="1544" t="b">
        <f t="shared" si="119"/>
        <v>1</v>
      </c>
    </row>
    <row r="169" spans="1:34" ht="18.75" customHeight="1" thickBot="1">
      <c r="A169" s="5244"/>
      <c r="B169" s="5247"/>
      <c r="C169" s="1747" t="s">
        <v>44</v>
      </c>
      <c r="D169" s="3"/>
      <c r="E169" s="3"/>
      <c r="F169" s="2121"/>
      <c r="G169" s="1746"/>
      <c r="H169" s="1824"/>
      <c r="I169" s="4200"/>
      <c r="J169" s="2341">
        <f t="shared" ref="J169:U169" si="131">SUM(J105:J168)</f>
        <v>1780396.2865767123</v>
      </c>
      <c r="K169" s="2342">
        <f t="shared" si="131"/>
        <v>1505305.993538108</v>
      </c>
      <c r="L169" s="2343">
        <f t="shared" si="131"/>
        <v>1695131.5592125903</v>
      </c>
      <c r="M169" s="2">
        <f t="shared" si="131"/>
        <v>1561459.9265185713</v>
      </c>
      <c r="N169" s="1">
        <f t="shared" si="131"/>
        <v>1562232.6732219316</v>
      </c>
      <c r="O169" s="2516">
        <f t="shared" si="131"/>
        <v>1552515.4248508299</v>
      </c>
      <c r="P169" s="2595">
        <f t="shared" si="131"/>
        <v>1534696.0738753523</v>
      </c>
      <c r="Q169" s="2224">
        <f t="shared" si="131"/>
        <v>1533489.3079624567</v>
      </c>
      <c r="R169" s="2516">
        <f t="shared" si="131"/>
        <v>1529920.3633645037</v>
      </c>
      <c r="S169" s="2595">
        <f t="shared" si="131"/>
        <v>1488855.0284408552</v>
      </c>
      <c r="T169" s="2224">
        <f t="shared" si="131"/>
        <v>1446183.7464324948</v>
      </c>
      <c r="U169" s="2516">
        <f t="shared" si="131"/>
        <v>1456422.7483282068</v>
      </c>
      <c r="V169" s="1560">
        <f>SUM(J169:U169)</f>
        <v>18646609.132322613</v>
      </c>
      <c r="X169" s="1843"/>
      <c r="AA169" s="1740">
        <f t="shared" si="114"/>
        <v>0</v>
      </c>
      <c r="AB169" s="1821">
        <f t="shared" si="115"/>
        <v>0</v>
      </c>
      <c r="AC169" s="1822">
        <f t="shared" si="116"/>
        <v>0</v>
      </c>
      <c r="AD169" s="1544" t="b">
        <f t="shared" si="117"/>
        <v>1</v>
      </c>
      <c r="AE169" s="1544" t="b">
        <f t="shared" si="118"/>
        <v>1</v>
      </c>
      <c r="AF169" s="1544" t="b">
        <f t="shared" si="119"/>
        <v>1</v>
      </c>
    </row>
    <row r="170" spans="1:34" ht="18.75" customHeight="1" thickBot="1">
      <c r="A170" s="5151" t="s">
        <v>120</v>
      </c>
      <c r="B170" s="5152"/>
      <c r="C170" s="5152"/>
      <c r="D170" s="5152"/>
      <c r="E170" s="5152"/>
      <c r="F170" s="5152"/>
      <c r="G170" s="5152"/>
      <c r="H170" s="5152"/>
      <c r="I170" s="5253"/>
      <c r="J170" s="1850">
        <f>J104+J169</f>
        <v>3515511.5712321633</v>
      </c>
      <c r="K170" s="1799">
        <f t="shared" ref="K170:U170" si="132">K104+K169</f>
        <v>3300633.5157575971</v>
      </c>
      <c r="L170" s="1851">
        <f t="shared" si="132"/>
        <v>4100054.6492991159</v>
      </c>
      <c r="M170" s="1850">
        <f t="shared" si="132"/>
        <v>3993512.1024776734</v>
      </c>
      <c r="N170" s="1799">
        <f t="shared" si="132"/>
        <v>3989621.1372696757</v>
      </c>
      <c r="O170" s="1619">
        <f t="shared" si="132"/>
        <v>4164374.8030259982</v>
      </c>
      <c r="P170" s="1617">
        <f t="shared" si="132"/>
        <v>3938297.8343219883</v>
      </c>
      <c r="Q170" s="1618">
        <f t="shared" si="132"/>
        <v>3759833.4506805609</v>
      </c>
      <c r="R170" s="1619">
        <f t="shared" si="132"/>
        <v>3867594.1459718044</v>
      </c>
      <c r="S170" s="1617">
        <f t="shared" si="132"/>
        <v>3784811.3595246095</v>
      </c>
      <c r="T170" s="1618">
        <f t="shared" si="132"/>
        <v>3306210.3884286662</v>
      </c>
      <c r="U170" s="1619">
        <f t="shared" si="132"/>
        <v>3101075.4291055417</v>
      </c>
      <c r="V170" s="1692">
        <f>V104+V169</f>
        <v>44821530.387095399</v>
      </c>
      <c r="W170" s="1852" t="b">
        <f>SUM(J170:U170)=V170</f>
        <v>1</v>
      </c>
      <c r="AA170" s="1544"/>
      <c r="AB170" s="1544"/>
      <c r="AC170" s="1544"/>
    </row>
    <row r="171" spans="1:34" s="1631" customFormat="1" ht="19.5" customHeight="1">
      <c r="A171" s="5282" t="s">
        <v>1034</v>
      </c>
      <c r="B171" s="5283"/>
      <c r="C171" s="5283"/>
      <c r="D171" s="5283"/>
      <c r="E171" s="5283"/>
      <c r="F171" s="5283"/>
      <c r="G171" s="5283"/>
      <c r="H171" s="5283"/>
      <c r="I171" s="5284"/>
      <c r="J171" s="1853">
        <f t="shared" ref="J171:V171" si="133">(J170-J85)/J85</f>
        <v>0.17948070911630912</v>
      </c>
      <c r="K171" s="1854">
        <f t="shared" si="133"/>
        <v>0.17203770570402485</v>
      </c>
      <c r="L171" s="1855">
        <f t="shared" si="133"/>
        <v>0.16624380066336117</v>
      </c>
      <c r="M171" s="1856">
        <f t="shared" si="133"/>
        <v>0.16295340260608265</v>
      </c>
      <c r="N171" s="1854">
        <f t="shared" si="133"/>
        <v>0.16327259092550583</v>
      </c>
      <c r="O171" s="1857">
        <f t="shared" si="133"/>
        <v>0.16044323709628483</v>
      </c>
      <c r="P171" s="1858">
        <f t="shared" si="133"/>
        <v>0.16299302004084784</v>
      </c>
      <c r="Q171" s="1859">
        <f t="shared" si="133"/>
        <v>0.16595824798877412</v>
      </c>
      <c r="R171" s="1860">
        <f t="shared" si="133"/>
        <v>0.16413483521073111</v>
      </c>
      <c r="S171" s="1858">
        <f t="shared" si="133"/>
        <v>0.16375120262053258</v>
      </c>
      <c r="T171" s="1859">
        <f t="shared" si="133"/>
        <v>0.17089493015090251</v>
      </c>
      <c r="U171" s="1860">
        <f t="shared" si="133"/>
        <v>0.17579483538582469</v>
      </c>
      <c r="V171" s="1861">
        <f t="shared" si="133"/>
        <v>0.20409288217623087</v>
      </c>
      <c r="X171" s="1544"/>
      <c r="Y171" s="9"/>
      <c r="Z171" s="1650"/>
      <c r="AA171" s="1650"/>
      <c r="AB171" s="1650"/>
      <c r="AC171" s="1650"/>
      <c r="AD171" s="1650"/>
      <c r="AE171" s="1650"/>
      <c r="AF171" s="1650"/>
      <c r="AG171" s="1650"/>
      <c r="AH171" s="1650"/>
    </row>
    <row r="172" spans="1:34" s="1631" customFormat="1" ht="19.5" customHeight="1" thickBot="1">
      <c r="A172" s="5285" t="s">
        <v>1035</v>
      </c>
      <c r="B172" s="5286"/>
      <c r="C172" s="5286"/>
      <c r="D172" s="5286"/>
      <c r="E172" s="5286"/>
      <c r="F172" s="5286"/>
      <c r="G172" s="5286"/>
      <c r="H172" s="5286"/>
      <c r="I172" s="5287"/>
      <c r="J172" s="1862">
        <f>1-J171</f>
        <v>0.82051929088369091</v>
      </c>
      <c r="K172" s="1863">
        <f t="shared" ref="K172:V172" si="134">1-K171</f>
        <v>0.82796229429597512</v>
      </c>
      <c r="L172" s="1864">
        <f t="shared" si="134"/>
        <v>0.8337561993366388</v>
      </c>
      <c r="M172" s="1865">
        <f t="shared" si="134"/>
        <v>0.8370465973939174</v>
      </c>
      <c r="N172" s="1863">
        <f t="shared" si="134"/>
        <v>0.83672740907449417</v>
      </c>
      <c r="O172" s="1866">
        <f t="shared" si="134"/>
        <v>0.83955676290371517</v>
      </c>
      <c r="P172" s="1867">
        <f t="shared" si="134"/>
        <v>0.83700697995915219</v>
      </c>
      <c r="Q172" s="1868">
        <f t="shared" si="134"/>
        <v>0.83404175201122588</v>
      </c>
      <c r="R172" s="1869">
        <f t="shared" si="134"/>
        <v>0.83586516478926887</v>
      </c>
      <c r="S172" s="1867">
        <f t="shared" si="134"/>
        <v>0.83624879737946745</v>
      </c>
      <c r="T172" s="1868">
        <f t="shared" si="134"/>
        <v>0.82910506984909749</v>
      </c>
      <c r="U172" s="1869">
        <f t="shared" si="134"/>
        <v>0.82420516461417526</v>
      </c>
      <c r="V172" s="1870">
        <f t="shared" si="134"/>
        <v>0.79590711782376911</v>
      </c>
      <c r="W172" s="9"/>
      <c r="X172" s="1544"/>
      <c r="Y172" s="9"/>
      <c r="Z172" s="1650"/>
      <c r="AA172" s="1650"/>
      <c r="AB172" s="1650"/>
      <c r="AC172" s="1650"/>
      <c r="AD172" s="1650"/>
      <c r="AE172" s="1650"/>
      <c r="AF172" s="1650"/>
      <c r="AG172" s="1650"/>
      <c r="AH172" s="1650"/>
    </row>
    <row r="173" spans="1:34" ht="19.5" customHeight="1">
      <c r="J173" s="5"/>
      <c r="K173" s="5"/>
      <c r="L173" s="5"/>
      <c r="M173" s="5"/>
      <c r="N173" s="5"/>
      <c r="O173" s="1871"/>
      <c r="P173" s="1871"/>
      <c r="Q173" s="1871"/>
      <c r="R173" s="1871"/>
      <c r="S173" s="1871"/>
      <c r="T173" s="1871"/>
      <c r="U173" s="1871"/>
      <c r="V173" s="5"/>
      <c r="W173" s="1623"/>
      <c r="Y173" s="1579"/>
    </row>
    <row r="174" spans="1:34" ht="19.5" customHeight="1">
      <c r="G174" s="1719">
        <v>12</v>
      </c>
      <c r="H174" s="1719">
        <v>13</v>
      </c>
      <c r="I174" s="4192">
        <v>14</v>
      </c>
      <c r="J174" s="5"/>
      <c r="K174" s="5"/>
      <c r="L174" s="5"/>
      <c r="M174" s="5"/>
      <c r="N174" s="5"/>
      <c r="O174" s="1871"/>
      <c r="P174" s="1871"/>
      <c r="Q174" s="1871"/>
      <c r="R174" s="1871"/>
      <c r="S174" s="1871"/>
      <c r="T174" s="1871"/>
      <c r="U174" s="1871"/>
      <c r="V174" s="5"/>
      <c r="W174" s="1623"/>
      <c r="Y174" s="1579"/>
    </row>
    <row r="175" spans="1:34" s="1623" customFormat="1" ht="19.5" customHeight="1" thickBot="1">
      <c r="A175" s="1547" t="s">
        <v>512</v>
      </c>
      <c r="F175" s="1624" t="s">
        <v>89</v>
      </c>
      <c r="G175" s="1872">
        <v>0.9</v>
      </c>
      <c r="H175" s="1812"/>
      <c r="I175" s="1813"/>
      <c r="J175" s="1873"/>
      <c r="K175" s="1873"/>
      <c r="L175" s="1873"/>
      <c r="M175" s="1873"/>
      <c r="N175" s="1873"/>
      <c r="O175" s="1874"/>
      <c r="P175" s="1874"/>
      <c r="Q175" s="1874"/>
      <c r="R175" s="1874"/>
      <c r="S175" s="1874"/>
      <c r="T175" s="1874"/>
      <c r="U175" s="1874"/>
      <c r="V175" s="1875" t="s">
        <v>105</v>
      </c>
      <c r="W175" s="1544"/>
      <c r="X175" s="1544"/>
      <c r="Y175" s="1579"/>
      <c r="Z175" s="1544"/>
      <c r="AA175" s="1872">
        <v>0.9</v>
      </c>
      <c r="AB175" s="1812"/>
      <c r="AC175" s="1813"/>
      <c r="AD175" s="1544"/>
      <c r="AE175" s="1544"/>
      <c r="AF175" s="1544"/>
      <c r="AG175" s="1544"/>
      <c r="AH175" s="1544"/>
    </row>
    <row r="176" spans="1:34" s="1623" customFormat="1" ht="27.75" thickBot="1">
      <c r="A176" s="1548" t="s">
        <v>41</v>
      </c>
      <c r="B176" s="81" t="s">
        <v>107</v>
      </c>
      <c r="C176" s="81" t="s">
        <v>46</v>
      </c>
      <c r="D176" s="81" t="s">
        <v>1007</v>
      </c>
      <c r="E176" s="81" t="s">
        <v>1029</v>
      </c>
      <c r="F176" s="81" t="s">
        <v>108</v>
      </c>
      <c r="G176" s="81" t="s">
        <v>185</v>
      </c>
      <c r="H176" s="1721" t="s">
        <v>186</v>
      </c>
      <c r="I176" s="1722" t="s">
        <v>187</v>
      </c>
      <c r="J176" s="1876" t="str">
        <f t="shared" ref="J176:V176" si="135">J89</f>
        <v>Jan.26</v>
      </c>
      <c r="K176" s="1877" t="str">
        <f t="shared" si="135"/>
        <v>Feb.26</v>
      </c>
      <c r="L176" s="1878" t="str">
        <f t="shared" si="135"/>
        <v>Mar.26</v>
      </c>
      <c r="M176" s="1876" t="str">
        <f t="shared" si="135"/>
        <v>Apr.26</v>
      </c>
      <c r="N176" s="1877" t="str">
        <f t="shared" si="135"/>
        <v>May.26</v>
      </c>
      <c r="O176" s="1549" t="str">
        <f t="shared" si="135"/>
        <v>Jun.26</v>
      </c>
      <c r="P176" s="1548" t="str">
        <f t="shared" si="135"/>
        <v>Jul.26</v>
      </c>
      <c r="Q176" s="81" t="str">
        <f t="shared" si="135"/>
        <v>Aug.26</v>
      </c>
      <c r="R176" s="1549" t="str">
        <f t="shared" si="135"/>
        <v>Sep.26</v>
      </c>
      <c r="S176" s="1548" t="str">
        <f t="shared" si="135"/>
        <v>Oct.26</v>
      </c>
      <c r="T176" s="81" t="str">
        <f t="shared" si="135"/>
        <v>Nov.26</v>
      </c>
      <c r="U176" s="1549" t="str">
        <f t="shared" si="135"/>
        <v>Dec.26</v>
      </c>
      <c r="V176" s="1550" t="str">
        <f t="shared" si="135"/>
        <v>2026
Total</v>
      </c>
      <c r="W176" s="1544"/>
      <c r="X176" s="1544"/>
      <c r="Y176" s="1579"/>
      <c r="Z176" s="1544"/>
      <c r="AA176" s="81" t="s">
        <v>185</v>
      </c>
      <c r="AB176" s="1721" t="s">
        <v>186</v>
      </c>
      <c r="AC176" s="1722" t="s">
        <v>187</v>
      </c>
      <c r="AD176" s="1544"/>
      <c r="AE176" s="1544"/>
      <c r="AF176" s="1544"/>
      <c r="AG176" s="1544"/>
      <c r="AH176" s="1544"/>
    </row>
    <row r="177" spans="1:32" ht="19.5" customHeight="1">
      <c r="A177" s="5189">
        <v>1</v>
      </c>
      <c r="B177" s="5187" t="s">
        <v>16</v>
      </c>
      <c r="C177" s="1688" t="s">
        <v>19</v>
      </c>
      <c r="D177" s="62" t="str">
        <f>D5</f>
        <v>Mobile</v>
      </c>
      <c r="E177" s="4856"/>
      <c r="F177" s="1688" t="str">
        <f t="shared" ref="F177:F190" si="136">F90</f>
        <v>A34</v>
      </c>
      <c r="G177" s="1688">
        <f>IFERROR(VLOOKUP(F177,B.BasicInfomation!$B:$O,11,0),"")</f>
        <v>7000</v>
      </c>
      <c r="H177" s="1879">
        <f>IFERROR(VLOOKUP(F177,B.BasicInfomation!$B:$O,12,0),"")</f>
        <v>350</v>
      </c>
      <c r="I177" s="2001">
        <f>IFERROR(VLOOKUP(F177,B.BasicInfomation!$B:$O,13,0),"")</f>
        <v>2</v>
      </c>
      <c r="J177" s="1881">
        <f>J90/$G177/'4. L PLAN'!F$110</f>
        <v>0</v>
      </c>
      <c r="K177" s="1882">
        <f>K90/$G177/'4. L PLAN'!G$110</f>
        <v>0</v>
      </c>
      <c r="L177" s="1883">
        <f>L90/$G177/'4. L PLAN'!H$110</f>
        <v>0</v>
      </c>
      <c r="M177" s="1881">
        <f>M90/$G177/'4. L PLAN'!I$110</f>
        <v>0</v>
      </c>
      <c r="N177" s="1882">
        <f>N90/$G177/'4. L PLAN'!J$110</f>
        <v>0</v>
      </c>
      <c r="O177" s="1884">
        <f>O90/$G177/'4. L PLAN'!K$110</f>
        <v>0</v>
      </c>
      <c r="P177" s="1885">
        <f>P90/$G177/'4. L PLAN'!L$110</f>
        <v>0</v>
      </c>
      <c r="Q177" s="1886">
        <f>Q90/$G177/'4. L PLAN'!M$110</f>
        <v>0</v>
      </c>
      <c r="R177" s="1884">
        <f>R90/$G177/'4. L PLAN'!N$110</f>
        <v>0</v>
      </c>
      <c r="S177" s="1885">
        <f>S90/$G177/'4. L PLAN'!O$110</f>
        <v>0</v>
      </c>
      <c r="T177" s="1886">
        <f>T90/$G177/'4. L PLAN'!P$110</f>
        <v>0</v>
      </c>
      <c r="U177" s="1884">
        <f>U90/$G177/'4. L PLAN'!Q$110</f>
        <v>0</v>
      </c>
      <c r="V177" s="1887">
        <f t="shared" ref="V177:V228" si="137">AVERAGE(J177:U177)</f>
        <v>0</v>
      </c>
      <c r="Y177" s="1579"/>
      <c r="AA177" s="1688">
        <f t="shared" ref="AA177:AA212" si="138">G177</f>
        <v>7000</v>
      </c>
      <c r="AB177" s="1879">
        <f t="shared" ref="AB177:AB212" si="139">H177</f>
        <v>350</v>
      </c>
      <c r="AC177" s="1880">
        <f t="shared" ref="AC177:AC212" si="140">I177</f>
        <v>2</v>
      </c>
      <c r="AD177" s="1544" t="b">
        <f t="shared" ref="AD177:AD212" si="141">AA177=G177</f>
        <v>1</v>
      </c>
      <c r="AE177" s="1544" t="b">
        <f t="shared" ref="AE177:AE212" si="142">AB177=H177</f>
        <v>1</v>
      </c>
      <c r="AF177" s="1544" t="b">
        <f t="shared" ref="AF177:AF212" si="143">AC177=I177</f>
        <v>1</v>
      </c>
    </row>
    <row r="178" spans="1:32" ht="19.5" customHeight="1">
      <c r="A178" s="5190"/>
      <c r="B178" s="5186"/>
      <c r="C178" s="1673"/>
      <c r="D178" s="61"/>
      <c r="E178" s="4857">
        <v>1</v>
      </c>
      <c r="F178" s="1673" t="str">
        <f t="shared" si="136"/>
        <v>A15/17</v>
      </c>
      <c r="G178" s="1673">
        <f>IFERROR(VLOOKUP(F178,B.BasicInfomation!$B:$O,11,0),"")</f>
        <v>7000</v>
      </c>
      <c r="H178" s="1894">
        <f>IFERROR(VLOOKUP(F178,B.BasicInfomation!$B:$O,12,0),"")</f>
        <v>350</v>
      </c>
      <c r="I178" s="2013">
        <f>IFERROR(VLOOKUP(F178,B.BasicInfomation!$B:$O,13,0),"")</f>
        <v>2</v>
      </c>
      <c r="J178" s="1895">
        <f>J91/$G178/'4. L PLAN'!F$110</f>
        <v>4.2007853642202679</v>
      </c>
      <c r="K178" s="1896">
        <f>K91/$G178/'4. L PLAN'!G$110</f>
        <v>5.4412346656113986</v>
      </c>
      <c r="L178" s="1897">
        <f>L91/$G178/'4. L PLAN'!H$110</f>
        <v>4.553894858604</v>
      </c>
      <c r="M178" s="1895">
        <f>M91/$G178/'4. L PLAN'!I$110</f>
        <v>4.6727344677483185</v>
      </c>
      <c r="N178" s="1896">
        <f>N91/$G178/'4. L PLAN'!J$110</f>
        <v>4.6727344677483185</v>
      </c>
      <c r="O178" s="1898">
        <f>O91/$G178/'4. L PLAN'!K$110</f>
        <v>3.7229916897506934</v>
      </c>
      <c r="P178" s="1899">
        <f>P91/$G178/'4. L PLAN'!L$110</f>
        <v>2.6381743833267381</v>
      </c>
      <c r="Q178" s="1900">
        <f>Q91/$G178/'4. L PLAN'!M$110</f>
        <v>1.8264284192262037</v>
      </c>
      <c r="R178" s="1898">
        <f>R91/$G178/'4. L PLAN'!N$110</f>
        <v>1.266323703996834</v>
      </c>
      <c r="S178" s="1899">
        <f>S91/$G178/'4. L PLAN'!O$110</f>
        <v>0.87939146110891286</v>
      </c>
      <c r="T178" s="1900">
        <f>T91/$G178/'4. L PLAN'!P$110</f>
        <v>0.75979422239810068</v>
      </c>
      <c r="U178" s="1898">
        <f>U91/$G178/'4. L PLAN'!Q$110</f>
        <v>0.70351316888713022</v>
      </c>
      <c r="V178" s="1908">
        <f t="shared" si="137"/>
        <v>2.9448334060522434</v>
      </c>
      <c r="Y178" s="1579"/>
      <c r="AA178" s="1673">
        <f t="shared" si="138"/>
        <v>7000</v>
      </c>
      <c r="AB178" s="1894">
        <f t="shared" si="139"/>
        <v>350</v>
      </c>
      <c r="AC178" s="1745">
        <f t="shared" si="140"/>
        <v>2</v>
      </c>
      <c r="AD178" s="1544" t="b">
        <f t="shared" si="141"/>
        <v>1</v>
      </c>
      <c r="AE178" s="1544" t="b">
        <f t="shared" si="142"/>
        <v>1</v>
      </c>
      <c r="AF178" s="1544" t="b">
        <f t="shared" si="143"/>
        <v>1</v>
      </c>
    </row>
    <row r="179" spans="1:32" ht="19.5" customHeight="1">
      <c r="A179" s="5190"/>
      <c r="B179" s="5186"/>
      <c r="C179" s="1673"/>
      <c r="D179" s="61"/>
      <c r="E179" s="4857">
        <v>2</v>
      </c>
      <c r="F179" s="1673" t="str">
        <f t="shared" si="136"/>
        <v>A36</v>
      </c>
      <c r="G179" s="1673">
        <f>IFERROR(VLOOKUP(F179,B.BasicInfomation!$B:$O,11,0),"")</f>
        <v>7000</v>
      </c>
      <c r="H179" s="1894">
        <f>IFERROR(VLOOKUP(F179,B.BasicInfomation!$B:$O,12,0),"")</f>
        <v>350</v>
      </c>
      <c r="I179" s="2013">
        <f>IFERROR(VLOOKUP(F179,B.BasicInfomation!$B:$O,13,0),"")</f>
        <v>2</v>
      </c>
      <c r="J179" s="1895">
        <f>J92/$G179/'4. L PLAN'!F$110</f>
        <v>0.60880947307540101</v>
      </c>
      <c r="K179" s="1896">
        <f>K92/$G179/'4. L PLAN'!G$110</f>
        <v>0.98931539374752664</v>
      </c>
      <c r="L179" s="1897">
        <f>L92/$G179/'4. L PLAN'!H$110</f>
        <v>0.60880947307540101</v>
      </c>
      <c r="M179" s="1895">
        <f>M92/$G179/'4. L PLAN'!I$110</f>
        <v>0</v>
      </c>
      <c r="N179" s="1896">
        <f>N92/$G179/'4. L PLAN'!J$110</f>
        <v>0</v>
      </c>
      <c r="O179" s="1898">
        <f>O92/$G179/'4. L PLAN'!K$110</f>
        <v>0</v>
      </c>
      <c r="P179" s="1899">
        <f>P92/$G179/'4. L PLAN'!L$110</f>
        <v>0</v>
      </c>
      <c r="Q179" s="1900">
        <f>Q92/$G179/'4. L PLAN'!M$110</f>
        <v>0</v>
      </c>
      <c r="R179" s="1898">
        <f>R92/$G179/'4. L PLAN'!N$110</f>
        <v>0</v>
      </c>
      <c r="S179" s="1899">
        <f>S92/$G179/'4. L PLAN'!O$110</f>
        <v>0</v>
      </c>
      <c r="T179" s="1900">
        <f>T92/$G179/'4. L PLAN'!P$110</f>
        <v>0</v>
      </c>
      <c r="U179" s="1898">
        <f>U92/$G179/'4. L PLAN'!Q$110</f>
        <v>0</v>
      </c>
      <c r="V179" s="1908">
        <f t="shared" si="137"/>
        <v>0.18391119499152739</v>
      </c>
      <c r="Y179" s="1579"/>
      <c r="AA179" s="1673">
        <f t="shared" si="138"/>
        <v>7000</v>
      </c>
      <c r="AB179" s="1894">
        <f t="shared" si="139"/>
        <v>350</v>
      </c>
      <c r="AC179" s="1745">
        <f t="shared" si="140"/>
        <v>2</v>
      </c>
      <c r="AD179" s="1544" t="b">
        <f t="shared" si="141"/>
        <v>1</v>
      </c>
      <c r="AE179" s="1544" t="b">
        <f t="shared" si="142"/>
        <v>1</v>
      </c>
      <c r="AF179" s="1544" t="b">
        <f t="shared" si="143"/>
        <v>1</v>
      </c>
    </row>
    <row r="180" spans="1:32" ht="19.5" customHeight="1">
      <c r="A180" s="5190"/>
      <c r="B180" s="5186"/>
      <c r="C180" s="1673"/>
      <c r="D180" s="61"/>
      <c r="E180" s="4857">
        <v>3</v>
      </c>
      <c r="F180" s="1673" t="str">
        <f t="shared" si="136"/>
        <v>A26</v>
      </c>
      <c r="G180" s="1673">
        <f>IFERROR(VLOOKUP(F180,B.BasicInfomation!$B:$O,11,0),"")</f>
        <v>7000</v>
      </c>
      <c r="H180" s="1894">
        <f>IFERROR(VLOOKUP(F180,B.BasicInfomation!$B:$O,12,0),"")</f>
        <v>350</v>
      </c>
      <c r="I180" s="2013">
        <f>IFERROR(VLOOKUP(F180,B.BasicInfomation!$B:$O,13,0),"")</f>
        <v>2</v>
      </c>
      <c r="J180" s="1895">
        <f>J93/$G180/'4. L PLAN'!F$110</f>
        <v>1.522023682688503</v>
      </c>
      <c r="K180" s="1896">
        <f>K93/$G180/'4. L PLAN'!G$110</f>
        <v>1.1871784724970322</v>
      </c>
      <c r="L180" s="1897">
        <f>L93/$G180/'4. L PLAN'!H$110</f>
        <v>0.91321420961310185</v>
      </c>
      <c r="M180" s="1895">
        <f>M93/$G180/'4. L PLAN'!I$110</f>
        <v>0.94974277799762585</v>
      </c>
      <c r="N180" s="1896">
        <f>N93/$G180/'4. L PLAN'!J$110</f>
        <v>0.63316185199841701</v>
      </c>
      <c r="O180" s="1898">
        <f>O93/$G180/'4. L PLAN'!K$110</f>
        <v>0.63316185199841701</v>
      </c>
      <c r="P180" s="1899">
        <f>P93/$G180/'4. L PLAN'!L$110</f>
        <v>0.29313048703630418</v>
      </c>
      <c r="Q180" s="1900">
        <f>Q93/$G180/'4. L PLAN'!M$110</f>
        <v>0</v>
      </c>
      <c r="R180" s="1898">
        <f>R93/$G180/'4. L PLAN'!N$110</f>
        <v>0</v>
      </c>
      <c r="S180" s="1899">
        <f>S93/$G180/'4. L PLAN'!O$110</f>
        <v>0</v>
      </c>
      <c r="T180" s="1900">
        <f>T93/$G180/'4. L PLAN'!P$110</f>
        <v>0</v>
      </c>
      <c r="U180" s="1898">
        <f>U93/$G180/'4. L PLAN'!Q$110</f>
        <v>0</v>
      </c>
      <c r="V180" s="1908">
        <f t="shared" si="137"/>
        <v>0.51096777781911673</v>
      </c>
      <c r="Y180" s="1579"/>
      <c r="AA180" s="1673">
        <f t="shared" si="138"/>
        <v>7000</v>
      </c>
      <c r="AB180" s="1894">
        <f t="shared" si="139"/>
        <v>350</v>
      </c>
      <c r="AC180" s="1745">
        <f t="shared" si="140"/>
        <v>2</v>
      </c>
      <c r="AD180" s="1544" t="b">
        <f t="shared" si="141"/>
        <v>1</v>
      </c>
      <c r="AE180" s="1544" t="b">
        <f t="shared" si="142"/>
        <v>1</v>
      </c>
      <c r="AF180" s="1544" t="b">
        <f t="shared" si="143"/>
        <v>1</v>
      </c>
    </row>
    <row r="181" spans="1:32" ht="19.5" customHeight="1">
      <c r="A181" s="5190"/>
      <c r="B181" s="5186"/>
      <c r="C181" s="1673"/>
      <c r="D181" s="61"/>
      <c r="E181" s="4857">
        <v>4</v>
      </c>
      <c r="F181" s="1673" t="str">
        <f t="shared" si="136"/>
        <v>A27</v>
      </c>
      <c r="G181" s="1673">
        <f>IFERROR(VLOOKUP(F181,B.BasicInfomation!$B:$O,11,0),"")</f>
        <v>7000</v>
      </c>
      <c r="H181" s="1894">
        <f>IFERROR(VLOOKUP(F181,B.BasicInfomation!$B:$O,12,0),"")</f>
        <v>350</v>
      </c>
      <c r="I181" s="2013">
        <f>IFERROR(VLOOKUP(F181,B.BasicInfomation!$B:$O,13,0),"")</f>
        <v>2</v>
      </c>
      <c r="J181" s="1895">
        <f>J94/$G181/'4. L PLAN'!F$110</f>
        <v>0</v>
      </c>
      <c r="K181" s="1896">
        <f>K94/$G181/'4. L PLAN'!G$110</f>
        <v>0</v>
      </c>
      <c r="L181" s="1897">
        <f>L94/$G181/'4. L PLAN'!H$110</f>
        <v>0.3044047365377005</v>
      </c>
      <c r="M181" s="1895">
        <f>M94/$G181/'4. L PLAN'!I$110</f>
        <v>1.266323703996834</v>
      </c>
      <c r="N181" s="1896">
        <f>N94/$G181/'4. L PLAN'!J$110</f>
        <v>1.8994855559952517</v>
      </c>
      <c r="O181" s="1898">
        <f>O94/$G181/'4. L PLAN'!K$110</f>
        <v>3.4823901859912949</v>
      </c>
      <c r="P181" s="1899">
        <f>P94/$G181/'4. L PLAN'!L$110</f>
        <v>3.2244353573993472</v>
      </c>
      <c r="Q181" s="1900">
        <f>Q94/$G181/'4. L PLAN'!M$110</f>
        <v>3.3484521019147069</v>
      </c>
      <c r="R181" s="1898">
        <f>R94/$G181/'4. L PLAN'!N$110</f>
        <v>3.4823901859912949</v>
      </c>
      <c r="S181" s="1899">
        <f>S94/$G181/'4. L PLAN'!O$110</f>
        <v>2.9313048703630424</v>
      </c>
      <c r="T181" s="1900">
        <f>T94/$G181/'4. L PLAN'!P$110</f>
        <v>1.8994855559952517</v>
      </c>
      <c r="U181" s="1898">
        <f>U94/$G181/'4. L PLAN'!Q$110</f>
        <v>1.2604610942561081</v>
      </c>
      <c r="V181" s="1908">
        <f t="shared" si="137"/>
        <v>1.9249277790367361</v>
      </c>
      <c r="Y181" s="1579"/>
      <c r="AA181" s="1673">
        <f t="shared" si="138"/>
        <v>7000</v>
      </c>
      <c r="AB181" s="1894">
        <f t="shared" si="139"/>
        <v>350</v>
      </c>
      <c r="AC181" s="1745">
        <f t="shared" si="140"/>
        <v>2</v>
      </c>
      <c r="AD181" s="1544" t="b">
        <f t="shared" si="141"/>
        <v>1</v>
      </c>
      <c r="AE181" s="1544" t="b">
        <f t="shared" si="142"/>
        <v>1</v>
      </c>
      <c r="AF181" s="1544" t="b">
        <f t="shared" si="143"/>
        <v>1</v>
      </c>
    </row>
    <row r="182" spans="1:32" ht="19.5" customHeight="1">
      <c r="A182" s="5190"/>
      <c r="B182" s="5186"/>
      <c r="C182" s="1673"/>
      <c r="D182" s="61"/>
      <c r="E182" s="4857">
        <v>5</v>
      </c>
      <c r="F182" s="1673" t="str">
        <f t="shared" si="136"/>
        <v>A37</v>
      </c>
      <c r="G182" s="1673">
        <f>IFERROR(VLOOKUP(F182,B.BasicInfomation!$B:$O,11,0),"")</f>
        <v>7000</v>
      </c>
      <c r="H182" s="1894">
        <f>IFERROR(VLOOKUP(F182,B.BasicInfomation!$B:$O,12,0),"")</f>
        <v>350</v>
      </c>
      <c r="I182" s="2013">
        <f>IFERROR(VLOOKUP(F182,B.BasicInfomation!$B:$O,13,0),"")</f>
        <v>2</v>
      </c>
      <c r="J182" s="1895">
        <f>J95/$G182/'4. L PLAN'!F$110</f>
        <v>0.24352378923016046</v>
      </c>
      <c r="K182" s="1896">
        <f>K95/$G182/'4. L PLAN'!G$110</f>
        <v>3.6604669568658497</v>
      </c>
      <c r="L182" s="1897">
        <f>L95/$G182/'4. L PLAN'!H$110</f>
        <v>3.7989711119905034</v>
      </c>
      <c r="M182" s="1895">
        <f>M95/$G182/'4. L PLAN'!I$110</f>
        <v>3.4823901859912949</v>
      </c>
      <c r="N182" s="1896">
        <f>N95/$G182/'4. L PLAN'!J$110</f>
        <v>3.4823901859912949</v>
      </c>
      <c r="O182" s="1898">
        <f>O95/$G182/'4. L PLAN'!K$110</f>
        <v>3.4823901859912949</v>
      </c>
      <c r="P182" s="1899">
        <f>P95/$G182/'4. L PLAN'!L$110</f>
        <v>3.2244353573993472</v>
      </c>
      <c r="Q182" s="1900">
        <f>Q95/$G182/'4. L PLAN'!M$110</f>
        <v>3.3484521019147069</v>
      </c>
      <c r="R182" s="1898">
        <f>R95/$G182/'4. L PLAN'!N$110</f>
        <v>3.4823901859912949</v>
      </c>
      <c r="S182" s="1899">
        <f>S95/$G182/'4. L PLAN'!O$110</f>
        <v>2.9313048703630424</v>
      </c>
      <c r="T182" s="1900">
        <f>T95/$G182/'4. L PLAN'!P$110</f>
        <v>1.8994855559952517</v>
      </c>
      <c r="U182" s="1898">
        <f>U95/$G182/'4. L PLAN'!Q$110</f>
        <v>1.307361972181917</v>
      </c>
      <c r="V182" s="1908">
        <f t="shared" si="137"/>
        <v>2.8619635383254969</v>
      </c>
      <c r="Y182" s="1579"/>
      <c r="AA182" s="1673">
        <f t="shared" si="138"/>
        <v>7000</v>
      </c>
      <c r="AB182" s="1894">
        <f t="shared" si="139"/>
        <v>350</v>
      </c>
      <c r="AC182" s="1745">
        <f t="shared" si="140"/>
        <v>2</v>
      </c>
      <c r="AD182" s="1544" t="b">
        <f t="shared" si="141"/>
        <v>1</v>
      </c>
      <c r="AE182" s="1544" t="b">
        <f t="shared" si="142"/>
        <v>1</v>
      </c>
      <c r="AF182" s="1544" t="b">
        <f t="shared" si="143"/>
        <v>1</v>
      </c>
    </row>
    <row r="183" spans="1:32" ht="19.5" customHeight="1">
      <c r="A183" s="5190"/>
      <c r="B183" s="5186"/>
      <c r="C183" s="1673"/>
      <c r="D183" s="61"/>
      <c r="E183" s="4857">
        <v>6</v>
      </c>
      <c r="F183" s="1673" t="str">
        <f t="shared" si="136"/>
        <v>A18</v>
      </c>
      <c r="G183" s="1673">
        <f>IFERROR(VLOOKUP(F183,B.BasicInfomation!$B:$O,11,0),"")</f>
        <v>7000</v>
      </c>
      <c r="H183" s="1894">
        <f>IFERROR(VLOOKUP(F183,B.BasicInfomation!$B:$O,12,0),"")</f>
        <v>350</v>
      </c>
      <c r="I183" s="2013">
        <f>IFERROR(VLOOKUP(F183,B.BasicInfomation!$B:$O,13,0),"")</f>
        <v>2</v>
      </c>
      <c r="J183" s="1895">
        <f>J96/$G183/'4. L PLAN'!F$110</f>
        <v>0</v>
      </c>
      <c r="K183" s="1896">
        <f>K96/$G183/'4. L PLAN'!G$110</f>
        <v>0</v>
      </c>
      <c r="L183" s="1897">
        <f>L96/$G183/'4. L PLAN'!H$110</f>
        <v>0</v>
      </c>
      <c r="M183" s="1895">
        <f>M96/$G183/'4. L PLAN'!I$110</f>
        <v>0</v>
      </c>
      <c r="N183" s="1896">
        <f>N96/$G183/'4. L PLAN'!J$110</f>
        <v>0</v>
      </c>
      <c r="O183" s="1898">
        <f>O96/$G183/'4. L PLAN'!K$110</f>
        <v>0</v>
      </c>
      <c r="P183" s="1899">
        <f>P96/$G183/'4. L PLAN'!L$110</f>
        <v>0</v>
      </c>
      <c r="Q183" s="1900">
        <f>Q96/$G183/'4. L PLAN'!M$110</f>
        <v>0.3044047365377005</v>
      </c>
      <c r="R183" s="1898">
        <f>R96/$G183/'4. L PLAN'!N$110</f>
        <v>1.582904629996043</v>
      </c>
      <c r="S183" s="1899">
        <f>S96/$G183/'4. L PLAN'!O$110</f>
        <v>2.05191340925413</v>
      </c>
      <c r="T183" s="1900">
        <f>T96/$G183/'4. L PLAN'!P$110</f>
        <v>2.5326474079936681</v>
      </c>
      <c r="U183" s="1898">
        <f>U96/$G183/'4. L PLAN'!Q$110</f>
        <v>2.3450438962904334</v>
      </c>
      <c r="V183" s="1908">
        <f t="shared" si="137"/>
        <v>0.73474284000599788</v>
      </c>
      <c r="Y183" s="1579"/>
      <c r="AA183" s="1673">
        <f t="shared" si="138"/>
        <v>7000</v>
      </c>
      <c r="AB183" s="1894">
        <f t="shared" si="139"/>
        <v>350</v>
      </c>
      <c r="AC183" s="1745">
        <f t="shared" si="140"/>
        <v>2</v>
      </c>
      <c r="AD183" s="1544" t="b">
        <f t="shared" si="141"/>
        <v>1</v>
      </c>
      <c r="AE183" s="1544" t="b">
        <f t="shared" si="142"/>
        <v>1</v>
      </c>
      <c r="AF183" s="1544" t="b">
        <f t="shared" si="143"/>
        <v>1</v>
      </c>
    </row>
    <row r="184" spans="1:32" ht="19.5" customHeight="1">
      <c r="A184" s="5190"/>
      <c r="B184" s="5186"/>
      <c r="C184" s="1733"/>
      <c r="D184" s="60"/>
      <c r="E184" s="4858"/>
      <c r="F184" s="1733" t="str">
        <f t="shared" si="136"/>
        <v>CNC</v>
      </c>
      <c r="G184" s="1733">
        <f>IFERROR(VLOOKUP(F184,B.BasicInfomation!$B:$O,11,0),"")</f>
        <v>7000</v>
      </c>
      <c r="H184" s="1888">
        <f>IFERROR(VLOOKUP(F184,B.BasicInfomation!$B:$O,12,0),"")</f>
        <v>350</v>
      </c>
      <c r="I184" s="2110">
        <f>IFERROR(VLOOKUP(F184,B.BasicInfomation!$B:$O,13,0),"")</f>
        <v>2</v>
      </c>
      <c r="J184" s="3981">
        <f>J97/$G184/'4. L PLAN'!F$110</f>
        <v>2.739642628839305</v>
      </c>
      <c r="K184" s="1889">
        <f>K97/$G184/'4. L PLAN'!G$110</f>
        <v>4.399386624455877</v>
      </c>
      <c r="L184" s="1890">
        <f>L97/$G184/'4. L PLAN'!H$110</f>
        <v>2.800523576146845</v>
      </c>
      <c r="M184" s="3981">
        <f>M97/$G184/'4. L PLAN'!I$110</f>
        <v>3.1715647012267514</v>
      </c>
      <c r="N184" s="1889">
        <f>N97/$G184/'4. L PLAN'!J$110</f>
        <v>2.9125445191927191</v>
      </c>
      <c r="O184" s="1891">
        <f>O97/$G184/'4. L PLAN'!K$110</f>
        <v>3.3557578155916108</v>
      </c>
      <c r="P184" s="3982">
        <f>P97/$G184/'4. L PLAN'!L$110</f>
        <v>3.1071831625848252</v>
      </c>
      <c r="Q184" s="1892">
        <f>Q97/$G184/'4. L PLAN'!M$110</f>
        <v>3.226690207299626</v>
      </c>
      <c r="R184" s="1891">
        <f>R97/$G184/'4. L PLAN'!N$110</f>
        <v>3.3557578155916108</v>
      </c>
      <c r="S184" s="3982">
        <f>S97/$G184/'4. L PLAN'!O$110</f>
        <v>3.1071831625848252</v>
      </c>
      <c r="T184" s="1892">
        <f>T97/$G184/'4. L PLAN'!P$110</f>
        <v>3.3557578155916108</v>
      </c>
      <c r="U184" s="1891">
        <f>U97/$G184/'4. L PLAN'!Q$110</f>
        <v>2.9313048703630424</v>
      </c>
      <c r="V184" s="1893">
        <f t="shared" si="137"/>
        <v>3.2052747416223872</v>
      </c>
      <c r="Y184" s="1579"/>
      <c r="AA184" s="1673">
        <f t="shared" si="138"/>
        <v>7000</v>
      </c>
      <c r="AB184" s="1894">
        <f t="shared" si="139"/>
        <v>350</v>
      </c>
      <c r="AC184" s="1745">
        <f t="shared" si="140"/>
        <v>2</v>
      </c>
      <c r="AD184" s="1544" t="b">
        <f t="shared" si="141"/>
        <v>1</v>
      </c>
      <c r="AE184" s="1544" t="b">
        <f t="shared" si="142"/>
        <v>1</v>
      </c>
      <c r="AF184" s="1544" t="b">
        <f t="shared" si="143"/>
        <v>1</v>
      </c>
    </row>
    <row r="185" spans="1:32" ht="19.5" customHeight="1">
      <c r="A185" s="5190"/>
      <c r="B185" s="5186"/>
      <c r="C185" s="61" t="s">
        <v>24</v>
      </c>
      <c r="D185" s="61" t="s">
        <v>861</v>
      </c>
      <c r="E185" s="1786">
        <v>8</v>
      </c>
      <c r="F185" s="1673" t="str">
        <f t="shared" si="136"/>
        <v>MTP+IDP+ADP</v>
      </c>
      <c r="G185" s="1673">
        <f>IFERROR(VLOOKUP(F185,B.BasicInfomation!$B:$O,11,0),"")</f>
        <v>3500</v>
      </c>
      <c r="H185" s="1894">
        <f>IFERROR(VLOOKUP(F185,B.BasicInfomation!$B:$O,12,0),"")</f>
        <v>350</v>
      </c>
      <c r="I185" s="2013">
        <f>IFERROR(VLOOKUP(F185,B.BasicInfomation!$B:$O,13,0),"")</f>
        <v>1</v>
      </c>
      <c r="J185" s="1895">
        <f>J98/$G185/'4. L PLAN'!F$110</f>
        <v>0.37748067823255799</v>
      </c>
      <c r="K185" s="1896">
        <f>K98/$G185/'4. L PLAN'!G$110</f>
        <v>0.60651145237611415</v>
      </c>
      <c r="L185" s="1897">
        <f>L98/$G185/'4. L PLAN'!H$110</f>
        <v>0.39637257682370469</v>
      </c>
      <c r="M185" s="1895">
        <f>M98/$G185/'4. L PLAN'!I$110</f>
        <v>0.64079890846808141</v>
      </c>
      <c r="N185" s="1896">
        <f>N98/$G185/'4. L PLAN'!J$110</f>
        <v>0.48440793102447244</v>
      </c>
      <c r="O185" s="1898">
        <f>O98/$G185/'4. L PLAN'!K$110</f>
        <v>0.44591169042296869</v>
      </c>
      <c r="P185" s="1899">
        <f>P98/$G185/'4. L PLAN'!L$110</f>
        <v>0.4128811948360821</v>
      </c>
      <c r="Q185" s="1900">
        <f>Q98/$G185/'4. L PLAN'!M$110</f>
        <v>0.31308744090698981</v>
      </c>
      <c r="R185" s="1898">
        <f>R98/$G185/'4. L PLAN'!N$110</f>
        <v>0.32561093854326939</v>
      </c>
      <c r="S185" s="1899">
        <f>S98/$G185/'4. L PLAN'!O$110</f>
        <v>0.4128811948360821</v>
      </c>
      <c r="T185" s="1900">
        <f>T98/$G185/'4. L PLAN'!P$110</f>
        <v>0.26987313844456706</v>
      </c>
      <c r="U185" s="1898">
        <f>U98/$G185/'4. L PLAN'!Q$110</f>
        <v>0.24988253559682133</v>
      </c>
      <c r="V185" s="1901">
        <f t="shared" si="137"/>
        <v>0.41130830670930929</v>
      </c>
      <c r="Y185" s="1579"/>
      <c r="AA185" s="1673">
        <f t="shared" si="138"/>
        <v>3500</v>
      </c>
      <c r="AB185" s="1894">
        <f t="shared" si="139"/>
        <v>350</v>
      </c>
      <c r="AC185" s="1745">
        <f t="shared" si="140"/>
        <v>1</v>
      </c>
      <c r="AD185" s="1544" t="b">
        <f t="shared" si="141"/>
        <v>1</v>
      </c>
      <c r="AE185" s="1544" t="b">
        <f t="shared" si="142"/>
        <v>1</v>
      </c>
      <c r="AF185" s="1544" t="b">
        <f t="shared" si="143"/>
        <v>1</v>
      </c>
    </row>
    <row r="186" spans="1:32" ht="19.5" customHeight="1">
      <c r="A186" s="5190"/>
      <c r="B186" s="5186"/>
      <c r="C186" s="1673"/>
      <c r="D186" s="61"/>
      <c r="E186" s="1786">
        <v>9</v>
      </c>
      <c r="F186" s="1673" t="str">
        <f t="shared" si="136"/>
        <v>Ride5</v>
      </c>
      <c r="G186" s="1673">
        <f>IFERROR(VLOOKUP(F186,B.BasicInfomation!$B:$O,11,0),"")</f>
        <v>585</v>
      </c>
      <c r="H186" s="1894">
        <f>IFERROR(VLOOKUP(F186,B.BasicInfomation!$B:$O,12,0),"")</f>
        <v>350</v>
      </c>
      <c r="I186" s="2013">
        <f>IFERROR(VLOOKUP(F186,B.BasicInfomation!$B:$O,13,0),"")</f>
        <v>1</v>
      </c>
      <c r="J186" s="1902">
        <f>J99/$G186/'4. L PLAN'!F$110</f>
        <v>1.3841309387868093E-2</v>
      </c>
      <c r="K186" s="1903">
        <f>K99/$G186/'4. L PLAN'!G$110</f>
        <v>2.2492127755285651E-2</v>
      </c>
      <c r="L186" s="1904">
        <f>L99/$G186/'4. L PLAN'!H$110</f>
        <v>1.3841309387868093E-2</v>
      </c>
      <c r="M186" s="1902">
        <f>M99/$G186/'4. L PLAN'!I$110</f>
        <v>1.4394961763382817E-2</v>
      </c>
      <c r="N186" s="1903">
        <f>N99/$G186/'4. L PLAN'!J$110</f>
        <v>1.4394961763382817E-2</v>
      </c>
      <c r="O186" s="1905">
        <f>O99/$G186/'4. L PLAN'!K$110</f>
        <v>1.4394961763382817E-2</v>
      </c>
      <c r="P186" s="1906">
        <f>P99/$G186/'4. L PLAN'!L$110</f>
        <v>1.6660835374285667E-2</v>
      </c>
      <c r="Q186" s="1907">
        <f>Q99/$G186/'4. L PLAN'!M$110</f>
        <v>1.7301636734835115E-2</v>
      </c>
      <c r="R186" s="1905">
        <f>R99/$G186/'4. L PLAN'!N$110</f>
        <v>1.799370220422852E-2</v>
      </c>
      <c r="S186" s="1906">
        <f>S99/$G186/'4. L PLAN'!O$110</f>
        <v>1.6660835374285667E-2</v>
      </c>
      <c r="T186" s="1907">
        <f>T99/$G186/'4. L PLAN'!P$110</f>
        <v>1.799370220422852E-2</v>
      </c>
      <c r="U186" s="1905">
        <f>U99/$G186/'4. L PLAN'!Q$110</f>
        <v>1.6660835374285667E-2</v>
      </c>
      <c r="V186" s="1908">
        <f t="shared" si="137"/>
        <v>1.6385931590609953E-2</v>
      </c>
      <c r="Y186" s="1579"/>
      <c r="AA186" s="1673">
        <f t="shared" si="138"/>
        <v>585</v>
      </c>
      <c r="AB186" s="1894">
        <f t="shared" si="139"/>
        <v>350</v>
      </c>
      <c r="AC186" s="1745">
        <f t="shared" si="140"/>
        <v>1</v>
      </c>
      <c r="AD186" s="1544" t="b">
        <f t="shared" si="141"/>
        <v>1</v>
      </c>
      <c r="AE186" s="1544" t="b">
        <f t="shared" si="142"/>
        <v>1</v>
      </c>
      <c r="AF186" s="1544" t="b">
        <f t="shared" si="143"/>
        <v>1</v>
      </c>
    </row>
    <row r="187" spans="1:32" ht="19.5" customHeight="1">
      <c r="A187" s="5190"/>
      <c r="B187" s="5186"/>
      <c r="C187" s="1673"/>
      <c r="D187" s="61"/>
      <c r="E187" s="1786"/>
      <c r="F187" s="1673" t="str">
        <f t="shared" si="136"/>
        <v>Glymur</v>
      </c>
      <c r="G187" s="1673">
        <f>IFERROR(VLOOKUP(F187,B.BasicInfomation!$B:$O,11,0),"")</f>
        <v>585</v>
      </c>
      <c r="H187" s="1894">
        <f>IFERROR(VLOOKUP(F187,B.BasicInfomation!$B:$O,12,0),"")</f>
        <v>350</v>
      </c>
      <c r="I187" s="2013">
        <f>IFERROR(VLOOKUP(F187,B.BasicInfomation!$B:$O,13,0),"")</f>
        <v>1</v>
      </c>
      <c r="J187" s="1902">
        <f>J100/$G187/'4. L PLAN'!F$110</f>
        <v>0</v>
      </c>
      <c r="K187" s="1903">
        <f>K100/$G187/'4. L PLAN'!G$110</f>
        <v>0</v>
      </c>
      <c r="L187" s="1904">
        <f>L100/$G187/'4. L PLAN'!H$110</f>
        <v>0</v>
      </c>
      <c r="M187" s="1902">
        <f>M100/$G187/'4. L PLAN'!I$110</f>
        <v>0</v>
      </c>
      <c r="N187" s="1903">
        <f>N100/$G187/'4. L PLAN'!J$110</f>
        <v>0</v>
      </c>
      <c r="O187" s="1905">
        <f>O100/$G187/'4. L PLAN'!K$110</f>
        <v>0</v>
      </c>
      <c r="P187" s="1906">
        <f>P100/$G187/'4. L PLAN'!L$110</f>
        <v>0</v>
      </c>
      <c r="Q187" s="1907">
        <f>Q100/$G187/'4. L PLAN'!M$110</f>
        <v>0</v>
      </c>
      <c r="R187" s="1905">
        <f>R100/$G187/'4. L PLAN'!N$110</f>
        <v>0</v>
      </c>
      <c r="S187" s="1906">
        <f>S100/$G187/'4. L PLAN'!O$110</f>
        <v>0</v>
      </c>
      <c r="T187" s="1907">
        <f>T100/$G187/'4. L PLAN'!P$110</f>
        <v>0</v>
      </c>
      <c r="U187" s="1905">
        <f>U100/$G187/'4. L PLAN'!Q$110</f>
        <v>0</v>
      </c>
      <c r="V187" s="1908">
        <f t="shared" si="137"/>
        <v>0</v>
      </c>
      <c r="Y187" s="1579"/>
      <c r="AA187" s="1673">
        <f t="shared" si="138"/>
        <v>585</v>
      </c>
      <c r="AB187" s="1894">
        <f t="shared" si="139"/>
        <v>350</v>
      </c>
      <c r="AC187" s="1745">
        <f t="shared" si="140"/>
        <v>1</v>
      </c>
      <c r="AD187" s="1544" t="b">
        <f t="shared" si="141"/>
        <v>1</v>
      </c>
      <c r="AE187" s="1544" t="b">
        <f t="shared" si="142"/>
        <v>1</v>
      </c>
      <c r="AF187" s="1544" t="b">
        <f t="shared" si="143"/>
        <v>1</v>
      </c>
    </row>
    <row r="188" spans="1:32" ht="19.5" customHeight="1">
      <c r="A188" s="5190"/>
      <c r="B188" s="5186"/>
      <c r="C188" s="1673"/>
      <c r="D188" s="61"/>
      <c r="E188" s="1786">
        <v>10</v>
      </c>
      <c r="F188" s="1673" t="str">
        <f t="shared" si="136"/>
        <v>MTP Hawi</v>
      </c>
      <c r="G188" s="1673">
        <f>IFERROR(VLOOKUP(F188,B.BasicInfomation!$B:$O,11,0),"")</f>
        <v>585</v>
      </c>
      <c r="H188" s="1894">
        <f>IFERROR(VLOOKUP(F188,B.BasicInfomation!$B:$O,12,0),"")</f>
        <v>350</v>
      </c>
      <c r="I188" s="2013">
        <f>IFERROR(VLOOKUP(F188,B.BasicInfomation!$B:$O,13,0),"")</f>
        <v>1</v>
      </c>
      <c r="J188" s="1902">
        <f>J101/$G188/'4. L PLAN'!F$110</f>
        <v>6.9206546939340474E-2</v>
      </c>
      <c r="K188" s="1903">
        <f>K101/$G188/'4. L PLAN'!G$110</f>
        <v>0.16869095816464239</v>
      </c>
      <c r="L188" s="1904">
        <f>L101/$G188/'4. L PLAN'!H$110</f>
        <v>6.9206546939340474E-2</v>
      </c>
      <c r="M188" s="1902">
        <f>M101/$G188/'4. L PLAN'!I$110</f>
        <v>7.1974808816914093E-2</v>
      </c>
      <c r="N188" s="1903">
        <f>N101/$G188/'4. L PLAN'!J$110</f>
        <v>7.1974808816914093E-2</v>
      </c>
      <c r="O188" s="1905">
        <f>O101/$G188/'4. L PLAN'!K$110</f>
        <v>7.1974808816914093E-2</v>
      </c>
      <c r="P188" s="1906">
        <f>P101/$G188/'4. L PLAN'!L$110</f>
        <v>6.6643341497142683E-2</v>
      </c>
      <c r="Q188" s="1907">
        <f>Q101/$G188/'4. L PLAN'!M$110</f>
        <v>6.9206546939340474E-2</v>
      </c>
      <c r="R188" s="1905">
        <f>R101/$G188/'4. L PLAN'!N$110</f>
        <v>7.1974808816914093E-2</v>
      </c>
      <c r="S188" s="1906">
        <f>S101/$G188/'4. L PLAN'!O$110</f>
        <v>6.6643341497142683E-2</v>
      </c>
      <c r="T188" s="1907">
        <f>T101/$G188/'4. L PLAN'!P$110</f>
        <v>7.1974808816914093E-2</v>
      </c>
      <c r="U188" s="1905">
        <f>U101/$G188/'4. L PLAN'!Q$110</f>
        <v>6.6643341497142683E-2</v>
      </c>
      <c r="V188" s="1908">
        <f t="shared" si="137"/>
        <v>7.8009555629888525E-2</v>
      </c>
      <c r="Y188" s="1579"/>
      <c r="AA188" s="1673">
        <f t="shared" si="138"/>
        <v>585</v>
      </c>
      <c r="AB188" s="1894">
        <f t="shared" si="139"/>
        <v>350</v>
      </c>
      <c r="AC188" s="1745">
        <f t="shared" si="140"/>
        <v>1</v>
      </c>
      <c r="AD188" s="1544" t="b">
        <f t="shared" si="141"/>
        <v>1</v>
      </c>
      <c r="AE188" s="1544" t="b">
        <f t="shared" si="142"/>
        <v>1</v>
      </c>
      <c r="AF188" s="1544" t="b">
        <f t="shared" si="143"/>
        <v>1</v>
      </c>
    </row>
    <row r="189" spans="1:32" ht="19.5" customHeight="1">
      <c r="A189" s="5190"/>
      <c r="B189" s="5186"/>
      <c r="C189" s="1673"/>
      <c r="D189" s="61"/>
      <c r="E189" s="1786">
        <v>11</v>
      </c>
      <c r="F189" s="1673" t="str">
        <f t="shared" si="136"/>
        <v>QMP Amboseli</v>
      </c>
      <c r="G189" s="1673">
        <f>IFERROR(VLOOKUP(F189,B.BasicInfomation!$B:$O,11,0),"")</f>
        <v>585</v>
      </c>
      <c r="H189" s="1894">
        <f>IFERROR(VLOOKUP(F189,B.BasicInfomation!$B:$O,12,0),"")</f>
        <v>350</v>
      </c>
      <c r="I189" s="2013">
        <f>IFERROR(VLOOKUP(F189,B.BasicInfomation!$B:$O,13,0),"")</f>
        <v>1</v>
      </c>
      <c r="J189" s="1902">
        <f>J102/$G189/'4. L PLAN'!F$110</f>
        <v>3.4603273469670237E-2</v>
      </c>
      <c r="K189" s="1903">
        <f>K102/$G189/'4. L PLAN'!G$110</f>
        <v>0</v>
      </c>
      <c r="L189" s="1904">
        <f>L102/$G189/'4. L PLAN'!H$110</f>
        <v>3.4603273469670237E-2</v>
      </c>
      <c r="M189" s="1902">
        <f>M102/$G189/'4. L PLAN'!I$110</f>
        <v>0</v>
      </c>
      <c r="N189" s="1903">
        <f>N102/$G189/'4. L PLAN'!J$110</f>
        <v>3.5987404408457047E-2</v>
      </c>
      <c r="O189" s="1905">
        <f>O102/$G189/'4. L PLAN'!K$110</f>
        <v>0</v>
      </c>
      <c r="P189" s="1906">
        <f>P102/$G189/'4. L PLAN'!L$110</f>
        <v>3.3321670748571341E-2</v>
      </c>
      <c r="Q189" s="1907">
        <f>Q102/$G189/'4. L PLAN'!M$110</f>
        <v>0</v>
      </c>
      <c r="R189" s="1905">
        <f>R102/$G189/'4. L PLAN'!N$110</f>
        <v>3.5987404408457047E-2</v>
      </c>
      <c r="S189" s="1906">
        <f>S102/$G189/'4. L PLAN'!O$110</f>
        <v>0</v>
      </c>
      <c r="T189" s="1907">
        <f>T102/$G189/'4. L PLAN'!P$110</f>
        <v>3.5987404408457047E-2</v>
      </c>
      <c r="U189" s="1905">
        <f>U102/$G189/'4. L PLAN'!Q$110</f>
        <v>0</v>
      </c>
      <c r="V189" s="1908">
        <f t="shared" si="137"/>
        <v>1.754086924277358E-2</v>
      </c>
      <c r="Y189" s="1579"/>
      <c r="AA189" s="1673">
        <f t="shared" si="138"/>
        <v>585</v>
      </c>
      <c r="AB189" s="1894">
        <f t="shared" si="139"/>
        <v>350</v>
      </c>
      <c r="AC189" s="1745">
        <f t="shared" si="140"/>
        <v>1</v>
      </c>
      <c r="AD189" s="1544" t="b">
        <f t="shared" si="141"/>
        <v>1</v>
      </c>
      <c r="AE189" s="1544" t="b">
        <f t="shared" si="142"/>
        <v>1</v>
      </c>
      <c r="AF189" s="1544" t="b">
        <f t="shared" si="143"/>
        <v>1</v>
      </c>
    </row>
    <row r="190" spans="1:32" ht="19.5" customHeight="1">
      <c r="A190" s="5190"/>
      <c r="B190" s="5186"/>
      <c r="C190" s="1673"/>
      <c r="D190" s="61"/>
      <c r="E190" s="1786"/>
      <c r="F190" s="1673" t="str">
        <f t="shared" si="136"/>
        <v>LDS Antenna</v>
      </c>
      <c r="G190" s="1673">
        <f>IFERROR(VLOOKUP(F190,B.BasicInfomation!$B:$O,11,0),"")</f>
        <v>585</v>
      </c>
      <c r="H190" s="1909">
        <f>IFERROR(VLOOKUP(F190,B.BasicInfomation!$B:$O,12,0),"")</f>
        <v>350</v>
      </c>
      <c r="I190" s="2013">
        <f>IFERROR(VLOOKUP(F190,B.BasicInfomation!$B:$O,13,0),"")</f>
        <v>1</v>
      </c>
      <c r="J190" s="1902">
        <f>J103/$G190/'4. L PLAN'!F$110</f>
        <v>0.2422229142876916</v>
      </c>
      <c r="K190" s="1903">
        <f>K103/$G190/'4. L PLAN'!G$110</f>
        <v>0.39361223571749887</v>
      </c>
      <c r="L190" s="1904">
        <f>L103/$G190/'4. L PLAN'!H$110</f>
        <v>0.31142946122703208</v>
      </c>
      <c r="M190" s="1902">
        <f>M103/$G190/'4. L PLAN'!I$110</f>
        <v>0.32388663967611336</v>
      </c>
      <c r="N190" s="1903">
        <f>N103/$G190/'4. L PLAN'!J$110</f>
        <v>0.21592442645074225</v>
      </c>
      <c r="O190" s="1905">
        <f>O103/$G190/'4. L PLAN'!K$110</f>
        <v>0.21592442645074225</v>
      </c>
      <c r="P190" s="1906">
        <f>P103/$G190/'4. L PLAN'!L$110</f>
        <v>0.16660835374285668</v>
      </c>
      <c r="Q190" s="1907">
        <f>Q103/$G190/'4. L PLAN'!M$110</f>
        <v>0.17301636734835119</v>
      </c>
      <c r="R190" s="1905">
        <f>R103/$G190/'4. L PLAN'!N$110</f>
        <v>0.17993702204228523</v>
      </c>
      <c r="S190" s="1906">
        <f>S103/$G190/'4. L PLAN'!O$110</f>
        <v>0.39986004898285604</v>
      </c>
      <c r="T190" s="1907">
        <f>T103/$G190/'4. L PLAN'!P$110</f>
        <v>0.4318488529014845</v>
      </c>
      <c r="U190" s="1905">
        <f>U103/$G190/'4. L PLAN'!Q$110</f>
        <v>0.26657336598857068</v>
      </c>
      <c r="V190" s="1908">
        <f t="shared" si="137"/>
        <v>0.27673700956801872</v>
      </c>
      <c r="AA190" s="1673">
        <f t="shared" si="138"/>
        <v>585</v>
      </c>
      <c r="AB190" s="1894">
        <f t="shared" si="139"/>
        <v>350</v>
      </c>
      <c r="AC190" s="1745">
        <f t="shared" si="140"/>
        <v>1</v>
      </c>
      <c r="AD190" s="1544" t="b">
        <f t="shared" si="141"/>
        <v>1</v>
      </c>
      <c r="AE190" s="1544" t="b">
        <f t="shared" si="142"/>
        <v>1</v>
      </c>
      <c r="AF190" s="1544" t="b">
        <f t="shared" si="143"/>
        <v>1</v>
      </c>
    </row>
    <row r="191" spans="1:32" ht="19.5" customHeight="1">
      <c r="A191" s="5244"/>
      <c r="B191" s="5247"/>
      <c r="C191" s="1910" t="s">
        <v>44</v>
      </c>
      <c r="D191" s="1910"/>
      <c r="E191" s="4879"/>
      <c r="F191" s="1748"/>
      <c r="G191" s="1911"/>
      <c r="H191" s="1912"/>
      <c r="I191" s="2058"/>
      <c r="J191" s="1913">
        <f t="shared" ref="J191" si="144">SUM(J177:J190)</f>
        <v>10.052139660370766</v>
      </c>
      <c r="K191" s="1914">
        <f t="shared" ref="K191:U191" si="145">SUM(K177:K190)</f>
        <v>16.868888887191222</v>
      </c>
      <c r="L191" s="1915">
        <f t="shared" si="145"/>
        <v>13.805271133815168</v>
      </c>
      <c r="M191" s="1913">
        <f t="shared" si="145"/>
        <v>14.593811155685316</v>
      </c>
      <c r="N191" s="1914">
        <f t="shared" si="145"/>
        <v>14.423006113389972</v>
      </c>
      <c r="O191" s="1916">
        <f t="shared" si="145"/>
        <v>15.42489761677732</v>
      </c>
      <c r="P191" s="1917">
        <f t="shared" si="145"/>
        <v>13.183474143945501</v>
      </c>
      <c r="Q191" s="1918">
        <f t="shared" si="145"/>
        <v>12.627039558822462</v>
      </c>
      <c r="R191" s="1916">
        <f t="shared" si="145"/>
        <v>13.801270397582233</v>
      </c>
      <c r="S191" s="1917">
        <f t="shared" si="145"/>
        <v>12.797143194364319</v>
      </c>
      <c r="T191" s="1918">
        <f t="shared" si="145"/>
        <v>11.274848464749535</v>
      </c>
      <c r="U191" s="1916">
        <f t="shared" si="145"/>
        <v>9.1474450804354515</v>
      </c>
      <c r="V191" s="1919">
        <f t="shared" si="137"/>
        <v>13.166602950594106</v>
      </c>
      <c r="Y191" s="1579"/>
      <c r="AA191" s="1673">
        <f t="shared" si="138"/>
        <v>0</v>
      </c>
      <c r="AB191" s="1894">
        <f t="shared" si="139"/>
        <v>0</v>
      </c>
      <c r="AC191" s="1745">
        <f t="shared" si="140"/>
        <v>0</v>
      </c>
      <c r="AD191" s="1544" t="b">
        <f t="shared" si="141"/>
        <v>1</v>
      </c>
      <c r="AE191" s="1544" t="b">
        <f t="shared" si="142"/>
        <v>1</v>
      </c>
      <c r="AF191" s="1544" t="b">
        <f t="shared" si="143"/>
        <v>1</v>
      </c>
    </row>
    <row r="192" spans="1:32" ht="19.5" customHeight="1">
      <c r="A192" s="5251">
        <v>2</v>
      </c>
      <c r="B192" s="5254" t="s">
        <v>23</v>
      </c>
      <c r="C192" s="1592" t="s">
        <v>556</v>
      </c>
      <c r="D192" s="1592" t="s">
        <v>865</v>
      </c>
      <c r="E192" s="4880">
        <v>12</v>
      </c>
      <c r="F192" s="1756" t="str">
        <f t="shared" ref="F192:F197" si="146">F105</f>
        <v>GEN3 AL5 Housing (YT)</v>
      </c>
      <c r="G192" s="1756">
        <f>IFERROR(VLOOKUP(F192,B.BasicInfomation!$B:$O,11,0),"")</f>
        <v>3700</v>
      </c>
      <c r="H192" s="1756">
        <f>IFERROR(VLOOKUP(F192,B.BasicInfomation!$B:$O,12,0),"")</f>
        <v>350</v>
      </c>
      <c r="I192" s="2967">
        <f>IFERROR(VLOOKUP(F192,B.BasicInfomation!$B:$O,13,0),"")</f>
        <v>2</v>
      </c>
      <c r="J192" s="1920">
        <f>J105/$G192/'4. L PLAN'!F$110</f>
        <v>0.48976369280504645</v>
      </c>
      <c r="K192" s="1921">
        <f>K105/$G192/'4. L PLAN'!G$110</f>
        <v>0.5619222492924818</v>
      </c>
      <c r="L192" s="1922">
        <f>L105/$G192/'4. L PLAN'!H$110</f>
        <v>0.60235834167333047</v>
      </c>
      <c r="M192" s="1920">
        <f>M105/$G192/'4. L PLAN'!I$110</f>
        <v>0.4028116482383382</v>
      </c>
      <c r="N192" s="1921">
        <f>N105/$G192/'4. L PLAN'!J$110</f>
        <v>0</v>
      </c>
      <c r="O192" s="1923">
        <f>O105/$G192/'4. L PLAN'!K$110</f>
        <v>0</v>
      </c>
      <c r="P192" s="1924">
        <f>P105/$G192/'4. L PLAN'!L$110</f>
        <v>0</v>
      </c>
      <c r="Q192" s="1925">
        <f>Q105/$G192/'4. L PLAN'!M$110</f>
        <v>0</v>
      </c>
      <c r="R192" s="1926">
        <f>R105/$G192/'4. L PLAN'!N$110</f>
        <v>0</v>
      </c>
      <c r="S192" s="1927">
        <f>S105/$G192/'4. L PLAN'!O$110</f>
        <v>0</v>
      </c>
      <c r="T192" s="1925">
        <f>T105/$G192/'4. L PLAN'!P$110</f>
        <v>0</v>
      </c>
      <c r="U192" s="1928">
        <f>U105/$G192/'4. L PLAN'!Q$110</f>
        <v>0</v>
      </c>
      <c r="V192" s="1929">
        <f t="shared" si="137"/>
        <v>0.17140466100076643</v>
      </c>
      <c r="W192" s="1579"/>
      <c r="Y192" s="1579"/>
      <c r="AA192" s="1673">
        <f t="shared" si="138"/>
        <v>3700</v>
      </c>
      <c r="AB192" s="1894">
        <f t="shared" si="139"/>
        <v>350</v>
      </c>
      <c r="AC192" s="1745">
        <f t="shared" si="140"/>
        <v>2</v>
      </c>
      <c r="AD192" s="1544" t="b">
        <f t="shared" si="141"/>
        <v>1</v>
      </c>
      <c r="AE192" s="1544" t="b">
        <f t="shared" si="142"/>
        <v>1</v>
      </c>
      <c r="AF192" s="1544" t="b">
        <f t="shared" si="143"/>
        <v>1</v>
      </c>
    </row>
    <row r="193" spans="1:32" ht="19.5" customHeight="1">
      <c r="A193" s="5190"/>
      <c r="B193" s="5186"/>
      <c r="C193" s="15"/>
      <c r="D193" s="15"/>
      <c r="E193" s="4857">
        <v>13</v>
      </c>
      <c r="F193" s="1673" t="str">
        <f t="shared" si="146"/>
        <v>GEN3 AL6 Housing (YT)</v>
      </c>
      <c r="G193" s="1673">
        <f>IFERROR(VLOOKUP(F193,B.BasicInfomation!$B:$O,11,0),"")</f>
        <v>3700</v>
      </c>
      <c r="H193" s="1673">
        <f>IFERROR(VLOOKUP(F193,B.BasicInfomation!$B:$O,12,0),"")</f>
        <v>350</v>
      </c>
      <c r="I193" s="2013">
        <f>IFERROR(VLOOKUP(F193,B.BasicInfomation!$B:$O,13,0),"")</f>
        <v>2</v>
      </c>
      <c r="J193" s="4">
        <f>J106/$G193/'4. L PLAN'!F$110</f>
        <v>0</v>
      </c>
      <c r="K193" s="1896">
        <f>K106/$G193/'4. L PLAN'!G$110</f>
        <v>0</v>
      </c>
      <c r="L193" s="1897">
        <f>L106/$G193/'4. L PLAN'!H$110</f>
        <v>0</v>
      </c>
      <c r="M193" s="4">
        <f>M106/$G193/'4. L PLAN'!I$110</f>
        <v>0</v>
      </c>
      <c r="N193" s="1896">
        <f>N106/$G193/'4. L PLAN'!J$110</f>
        <v>0</v>
      </c>
      <c r="O193" s="1930">
        <f>O106/$G193/'4. L PLAN'!K$110</f>
        <v>0</v>
      </c>
      <c r="P193" s="1931">
        <f>P106/$G193/'4. L PLAN'!L$110</f>
        <v>0</v>
      </c>
      <c r="Q193" s="1900">
        <f>Q106/$G193/'4. L PLAN'!M$110</f>
        <v>0</v>
      </c>
      <c r="R193" s="1898">
        <f>R106/$G193/'4. L PLAN'!N$110</f>
        <v>0</v>
      </c>
      <c r="S193" s="1932">
        <f>S106/$G193/'4. L PLAN'!O$110</f>
        <v>0</v>
      </c>
      <c r="T193" s="1900">
        <f>T106/$G193/'4. L PLAN'!P$110</f>
        <v>0</v>
      </c>
      <c r="U193" s="1898">
        <f>U106/$G193/'4. L PLAN'!Q$110</f>
        <v>0</v>
      </c>
      <c r="V193" s="1908">
        <f t="shared" si="137"/>
        <v>0</v>
      </c>
      <c r="W193" s="1579"/>
      <c r="Y193" s="1579"/>
      <c r="AA193" s="1673">
        <f t="shared" si="138"/>
        <v>3700</v>
      </c>
      <c r="AB193" s="1894">
        <f t="shared" si="139"/>
        <v>350</v>
      </c>
      <c r="AC193" s="1745">
        <f t="shared" si="140"/>
        <v>2</v>
      </c>
      <c r="AD193" s="1544" t="b">
        <f t="shared" si="141"/>
        <v>1</v>
      </c>
      <c r="AE193" s="1544" t="b">
        <f t="shared" si="142"/>
        <v>1</v>
      </c>
      <c r="AF193" s="1544" t="b">
        <f t="shared" si="143"/>
        <v>1</v>
      </c>
    </row>
    <row r="194" spans="1:32" ht="19.5" customHeight="1">
      <c r="A194" s="5190"/>
      <c r="B194" s="5186"/>
      <c r="C194" s="15"/>
      <c r="D194" s="15"/>
      <c r="E194" s="4857"/>
      <c r="F194" s="1673" t="str">
        <f t="shared" si="146"/>
        <v>GEN3 AL5  Housing (MX)</v>
      </c>
      <c r="G194" s="1673">
        <f>IFERROR(VLOOKUP(F194,B.BasicInfomation!$B:$O,11,0),"")</f>
        <v>3700</v>
      </c>
      <c r="H194" s="1673">
        <f>IFERROR(VLOOKUP(F194,B.BasicInfomation!$B:$O,12,0),"")</f>
        <v>350</v>
      </c>
      <c r="I194" s="2013">
        <f>IFERROR(VLOOKUP(F194,B.BasicInfomation!$B:$O,13,0),"")</f>
        <v>2</v>
      </c>
      <c r="J194" s="4">
        <f>J107/$G194/'4. L PLAN'!F$110</f>
        <v>0</v>
      </c>
      <c r="K194" s="1896">
        <f>K107/$G194/'4. L PLAN'!G$110</f>
        <v>0</v>
      </c>
      <c r="L194" s="1897">
        <f>L107/$G194/'4. L PLAN'!H$110</f>
        <v>0</v>
      </c>
      <c r="M194" s="4">
        <f>M107/$G194/'4. L PLAN'!I$110</f>
        <v>0</v>
      </c>
      <c r="N194" s="1896">
        <f>N107/$G194/'4. L PLAN'!J$110</f>
        <v>0</v>
      </c>
      <c r="O194" s="1930">
        <f>O107/$G194/'4. L PLAN'!K$110</f>
        <v>0</v>
      </c>
      <c r="P194" s="1931">
        <f>P107/$G194/'4. L PLAN'!L$110</f>
        <v>0</v>
      </c>
      <c r="Q194" s="1900">
        <f>Q107/$G194/'4. L PLAN'!M$110</f>
        <v>0</v>
      </c>
      <c r="R194" s="1898">
        <f>R107/$G194/'4. L PLAN'!N$110</f>
        <v>0</v>
      </c>
      <c r="S194" s="1932">
        <f>S107/$G194/'4. L PLAN'!O$110</f>
        <v>0</v>
      </c>
      <c r="T194" s="1900">
        <f>T107/$G194/'4. L PLAN'!P$110</f>
        <v>0</v>
      </c>
      <c r="U194" s="1898">
        <f>U107/$G194/'4. L PLAN'!Q$110</f>
        <v>0</v>
      </c>
      <c r="V194" s="1908">
        <f t="shared" si="137"/>
        <v>0</v>
      </c>
      <c r="W194" s="1579"/>
      <c r="Y194" s="1579"/>
      <c r="AA194" s="1673">
        <f t="shared" si="138"/>
        <v>3700</v>
      </c>
      <c r="AB194" s="1894">
        <f t="shared" si="139"/>
        <v>350</v>
      </c>
      <c r="AC194" s="1745">
        <f t="shared" si="140"/>
        <v>2</v>
      </c>
      <c r="AD194" s="1544" t="b">
        <f t="shared" si="141"/>
        <v>1</v>
      </c>
      <c r="AE194" s="1544" t="b">
        <f t="shared" si="142"/>
        <v>1</v>
      </c>
      <c r="AF194" s="1544" t="b">
        <f t="shared" si="143"/>
        <v>1</v>
      </c>
    </row>
    <row r="195" spans="1:32" ht="19.5" customHeight="1">
      <c r="A195" s="5190"/>
      <c r="B195" s="5186"/>
      <c r="C195" s="15"/>
      <c r="D195" s="15"/>
      <c r="E195" s="4857"/>
      <c r="F195" s="1673" t="str">
        <f t="shared" si="146"/>
        <v>GEN3 AL6  Housing (MX)</v>
      </c>
      <c r="G195" s="1673">
        <f>IFERROR(VLOOKUP(F195,B.BasicInfomation!$B:$O,11,0),"")</f>
        <v>3700</v>
      </c>
      <c r="H195" s="1673">
        <f>IFERROR(VLOOKUP(F195,B.BasicInfomation!$B:$O,12,0),"")</f>
        <v>350</v>
      </c>
      <c r="I195" s="2013">
        <f>IFERROR(VLOOKUP(F195,B.BasicInfomation!$B:$O,13,0),"")</f>
        <v>2</v>
      </c>
      <c r="J195" s="4">
        <f>J108/$G195/'4. L PLAN'!F$110</f>
        <v>0</v>
      </c>
      <c r="K195" s="1896">
        <f>K108/$G195/'4. L PLAN'!G$110</f>
        <v>0</v>
      </c>
      <c r="L195" s="1897">
        <f>L108/$G195/'4. L PLAN'!H$110</f>
        <v>0</v>
      </c>
      <c r="M195" s="4">
        <f>M108/$G195/'4. L PLAN'!I$110</f>
        <v>0</v>
      </c>
      <c r="N195" s="1896">
        <f>N108/$G195/'4. L PLAN'!J$110</f>
        <v>0</v>
      </c>
      <c r="O195" s="1930">
        <f>O108/$G195/'4. L PLAN'!K$110</f>
        <v>0</v>
      </c>
      <c r="P195" s="1931">
        <f>P108/$G195/'4. L PLAN'!L$110</f>
        <v>0</v>
      </c>
      <c r="Q195" s="1900">
        <f>Q108/$G195/'4. L PLAN'!M$110</f>
        <v>0</v>
      </c>
      <c r="R195" s="1898">
        <f>R108/$G195/'4. L PLAN'!N$110</f>
        <v>0</v>
      </c>
      <c r="S195" s="1932">
        <f>S108/$G195/'4. L PLAN'!O$110</f>
        <v>0</v>
      </c>
      <c r="T195" s="1900">
        <f>T108/$G195/'4. L PLAN'!P$110</f>
        <v>0</v>
      </c>
      <c r="U195" s="1898">
        <f>U108/$G195/'4. L PLAN'!Q$110</f>
        <v>0</v>
      </c>
      <c r="V195" s="1908">
        <f t="shared" si="137"/>
        <v>0</v>
      </c>
      <c r="W195" s="1579"/>
      <c r="Y195" s="1579"/>
      <c r="AA195" s="1673">
        <f t="shared" si="138"/>
        <v>3700</v>
      </c>
      <c r="AB195" s="1894">
        <f t="shared" si="139"/>
        <v>350</v>
      </c>
      <c r="AC195" s="1745">
        <f t="shared" si="140"/>
        <v>2</v>
      </c>
      <c r="AD195" s="1544" t="b">
        <f t="shared" si="141"/>
        <v>1</v>
      </c>
      <c r="AE195" s="1544" t="b">
        <f t="shared" si="142"/>
        <v>1</v>
      </c>
      <c r="AF195" s="1544" t="b">
        <f t="shared" si="143"/>
        <v>1</v>
      </c>
    </row>
    <row r="196" spans="1:32" ht="19.5" customHeight="1">
      <c r="A196" s="5190"/>
      <c r="B196" s="5186"/>
      <c r="C196" s="15"/>
      <c r="D196" s="15"/>
      <c r="E196" s="4857"/>
      <c r="F196" s="1673" t="str">
        <f t="shared" si="146"/>
        <v>T6 Housing</v>
      </c>
      <c r="G196" s="1673">
        <f>IFERROR(VLOOKUP(F196,B.BasicInfomation!$B:$O,11,0),"")</f>
        <v>6700</v>
      </c>
      <c r="H196" s="1673">
        <f>IFERROR(VLOOKUP(F196,B.BasicInfomation!$B:$O,12,0),"")</f>
        <v>350</v>
      </c>
      <c r="I196" s="2013">
        <f>IFERROR(VLOOKUP(F196,B.BasicInfomation!$B:$O,13,0),"")</f>
        <v>1</v>
      </c>
      <c r="J196" s="4">
        <f>J109/$G196/'4. L PLAN'!F$110</f>
        <v>0</v>
      </c>
      <c r="K196" s="1896">
        <f>K109/$G196/'4. L PLAN'!G$110</f>
        <v>0</v>
      </c>
      <c r="L196" s="1897">
        <f>L109/$G196/'4. L PLAN'!H$110</f>
        <v>0</v>
      </c>
      <c r="M196" s="4">
        <f>M109/$G196/'4. L PLAN'!I$110</f>
        <v>0</v>
      </c>
      <c r="N196" s="1896">
        <f>N109/$G196/'4. L PLAN'!J$110</f>
        <v>0</v>
      </c>
      <c r="O196" s="1930">
        <f>O109/$G196/'4. L PLAN'!K$110</f>
        <v>0</v>
      </c>
      <c r="P196" s="1931">
        <f>P109/$G196/'4. L PLAN'!L$110</f>
        <v>0</v>
      </c>
      <c r="Q196" s="1900">
        <f>Q109/$G196/'4. L PLAN'!M$110</f>
        <v>0</v>
      </c>
      <c r="R196" s="1898">
        <f>R109/$G196/'4. L PLAN'!N$110</f>
        <v>0</v>
      </c>
      <c r="S196" s="1932">
        <f>S109/$G196/'4. L PLAN'!O$110</f>
        <v>0</v>
      </c>
      <c r="T196" s="1900">
        <f>T109/$G196/'4. L PLAN'!P$110</f>
        <v>0</v>
      </c>
      <c r="U196" s="1898">
        <f>U109/$G196/'4. L PLAN'!Q$110</f>
        <v>0</v>
      </c>
      <c r="V196" s="1908">
        <f t="shared" si="137"/>
        <v>0</v>
      </c>
      <c r="AA196" s="1673">
        <f t="shared" si="138"/>
        <v>6700</v>
      </c>
      <c r="AB196" s="1894">
        <f t="shared" si="139"/>
        <v>350</v>
      </c>
      <c r="AC196" s="1745">
        <f t="shared" si="140"/>
        <v>1</v>
      </c>
      <c r="AD196" s="1544" t="b">
        <f t="shared" si="141"/>
        <v>1</v>
      </c>
      <c r="AE196" s="1544" t="b">
        <f t="shared" si="142"/>
        <v>1</v>
      </c>
      <c r="AF196" s="1544" t="b">
        <f t="shared" si="143"/>
        <v>1</v>
      </c>
    </row>
    <row r="197" spans="1:32" s="1579" customFormat="1" ht="19.5" customHeight="1">
      <c r="A197" s="5190"/>
      <c r="B197" s="5186"/>
      <c r="C197" s="15"/>
      <c r="D197" s="15"/>
      <c r="E197" s="4857">
        <v>14</v>
      </c>
      <c r="F197" s="1673" t="str">
        <f t="shared" si="146"/>
        <v>CL4 Housing (YT)</v>
      </c>
      <c r="G197" s="1673">
        <f>IFERROR(VLOOKUP(F197,B.BasicInfomation!$B:$O,11,0),"")</f>
        <v>6700</v>
      </c>
      <c r="H197" s="1673">
        <f>IFERROR(VLOOKUP(F197,B.BasicInfomation!$B:$O,12,0),"")</f>
        <v>350</v>
      </c>
      <c r="I197" s="2013">
        <f>IFERROR(VLOOKUP(F197,B.BasicInfomation!$B:$O,13,0),"")</f>
        <v>1</v>
      </c>
      <c r="J197" s="4">
        <f>J110/$G197/'4. L PLAN'!F$110</f>
        <v>0.138437763262308</v>
      </c>
      <c r="K197" s="1896">
        <f>K110/$G197/'4. L PLAN'!G$110</f>
        <v>0.39368238927718835</v>
      </c>
      <c r="L197" s="1897">
        <f>L110/$G197/'4. L PLAN'!H$110</f>
        <v>0.15381973695811998</v>
      </c>
      <c r="M197" s="4">
        <f>M110/$G197/'4. L PLAN'!I$110</f>
        <v>0.25195672913740053</v>
      </c>
      <c r="N197" s="1896">
        <f>N110/$G197/'4. L PLAN'!J$110</f>
        <v>0.25195672913740053</v>
      </c>
      <c r="O197" s="1930">
        <f>O110/$G197/'4. L PLAN'!K$110</f>
        <v>0.19996565804555605</v>
      </c>
      <c r="P197" s="1931">
        <f>P110/$G197/'4. L PLAN'!L$110</f>
        <v>0.18515338707921855</v>
      </c>
      <c r="Q197" s="1900">
        <f>Q110/$G197/'4. L PLAN'!M$110</f>
        <v>0.19227467119765004</v>
      </c>
      <c r="R197" s="1898">
        <f>R110/$G197/'4. L PLAN'!N$110</f>
        <v>0.19996565804555605</v>
      </c>
      <c r="S197" s="1932">
        <f>S110/$G197/'4. L PLAN'!O$110</f>
        <v>0.18515338707921855</v>
      </c>
      <c r="T197" s="1900">
        <f>T110/$G197/'4. L PLAN'!P$110</f>
        <v>0.19996565804555605</v>
      </c>
      <c r="U197" s="1898">
        <f>U110/$G197/'4. L PLAN'!Q$110</f>
        <v>0.18515338707921855</v>
      </c>
      <c r="V197" s="1908">
        <f t="shared" si="137"/>
        <v>0.2114570961953659</v>
      </c>
      <c r="W197" s="1542"/>
      <c r="X197" s="1544"/>
      <c r="Y197" s="1544"/>
      <c r="AA197" s="1673">
        <f t="shared" si="138"/>
        <v>6700</v>
      </c>
      <c r="AB197" s="1894">
        <f t="shared" si="139"/>
        <v>350</v>
      </c>
      <c r="AC197" s="1745">
        <f t="shared" si="140"/>
        <v>1</v>
      </c>
      <c r="AD197" s="1544" t="b">
        <f t="shared" si="141"/>
        <v>1</v>
      </c>
      <c r="AE197" s="1544" t="b">
        <f t="shared" si="142"/>
        <v>1</v>
      </c>
      <c r="AF197" s="1544" t="b">
        <f t="shared" si="143"/>
        <v>1</v>
      </c>
    </row>
    <row r="198" spans="1:32" s="1579" customFormat="1" ht="19.5" customHeight="1">
      <c r="A198" s="5190"/>
      <c r="B198" s="5186"/>
      <c r="C198" s="15"/>
      <c r="D198" s="15"/>
      <c r="E198" s="4857"/>
      <c r="F198" s="1673" t="str">
        <f t="shared" ref="F198:F210" si="147">F111</f>
        <v>CL4 Housing (MX)</v>
      </c>
      <c r="G198" s="1673">
        <f>IFERROR(VLOOKUP(F198,B.BasicInfomation!$B:$O,11,0),"")</f>
        <v>6700</v>
      </c>
      <c r="H198" s="1673">
        <f>IFERROR(VLOOKUP(F198,B.BasicInfomation!$B:$O,12,0),"")</f>
        <v>350</v>
      </c>
      <c r="I198" s="2013">
        <f>IFERROR(VLOOKUP(F198,B.BasicInfomation!$B:$O,13,0),"")</f>
        <v>1</v>
      </c>
      <c r="J198" s="4"/>
      <c r="K198" s="1896"/>
      <c r="L198" s="1897"/>
      <c r="M198" s="4"/>
      <c r="N198" s="1896"/>
      <c r="O198" s="1930"/>
      <c r="P198" s="1931"/>
      <c r="Q198" s="1900"/>
      <c r="R198" s="1898"/>
      <c r="S198" s="1932"/>
      <c r="T198" s="1900"/>
      <c r="U198" s="1898"/>
      <c r="V198" s="1908"/>
      <c r="W198" s="1542"/>
      <c r="X198" s="1544"/>
      <c r="Y198" s="1544"/>
      <c r="AA198" s="1673"/>
      <c r="AB198" s="1894"/>
      <c r="AC198" s="1745"/>
      <c r="AD198" s="1544"/>
      <c r="AE198" s="1544"/>
      <c r="AF198" s="1544"/>
    </row>
    <row r="199" spans="1:32" s="1579" customFormat="1" ht="19.5" customHeight="1">
      <c r="A199" s="5190"/>
      <c r="B199" s="5186"/>
      <c r="C199" s="15"/>
      <c r="D199" s="15"/>
      <c r="E199" s="4857">
        <v>15</v>
      </c>
      <c r="F199" s="1673" t="str">
        <f t="shared" si="147"/>
        <v>MQ4a PE Housing (YT)</v>
      </c>
      <c r="G199" s="1673">
        <f>IFERROR(VLOOKUP(F199,B.BasicInfomation!$B:$O,11,0),"")</f>
        <v>6700</v>
      </c>
      <c r="H199" s="1673">
        <f>IFERROR(VLOOKUP(F199,B.BasicInfomation!$B:$O,12,0),"")</f>
        <v>350</v>
      </c>
      <c r="I199" s="2013">
        <f>IFERROR(VLOOKUP(F199,B.BasicInfomation!$B:$O,13,0),"")</f>
        <v>1</v>
      </c>
      <c r="J199" s="4">
        <f>J112/$G199/'4. L PLAN'!F$110</f>
        <v>0.15332191345219442</v>
      </c>
      <c r="K199" s="1896">
        <f>K112/$G199/'4. L PLAN'!G$110</f>
        <v>0.20417991401194668</v>
      </c>
      <c r="L199" s="1897">
        <f>L112/$G199/'4. L PLAN'!H$110</f>
        <v>0.10844720707594241</v>
      </c>
      <c r="M199" s="4">
        <f>M112/$G199/'4. L PLAN'!I$110</f>
        <v>0.11667423657825525</v>
      </c>
      <c r="N199" s="1896">
        <f>N112/$G199/'4. L PLAN'!J$110</f>
        <v>0.13067514496764587</v>
      </c>
      <c r="O199" s="1930">
        <f>O112/$G199/'4. L PLAN'!K$110</f>
        <v>0.1197077667292899</v>
      </c>
      <c r="P199" s="1931">
        <f>P112/$G199/'4. L PLAN'!L$110</f>
        <v>0.1108405247493425</v>
      </c>
      <c r="Q199" s="1900">
        <f>Q112/$G199/'4. L PLAN'!M$110</f>
        <v>0.11510362185508644</v>
      </c>
      <c r="R199" s="1898">
        <f>R112/$G199/'4. L PLAN'!N$110</f>
        <v>0.1197077667292899</v>
      </c>
      <c r="S199" s="1932">
        <f>S112/$G199/'4. L PLAN'!O$110</f>
        <v>0.1108405247493425</v>
      </c>
      <c r="T199" s="1900">
        <f>T112/$G199/'4. L PLAN'!P$110</f>
        <v>0.1197077667292899</v>
      </c>
      <c r="U199" s="1898">
        <f>U112/$G199/'4. L PLAN'!Q$110</f>
        <v>0.1108405247493425</v>
      </c>
      <c r="V199" s="1908">
        <f t="shared" si="137"/>
        <v>0.12667057603141402</v>
      </c>
      <c r="W199" s="1542"/>
      <c r="X199" s="1544"/>
      <c r="Y199" s="1544"/>
      <c r="AA199" s="1673">
        <f t="shared" si="138"/>
        <v>6700</v>
      </c>
      <c r="AB199" s="1894">
        <f t="shared" si="139"/>
        <v>350</v>
      </c>
      <c r="AC199" s="1745">
        <f t="shared" si="140"/>
        <v>1</v>
      </c>
      <c r="AD199" s="1544" t="b">
        <f t="shared" si="141"/>
        <v>1</v>
      </c>
      <c r="AE199" s="1544" t="b">
        <f t="shared" si="142"/>
        <v>1</v>
      </c>
      <c r="AF199" s="1544" t="b">
        <f t="shared" si="143"/>
        <v>1</v>
      </c>
    </row>
    <row r="200" spans="1:32" s="1579" customFormat="1" ht="19.5" customHeight="1">
      <c r="A200" s="5190"/>
      <c r="B200" s="5186"/>
      <c r="C200" s="15"/>
      <c r="D200" s="15"/>
      <c r="E200" s="4857"/>
      <c r="F200" s="1673" t="str">
        <f t="shared" si="147"/>
        <v>MQ4a PE Housing (MX)</v>
      </c>
      <c r="G200" s="1673">
        <f>IFERROR(VLOOKUP(F200,B.BasicInfomation!$B:$O,11,0),"")</f>
        <v>6700</v>
      </c>
      <c r="H200" s="1673">
        <f>IFERROR(VLOOKUP(F200,B.BasicInfomation!$B:$O,12,0),"")</f>
        <v>350</v>
      </c>
      <c r="I200" s="2013">
        <f>IFERROR(VLOOKUP(F200,B.BasicInfomation!$B:$O,13,0),"")</f>
        <v>1</v>
      </c>
      <c r="J200" s="4"/>
      <c r="K200" s="1896"/>
      <c r="L200" s="1897"/>
      <c r="M200" s="4"/>
      <c r="N200" s="1896"/>
      <c r="O200" s="1930"/>
      <c r="P200" s="1931"/>
      <c r="Q200" s="1900"/>
      <c r="R200" s="1898"/>
      <c r="S200" s="1932"/>
      <c r="T200" s="1900"/>
      <c r="U200" s="1898"/>
      <c r="V200" s="1908"/>
      <c r="W200" s="1542"/>
      <c r="X200" s="1544"/>
      <c r="Y200" s="1544"/>
      <c r="AA200" s="1673"/>
      <c r="AB200" s="1894"/>
      <c r="AC200" s="1745"/>
      <c r="AD200" s="1544"/>
      <c r="AE200" s="1544"/>
      <c r="AF200" s="1544"/>
    </row>
    <row r="201" spans="1:32" s="1579" customFormat="1" ht="19.5" customHeight="1">
      <c r="A201" s="5190"/>
      <c r="B201" s="5186"/>
      <c r="C201" s="15"/>
      <c r="D201" s="15"/>
      <c r="E201" s="4857"/>
      <c r="F201" s="1673" t="str">
        <f t="shared" si="147"/>
        <v>BYD Housing</v>
      </c>
      <c r="G201" s="1673">
        <f>IFERROR(VLOOKUP(F201,B.BasicInfomation!$B:$O,11,0),"")</f>
        <v>6700</v>
      </c>
      <c r="H201" s="1673">
        <f>IFERROR(VLOOKUP(F201,B.BasicInfomation!$B:$O,12,0),"")</f>
        <v>350</v>
      </c>
      <c r="I201" s="2013">
        <f>IFERROR(VLOOKUP(F201,B.BasicInfomation!$B:$O,13,0),"")</f>
        <v>1</v>
      </c>
      <c r="J201" s="4">
        <f>J114/$G201/'4. L PLAN'!F$110</f>
        <v>0</v>
      </c>
      <c r="K201" s="1896">
        <f>K114/$G201/'4. L PLAN'!G$110</f>
        <v>0</v>
      </c>
      <c r="L201" s="1897">
        <f>L114/$G201/'4. L PLAN'!H$110</f>
        <v>0</v>
      </c>
      <c r="M201" s="4">
        <f>M114/$G201/'4. L PLAN'!I$110</f>
        <v>0</v>
      </c>
      <c r="N201" s="1896">
        <f>N114/$G201/'4. L PLAN'!J$110</f>
        <v>0</v>
      </c>
      <c r="O201" s="1930">
        <f>O114/$G201/'4. L PLAN'!K$110</f>
        <v>0</v>
      </c>
      <c r="P201" s="1931">
        <f>P114/$G201/'4. L PLAN'!L$110</f>
        <v>0</v>
      </c>
      <c r="Q201" s="1900">
        <f>Q114/$G201/'4. L PLAN'!M$110</f>
        <v>0</v>
      </c>
      <c r="R201" s="1898">
        <f>R114/$G201/'4. L PLAN'!N$110</f>
        <v>0</v>
      </c>
      <c r="S201" s="1932">
        <f>S114/$G201/'4. L PLAN'!O$110</f>
        <v>0</v>
      </c>
      <c r="T201" s="1900">
        <f>T114/$G201/'4. L PLAN'!P$110</f>
        <v>0</v>
      </c>
      <c r="U201" s="1898">
        <f>U114/$G201/'4. L PLAN'!Q$110</f>
        <v>0</v>
      </c>
      <c r="V201" s="1908">
        <f t="shared" si="137"/>
        <v>0</v>
      </c>
      <c r="W201" s="1542"/>
      <c r="X201" s="1544"/>
      <c r="Y201" s="1544"/>
      <c r="AA201" s="1673">
        <f t="shared" si="138"/>
        <v>6700</v>
      </c>
      <c r="AB201" s="1894">
        <f t="shared" si="139"/>
        <v>350</v>
      </c>
      <c r="AC201" s="1745">
        <f t="shared" si="140"/>
        <v>1</v>
      </c>
      <c r="AD201" s="1544" t="b">
        <f t="shared" si="141"/>
        <v>1</v>
      </c>
      <c r="AE201" s="1544" t="b">
        <f t="shared" si="142"/>
        <v>1</v>
      </c>
      <c r="AF201" s="1544" t="b">
        <f t="shared" si="143"/>
        <v>1</v>
      </c>
    </row>
    <row r="202" spans="1:32" s="1579" customFormat="1" ht="19.5" customHeight="1">
      <c r="A202" s="5190"/>
      <c r="B202" s="5186"/>
      <c r="C202" s="15"/>
      <c r="D202" s="15"/>
      <c r="E202" s="4857">
        <v>16</v>
      </c>
      <c r="F202" s="1673" t="str">
        <f t="shared" si="147"/>
        <v>MX5 Housing</v>
      </c>
      <c r="G202" s="1673">
        <f>IFERROR(VLOOKUP(F202,B.BasicInfomation!$B:$O,11,0),"")</f>
        <v>6000</v>
      </c>
      <c r="H202" s="1673">
        <f>IFERROR(VLOOKUP(F202,B.BasicInfomation!$B:$O,12,0),"")</f>
        <v>350</v>
      </c>
      <c r="I202" s="2013">
        <f>IFERROR(VLOOKUP(F202,B.BasicInfomation!$B:$O,13,0),"")</f>
        <v>1</v>
      </c>
      <c r="J202" s="4">
        <f>J115/$G202/'4. L PLAN'!F$110</f>
        <v>0</v>
      </c>
      <c r="K202" s="1896">
        <f>K115/$G202/'4. L PLAN'!G$110</f>
        <v>0</v>
      </c>
      <c r="L202" s="1897">
        <f>L115/$G202/'4. L PLAN'!H$110</f>
        <v>0</v>
      </c>
      <c r="M202" s="4">
        <f>M115/$G202/'4. L PLAN'!I$110</f>
        <v>0</v>
      </c>
      <c r="N202" s="1896">
        <f>N115/$G202/'4. L PLAN'!J$110</f>
        <v>0</v>
      </c>
      <c r="O202" s="1930">
        <f>O115/$G202/'4. L PLAN'!K$110</f>
        <v>0</v>
      </c>
      <c r="P202" s="1931">
        <f>P115/$G202/'4. L PLAN'!L$110</f>
        <v>0</v>
      </c>
      <c r="Q202" s="1900">
        <f>Q115/$G202/'4. L PLAN'!M$110</f>
        <v>0</v>
      </c>
      <c r="R202" s="1898">
        <f>R115/$G202/'4. L PLAN'!N$110</f>
        <v>0</v>
      </c>
      <c r="S202" s="1932">
        <f>S115/$G202/'4. L PLAN'!O$110</f>
        <v>0</v>
      </c>
      <c r="T202" s="1900">
        <f>T115/$G202/'4. L PLAN'!P$110</f>
        <v>0</v>
      </c>
      <c r="U202" s="1898">
        <f>U115/$G202/'4. L PLAN'!Q$110</f>
        <v>0</v>
      </c>
      <c r="V202" s="1908">
        <f t="shared" si="137"/>
        <v>0</v>
      </c>
      <c r="W202" s="1542"/>
      <c r="X202" s="1544"/>
      <c r="Y202" s="1544"/>
      <c r="AA202" s="1673">
        <f t="shared" si="138"/>
        <v>6000</v>
      </c>
      <c r="AB202" s="1894">
        <f t="shared" si="139"/>
        <v>350</v>
      </c>
      <c r="AC202" s="1745">
        <f t="shared" si="140"/>
        <v>1</v>
      </c>
      <c r="AD202" s="1544" t="b">
        <f t="shared" si="141"/>
        <v>1</v>
      </c>
      <c r="AE202" s="1544" t="b">
        <f t="shared" si="142"/>
        <v>1</v>
      </c>
      <c r="AF202" s="1544" t="b">
        <f t="shared" si="143"/>
        <v>1</v>
      </c>
    </row>
    <row r="203" spans="1:32" s="1579" customFormat="1" ht="19.5" customHeight="1">
      <c r="A203" s="5190"/>
      <c r="B203" s="5186"/>
      <c r="C203" s="15"/>
      <c r="D203" s="12" t="s">
        <v>874</v>
      </c>
      <c r="E203" s="4881"/>
      <c r="F203" s="1673" t="str">
        <f t="shared" si="147"/>
        <v>Gen2 Cover</v>
      </c>
      <c r="G203" s="1673">
        <f>IFERROR(VLOOKUP(F203,B.BasicInfomation!$B:$O,11,0),"")</f>
        <v>6000</v>
      </c>
      <c r="H203" s="1673">
        <f>IFERROR(VLOOKUP(F203,B.BasicInfomation!$B:$O,12,0),"")</f>
        <v>350</v>
      </c>
      <c r="I203" s="2013">
        <f>IFERROR(VLOOKUP(F203,B.BasicInfomation!$B:$O,13,0),"")</f>
        <v>4</v>
      </c>
      <c r="J203" s="1933">
        <f>J116/$G203/'4. L PLAN'!F$110</f>
        <v>3.1894073972644169E-2</v>
      </c>
      <c r="K203" s="1934">
        <f>K116/$G203/'4. L PLAN'!G$110</f>
        <v>6.5303116458988952E-2</v>
      </c>
      <c r="L203" s="1935">
        <f>L116/$G203/'4. L PLAN'!H$110</f>
        <v>3.9867592465805214E-2</v>
      </c>
      <c r="M203" s="1933">
        <f>M116/$G203/'4. L PLAN'!I$110</f>
        <v>0</v>
      </c>
      <c r="N203" s="1934">
        <f>N116/$G203/'4. L PLAN'!J$110</f>
        <v>0</v>
      </c>
      <c r="O203" s="1936">
        <f>O116/$G203/'4. L PLAN'!K$110</f>
        <v>0</v>
      </c>
      <c r="P203" s="1937">
        <f>P116/$G203/'4. L PLAN'!L$110</f>
        <v>0</v>
      </c>
      <c r="Q203" s="1938">
        <f>Q116/$G203/'4. L PLAN'!M$110</f>
        <v>0</v>
      </c>
      <c r="R203" s="1939">
        <f>R116/$G203/'4. L PLAN'!N$110</f>
        <v>0</v>
      </c>
      <c r="S203" s="1940">
        <f>S116/$G203/'4. L PLAN'!O$110</f>
        <v>0</v>
      </c>
      <c r="T203" s="1938">
        <f>T116/$G203/'4. L PLAN'!P$110</f>
        <v>0</v>
      </c>
      <c r="U203" s="1939">
        <f>U116/$G203/'4. L PLAN'!Q$110</f>
        <v>0</v>
      </c>
      <c r="V203" s="1941">
        <f t="shared" si="137"/>
        <v>1.1422065241453195E-2</v>
      </c>
      <c r="W203" s="1852"/>
      <c r="X203" s="1544"/>
      <c r="Y203" s="1544"/>
      <c r="AA203" s="1673">
        <f t="shared" si="138"/>
        <v>6000</v>
      </c>
      <c r="AB203" s="1894">
        <f t="shared" si="139"/>
        <v>350</v>
      </c>
      <c r="AC203" s="1745">
        <f t="shared" si="140"/>
        <v>4</v>
      </c>
      <c r="AD203" s="1544" t="b">
        <f t="shared" si="141"/>
        <v>1</v>
      </c>
      <c r="AE203" s="1544" t="b">
        <f t="shared" si="142"/>
        <v>1</v>
      </c>
      <c r="AF203" s="1544" t="b">
        <f t="shared" si="143"/>
        <v>1</v>
      </c>
    </row>
    <row r="204" spans="1:32" s="1579" customFormat="1" ht="19.5" customHeight="1">
      <c r="A204" s="5190"/>
      <c r="B204" s="5186"/>
      <c r="C204" s="15"/>
      <c r="D204" s="15"/>
      <c r="E204" s="4857"/>
      <c r="F204" s="1673" t="str">
        <f t="shared" si="147"/>
        <v>T6 Cover</v>
      </c>
      <c r="G204" s="1673">
        <f>IFERROR(VLOOKUP(F204,B.BasicInfomation!$B:$O,11,0),"")</f>
        <v>6000</v>
      </c>
      <c r="H204" s="1673">
        <f>IFERROR(VLOOKUP(F204,B.BasicInfomation!$B:$O,12,0),"")</f>
        <v>350</v>
      </c>
      <c r="I204" s="2013">
        <f>IFERROR(VLOOKUP(F204,B.BasicInfomation!$B:$O,13,0),"")</f>
        <v>4</v>
      </c>
      <c r="J204" s="4">
        <f>J117/$G204/'4. L PLAN'!F$110</f>
        <v>0</v>
      </c>
      <c r="K204" s="1896">
        <f>K117/$G204/'4. L PLAN'!G$110</f>
        <v>0</v>
      </c>
      <c r="L204" s="1897">
        <f>L117/$G204/'4. L PLAN'!H$110</f>
        <v>0</v>
      </c>
      <c r="M204" s="4">
        <f>M117/$G204/'4. L PLAN'!I$110</f>
        <v>0</v>
      </c>
      <c r="N204" s="1896">
        <f>N117/$G204/'4. L PLAN'!J$110</f>
        <v>0</v>
      </c>
      <c r="O204" s="1930">
        <f>O117/$G204/'4. L PLAN'!K$110</f>
        <v>0</v>
      </c>
      <c r="P204" s="1931">
        <f>P117/$G204/'4. L PLAN'!L$110</f>
        <v>0</v>
      </c>
      <c r="Q204" s="1900">
        <f>Q117/$G204/'4. L PLAN'!M$110</f>
        <v>0</v>
      </c>
      <c r="R204" s="1898">
        <f>R117/$G204/'4. L PLAN'!N$110</f>
        <v>0</v>
      </c>
      <c r="S204" s="1932">
        <f>S117/$G204/'4. L PLAN'!O$110</f>
        <v>0</v>
      </c>
      <c r="T204" s="1900">
        <f>T117/$G204/'4. L PLAN'!P$110</f>
        <v>0</v>
      </c>
      <c r="U204" s="1898">
        <f>U117/$G204/'4. L PLAN'!Q$110</f>
        <v>0</v>
      </c>
      <c r="V204" s="1908">
        <f t="shared" si="137"/>
        <v>0</v>
      </c>
      <c r="W204" s="1852"/>
      <c r="X204" s="1544"/>
      <c r="Y204" s="1544"/>
      <c r="AA204" s="1673">
        <f t="shared" si="138"/>
        <v>6000</v>
      </c>
      <c r="AB204" s="1894">
        <f t="shared" si="139"/>
        <v>350</v>
      </c>
      <c r="AC204" s="1745">
        <f t="shared" si="140"/>
        <v>4</v>
      </c>
      <c r="AD204" s="1544" t="b">
        <f t="shared" si="141"/>
        <v>1</v>
      </c>
      <c r="AE204" s="1544" t="b">
        <f t="shared" si="142"/>
        <v>1</v>
      </c>
      <c r="AF204" s="1544" t="b">
        <f t="shared" si="143"/>
        <v>1</v>
      </c>
    </row>
    <row r="205" spans="1:32" s="1579" customFormat="1" ht="19.5" customHeight="1">
      <c r="A205" s="5190"/>
      <c r="B205" s="5186"/>
      <c r="C205" s="15"/>
      <c r="D205" s="15"/>
      <c r="E205" s="4857">
        <v>17</v>
      </c>
      <c r="F205" s="1673" t="str">
        <f t="shared" si="147"/>
        <v>EK_Part Cover</v>
      </c>
      <c r="G205" s="1673">
        <f>IFERROR(VLOOKUP(F205,B.BasicInfomation!$B:$O,11,0),"")</f>
        <v>6000</v>
      </c>
      <c r="H205" s="1673">
        <f>IFERROR(VLOOKUP(F205,B.BasicInfomation!$B:$O,12,0),"")</f>
        <v>350</v>
      </c>
      <c r="I205" s="2013">
        <f>IFERROR(VLOOKUP(F205,B.BasicInfomation!$B:$O,13,0),"")</f>
        <v>4</v>
      </c>
      <c r="J205" s="4">
        <f>J118/$G205/'4. L PLAN'!F$110</f>
        <v>0.13788420038600468</v>
      </c>
      <c r="K205" s="1896">
        <f>K118/$G205/'4. L PLAN'!G$110</f>
        <v>0.16804636922044319</v>
      </c>
      <c r="L205" s="1897">
        <f>L118/$G205/'4. L PLAN'!H$110</f>
        <v>0.1034131502895035</v>
      </c>
      <c r="M205" s="4">
        <f>M118/$G205/'4. L PLAN'!I$110</f>
        <v>0.10754967630108364</v>
      </c>
      <c r="N205" s="1896">
        <f>N118/$G205/'4. L PLAN'!J$110</f>
        <v>0.10754967630108364</v>
      </c>
      <c r="O205" s="1930">
        <f>O118/$G205/'4. L PLAN'!K$110</f>
        <v>0.10754967630108364</v>
      </c>
      <c r="P205" s="1931">
        <f>P118/$G205/'4. L PLAN'!L$110</f>
        <v>7.5619097638045016E-2</v>
      </c>
      <c r="Q205" s="1900">
        <f>Q118/$G205/'4. L PLAN'!M$110</f>
        <v>7.8527524470277513E-2</v>
      </c>
      <c r="R205" s="1898">
        <f>R118/$G205/'4. L PLAN'!N$110</f>
        <v>8.1668625449088608E-2</v>
      </c>
      <c r="S205" s="1932">
        <f>S118/$G205/'4. L PLAN'!O$110</f>
        <v>7.5619097638045016E-2</v>
      </c>
      <c r="T205" s="1900">
        <f>T118/$G205/'4. L PLAN'!P$110</f>
        <v>8.1668625449088608E-2</v>
      </c>
      <c r="U205" s="1898">
        <f>U118/$G205/'4. L PLAN'!Q$110</f>
        <v>7.5619097638045016E-2</v>
      </c>
      <c r="V205" s="1908">
        <f t="shared" si="137"/>
        <v>0.10005956809014936</v>
      </c>
      <c r="W205" s="1852"/>
      <c r="X205" s="1544"/>
      <c r="Y205" s="1544"/>
      <c r="AA205" s="1673">
        <f t="shared" si="138"/>
        <v>6000</v>
      </c>
      <c r="AB205" s="1894">
        <f t="shared" si="139"/>
        <v>350</v>
      </c>
      <c r="AC205" s="1745">
        <f t="shared" si="140"/>
        <v>4</v>
      </c>
      <c r="AD205" s="1544" t="b">
        <f t="shared" si="141"/>
        <v>1</v>
      </c>
      <c r="AE205" s="1544" t="b">
        <f t="shared" si="142"/>
        <v>1</v>
      </c>
      <c r="AF205" s="1544" t="b">
        <f t="shared" si="143"/>
        <v>1</v>
      </c>
    </row>
    <row r="206" spans="1:32" s="1579" customFormat="1" ht="19.5" customHeight="1">
      <c r="A206" s="5190"/>
      <c r="B206" s="5186"/>
      <c r="C206" s="15"/>
      <c r="D206" s="15"/>
      <c r="E206" s="4857"/>
      <c r="F206" s="1673" t="str">
        <f t="shared" si="147"/>
        <v>570W Cover</v>
      </c>
      <c r="G206" s="1673">
        <f>IFERROR(VLOOKUP(F206,B.BasicInfomation!$B:$O,11,0),"")</f>
        <v>6000</v>
      </c>
      <c r="H206" s="1673">
        <f>IFERROR(VLOOKUP(F206,B.BasicInfomation!$B:$O,12,0),"")</f>
        <v>350</v>
      </c>
      <c r="I206" s="2013">
        <f>IFERROR(VLOOKUP(F206,B.BasicInfomation!$B:$O,13,0),"")</f>
        <v>4</v>
      </c>
      <c r="J206" s="4">
        <f>J119/$G206/'4. L PLAN'!F$110</f>
        <v>0</v>
      </c>
      <c r="K206" s="1896">
        <f>K119/$G206/'4. L PLAN'!G$110</f>
        <v>0</v>
      </c>
      <c r="L206" s="1897">
        <f>L119/$G206/'4. L PLAN'!H$110</f>
        <v>0</v>
      </c>
      <c r="M206" s="4">
        <f>M119/$G206/'4. L PLAN'!I$110</f>
        <v>0</v>
      </c>
      <c r="N206" s="1896">
        <f>N119/$G206/'4. L PLAN'!J$110</f>
        <v>0</v>
      </c>
      <c r="O206" s="1930">
        <f>O119/$G206/'4. L PLAN'!K$110</f>
        <v>0</v>
      </c>
      <c r="P206" s="1931">
        <f>P119/$G206/'4. L PLAN'!L$110</f>
        <v>0</v>
      </c>
      <c r="Q206" s="1900">
        <f>Q119/$G206/'4. L PLAN'!M$110</f>
        <v>0</v>
      </c>
      <c r="R206" s="1898">
        <f>R119/$G206/'4. L PLAN'!N$110</f>
        <v>0</v>
      </c>
      <c r="S206" s="1932">
        <f>S119/$G206/'4. L PLAN'!O$110</f>
        <v>0</v>
      </c>
      <c r="T206" s="1900">
        <f>T119/$G206/'4. L PLAN'!P$110</f>
        <v>0</v>
      </c>
      <c r="U206" s="1898">
        <f>U119/$G206/'4. L PLAN'!Q$110</f>
        <v>0</v>
      </c>
      <c r="V206" s="1908">
        <f t="shared" si="137"/>
        <v>0</v>
      </c>
      <c r="W206" s="1852"/>
      <c r="X206" s="1544"/>
      <c r="Y206" s="1544"/>
      <c r="AA206" s="1673">
        <f t="shared" si="138"/>
        <v>6000</v>
      </c>
      <c r="AB206" s="1894">
        <f t="shared" si="139"/>
        <v>350</v>
      </c>
      <c r="AC206" s="1745">
        <f t="shared" si="140"/>
        <v>4</v>
      </c>
      <c r="AD206" s="1544" t="b">
        <f t="shared" si="141"/>
        <v>1</v>
      </c>
      <c r="AE206" s="1544" t="b">
        <f t="shared" si="142"/>
        <v>1</v>
      </c>
      <c r="AF206" s="1544" t="b">
        <f t="shared" si="143"/>
        <v>1</v>
      </c>
    </row>
    <row r="207" spans="1:32" ht="19.5" customHeight="1">
      <c r="A207" s="5190"/>
      <c r="B207" s="5186"/>
      <c r="C207" s="15"/>
      <c r="D207" s="15"/>
      <c r="E207" s="4857">
        <v>18</v>
      </c>
      <c r="F207" s="1673" t="str">
        <f t="shared" si="147"/>
        <v>CL4 Cover (YT)</v>
      </c>
      <c r="G207" s="1673">
        <f>IFERROR(VLOOKUP(F207,B.BasicInfomation!$B:$O,11,0),"")</f>
        <v>6000</v>
      </c>
      <c r="H207" s="1673">
        <f>IFERROR(VLOOKUP(F207,B.BasicInfomation!$B:$O,12,0),"")</f>
        <v>350</v>
      </c>
      <c r="I207" s="2013">
        <f>IFERROR(VLOOKUP(F207,B.BasicInfomation!$B:$O,13,0),"")</f>
        <v>4</v>
      </c>
      <c r="J207" s="4">
        <f>J120/$G207/'4. L PLAN'!F$110</f>
        <v>0.15059820329478962</v>
      </c>
      <c r="K207" s="1896">
        <f>K120/$G207/'4. L PLAN'!G$110</f>
        <v>0</v>
      </c>
      <c r="L207" s="1897">
        <f>L120/$G207/'4. L PLAN'!H$110</f>
        <v>0</v>
      </c>
      <c r="M207" s="4">
        <f>M120/$G207/'4. L PLAN'!I$110</f>
        <v>0</v>
      </c>
      <c r="N207" s="1896">
        <f>N120/$G207/'4. L PLAN'!J$110</f>
        <v>0</v>
      </c>
      <c r="O207" s="1930">
        <f>O120/$G207/'4. L PLAN'!K$110</f>
        <v>0</v>
      </c>
      <c r="P207" s="1931">
        <f>P120/$G207/'4. L PLAN'!L$110</f>
        <v>0</v>
      </c>
      <c r="Q207" s="1900">
        <f>Q120/$G207/'4. L PLAN'!M$110</f>
        <v>0</v>
      </c>
      <c r="R207" s="1898">
        <f>R120/$G207/'4. L PLAN'!N$110</f>
        <v>0</v>
      </c>
      <c r="S207" s="1932">
        <f>S120/$G207/'4. L PLAN'!O$110</f>
        <v>0</v>
      </c>
      <c r="T207" s="1900">
        <f>T120/$G207/'4. L PLAN'!P$110</f>
        <v>0</v>
      </c>
      <c r="U207" s="1898">
        <f>U120/$G207/'4. L PLAN'!Q$110</f>
        <v>0</v>
      </c>
      <c r="V207" s="1908">
        <f t="shared" si="137"/>
        <v>1.2549850274565802E-2</v>
      </c>
      <c r="W207" s="1852"/>
      <c r="Y207" s="1650"/>
      <c r="AA207" s="1673">
        <f t="shared" si="138"/>
        <v>6000</v>
      </c>
      <c r="AB207" s="1894">
        <f t="shared" si="139"/>
        <v>350</v>
      </c>
      <c r="AC207" s="1745">
        <f t="shared" si="140"/>
        <v>4</v>
      </c>
      <c r="AD207" s="1544" t="b">
        <f t="shared" si="141"/>
        <v>1</v>
      </c>
      <c r="AE207" s="1544" t="b">
        <f t="shared" si="142"/>
        <v>1</v>
      </c>
      <c r="AF207" s="1544" t="b">
        <f t="shared" si="143"/>
        <v>1</v>
      </c>
    </row>
    <row r="208" spans="1:32" ht="19.5" customHeight="1">
      <c r="A208" s="5190"/>
      <c r="B208" s="5186"/>
      <c r="C208" s="15"/>
      <c r="D208" s="15"/>
      <c r="E208" s="4857"/>
      <c r="F208" s="1673" t="str">
        <f t="shared" si="147"/>
        <v>CL4 Cover (MX)</v>
      </c>
      <c r="G208" s="1673">
        <f>IFERROR(VLOOKUP(F208,B.BasicInfomation!$B:$O,11,0),"")</f>
        <v>6000</v>
      </c>
      <c r="H208" s="1673">
        <f>IFERROR(VLOOKUP(F208,B.BasicInfomation!$B:$O,12,0),"")</f>
        <v>350</v>
      </c>
      <c r="I208" s="2013">
        <f>IFERROR(VLOOKUP(F208,B.BasicInfomation!$B:$O,13,0),"")</f>
        <v>4</v>
      </c>
      <c r="J208" s="4"/>
      <c r="K208" s="1896"/>
      <c r="L208" s="1897"/>
      <c r="M208" s="4"/>
      <c r="N208" s="1896"/>
      <c r="O208" s="1930"/>
      <c r="P208" s="1931"/>
      <c r="Q208" s="1900"/>
      <c r="R208" s="1898"/>
      <c r="S208" s="1932"/>
      <c r="T208" s="1900"/>
      <c r="U208" s="1898"/>
      <c r="V208" s="1908"/>
      <c r="W208" s="1852"/>
      <c r="Y208" s="1650"/>
      <c r="AA208" s="1673"/>
      <c r="AB208" s="1894"/>
      <c r="AC208" s="1745"/>
    </row>
    <row r="209" spans="1:32" ht="19.5" customHeight="1">
      <c r="A209" s="5190"/>
      <c r="B209" s="5186"/>
      <c r="C209" s="15"/>
      <c r="D209" s="15"/>
      <c r="E209" s="4857"/>
      <c r="F209" s="1673" t="str">
        <f t="shared" si="147"/>
        <v>MQ4a PE Cover (YT)</v>
      </c>
      <c r="G209" s="1673">
        <f>IFERROR(VLOOKUP(F209,B.BasicInfomation!$B:$O,11,0),"")</f>
        <v>6000</v>
      </c>
      <c r="H209" s="1673">
        <f>IFERROR(VLOOKUP(F209,B.BasicInfomation!$B:$O,12,0),"")</f>
        <v>350</v>
      </c>
      <c r="I209" s="2013">
        <f>IFERROR(VLOOKUP(F209,B.BasicInfomation!$B:$O,13,0),"")</f>
        <v>4</v>
      </c>
      <c r="J209" s="4"/>
      <c r="K209" s="1896"/>
      <c r="L209" s="1897"/>
      <c r="M209" s="4"/>
      <c r="N209" s="1896"/>
      <c r="O209" s="1930"/>
      <c r="P209" s="1931"/>
      <c r="Q209" s="1900"/>
      <c r="R209" s="1898"/>
      <c r="S209" s="1932"/>
      <c r="T209" s="1900"/>
      <c r="U209" s="1898"/>
      <c r="V209" s="1908"/>
      <c r="W209" s="1852"/>
      <c r="Y209" s="1650"/>
      <c r="AA209" s="1673"/>
      <c r="AB209" s="1894"/>
      <c r="AC209" s="1745"/>
    </row>
    <row r="210" spans="1:32" ht="19.5" customHeight="1">
      <c r="A210" s="5190"/>
      <c r="B210" s="5186"/>
      <c r="C210" s="15"/>
      <c r="D210" s="1586"/>
      <c r="E210" s="4882">
        <v>19</v>
      </c>
      <c r="F210" s="1673" t="str">
        <f t="shared" si="147"/>
        <v>MQ4a PE Cover (MX)</v>
      </c>
      <c r="G210" s="1673">
        <f>IFERROR(VLOOKUP(F210,B.BasicInfomation!$B:$O,11,0),"")</f>
        <v>6000</v>
      </c>
      <c r="H210" s="1673">
        <f>IFERROR(VLOOKUP(F210,B.BasicInfomation!$B:$O,12,0),"")</f>
        <v>350</v>
      </c>
      <c r="I210" s="2013">
        <f>IFERROR(VLOOKUP(F210,B.BasicInfomation!$B:$O,13,0),"")</f>
        <v>4</v>
      </c>
      <c r="J210" s="1942">
        <f>J122/$G210/'4. L PLAN'!F$110</f>
        <v>0.20436724153087213</v>
      </c>
      <c r="K210" s="1943">
        <f>K122/$G210/'4. L PLAN'!G$110</f>
        <v>0.30442203686369484</v>
      </c>
      <c r="L210" s="1944">
        <f>L122/$G210/'4. L PLAN'!H$110</f>
        <v>0.11921422422634204</v>
      </c>
      <c r="M210" s="1942">
        <f>M122/$G210/'4. L PLAN'!I$110</f>
        <v>0.12299880277321006</v>
      </c>
      <c r="N210" s="1943">
        <f>N122/$G210/'4. L PLAN'!J$110</f>
        <v>0.13775865910599525</v>
      </c>
      <c r="O210" s="1945">
        <f>O122/$G210/'4. L PLAN'!K$110</f>
        <v>0.12619677164531351</v>
      </c>
      <c r="P210" s="1946">
        <f>P122/$G210/'4. L PLAN'!L$110</f>
        <v>0.11684886263454955</v>
      </c>
      <c r="Q210" s="1947">
        <f>Q122/$G210/'4. L PLAN'!M$110</f>
        <v>0.1213430496589553</v>
      </c>
      <c r="R210" s="1948">
        <f>R122/$G210/'4. L PLAN'!N$110</f>
        <v>0.12619677164531351</v>
      </c>
      <c r="S210" s="1949">
        <f>S122/$G210/'4. L PLAN'!O$110</f>
        <v>0.11684886263454955</v>
      </c>
      <c r="T210" s="1947">
        <f>T122/$G210/'4. L PLAN'!P$110</f>
        <v>0.12619677164531351</v>
      </c>
      <c r="U210" s="1948">
        <f>U122/$G210/'4. L PLAN'!Q$110</f>
        <v>0.11684886263454955</v>
      </c>
      <c r="V210" s="1950">
        <f t="shared" si="137"/>
        <v>0.1449367430832216</v>
      </c>
      <c r="W210" s="1852"/>
      <c r="Y210" s="1650"/>
      <c r="AA210" s="1673">
        <f t="shared" si="138"/>
        <v>6000</v>
      </c>
      <c r="AB210" s="1894">
        <f t="shared" si="139"/>
        <v>350</v>
      </c>
      <c r="AC210" s="1745">
        <f t="shared" si="140"/>
        <v>4</v>
      </c>
      <c r="AD210" s="1544" t="b">
        <f t="shared" si="141"/>
        <v>1</v>
      </c>
      <c r="AE210" s="1544" t="b">
        <f t="shared" si="142"/>
        <v>1</v>
      </c>
      <c r="AF210" s="1544" t="b">
        <f t="shared" si="143"/>
        <v>1</v>
      </c>
    </row>
    <row r="211" spans="1:32" ht="19.5" customHeight="1">
      <c r="A211" s="5190"/>
      <c r="B211" s="5186"/>
      <c r="C211" s="15"/>
      <c r="D211" s="15"/>
      <c r="E211" s="4857"/>
      <c r="F211" s="1673" t="str">
        <f t="shared" ref="F211:F255" si="148">F124</f>
        <v>BYD Cover</v>
      </c>
      <c r="G211" s="1673">
        <f>IFERROR(VLOOKUP(F211,B.BasicInfomation!$B:$O,11,0),"")</f>
        <v>6000</v>
      </c>
      <c r="H211" s="1673">
        <f>IFERROR(VLOOKUP(F211,B.BasicInfomation!$B:$O,12,0),"")</f>
        <v>350</v>
      </c>
      <c r="I211" s="2013">
        <f>IFERROR(VLOOKUP(F211,B.BasicInfomation!$B:$O,13,0),"")</f>
        <v>4</v>
      </c>
      <c r="J211" s="4">
        <f>J124/$G211/'4. L PLAN'!F$110</f>
        <v>4.3830639924244415E-2</v>
      </c>
      <c r="K211" s="1896">
        <f>K124/$G211/'4. L PLAN'!G$110</f>
        <v>0</v>
      </c>
      <c r="L211" s="1897">
        <f>L124/$G211/'4. L PLAN'!H$110</f>
        <v>0</v>
      </c>
      <c r="M211" s="4">
        <f>M124/$G211/'4. L PLAN'!I$110</f>
        <v>0</v>
      </c>
      <c r="N211" s="1896">
        <f>N124/$G211/'4. L PLAN'!J$110</f>
        <v>0</v>
      </c>
      <c r="O211" s="1930">
        <f>O124/$G211/'4. L PLAN'!K$110</f>
        <v>0</v>
      </c>
      <c r="P211" s="1931">
        <f>P124/$G211/'4. L PLAN'!L$110</f>
        <v>0</v>
      </c>
      <c r="Q211" s="1900">
        <f>Q124/$G211/'4. L PLAN'!M$110</f>
        <v>0</v>
      </c>
      <c r="R211" s="1898">
        <f>R124/$G211/'4. L PLAN'!N$110</f>
        <v>0</v>
      </c>
      <c r="S211" s="1932">
        <f>S124/$G211/'4. L PLAN'!O$110</f>
        <v>0</v>
      </c>
      <c r="T211" s="1900">
        <f>T124/$G211/'4. L PLAN'!P$110</f>
        <v>0</v>
      </c>
      <c r="U211" s="1898">
        <f>U124/$G211/'4. L PLAN'!Q$110</f>
        <v>0</v>
      </c>
      <c r="V211" s="1908">
        <f t="shared" si="137"/>
        <v>3.652553327020368E-3</v>
      </c>
      <c r="W211" s="1852"/>
      <c r="Y211" s="1650"/>
      <c r="AA211" s="1673">
        <f t="shared" si="138"/>
        <v>6000</v>
      </c>
      <c r="AB211" s="1894">
        <f t="shared" si="139"/>
        <v>350</v>
      </c>
      <c r="AC211" s="1745">
        <f t="shared" si="140"/>
        <v>4</v>
      </c>
      <c r="AD211" s="1544" t="b">
        <f t="shared" si="141"/>
        <v>1</v>
      </c>
      <c r="AE211" s="1544" t="b">
        <f t="shared" si="142"/>
        <v>1</v>
      </c>
      <c r="AF211" s="1544" t="b">
        <f t="shared" si="143"/>
        <v>1</v>
      </c>
    </row>
    <row r="212" spans="1:32" ht="19.5" customHeight="1">
      <c r="A212" s="5190"/>
      <c r="B212" s="5186"/>
      <c r="C212" s="15"/>
      <c r="D212" s="15"/>
      <c r="E212" s="4857">
        <v>20</v>
      </c>
      <c r="F212" s="1673" t="str">
        <f t="shared" si="148"/>
        <v>MX5 Cover</v>
      </c>
      <c r="G212" s="1673">
        <f>IFERROR(VLOOKUP(F212,B.BasicInfomation!$B:$O,11,0),"")</f>
        <v>6000</v>
      </c>
      <c r="H212" s="1673">
        <f>IFERROR(VLOOKUP(F212,B.BasicInfomation!$B:$O,12,0),"")</f>
        <v>350</v>
      </c>
      <c r="I212" s="2013">
        <f>IFERROR(VLOOKUP(F212,B.BasicInfomation!$B:$O,13,0),"")</f>
        <v>4</v>
      </c>
      <c r="J212" s="4">
        <f>J125/$G212/'4. L PLAN'!F$110</f>
        <v>0</v>
      </c>
      <c r="K212" s="1896">
        <f>K125/$G212/'4. L PLAN'!G$110</f>
        <v>0</v>
      </c>
      <c r="L212" s="1897">
        <f>L125/$G212/'4. L PLAN'!H$110</f>
        <v>0</v>
      </c>
      <c r="M212" s="4">
        <f>M125/$G212/'4. L PLAN'!I$110</f>
        <v>0</v>
      </c>
      <c r="N212" s="1896">
        <f>N125/$G212/'4. L PLAN'!J$110</f>
        <v>0</v>
      </c>
      <c r="O212" s="1930">
        <f>O125/$G212/'4. L PLAN'!K$110</f>
        <v>0</v>
      </c>
      <c r="P212" s="1931">
        <f>P125/$G212/'4. L PLAN'!L$110</f>
        <v>0</v>
      </c>
      <c r="Q212" s="1900">
        <f>Q125/$G212/'4. L PLAN'!M$110</f>
        <v>0</v>
      </c>
      <c r="R212" s="1898">
        <f>R125/$G212/'4. L PLAN'!N$110</f>
        <v>0</v>
      </c>
      <c r="S212" s="1932">
        <f>S125/$G212/'4. L PLAN'!O$110</f>
        <v>0</v>
      </c>
      <c r="T212" s="1900">
        <f>T125/$G212/'4. L PLAN'!P$110</f>
        <v>0</v>
      </c>
      <c r="U212" s="1898">
        <f>U125/$G212/'4. L PLAN'!Q$110</f>
        <v>0</v>
      </c>
      <c r="V212" s="1908">
        <f t="shared" si="137"/>
        <v>0</v>
      </c>
      <c r="W212" s="1852"/>
      <c r="Y212" s="1650"/>
      <c r="AA212" s="1673">
        <f t="shared" si="138"/>
        <v>6000</v>
      </c>
      <c r="AB212" s="1894">
        <f t="shared" si="139"/>
        <v>350</v>
      </c>
      <c r="AC212" s="1745">
        <f t="shared" si="140"/>
        <v>4</v>
      </c>
      <c r="AD212" s="1544" t="b">
        <f t="shared" si="141"/>
        <v>1</v>
      </c>
      <c r="AE212" s="1544" t="b">
        <f t="shared" si="142"/>
        <v>1</v>
      </c>
      <c r="AF212" s="1544" t="b">
        <f t="shared" si="143"/>
        <v>1</v>
      </c>
    </row>
    <row r="213" spans="1:32" ht="19.5" customHeight="1">
      <c r="A213" s="5190"/>
      <c r="B213" s="5186"/>
      <c r="C213" s="15"/>
      <c r="D213" s="15" t="s">
        <v>1008</v>
      </c>
      <c r="E213" s="4857"/>
      <c r="F213" s="1673" t="str">
        <f t="shared" si="148"/>
        <v>FCM30-Upper Housing</v>
      </c>
      <c r="G213" s="1673">
        <f>IFERROR(VLOOKUP(F213,B.BasicInfomation!$B:$O,11,0),"")</f>
        <v>7200</v>
      </c>
      <c r="H213" s="1673">
        <f>IFERROR(VLOOKUP(F213,B.BasicInfomation!$B:$O,12,0),"")</f>
        <v>125</v>
      </c>
      <c r="I213" s="2013">
        <f>IFERROR(VLOOKUP(F213,B.BasicInfomation!$B:$O,13,0),"")</f>
        <v>2</v>
      </c>
      <c r="J213" s="4">
        <f>J126/$G213/'4. L PLAN'!F$110</f>
        <v>0</v>
      </c>
      <c r="K213" s="1896">
        <f>K126/$G213/'4. L PLAN'!G$110</f>
        <v>0</v>
      </c>
      <c r="L213" s="1897">
        <f>L126/$G213/'4. L PLAN'!H$110</f>
        <v>0</v>
      </c>
      <c r="M213" s="4">
        <f>M126/$G213/'4. L PLAN'!I$110</f>
        <v>0</v>
      </c>
      <c r="N213" s="1896">
        <f>N126/$G213/'4. L PLAN'!J$110</f>
        <v>0</v>
      </c>
      <c r="O213" s="1930">
        <f>O126/$G213/'4. L PLAN'!K$110</f>
        <v>0</v>
      </c>
      <c r="P213" s="1931">
        <f>P126/$G213/'4. L PLAN'!L$110</f>
        <v>0</v>
      </c>
      <c r="Q213" s="1900">
        <f>Q126/$G213/'4. L PLAN'!M$110</f>
        <v>0</v>
      </c>
      <c r="R213" s="1898">
        <f>R126/$G213/'4. L PLAN'!N$110</f>
        <v>0</v>
      </c>
      <c r="S213" s="1932">
        <f>S126/$G213/'4. L PLAN'!O$110</f>
        <v>0</v>
      </c>
      <c r="T213" s="1900">
        <f>T126/$G213/'4. L PLAN'!P$110</f>
        <v>0</v>
      </c>
      <c r="U213" s="1898">
        <f>U126/$G213/'4. L PLAN'!Q$110</f>
        <v>0</v>
      </c>
      <c r="V213" s="1908">
        <f t="shared" si="137"/>
        <v>0</v>
      </c>
      <c r="W213" s="1852"/>
      <c r="Y213" s="1650"/>
      <c r="AA213" s="1673">
        <f t="shared" ref="AA213:AA244" si="149">G213</f>
        <v>7200</v>
      </c>
      <c r="AB213" s="1894">
        <f t="shared" ref="AB213:AB244" si="150">H213</f>
        <v>125</v>
      </c>
      <c r="AC213" s="1745">
        <f t="shared" ref="AC213:AC244" si="151">I213</f>
        <v>2</v>
      </c>
      <c r="AD213" s="1544" t="b">
        <f t="shared" ref="AD213:AD244" si="152">AA213=G213</f>
        <v>1</v>
      </c>
      <c r="AE213" s="1544" t="b">
        <f t="shared" ref="AE213:AE244" si="153">AB213=H213</f>
        <v>1</v>
      </c>
      <c r="AF213" s="1544" t="b">
        <f t="shared" ref="AF213:AF244" si="154">AC213=I213</f>
        <v>1</v>
      </c>
    </row>
    <row r="214" spans="1:32" ht="19.5" customHeight="1">
      <c r="A214" s="5190"/>
      <c r="B214" s="5186"/>
      <c r="C214" s="15"/>
      <c r="D214" s="15"/>
      <c r="E214" s="4857">
        <v>21</v>
      </c>
      <c r="F214" s="1673" t="str">
        <f t="shared" si="148"/>
        <v>DCU15 Housing</v>
      </c>
      <c r="G214" s="1673">
        <f>IFERROR(VLOOKUP(F214,B.BasicInfomation!$B:$O,11,0),"")</f>
        <v>7200</v>
      </c>
      <c r="H214" s="1673">
        <f>IFERROR(VLOOKUP(F214,B.BasicInfomation!$B:$O,12,0),"")</f>
        <v>125</v>
      </c>
      <c r="I214" s="2013">
        <f>IFERROR(VLOOKUP(F214,B.BasicInfomation!$B:$O,13,0),"")</f>
        <v>2</v>
      </c>
      <c r="J214" s="4">
        <f>J127/$G214/'4. L PLAN'!F$110</f>
        <v>0.15258808428181386</v>
      </c>
      <c r="K214" s="1896">
        <f>K127/$G214/'4. L PLAN'!G$110</f>
        <v>0.2910783564288949</v>
      </c>
      <c r="L214" s="1897">
        <f>L127/$G214/'4. L PLAN'!H$110</f>
        <v>0.16585661334979768</v>
      </c>
      <c r="M214" s="4">
        <f>M127/$G214/'4. L PLAN'!I$110</f>
        <v>0.18629014811449274</v>
      </c>
      <c r="N214" s="1896">
        <f>N127/$G214/'4. L PLAN'!J$110</f>
        <v>0.18629014811449274</v>
      </c>
      <c r="O214" s="1930">
        <f>O127/$G214/'4. L PLAN'!K$110</f>
        <v>0.18629014811449274</v>
      </c>
      <c r="P214" s="1931">
        <f>P127/$G214/'4. L PLAN'!L$110</f>
        <v>0.17249087788378958</v>
      </c>
      <c r="Q214" s="1900">
        <f>Q127/$G214/'4. L PLAN'!M$110</f>
        <v>0.17912514241778149</v>
      </c>
      <c r="R214" s="1898">
        <f>R127/$G214/'4. L PLAN'!N$110</f>
        <v>0.18629014811449274</v>
      </c>
      <c r="S214" s="1932">
        <f>S127/$G214/'4. L PLAN'!O$110</f>
        <v>0.17249087788378958</v>
      </c>
      <c r="T214" s="1900">
        <f>T127/$G214/'4. L PLAN'!P$110</f>
        <v>0.18629014811449274</v>
      </c>
      <c r="U214" s="1898">
        <f>U127/$G214/'4. L PLAN'!Q$110</f>
        <v>0.17249087788378958</v>
      </c>
      <c r="V214" s="1908">
        <f t="shared" si="137"/>
        <v>0.18646429755851002</v>
      </c>
      <c r="W214" s="1650"/>
      <c r="Y214" s="1951"/>
      <c r="AA214" s="1673">
        <f t="shared" si="149"/>
        <v>7200</v>
      </c>
      <c r="AB214" s="1894">
        <f t="shared" si="150"/>
        <v>125</v>
      </c>
      <c r="AC214" s="1745">
        <f t="shared" si="151"/>
        <v>2</v>
      </c>
      <c r="AD214" s="1544" t="b">
        <f t="shared" si="152"/>
        <v>1</v>
      </c>
      <c r="AE214" s="1544" t="b">
        <f t="shared" si="153"/>
        <v>1</v>
      </c>
      <c r="AF214" s="1544" t="b">
        <f t="shared" si="154"/>
        <v>1</v>
      </c>
    </row>
    <row r="215" spans="1:32" ht="19.5" customHeight="1">
      <c r="A215" s="5190"/>
      <c r="B215" s="5186"/>
      <c r="C215" s="15"/>
      <c r="D215" s="12" t="s">
        <v>882</v>
      </c>
      <c r="E215" s="4881">
        <v>22</v>
      </c>
      <c r="F215" s="1767" t="str">
        <f t="shared" si="148"/>
        <v>DCU15 Cover</v>
      </c>
      <c r="G215" s="1767">
        <f>IFERROR(VLOOKUP(F215,B.BasicInfomation!$B:$O,11,0),"")</f>
        <v>7200</v>
      </c>
      <c r="H215" s="1767">
        <f>IFERROR(VLOOKUP(F215,B.BasicInfomation!$B:$O,12,0),"")</f>
        <v>125</v>
      </c>
      <c r="I215" s="2037">
        <f>IFERROR(VLOOKUP(F215,B.BasicInfomation!$B:$O,13,0),"")</f>
        <v>2</v>
      </c>
      <c r="J215" s="1933">
        <f>J128/$G215/'4. L PLAN'!F$110</f>
        <v>0.15263895346930231</v>
      </c>
      <c r="K215" s="1934">
        <f>K128/$G215/'4. L PLAN'!G$110</f>
        <v>0.2911753949332887</v>
      </c>
      <c r="L215" s="1935">
        <f>L128/$G215/'4. L PLAN'!H$110</f>
        <v>0.16591190594489383</v>
      </c>
      <c r="M215" s="1933">
        <f>M128/$G215/'4. L PLAN'!I$110</f>
        <v>0.18635225275730477</v>
      </c>
      <c r="N215" s="1934">
        <f>N128/$G215/'4. L PLAN'!J$110</f>
        <v>0.18635225275730477</v>
      </c>
      <c r="O215" s="1936">
        <f>O128/$G215/'4. L PLAN'!K$110</f>
        <v>0.18635225275730477</v>
      </c>
      <c r="P215" s="1937">
        <f>P128/$G215/'4. L PLAN'!L$110</f>
        <v>0.17254838218268961</v>
      </c>
      <c r="Q215" s="1938">
        <f>Q128/$G215/'4. L PLAN'!M$110</f>
        <v>0.17918485842048534</v>
      </c>
      <c r="R215" s="1939">
        <f>R128/$G215/'4. L PLAN'!N$110</f>
        <v>0.18635225275730477</v>
      </c>
      <c r="S215" s="1940">
        <f>S128/$G215/'4. L PLAN'!O$110</f>
        <v>0.17254838218268961</v>
      </c>
      <c r="T215" s="1938">
        <f>T128/$G215/'4. L PLAN'!P$110</f>
        <v>0.18635225275730477</v>
      </c>
      <c r="U215" s="1939">
        <f>U128/$G215/'4. L PLAN'!Q$110</f>
        <v>0.17254838218268961</v>
      </c>
      <c r="V215" s="1941">
        <f t="shared" si="137"/>
        <v>0.18652646025854688</v>
      </c>
      <c r="W215" s="1650"/>
      <c r="Y215" s="1951"/>
      <c r="AA215" s="1673">
        <f t="shared" si="149"/>
        <v>7200</v>
      </c>
      <c r="AB215" s="1894">
        <f t="shared" si="150"/>
        <v>125</v>
      </c>
      <c r="AC215" s="1745">
        <f t="shared" si="151"/>
        <v>2</v>
      </c>
      <c r="AD215" s="1544" t="b">
        <f t="shared" si="152"/>
        <v>1</v>
      </c>
      <c r="AE215" s="1544" t="b">
        <f t="shared" si="153"/>
        <v>1</v>
      </c>
      <c r="AF215" s="1544" t="b">
        <f t="shared" si="154"/>
        <v>1</v>
      </c>
    </row>
    <row r="216" spans="1:32" ht="19.5" customHeight="1">
      <c r="A216" s="5190"/>
      <c r="B216" s="5186"/>
      <c r="C216" s="15"/>
      <c r="D216" s="13"/>
      <c r="E216" s="4857"/>
      <c r="F216" s="1673" t="str">
        <f t="shared" si="148"/>
        <v>FCM30-Lower Housing</v>
      </c>
      <c r="G216" s="1673">
        <f>IFERROR(VLOOKUP(F216,B.BasicInfomation!$B:$O,11,0),"")</f>
        <v>7200</v>
      </c>
      <c r="H216" s="1673">
        <f>IFERROR(VLOOKUP(F216,B.BasicInfomation!$B:$O,12,0),"")</f>
        <v>125</v>
      </c>
      <c r="I216" s="2013">
        <f>IFERROR(VLOOKUP(F216,B.BasicInfomation!$B:$O,13,0),"")</f>
        <v>2</v>
      </c>
      <c r="J216" s="4">
        <f>J129/$G216/'4. L PLAN'!F$110</f>
        <v>0</v>
      </c>
      <c r="K216" s="1896">
        <f>K129/$G216/'4. L PLAN'!G$110</f>
        <v>0</v>
      </c>
      <c r="L216" s="1897">
        <f>L129/$G216/'4. L PLAN'!H$110</f>
        <v>0</v>
      </c>
      <c r="M216" s="4">
        <f>M129/$G216/'4. L PLAN'!I$110</f>
        <v>0</v>
      </c>
      <c r="N216" s="1896">
        <f>N129/$G216/'4. L PLAN'!J$110</f>
        <v>0</v>
      </c>
      <c r="O216" s="1930">
        <f>O129/$G216/'4. L PLAN'!K$110</f>
        <v>0</v>
      </c>
      <c r="P216" s="1931">
        <f>P129/$G216/'4. L PLAN'!L$110</f>
        <v>0</v>
      </c>
      <c r="Q216" s="1900">
        <f>Q129/$G216/'4. L PLAN'!M$110</f>
        <v>0</v>
      </c>
      <c r="R216" s="1898">
        <f>R129/$G216/'4. L PLAN'!N$110</f>
        <v>0</v>
      </c>
      <c r="S216" s="1932">
        <f>S129/$G216/'4. L PLAN'!O$110</f>
        <v>0</v>
      </c>
      <c r="T216" s="1900">
        <f>T129/$G216/'4. L PLAN'!P$110</f>
        <v>0</v>
      </c>
      <c r="U216" s="1898">
        <f>U129/$G216/'4. L PLAN'!Q$110</f>
        <v>0</v>
      </c>
      <c r="V216" s="1908">
        <f t="shared" si="137"/>
        <v>0</v>
      </c>
      <c r="W216" s="1650"/>
      <c r="Y216" s="1951"/>
      <c r="AA216" s="1673">
        <f t="shared" si="149"/>
        <v>7200</v>
      </c>
      <c r="AB216" s="1894">
        <f t="shared" si="150"/>
        <v>125</v>
      </c>
      <c r="AC216" s="1745">
        <f t="shared" si="151"/>
        <v>2</v>
      </c>
      <c r="AD216" s="1544" t="b">
        <f t="shared" si="152"/>
        <v>1</v>
      </c>
      <c r="AE216" s="1544" t="b">
        <f t="shared" si="153"/>
        <v>1</v>
      </c>
      <c r="AF216" s="1544" t="b">
        <f t="shared" si="154"/>
        <v>1</v>
      </c>
    </row>
    <row r="217" spans="1:32" ht="19.5" customHeight="1">
      <c r="A217" s="5190"/>
      <c r="B217" s="5186"/>
      <c r="C217" s="15"/>
      <c r="D217" s="1837"/>
      <c r="E217" s="4883"/>
      <c r="F217" s="1774" t="str">
        <f t="shared" si="148"/>
        <v>OMS Entry Vcsel Cover(250A)</v>
      </c>
      <c r="G217" s="1774">
        <f>IFERROR(VLOOKUP(F217,B.BasicInfomation!$B:$O,11,0),"")</f>
        <v>7200</v>
      </c>
      <c r="H217" s="1774">
        <f>IFERROR(VLOOKUP(F217,B.BasicInfomation!$B:$O,12,0),"")</f>
        <v>125</v>
      </c>
      <c r="I217" s="2025">
        <f>IFERROR(VLOOKUP(F217,B.BasicInfomation!$B:$O,13,0),"")</f>
        <v>2</v>
      </c>
      <c r="J217" s="1942">
        <f>J130/$G217/'4. L PLAN'!F$110</f>
        <v>0</v>
      </c>
      <c r="K217" s="1943">
        <f>K130/$G217/'4. L PLAN'!G$110</f>
        <v>0</v>
      </c>
      <c r="L217" s="1944">
        <f>L130/$G217/'4. L PLAN'!H$110</f>
        <v>0</v>
      </c>
      <c r="M217" s="1942">
        <f>M130/$G217/'4. L PLAN'!I$110</f>
        <v>0</v>
      </c>
      <c r="N217" s="1943">
        <f>N130/$G217/'4. L PLAN'!J$110</f>
        <v>0</v>
      </c>
      <c r="O217" s="1945">
        <f>O130/$G217/'4. L PLAN'!K$110</f>
        <v>0</v>
      </c>
      <c r="P217" s="1946">
        <f>P130/$G217/'4. L PLAN'!L$110</f>
        <v>0</v>
      </c>
      <c r="Q217" s="1947">
        <f>Q130/$G217/'4. L PLAN'!M$110</f>
        <v>0</v>
      </c>
      <c r="R217" s="1948">
        <f>R130/$G217/'4. L PLAN'!N$110</f>
        <v>0</v>
      </c>
      <c r="S217" s="1949">
        <f>S130/$G217/'4. L PLAN'!O$110</f>
        <v>0</v>
      </c>
      <c r="T217" s="1947">
        <f>T130/$G217/'4. L PLAN'!P$110</f>
        <v>0</v>
      </c>
      <c r="U217" s="1948">
        <f>U130/$G217/'4. L PLAN'!Q$110</f>
        <v>0</v>
      </c>
      <c r="V217" s="1950">
        <f t="shared" si="137"/>
        <v>0</v>
      </c>
      <c r="W217" s="1650"/>
      <c r="Y217" s="1951"/>
      <c r="AA217" s="1673">
        <f t="shared" si="149"/>
        <v>7200</v>
      </c>
      <c r="AB217" s="1894">
        <f t="shared" si="150"/>
        <v>125</v>
      </c>
      <c r="AC217" s="1745">
        <f t="shared" si="151"/>
        <v>2</v>
      </c>
      <c r="AD217" s="1544" t="b">
        <f t="shared" si="152"/>
        <v>1</v>
      </c>
      <c r="AE217" s="1544" t="b">
        <f t="shared" si="153"/>
        <v>1</v>
      </c>
      <c r="AF217" s="1544" t="b">
        <f t="shared" si="154"/>
        <v>1</v>
      </c>
    </row>
    <row r="218" spans="1:32" ht="19.5" customHeight="1">
      <c r="A218" s="5190"/>
      <c r="B218" s="5186"/>
      <c r="C218" s="15"/>
      <c r="D218" s="13"/>
      <c r="E218" s="86"/>
      <c r="F218" s="1673" t="str">
        <f t="shared" si="148"/>
        <v>HKMC Ikc Camera Base</v>
      </c>
      <c r="G218" s="1673">
        <f>IFERROR(VLOOKUP(F218,B.BasicInfomation!$B:$O,11,0),"")</f>
        <v>7200</v>
      </c>
      <c r="H218" s="1673">
        <f>IFERROR(VLOOKUP(F218,B.BasicInfomation!$B:$O,12,0),"")</f>
        <v>125</v>
      </c>
      <c r="I218" s="2013">
        <f>IFERROR(VLOOKUP(F218,B.BasicInfomation!$B:$O,13,0),"")</f>
        <v>2</v>
      </c>
      <c r="J218" s="4">
        <f>J131/$G218/'4. L PLAN'!F$110</f>
        <v>3.9691990156386445E-3</v>
      </c>
      <c r="K218" s="1896">
        <f>K131/$G218/'4. L PLAN'!G$110</f>
        <v>6.4499484004127972E-3</v>
      </c>
      <c r="L218" s="1897">
        <f>L131/$G218/'4. L PLAN'!H$110</f>
        <v>0</v>
      </c>
      <c r="M218" s="4">
        <f>M131/$G218/'4. L PLAN'!I$110</f>
        <v>0</v>
      </c>
      <c r="N218" s="1896">
        <f>N131/$G218/'4. L PLAN'!J$110</f>
        <v>0</v>
      </c>
      <c r="O218" s="1930">
        <f>O131/$G218/'4. L PLAN'!K$110</f>
        <v>0</v>
      </c>
      <c r="P218" s="1931">
        <f>P131/$G218/'4. L PLAN'!L$110</f>
        <v>0</v>
      </c>
      <c r="Q218" s="1900">
        <f>Q131/$G218/'4. L PLAN'!M$110</f>
        <v>0</v>
      </c>
      <c r="R218" s="1898">
        <f>R131/$G218/'4. L PLAN'!N$110</f>
        <v>0</v>
      </c>
      <c r="S218" s="1932">
        <f>S131/$G218/'4. L PLAN'!O$110</f>
        <v>0</v>
      </c>
      <c r="T218" s="1900">
        <f>T131/$G218/'4. L PLAN'!P$110</f>
        <v>0</v>
      </c>
      <c r="U218" s="1898">
        <f>U131/$G218/'4. L PLAN'!Q$110</f>
        <v>0</v>
      </c>
      <c r="V218" s="1908">
        <f t="shared" si="137"/>
        <v>8.6826228467095344E-4</v>
      </c>
      <c r="W218" s="1650"/>
      <c r="Y218" s="1951"/>
      <c r="AA218" s="1673">
        <f t="shared" si="149"/>
        <v>7200</v>
      </c>
      <c r="AB218" s="1894">
        <f t="shared" si="150"/>
        <v>125</v>
      </c>
      <c r="AC218" s="1745">
        <f t="shared" si="151"/>
        <v>2</v>
      </c>
      <c r="AD218" s="1544" t="b">
        <f t="shared" si="152"/>
        <v>1</v>
      </c>
      <c r="AE218" s="1544" t="b">
        <f t="shared" si="153"/>
        <v>1</v>
      </c>
      <c r="AF218" s="1544" t="b">
        <f t="shared" si="154"/>
        <v>1</v>
      </c>
    </row>
    <row r="219" spans="1:32" ht="19.5" customHeight="1">
      <c r="A219" s="5190"/>
      <c r="B219" s="5186"/>
      <c r="C219" s="15"/>
      <c r="D219" s="13" t="s">
        <v>885</v>
      </c>
      <c r="E219" s="86"/>
      <c r="F219" s="1673" t="str">
        <f t="shared" si="148"/>
        <v>OMS Entry Lens Holder (203A)</v>
      </c>
      <c r="G219" s="1673">
        <f>IFERROR(VLOOKUP(F219,B.BasicInfomation!$B:$O,11,0),"")</f>
        <v>7200</v>
      </c>
      <c r="H219" s="1673">
        <f>IFERROR(VLOOKUP(F219,B.BasicInfomation!$B:$O,12,0),"")</f>
        <v>125</v>
      </c>
      <c r="I219" s="2013">
        <f>IFERROR(VLOOKUP(F219,B.BasicInfomation!$B:$O,13,0),"")</f>
        <v>2</v>
      </c>
      <c r="J219" s="4">
        <f>J132/$G219/'4. L PLAN'!F$110</f>
        <v>0</v>
      </c>
      <c r="K219" s="1896">
        <f>K132/$G219/'4. L PLAN'!G$110</f>
        <v>0</v>
      </c>
      <c r="L219" s="1897">
        <f>L132/$G219/'4. L PLAN'!H$110</f>
        <v>0</v>
      </c>
      <c r="M219" s="4">
        <f>M132/$G219/'4. L PLAN'!I$110</f>
        <v>0</v>
      </c>
      <c r="N219" s="1896">
        <f>N132/$G219/'4. L PLAN'!J$110</f>
        <v>0</v>
      </c>
      <c r="O219" s="1930">
        <f>O132/$G219/'4. L PLAN'!K$110</f>
        <v>0</v>
      </c>
      <c r="P219" s="1931">
        <f>P132/$G219/'4. L PLAN'!L$110</f>
        <v>0</v>
      </c>
      <c r="Q219" s="1900">
        <f>Q132/$G219/'4. L PLAN'!M$110</f>
        <v>0</v>
      </c>
      <c r="R219" s="1898">
        <f>R132/$G219/'4. L PLAN'!N$110</f>
        <v>0</v>
      </c>
      <c r="S219" s="1932">
        <f>S132/$G219/'4. L PLAN'!O$110</f>
        <v>0</v>
      </c>
      <c r="T219" s="1900">
        <f>T132/$G219/'4. L PLAN'!P$110</f>
        <v>0</v>
      </c>
      <c r="U219" s="1898">
        <f>U132/$G219/'4. L PLAN'!Q$110</f>
        <v>0</v>
      </c>
      <c r="V219" s="1908">
        <f t="shared" si="137"/>
        <v>0</v>
      </c>
      <c r="W219" s="1650"/>
      <c r="Y219" s="1650"/>
      <c r="AA219" s="1673">
        <f t="shared" si="149"/>
        <v>7200</v>
      </c>
      <c r="AB219" s="1894">
        <f t="shared" si="150"/>
        <v>125</v>
      </c>
      <c r="AC219" s="1745">
        <f t="shared" si="151"/>
        <v>2</v>
      </c>
      <c r="AD219" s="1544" t="b">
        <f t="shared" si="152"/>
        <v>1</v>
      </c>
      <c r="AE219" s="1544" t="b">
        <f t="shared" si="153"/>
        <v>1</v>
      </c>
      <c r="AF219" s="1544" t="b">
        <f t="shared" si="154"/>
        <v>1</v>
      </c>
    </row>
    <row r="220" spans="1:32" ht="19.5" customHeight="1">
      <c r="A220" s="5190"/>
      <c r="B220" s="5186"/>
      <c r="C220" s="15"/>
      <c r="D220" s="15"/>
      <c r="E220" s="4857"/>
      <c r="F220" s="1673" t="str">
        <f t="shared" si="148"/>
        <v>OMS Front Lens Holder (207A)</v>
      </c>
      <c r="G220" s="1673">
        <f>IFERROR(VLOOKUP(F220,B.BasicInfomation!$B:$O,11,0),"")</f>
        <v>7200</v>
      </c>
      <c r="H220" s="1673">
        <f>IFERROR(VLOOKUP(F220,B.BasicInfomation!$B:$O,12,0),"")</f>
        <v>125</v>
      </c>
      <c r="I220" s="2013">
        <f>IFERROR(VLOOKUP(F220,B.BasicInfomation!$B:$O,13,0),"")</f>
        <v>2</v>
      </c>
      <c r="J220" s="4">
        <f>J133/$G220/'4. L PLAN'!F$110</f>
        <v>0</v>
      </c>
      <c r="K220" s="1896">
        <f>K133/$G220/'4. L PLAN'!G$110</f>
        <v>0</v>
      </c>
      <c r="L220" s="1897">
        <f>L133/$G220/'4. L PLAN'!H$110</f>
        <v>0</v>
      </c>
      <c r="M220" s="4">
        <f>M133/$G220/'4. L PLAN'!I$110</f>
        <v>0</v>
      </c>
      <c r="N220" s="1896">
        <f>N133/$G220/'4. L PLAN'!J$110</f>
        <v>0</v>
      </c>
      <c r="O220" s="1930">
        <f>O133/$G220/'4. L PLAN'!K$110</f>
        <v>0</v>
      </c>
      <c r="P220" s="1931">
        <f>P133/$G220/'4. L PLAN'!L$110</f>
        <v>0</v>
      </c>
      <c r="Q220" s="1900">
        <f>Q133/$G220/'4. L PLAN'!M$110</f>
        <v>0</v>
      </c>
      <c r="R220" s="1898">
        <f>R133/$G220/'4. L PLAN'!N$110</f>
        <v>0</v>
      </c>
      <c r="S220" s="1932">
        <f>S133/$G220/'4. L PLAN'!O$110</f>
        <v>0</v>
      </c>
      <c r="T220" s="1900">
        <f>T133/$G220/'4. L PLAN'!P$110</f>
        <v>0</v>
      </c>
      <c r="U220" s="1898">
        <f>U133/$G220/'4. L PLAN'!Q$110</f>
        <v>0</v>
      </c>
      <c r="V220" s="1908">
        <f t="shared" si="137"/>
        <v>0</v>
      </c>
      <c r="W220" s="1650"/>
      <c r="Y220" s="1650"/>
      <c r="AA220" s="1673">
        <f t="shared" si="149"/>
        <v>7200</v>
      </c>
      <c r="AB220" s="1894">
        <f t="shared" si="150"/>
        <v>125</v>
      </c>
      <c r="AC220" s="1745">
        <f t="shared" si="151"/>
        <v>2</v>
      </c>
      <c r="AD220" s="1544" t="b">
        <f t="shared" si="152"/>
        <v>1</v>
      </c>
      <c r="AE220" s="1544" t="b">
        <f t="shared" si="153"/>
        <v>1</v>
      </c>
      <c r="AF220" s="1544" t="b">
        <f t="shared" si="154"/>
        <v>1</v>
      </c>
    </row>
    <row r="221" spans="1:32" ht="19.5" customHeight="1">
      <c r="A221" s="5190"/>
      <c r="B221" s="5186"/>
      <c r="C221" s="15"/>
      <c r="D221" s="15"/>
      <c r="E221" s="4857">
        <v>23</v>
      </c>
      <c r="F221" s="1673" t="str">
        <f t="shared" si="148"/>
        <v>MPC5.5 Cover Lens</v>
      </c>
      <c r="G221" s="1673">
        <f>IFERROR(VLOOKUP(F221,B.BasicInfomation!$B:$O,11,0),"")</f>
        <v>7200</v>
      </c>
      <c r="H221" s="1673">
        <f>IFERROR(VLOOKUP(F221,B.BasicInfomation!$B:$O,12,0),"")</f>
        <v>125</v>
      </c>
      <c r="I221" s="2013">
        <f>IFERROR(VLOOKUP(F221,B.BasicInfomation!$B:$O,13,0),"")</f>
        <v>2</v>
      </c>
      <c r="J221" s="4">
        <f>J134/$G221/'4. L PLAN'!F$110</f>
        <v>0.8929119050776767</v>
      </c>
      <c r="K221" s="1896">
        <f>K134/$G221/'4. L PLAN'!G$110</f>
        <v>0.88095326349181491</v>
      </c>
      <c r="L221" s="1897">
        <f>L134/$G221/'4. L PLAN'!H$110</f>
        <v>0.76535306149515137</v>
      </c>
      <c r="M221" s="4">
        <f>M134/$G221/'4. L PLAN'!I$110</f>
        <v>0.46431419064039192</v>
      </c>
      <c r="N221" s="1896">
        <f>N134/$G221/'4. L PLAN'!J$110</f>
        <v>0.46431419064039192</v>
      </c>
      <c r="O221" s="1930">
        <f>O134/$G221/'4. L PLAN'!K$110</f>
        <v>0.3316529933145656</v>
      </c>
      <c r="P221" s="1931">
        <f>P134/$G221/'4. L PLAN'!L$110</f>
        <v>0.30708610492089405</v>
      </c>
      <c r="Q221" s="1900">
        <f>Q134/$G221/'4. L PLAN'!M$110</f>
        <v>0.31889710895631307</v>
      </c>
      <c r="R221" s="1898">
        <f>R134/$G221/'4. L PLAN'!N$110</f>
        <v>0.3316529933145656</v>
      </c>
      <c r="S221" s="1932">
        <f>S134/$G221/'4. L PLAN'!O$110</f>
        <v>0.30708610492089405</v>
      </c>
      <c r="T221" s="1900">
        <f>T134/$G221/'4. L PLAN'!P$110</f>
        <v>0.3316529933145656</v>
      </c>
      <c r="U221" s="1898">
        <f>U134/$G221/'4. L PLAN'!Q$110</f>
        <v>0.30708610492089405</v>
      </c>
      <c r="V221" s="1908">
        <f t="shared" si="137"/>
        <v>0.47524675125067661</v>
      </c>
      <c r="W221" s="1650"/>
      <c r="Y221" s="5"/>
      <c r="AA221" s="1673">
        <f t="shared" si="149"/>
        <v>7200</v>
      </c>
      <c r="AB221" s="1894">
        <f t="shared" si="150"/>
        <v>125</v>
      </c>
      <c r="AC221" s="1745">
        <f t="shared" si="151"/>
        <v>2</v>
      </c>
      <c r="AD221" s="1544" t="b">
        <f t="shared" si="152"/>
        <v>1</v>
      </c>
      <c r="AE221" s="1544" t="b">
        <f t="shared" si="153"/>
        <v>1</v>
      </c>
      <c r="AF221" s="1544" t="b">
        <f t="shared" si="154"/>
        <v>1</v>
      </c>
    </row>
    <row r="222" spans="1:32" ht="19.5" customHeight="1">
      <c r="A222" s="5190"/>
      <c r="B222" s="5186"/>
      <c r="C222" s="15"/>
      <c r="D222" s="15"/>
      <c r="E222" s="4857"/>
      <c r="F222" s="1673" t="str">
        <f t="shared" si="148"/>
        <v xml:space="preserve">FCM30 Lens Holder </v>
      </c>
      <c r="G222" s="1673">
        <f>IFERROR(VLOOKUP(F222,B.BasicInfomation!$B:$O,11,0),"")</f>
        <v>7200</v>
      </c>
      <c r="H222" s="1673">
        <f>IFERROR(VLOOKUP(F222,B.BasicInfomation!$B:$O,12,0),"")</f>
        <v>125</v>
      </c>
      <c r="I222" s="2013">
        <f>IFERROR(VLOOKUP(F222,B.BasicInfomation!$B:$O,13,0),"")</f>
        <v>2</v>
      </c>
      <c r="J222" s="4">
        <f>J135/$G222/'4. L PLAN'!F$110</f>
        <v>0</v>
      </c>
      <c r="K222" s="1896">
        <f>K135/$G222/'4. L PLAN'!G$110</f>
        <v>0</v>
      </c>
      <c r="L222" s="1897">
        <f>L135/$G222/'4. L PLAN'!H$110</f>
        <v>0</v>
      </c>
      <c r="M222" s="4">
        <f>M135/$G222/'4. L PLAN'!I$110</f>
        <v>0</v>
      </c>
      <c r="N222" s="1896">
        <f>N135/$G222/'4. L PLAN'!J$110</f>
        <v>0</v>
      </c>
      <c r="O222" s="1930">
        <f>O135/$G222/'4. L PLAN'!K$110</f>
        <v>0</v>
      </c>
      <c r="P222" s="1931">
        <f>P135/$G222/'4. L PLAN'!L$110</f>
        <v>0</v>
      </c>
      <c r="Q222" s="1900">
        <f>Q135/$G222/'4. L PLAN'!M$110</f>
        <v>0</v>
      </c>
      <c r="R222" s="1898">
        <f>R135/$G222/'4. L PLAN'!N$110</f>
        <v>0</v>
      </c>
      <c r="S222" s="1932">
        <f>S135/$G222/'4. L PLAN'!O$110</f>
        <v>0</v>
      </c>
      <c r="T222" s="1900">
        <f>T135/$G222/'4. L PLAN'!P$110</f>
        <v>0</v>
      </c>
      <c r="U222" s="1898">
        <f>U135/$G222/'4. L PLAN'!Q$110</f>
        <v>0</v>
      </c>
      <c r="V222" s="1908">
        <f t="shared" si="137"/>
        <v>0</v>
      </c>
      <c r="W222" s="1650"/>
      <c r="Y222" s="5"/>
      <c r="AA222" s="1673">
        <f t="shared" si="149"/>
        <v>7200</v>
      </c>
      <c r="AB222" s="1894">
        <f t="shared" si="150"/>
        <v>125</v>
      </c>
      <c r="AC222" s="1745">
        <f t="shared" si="151"/>
        <v>2</v>
      </c>
      <c r="AD222" s="1544" t="b">
        <f t="shared" si="152"/>
        <v>1</v>
      </c>
      <c r="AE222" s="1544" t="b">
        <f t="shared" si="153"/>
        <v>1</v>
      </c>
      <c r="AF222" s="1544" t="b">
        <f t="shared" si="154"/>
        <v>1</v>
      </c>
    </row>
    <row r="223" spans="1:32" ht="19.5" customHeight="1">
      <c r="A223" s="5190"/>
      <c r="B223" s="5186"/>
      <c r="C223" s="1592" t="s">
        <v>403</v>
      </c>
      <c r="D223" s="1593" t="s">
        <v>865</v>
      </c>
      <c r="E223" s="4884">
        <v>24</v>
      </c>
      <c r="F223" s="1756" t="str">
        <f t="shared" si="148"/>
        <v>NX4 HSG</v>
      </c>
      <c r="G223" s="1756">
        <f>IFERROR(VLOOKUP(F223,B.BasicInfomation!$B:$O,11,0),"")</f>
        <v>1800</v>
      </c>
      <c r="H223" s="1756">
        <f>IFERROR(VLOOKUP(F223,B.BasicInfomation!$B:$O,12,0),"")</f>
        <v>350</v>
      </c>
      <c r="I223" s="2967">
        <f>IFERROR(VLOOKUP(F223,B.BasicInfomation!$B:$O,13,0),"")</f>
        <v>1</v>
      </c>
      <c r="J223" s="1920">
        <f>J136/$G223/'4. L PLAN'!F$110</f>
        <v>0.97165991902834026</v>
      </c>
      <c r="K223" s="1921">
        <f>K136/$G223/'4. L PLAN'!G$110</f>
        <v>2.1052631578947372</v>
      </c>
      <c r="L223" s="1922">
        <f>L136/$G223/'4. L PLAN'!H$110</f>
        <v>1.28526444315918</v>
      </c>
      <c r="M223" s="1920">
        <f>M136/$G223/'4. L PLAN'!I$110</f>
        <v>1.1695906432748537</v>
      </c>
      <c r="N223" s="1921">
        <f>N136/$G223/'4. L PLAN'!J$110</f>
        <v>1.1695906432748537</v>
      </c>
      <c r="O223" s="1923">
        <f>O136/$G223/'4. L PLAN'!K$110</f>
        <v>1.1695906432748537</v>
      </c>
      <c r="P223" s="1924">
        <f>P136/$G223/'4. L PLAN'!L$110</f>
        <v>1.0829542993285683</v>
      </c>
      <c r="Q223" s="1925">
        <f>Q136/$G223/'4. L PLAN'!M$110</f>
        <v>1.1246063877642825</v>
      </c>
      <c r="R223" s="1926">
        <f>R136/$G223/'4. L PLAN'!N$110</f>
        <v>1.1695906432748537</v>
      </c>
      <c r="S223" s="1952">
        <f>S136/$G223/'4. L PLAN'!O$110</f>
        <v>1.0829542993285683</v>
      </c>
      <c r="T223" s="1925">
        <f>T136/$G223/'4. L PLAN'!P$110</f>
        <v>1.1695906432748537</v>
      </c>
      <c r="U223" s="1926">
        <f>U136/$G223/'4. L PLAN'!Q$110</f>
        <v>1.0829542993285683</v>
      </c>
      <c r="V223" s="1929">
        <f t="shared" si="137"/>
        <v>1.2153008351838761</v>
      </c>
      <c r="W223" s="1953"/>
      <c r="Y223" s="1652"/>
      <c r="AA223" s="1673">
        <f t="shared" si="149"/>
        <v>1800</v>
      </c>
      <c r="AB223" s="1894">
        <f t="shared" si="150"/>
        <v>350</v>
      </c>
      <c r="AC223" s="1745">
        <f t="shared" si="151"/>
        <v>1</v>
      </c>
      <c r="AD223" s="1544" t="b">
        <f t="shared" si="152"/>
        <v>1</v>
      </c>
      <c r="AE223" s="1544" t="b">
        <f t="shared" si="153"/>
        <v>1</v>
      </c>
      <c r="AF223" s="1544" t="b">
        <f t="shared" si="154"/>
        <v>1</v>
      </c>
    </row>
    <row r="224" spans="1:32" ht="19.5" customHeight="1">
      <c r="A224" s="5190"/>
      <c r="B224" s="5186"/>
      <c r="C224" s="15"/>
      <c r="D224" s="1599"/>
      <c r="E224" s="4885">
        <v>25</v>
      </c>
      <c r="F224" s="1673" t="str">
        <f t="shared" si="148"/>
        <v>IMEB2 Housing</v>
      </c>
      <c r="G224" s="1673">
        <f>IFERROR(VLOOKUP(F224,B.BasicInfomation!$B:$O,11,0),"")</f>
        <v>1800</v>
      </c>
      <c r="H224" s="1673">
        <f>IFERROR(VLOOKUP(F224,B.BasicInfomation!$B:$O,12,0),"")</f>
        <v>350</v>
      </c>
      <c r="I224" s="2013">
        <f>IFERROR(VLOOKUP(F224,B.BasicInfomation!$B:$O,13,0),"")</f>
        <v>1</v>
      </c>
      <c r="J224" s="1895">
        <f>J137/$G224/'4. L PLAN'!F$110</f>
        <v>1.3325621746674381</v>
      </c>
      <c r="K224" s="1896">
        <f>K137/$G224/'4. L PLAN'!G$110</f>
        <v>1.4436090225563913</v>
      </c>
      <c r="L224" s="1897">
        <f>L137/$G224/'4. L PLAN'!H$110</f>
        <v>1.6065805539489753</v>
      </c>
      <c r="M224" s="4">
        <f>M137/$G224/'4. L PLAN'!I$110</f>
        <v>1.6708437761069341</v>
      </c>
      <c r="N224" s="1896">
        <f>N137/$G224/'4. L PLAN'!J$110</f>
        <v>1.6708437761069341</v>
      </c>
      <c r="O224" s="1930">
        <f>O137/$G224/'4. L PLAN'!K$110</f>
        <v>1.6708437761069341</v>
      </c>
      <c r="P224" s="1931">
        <f>P137/$G224/'4. L PLAN'!L$110</f>
        <v>1.5470775704693835</v>
      </c>
      <c r="Q224" s="1900">
        <f>Q137/$G224/'4. L PLAN'!M$110</f>
        <v>1.6065805539489753</v>
      </c>
      <c r="R224" s="1898">
        <f>R137/$G224/'4. L PLAN'!N$110</f>
        <v>1.6708437761069341</v>
      </c>
      <c r="S224" s="1932">
        <f>S137/$G224/'4. L PLAN'!O$110</f>
        <v>1.5470775704693835</v>
      </c>
      <c r="T224" s="1900">
        <f>T137/$G224/'4. L PLAN'!P$110</f>
        <v>1.6708437761069341</v>
      </c>
      <c r="U224" s="1898">
        <f>U137/$G224/'4. L PLAN'!Q$110</f>
        <v>1.5470775704693835</v>
      </c>
      <c r="V224" s="1908">
        <f t="shared" si="137"/>
        <v>1.5820653247553835</v>
      </c>
      <c r="W224" s="1953"/>
      <c r="Y224" s="5"/>
      <c r="AA224" s="1673">
        <f t="shared" si="149"/>
        <v>1800</v>
      </c>
      <c r="AB224" s="1894">
        <f t="shared" si="150"/>
        <v>350</v>
      </c>
      <c r="AC224" s="1745">
        <f t="shared" si="151"/>
        <v>1</v>
      </c>
      <c r="AD224" s="1544" t="b">
        <f t="shared" si="152"/>
        <v>1</v>
      </c>
      <c r="AE224" s="1544" t="b">
        <f t="shared" si="153"/>
        <v>1</v>
      </c>
      <c r="AF224" s="1544" t="b">
        <f t="shared" si="154"/>
        <v>1</v>
      </c>
    </row>
    <row r="225" spans="1:32" ht="19.5" customHeight="1">
      <c r="A225" s="5190"/>
      <c r="B225" s="5186"/>
      <c r="C225" s="15"/>
      <c r="D225" s="1599"/>
      <c r="E225" s="4885">
        <v>26</v>
      </c>
      <c r="F225" s="1673" t="str">
        <f t="shared" si="148"/>
        <v>J100 Housing</v>
      </c>
      <c r="G225" s="1673">
        <f>IFERROR(VLOOKUP(F225,B.BasicInfomation!$B:$O,11,0),"")</f>
        <v>1800</v>
      </c>
      <c r="H225" s="1673">
        <f>IFERROR(VLOOKUP(F225,B.BasicInfomation!$B:$O,12,0),"")</f>
        <v>350</v>
      </c>
      <c r="I225" s="2013">
        <f>IFERROR(VLOOKUP(F225,B.BasicInfomation!$B:$O,13,0),"")</f>
        <v>1</v>
      </c>
      <c r="J225" s="4">
        <f>J138/$G225/'4. L PLAN'!F$110</f>
        <v>0.16194331983805671</v>
      </c>
      <c r="K225" s="1896">
        <f>K138/$G225/'4. L PLAN'!G$110</f>
        <v>0.26097541030707289</v>
      </c>
      <c r="L225" s="1897">
        <f>L138/$G225/'4. L PLAN'!H$110</f>
        <v>0.16194331983805671</v>
      </c>
      <c r="M225" s="4">
        <f>M138/$G225/'4. L PLAN'!I$110</f>
        <v>8.3542188805346709E-2</v>
      </c>
      <c r="N225" s="1896">
        <f>N138/$G225/'4. L PLAN'!J$110</f>
        <v>8.3542188805346709E-2</v>
      </c>
      <c r="O225" s="1930">
        <f>O138/$G225/'4. L PLAN'!K$110</f>
        <v>8.3542188805346709E-2</v>
      </c>
      <c r="P225" s="1931">
        <f>P138/$G225/'4. L PLAN'!L$110</f>
        <v>7.7353878523469172E-2</v>
      </c>
      <c r="Q225" s="1900">
        <f>Q138/$G225/'4. L PLAN'!M$110</f>
        <v>8.0329027697448749E-2</v>
      </c>
      <c r="R225" s="1898">
        <f>R138/$G225/'4. L PLAN'!N$110</f>
        <v>8.3542188805346709E-2</v>
      </c>
      <c r="S225" s="1932">
        <f>S138/$G225/'4. L PLAN'!O$110</f>
        <v>7.7353878523469172E-2</v>
      </c>
      <c r="T225" s="1900">
        <f>T138/$G225/'4. L PLAN'!P$110</f>
        <v>8.3542188805346709E-2</v>
      </c>
      <c r="U225" s="1898">
        <f>U138/$G225/'4. L PLAN'!Q$110</f>
        <v>7.7353878523469172E-2</v>
      </c>
      <c r="V225" s="1908">
        <f t="shared" si="137"/>
        <v>0.10958030477314799</v>
      </c>
      <c r="W225" s="1954"/>
      <c r="Y225" s="5"/>
      <c r="AA225" s="1673">
        <f t="shared" si="149"/>
        <v>1800</v>
      </c>
      <c r="AB225" s="1894">
        <f t="shared" si="150"/>
        <v>350</v>
      </c>
      <c r="AC225" s="1745">
        <f t="shared" si="151"/>
        <v>1</v>
      </c>
      <c r="AD225" s="1544" t="b">
        <f t="shared" si="152"/>
        <v>1</v>
      </c>
      <c r="AE225" s="1544" t="b">
        <f t="shared" si="153"/>
        <v>1</v>
      </c>
      <c r="AF225" s="1544" t="b">
        <f t="shared" si="154"/>
        <v>1</v>
      </c>
    </row>
    <row r="226" spans="1:32" ht="19.5" customHeight="1">
      <c r="A226" s="5190"/>
      <c r="B226" s="5186"/>
      <c r="C226" s="15"/>
      <c r="D226" s="1599"/>
      <c r="E226" s="4885"/>
      <c r="F226" s="1673" t="str">
        <f t="shared" si="148"/>
        <v>BENZ R-EPS HSG (Anodizing)</v>
      </c>
      <c r="G226" s="1673">
        <f>IFERROR(VLOOKUP(F226,B.BasicInfomation!$B:$O,11,0),"")</f>
        <v>1800</v>
      </c>
      <c r="H226" s="1673">
        <f>IFERROR(VLOOKUP(F226,B.BasicInfomation!$B:$O,12,0),"")</f>
        <v>350</v>
      </c>
      <c r="I226" s="2013">
        <f>IFERROR(VLOOKUP(F226,B.BasicInfomation!$B:$O,13,0),"")</f>
        <v>1</v>
      </c>
      <c r="J226" s="4">
        <f>J139/$G226/'4. L PLAN'!F$110</f>
        <v>0</v>
      </c>
      <c r="K226" s="1896">
        <f>K139/$G226/'4. L PLAN'!G$110</f>
        <v>0</v>
      </c>
      <c r="L226" s="1897">
        <f>L139/$G226/'4. L PLAN'!H$110</f>
        <v>0</v>
      </c>
      <c r="M226" s="4">
        <f>M139/$G226/'4. L PLAN'!I$110</f>
        <v>0</v>
      </c>
      <c r="N226" s="1896">
        <f>N139/$G226/'4. L PLAN'!J$110</f>
        <v>0</v>
      </c>
      <c r="O226" s="1930">
        <f>O139/$G226/'4. L PLAN'!K$110</f>
        <v>0</v>
      </c>
      <c r="P226" s="1931">
        <f>P139/$G226/'4. L PLAN'!L$110</f>
        <v>0</v>
      </c>
      <c r="Q226" s="1900">
        <f>Q139/$G226/'4. L PLAN'!M$110</f>
        <v>0</v>
      </c>
      <c r="R226" s="1898">
        <f>R139/$G226/'4. L PLAN'!N$110</f>
        <v>0</v>
      </c>
      <c r="S226" s="1932">
        <f>S139/$G226/'4. L PLAN'!O$110</f>
        <v>0</v>
      </c>
      <c r="T226" s="1900">
        <f>T139/$G226/'4. L PLAN'!P$110</f>
        <v>0</v>
      </c>
      <c r="U226" s="1898">
        <f>U139/$G226/'4. L PLAN'!Q$110</f>
        <v>0</v>
      </c>
      <c r="V226" s="1908">
        <f t="shared" si="137"/>
        <v>0</v>
      </c>
      <c r="W226" s="1954"/>
      <c r="Y226" s="5"/>
      <c r="AA226" s="1673">
        <f t="shared" si="149"/>
        <v>1800</v>
      </c>
      <c r="AB226" s="1894">
        <f t="shared" si="150"/>
        <v>350</v>
      </c>
      <c r="AC226" s="1745">
        <f t="shared" si="151"/>
        <v>1</v>
      </c>
      <c r="AD226" s="1544" t="b">
        <f t="shared" si="152"/>
        <v>1</v>
      </c>
      <c r="AE226" s="1544" t="b">
        <f t="shared" si="153"/>
        <v>1</v>
      </c>
      <c r="AF226" s="1544" t="b">
        <f t="shared" si="154"/>
        <v>1</v>
      </c>
    </row>
    <row r="227" spans="1:32" ht="19.5" customHeight="1">
      <c r="A227" s="5190"/>
      <c r="B227" s="5186"/>
      <c r="C227" s="15"/>
      <c r="D227" s="1599"/>
      <c r="E227" s="4885"/>
      <c r="F227" s="1673" t="str">
        <f t="shared" si="148"/>
        <v>NE2 R-EPS HSG</v>
      </c>
      <c r="G227" s="1673">
        <f>IFERROR(VLOOKUP(F227,B.BasicInfomation!$B:$O,11,0),"")</f>
        <v>1800</v>
      </c>
      <c r="H227" s="1673">
        <f>IFERROR(VLOOKUP(F227,B.BasicInfomation!$B:$O,12,0),"")</f>
        <v>350</v>
      </c>
      <c r="I227" s="2013">
        <f>IFERROR(VLOOKUP(F227,B.BasicInfomation!$B:$O,13,0),"")</f>
        <v>1</v>
      </c>
      <c r="J227" s="4">
        <f>J140/$G227/'4. L PLAN'!F$110</f>
        <v>0</v>
      </c>
      <c r="K227" s="1896">
        <f>K140/$G227/'4. L PLAN'!G$110</f>
        <v>0</v>
      </c>
      <c r="L227" s="1897">
        <f>L140/$G227/'4. L PLAN'!H$110</f>
        <v>0</v>
      </c>
      <c r="M227" s="4">
        <f>M140/$G227/'4. L PLAN'!I$110</f>
        <v>0</v>
      </c>
      <c r="N227" s="1896">
        <f>N140/$G227/'4. L PLAN'!J$110</f>
        <v>0</v>
      </c>
      <c r="O227" s="1930">
        <f>O140/$G227/'4. L PLAN'!K$110</f>
        <v>0</v>
      </c>
      <c r="P227" s="1931">
        <f>P140/$G227/'4. L PLAN'!L$110</f>
        <v>0</v>
      </c>
      <c r="Q227" s="1900">
        <f>Q140/$G227/'4. L PLAN'!M$110</f>
        <v>0</v>
      </c>
      <c r="R227" s="1898">
        <f>R140/$G227/'4. L PLAN'!N$110</f>
        <v>0</v>
      </c>
      <c r="S227" s="1932">
        <f>S140/$G227/'4. L PLAN'!O$110</f>
        <v>0</v>
      </c>
      <c r="T227" s="1900">
        <f>T140/$G227/'4. L PLAN'!P$110</f>
        <v>0</v>
      </c>
      <c r="U227" s="1898">
        <f>U140/$G227/'4. L PLAN'!Q$110</f>
        <v>0</v>
      </c>
      <c r="V227" s="1908">
        <f t="shared" si="137"/>
        <v>0</v>
      </c>
      <c r="W227" s="1954"/>
      <c r="Y227" s="5"/>
      <c r="AA227" s="1673">
        <f t="shared" si="149"/>
        <v>1800</v>
      </c>
      <c r="AB227" s="1894">
        <f t="shared" si="150"/>
        <v>350</v>
      </c>
      <c r="AC227" s="1745">
        <f t="shared" si="151"/>
        <v>1</v>
      </c>
      <c r="AD227" s="1544" t="b">
        <f t="shared" si="152"/>
        <v>1</v>
      </c>
      <c r="AE227" s="1544" t="b">
        <f t="shared" si="153"/>
        <v>1</v>
      </c>
      <c r="AF227" s="1544" t="b">
        <f t="shared" si="154"/>
        <v>1</v>
      </c>
    </row>
    <row r="228" spans="1:32" ht="19.5" customHeight="1">
      <c r="A228" s="5190"/>
      <c r="B228" s="5186"/>
      <c r="C228" s="15"/>
      <c r="D228" s="1599"/>
      <c r="E228" s="4885"/>
      <c r="F228" s="1673" t="str">
        <f t="shared" si="148"/>
        <v>M184 R-EPS HSG</v>
      </c>
      <c r="G228" s="1673">
        <f>IFERROR(VLOOKUP(F228,B.BasicInfomation!$B:$O,11,0),"")</f>
        <v>1800</v>
      </c>
      <c r="H228" s="1673">
        <f>IFERROR(VLOOKUP(F228,B.BasicInfomation!$B:$O,12,0),"")</f>
        <v>350</v>
      </c>
      <c r="I228" s="2013">
        <f>IFERROR(VLOOKUP(F228,B.BasicInfomation!$B:$O,13,0),"")</f>
        <v>1</v>
      </c>
      <c r="J228" s="4">
        <f>J141/$G228/'4. L PLAN'!F$110</f>
        <v>0</v>
      </c>
      <c r="K228" s="1896">
        <f>K141/$G228/'4. L PLAN'!G$110</f>
        <v>0</v>
      </c>
      <c r="L228" s="1897">
        <f>L141/$G228/'4. L PLAN'!H$110</f>
        <v>0</v>
      </c>
      <c r="M228" s="4">
        <f>M141/$G228/'4. L PLAN'!I$110</f>
        <v>0</v>
      </c>
      <c r="N228" s="1896">
        <f>N141/$G228/'4. L PLAN'!J$110</f>
        <v>0</v>
      </c>
      <c r="O228" s="1930">
        <f>O141/$G228/'4. L PLAN'!K$110</f>
        <v>0</v>
      </c>
      <c r="P228" s="1931">
        <f>P141/$G228/'4. L PLAN'!L$110</f>
        <v>0</v>
      </c>
      <c r="Q228" s="1900">
        <f>Q141/$G228/'4. L PLAN'!M$110</f>
        <v>0</v>
      </c>
      <c r="R228" s="1898">
        <f>R141/$G228/'4. L PLAN'!N$110</f>
        <v>0</v>
      </c>
      <c r="S228" s="1932">
        <f>S141/$G228/'4. L PLAN'!O$110</f>
        <v>0</v>
      </c>
      <c r="T228" s="1900">
        <f>T141/$G228/'4. L PLAN'!P$110</f>
        <v>0</v>
      </c>
      <c r="U228" s="1898">
        <f>U141/$G228/'4. L PLAN'!Q$110</f>
        <v>0</v>
      </c>
      <c r="V228" s="1908">
        <f t="shared" si="137"/>
        <v>0</v>
      </c>
      <c r="W228" s="1954"/>
      <c r="Y228" s="5"/>
      <c r="AA228" s="1673">
        <f t="shared" si="149"/>
        <v>1800</v>
      </c>
      <c r="AB228" s="1894">
        <f t="shared" si="150"/>
        <v>350</v>
      </c>
      <c r="AC228" s="1745">
        <f t="shared" si="151"/>
        <v>1</v>
      </c>
      <c r="AD228" s="1544" t="b">
        <f t="shared" si="152"/>
        <v>1</v>
      </c>
      <c r="AE228" s="1544" t="b">
        <f t="shared" si="153"/>
        <v>1</v>
      </c>
      <c r="AF228" s="1544" t="b">
        <f t="shared" si="154"/>
        <v>1</v>
      </c>
    </row>
    <row r="229" spans="1:32" ht="19.5" customHeight="1">
      <c r="A229" s="5190"/>
      <c r="B229" s="5186"/>
      <c r="C229" s="15"/>
      <c r="D229" s="12" t="s">
        <v>874</v>
      </c>
      <c r="E229" s="4881">
        <v>27</v>
      </c>
      <c r="F229" s="1767" t="str">
        <f t="shared" si="148"/>
        <v>NX4 Cover</v>
      </c>
      <c r="G229" s="1767">
        <f>IFERROR(VLOOKUP(F229,B.BasicInfomation!$B:$O,11,0),"")</f>
        <v>7200</v>
      </c>
      <c r="H229" s="1767">
        <f>IFERROR(VLOOKUP(F229,B.BasicInfomation!$B:$O,12,0),"")</f>
        <v>350</v>
      </c>
      <c r="I229" s="2037">
        <f>IFERROR(VLOOKUP(F229,B.BasicInfomation!$B:$O,13,0),"")</f>
        <v>4</v>
      </c>
      <c r="J229" s="1933">
        <f>J142/$G229/'4. L PLAN'!F$110</f>
        <v>0.28578232912598239</v>
      </c>
      <c r="K229" s="1934">
        <f>K142/$G229/'4. L PLAN'!G$110</f>
        <v>0.53405572755417974</v>
      </c>
      <c r="L229" s="1935">
        <f>L142/$G229/'4. L PLAN'!H$110</f>
        <v>0.33076658463655367</v>
      </c>
      <c r="M229" s="1933">
        <f>M142/$G229/'4. L PLAN'!I$110</f>
        <v>0.30959752321981426</v>
      </c>
      <c r="N229" s="1934">
        <f>N142/$G229/'4. L PLAN'!J$110</f>
        <v>0.30959752321981426</v>
      </c>
      <c r="O229" s="1936">
        <f>O142/$G229/'4. L PLAN'!K$110</f>
        <v>0.30959752321981426</v>
      </c>
      <c r="P229" s="1937">
        <f>P142/$G229/'4. L PLAN'!L$110</f>
        <v>0.28666437335167988</v>
      </c>
      <c r="Q229" s="1938">
        <f>Q142/$G229/'4. L PLAN'!M$110</f>
        <v>0.29768992617289836</v>
      </c>
      <c r="R229" s="1939">
        <f>R142/$G229/'4. L PLAN'!N$110</f>
        <v>0.30959752321981426</v>
      </c>
      <c r="S229" s="1940">
        <f>S142/$G229/'4. L PLAN'!O$110</f>
        <v>0.28666437335167988</v>
      </c>
      <c r="T229" s="1938">
        <f>T142/$G229/'4. L PLAN'!P$110</f>
        <v>0.30959752321981426</v>
      </c>
      <c r="U229" s="1939">
        <f>U142/$G229/'4. L PLAN'!Q$110</f>
        <v>0.28666437335167988</v>
      </c>
      <c r="V229" s="1941">
        <f t="shared" ref="V229:V247" si="155">AVERAGE(J229:U229)</f>
        <v>0.32135627530364375</v>
      </c>
      <c r="W229" s="1953"/>
      <c r="Y229" s="1652"/>
      <c r="AA229" s="1673">
        <f t="shared" si="149"/>
        <v>7200</v>
      </c>
      <c r="AB229" s="1894">
        <f t="shared" si="150"/>
        <v>350</v>
      </c>
      <c r="AC229" s="1745">
        <f t="shared" si="151"/>
        <v>4</v>
      </c>
      <c r="AD229" s="1544" t="b">
        <f t="shared" si="152"/>
        <v>1</v>
      </c>
      <c r="AE229" s="1544" t="b">
        <f t="shared" si="153"/>
        <v>1</v>
      </c>
      <c r="AF229" s="1544" t="b">
        <f t="shared" si="154"/>
        <v>1</v>
      </c>
    </row>
    <row r="230" spans="1:32" ht="19.5" customHeight="1">
      <c r="A230" s="5190"/>
      <c r="B230" s="5186"/>
      <c r="C230" s="15"/>
      <c r="D230" s="1586"/>
      <c r="E230" s="4882">
        <v>28</v>
      </c>
      <c r="F230" s="1774" t="str">
        <f t="shared" si="148"/>
        <v>Tey Gen4 Cover</v>
      </c>
      <c r="G230" s="1774">
        <f>IFERROR(VLOOKUP(F230,B.BasicInfomation!$B:$O,11,0),"")</f>
        <v>7200</v>
      </c>
      <c r="H230" s="1774">
        <f>IFERROR(VLOOKUP(F230,B.BasicInfomation!$B:$O,12,0),"")</f>
        <v>350</v>
      </c>
      <c r="I230" s="2025">
        <f>IFERROR(VLOOKUP(F230,B.BasicInfomation!$B:$O,13,0),"")</f>
        <v>4</v>
      </c>
      <c r="J230" s="1942">
        <f>J143/$G230/'4. L PLAN'!F$110</f>
        <v>0.54245719880394805</v>
      </c>
      <c r="K230" s="1943">
        <f>K143/$G230/'4. L PLAN'!G$110</f>
        <v>0.70949432404540769</v>
      </c>
      <c r="L230" s="1944">
        <f>L143/$G230/'4. L PLAN'!H$110</f>
        <v>0.54245719880394805</v>
      </c>
      <c r="M230" s="1942">
        <f>M143/$G230/'4. L PLAN'!I$110</f>
        <v>0.55039559683522543</v>
      </c>
      <c r="N230" s="1943">
        <f>N143/$G230/'4. L PLAN'!J$110</f>
        <v>0.55039559683522543</v>
      </c>
      <c r="O230" s="1945">
        <f>O143/$G230/'4. L PLAN'!K$110</f>
        <v>0.55039559683522543</v>
      </c>
      <c r="P230" s="1946">
        <f>P143/$G230/'4. L PLAN'!L$110</f>
        <v>0.47777395558613311</v>
      </c>
      <c r="Q230" s="1947">
        <f>Q143/$G230/'4. L PLAN'!M$110</f>
        <v>0.49614987695483054</v>
      </c>
      <c r="R230" s="1948">
        <f>R143/$G230/'4. L PLAN'!N$110</f>
        <v>0.51599587203302377</v>
      </c>
      <c r="S230" s="1949">
        <f>S143/$G230/'4. L PLAN'!O$110</f>
        <v>0.44592235854705758</v>
      </c>
      <c r="T230" s="1947">
        <f>T143/$G230/'4. L PLAN'!P$110</f>
        <v>0.48159614723082222</v>
      </c>
      <c r="U230" s="1948">
        <f>U143/$G230/'4. L PLAN'!Q$110</f>
        <v>0.44592235854705758</v>
      </c>
      <c r="V230" s="1950">
        <f t="shared" si="155"/>
        <v>0.52574634008815868</v>
      </c>
      <c r="W230" s="1843"/>
      <c r="Y230" s="1652"/>
      <c r="AA230" s="1673">
        <f t="shared" si="149"/>
        <v>7200</v>
      </c>
      <c r="AB230" s="1894">
        <f t="shared" si="150"/>
        <v>350</v>
      </c>
      <c r="AC230" s="1745">
        <f t="shared" si="151"/>
        <v>4</v>
      </c>
      <c r="AD230" s="1544" t="b">
        <f t="shared" si="152"/>
        <v>1</v>
      </c>
      <c r="AE230" s="1544" t="b">
        <f t="shared" si="153"/>
        <v>1</v>
      </c>
      <c r="AF230" s="1544" t="b">
        <f t="shared" si="154"/>
        <v>1</v>
      </c>
    </row>
    <row r="231" spans="1:32" ht="19.5" customHeight="1">
      <c r="A231" s="5190"/>
      <c r="B231" s="5186"/>
      <c r="C231" s="15"/>
      <c r="D231" s="13"/>
      <c r="E231" s="86">
        <v>29</v>
      </c>
      <c r="F231" s="1673" t="str">
        <f t="shared" si="148"/>
        <v>CEER RWA CVR-만도향</v>
      </c>
      <c r="G231" s="1673">
        <f>IFERROR(VLOOKUP(F231,B.BasicInfomation!$B:$O,11,0),"")</f>
        <v>3600</v>
      </c>
      <c r="H231" s="1673">
        <f>IFERROR(VLOOKUP(F231,B.BasicInfomation!$B:$O,12,0),"")</f>
        <v>350</v>
      </c>
      <c r="I231" s="2013">
        <f>IFERROR(VLOOKUP(F231,B.BasicInfomation!$B:$O,13,0),"")</f>
        <v>2</v>
      </c>
      <c r="J231" s="4">
        <f>J144/$G231/'4. L PLAN'!F$110</f>
        <v>0</v>
      </c>
      <c r="K231" s="1896">
        <f>K144/$G231/'4. L PLAN'!G$110</f>
        <v>0</v>
      </c>
      <c r="L231" s="1897">
        <f>L144/$G231/'4. L PLAN'!H$110</f>
        <v>0</v>
      </c>
      <c r="M231" s="4">
        <f>M144/$G231/'4. L PLAN'!I$110</f>
        <v>0</v>
      </c>
      <c r="N231" s="1896">
        <f>N144/$G231/'4. L PLAN'!J$110</f>
        <v>0</v>
      </c>
      <c r="O231" s="1930">
        <f>O144/$G231/'4. L PLAN'!K$110</f>
        <v>0</v>
      </c>
      <c r="P231" s="1931">
        <f>P144/$G231/'4. L PLAN'!L$110</f>
        <v>0</v>
      </c>
      <c r="Q231" s="1900">
        <f>Q144/$G231/'4. L PLAN'!M$110</f>
        <v>0</v>
      </c>
      <c r="R231" s="1898">
        <f>R144/$G231/'4. L PLAN'!N$110</f>
        <v>0</v>
      </c>
      <c r="S231" s="1932">
        <f>S144/$G231/'4. L PLAN'!O$110</f>
        <v>0</v>
      </c>
      <c r="T231" s="1900">
        <f>T144/$G231/'4. L PLAN'!P$110</f>
        <v>0</v>
      </c>
      <c r="U231" s="1898">
        <f>U144/$G231/'4. L PLAN'!Q$110</f>
        <v>0</v>
      </c>
      <c r="V231" s="1908">
        <f t="shared" si="155"/>
        <v>0</v>
      </c>
      <c r="W231" s="1843"/>
      <c r="Y231" s="1652"/>
      <c r="AA231" s="1673">
        <f t="shared" si="149"/>
        <v>3600</v>
      </c>
      <c r="AB231" s="1894">
        <f t="shared" si="150"/>
        <v>350</v>
      </c>
      <c r="AC231" s="1745">
        <f t="shared" si="151"/>
        <v>2</v>
      </c>
      <c r="AD231" s="1544" t="b">
        <f t="shared" si="152"/>
        <v>1</v>
      </c>
      <c r="AE231" s="1544" t="b">
        <f t="shared" si="153"/>
        <v>1</v>
      </c>
      <c r="AF231" s="1544" t="b">
        <f t="shared" si="154"/>
        <v>1</v>
      </c>
    </row>
    <row r="232" spans="1:32" ht="19.5" customHeight="1">
      <c r="A232" s="5190"/>
      <c r="B232" s="5186"/>
      <c r="C232" s="15"/>
      <c r="D232" s="13"/>
      <c r="E232" s="86">
        <v>30</v>
      </c>
      <c r="F232" s="1673" t="str">
        <f t="shared" si="148"/>
        <v>CEER RWS CVR-만도향</v>
      </c>
      <c r="G232" s="1673">
        <f>IFERROR(VLOOKUP(F232,B.BasicInfomation!$B:$O,11,0),"")</f>
        <v>3600</v>
      </c>
      <c r="H232" s="1673">
        <f>IFERROR(VLOOKUP(F232,B.BasicInfomation!$B:$O,12,0),"")</f>
        <v>350</v>
      </c>
      <c r="I232" s="2013">
        <f>IFERROR(VLOOKUP(F232,B.BasicInfomation!$B:$O,13,0),"")</f>
        <v>2</v>
      </c>
      <c r="J232" s="4">
        <f>J145/$G232/'4. L PLAN'!F$110</f>
        <v>0</v>
      </c>
      <c r="K232" s="1896">
        <f>K145/$G232/'4. L PLAN'!G$110</f>
        <v>0</v>
      </c>
      <c r="L232" s="1897">
        <f>L145/$G232/'4. L PLAN'!H$110</f>
        <v>0</v>
      </c>
      <c r="M232" s="4">
        <f>M145/$G232/'4. L PLAN'!I$110</f>
        <v>0</v>
      </c>
      <c r="N232" s="1896">
        <f>N145/$G232/'4. L PLAN'!J$110</f>
        <v>0</v>
      </c>
      <c r="O232" s="1930">
        <f>O145/$G232/'4. L PLAN'!K$110</f>
        <v>0</v>
      </c>
      <c r="P232" s="1931">
        <f>P145/$G232/'4. L PLAN'!L$110</f>
        <v>0</v>
      </c>
      <c r="Q232" s="1900">
        <f>Q145/$G232/'4. L PLAN'!M$110</f>
        <v>0</v>
      </c>
      <c r="R232" s="1898">
        <f>R145/$G232/'4. L PLAN'!N$110</f>
        <v>0</v>
      </c>
      <c r="S232" s="1932">
        <f>S145/$G232/'4. L PLAN'!O$110</f>
        <v>0</v>
      </c>
      <c r="T232" s="1900">
        <f>T145/$G232/'4. L PLAN'!P$110</f>
        <v>4.1279669762641899E-2</v>
      </c>
      <c r="U232" s="1898">
        <f>U145/$G232/'4. L PLAN'!Q$110</f>
        <v>4.2468796052100716E-3</v>
      </c>
      <c r="V232" s="1908">
        <f t="shared" si="155"/>
        <v>3.7938791139876644E-3</v>
      </c>
      <c r="W232" s="1843"/>
      <c r="Y232" s="1652"/>
      <c r="AA232" s="1673">
        <f t="shared" si="149"/>
        <v>3600</v>
      </c>
      <c r="AB232" s="1894">
        <f t="shared" si="150"/>
        <v>350</v>
      </c>
      <c r="AC232" s="1745">
        <f t="shared" si="151"/>
        <v>2</v>
      </c>
      <c r="AD232" s="1544" t="b">
        <f t="shared" si="152"/>
        <v>1</v>
      </c>
      <c r="AE232" s="1544" t="b">
        <f t="shared" si="153"/>
        <v>1</v>
      </c>
      <c r="AF232" s="1544" t="b">
        <f t="shared" si="154"/>
        <v>1</v>
      </c>
    </row>
    <row r="233" spans="1:32" ht="19.5" customHeight="1">
      <c r="A233" s="5190"/>
      <c r="B233" s="5186"/>
      <c r="C233" s="15"/>
      <c r="D233" s="13"/>
      <c r="E233" s="86">
        <v>31</v>
      </c>
      <c r="F233" s="1673" t="str">
        <f t="shared" si="148"/>
        <v>JG R-EPS CVR-만도향</v>
      </c>
      <c r="G233" s="1673">
        <f>IFERROR(VLOOKUP(F233,B.BasicInfomation!$B:$O,11,0),"")</f>
        <v>3600</v>
      </c>
      <c r="H233" s="1673">
        <f>IFERROR(VLOOKUP(F233,B.BasicInfomation!$B:$O,12,0),"")</f>
        <v>350</v>
      </c>
      <c r="I233" s="2013">
        <f>IFERROR(VLOOKUP(F233,B.BasicInfomation!$B:$O,13,0),"")</f>
        <v>2</v>
      </c>
      <c r="J233" s="4">
        <f>J146/$G233/'4. L PLAN'!F$110</f>
        <v>0</v>
      </c>
      <c r="K233" s="1896">
        <f>K146/$G233/'4. L PLAN'!G$110</f>
        <v>0</v>
      </c>
      <c r="L233" s="1897">
        <f>L146/$G233/'4. L PLAN'!H$110</f>
        <v>0</v>
      </c>
      <c r="M233" s="4">
        <f>M146/$G233/'4. L PLAN'!I$110</f>
        <v>0</v>
      </c>
      <c r="N233" s="1896">
        <f>N146/$G233/'4. L PLAN'!J$110</f>
        <v>0.16053204907694074</v>
      </c>
      <c r="O233" s="1930">
        <f>O146/$G233/'4. L PLAN'!K$110</f>
        <v>0.16053204907694074</v>
      </c>
      <c r="P233" s="1931">
        <f>P146/$G233/'4. L PLAN'!L$110</f>
        <v>0.14864078618235255</v>
      </c>
      <c r="Q233" s="1900">
        <f>Q146/$G233/'4. L PLAN'!M$110</f>
        <v>0.15435773949705839</v>
      </c>
      <c r="R233" s="1898">
        <f>R146/$G233/'4. L PLAN'!N$110</f>
        <v>0.16053204907694074</v>
      </c>
      <c r="S233" s="1932">
        <f>S146/$G233/'4. L PLAN'!O$110</f>
        <v>0.14864078618235255</v>
      </c>
      <c r="T233" s="1900">
        <f>T146/$G233/'4. L PLAN'!P$110</f>
        <v>0.16053204907694074</v>
      </c>
      <c r="U233" s="1898">
        <f>U146/$G233/'4. L PLAN'!Q$110</f>
        <v>0.14864078618235255</v>
      </c>
      <c r="V233" s="1908">
        <f t="shared" si="155"/>
        <v>0.10353402452932325</v>
      </c>
      <c r="W233" s="1843"/>
      <c r="Y233" s="1652"/>
      <c r="AA233" s="1673">
        <f t="shared" si="149"/>
        <v>3600</v>
      </c>
      <c r="AB233" s="1894">
        <f t="shared" si="150"/>
        <v>350</v>
      </c>
      <c r="AC233" s="1745">
        <f t="shared" si="151"/>
        <v>2</v>
      </c>
      <c r="AD233" s="1544" t="b">
        <f t="shared" si="152"/>
        <v>1</v>
      </c>
      <c r="AE233" s="1544" t="b">
        <f t="shared" si="153"/>
        <v>1</v>
      </c>
      <c r="AF233" s="1544" t="b">
        <f t="shared" si="154"/>
        <v>1</v>
      </c>
    </row>
    <row r="234" spans="1:32" ht="19.5" customHeight="1">
      <c r="A234" s="5190"/>
      <c r="B234" s="5186"/>
      <c r="C234" s="15"/>
      <c r="D234" s="13"/>
      <c r="E234" s="86">
        <v>32</v>
      </c>
      <c r="F234" s="1673" t="str">
        <f t="shared" si="148"/>
        <v>JG RWS CVR-만도향</v>
      </c>
      <c r="G234" s="1673">
        <f>IFERROR(VLOOKUP(F234,B.BasicInfomation!$B:$O,11,0),"")</f>
        <v>3600</v>
      </c>
      <c r="H234" s="1673">
        <f>IFERROR(VLOOKUP(F234,B.BasicInfomation!$B:$O,12,0),"")</f>
        <v>350</v>
      </c>
      <c r="I234" s="2013">
        <f>IFERROR(VLOOKUP(F234,B.BasicInfomation!$B:$O,13,0),"")</f>
        <v>2</v>
      </c>
      <c r="J234" s="4">
        <f>J147/$G234/'4. L PLAN'!F$110</f>
        <v>0</v>
      </c>
      <c r="K234" s="1896">
        <f>K147/$G234/'4. L PLAN'!G$110</f>
        <v>0</v>
      </c>
      <c r="L234" s="1897">
        <f>L147/$G234/'4. L PLAN'!H$110</f>
        <v>0</v>
      </c>
      <c r="M234" s="4">
        <f>M147/$G234/'4. L PLAN'!I$110</f>
        <v>0</v>
      </c>
      <c r="N234" s="1896">
        <f>N147/$G234/'4. L PLAN'!J$110</f>
        <v>3.4399724802201589E-2</v>
      </c>
      <c r="O234" s="1930">
        <f>O147/$G234/'4. L PLAN'!K$110</f>
        <v>3.4399724802201589E-2</v>
      </c>
      <c r="P234" s="1931">
        <f>P147/$G234/'4. L PLAN'!L$110</f>
        <v>3.1851597039075544E-2</v>
      </c>
      <c r="Q234" s="1900">
        <f>Q147/$G234/'4. L PLAN'!M$110</f>
        <v>3.3076658463655373E-2</v>
      </c>
      <c r="R234" s="1898">
        <f>R147/$G234/'4. L PLAN'!N$110</f>
        <v>3.4399724802201589E-2</v>
      </c>
      <c r="S234" s="1932">
        <f>S147/$G234/'4. L PLAN'!O$110</f>
        <v>3.1851597039075544E-2</v>
      </c>
      <c r="T234" s="1900">
        <f>T147/$G234/'4. L PLAN'!P$110</f>
        <v>3.4399724802201589E-2</v>
      </c>
      <c r="U234" s="1898">
        <f>U147/$G234/'4. L PLAN'!Q$110</f>
        <v>3.1851597039075544E-2</v>
      </c>
      <c r="V234" s="1908">
        <f t="shared" si="155"/>
        <v>2.2185862399140697E-2</v>
      </c>
      <c r="W234" s="1843"/>
      <c r="Y234" s="1652"/>
      <c r="AA234" s="1673">
        <f t="shared" si="149"/>
        <v>3600</v>
      </c>
      <c r="AB234" s="1894">
        <f t="shared" si="150"/>
        <v>350</v>
      </c>
      <c r="AC234" s="1745">
        <f t="shared" si="151"/>
        <v>2</v>
      </c>
      <c r="AD234" s="1544" t="b">
        <f t="shared" si="152"/>
        <v>1</v>
      </c>
      <c r="AE234" s="1544" t="b">
        <f t="shared" si="153"/>
        <v>1</v>
      </c>
      <c r="AF234" s="1544" t="b">
        <f t="shared" si="154"/>
        <v>1</v>
      </c>
    </row>
    <row r="235" spans="1:32" ht="19.5" customHeight="1">
      <c r="A235" s="5190"/>
      <c r="B235" s="5186"/>
      <c r="C235" s="11"/>
      <c r="D235" s="1607" t="s">
        <v>892</v>
      </c>
      <c r="E235" s="4886">
        <v>33</v>
      </c>
      <c r="F235" s="1733" t="str">
        <f t="shared" si="148"/>
        <v>MAS65 Heatsink Cover</v>
      </c>
      <c r="G235" s="1733">
        <f>IFERROR(VLOOKUP(F235,B.BasicInfomation!$B:$O,11,0),"")</f>
        <v>6500</v>
      </c>
      <c r="H235" s="1733">
        <f>IFERROR(VLOOKUP(F235,B.BasicInfomation!$B:$O,12,0),"")</f>
        <v>350</v>
      </c>
      <c r="I235" s="2110">
        <f>IFERROR(VLOOKUP(F235,B.BasicInfomation!$B:$O,13,0),"")</f>
        <v>2</v>
      </c>
      <c r="J235" s="1955">
        <f>J148/$G235/'4. L PLAN'!F$110</f>
        <v>0.72903714814393306</v>
      </c>
      <c r="K235" s="1889">
        <f>K148/$G235/'4. L PLAN'!G$110</f>
        <v>0.789790243822594</v>
      </c>
      <c r="L235" s="1890">
        <f>L148/$G235/'4. L PLAN'!H$110</f>
        <v>0.57107909937941426</v>
      </c>
      <c r="M235" s="1955">
        <f>M148/$G235/'4. L PLAN'!I$110</f>
        <v>0.43626508706390921</v>
      </c>
      <c r="N235" s="1889">
        <f>N148/$G235/'4. L PLAN'!J$110</f>
        <v>0.43626508706390921</v>
      </c>
      <c r="O235" s="1956">
        <f>O148/$G235/'4. L PLAN'!K$110</f>
        <v>0.43626508706390921</v>
      </c>
      <c r="P235" s="1957">
        <f>P148/$G235/'4. L PLAN'!L$110</f>
        <v>0.40394915468880482</v>
      </c>
      <c r="Q235" s="1892">
        <f>Q148/$G235/'4. L PLAN'!M$110</f>
        <v>0.41948566063837422</v>
      </c>
      <c r="R235" s="1891">
        <f>R148/$G235/'4. L PLAN'!N$110</f>
        <v>0.43626508706390921</v>
      </c>
      <c r="S235" s="1958">
        <f>S148/$G235/'4. L PLAN'!O$110</f>
        <v>0.40394915468880482</v>
      </c>
      <c r="T235" s="1892">
        <f>T148/$G235/'4. L PLAN'!P$110</f>
        <v>0.43626508706390921</v>
      </c>
      <c r="U235" s="1891">
        <f>U148/$G235/'4. L PLAN'!Q$110</f>
        <v>0.40394915468880482</v>
      </c>
      <c r="V235" s="1893">
        <f t="shared" si="155"/>
        <v>0.49188042094752299</v>
      </c>
      <c r="W235" s="1959"/>
      <c r="Y235" s="1652"/>
      <c r="AA235" s="1673">
        <f t="shared" si="149"/>
        <v>6500</v>
      </c>
      <c r="AB235" s="1894">
        <f t="shared" si="150"/>
        <v>350</v>
      </c>
      <c r="AC235" s="1745">
        <f t="shared" si="151"/>
        <v>2</v>
      </c>
      <c r="AD235" s="1544" t="b">
        <f t="shared" si="152"/>
        <v>1</v>
      </c>
      <c r="AE235" s="1544" t="b">
        <f t="shared" si="153"/>
        <v>1</v>
      </c>
      <c r="AF235" s="1544" t="b">
        <f t="shared" si="154"/>
        <v>1</v>
      </c>
    </row>
    <row r="236" spans="1:32" ht="19.5" customHeight="1">
      <c r="A236" s="5190"/>
      <c r="B236" s="5186"/>
      <c r="C236" s="15" t="s">
        <v>405</v>
      </c>
      <c r="D236" s="1599" t="s">
        <v>1008</v>
      </c>
      <c r="E236" s="4885">
        <v>34</v>
      </c>
      <c r="F236" s="1673" t="str">
        <f t="shared" si="148"/>
        <v>FCA Housing</v>
      </c>
      <c r="G236" s="1673">
        <f>IFERROR(VLOOKUP(F236,B.BasicInfomation!$B:$O,11,0),"")</f>
        <v>6500</v>
      </c>
      <c r="H236" s="1673">
        <f>IFERROR(VLOOKUP(F236,B.BasicInfomation!$B:$O,12,0),"")</f>
        <v>350</v>
      </c>
      <c r="I236" s="2013">
        <f>IFERROR(VLOOKUP(F236,B.BasicInfomation!$B:$O,13,0),"")</f>
        <v>2</v>
      </c>
      <c r="J236" s="4">
        <f>J149/$G236/'4. L PLAN'!F$110</f>
        <v>0.37926171250535423</v>
      </c>
      <c r="K236" s="1896">
        <f>K149/$G236/'4. L PLAN'!G$110</f>
        <v>0.61630028282120064</v>
      </c>
      <c r="L236" s="1897">
        <f>L149/$G236/'4. L PLAN'!H$110</f>
        <v>0.32837889594527064</v>
      </c>
      <c r="M236" s="4">
        <f>M149/$G236/'4. L PLAN'!I$110</f>
        <v>0.34151405178308147</v>
      </c>
      <c r="N236" s="1896">
        <f>N149/$G236/'4. L PLAN'!J$110</f>
        <v>0.34151405178308147</v>
      </c>
      <c r="O236" s="1930">
        <f>O149/$G236/'4. L PLAN'!K$110</f>
        <v>0.34151405178308147</v>
      </c>
      <c r="P236" s="1931">
        <f>P149/$G236/'4. L PLAN'!L$110</f>
        <v>0.31621671461396433</v>
      </c>
      <c r="Q236" s="1900">
        <f>Q149/$G236/'4. L PLAN'!M$110</f>
        <v>0.32837889594527064</v>
      </c>
      <c r="R236" s="1898">
        <f>R149/$G236/'4. L PLAN'!N$110</f>
        <v>0.34151405178308147</v>
      </c>
      <c r="S236" s="1932">
        <f>S149/$G236/'4. L PLAN'!O$110</f>
        <v>0.31621671461396433</v>
      </c>
      <c r="T236" s="1900">
        <f>T149/$G236/'4. L PLAN'!P$110</f>
        <v>0.34151405178308147</v>
      </c>
      <c r="U236" s="1898">
        <f>U149/$G236/'4. L PLAN'!Q$110</f>
        <v>0.31621671461396433</v>
      </c>
      <c r="V236" s="1908">
        <f t="shared" si="155"/>
        <v>0.35904501583119974</v>
      </c>
      <c r="W236" s="1843"/>
      <c r="Y236" s="1843"/>
      <c r="AA236" s="1673">
        <f t="shared" si="149"/>
        <v>6500</v>
      </c>
      <c r="AB236" s="1894">
        <f t="shared" si="150"/>
        <v>350</v>
      </c>
      <c r="AC236" s="1745">
        <f t="shared" si="151"/>
        <v>2</v>
      </c>
      <c r="AD236" s="1544" t="b">
        <f t="shared" si="152"/>
        <v>1</v>
      </c>
      <c r="AE236" s="1544" t="b">
        <f t="shared" si="153"/>
        <v>1</v>
      </c>
      <c r="AF236" s="1544" t="b">
        <f t="shared" si="154"/>
        <v>1</v>
      </c>
    </row>
    <row r="237" spans="1:32" s="1579" customFormat="1" ht="19.5" customHeight="1">
      <c r="A237" s="5190"/>
      <c r="B237" s="5186"/>
      <c r="C237" s="15"/>
      <c r="D237" s="15"/>
      <c r="E237" s="4857">
        <v>35</v>
      </c>
      <c r="F237" s="1673" t="str">
        <f t="shared" si="148"/>
        <v>GM EU2L Housing</v>
      </c>
      <c r="G237" s="1673">
        <f>IFERROR(VLOOKUP(F237,B.BasicInfomation!$B:$O,11,0),"")</f>
        <v>6500</v>
      </c>
      <c r="H237" s="1673">
        <f>IFERROR(VLOOKUP(F237,B.BasicInfomation!$B:$O,12,0),"")</f>
        <v>350</v>
      </c>
      <c r="I237" s="2013">
        <f>IFERROR(VLOOKUP(F237,B.BasicInfomation!$B:$O,13,0),"")</f>
        <v>2</v>
      </c>
      <c r="J237" s="4">
        <f>J150/$G237/'4. L PLAN'!F$110</f>
        <v>0.34920518708846793</v>
      </c>
      <c r="K237" s="1896">
        <f>K150/$G237/'4. L PLAN'!G$110</f>
        <v>0.54445235307151041</v>
      </c>
      <c r="L237" s="1897">
        <f>L150/$G237/'4. L PLAN'!H$110</f>
        <v>0.35648887204206692</v>
      </c>
      <c r="M237" s="4">
        <f>M150/$G237/'4. L PLAN'!I$110</f>
        <v>0.3707484269237496</v>
      </c>
      <c r="N237" s="1896">
        <f>N150/$G237/'4. L PLAN'!J$110</f>
        <v>0.37841711890616614</v>
      </c>
      <c r="O237" s="1930">
        <f>O150/$G237/'4. L PLAN'!K$110</f>
        <v>0.49177500523752715</v>
      </c>
      <c r="P237" s="1931">
        <f>P150/$G237/'4. L PLAN'!L$110</f>
        <v>0.42567824941468746</v>
      </c>
      <c r="Q237" s="1900">
        <f>Q150/$G237/'4. L PLAN'!M$110</f>
        <v>0.44205048977679079</v>
      </c>
      <c r="R237" s="1898">
        <f>R150/$G237/'4. L PLAN'!N$110</f>
        <v>0.45083682666825908</v>
      </c>
      <c r="S237" s="1932">
        <f>S150/$G237/'4. L PLAN'!O$110</f>
        <v>0.34214947796903972</v>
      </c>
      <c r="T237" s="1900">
        <f>T150/$G237/'4. L PLAN'!P$110</f>
        <v>0.25616354987520196</v>
      </c>
      <c r="U237" s="1898">
        <f>U150/$G237/'4. L PLAN'!Q$110</f>
        <v>0.24542521534704184</v>
      </c>
      <c r="V237" s="1908">
        <f t="shared" si="155"/>
        <v>0.38778256436004238</v>
      </c>
      <c r="W237" s="1843"/>
      <c r="X237" s="1544"/>
      <c r="Y237" s="1846"/>
      <c r="AA237" s="1673">
        <f t="shared" si="149"/>
        <v>6500</v>
      </c>
      <c r="AB237" s="1894">
        <f t="shared" si="150"/>
        <v>350</v>
      </c>
      <c r="AC237" s="1745">
        <f t="shared" si="151"/>
        <v>2</v>
      </c>
      <c r="AD237" s="1544" t="b">
        <f t="shared" si="152"/>
        <v>1</v>
      </c>
      <c r="AE237" s="1544" t="b">
        <f t="shared" si="153"/>
        <v>1</v>
      </c>
      <c r="AF237" s="1544" t="b">
        <f t="shared" si="154"/>
        <v>1</v>
      </c>
    </row>
    <row r="238" spans="1:32" ht="19.5" customHeight="1">
      <c r="A238" s="5190"/>
      <c r="B238" s="5186"/>
      <c r="C238" s="15"/>
      <c r="D238" s="15"/>
      <c r="E238" s="4857">
        <v>36</v>
      </c>
      <c r="F238" s="1673" t="str">
        <f t="shared" si="148"/>
        <v>GM ACP Housing</v>
      </c>
      <c r="G238" s="1673">
        <f>IFERROR(VLOOKUP(F238,B.BasicInfomation!$B:$O,11,0),"")</f>
        <v>6500</v>
      </c>
      <c r="H238" s="1673">
        <f>IFERROR(VLOOKUP(F238,B.BasicInfomation!$B:$O,12,0),"")</f>
        <v>350</v>
      </c>
      <c r="I238" s="2013">
        <f>IFERROR(VLOOKUP(F238,B.BasicInfomation!$B:$O,13,0),"")</f>
        <v>2</v>
      </c>
      <c r="J238" s="4">
        <f>J151/$G238/'4. L PLAN'!F$110</f>
        <v>0.86774687040273313</v>
      </c>
      <c r="K238" s="1896">
        <f>K151/$G238/'4. L PLAN'!G$110</f>
        <v>1.4100886644044412</v>
      </c>
      <c r="L238" s="1897">
        <f>L151/$G238/'4. L PLAN'!H$110</f>
        <v>0.89679006744804002</v>
      </c>
      <c r="M238" s="4">
        <f>M151/$G238/'4. L PLAN'!I$110</f>
        <v>0.89227780052854977</v>
      </c>
      <c r="N238" s="1896">
        <f>N151/$G238/'4. L PLAN'!J$110</f>
        <v>0.92274310985033647</v>
      </c>
      <c r="O238" s="1930">
        <f>O151/$G238/'4. L PLAN'!K$110</f>
        <v>0.92274310985033647</v>
      </c>
      <c r="P238" s="1931">
        <f>P151/$G238/'4. L PLAN'!L$110</f>
        <v>0.85439176837994124</v>
      </c>
      <c r="Q238" s="1900">
        <f>Q151/$G238/'4. L PLAN'!M$110</f>
        <v>0.88725299024070814</v>
      </c>
      <c r="R238" s="1898">
        <f>R151/$G238/'4. L PLAN'!N$110</f>
        <v>0.88235924023292456</v>
      </c>
      <c r="S238" s="1932">
        <f>S151/$G238/'4. L PLAN'!O$110</f>
        <v>0.81699929651196712</v>
      </c>
      <c r="T238" s="1900">
        <f>T151/$G238/'4. L PLAN'!P$110</f>
        <v>0.88235924023292456</v>
      </c>
      <c r="U238" s="1898">
        <f>U151/$G238/'4. L PLAN'!Q$110</f>
        <v>0.85439176837994124</v>
      </c>
      <c r="V238" s="1908">
        <f t="shared" si="155"/>
        <v>0.92417866053857045</v>
      </c>
      <c r="W238" s="1650"/>
      <c r="Y238" s="1650"/>
      <c r="AA238" s="1673">
        <f t="shared" si="149"/>
        <v>6500</v>
      </c>
      <c r="AB238" s="1894">
        <f t="shared" si="150"/>
        <v>350</v>
      </c>
      <c r="AC238" s="1745">
        <f t="shared" si="151"/>
        <v>2</v>
      </c>
      <c r="AD238" s="1544" t="b">
        <f t="shared" si="152"/>
        <v>1</v>
      </c>
      <c r="AE238" s="1544" t="b">
        <f t="shared" si="153"/>
        <v>1</v>
      </c>
      <c r="AF238" s="1544" t="b">
        <f t="shared" si="154"/>
        <v>1</v>
      </c>
    </row>
    <row r="239" spans="1:32" ht="19.5" customHeight="1">
      <c r="A239" s="5190"/>
      <c r="B239" s="5186"/>
      <c r="C239" s="15"/>
      <c r="D239" s="12" t="s">
        <v>1009</v>
      </c>
      <c r="E239" s="4881">
        <v>37</v>
      </c>
      <c r="F239" s="1767" t="str">
        <f t="shared" si="148"/>
        <v>FCA Cover</v>
      </c>
      <c r="G239" s="1767">
        <f>IFERROR(VLOOKUP(F239,B.BasicInfomation!$B:$O,11,0),"")</f>
        <v>6500</v>
      </c>
      <c r="H239" s="1767">
        <f>IFERROR(VLOOKUP(F239,B.BasicInfomation!$B:$O,12,0),"")</f>
        <v>350</v>
      </c>
      <c r="I239" s="2037">
        <f>IFERROR(VLOOKUP(F239,B.BasicInfomation!$B:$O,13,0),"")</f>
        <v>2</v>
      </c>
      <c r="J239" s="1933">
        <f>J152/$G239/'4. L PLAN'!F$110</f>
        <v>0.37951692612651355</v>
      </c>
      <c r="K239" s="1934">
        <f>K152/$G239/'4. L PLAN'!G$110</f>
        <v>0.61671500495558451</v>
      </c>
      <c r="L239" s="1935">
        <f>L152/$G239/'4. L PLAN'!H$110</f>
        <v>0.32859986939021141</v>
      </c>
      <c r="M239" s="1933">
        <f>M152/$G239/'4. L PLAN'!I$110</f>
        <v>0.34174386416581987</v>
      </c>
      <c r="N239" s="1934">
        <f>N152/$G239/'4. L PLAN'!J$110</f>
        <v>0.34174386416581987</v>
      </c>
      <c r="O239" s="1936">
        <f>O152/$G239/'4. L PLAN'!K$110</f>
        <v>0.34174386416581987</v>
      </c>
      <c r="P239" s="1937">
        <f>P152/$G239/'4. L PLAN'!L$110</f>
        <v>0.31642950385724061</v>
      </c>
      <c r="Q239" s="1938">
        <f>Q152/$G239/'4. L PLAN'!M$110</f>
        <v>0.32859986939021141</v>
      </c>
      <c r="R239" s="1939">
        <f>R152/$G239/'4. L PLAN'!N$110</f>
        <v>0.34174386416581987</v>
      </c>
      <c r="S239" s="1940">
        <f>S152/$G239/'4. L PLAN'!O$110</f>
        <v>0.31642950385724061</v>
      </c>
      <c r="T239" s="1938">
        <f>T152/$G239/'4. L PLAN'!P$110</f>
        <v>0.34174386416581987</v>
      </c>
      <c r="U239" s="1939">
        <f>U152/$G239/'4. L PLAN'!Q$110</f>
        <v>0.31642950385724061</v>
      </c>
      <c r="V239" s="1941">
        <f t="shared" si="155"/>
        <v>0.35928662518861182</v>
      </c>
      <c r="AA239" s="1673">
        <f t="shared" si="149"/>
        <v>6500</v>
      </c>
      <c r="AB239" s="1894">
        <f t="shared" si="150"/>
        <v>350</v>
      </c>
      <c r="AC239" s="1745">
        <f t="shared" si="151"/>
        <v>2</v>
      </c>
      <c r="AD239" s="1544" t="b">
        <f t="shared" si="152"/>
        <v>1</v>
      </c>
      <c r="AE239" s="1544" t="b">
        <f t="shared" si="153"/>
        <v>1</v>
      </c>
      <c r="AF239" s="1544" t="b">
        <f t="shared" si="154"/>
        <v>1</v>
      </c>
    </row>
    <row r="240" spans="1:32" s="1579" customFormat="1" ht="19.5" customHeight="1">
      <c r="A240" s="5190"/>
      <c r="B240" s="5186"/>
      <c r="C240" s="15"/>
      <c r="D240" s="15"/>
      <c r="E240" s="4857">
        <v>38</v>
      </c>
      <c r="F240" s="1673" t="str">
        <f t="shared" si="148"/>
        <v>GM EU2L Cover</v>
      </c>
      <c r="G240" s="1673">
        <f>IFERROR(VLOOKUP(F240,B.BasicInfomation!$B:$O,11,0),"")</f>
        <v>6500</v>
      </c>
      <c r="H240" s="1673">
        <f>IFERROR(VLOOKUP(F240,B.BasicInfomation!$B:$O,12,0),"")</f>
        <v>350</v>
      </c>
      <c r="I240" s="2013">
        <f>IFERROR(VLOOKUP(F240,B.BasicInfomation!$B:$O,13,0),"")</f>
        <v>2</v>
      </c>
      <c r="J240" s="3358">
        <f>J153/$G240/'4. L PLAN'!F$110</f>
        <v>0.34219645314379837</v>
      </c>
      <c r="K240" s="3359">
        <f>K153/$G240/'4. L PLAN'!G$110</f>
        <v>0.53270745300639211</v>
      </c>
      <c r="L240" s="3360">
        <f>L153/$G240/'4. L PLAN'!H$110</f>
        <v>0.34935348044963488</v>
      </c>
      <c r="M240" s="4">
        <f>M153/$G240/'4. L PLAN'!I$110</f>
        <v>0.36332761966762028</v>
      </c>
      <c r="N240" s="1896">
        <f>N153/$G240/'4. L PLAN'!J$110</f>
        <v>0.37111322514122413</v>
      </c>
      <c r="O240" s="1930">
        <f>O153/$G240/'4. L PLAN'!K$110</f>
        <v>0.481841624398959</v>
      </c>
      <c r="P240" s="1931">
        <f>P153/$G240/'4. L PLAN'!L$110</f>
        <v>0.41716888599577717</v>
      </c>
      <c r="Q240" s="1900">
        <f>Q153/$G240/'4. L PLAN'!M$110</f>
        <v>0.43321384314946088</v>
      </c>
      <c r="R240" s="1898">
        <f>R153/$G240/'4. L PLAN'!N$110</f>
        <v>0.4415110945260588</v>
      </c>
      <c r="S240" s="1932">
        <f>S153/$G240/'4. L PLAN'!O$110</f>
        <v>0.33526103962207743</v>
      </c>
      <c r="T240" s="1900">
        <f>T153/$G240/'4. L PLAN'!P$110</f>
        <v>0.25135352353410872</v>
      </c>
      <c r="U240" s="1898">
        <f>U153/$G240/'4. L PLAN'!Q$110</f>
        <v>0.24109706100323078</v>
      </c>
      <c r="V240" s="1908">
        <f t="shared" si="155"/>
        <v>0.38001210863652851</v>
      </c>
      <c r="W240" s="1544"/>
      <c r="X240" s="1544"/>
      <c r="Y240" s="1544"/>
      <c r="AA240" s="1673">
        <f t="shared" si="149"/>
        <v>6500</v>
      </c>
      <c r="AB240" s="1894">
        <f t="shared" si="150"/>
        <v>350</v>
      </c>
      <c r="AC240" s="1745">
        <f t="shared" si="151"/>
        <v>2</v>
      </c>
      <c r="AD240" s="1544" t="b">
        <f t="shared" si="152"/>
        <v>1</v>
      </c>
      <c r="AE240" s="1544" t="b">
        <f t="shared" si="153"/>
        <v>1</v>
      </c>
      <c r="AF240" s="1544" t="b">
        <f t="shared" si="154"/>
        <v>1</v>
      </c>
    </row>
    <row r="241" spans="1:32" s="1579" customFormat="1" ht="19.5" customHeight="1">
      <c r="A241" s="5190"/>
      <c r="B241" s="5186"/>
      <c r="C241" s="13"/>
      <c r="D241" s="1586"/>
      <c r="E241" s="4882">
        <v>39</v>
      </c>
      <c r="F241" s="1774" t="str">
        <f t="shared" si="148"/>
        <v>GM ACP Cover</v>
      </c>
      <c r="G241" s="1774">
        <f>IFERROR(VLOOKUP(F241,B.BasicInfomation!$B:$O,11,0),"")</f>
        <v>6500</v>
      </c>
      <c r="H241" s="1774">
        <f>IFERROR(VLOOKUP(F241,B.BasicInfomation!$B:$O,12,0),"")</f>
        <v>350</v>
      </c>
      <c r="I241" s="2025">
        <f>IFERROR(VLOOKUP(F241,B.BasicInfomation!$B:$O,13,0),"")</f>
        <v>2</v>
      </c>
      <c r="J241" s="3361">
        <f>J154/$G241/'4. L PLAN'!F$110</f>
        <v>0.86051975186640761</v>
      </c>
      <c r="K241" s="3362">
        <f>K154/$G241/'4. L PLAN'!G$110</f>
        <v>1.3983445967829125</v>
      </c>
      <c r="L241" s="3363">
        <f>L154/$G241/'4. L PLAN'!H$110</f>
        <v>0.89152879680467256</v>
      </c>
      <c r="M241" s="1942">
        <f>M154/$G241/'4. L PLAN'!I$110</f>
        <v>0.88407261466594333</v>
      </c>
      <c r="N241" s="1943">
        <f>N154/$G241/'4. L PLAN'!J$110</f>
        <v>0.91748942254392529</v>
      </c>
      <c r="O241" s="1945">
        <f>O154/$G241/'4. L PLAN'!K$110</f>
        <v>0.91748942254392529</v>
      </c>
      <c r="P241" s="1946">
        <f>P154/$G241/'4. L PLAN'!L$110</f>
        <v>0.84952724309622718</v>
      </c>
      <c r="Q241" s="1947">
        <f>Q154/$G241/'4. L PLAN'!M$110</f>
        <v>0.88220136783069747</v>
      </c>
      <c r="R241" s="1948">
        <f>R154/$G241/'4. L PLAN'!N$110</f>
        <v>0.8743720885330093</v>
      </c>
      <c r="S241" s="1949">
        <f>S154/$G241/'4. L PLAN'!O$110</f>
        <v>0.80960378567871227</v>
      </c>
      <c r="T241" s="1947">
        <f>T154/$G241/'4. L PLAN'!P$110</f>
        <v>0.8743720885330093</v>
      </c>
      <c r="U241" s="1948">
        <f>U154/$G241/'4. L PLAN'!Q$110</f>
        <v>0.84952724309622718</v>
      </c>
      <c r="V241" s="1950">
        <f t="shared" si="155"/>
        <v>0.91742070183130575</v>
      </c>
      <c r="W241" s="1544"/>
      <c r="X241" s="1544"/>
      <c r="Y241" s="1544"/>
      <c r="AA241" s="1673">
        <f t="shared" si="149"/>
        <v>6500</v>
      </c>
      <c r="AB241" s="1894">
        <f t="shared" si="150"/>
        <v>350</v>
      </c>
      <c r="AC241" s="1745">
        <f t="shared" si="151"/>
        <v>2</v>
      </c>
      <c r="AD241" s="1544" t="b">
        <f t="shared" si="152"/>
        <v>1</v>
      </c>
      <c r="AE241" s="1544" t="b">
        <f t="shared" si="153"/>
        <v>1</v>
      </c>
      <c r="AF241" s="1544" t="b">
        <f t="shared" si="154"/>
        <v>1</v>
      </c>
    </row>
    <row r="242" spans="1:32" s="1579" customFormat="1" ht="19.5" customHeight="1">
      <c r="A242" s="5190"/>
      <c r="B242" s="5186"/>
      <c r="C242" s="13"/>
      <c r="D242" s="15" t="s">
        <v>885</v>
      </c>
      <c r="E242" s="4857">
        <v>40</v>
      </c>
      <c r="F242" s="1673" t="str">
        <f t="shared" si="148"/>
        <v>Lens Mount</v>
      </c>
      <c r="G242" s="1673">
        <f>IFERROR(VLOOKUP(F242,B.BasicInfomation!$B:$O,11,0),"")</f>
        <v>6500</v>
      </c>
      <c r="H242" s="1673">
        <f>IFERROR(VLOOKUP(F242,B.BasicInfomation!$B:$O,12,0),"")</f>
        <v>350</v>
      </c>
      <c r="I242" s="2013">
        <f>IFERROR(VLOOKUP(F242,B.BasicInfomation!$B:$O,13,0),"")</f>
        <v>2</v>
      </c>
      <c r="J242" s="4">
        <f>J155/$G242/'4. L PLAN'!F$110</f>
        <v>1.0804296431660079</v>
      </c>
      <c r="K242" s="1896">
        <f>K155/$G242/'4. L PLAN'!G$110</f>
        <v>1.7652437177360032</v>
      </c>
      <c r="L242" s="1897">
        <f>L155/$G242/'4. L PLAN'!H$110</f>
        <v>1.6221366060566491</v>
      </c>
      <c r="M242" s="4">
        <f>M155/$G242/'4. L PLAN'!I$110</f>
        <v>1.6488398799339552</v>
      </c>
      <c r="N242" s="1896">
        <f>N155/$G242/'4. L PLAN'!J$110</f>
        <v>1.6488398799339552</v>
      </c>
      <c r="O242" s="1930">
        <f>O155/$G242/'4. L PLAN'!K$110</f>
        <v>1.5874710745261393</v>
      </c>
      <c r="P242" s="1931">
        <f>P155/$G242/'4. L PLAN'!L$110</f>
        <v>1.4698806245612401</v>
      </c>
      <c r="Q242" s="1900">
        <f>Q155/$G242/'4. L PLAN'!M$110</f>
        <v>1.5631281393183647</v>
      </c>
      <c r="R242" s="1898">
        <f>R155/$G242/'4. L PLAN'!N$110</f>
        <v>1.6870220702989149</v>
      </c>
      <c r="S242" s="1932">
        <f>S155/$G242/'4. L PLAN'!O$110</f>
        <v>1.5267035925314401</v>
      </c>
      <c r="T242" s="1900">
        <f>T155/$G242/'4. L PLAN'!P$110</f>
        <v>1.5874710745261393</v>
      </c>
      <c r="U242" s="1898">
        <f>U155/$G242/'4. L PLAN'!Q$110</f>
        <v>1.4698806245612401</v>
      </c>
      <c r="V242" s="1908">
        <f t="shared" si="155"/>
        <v>1.5547539105958377</v>
      </c>
      <c r="W242" s="1544"/>
      <c r="X242" s="1544"/>
      <c r="Y242" s="1544"/>
      <c r="AA242" s="1673">
        <f t="shared" si="149"/>
        <v>6500</v>
      </c>
      <c r="AB242" s="1894">
        <f t="shared" si="150"/>
        <v>350</v>
      </c>
      <c r="AC242" s="1745">
        <f t="shared" si="151"/>
        <v>2</v>
      </c>
      <c r="AD242" s="1544" t="b">
        <f t="shared" si="152"/>
        <v>1</v>
      </c>
      <c r="AE242" s="1544" t="b">
        <f t="shared" si="153"/>
        <v>1</v>
      </c>
      <c r="AF242" s="1544" t="b">
        <f t="shared" si="154"/>
        <v>1</v>
      </c>
    </row>
    <row r="243" spans="1:32" s="1579" customFormat="1" ht="19.5" customHeight="1">
      <c r="A243" s="5190"/>
      <c r="B243" s="5186"/>
      <c r="C243" s="13"/>
      <c r="D243" s="12" t="s">
        <v>892</v>
      </c>
      <c r="E243" s="4881">
        <v>41</v>
      </c>
      <c r="F243" s="1767" t="str">
        <f t="shared" si="148"/>
        <v>IPM 1.0 Housing</v>
      </c>
      <c r="G243" s="1767">
        <f>IFERROR(VLOOKUP(F243,B.BasicInfomation!$B:$O,11,0),"")</f>
        <v>6500</v>
      </c>
      <c r="H243" s="1767">
        <f>IFERROR(VLOOKUP(F243,B.BasicInfomation!$B:$O,12,0),"")</f>
        <v>350</v>
      </c>
      <c r="I243" s="2037">
        <f>IFERROR(VLOOKUP(F243,B.BasicInfomation!$B:$O,13,0),"")</f>
        <v>2</v>
      </c>
      <c r="J243" s="1933">
        <f>J156/$G243/'4. L PLAN'!F$110</f>
        <v>7.6186508827935415E-2</v>
      </c>
      <c r="K243" s="1934">
        <f>K156/$G243/'4. L PLAN'!G$110</f>
        <v>0.12380307684539504</v>
      </c>
      <c r="L243" s="1935">
        <f>L156/$G243/'4. L PLAN'!H$110</f>
        <v>5.8785886441308208E-2</v>
      </c>
      <c r="M243" s="1933">
        <f>M156/$G243/'4. L PLAN'!I$110</f>
        <v>6.1137321898960532E-2</v>
      </c>
      <c r="N243" s="1934">
        <f>N156/$G243/'4. L PLAN'!J$110</f>
        <v>0.10674576403558507</v>
      </c>
      <c r="O243" s="1936">
        <f>O156/$G243/'4. L PLAN'!K$110</f>
        <v>0.10674576403558507</v>
      </c>
      <c r="P243" s="1937">
        <f>P156/$G243/'4. L PLAN'!L$110</f>
        <v>9.883867040331952E-2</v>
      </c>
      <c r="Q243" s="1938">
        <f>Q156/$G243/'4. L PLAN'!M$110</f>
        <v>5.8785886441308208E-2</v>
      </c>
      <c r="R243" s="1939">
        <f>R156/$G243/'4. L PLAN'!N$110</f>
        <v>7.9233969181052827E-2</v>
      </c>
      <c r="S243" s="1940">
        <f>S156/$G243/'4. L PLAN'!O$110</f>
        <v>7.3364786278752619E-2</v>
      </c>
      <c r="T243" s="1938">
        <f>T156/$G243/'4. L PLAN'!P$110</f>
        <v>7.9233969181052827E-2</v>
      </c>
      <c r="U243" s="1939">
        <f>U156/$G243/'4. L PLAN'!Q$110</f>
        <v>5.660863138792642E-2</v>
      </c>
      <c r="V243" s="1941">
        <f t="shared" si="155"/>
        <v>8.1622519579848493E-2</v>
      </c>
      <c r="W243" s="9"/>
      <c r="X243" s="1544"/>
      <c r="Y243" s="1623"/>
      <c r="AA243" s="1673">
        <f t="shared" si="149"/>
        <v>6500</v>
      </c>
      <c r="AB243" s="1894">
        <f t="shared" si="150"/>
        <v>350</v>
      </c>
      <c r="AC243" s="1745">
        <f t="shared" si="151"/>
        <v>2</v>
      </c>
      <c r="AD243" s="1544" t="b">
        <f t="shared" si="152"/>
        <v>1</v>
      </c>
      <c r="AE243" s="1544" t="b">
        <f t="shared" si="153"/>
        <v>1</v>
      </c>
      <c r="AF243" s="1544" t="b">
        <f t="shared" si="154"/>
        <v>1</v>
      </c>
    </row>
    <row r="244" spans="1:32" s="1579" customFormat="1" ht="19.5" customHeight="1">
      <c r="A244" s="5190"/>
      <c r="B244" s="5246"/>
      <c r="C244" s="13"/>
      <c r="D244" s="15"/>
      <c r="E244" s="4857">
        <v>42</v>
      </c>
      <c r="F244" s="1673" t="str">
        <f t="shared" si="148"/>
        <v>IPM 2.0  Base Housing</v>
      </c>
      <c r="G244" s="15">
        <f>IFERROR(VLOOKUP(F244,B.BasicInfomation!$B:$O,11,0),"")</f>
        <v>1700</v>
      </c>
      <c r="H244" s="1673">
        <f>IFERROR(VLOOKUP(F244,B.BasicInfomation!$B:$O,12,0),"")</f>
        <v>350</v>
      </c>
      <c r="I244" s="2013">
        <f>IFERROR(VLOOKUP(F244,B.BasicInfomation!$B:$O,13,0),"")</f>
        <v>1</v>
      </c>
      <c r="J244" s="4">
        <f>J157/$G244/'4. L PLAN'!F$110</f>
        <v>8.5509023651781424E-2</v>
      </c>
      <c r="K244" s="1896">
        <f>K157/$G244/'4. L PLAN'!G$110</f>
        <v>0.13895216343414482</v>
      </c>
      <c r="L244" s="1897">
        <f>L157/$G244/'4. L PLAN'!H$110</f>
        <v>0.14315126727418767</v>
      </c>
      <c r="M244" s="4">
        <f>M157/$G244/'4. L PLAN'!I$110</f>
        <v>8.8929384597852684E-2</v>
      </c>
      <c r="N244" s="1896">
        <f>N157/$G244/'4. L PLAN'!J$110</f>
        <v>8.8929384597852684E-2</v>
      </c>
      <c r="O244" s="1930">
        <f>O157/$G244/'4. L PLAN'!K$110</f>
        <v>8.8929384597852684E-2</v>
      </c>
      <c r="P244" s="1931">
        <f>P157/$G244/'4. L PLAN'!L$110</f>
        <v>0.13784936848625479</v>
      </c>
      <c r="Q244" s="1900">
        <f>Q157/$G244/'4. L PLAN'!M$110</f>
        <v>0.14315126727418767</v>
      </c>
      <c r="R244" s="1898">
        <f>R157/$G244/'4. L PLAN'!N$110</f>
        <v>0.14887731796515516</v>
      </c>
      <c r="S244" s="1932">
        <f>S157/$G244/'4. L PLAN'!O$110</f>
        <v>8.2342022775789517E-2</v>
      </c>
      <c r="T244" s="1900">
        <f>T157/$G244/'4. L PLAN'!P$110</f>
        <v>8.8929384597852684E-2</v>
      </c>
      <c r="U244" s="1898">
        <f>U157/$G244/'4. L PLAN'!Q$110</f>
        <v>8.2342022775789517E-2</v>
      </c>
      <c r="V244" s="1908">
        <f t="shared" si="155"/>
        <v>0.10982433266905849</v>
      </c>
      <c r="W244" s="9"/>
      <c r="X244" s="1544"/>
      <c r="Y244" s="1623"/>
      <c r="AA244" s="1673">
        <f t="shared" si="149"/>
        <v>1700</v>
      </c>
      <c r="AB244" s="1894">
        <f t="shared" si="150"/>
        <v>350</v>
      </c>
      <c r="AC244" s="1745">
        <f t="shared" si="151"/>
        <v>1</v>
      </c>
      <c r="AD244" s="1544" t="b">
        <f t="shared" si="152"/>
        <v>1</v>
      </c>
      <c r="AE244" s="1544" t="b">
        <f t="shared" si="153"/>
        <v>1</v>
      </c>
      <c r="AF244" s="1544" t="b">
        <f t="shared" si="154"/>
        <v>1</v>
      </c>
    </row>
    <row r="245" spans="1:32" s="1579" customFormat="1" ht="19.5" customHeight="1">
      <c r="A245" s="5190"/>
      <c r="B245" s="5246"/>
      <c r="C245" s="13"/>
      <c r="D245" s="15"/>
      <c r="E245" s="4857"/>
      <c r="F245" s="1673" t="str">
        <f t="shared" si="148"/>
        <v>IPM 2.0 Advanced HSG</v>
      </c>
      <c r="G245" s="15">
        <f>IFERROR(VLOOKUP(F245,B.BasicInfomation!$B:$O,11,0),"")</f>
        <v>1700</v>
      </c>
      <c r="H245" s="1673">
        <f>IFERROR(VLOOKUP(F245,B.BasicInfomation!$B:$O,12,0),"")</f>
        <v>350</v>
      </c>
      <c r="I245" s="2013">
        <f>IFERROR(VLOOKUP(F245,B.BasicInfomation!$B:$O,13,0),"")</f>
        <v>1</v>
      </c>
      <c r="J245" s="4">
        <f>J158/$G245/'4. L PLAN'!F$110</f>
        <v>0</v>
      </c>
      <c r="K245" s="1896">
        <f>K158/$G245/'4. L PLAN'!G$110</f>
        <v>0</v>
      </c>
      <c r="L245" s="1897">
        <f>L158/$G245/'4. L PLAN'!H$110</f>
        <v>0</v>
      </c>
      <c r="M245" s="4">
        <f>M158/$G245/'4. L PLAN'!I$110</f>
        <v>0</v>
      </c>
      <c r="N245" s="1896">
        <f>N158/$G245/'4. L PLAN'!J$110</f>
        <v>0</v>
      </c>
      <c r="O245" s="1930">
        <f>O158/$G245/'4. L PLAN'!K$110</f>
        <v>0</v>
      </c>
      <c r="P245" s="1931">
        <f>P158/$G245/'4. L PLAN'!L$110</f>
        <v>0</v>
      </c>
      <c r="Q245" s="1900">
        <f>Q158/$G245/'4. L PLAN'!M$110</f>
        <v>0</v>
      </c>
      <c r="R245" s="1898">
        <f>R158/$G245/'4. L PLAN'!N$110</f>
        <v>0</v>
      </c>
      <c r="S245" s="1932">
        <f>S158/$G245/'4. L PLAN'!O$110</f>
        <v>0</v>
      </c>
      <c r="T245" s="1900">
        <f>T158/$G245/'4. L PLAN'!P$110</f>
        <v>0</v>
      </c>
      <c r="U245" s="1898">
        <f>U158/$G245/'4. L PLAN'!Q$110</f>
        <v>0</v>
      </c>
      <c r="V245" s="1908">
        <f t="shared" si="155"/>
        <v>0</v>
      </c>
      <c r="W245" s="9"/>
      <c r="X245" s="1544"/>
      <c r="Y245" s="1623"/>
      <c r="AA245" s="1673">
        <f t="shared" ref="AA245:AA256" si="156">G245</f>
        <v>1700</v>
      </c>
      <c r="AB245" s="1894">
        <f t="shared" ref="AB245:AB256" si="157">H245</f>
        <v>350</v>
      </c>
      <c r="AC245" s="1745">
        <f t="shared" ref="AC245:AC256" si="158">I245</f>
        <v>1</v>
      </c>
      <c r="AD245" s="1544" t="b">
        <f t="shared" ref="AD245:AD255" si="159">AA245=G245</f>
        <v>1</v>
      </c>
      <c r="AE245" s="1544" t="b">
        <f t="shared" ref="AE245:AE255" si="160">AB245=H245</f>
        <v>1</v>
      </c>
      <c r="AF245" s="1544" t="b">
        <f t="shared" ref="AF245:AF255" si="161">AC245=I245</f>
        <v>1</v>
      </c>
    </row>
    <row r="246" spans="1:32" s="1579" customFormat="1" ht="20.25" customHeight="1">
      <c r="A246" s="5190"/>
      <c r="B246" s="5246"/>
      <c r="C246" s="13"/>
      <c r="D246" s="15"/>
      <c r="E246" s="4857"/>
      <c r="F246" s="1673" t="str">
        <f t="shared" si="148"/>
        <v>IPM 2.0 HSG Base+</v>
      </c>
      <c r="G246" s="15">
        <f>IFERROR(VLOOKUP(F246,B.BasicInfomation!$B:$O,11,0),"")</f>
        <v>1700</v>
      </c>
      <c r="H246" s="1673">
        <f>IFERROR(VLOOKUP(F246,B.BasicInfomation!$B:$O,12,0),"")</f>
        <v>350</v>
      </c>
      <c r="I246" s="2013">
        <f>IFERROR(VLOOKUP(F246,B.BasicInfomation!$B:$O,13,0),"")</f>
        <v>1</v>
      </c>
      <c r="J246" s="4">
        <f>J159/$G246/'4. L PLAN'!F$110</f>
        <v>0</v>
      </c>
      <c r="K246" s="1896">
        <f>K159/$G246/'4. L PLAN'!G$110</f>
        <v>0</v>
      </c>
      <c r="L246" s="1897">
        <f>L159/$G246/'4. L PLAN'!H$110</f>
        <v>0</v>
      </c>
      <c r="M246" s="4">
        <f>M159/$G246/'4. L PLAN'!I$110</f>
        <v>0</v>
      </c>
      <c r="N246" s="1896">
        <f>N159/$G246/'4. L PLAN'!J$110</f>
        <v>0</v>
      </c>
      <c r="O246" s="1930">
        <f>O159/$G246/'4. L PLAN'!K$110</f>
        <v>0</v>
      </c>
      <c r="P246" s="1931">
        <f>P159/$G246/'4. L PLAN'!L$110</f>
        <v>0</v>
      </c>
      <c r="Q246" s="1900">
        <f>Q159/$G246/'4. L PLAN'!M$110</f>
        <v>0</v>
      </c>
      <c r="R246" s="1898">
        <f>R159/$G246/'4. L PLAN'!N$110</f>
        <v>0</v>
      </c>
      <c r="S246" s="1932">
        <f>S159/$G246/'4. L PLAN'!O$110</f>
        <v>0</v>
      </c>
      <c r="T246" s="1900">
        <f>T159/$G246/'4. L PLAN'!P$110</f>
        <v>0</v>
      </c>
      <c r="U246" s="1898">
        <f>U159/$G246/'4. L PLAN'!Q$110</f>
        <v>0</v>
      </c>
      <c r="V246" s="1908">
        <f t="shared" si="155"/>
        <v>0</v>
      </c>
      <c r="W246" s="9"/>
      <c r="X246" s="1544"/>
      <c r="Y246" s="1623"/>
      <c r="AA246" s="1673">
        <f t="shared" si="156"/>
        <v>1700</v>
      </c>
      <c r="AB246" s="1894">
        <f t="shared" si="157"/>
        <v>350</v>
      </c>
      <c r="AC246" s="1745">
        <f t="shared" si="158"/>
        <v>1</v>
      </c>
      <c r="AD246" s="1544" t="b">
        <f t="shared" si="159"/>
        <v>1</v>
      </c>
      <c r="AE246" s="1544" t="b">
        <f t="shared" si="160"/>
        <v>1</v>
      </c>
      <c r="AF246" s="1544" t="b">
        <f t="shared" si="161"/>
        <v>1</v>
      </c>
    </row>
    <row r="247" spans="1:32" s="1579" customFormat="1" ht="19.5" customHeight="1">
      <c r="A247" s="5190"/>
      <c r="B247" s="5246"/>
      <c r="C247" s="13"/>
      <c r="D247" s="15"/>
      <c r="E247" s="4857"/>
      <c r="F247" s="1673" t="str">
        <f t="shared" si="148"/>
        <v>IPM 2.0 HSG Premium</v>
      </c>
      <c r="G247" s="15">
        <f>IFERROR(VLOOKUP(F247,B.BasicInfomation!$B:$O,11,0),"")</f>
        <v>1700</v>
      </c>
      <c r="H247" s="1673">
        <f>IFERROR(VLOOKUP(F247,B.BasicInfomation!$B:$O,12,0),"")</f>
        <v>350</v>
      </c>
      <c r="I247" s="2013">
        <f>IFERROR(VLOOKUP(F247,B.BasicInfomation!$B:$O,13,0),"")</f>
        <v>1</v>
      </c>
      <c r="J247" s="4">
        <f>J160/$G247/'4. L PLAN'!F$110</f>
        <v>0</v>
      </c>
      <c r="K247" s="1896">
        <f>K160/$G247/'4. L PLAN'!G$110</f>
        <v>0</v>
      </c>
      <c r="L247" s="1897">
        <f>L160/$G247/'4. L PLAN'!H$110</f>
        <v>0</v>
      </c>
      <c r="M247" s="4">
        <f>M160/$G247/'4. L PLAN'!I$110</f>
        <v>0</v>
      </c>
      <c r="N247" s="1896">
        <f>N160/$G247/'4. L PLAN'!J$110</f>
        <v>0</v>
      </c>
      <c r="O247" s="1930">
        <f>O160/$G247/'4. L PLAN'!K$110</f>
        <v>0</v>
      </c>
      <c r="P247" s="1931">
        <f>P160/$G247/'4. L PLAN'!L$110</f>
        <v>0</v>
      </c>
      <c r="Q247" s="1900">
        <f>Q160/$G247/'4. L PLAN'!M$110</f>
        <v>0</v>
      </c>
      <c r="R247" s="1898">
        <f>R160/$G247/'4. L PLAN'!N$110</f>
        <v>0</v>
      </c>
      <c r="S247" s="1932">
        <f>S160/$G247/'4. L PLAN'!O$110</f>
        <v>0</v>
      </c>
      <c r="T247" s="1900">
        <f>T160/$G247/'4. L PLAN'!P$110</f>
        <v>0</v>
      </c>
      <c r="U247" s="1898">
        <f>U160/$G247/'4. L PLAN'!Q$110</f>
        <v>0</v>
      </c>
      <c r="V247" s="1908">
        <f t="shared" si="155"/>
        <v>0</v>
      </c>
      <c r="W247" s="9"/>
      <c r="X247" s="1544"/>
      <c r="Y247" s="1623"/>
      <c r="AA247" s="1673">
        <f t="shared" si="156"/>
        <v>1700</v>
      </c>
      <c r="AB247" s="1894">
        <f t="shared" si="157"/>
        <v>350</v>
      </c>
      <c r="AC247" s="1745">
        <f t="shared" si="158"/>
        <v>1</v>
      </c>
      <c r="AD247" s="1544" t="b">
        <f t="shared" si="159"/>
        <v>1</v>
      </c>
      <c r="AE247" s="1544" t="b">
        <f t="shared" si="160"/>
        <v>1</v>
      </c>
      <c r="AF247" s="1544" t="b">
        <f t="shared" si="161"/>
        <v>1</v>
      </c>
    </row>
    <row r="248" spans="1:32" s="1579" customFormat="1" ht="19.5" customHeight="1">
      <c r="A248" s="5190"/>
      <c r="B248" s="5246"/>
      <c r="C248" s="3939" t="s">
        <v>1317</v>
      </c>
      <c r="D248" s="3939" t="s">
        <v>1328</v>
      </c>
      <c r="E248" s="4887"/>
      <c r="F248" s="3734" t="str">
        <f t="shared" si="148"/>
        <v>Glass Frame (ZF60A-T5)</v>
      </c>
      <c r="G248" s="3939">
        <v>0</v>
      </c>
      <c r="H248" s="3734">
        <v>0</v>
      </c>
      <c r="I248" s="4196">
        <v>0</v>
      </c>
      <c r="J248" s="3965">
        <f>IFERROR(J161/$G248/'4. L PLAN'!F$110,0)</f>
        <v>0</v>
      </c>
      <c r="K248" s="3966">
        <f>IFERROR(K161/$G248/'4. L PLAN'!G$110,0)</f>
        <v>0</v>
      </c>
      <c r="L248" s="3967">
        <f>IFERROR(L161/$G248/'4. L PLAN'!H$110,0)</f>
        <v>0</v>
      </c>
      <c r="M248" s="3965">
        <f>IFERROR(M161/$G248/'4. L PLAN'!I$110,0)</f>
        <v>0</v>
      </c>
      <c r="N248" s="3966">
        <f>IFERROR(N161/$G248/'4. L PLAN'!J$110,0)</f>
        <v>0</v>
      </c>
      <c r="O248" s="3968">
        <f>IFERROR(O161/$G248/'4. L PLAN'!K$110,0)</f>
        <v>0</v>
      </c>
      <c r="P248" s="3969">
        <f>IFERROR(P161/$G248/'4. L PLAN'!L$110,0)</f>
        <v>0</v>
      </c>
      <c r="Q248" s="3970">
        <f>IFERROR(Q161/$G248/'4. L PLAN'!M$110,0)</f>
        <v>0</v>
      </c>
      <c r="R248" s="3971">
        <f>IFERROR(R161/$G248/'4. L PLAN'!N$110,0)</f>
        <v>0</v>
      </c>
      <c r="S248" s="1952">
        <f>IFERROR(S161/$G248/'4. L PLAN'!O$110,0)</f>
        <v>0</v>
      </c>
      <c r="T248" s="3970">
        <f>IFERROR(T161/$G248/'4. L PLAN'!P$110,0)</f>
        <v>0</v>
      </c>
      <c r="U248" s="3971">
        <f>IFERROR(U161/$G248/'4. L PLAN'!Q$110,0)</f>
        <v>0</v>
      </c>
      <c r="V248" s="1929">
        <f t="shared" ref="V248:V255" si="162">AVERAGE(J248:U248)</f>
        <v>0</v>
      </c>
      <c r="W248" s="9"/>
      <c r="X248" s="1544"/>
      <c r="Y248" s="1623"/>
      <c r="AA248" s="1673">
        <f t="shared" si="156"/>
        <v>0</v>
      </c>
      <c r="AB248" s="1894">
        <f t="shared" si="157"/>
        <v>0</v>
      </c>
      <c r="AC248" s="1745">
        <f t="shared" si="158"/>
        <v>0</v>
      </c>
      <c r="AD248" s="1544" t="b">
        <f t="shared" si="159"/>
        <v>1</v>
      </c>
      <c r="AE248" s="1544" t="b">
        <f t="shared" si="160"/>
        <v>1</v>
      </c>
      <c r="AF248" s="1544" t="b">
        <f t="shared" si="161"/>
        <v>1</v>
      </c>
    </row>
    <row r="249" spans="1:32" s="1579" customFormat="1" ht="19.5" customHeight="1">
      <c r="A249" s="5190"/>
      <c r="B249" s="5246"/>
      <c r="C249" s="13"/>
      <c r="D249" s="15"/>
      <c r="E249" s="4857"/>
      <c r="F249" s="1673" t="str">
        <f t="shared" si="148"/>
        <v>Body Compute enclosure (AL6061-T6)</v>
      </c>
      <c r="G249" s="15">
        <v>0</v>
      </c>
      <c r="H249" s="1673">
        <v>0</v>
      </c>
      <c r="I249" s="2013">
        <v>0</v>
      </c>
      <c r="J249" s="4">
        <f>IFERROR(J162/$G249/'4. L PLAN'!F$110,0)</f>
        <v>0</v>
      </c>
      <c r="K249" s="1896">
        <f>IFERROR(K162/$G249/'4. L PLAN'!G$110,0)</f>
        <v>0</v>
      </c>
      <c r="L249" s="1897">
        <f>IFERROR(L162/$G249/'4. L PLAN'!H$110,0)</f>
        <v>0</v>
      </c>
      <c r="M249" s="4">
        <f>IFERROR(M162/$G249/'4. L PLAN'!I$110,0)</f>
        <v>0</v>
      </c>
      <c r="N249" s="1896">
        <f>IFERROR(N162/$G249/'4. L PLAN'!J$110,0)</f>
        <v>0</v>
      </c>
      <c r="O249" s="1930">
        <f>IFERROR(O162/$G249/'4. L PLAN'!K$110,0)</f>
        <v>0</v>
      </c>
      <c r="P249" s="1931">
        <f>IFERROR(P162/$G249/'4. L PLAN'!L$110,0)</f>
        <v>0</v>
      </c>
      <c r="Q249" s="1900">
        <f>IFERROR(Q162/$G249/'4. L PLAN'!M$110,0)</f>
        <v>0</v>
      </c>
      <c r="R249" s="1898">
        <f>IFERROR(R162/$G249/'4. L PLAN'!N$110,0)</f>
        <v>0</v>
      </c>
      <c r="S249" s="1932">
        <f>IFERROR(S162/$G249/'4. L PLAN'!O$110,0)</f>
        <v>0</v>
      </c>
      <c r="T249" s="1900">
        <f>IFERROR(T162/$G249/'4. L PLAN'!P$110,0)</f>
        <v>0</v>
      </c>
      <c r="U249" s="1898">
        <f>IFERROR(U162/$G249/'4. L PLAN'!Q$110,0)</f>
        <v>0</v>
      </c>
      <c r="V249" s="1908">
        <f t="shared" si="162"/>
        <v>0</v>
      </c>
      <c r="W249" s="9"/>
      <c r="X249" s="1544"/>
      <c r="Y249" s="1623"/>
      <c r="AA249" s="1673">
        <f t="shared" si="156"/>
        <v>0</v>
      </c>
      <c r="AB249" s="1894">
        <f t="shared" si="157"/>
        <v>0</v>
      </c>
      <c r="AC249" s="1745">
        <f t="shared" si="158"/>
        <v>0</v>
      </c>
      <c r="AD249" s="1544" t="b">
        <f t="shared" si="159"/>
        <v>1</v>
      </c>
      <c r="AE249" s="1544" t="b">
        <f t="shared" si="160"/>
        <v>1</v>
      </c>
      <c r="AF249" s="1544" t="b">
        <f t="shared" si="161"/>
        <v>1</v>
      </c>
    </row>
    <row r="250" spans="1:32" s="1579" customFormat="1" ht="19.5" customHeight="1">
      <c r="A250" s="5190"/>
      <c r="B250" s="5246"/>
      <c r="C250" s="13"/>
      <c r="D250" s="15"/>
      <c r="E250" s="4857"/>
      <c r="F250" s="1673" t="str">
        <f t="shared" si="148"/>
        <v>Others Part</v>
      </c>
      <c r="G250" s="15">
        <v>0</v>
      </c>
      <c r="H250" s="1673">
        <v>0</v>
      </c>
      <c r="I250" s="2013">
        <v>0</v>
      </c>
      <c r="J250" s="4">
        <f>IFERROR(J163/$G250/'4. L PLAN'!F$110,0)</f>
        <v>0</v>
      </c>
      <c r="K250" s="1896">
        <f>IFERROR(K163/$G250/'4. L PLAN'!G$110,0)</f>
        <v>0</v>
      </c>
      <c r="L250" s="1897">
        <f>IFERROR(L163/$G250/'4. L PLAN'!H$110,0)</f>
        <v>0</v>
      </c>
      <c r="M250" s="4">
        <f>IFERROR(M163/$G250/'4. L PLAN'!I$110,0)</f>
        <v>0</v>
      </c>
      <c r="N250" s="1896">
        <f>IFERROR(N163/$G250/'4. L PLAN'!J$110,0)</f>
        <v>0</v>
      </c>
      <c r="O250" s="1930">
        <f>IFERROR(O163/$G250/'4. L PLAN'!K$110,0)</f>
        <v>0</v>
      </c>
      <c r="P250" s="1931">
        <f>IFERROR(P163/$G250/'4. L PLAN'!L$110,0)</f>
        <v>0</v>
      </c>
      <c r="Q250" s="1900">
        <f>IFERROR(Q163/$G250/'4. L PLAN'!M$110,0)</f>
        <v>0</v>
      </c>
      <c r="R250" s="1898">
        <f>IFERROR(R163/$G250/'4. L PLAN'!N$110,0)</f>
        <v>0</v>
      </c>
      <c r="S250" s="1932">
        <f>IFERROR(S163/$G250/'4. L PLAN'!O$110,0)</f>
        <v>0</v>
      </c>
      <c r="T250" s="1900">
        <f>IFERROR(T163/$G250/'4. L PLAN'!P$110,0)</f>
        <v>0</v>
      </c>
      <c r="U250" s="1898">
        <f>IFERROR(U163/$G250/'4. L PLAN'!Q$110,0)</f>
        <v>0</v>
      </c>
      <c r="V250" s="1908">
        <f t="shared" si="162"/>
        <v>0</v>
      </c>
      <c r="W250" s="9"/>
      <c r="X250" s="1544"/>
      <c r="Y250" s="1623"/>
      <c r="AA250" s="1673">
        <f t="shared" si="156"/>
        <v>0</v>
      </c>
      <c r="AB250" s="1894">
        <f t="shared" si="157"/>
        <v>0</v>
      </c>
      <c r="AC250" s="1745">
        <f t="shared" si="158"/>
        <v>0</v>
      </c>
      <c r="AD250" s="1544" t="b">
        <f t="shared" si="159"/>
        <v>1</v>
      </c>
      <c r="AE250" s="1544" t="b">
        <f t="shared" si="160"/>
        <v>1</v>
      </c>
      <c r="AF250" s="1544" t="b">
        <f t="shared" si="161"/>
        <v>1</v>
      </c>
    </row>
    <row r="251" spans="1:32" s="1579" customFormat="1" ht="19.5" hidden="1" customHeight="1">
      <c r="A251" s="5190"/>
      <c r="B251" s="5246"/>
      <c r="C251" s="13"/>
      <c r="D251" s="15"/>
      <c r="E251" s="4857"/>
      <c r="F251" s="1673">
        <f t="shared" si="148"/>
        <v>0</v>
      </c>
      <c r="G251" s="15">
        <v>0</v>
      </c>
      <c r="H251" s="1673">
        <v>0</v>
      </c>
      <c r="I251" s="2013">
        <v>0</v>
      </c>
      <c r="J251" s="4">
        <f>IFERROR(J164/$G251/'4. L PLAN'!F$110,0)</f>
        <v>0</v>
      </c>
      <c r="K251" s="1896">
        <f>IFERROR(K164/$G251/'4. L PLAN'!G$110,0)</f>
        <v>0</v>
      </c>
      <c r="L251" s="1897">
        <f>IFERROR(L164/$G251/'4. L PLAN'!H$110,0)</f>
        <v>0</v>
      </c>
      <c r="M251" s="4">
        <f>IFERROR(M164/$G251/'4. L PLAN'!I$110,0)</f>
        <v>0</v>
      </c>
      <c r="N251" s="1896">
        <f>IFERROR(N164/$G251/'4. L PLAN'!J$110,0)</f>
        <v>0</v>
      </c>
      <c r="O251" s="1930">
        <f>IFERROR(O164/$G251/'4. L PLAN'!K$110,0)</f>
        <v>0</v>
      </c>
      <c r="P251" s="1931">
        <f>IFERROR(P164/$G251/'4. L PLAN'!L$110,0)</f>
        <v>0</v>
      </c>
      <c r="Q251" s="1900">
        <f>IFERROR(Q164/$G251/'4. L PLAN'!M$110,0)</f>
        <v>0</v>
      </c>
      <c r="R251" s="1898">
        <f>IFERROR(R164/$G251/'4. L PLAN'!N$110,0)</f>
        <v>0</v>
      </c>
      <c r="S251" s="1932">
        <f>IFERROR(S164/$G251/'4. L PLAN'!O$110,0)</f>
        <v>0</v>
      </c>
      <c r="T251" s="1900">
        <f>IFERROR(T164/$G251/'4. L PLAN'!P$110,0)</f>
        <v>0</v>
      </c>
      <c r="U251" s="1898">
        <f>IFERROR(U164/$G251/'4. L PLAN'!Q$110,0)</f>
        <v>0</v>
      </c>
      <c r="V251" s="1908">
        <f t="shared" si="162"/>
        <v>0</v>
      </c>
      <c r="W251" s="9"/>
      <c r="X251" s="1544"/>
      <c r="Y251" s="1623"/>
      <c r="AA251" s="1673">
        <f t="shared" si="156"/>
        <v>0</v>
      </c>
      <c r="AB251" s="1894">
        <f t="shared" si="157"/>
        <v>0</v>
      </c>
      <c r="AC251" s="1745">
        <f t="shared" si="158"/>
        <v>0</v>
      </c>
      <c r="AD251" s="1544" t="b">
        <f t="shared" si="159"/>
        <v>1</v>
      </c>
      <c r="AE251" s="1544" t="b">
        <f t="shared" si="160"/>
        <v>1</v>
      </c>
      <c r="AF251" s="1544" t="b">
        <f t="shared" si="161"/>
        <v>1</v>
      </c>
    </row>
    <row r="252" spans="1:32" s="1579" customFormat="1" ht="19.5" hidden="1" customHeight="1">
      <c r="A252" s="5190"/>
      <c r="B252" s="5246"/>
      <c r="C252" s="13"/>
      <c r="D252" s="15"/>
      <c r="E252" s="4857"/>
      <c r="F252" s="1673">
        <f t="shared" si="148"/>
        <v>0</v>
      </c>
      <c r="G252" s="15">
        <v>0</v>
      </c>
      <c r="H252" s="1673">
        <v>0</v>
      </c>
      <c r="I252" s="2013">
        <v>0</v>
      </c>
      <c r="J252" s="4">
        <f>IFERROR(J165/$G252/'4. L PLAN'!F$110,0)</f>
        <v>0</v>
      </c>
      <c r="K252" s="1896">
        <f>IFERROR(K165/$G252/'4. L PLAN'!G$110,0)</f>
        <v>0</v>
      </c>
      <c r="L252" s="1897">
        <f>IFERROR(L165/$G252/'4. L PLAN'!H$110,0)</f>
        <v>0</v>
      </c>
      <c r="M252" s="4">
        <f>IFERROR(M165/$G252/'4. L PLAN'!I$110,0)</f>
        <v>0</v>
      </c>
      <c r="N252" s="1896">
        <f>IFERROR(N165/$G252/'4. L PLAN'!J$110,0)</f>
        <v>0</v>
      </c>
      <c r="O252" s="1930">
        <f>IFERROR(O165/$G252/'4. L PLAN'!K$110,0)</f>
        <v>0</v>
      </c>
      <c r="P252" s="1931">
        <f>IFERROR(P165/$G252/'4. L PLAN'!L$110,0)</f>
        <v>0</v>
      </c>
      <c r="Q252" s="1900">
        <f>IFERROR(Q165/$G252/'4. L PLAN'!M$110,0)</f>
        <v>0</v>
      </c>
      <c r="R252" s="1898">
        <f>IFERROR(R165/$G252/'4. L PLAN'!N$110,0)</f>
        <v>0</v>
      </c>
      <c r="S252" s="1932">
        <f>IFERROR(S165/$G252/'4. L PLAN'!O$110,0)</f>
        <v>0</v>
      </c>
      <c r="T252" s="1900">
        <f>IFERROR(T165/$G252/'4. L PLAN'!P$110,0)</f>
        <v>0</v>
      </c>
      <c r="U252" s="1898">
        <f>IFERROR(U165/$G252/'4. L PLAN'!Q$110,0)</f>
        <v>0</v>
      </c>
      <c r="V252" s="1908">
        <f t="shared" si="162"/>
        <v>0</v>
      </c>
      <c r="W252" s="9"/>
      <c r="X252" s="1544"/>
      <c r="Y252" s="1623"/>
      <c r="AA252" s="1673">
        <f t="shared" si="156"/>
        <v>0</v>
      </c>
      <c r="AB252" s="1894">
        <f t="shared" si="157"/>
        <v>0</v>
      </c>
      <c r="AC252" s="1745">
        <f t="shared" si="158"/>
        <v>0</v>
      </c>
      <c r="AD252" s="1544" t="b">
        <f t="shared" si="159"/>
        <v>1</v>
      </c>
      <c r="AE252" s="1544" t="b">
        <f t="shared" si="160"/>
        <v>1</v>
      </c>
      <c r="AF252" s="1544" t="b">
        <f t="shared" si="161"/>
        <v>1</v>
      </c>
    </row>
    <row r="253" spans="1:32" s="1579" customFormat="1" ht="19.5" hidden="1" customHeight="1">
      <c r="A253" s="5190"/>
      <c r="B253" s="5246"/>
      <c r="C253" s="13"/>
      <c r="D253" s="15"/>
      <c r="E253" s="4857"/>
      <c r="F253" s="1673">
        <f t="shared" si="148"/>
        <v>0</v>
      </c>
      <c r="G253" s="15">
        <v>0</v>
      </c>
      <c r="H253" s="1673">
        <v>0</v>
      </c>
      <c r="I253" s="2013">
        <v>0</v>
      </c>
      <c r="J253" s="4">
        <f>IFERROR(J166/$G253/'4. L PLAN'!F$110,0)</f>
        <v>0</v>
      </c>
      <c r="K253" s="1896">
        <f>IFERROR(K166/$G253/'4. L PLAN'!G$110,0)</f>
        <v>0</v>
      </c>
      <c r="L253" s="1897">
        <f>IFERROR(L166/$G253/'4. L PLAN'!H$110,0)</f>
        <v>0</v>
      </c>
      <c r="M253" s="4">
        <f>IFERROR(M166/$G253/'4. L PLAN'!I$110,0)</f>
        <v>0</v>
      </c>
      <c r="N253" s="1896">
        <f>IFERROR(N166/$G253/'4. L PLAN'!J$110,0)</f>
        <v>0</v>
      </c>
      <c r="O253" s="1930">
        <f>IFERROR(O166/$G253/'4. L PLAN'!K$110,0)</f>
        <v>0</v>
      </c>
      <c r="P253" s="1931">
        <f>IFERROR(P166/$G253/'4. L PLAN'!L$110,0)</f>
        <v>0</v>
      </c>
      <c r="Q253" s="1900">
        <f>IFERROR(Q166/$G253/'4. L PLAN'!M$110,0)</f>
        <v>0</v>
      </c>
      <c r="R253" s="1898">
        <f>IFERROR(R166/$G253/'4. L PLAN'!N$110,0)</f>
        <v>0</v>
      </c>
      <c r="S253" s="1932">
        <f>IFERROR(S166/$G253/'4. L PLAN'!O$110,0)</f>
        <v>0</v>
      </c>
      <c r="T253" s="1900">
        <f>IFERROR(T166/$G253/'4. L PLAN'!P$110,0)</f>
        <v>0</v>
      </c>
      <c r="U253" s="1898">
        <f>IFERROR(U166/$G253/'4. L PLAN'!Q$110,0)</f>
        <v>0</v>
      </c>
      <c r="V253" s="1908">
        <f t="shared" si="162"/>
        <v>0</v>
      </c>
      <c r="W253" s="9"/>
      <c r="X253" s="1544"/>
      <c r="Y253" s="1623"/>
      <c r="AA253" s="1673">
        <f t="shared" si="156"/>
        <v>0</v>
      </c>
      <c r="AB253" s="1894">
        <f t="shared" si="157"/>
        <v>0</v>
      </c>
      <c r="AC253" s="1745">
        <f t="shared" si="158"/>
        <v>0</v>
      </c>
      <c r="AD253" s="1544" t="b">
        <f t="shared" si="159"/>
        <v>1</v>
      </c>
      <c r="AE253" s="1544" t="b">
        <f t="shared" si="160"/>
        <v>1</v>
      </c>
      <c r="AF253" s="1544" t="b">
        <f t="shared" si="161"/>
        <v>1</v>
      </c>
    </row>
    <row r="254" spans="1:32" s="1579" customFormat="1" ht="19.5" hidden="1" customHeight="1">
      <c r="A254" s="5190"/>
      <c r="B254" s="5246"/>
      <c r="C254" s="13"/>
      <c r="D254" s="15"/>
      <c r="E254" s="4857"/>
      <c r="F254" s="1673">
        <f t="shared" si="148"/>
        <v>0</v>
      </c>
      <c r="G254" s="15">
        <v>0</v>
      </c>
      <c r="H254" s="1673">
        <v>0</v>
      </c>
      <c r="I254" s="2013">
        <v>0</v>
      </c>
      <c r="J254" s="4">
        <f>IFERROR(J167/$G254/'4. L PLAN'!F$110,0)</f>
        <v>0</v>
      </c>
      <c r="K254" s="1896">
        <f>IFERROR(K167/$G254/'4. L PLAN'!G$110,0)</f>
        <v>0</v>
      </c>
      <c r="L254" s="1897">
        <f>IFERROR(L167/$G254/'4. L PLAN'!H$110,0)</f>
        <v>0</v>
      </c>
      <c r="M254" s="4">
        <f>IFERROR(M167/$G254/'4. L PLAN'!I$110,0)</f>
        <v>0</v>
      </c>
      <c r="N254" s="1896">
        <f>IFERROR(N167/$G254/'4. L PLAN'!J$110,0)</f>
        <v>0</v>
      </c>
      <c r="O254" s="1930">
        <f>IFERROR(O167/$G254/'4. L PLAN'!K$110,0)</f>
        <v>0</v>
      </c>
      <c r="P254" s="1931">
        <f>IFERROR(P167/$G254/'4. L PLAN'!L$110,0)</f>
        <v>0</v>
      </c>
      <c r="Q254" s="1900">
        <f>IFERROR(Q167/$G254/'4. L PLAN'!M$110,0)</f>
        <v>0</v>
      </c>
      <c r="R254" s="1898">
        <f>IFERROR(R167/$G254/'4. L PLAN'!N$110,0)</f>
        <v>0</v>
      </c>
      <c r="S254" s="1932">
        <f>IFERROR(S167/$G254/'4. L PLAN'!O$110,0)</f>
        <v>0</v>
      </c>
      <c r="T254" s="1900">
        <f>IFERROR(T167/$G254/'4. L PLAN'!P$110,0)</f>
        <v>0</v>
      </c>
      <c r="U254" s="1898">
        <f>IFERROR(U167/$G254/'4. L PLAN'!Q$110,0)</f>
        <v>0</v>
      </c>
      <c r="V254" s="1908">
        <f t="shared" si="162"/>
        <v>0</v>
      </c>
      <c r="W254" s="9"/>
      <c r="X254" s="1544"/>
      <c r="Y254" s="1623"/>
      <c r="AA254" s="1673">
        <f t="shared" si="156"/>
        <v>0</v>
      </c>
      <c r="AB254" s="1894">
        <f t="shared" si="157"/>
        <v>0</v>
      </c>
      <c r="AC254" s="1745">
        <f t="shared" si="158"/>
        <v>0</v>
      </c>
      <c r="AD254" s="1544" t="b">
        <f t="shared" si="159"/>
        <v>1</v>
      </c>
      <c r="AE254" s="1544" t="b">
        <f t="shared" si="160"/>
        <v>1</v>
      </c>
      <c r="AF254" s="1544" t="b">
        <f t="shared" si="161"/>
        <v>1</v>
      </c>
    </row>
    <row r="255" spans="1:32" s="1579" customFormat="1" ht="19.5" hidden="1" customHeight="1">
      <c r="A255" s="5190"/>
      <c r="B255" s="5246"/>
      <c r="C255" s="1607"/>
      <c r="D255" s="11"/>
      <c r="E255" s="4858"/>
      <c r="F255" s="1733">
        <f t="shared" si="148"/>
        <v>0</v>
      </c>
      <c r="G255" s="11">
        <v>0</v>
      </c>
      <c r="H255" s="1733">
        <v>0</v>
      </c>
      <c r="I255" s="2110">
        <v>0</v>
      </c>
      <c r="J255" s="1955">
        <f>IFERROR(J168/$G255/'4. L PLAN'!F$110,0)</f>
        <v>0</v>
      </c>
      <c r="K255" s="1889">
        <f>IFERROR(K168/$G255/'4. L PLAN'!G$110,0)</f>
        <v>0</v>
      </c>
      <c r="L255" s="1890">
        <f>IFERROR(L168/$G255/'4. L PLAN'!H$110,0)</f>
        <v>0</v>
      </c>
      <c r="M255" s="1955">
        <f>IFERROR(M168/$G255/'4. L PLAN'!I$110,0)</f>
        <v>0</v>
      </c>
      <c r="N255" s="1889">
        <f>IFERROR(N168/$G255/'4. L PLAN'!J$110,0)</f>
        <v>0</v>
      </c>
      <c r="O255" s="1956">
        <f>IFERROR(O168/$G255/'4. L PLAN'!K$110,0)</f>
        <v>0</v>
      </c>
      <c r="P255" s="1957">
        <f>IFERROR(P168/$G255/'4. L PLAN'!L$110,0)</f>
        <v>0</v>
      </c>
      <c r="Q255" s="1892">
        <f>IFERROR(Q168/$G255/'4. L PLAN'!M$110,0)</f>
        <v>0</v>
      </c>
      <c r="R255" s="1891">
        <f>IFERROR(R168/$G255/'4. L PLAN'!N$110,0)</f>
        <v>0</v>
      </c>
      <c r="S255" s="1958">
        <f>IFERROR(S168/$G255/'4. L PLAN'!O$110,0)</f>
        <v>0</v>
      </c>
      <c r="T255" s="1892">
        <f>IFERROR(T168/$G255/'4. L PLAN'!P$110,0)</f>
        <v>0</v>
      </c>
      <c r="U255" s="1891">
        <f>IFERROR(U168/$G255/'4. L PLAN'!Q$110,0)</f>
        <v>0</v>
      </c>
      <c r="V255" s="1893">
        <f t="shared" si="162"/>
        <v>0</v>
      </c>
      <c r="W255" s="9"/>
      <c r="X255" s="1544"/>
      <c r="Y255" s="1623"/>
      <c r="AA255" s="1673">
        <f t="shared" si="156"/>
        <v>0</v>
      </c>
      <c r="AB255" s="1894">
        <f t="shared" si="157"/>
        <v>0</v>
      </c>
      <c r="AC255" s="1745">
        <f t="shared" si="158"/>
        <v>0</v>
      </c>
      <c r="AD255" s="1544" t="b">
        <f t="shared" si="159"/>
        <v>1</v>
      </c>
      <c r="AE255" s="1544" t="b">
        <f t="shared" si="160"/>
        <v>1</v>
      </c>
      <c r="AF255" s="1544" t="b">
        <f t="shared" si="161"/>
        <v>1</v>
      </c>
    </row>
    <row r="256" spans="1:32" ht="19.5" customHeight="1" thickBot="1">
      <c r="A256" s="5244"/>
      <c r="B256" s="5247"/>
      <c r="C256" s="1747" t="s">
        <v>44</v>
      </c>
      <c r="D256" s="1747"/>
      <c r="E256" s="1747"/>
      <c r="F256" s="1748"/>
      <c r="G256" s="1960"/>
      <c r="H256" s="1960"/>
      <c r="I256" s="2969"/>
      <c r="J256" s="1914">
        <f t="shared" ref="J256:U256" si="163">SUM(J192:J255)</f>
        <v>10.996220036859231</v>
      </c>
      <c r="K256" s="1914">
        <f t="shared" si="163"/>
        <v>16.15700823761712</v>
      </c>
      <c r="L256" s="1915">
        <f t="shared" si="163"/>
        <v>11.697546775097058</v>
      </c>
      <c r="M256" s="1913">
        <f t="shared" si="163"/>
        <v>11.051773464012095</v>
      </c>
      <c r="N256" s="1914">
        <f t="shared" si="163"/>
        <v>10.997599211167488</v>
      </c>
      <c r="O256" s="1962">
        <f t="shared" si="163"/>
        <v>10.953135157232058</v>
      </c>
      <c r="P256" s="1917">
        <f t="shared" si="163"/>
        <v>10.082833881066648</v>
      </c>
      <c r="Q256" s="1918">
        <f t="shared" si="163"/>
        <v>10.463494557481072</v>
      </c>
      <c r="R256" s="1916">
        <f t="shared" si="163"/>
        <v>10.860071603792912</v>
      </c>
      <c r="S256" s="1963">
        <f t="shared" si="163"/>
        <v>9.7840714750579014</v>
      </c>
      <c r="T256" s="1918">
        <f t="shared" si="163"/>
        <v>10.322621771828265</v>
      </c>
      <c r="U256" s="1916">
        <f t="shared" si="163"/>
        <v>9.6011669198467313</v>
      </c>
      <c r="V256" s="1964">
        <f>AVERAGE(J256:U256)</f>
        <v>11.080628590921549</v>
      </c>
      <c r="W256" s="9"/>
      <c r="Y256" s="1623"/>
      <c r="AA256" s="1673">
        <f t="shared" si="156"/>
        <v>0</v>
      </c>
      <c r="AB256" s="1894">
        <f t="shared" si="157"/>
        <v>0</v>
      </c>
      <c r="AC256" s="1745">
        <f t="shared" si="158"/>
        <v>0</v>
      </c>
    </row>
    <row r="257" spans="1:34" ht="19.5" customHeight="1" thickBot="1">
      <c r="A257" s="5151" t="s">
        <v>138</v>
      </c>
      <c r="B257" s="5152"/>
      <c r="C257" s="5152"/>
      <c r="D257" s="5152"/>
      <c r="E257" s="5152"/>
      <c r="F257" s="5152"/>
      <c r="G257" s="5152"/>
      <c r="H257" s="5152"/>
      <c r="I257" s="5253"/>
      <c r="J257" s="1966">
        <f t="shared" ref="J257:U257" si="164">J256+J191</f>
        <v>21.048359697229998</v>
      </c>
      <c r="K257" s="1967">
        <f t="shared" si="164"/>
        <v>33.025897124808338</v>
      </c>
      <c r="L257" s="1968">
        <f t="shared" si="164"/>
        <v>25.502817908912228</v>
      </c>
      <c r="M257" s="1969">
        <f t="shared" si="164"/>
        <v>25.645584619697409</v>
      </c>
      <c r="N257" s="1967">
        <f t="shared" si="164"/>
        <v>25.42060532455746</v>
      </c>
      <c r="O257" s="1970">
        <f t="shared" si="164"/>
        <v>26.378032774009377</v>
      </c>
      <c r="P257" s="1971">
        <f t="shared" si="164"/>
        <v>23.266308025012151</v>
      </c>
      <c r="Q257" s="1972">
        <f t="shared" si="164"/>
        <v>23.090534116303534</v>
      </c>
      <c r="R257" s="1973">
        <f t="shared" si="164"/>
        <v>24.661342001375147</v>
      </c>
      <c r="S257" s="1971">
        <f t="shared" si="164"/>
        <v>22.58121466942222</v>
      </c>
      <c r="T257" s="1972">
        <f t="shared" si="164"/>
        <v>21.597470236577799</v>
      </c>
      <c r="U257" s="1973">
        <f t="shared" si="164"/>
        <v>18.748612000282183</v>
      </c>
      <c r="V257" s="1974">
        <f>AVERAGE(J257:U257)</f>
        <v>24.247231541515657</v>
      </c>
      <c r="W257" s="9"/>
      <c r="Y257" s="9"/>
      <c r="AA257" s="1544"/>
      <c r="AB257" s="1544"/>
      <c r="AC257" s="1544"/>
    </row>
    <row r="258" spans="1:34" s="1631" customFormat="1" ht="19.5" customHeight="1">
      <c r="A258" s="5297">
        <v>350</v>
      </c>
      <c r="B258" s="5298"/>
      <c r="C258" s="5298"/>
      <c r="D258" s="5298"/>
      <c r="E258" s="5298"/>
      <c r="F258" s="5298"/>
      <c r="G258" s="5298"/>
      <c r="H258" s="5298"/>
      <c r="I258" s="5299"/>
      <c r="J258" s="1975">
        <f t="shared" ref="J258:V259" si="165">SUMIF($H$177:$H$255,$A258,J$177:J$255)</f>
        <v>19.846251555385567</v>
      </c>
      <c r="K258" s="1976">
        <f t="shared" si="165"/>
        <v>31.556240161553927</v>
      </c>
      <c r="L258" s="1977">
        <f t="shared" si="165"/>
        <v>24.405696328122378</v>
      </c>
      <c r="M258" s="1978">
        <f t="shared" si="165"/>
        <v>24.808628028185225</v>
      </c>
      <c r="N258" s="1976">
        <f t="shared" si="165"/>
        <v>24.583648733045276</v>
      </c>
      <c r="O258" s="1979">
        <f t="shared" si="165"/>
        <v>25.673737379823024</v>
      </c>
      <c r="P258" s="1980">
        <f t="shared" si="165"/>
        <v>22.614182660024778</v>
      </c>
      <c r="Q258" s="1981">
        <f t="shared" si="165"/>
        <v>22.41332700650895</v>
      </c>
      <c r="R258" s="1982">
        <f t="shared" si="165"/>
        <v>23.957046607188786</v>
      </c>
      <c r="S258" s="1980">
        <f t="shared" si="165"/>
        <v>21.92908930443485</v>
      </c>
      <c r="T258" s="1981">
        <f t="shared" si="165"/>
        <v>20.893174842391442</v>
      </c>
      <c r="U258" s="1982">
        <f t="shared" si="165"/>
        <v>18.096486635294816</v>
      </c>
      <c r="V258" s="1983">
        <f t="shared" si="165"/>
        <v>23.398125770163247</v>
      </c>
      <c r="W258" s="9"/>
      <c r="X258" s="1544"/>
      <c r="Y258" s="9"/>
      <c r="Z258" s="1650"/>
      <c r="AA258" s="1650"/>
      <c r="AB258" s="1650"/>
      <c r="AC258" s="1650"/>
      <c r="AD258" s="1650"/>
      <c r="AE258" s="1650"/>
      <c r="AF258" s="1650"/>
      <c r="AG258" s="1650"/>
      <c r="AH258" s="1650"/>
    </row>
    <row r="259" spans="1:34" s="1631" customFormat="1" ht="19.5" customHeight="1" thickBot="1">
      <c r="A259" s="5277">
        <v>125</v>
      </c>
      <c r="B259" s="5265"/>
      <c r="C259" s="5265"/>
      <c r="D259" s="5265"/>
      <c r="E259" s="5265"/>
      <c r="F259" s="5265"/>
      <c r="G259" s="5265"/>
      <c r="H259" s="5265"/>
      <c r="I259" s="5266"/>
      <c r="J259" s="1984">
        <f t="shared" si="165"/>
        <v>1.2021081418444315</v>
      </c>
      <c r="K259" s="1985">
        <f t="shared" si="165"/>
        <v>1.4696569632544114</v>
      </c>
      <c r="L259" s="1986">
        <f t="shared" si="165"/>
        <v>1.0971215807898429</v>
      </c>
      <c r="M259" s="1987">
        <f t="shared" si="165"/>
        <v>0.83695659151218949</v>
      </c>
      <c r="N259" s="1985">
        <f t="shared" si="165"/>
        <v>0.83695659151218949</v>
      </c>
      <c r="O259" s="1988">
        <f t="shared" si="165"/>
        <v>0.70429539418636311</v>
      </c>
      <c r="P259" s="1989">
        <f t="shared" si="165"/>
        <v>0.65212536498737328</v>
      </c>
      <c r="Q259" s="1990">
        <f t="shared" si="165"/>
        <v>0.67720710979457988</v>
      </c>
      <c r="R259" s="1991">
        <f t="shared" si="165"/>
        <v>0.70429539418636311</v>
      </c>
      <c r="S259" s="1989">
        <f t="shared" si="165"/>
        <v>0.65212536498737328</v>
      </c>
      <c r="T259" s="1990">
        <f t="shared" si="165"/>
        <v>0.70429539418636311</v>
      </c>
      <c r="U259" s="1991">
        <f t="shared" si="165"/>
        <v>0.65212536498737328</v>
      </c>
      <c r="V259" s="1992">
        <f t="shared" si="165"/>
        <v>0.8491057713524045</v>
      </c>
      <c r="W259" s="9"/>
      <c r="X259" s="1544"/>
      <c r="Y259" s="9"/>
      <c r="Z259" s="1650"/>
      <c r="AA259" s="1650"/>
      <c r="AB259" s="1650"/>
      <c r="AC259" s="1650"/>
      <c r="AD259" s="1650"/>
      <c r="AE259" s="1650"/>
      <c r="AF259" s="1650"/>
      <c r="AG259" s="1650"/>
      <c r="AH259" s="1650"/>
    </row>
    <row r="260" spans="1:34" s="1631" customFormat="1" ht="22.5" customHeight="1">
      <c r="A260" s="1993"/>
      <c r="B260" s="1993"/>
      <c r="C260" s="1993"/>
      <c r="D260" s="1993"/>
      <c r="E260" s="1993"/>
      <c r="F260" s="1993"/>
      <c r="G260" s="1993"/>
      <c r="H260" s="1993"/>
      <c r="I260" s="1993"/>
      <c r="J260" s="1994"/>
      <c r="K260" s="1994"/>
      <c r="L260" s="1994"/>
      <c r="M260" s="1994"/>
      <c r="N260" s="1994"/>
      <c r="O260" s="1994"/>
      <c r="P260" s="1994"/>
      <c r="Q260" s="1994"/>
      <c r="R260" s="1994"/>
      <c r="S260" s="1994"/>
      <c r="T260" s="1994"/>
      <c r="U260" s="1994"/>
      <c r="V260" s="1995"/>
      <c r="W260" s="9"/>
      <c r="X260" s="1544"/>
      <c r="Y260" s="9"/>
      <c r="Z260" s="1650"/>
      <c r="AA260" s="1993"/>
      <c r="AB260" s="1993"/>
      <c r="AC260" s="1993"/>
      <c r="AD260" s="1650"/>
      <c r="AE260" s="1650"/>
      <c r="AF260" s="1650"/>
      <c r="AG260" s="1650"/>
      <c r="AH260" s="1650"/>
    </row>
    <row r="261" spans="1:34" ht="22.5" customHeight="1" thickBot="1">
      <c r="A261" s="1653" t="s">
        <v>513</v>
      </c>
      <c r="J261" s="1544"/>
      <c r="K261" s="1544"/>
      <c r="L261" s="1544"/>
      <c r="M261" s="1544"/>
      <c r="N261" s="1544"/>
      <c r="O261" s="1544"/>
      <c r="P261" s="1544"/>
      <c r="Q261" s="1544"/>
      <c r="R261" s="1544"/>
      <c r="S261" s="1544"/>
      <c r="T261" s="1544"/>
      <c r="U261" s="1544"/>
      <c r="V261" s="1546" t="s">
        <v>105</v>
      </c>
      <c r="W261" s="9"/>
      <c r="Y261" s="9"/>
      <c r="Z261" s="1650"/>
      <c r="AD261" s="1650"/>
      <c r="AE261" s="1650"/>
      <c r="AF261" s="5"/>
      <c r="AG261" s="1650"/>
      <c r="AH261" s="1650"/>
    </row>
    <row r="262" spans="1:34" s="1623" customFormat="1" ht="22.5" customHeight="1" thickBot="1">
      <c r="A262" s="1548" t="s">
        <v>41</v>
      </c>
      <c r="B262" s="81" t="s">
        <v>111</v>
      </c>
      <c r="C262" s="81" t="s">
        <v>110</v>
      </c>
      <c r="D262" s="1996" t="s">
        <v>1006</v>
      </c>
      <c r="E262" s="1997"/>
      <c r="F262" s="5267" t="s">
        <v>109</v>
      </c>
      <c r="G262" s="5152"/>
      <c r="H262" s="5152"/>
      <c r="I262" s="1998" t="s">
        <v>242</v>
      </c>
      <c r="J262" s="1548" t="s">
        <v>1350</v>
      </c>
      <c r="K262" s="81" t="s">
        <v>1351</v>
      </c>
      <c r="L262" s="1549" t="s">
        <v>1352</v>
      </c>
      <c r="M262" s="87" t="s">
        <v>1353</v>
      </c>
      <c r="N262" s="81" t="s">
        <v>1354</v>
      </c>
      <c r="O262" s="1549" t="s">
        <v>1355</v>
      </c>
      <c r="P262" s="1548" t="s">
        <v>1356</v>
      </c>
      <c r="Q262" s="81" t="s">
        <v>1357</v>
      </c>
      <c r="R262" s="1549" t="s">
        <v>1358</v>
      </c>
      <c r="S262" s="1548" t="s">
        <v>1359</v>
      </c>
      <c r="T262" s="81" t="s">
        <v>1360</v>
      </c>
      <c r="U262" s="1549" t="s">
        <v>1361</v>
      </c>
      <c r="V262" s="1550" t="s">
        <v>1362</v>
      </c>
      <c r="W262" s="9"/>
      <c r="X262" s="1544"/>
      <c r="Y262" s="9"/>
      <c r="Z262" s="1650"/>
      <c r="AA262" s="1650"/>
      <c r="AB262" s="1650"/>
      <c r="AC262" s="1998" t="s">
        <v>242</v>
      </c>
      <c r="AD262" s="1650"/>
      <c r="AE262" s="1650"/>
      <c r="AF262" s="1650"/>
      <c r="AG262" s="1650"/>
      <c r="AH262" s="1650"/>
    </row>
    <row r="263" spans="1:34" ht="18.75" customHeight="1">
      <c r="A263" s="5189">
        <v>1</v>
      </c>
      <c r="B263" s="5245" t="s">
        <v>90</v>
      </c>
      <c r="C263" s="1999" t="s">
        <v>332</v>
      </c>
      <c r="D263" s="70"/>
      <c r="E263" s="2000"/>
      <c r="F263" s="5290" t="s">
        <v>195</v>
      </c>
      <c r="G263" s="5291"/>
      <c r="H263" s="5291"/>
      <c r="I263" s="2001"/>
      <c r="J263" s="2002">
        <v>20</v>
      </c>
      <c r="K263" s="2003">
        <v>20</v>
      </c>
      <c r="L263" s="2004">
        <v>20</v>
      </c>
      <c r="M263" s="2005">
        <v>20</v>
      </c>
      <c r="N263" s="2003">
        <v>22</v>
      </c>
      <c r="O263" s="2006">
        <f>N263</f>
        <v>22</v>
      </c>
      <c r="P263" s="2007">
        <f t="shared" ref="P263:U263" si="166">O263</f>
        <v>22</v>
      </c>
      <c r="Q263" s="2008">
        <f t="shared" si="166"/>
        <v>22</v>
      </c>
      <c r="R263" s="2006">
        <f t="shared" si="166"/>
        <v>22</v>
      </c>
      <c r="S263" s="2007">
        <f t="shared" si="166"/>
        <v>22</v>
      </c>
      <c r="T263" s="2008">
        <f t="shared" si="166"/>
        <v>22</v>
      </c>
      <c r="U263" s="2006">
        <f t="shared" si="166"/>
        <v>22</v>
      </c>
      <c r="V263" s="2009">
        <f t="shared" ref="V263:V279" si="167">AVERAGE(J263:U263)</f>
        <v>21.333333333333332</v>
      </c>
      <c r="W263" s="9"/>
      <c r="Y263" s="9"/>
      <c r="Z263" s="1650"/>
      <c r="AA263" s="1650"/>
      <c r="AB263" s="1650"/>
      <c r="AC263" s="2001"/>
      <c r="AD263" s="1650"/>
      <c r="AE263" s="1650"/>
      <c r="AF263" s="1650"/>
      <c r="AG263" s="1650"/>
      <c r="AH263" s="1650"/>
    </row>
    <row r="264" spans="1:34" ht="18.75" customHeight="1">
      <c r="A264" s="5190"/>
      <c r="B264" s="5246"/>
      <c r="C264" s="2010"/>
      <c r="D264" s="2011"/>
      <c r="E264" s="2012"/>
      <c r="F264" s="5258" t="s">
        <v>196</v>
      </c>
      <c r="G264" s="5259"/>
      <c r="H264" s="5259"/>
      <c r="I264" s="2013"/>
      <c r="J264" s="2014">
        <f>J258</f>
        <v>19.846251555385567</v>
      </c>
      <c r="K264" s="2015">
        <f t="shared" ref="K264:U264" si="168">K258</f>
        <v>31.556240161553927</v>
      </c>
      <c r="L264" s="2016">
        <f t="shared" si="168"/>
        <v>24.405696328122378</v>
      </c>
      <c r="M264" s="2017">
        <f t="shared" si="168"/>
        <v>24.808628028185225</v>
      </c>
      <c r="N264" s="2015">
        <f t="shared" si="168"/>
        <v>24.583648733045276</v>
      </c>
      <c r="O264" s="2018">
        <f>O258</f>
        <v>25.673737379823024</v>
      </c>
      <c r="P264" s="2019">
        <f t="shared" si="168"/>
        <v>22.614182660024778</v>
      </c>
      <c r="Q264" s="2020">
        <f t="shared" si="168"/>
        <v>22.41332700650895</v>
      </c>
      <c r="R264" s="2018">
        <f t="shared" si="168"/>
        <v>23.957046607188786</v>
      </c>
      <c r="S264" s="2019">
        <f t="shared" si="168"/>
        <v>21.92908930443485</v>
      </c>
      <c r="T264" s="2020">
        <f t="shared" si="168"/>
        <v>20.893174842391442</v>
      </c>
      <c r="U264" s="2018">
        <f t="shared" si="168"/>
        <v>18.096486635294816</v>
      </c>
      <c r="V264" s="2021">
        <f t="shared" si="167"/>
        <v>23.398125770163247</v>
      </c>
      <c r="W264" s="9"/>
      <c r="Y264" s="9"/>
      <c r="Z264" s="5"/>
      <c r="AA264" s="5"/>
      <c r="AB264" s="5"/>
      <c r="AC264" s="2013"/>
      <c r="AD264" s="5"/>
      <c r="AE264" s="5"/>
      <c r="AF264" s="5"/>
      <c r="AG264" s="5"/>
      <c r="AH264" s="1650"/>
    </row>
    <row r="265" spans="1:34" s="1539" customFormat="1" ht="18.75" customHeight="1">
      <c r="A265" s="5190"/>
      <c r="B265" s="5246"/>
      <c r="C265" s="2022"/>
      <c r="D265" s="2023"/>
      <c r="E265" s="2024"/>
      <c r="F265" s="5288" t="s">
        <v>197</v>
      </c>
      <c r="G265" s="5289"/>
      <c r="H265" s="5289"/>
      <c r="I265" s="2025"/>
      <c r="J265" s="2026">
        <f>J263-J264</f>
        <v>0.1537484446144326</v>
      </c>
      <c r="K265" s="2027">
        <f t="shared" ref="K265:U265" si="169">K263-K264</f>
        <v>-11.556240161553927</v>
      </c>
      <c r="L265" s="2028">
        <f t="shared" si="169"/>
        <v>-4.405696328122378</v>
      </c>
      <c r="M265" s="2029">
        <f t="shared" si="169"/>
        <v>-4.8086280281852254</v>
      </c>
      <c r="N265" s="2027">
        <f t="shared" si="169"/>
        <v>-2.5836487330452762</v>
      </c>
      <c r="O265" s="2030">
        <f t="shared" si="169"/>
        <v>-3.6737373798230237</v>
      </c>
      <c r="P265" s="2031">
        <f t="shared" si="169"/>
        <v>-0.6141826600247775</v>
      </c>
      <c r="Q265" s="2032">
        <f t="shared" si="169"/>
        <v>-0.41332700650895049</v>
      </c>
      <c r="R265" s="2030">
        <f t="shared" si="169"/>
        <v>-1.9570466071887864</v>
      </c>
      <c r="S265" s="2031">
        <f t="shared" si="169"/>
        <v>7.091069556514995E-2</v>
      </c>
      <c r="T265" s="2032">
        <f t="shared" si="169"/>
        <v>1.1068251576085579</v>
      </c>
      <c r="U265" s="2030">
        <f t="shared" si="169"/>
        <v>3.9035133647051836</v>
      </c>
      <c r="V265" s="2033">
        <f t="shared" si="167"/>
        <v>-2.0647924368299182</v>
      </c>
      <c r="W265" s="9"/>
      <c r="X265" s="1544"/>
      <c r="Y265" s="9"/>
      <c r="Z265" s="1652"/>
      <c r="AA265" s="1652"/>
      <c r="AB265" s="1652"/>
      <c r="AC265" s="2025"/>
      <c r="AD265" s="1652"/>
      <c r="AE265" s="1652"/>
      <c r="AF265" s="1652"/>
      <c r="AG265" s="1652"/>
      <c r="AH265" s="1843"/>
    </row>
    <row r="266" spans="1:34" ht="18.75" customHeight="1">
      <c r="A266" s="5190"/>
      <c r="B266" s="5246"/>
      <c r="C266" s="2034" t="s">
        <v>235</v>
      </c>
      <c r="D266" s="2035"/>
      <c r="E266" s="2036"/>
      <c r="F266" s="5292" t="s">
        <v>195</v>
      </c>
      <c r="G266" s="5293"/>
      <c r="H266" s="5293"/>
      <c r="I266" s="2037"/>
      <c r="J266" s="2038">
        <v>7</v>
      </c>
      <c r="K266" s="2039">
        <v>7</v>
      </c>
      <c r="L266" s="2040">
        <v>6</v>
      </c>
      <c r="M266" s="2041">
        <f t="shared" ref="M266" si="170">L266</f>
        <v>6</v>
      </c>
      <c r="N266" s="2039">
        <f t="shared" ref="N266" si="171">M266</f>
        <v>6</v>
      </c>
      <c r="O266" s="2042">
        <f t="shared" ref="O266" si="172">N266</f>
        <v>6</v>
      </c>
      <c r="P266" s="2043">
        <f t="shared" ref="P266" si="173">O266</f>
        <v>6</v>
      </c>
      <c r="Q266" s="2044">
        <f t="shared" ref="Q266" si="174">P266</f>
        <v>6</v>
      </c>
      <c r="R266" s="2042">
        <f t="shared" ref="R266" si="175">Q266</f>
        <v>6</v>
      </c>
      <c r="S266" s="2043">
        <f t="shared" ref="S266" si="176">R266</f>
        <v>6</v>
      </c>
      <c r="T266" s="2044">
        <f t="shared" ref="T266" si="177">S266</f>
        <v>6</v>
      </c>
      <c r="U266" s="2042">
        <f t="shared" ref="U266" si="178">T266</f>
        <v>6</v>
      </c>
      <c r="V266" s="2045">
        <f t="shared" si="167"/>
        <v>6.166666666666667</v>
      </c>
      <c r="W266" s="9"/>
      <c r="Y266" s="9"/>
      <c r="Z266" s="5"/>
      <c r="AA266" s="5"/>
      <c r="AB266" s="5"/>
      <c r="AC266" s="2037"/>
      <c r="AD266" s="5"/>
      <c r="AE266" s="5"/>
      <c r="AF266" s="5"/>
      <c r="AG266" s="5"/>
      <c r="AH266" s="1650"/>
    </row>
    <row r="267" spans="1:34" ht="18.75" customHeight="1">
      <c r="A267" s="5190"/>
      <c r="B267" s="5246"/>
      <c r="C267" s="2010"/>
      <c r="D267" s="2011"/>
      <c r="E267" s="2012"/>
      <c r="F267" s="5258" t="s">
        <v>196</v>
      </c>
      <c r="G267" s="5259"/>
      <c r="H267" s="5259"/>
      <c r="I267" s="2013"/>
      <c r="J267" s="2014">
        <f t="shared" ref="J267:U267" si="179">J259</f>
        <v>1.2021081418444315</v>
      </c>
      <c r="K267" s="2015">
        <f t="shared" si="179"/>
        <v>1.4696569632544114</v>
      </c>
      <c r="L267" s="2016">
        <f t="shared" si="179"/>
        <v>1.0971215807898429</v>
      </c>
      <c r="M267" s="2017">
        <f t="shared" si="179"/>
        <v>0.83695659151218949</v>
      </c>
      <c r="N267" s="2015">
        <f t="shared" si="179"/>
        <v>0.83695659151218949</v>
      </c>
      <c r="O267" s="2018">
        <f t="shared" si="179"/>
        <v>0.70429539418636311</v>
      </c>
      <c r="P267" s="2019">
        <f t="shared" si="179"/>
        <v>0.65212536498737328</v>
      </c>
      <c r="Q267" s="2020">
        <f t="shared" si="179"/>
        <v>0.67720710979457988</v>
      </c>
      <c r="R267" s="2018">
        <f t="shared" si="179"/>
        <v>0.70429539418636311</v>
      </c>
      <c r="S267" s="2019">
        <f t="shared" si="179"/>
        <v>0.65212536498737328</v>
      </c>
      <c r="T267" s="2020">
        <f t="shared" si="179"/>
        <v>0.70429539418636311</v>
      </c>
      <c r="U267" s="2018">
        <f t="shared" si="179"/>
        <v>0.65212536498737328</v>
      </c>
      <c r="V267" s="2021">
        <f t="shared" si="167"/>
        <v>0.8491057713524045</v>
      </c>
      <c r="W267" s="9"/>
      <c r="Y267" s="9"/>
      <c r="Z267" s="5"/>
      <c r="AA267" s="5"/>
      <c r="AB267" s="5"/>
      <c r="AC267" s="2013"/>
      <c r="AD267" s="5"/>
      <c r="AE267" s="5"/>
      <c r="AF267" s="5"/>
      <c r="AG267" s="5"/>
      <c r="AH267" s="1650"/>
    </row>
    <row r="268" spans="1:34" s="1539" customFormat="1" ht="18.75" customHeight="1">
      <c r="A268" s="5190"/>
      <c r="B268" s="5246"/>
      <c r="C268" s="2046"/>
      <c r="D268" s="2047"/>
      <c r="E268" s="2048"/>
      <c r="F268" s="5258" t="s">
        <v>188</v>
      </c>
      <c r="G268" s="5259"/>
      <c r="H268" s="5259"/>
      <c r="I268" s="2013"/>
      <c r="J268" s="2049">
        <f>J266-J267</f>
        <v>5.7978918581555687</v>
      </c>
      <c r="K268" s="2050">
        <f t="shared" ref="K268:U268" si="180">K266-K267</f>
        <v>5.5303430367455881</v>
      </c>
      <c r="L268" s="2051">
        <f t="shared" si="180"/>
        <v>4.9028784192101575</v>
      </c>
      <c r="M268" s="2052">
        <f t="shared" si="180"/>
        <v>5.1630434084878107</v>
      </c>
      <c r="N268" s="2050">
        <f t="shared" si="180"/>
        <v>5.1630434084878107</v>
      </c>
      <c r="O268" s="2053">
        <f t="shared" si="180"/>
        <v>5.2957046058136372</v>
      </c>
      <c r="P268" s="2054">
        <f t="shared" si="180"/>
        <v>5.3478746350126265</v>
      </c>
      <c r="Q268" s="2055">
        <f t="shared" si="180"/>
        <v>5.3227928902054202</v>
      </c>
      <c r="R268" s="2053">
        <f t="shared" si="180"/>
        <v>5.2957046058136372</v>
      </c>
      <c r="S268" s="2054">
        <f t="shared" si="180"/>
        <v>5.3478746350126265</v>
      </c>
      <c r="T268" s="2055">
        <f t="shared" si="180"/>
        <v>5.2957046058136372</v>
      </c>
      <c r="U268" s="2053">
        <f t="shared" si="180"/>
        <v>5.3478746350126265</v>
      </c>
      <c r="V268" s="2056">
        <f t="shared" si="167"/>
        <v>5.317560895314263</v>
      </c>
      <c r="W268" s="9"/>
      <c r="X268" s="1544"/>
      <c r="Y268" s="9"/>
      <c r="Z268" s="1652"/>
      <c r="AA268" s="1652"/>
      <c r="AB268" s="1652"/>
      <c r="AC268" s="2013"/>
      <c r="AD268" s="1652"/>
      <c r="AE268" s="1652"/>
      <c r="AF268" s="1652"/>
      <c r="AG268" s="1652"/>
      <c r="AH268" s="1843"/>
    </row>
    <row r="269" spans="1:34" s="1539" customFormat="1" ht="18.75" customHeight="1" thickBot="1">
      <c r="A269" s="5244"/>
      <c r="B269" s="5301"/>
      <c r="C269" s="5300" t="s">
        <v>198</v>
      </c>
      <c r="D269" s="5300"/>
      <c r="E269" s="5300"/>
      <c r="F269" s="5300"/>
      <c r="G269" s="5300"/>
      <c r="H269" s="5300"/>
      <c r="I269" s="2058"/>
      <c r="J269" s="2059">
        <f>J264+J267</f>
        <v>21.048359697229998</v>
      </c>
      <c r="K269" s="2060">
        <f t="shared" ref="K269:U269" si="181">K264+K267</f>
        <v>33.025897124808338</v>
      </c>
      <c r="L269" s="2061">
        <f t="shared" si="181"/>
        <v>25.50281790891222</v>
      </c>
      <c r="M269" s="2062">
        <f t="shared" si="181"/>
        <v>25.645584619697416</v>
      </c>
      <c r="N269" s="2060">
        <f t="shared" si="181"/>
        <v>25.420605324557467</v>
      </c>
      <c r="O269" s="2063">
        <f t="shared" si="181"/>
        <v>26.378032774009387</v>
      </c>
      <c r="P269" s="2064">
        <f t="shared" si="181"/>
        <v>23.266308025012151</v>
      </c>
      <c r="Q269" s="2065">
        <f t="shared" si="181"/>
        <v>23.09053411630353</v>
      </c>
      <c r="R269" s="2063">
        <f t="shared" si="181"/>
        <v>24.66134200137515</v>
      </c>
      <c r="S269" s="2064">
        <f t="shared" si="181"/>
        <v>22.581214669422224</v>
      </c>
      <c r="T269" s="2065">
        <f t="shared" si="181"/>
        <v>21.597470236577806</v>
      </c>
      <c r="U269" s="2063">
        <f t="shared" si="181"/>
        <v>18.74861200028219</v>
      </c>
      <c r="V269" s="2066">
        <f t="shared" si="167"/>
        <v>24.24723154151566</v>
      </c>
      <c r="W269" s="9"/>
      <c r="X269" s="1544"/>
      <c r="Y269" s="9"/>
      <c r="Z269" s="1652"/>
      <c r="AA269" s="1652"/>
      <c r="AB269" s="1652"/>
      <c r="AC269" s="2058"/>
      <c r="AD269" s="1652"/>
      <c r="AE269" s="1652"/>
      <c r="AF269" s="1652"/>
      <c r="AG269" s="1652"/>
      <c r="AH269" s="1843"/>
    </row>
    <row r="270" spans="1:34" s="1539" customFormat="1" ht="18.75" customHeight="1">
      <c r="A270" s="5241">
        <v>2</v>
      </c>
      <c r="B270" s="5187" t="s">
        <v>102</v>
      </c>
      <c r="C270" s="2390" t="s">
        <v>1386</v>
      </c>
      <c r="D270" s="2067"/>
      <c r="E270" s="2068"/>
      <c r="F270" s="5290" t="s">
        <v>1002</v>
      </c>
      <c r="G270" s="5291"/>
      <c r="H270" s="5291"/>
      <c r="I270" s="2001">
        <v>145</v>
      </c>
      <c r="J270" s="2069">
        <v>145</v>
      </c>
      <c r="K270" s="2070">
        <v>145</v>
      </c>
      <c r="L270" s="2071">
        <v>145</v>
      </c>
      <c r="M270" s="2072">
        <v>145</v>
      </c>
      <c r="N270" s="2070">
        <v>145</v>
      </c>
      <c r="O270" s="2073">
        <v>145</v>
      </c>
      <c r="P270" s="2074">
        <v>145</v>
      </c>
      <c r="Q270" s="2075">
        <v>145</v>
      </c>
      <c r="R270" s="2073">
        <v>145</v>
      </c>
      <c r="S270" s="2074">
        <v>145</v>
      </c>
      <c r="T270" s="2075">
        <v>145</v>
      </c>
      <c r="U270" s="2073">
        <v>145</v>
      </c>
      <c r="V270" s="2009">
        <f t="shared" si="167"/>
        <v>145</v>
      </c>
      <c r="W270" s="9"/>
      <c r="X270" s="1544"/>
      <c r="Y270" s="9"/>
      <c r="Z270" s="1843"/>
      <c r="AA270" s="1843"/>
      <c r="AB270" s="1843"/>
      <c r="AC270" s="2001">
        <v>145</v>
      </c>
      <c r="AD270" s="1843"/>
      <c r="AE270" s="1843"/>
      <c r="AF270" s="1843"/>
      <c r="AG270" s="1843"/>
      <c r="AH270" s="1843"/>
    </row>
    <row r="271" spans="1:34" s="1539" customFormat="1" ht="18.75" customHeight="1">
      <c r="A271" s="5242"/>
      <c r="B271" s="5186"/>
      <c r="C271" s="1786"/>
      <c r="D271" s="2076"/>
      <c r="E271" s="2077"/>
      <c r="F271" s="5258" t="s">
        <v>196</v>
      </c>
      <c r="G271" s="5259"/>
      <c r="H271" s="5259"/>
      <c r="I271" s="2013"/>
      <c r="J271" s="2078">
        <f>J372</f>
        <v>113.93115835293601</v>
      </c>
      <c r="K271" s="2079">
        <f>K372</f>
        <v>157.65303905084193</v>
      </c>
      <c r="L271" s="2080">
        <f t="shared" ref="L271:Q271" si="182">L372</f>
        <v>115.0914934109978</v>
      </c>
      <c r="M271" s="2081">
        <f t="shared" si="182"/>
        <v>115.58119312838522</v>
      </c>
      <c r="N271" s="2079">
        <f t="shared" si="182"/>
        <v>117.44692935381833</v>
      </c>
      <c r="O271" s="2082">
        <f t="shared" si="182"/>
        <v>116.99202203061472</v>
      </c>
      <c r="P271" s="2083">
        <f t="shared" si="182"/>
        <v>83.792442863817911</v>
      </c>
      <c r="Q271" s="2084">
        <f t="shared" si="182"/>
        <v>85.372324065809778</v>
      </c>
      <c r="R271" s="2082">
        <f>R372</f>
        <v>88.15237042752662</v>
      </c>
      <c r="S271" s="2083">
        <f t="shared" ref="S271:U271" si="183">S372</f>
        <v>80.082495342805444</v>
      </c>
      <c r="T271" s="2084">
        <f t="shared" si="183"/>
        <v>83.183165684373037</v>
      </c>
      <c r="U271" s="2082">
        <f t="shared" si="183"/>
        <v>77.258541023593267</v>
      </c>
      <c r="V271" s="2021">
        <f t="shared" si="167"/>
        <v>102.87809789462669</v>
      </c>
      <c r="W271" s="9"/>
      <c r="X271" s="1544"/>
      <c r="Y271" s="9"/>
      <c r="Z271" s="1652"/>
      <c r="AA271" s="1652"/>
      <c r="AB271" s="1652"/>
      <c r="AC271" s="2013"/>
      <c r="AD271" s="1652"/>
      <c r="AE271" s="1652"/>
      <c r="AF271" s="1652"/>
      <c r="AG271" s="1652"/>
      <c r="AH271" s="1843"/>
    </row>
    <row r="272" spans="1:34" s="1539" customFormat="1" ht="18.75" customHeight="1" thickBot="1">
      <c r="A272" s="5242"/>
      <c r="B272" s="5186"/>
      <c r="C272" s="1786"/>
      <c r="D272" s="2076"/>
      <c r="E272" s="2077"/>
      <c r="F272" s="5258" t="s">
        <v>188</v>
      </c>
      <c r="G272" s="5259"/>
      <c r="H272" s="5259"/>
      <c r="I272" s="2013"/>
      <c r="J272" s="3995">
        <f t="shared" ref="J272:U272" si="184">J270-J271</f>
        <v>31.068841647063991</v>
      </c>
      <c r="K272" s="3996">
        <f t="shared" si="184"/>
        <v>-12.653039050841926</v>
      </c>
      <c r="L272" s="3997">
        <f t="shared" si="184"/>
        <v>29.908506589002201</v>
      </c>
      <c r="M272" s="3998">
        <f t="shared" si="184"/>
        <v>29.418806871614777</v>
      </c>
      <c r="N272" s="3996">
        <f t="shared" si="184"/>
        <v>27.553070646181666</v>
      </c>
      <c r="O272" s="3999">
        <f t="shared" si="184"/>
        <v>28.00797796938528</v>
      </c>
      <c r="P272" s="4000">
        <f t="shared" si="184"/>
        <v>61.207557136182089</v>
      </c>
      <c r="Q272" s="4001">
        <f t="shared" si="184"/>
        <v>59.627675934190222</v>
      </c>
      <c r="R272" s="3999">
        <f t="shared" si="184"/>
        <v>56.84762957247338</v>
      </c>
      <c r="S272" s="4000">
        <f t="shared" si="184"/>
        <v>64.917504657194556</v>
      </c>
      <c r="T272" s="4001">
        <f t="shared" si="184"/>
        <v>61.816834315626963</v>
      </c>
      <c r="U272" s="3999">
        <f t="shared" si="184"/>
        <v>67.741458976406733</v>
      </c>
      <c r="V272" s="2056">
        <f t="shared" si="167"/>
        <v>42.12190210537333</v>
      </c>
      <c r="W272" s="9"/>
      <c r="X272" s="2095"/>
      <c r="Y272" s="9"/>
      <c r="Z272" s="1843"/>
      <c r="AA272" s="1843"/>
      <c r="AB272" s="1843"/>
      <c r="AC272" s="2086"/>
      <c r="AD272" s="1843"/>
      <c r="AE272" s="1843"/>
      <c r="AF272" s="1843"/>
      <c r="AG272" s="1843"/>
      <c r="AH272" s="1843"/>
    </row>
    <row r="273" spans="1:47" s="1539" customFormat="1" ht="18.75" customHeight="1">
      <c r="A273" s="5242"/>
      <c r="B273" s="5186"/>
      <c r="C273" s="4028" t="s">
        <v>1385</v>
      </c>
      <c r="D273" s="4026"/>
      <c r="E273" s="4027"/>
      <c r="F273" s="5292" t="s">
        <v>1337</v>
      </c>
      <c r="G273" s="5293"/>
      <c r="H273" s="5293"/>
      <c r="I273" s="2037"/>
      <c r="J273" s="4294">
        <v>1</v>
      </c>
      <c r="K273" s="4295">
        <f t="shared" ref="K273:U273" si="185">J273</f>
        <v>1</v>
      </c>
      <c r="L273" s="4296">
        <v>1</v>
      </c>
      <c r="M273" s="4297">
        <f t="shared" si="185"/>
        <v>1</v>
      </c>
      <c r="N273" s="4295">
        <v>1</v>
      </c>
      <c r="O273" s="4298">
        <f t="shared" si="185"/>
        <v>1</v>
      </c>
      <c r="P273" s="4299">
        <f t="shared" si="185"/>
        <v>1</v>
      </c>
      <c r="Q273" s="4300">
        <f t="shared" si="185"/>
        <v>1</v>
      </c>
      <c r="R273" s="4298">
        <f t="shared" si="185"/>
        <v>1</v>
      </c>
      <c r="S273" s="4299">
        <f t="shared" si="185"/>
        <v>1</v>
      </c>
      <c r="T273" s="4300">
        <f t="shared" si="185"/>
        <v>1</v>
      </c>
      <c r="U273" s="4298">
        <f t="shared" si="185"/>
        <v>1</v>
      </c>
      <c r="V273" s="4301">
        <f t="shared" si="167"/>
        <v>1</v>
      </c>
      <c r="W273" s="9"/>
      <c r="X273" s="2095"/>
      <c r="Y273" s="9"/>
      <c r="Z273" s="1843"/>
      <c r="AA273" s="1843"/>
      <c r="AB273" s="1843"/>
      <c r="AC273" s="2013"/>
      <c r="AD273" s="1843"/>
      <c r="AE273" s="1843"/>
      <c r="AF273" s="1843"/>
      <c r="AG273" s="1843"/>
      <c r="AH273" s="1843"/>
    </row>
    <row r="274" spans="1:47" s="1539" customFormat="1" ht="18.75" customHeight="1">
      <c r="A274" s="5242"/>
      <c r="B274" s="5186"/>
      <c r="C274" s="1786"/>
      <c r="D274" s="2076"/>
      <c r="E274" s="2077"/>
      <c r="F274" s="5258" t="s">
        <v>196</v>
      </c>
      <c r="G274" s="5259"/>
      <c r="H274" s="5259"/>
      <c r="I274" s="2013"/>
      <c r="J274" s="3995">
        <f>J382</f>
        <v>0</v>
      </c>
      <c r="K274" s="3996">
        <f t="shared" ref="K274:U274" si="186">K382</f>
        <v>1.2228260869565217</v>
      </c>
      <c r="L274" s="3997">
        <f t="shared" si="186"/>
        <v>0.82775919732441483</v>
      </c>
      <c r="M274" s="3998">
        <f t="shared" si="186"/>
        <v>0</v>
      </c>
      <c r="N274" s="3996">
        <f t="shared" si="186"/>
        <v>0</v>
      </c>
      <c r="O274" s="3999">
        <f t="shared" si="186"/>
        <v>0</v>
      </c>
      <c r="P274" s="4000">
        <f t="shared" si="186"/>
        <v>0</v>
      </c>
      <c r="Q274" s="4001">
        <f t="shared" si="186"/>
        <v>0</v>
      </c>
      <c r="R274" s="3999">
        <f t="shared" si="186"/>
        <v>0</v>
      </c>
      <c r="S274" s="4000">
        <f t="shared" si="186"/>
        <v>0</v>
      </c>
      <c r="T274" s="4001">
        <f t="shared" si="186"/>
        <v>0</v>
      </c>
      <c r="U274" s="3999">
        <f t="shared" si="186"/>
        <v>0</v>
      </c>
      <c r="V274" s="2056">
        <f t="shared" si="167"/>
        <v>0.17088210702341136</v>
      </c>
      <c r="W274" s="9"/>
      <c r="X274" s="2095"/>
      <c r="Y274" s="9"/>
      <c r="Z274" s="1843"/>
      <c r="AA274" s="1843"/>
      <c r="AB274" s="1843"/>
      <c r="AC274" s="2013"/>
      <c r="AD274" s="1843"/>
      <c r="AE274" s="1843"/>
      <c r="AF274" s="1843"/>
      <c r="AG274" s="1843"/>
      <c r="AH274" s="1843"/>
    </row>
    <row r="275" spans="1:47" s="1539" customFormat="1" ht="18.75" customHeight="1">
      <c r="A275" s="5242"/>
      <c r="B275" s="5186"/>
      <c r="C275" s="3343"/>
      <c r="D275" s="2076"/>
      <c r="E275" s="2077"/>
      <c r="F275" s="5258" t="s">
        <v>188</v>
      </c>
      <c r="G275" s="5259"/>
      <c r="H275" s="5259"/>
      <c r="I275" s="2013"/>
      <c r="J275" s="3995">
        <f>J273-J274</f>
        <v>1</v>
      </c>
      <c r="K275" s="3996">
        <f t="shared" ref="K275:U275" si="187">K273-K274</f>
        <v>-0.22282608695652173</v>
      </c>
      <c r="L275" s="3997">
        <f t="shared" si="187"/>
        <v>0.17224080267558517</v>
      </c>
      <c r="M275" s="3998">
        <f t="shared" si="187"/>
        <v>1</v>
      </c>
      <c r="N275" s="3996">
        <f t="shared" si="187"/>
        <v>1</v>
      </c>
      <c r="O275" s="3999">
        <f t="shared" si="187"/>
        <v>1</v>
      </c>
      <c r="P275" s="4000">
        <f t="shared" si="187"/>
        <v>1</v>
      </c>
      <c r="Q275" s="4001">
        <f t="shared" si="187"/>
        <v>1</v>
      </c>
      <c r="R275" s="3999">
        <f t="shared" si="187"/>
        <v>1</v>
      </c>
      <c r="S275" s="4000">
        <f t="shared" si="187"/>
        <v>1</v>
      </c>
      <c r="T275" s="4001">
        <f t="shared" si="187"/>
        <v>1</v>
      </c>
      <c r="U275" s="3999">
        <f t="shared" si="187"/>
        <v>1</v>
      </c>
      <c r="V275" s="2056">
        <f t="shared" si="167"/>
        <v>0.82911789297658867</v>
      </c>
      <c r="W275" s="9"/>
      <c r="X275" s="2095"/>
      <c r="Y275" s="9"/>
      <c r="Z275" s="1843"/>
      <c r="AA275" s="1843"/>
      <c r="AB275" s="1843"/>
      <c r="AC275" s="2013"/>
      <c r="AD275" s="1843"/>
      <c r="AE275" s="1843"/>
      <c r="AF275" s="1843"/>
      <c r="AG275" s="1843"/>
      <c r="AH275" s="1843"/>
    </row>
    <row r="276" spans="1:47" s="1539" customFormat="1" ht="18.75" customHeight="1" thickBot="1">
      <c r="A276" s="5243"/>
      <c r="B276" s="5185"/>
      <c r="C276" s="5294" t="s">
        <v>1331</v>
      </c>
      <c r="D276" s="5295"/>
      <c r="E276" s="5295"/>
      <c r="F276" s="5295"/>
      <c r="G276" s="5295"/>
      <c r="H276" s="5295"/>
      <c r="I276" s="5296"/>
      <c r="J276" s="4033"/>
      <c r="K276" s="4034"/>
      <c r="L276" s="4035"/>
      <c r="M276" s="4036"/>
      <c r="N276" s="4034"/>
      <c r="O276" s="4031"/>
      <c r="P276" s="4029"/>
      <c r="Q276" s="4030"/>
      <c r="R276" s="4031"/>
      <c r="S276" s="4029"/>
      <c r="T276" s="4030"/>
      <c r="U276" s="4031"/>
      <c r="V276" s="4032"/>
      <c r="W276" s="9"/>
      <c r="X276" s="2095"/>
      <c r="Y276" s="9"/>
      <c r="Z276" s="1843"/>
      <c r="AA276" s="1843"/>
      <c r="AB276" s="1843"/>
      <c r="AC276" s="2013"/>
      <c r="AD276" s="1843"/>
      <c r="AE276" s="1843"/>
      <c r="AF276" s="1843"/>
      <c r="AG276" s="1843"/>
      <c r="AH276" s="1843"/>
    </row>
    <row r="277" spans="1:47" s="1539" customFormat="1" ht="18.75" customHeight="1">
      <c r="A277" s="5189">
        <v>3</v>
      </c>
      <c r="B277" s="5187" t="s">
        <v>281</v>
      </c>
      <c r="C277" s="2046"/>
      <c r="D277" s="2076"/>
      <c r="E277" s="2077"/>
      <c r="F277" s="5258" t="s">
        <v>195</v>
      </c>
      <c r="G277" s="5259"/>
      <c r="H277" s="5260"/>
      <c r="I277" s="5256"/>
      <c r="J277" s="2078">
        <v>22</v>
      </c>
      <c r="K277" s="2079">
        <f t="shared" ref="K277" si="188">J277</f>
        <v>22</v>
      </c>
      <c r="L277" s="2080">
        <f t="shared" ref="L277" si="189">K277</f>
        <v>22</v>
      </c>
      <c r="M277" s="2081">
        <f t="shared" ref="M277" si="190">L277</f>
        <v>22</v>
      </c>
      <c r="N277" s="2079">
        <f t="shared" ref="N277" si="191">M277</f>
        <v>22</v>
      </c>
      <c r="O277" s="2082">
        <f t="shared" ref="O277" si="192">N277</f>
        <v>22</v>
      </c>
      <c r="P277" s="2083">
        <f t="shared" ref="P277" si="193">O277</f>
        <v>22</v>
      </c>
      <c r="Q277" s="2084">
        <f t="shared" ref="Q277" si="194">P277</f>
        <v>22</v>
      </c>
      <c r="R277" s="2082">
        <f t="shared" ref="R277" si="195">Q277</f>
        <v>22</v>
      </c>
      <c r="S277" s="2083">
        <f t="shared" ref="S277" si="196">R277</f>
        <v>22</v>
      </c>
      <c r="T277" s="2084">
        <f t="shared" ref="T277" si="197">S277</f>
        <v>22</v>
      </c>
      <c r="U277" s="2082">
        <f t="shared" ref="U277" si="198">T277</f>
        <v>22</v>
      </c>
      <c r="V277" s="2021">
        <f t="shared" si="167"/>
        <v>22</v>
      </c>
      <c r="W277" s="9"/>
      <c r="X277" s="1544"/>
      <c r="Y277" s="9"/>
      <c r="Z277" s="1652"/>
      <c r="AA277" s="1652"/>
      <c r="AB277" s="1652"/>
      <c r="AC277" s="5255"/>
      <c r="AD277" s="1652"/>
      <c r="AE277" s="1652"/>
      <c r="AF277" s="1652"/>
      <c r="AG277" s="1652"/>
      <c r="AH277" s="1843"/>
    </row>
    <row r="278" spans="1:47" s="1539" customFormat="1" ht="18.75" customHeight="1">
      <c r="A278" s="5190"/>
      <c r="B278" s="5186"/>
      <c r="C278" s="2046"/>
      <c r="D278" s="2076"/>
      <c r="E278" s="2077"/>
      <c r="F278" s="5258" t="s">
        <v>196</v>
      </c>
      <c r="G278" s="5259"/>
      <c r="H278" s="5260"/>
      <c r="I278" s="5256"/>
      <c r="J278" s="2014">
        <f>J396</f>
        <v>13.469495715312075</v>
      </c>
      <c r="K278" s="2015">
        <f t="shared" ref="K278:U278" si="199">K396</f>
        <v>12.817938506078045</v>
      </c>
      <c r="L278" s="2016">
        <f t="shared" si="199"/>
        <v>10.106875666107351</v>
      </c>
      <c r="M278" s="2017">
        <f t="shared" si="199"/>
        <v>9.4405643486453954</v>
      </c>
      <c r="N278" s="2015">
        <f t="shared" si="199"/>
        <v>8.1480798194067852</v>
      </c>
      <c r="O278" s="2018">
        <f t="shared" si="199"/>
        <v>8.0644406335210022</v>
      </c>
      <c r="P278" s="2019">
        <f t="shared" si="199"/>
        <v>7.5411487347416699</v>
      </c>
      <c r="Q278" s="2020">
        <f t="shared" si="199"/>
        <v>7.7927313783855796</v>
      </c>
      <c r="R278" s="2018">
        <f t="shared" si="199"/>
        <v>8.0644406335210022</v>
      </c>
      <c r="S278" s="2019">
        <f t="shared" si="199"/>
        <v>7.5411487347416699</v>
      </c>
      <c r="T278" s="2020">
        <f t="shared" si="199"/>
        <v>8.0644406335210022</v>
      </c>
      <c r="U278" s="2018">
        <f t="shared" si="199"/>
        <v>7.5411487347416699</v>
      </c>
      <c r="V278" s="2021">
        <f t="shared" si="167"/>
        <v>9.0493711282269373</v>
      </c>
      <c r="W278" s="9"/>
      <c r="X278" s="1544"/>
      <c r="Y278" s="9"/>
      <c r="Z278" s="1843"/>
      <c r="AA278" s="1843"/>
      <c r="AB278" s="1843"/>
      <c r="AC278" s="5256"/>
      <c r="AD278" s="1843"/>
      <c r="AE278" s="1843"/>
      <c r="AF278" s="1843"/>
      <c r="AG278" s="1843"/>
      <c r="AH278" s="1843"/>
    </row>
    <row r="279" spans="1:47" s="1539" customFormat="1" ht="18.75" customHeight="1" thickBot="1">
      <c r="A279" s="5191"/>
      <c r="B279" s="5185"/>
      <c r="C279" s="1645"/>
      <c r="D279" s="2085"/>
      <c r="E279" s="1646"/>
      <c r="F279" s="5261" t="s">
        <v>188</v>
      </c>
      <c r="G279" s="5262"/>
      <c r="H279" s="5263"/>
      <c r="I279" s="5257"/>
      <c r="J279" s="2096">
        <f>J277-J278</f>
        <v>8.5305042846879253</v>
      </c>
      <c r="K279" s="2097">
        <f t="shared" ref="K279:U279" si="200">K277-K278</f>
        <v>9.1820614939219549</v>
      </c>
      <c r="L279" s="2098">
        <f t="shared" si="200"/>
        <v>11.893124333892649</v>
      </c>
      <c r="M279" s="2099">
        <f t="shared" si="200"/>
        <v>12.559435651354605</v>
      </c>
      <c r="N279" s="2097">
        <f t="shared" si="200"/>
        <v>13.851920180593215</v>
      </c>
      <c r="O279" s="2100">
        <f t="shared" si="200"/>
        <v>13.935559366478998</v>
      </c>
      <c r="P279" s="2101">
        <f t="shared" si="200"/>
        <v>14.45885126525833</v>
      </c>
      <c r="Q279" s="2102">
        <f t="shared" si="200"/>
        <v>14.207268621614421</v>
      </c>
      <c r="R279" s="2100">
        <f t="shared" si="200"/>
        <v>13.935559366478998</v>
      </c>
      <c r="S279" s="2101">
        <f t="shared" si="200"/>
        <v>14.45885126525833</v>
      </c>
      <c r="T279" s="2102">
        <f t="shared" si="200"/>
        <v>13.935559366478998</v>
      </c>
      <c r="U279" s="2100">
        <f t="shared" si="200"/>
        <v>14.45885126525833</v>
      </c>
      <c r="V279" s="2094">
        <f t="shared" si="167"/>
        <v>12.950628871773063</v>
      </c>
      <c r="W279" s="9"/>
      <c r="X279" s="1544"/>
      <c r="Y279" s="9"/>
      <c r="Z279" s="1846"/>
      <c r="AA279" s="1846"/>
      <c r="AB279" s="1846"/>
      <c r="AC279" s="5257"/>
      <c r="AD279" s="1846"/>
      <c r="AE279" s="1846"/>
      <c r="AF279" s="1846"/>
      <c r="AG279" s="1846"/>
      <c r="AH279" s="1846"/>
      <c r="AI279" s="2103"/>
      <c r="AJ279" s="2103"/>
      <c r="AK279" s="2103"/>
      <c r="AL279" s="2103"/>
      <c r="AM279" s="2103"/>
      <c r="AN279" s="2103"/>
      <c r="AO279" s="2103"/>
      <c r="AP279" s="2103"/>
      <c r="AQ279" s="2103"/>
      <c r="AR279" s="2103"/>
      <c r="AS279" s="2103"/>
      <c r="AT279" s="2103"/>
      <c r="AU279" s="2103"/>
    </row>
    <row r="280" spans="1:47" s="1539" customFormat="1" ht="18.75" customHeight="1">
      <c r="A280" s="5241">
        <v>4</v>
      </c>
      <c r="B280" s="5187" t="s">
        <v>1336</v>
      </c>
      <c r="C280" s="3994"/>
      <c r="D280" s="2067"/>
      <c r="E280" s="2068"/>
      <c r="F280" s="5290" t="s">
        <v>1337</v>
      </c>
      <c r="G280" s="5291"/>
      <c r="H280" s="5291"/>
      <c r="I280" s="2001">
        <v>145</v>
      </c>
      <c r="J280" s="2069">
        <v>5</v>
      </c>
      <c r="K280" s="2070">
        <f t="shared" ref="K280:U280" si="201">J280</f>
        <v>5</v>
      </c>
      <c r="L280" s="2071">
        <f t="shared" si="201"/>
        <v>5</v>
      </c>
      <c r="M280" s="2072">
        <f t="shared" si="201"/>
        <v>5</v>
      </c>
      <c r="N280" s="2070">
        <f t="shared" si="201"/>
        <v>5</v>
      </c>
      <c r="O280" s="2073">
        <f t="shared" si="201"/>
        <v>5</v>
      </c>
      <c r="P280" s="2074">
        <f t="shared" si="201"/>
        <v>5</v>
      </c>
      <c r="Q280" s="2075">
        <f t="shared" si="201"/>
        <v>5</v>
      </c>
      <c r="R280" s="2073">
        <f t="shared" si="201"/>
        <v>5</v>
      </c>
      <c r="S280" s="2074">
        <f t="shared" si="201"/>
        <v>5</v>
      </c>
      <c r="T280" s="2075">
        <f t="shared" si="201"/>
        <v>5</v>
      </c>
      <c r="U280" s="2073">
        <f t="shared" si="201"/>
        <v>5</v>
      </c>
      <c r="V280" s="2009">
        <f t="shared" ref="V280:V282" si="202">AVERAGE(J280:U280)</f>
        <v>5</v>
      </c>
      <c r="W280" s="9"/>
      <c r="X280" s="1544"/>
      <c r="Y280" s="9"/>
      <c r="Z280" s="1843"/>
      <c r="AA280" s="1843"/>
      <c r="AB280" s="1843"/>
      <c r="AC280" s="2001">
        <v>145</v>
      </c>
      <c r="AD280" s="1843"/>
      <c r="AE280" s="1843"/>
      <c r="AF280" s="1843"/>
      <c r="AG280" s="1843"/>
      <c r="AH280" s="1843"/>
    </row>
    <row r="281" spans="1:47" s="1539" customFormat="1" ht="18.75" customHeight="1">
      <c r="A281" s="5242"/>
      <c r="B281" s="5186"/>
      <c r="C281" s="2046"/>
      <c r="D281" s="2076"/>
      <c r="E281" s="2077"/>
      <c r="F281" s="5258" t="s">
        <v>196</v>
      </c>
      <c r="G281" s="5259"/>
      <c r="H281" s="5259"/>
      <c r="I281" s="2013"/>
      <c r="J281" s="2078">
        <f t="shared" ref="J281:U281" si="203">J406</f>
        <v>2.4451310462390796</v>
      </c>
      <c r="K281" s="2079">
        <f t="shared" si="203"/>
        <v>4.1940789473684212</v>
      </c>
      <c r="L281" s="2080">
        <f t="shared" si="203"/>
        <v>3.7854251012145754</v>
      </c>
      <c r="M281" s="2081">
        <f t="shared" si="203"/>
        <v>3.8567867036011085</v>
      </c>
      <c r="N281" s="2079">
        <f t="shared" si="203"/>
        <v>3.9745152354570643</v>
      </c>
      <c r="O281" s="2082">
        <f t="shared" si="203"/>
        <v>4.2099722991689754</v>
      </c>
      <c r="P281" s="2083">
        <f t="shared" si="203"/>
        <v>3.4882527957320209</v>
      </c>
      <c r="Q281" s="2084">
        <f t="shared" si="203"/>
        <v>3.1696143191988071</v>
      </c>
      <c r="R281" s="2082">
        <f t="shared" si="203"/>
        <v>3.060941828254848</v>
      </c>
      <c r="S281" s="2083">
        <f t="shared" si="203"/>
        <v>2.5071816969323901</v>
      </c>
      <c r="T281" s="2084">
        <f t="shared" si="203"/>
        <v>1.695290858725762</v>
      </c>
      <c r="U281" s="2082">
        <f t="shared" si="203"/>
        <v>1.2165281625115421</v>
      </c>
      <c r="V281" s="2021">
        <f t="shared" si="202"/>
        <v>3.133643249533717</v>
      </c>
      <c r="W281" s="9"/>
      <c r="X281" s="1544"/>
      <c r="Y281" s="9"/>
      <c r="Z281" s="1652"/>
      <c r="AA281" s="1652"/>
      <c r="AB281" s="1652"/>
      <c r="AC281" s="2013"/>
      <c r="AD281" s="1652"/>
      <c r="AE281" s="1652"/>
      <c r="AF281" s="1652"/>
      <c r="AG281" s="1652"/>
      <c r="AH281" s="1843"/>
    </row>
    <row r="282" spans="1:47" s="1539" customFormat="1" ht="18.75" customHeight="1" thickBot="1">
      <c r="A282" s="5243"/>
      <c r="B282" s="5185"/>
      <c r="C282" s="1645"/>
      <c r="D282" s="2085"/>
      <c r="E282" s="1646"/>
      <c r="F282" s="5261" t="s">
        <v>188</v>
      </c>
      <c r="G282" s="5262"/>
      <c r="H282" s="5262"/>
      <c r="I282" s="2086"/>
      <c r="J282" s="2087">
        <f t="shared" ref="J282:U282" si="204">J280-J281</f>
        <v>2.5548689537609204</v>
      </c>
      <c r="K282" s="2088">
        <f t="shared" si="204"/>
        <v>0.80592105263157876</v>
      </c>
      <c r="L282" s="2089">
        <f t="shared" si="204"/>
        <v>1.2145748987854246</v>
      </c>
      <c r="M282" s="2090">
        <f t="shared" si="204"/>
        <v>1.1432132963988915</v>
      </c>
      <c r="N282" s="2088">
        <f t="shared" si="204"/>
        <v>1.0254847645429357</v>
      </c>
      <c r="O282" s="2091">
        <f t="shared" si="204"/>
        <v>0.79002770083102458</v>
      </c>
      <c r="P282" s="2092">
        <f t="shared" si="204"/>
        <v>1.5117472042679791</v>
      </c>
      <c r="Q282" s="2093">
        <f t="shared" si="204"/>
        <v>1.8303856808011929</v>
      </c>
      <c r="R282" s="2091">
        <f t="shared" si="204"/>
        <v>1.939058171745152</v>
      </c>
      <c r="S282" s="2092">
        <f t="shared" si="204"/>
        <v>2.4928183030676099</v>
      </c>
      <c r="T282" s="2093">
        <f t="shared" si="204"/>
        <v>3.304709141274238</v>
      </c>
      <c r="U282" s="2091">
        <f t="shared" si="204"/>
        <v>3.7834718374884577</v>
      </c>
      <c r="V282" s="2094">
        <f t="shared" si="202"/>
        <v>1.8663567504662837</v>
      </c>
      <c r="W282" s="9"/>
      <c r="X282" s="2095"/>
      <c r="Y282" s="9"/>
      <c r="Z282" s="1843"/>
      <c r="AA282" s="1843"/>
      <c r="AB282" s="1843"/>
      <c r="AC282" s="2086"/>
      <c r="AD282" s="1843"/>
      <c r="AE282" s="1843"/>
      <c r="AF282" s="1843"/>
      <c r="AG282" s="1843"/>
      <c r="AH282" s="1843"/>
    </row>
    <row r="283" spans="1:47" ht="22.5" customHeight="1">
      <c r="A283" s="2104"/>
      <c r="P283" s="4522" t="s">
        <v>1437</v>
      </c>
      <c r="Q283" s="3945"/>
      <c r="R283" s="3945"/>
      <c r="S283" s="3945"/>
      <c r="T283" s="3945"/>
      <c r="W283" s="9"/>
      <c r="Y283" s="9"/>
      <c r="Z283" s="1650"/>
      <c r="AD283" s="1650"/>
      <c r="AE283" s="1650"/>
      <c r="AF283" s="1650"/>
      <c r="AG283" s="1650"/>
      <c r="AH283" s="1650"/>
    </row>
    <row r="284" spans="1:47" ht="22.5" customHeight="1">
      <c r="A284" s="2104"/>
      <c r="J284" s="4518"/>
      <c r="K284" s="4518"/>
      <c r="L284" s="4518"/>
      <c r="M284" s="4518"/>
      <c r="N284" s="4518"/>
      <c r="O284" s="4518"/>
      <c r="P284" s="4518"/>
      <c r="Q284" s="4518"/>
      <c r="R284" s="4518"/>
      <c r="S284" s="4518"/>
      <c r="T284" s="4518"/>
      <c r="U284" s="4518"/>
      <c r="W284" s="9"/>
      <c r="Y284" s="9"/>
      <c r="Z284" s="1650"/>
      <c r="AD284" s="1650"/>
      <c r="AE284" s="1650"/>
      <c r="AF284" s="1650"/>
      <c r="AG284" s="1650"/>
      <c r="AH284" s="1650"/>
    </row>
    <row r="285" spans="1:47" ht="22.5" customHeight="1">
      <c r="A285" s="2104"/>
      <c r="J285" s="4518"/>
      <c r="K285" s="4518"/>
      <c r="L285" s="4518"/>
      <c r="M285" s="4518"/>
      <c r="N285" s="4518"/>
      <c r="O285" s="4518"/>
      <c r="P285" s="4518"/>
      <c r="Q285" s="4518"/>
      <c r="R285" s="4518"/>
      <c r="S285" s="4518"/>
      <c r="T285" s="4518"/>
      <c r="U285" s="4518"/>
      <c r="W285" s="9"/>
      <c r="Y285" s="9"/>
      <c r="Z285" s="1650"/>
      <c r="AD285" s="1650"/>
      <c r="AE285" s="1650"/>
      <c r="AF285" s="1650"/>
      <c r="AG285" s="1650"/>
      <c r="AH285" s="1650"/>
    </row>
    <row r="286" spans="1:47" ht="22.5" customHeight="1">
      <c r="A286" s="2104"/>
      <c r="J286" s="4518"/>
      <c r="K286" s="4518"/>
      <c r="L286" s="4518"/>
      <c r="M286" s="4518"/>
      <c r="N286" s="4518"/>
      <c r="O286" s="4518"/>
      <c r="P286" s="4518"/>
      <c r="Q286" s="4518"/>
      <c r="R286" s="4518"/>
      <c r="S286" s="4518"/>
      <c r="T286" s="4518"/>
      <c r="U286" s="4518"/>
      <c r="W286" s="9"/>
      <c r="Y286" s="9"/>
      <c r="Z286" s="1650"/>
      <c r="AD286" s="1650"/>
      <c r="AE286" s="1650"/>
      <c r="AF286" s="1650"/>
      <c r="AG286" s="1650"/>
      <c r="AH286" s="1650"/>
    </row>
    <row r="287" spans="1:47" ht="22.5" customHeight="1">
      <c r="A287" s="2104"/>
      <c r="W287" s="9"/>
      <c r="Y287" s="9"/>
      <c r="Z287" s="1650"/>
      <c r="AD287" s="1650"/>
      <c r="AE287" s="1650"/>
      <c r="AF287" s="1650"/>
      <c r="AG287" s="1650"/>
      <c r="AH287" s="1650"/>
    </row>
    <row r="288" spans="1:47" ht="22.5" customHeight="1">
      <c r="A288" s="2104"/>
      <c r="J288" s="4518"/>
      <c r="K288" s="4518"/>
      <c r="L288" s="4518"/>
      <c r="M288" s="4518"/>
      <c r="N288" s="4518"/>
      <c r="O288" s="4518"/>
      <c r="P288" s="4518"/>
      <c r="Q288" s="4518"/>
      <c r="R288" s="4518"/>
      <c r="S288" s="4518"/>
      <c r="T288" s="4518"/>
      <c r="U288" s="4518"/>
      <c r="W288" s="9"/>
      <c r="Y288" s="9"/>
      <c r="Z288" s="1650"/>
      <c r="AD288" s="1650"/>
      <c r="AE288" s="1650"/>
      <c r="AF288" s="1650"/>
      <c r="AG288" s="1650"/>
      <c r="AH288" s="1650"/>
    </row>
    <row r="289" spans="1:34" ht="22.5" customHeight="1">
      <c r="A289" s="2104"/>
      <c r="W289" s="9"/>
      <c r="Y289" s="9"/>
      <c r="Z289" s="1650"/>
      <c r="AD289" s="1650"/>
      <c r="AE289" s="1650"/>
      <c r="AF289" s="1650"/>
      <c r="AG289" s="1650"/>
      <c r="AH289" s="1650"/>
    </row>
    <row r="290" spans="1:34" s="1623" customFormat="1" ht="22.5" customHeight="1" thickBot="1">
      <c r="A290" s="1547" t="s">
        <v>514</v>
      </c>
      <c r="F290" s="1624" t="s">
        <v>89</v>
      </c>
      <c r="G290" s="2105"/>
      <c r="H290" s="1812"/>
      <c r="I290" s="1813"/>
      <c r="J290" s="1625"/>
      <c r="K290" s="1625"/>
      <c r="L290" s="1625"/>
      <c r="M290" s="1625"/>
      <c r="N290" s="1625"/>
      <c r="O290" s="1625"/>
      <c r="P290" s="1625"/>
      <c r="Q290" s="1625"/>
      <c r="R290" s="1625"/>
      <c r="S290" s="1625"/>
      <c r="T290" s="1625"/>
      <c r="U290" s="1625"/>
      <c r="V290" s="1546" t="s">
        <v>105</v>
      </c>
      <c r="W290" s="1579"/>
      <c r="X290" s="1544"/>
      <c r="Y290" s="1579"/>
      <c r="Z290" s="1544"/>
      <c r="AA290" s="2105"/>
      <c r="AB290" s="1812"/>
      <c r="AC290" s="1813"/>
      <c r="AD290" s="1544"/>
      <c r="AE290" s="1544"/>
      <c r="AF290" s="1544"/>
      <c r="AG290" s="1544"/>
      <c r="AH290" s="1544"/>
    </row>
    <row r="291" spans="1:34" s="1623" customFormat="1" ht="30" customHeight="1" thickBot="1">
      <c r="A291" s="1548" t="s">
        <v>41</v>
      </c>
      <c r="B291" s="81" t="s">
        <v>107</v>
      </c>
      <c r="C291" s="81" t="s">
        <v>46</v>
      </c>
      <c r="D291" s="1996" t="s">
        <v>1006</v>
      </c>
      <c r="E291" s="81" t="s">
        <v>1029</v>
      </c>
      <c r="F291" s="81" t="s">
        <v>108</v>
      </c>
      <c r="G291" s="81" t="s">
        <v>183</v>
      </c>
      <c r="H291" s="2106" t="s">
        <v>190</v>
      </c>
      <c r="I291" s="1998" t="s">
        <v>242</v>
      </c>
      <c r="J291" s="1548" t="s">
        <v>1350</v>
      </c>
      <c r="K291" s="81" t="s">
        <v>1351</v>
      </c>
      <c r="L291" s="1549" t="s">
        <v>1352</v>
      </c>
      <c r="M291" s="1548" t="s">
        <v>1353</v>
      </c>
      <c r="N291" s="81" t="s">
        <v>1354</v>
      </c>
      <c r="O291" s="1549" t="s">
        <v>1355</v>
      </c>
      <c r="P291" s="1548" t="s">
        <v>1356</v>
      </c>
      <c r="Q291" s="81" t="s">
        <v>1357</v>
      </c>
      <c r="R291" s="1549" t="s">
        <v>1358</v>
      </c>
      <c r="S291" s="1548" t="s">
        <v>1359</v>
      </c>
      <c r="T291" s="81" t="s">
        <v>1360</v>
      </c>
      <c r="U291" s="1549" t="s">
        <v>1361</v>
      </c>
      <c r="V291" s="1550" t="s">
        <v>1381</v>
      </c>
      <c r="W291" s="1579"/>
      <c r="X291" s="1544"/>
      <c r="Y291" s="1579"/>
      <c r="Z291" s="1544"/>
      <c r="AA291" s="81" t="s">
        <v>183</v>
      </c>
      <c r="AB291" s="2106" t="s">
        <v>190</v>
      </c>
      <c r="AC291" s="1998" t="s">
        <v>242</v>
      </c>
      <c r="AD291" s="1544"/>
      <c r="AE291" s="1544"/>
      <c r="AF291" s="1544"/>
      <c r="AG291" s="1544"/>
      <c r="AH291" s="1544"/>
    </row>
    <row r="292" spans="1:34" ht="18" customHeight="1">
      <c r="A292" s="5190">
        <v>1</v>
      </c>
      <c r="B292" s="5186" t="s">
        <v>16</v>
      </c>
      <c r="C292" s="1673" t="s">
        <v>19</v>
      </c>
      <c r="D292" s="61" t="str">
        <f>D5</f>
        <v>Mobile</v>
      </c>
      <c r="E292" s="61">
        <f>VLOOKUP(F292,B.BasicInfomation!B:C,2,0)</f>
        <v>0</v>
      </c>
      <c r="F292" s="61" t="str">
        <f t="shared" ref="F292:F305" si="205">F177</f>
        <v>A34</v>
      </c>
      <c r="G292" s="1673"/>
      <c r="H292" s="1787">
        <v>1</v>
      </c>
      <c r="I292" s="2013"/>
      <c r="J292" s="3400"/>
      <c r="K292" s="3401"/>
      <c r="L292" s="3402"/>
      <c r="M292" s="3400"/>
      <c r="N292" s="3401"/>
      <c r="O292" s="3401"/>
      <c r="P292" s="3400"/>
      <c r="Q292" s="3401"/>
      <c r="R292" s="3402"/>
      <c r="S292" s="3400"/>
      <c r="T292" s="3401"/>
      <c r="U292" s="3402"/>
      <c r="V292" s="1566"/>
      <c r="W292" s="1579"/>
      <c r="Y292" s="1579"/>
      <c r="AA292" s="1688">
        <f t="shared" ref="AA292:AA327" si="206">G292</f>
        <v>0</v>
      </c>
      <c r="AB292" s="2107">
        <f t="shared" ref="AB292:AB327" si="207">H292</f>
        <v>1</v>
      </c>
      <c r="AC292" s="1880">
        <f t="shared" ref="AC292:AC327" si="208">I292</f>
        <v>0</v>
      </c>
      <c r="AD292" s="1544" t="b">
        <f t="shared" ref="AD292:AD327" si="209">AA292=G292</f>
        <v>1</v>
      </c>
      <c r="AE292" s="1544" t="b">
        <f t="shared" ref="AE292:AE327" si="210">AB292=H292</f>
        <v>1</v>
      </c>
      <c r="AF292" s="1544" t="b">
        <f t="shared" ref="AF292:AF327" si="211">AC292=I292</f>
        <v>1</v>
      </c>
    </row>
    <row r="293" spans="1:34" ht="18" customHeight="1">
      <c r="A293" s="5190"/>
      <c r="B293" s="5186"/>
      <c r="C293" s="2114"/>
      <c r="D293" s="61"/>
      <c r="E293" s="15">
        <f>VLOOKUP(F293,B.BasicInfomation!B:C,2,0)</f>
        <v>1</v>
      </c>
      <c r="F293" s="30" t="str">
        <f t="shared" si="205"/>
        <v>A15/17</v>
      </c>
      <c r="G293" s="1673"/>
      <c r="H293" s="1787">
        <v>1</v>
      </c>
      <c r="I293" s="2013"/>
      <c r="J293" s="3400"/>
      <c r="K293" s="3401"/>
      <c r="L293" s="3402"/>
      <c r="M293" s="3400"/>
      <c r="N293" s="3401"/>
      <c r="O293" s="3403"/>
      <c r="P293" s="3400"/>
      <c r="Q293" s="3401"/>
      <c r="R293" s="3402"/>
      <c r="S293" s="3400"/>
      <c r="T293" s="3401"/>
      <c r="U293" s="3402"/>
      <c r="V293" s="1566"/>
      <c r="W293" s="1579"/>
      <c r="Y293" s="1579"/>
      <c r="AA293" s="1673">
        <f t="shared" si="206"/>
        <v>0</v>
      </c>
      <c r="AB293" s="1787">
        <f t="shared" si="207"/>
        <v>1</v>
      </c>
      <c r="AC293" s="1745">
        <f t="shared" si="208"/>
        <v>0</v>
      </c>
      <c r="AD293" s="1544" t="b">
        <f t="shared" si="209"/>
        <v>1</v>
      </c>
      <c r="AE293" s="1544" t="b">
        <f t="shared" si="210"/>
        <v>1</v>
      </c>
      <c r="AF293" s="1544" t="b">
        <f t="shared" si="211"/>
        <v>1</v>
      </c>
    </row>
    <row r="294" spans="1:34" ht="18" customHeight="1">
      <c r="A294" s="5190"/>
      <c r="B294" s="5186"/>
      <c r="C294" s="2114"/>
      <c r="D294" s="61"/>
      <c r="E294" s="15">
        <f>VLOOKUP(F294,B.BasicInfomation!B:C,2,0)</f>
        <v>2</v>
      </c>
      <c r="F294" s="30" t="str">
        <f t="shared" si="205"/>
        <v>A36</v>
      </c>
      <c r="G294" s="1673"/>
      <c r="H294" s="1787">
        <v>1</v>
      </c>
      <c r="I294" s="2013"/>
      <c r="J294" s="3400"/>
      <c r="K294" s="3401"/>
      <c r="L294" s="3402"/>
      <c r="M294" s="3400"/>
      <c r="N294" s="3401"/>
      <c r="O294" s="3403"/>
      <c r="P294" s="3400"/>
      <c r="Q294" s="3401"/>
      <c r="R294" s="3402"/>
      <c r="S294" s="3400"/>
      <c r="T294" s="3401"/>
      <c r="U294" s="3402"/>
      <c r="V294" s="1566"/>
      <c r="W294" s="1579"/>
      <c r="Y294" s="1579"/>
      <c r="AA294" s="1673">
        <f t="shared" si="206"/>
        <v>0</v>
      </c>
      <c r="AB294" s="1787">
        <f t="shared" si="207"/>
        <v>1</v>
      </c>
      <c r="AC294" s="1745">
        <f t="shared" si="208"/>
        <v>0</v>
      </c>
      <c r="AD294" s="1544" t="b">
        <f t="shared" si="209"/>
        <v>1</v>
      </c>
      <c r="AE294" s="1544" t="b">
        <f t="shared" si="210"/>
        <v>1</v>
      </c>
      <c r="AF294" s="1544" t="b">
        <f t="shared" si="211"/>
        <v>1</v>
      </c>
    </row>
    <row r="295" spans="1:34" ht="18" customHeight="1">
      <c r="A295" s="5190"/>
      <c r="B295" s="5186"/>
      <c r="C295" s="2114"/>
      <c r="D295" s="61"/>
      <c r="E295" s="15">
        <f>VLOOKUP(F295,B.BasicInfomation!B:C,2,0)</f>
        <v>3</v>
      </c>
      <c r="F295" s="30" t="str">
        <f t="shared" si="205"/>
        <v>A26</v>
      </c>
      <c r="G295" s="1673"/>
      <c r="H295" s="1787">
        <v>1</v>
      </c>
      <c r="I295" s="2013"/>
      <c r="J295" s="3400"/>
      <c r="K295" s="3401"/>
      <c r="L295" s="3402"/>
      <c r="M295" s="3400"/>
      <c r="N295" s="3401"/>
      <c r="O295" s="3403"/>
      <c r="P295" s="3400"/>
      <c r="Q295" s="3401"/>
      <c r="R295" s="3402"/>
      <c r="S295" s="3400"/>
      <c r="T295" s="3401"/>
      <c r="U295" s="3402"/>
      <c r="V295" s="1566"/>
      <c r="W295" s="1579"/>
      <c r="Y295" s="1579"/>
      <c r="AA295" s="1673">
        <f t="shared" si="206"/>
        <v>0</v>
      </c>
      <c r="AB295" s="1787">
        <f t="shared" si="207"/>
        <v>1</v>
      </c>
      <c r="AC295" s="1745">
        <f t="shared" si="208"/>
        <v>0</v>
      </c>
      <c r="AD295" s="1544" t="b">
        <f t="shared" si="209"/>
        <v>1</v>
      </c>
      <c r="AE295" s="1544" t="b">
        <f t="shared" si="210"/>
        <v>1</v>
      </c>
      <c r="AF295" s="1544" t="b">
        <f t="shared" si="211"/>
        <v>1</v>
      </c>
    </row>
    <row r="296" spans="1:34" ht="18" customHeight="1">
      <c r="A296" s="5190"/>
      <c r="B296" s="5186"/>
      <c r="C296" s="2114"/>
      <c r="D296" s="61"/>
      <c r="E296" s="15">
        <f>VLOOKUP(F296,B.BasicInfomation!B:C,2,0)</f>
        <v>4</v>
      </c>
      <c r="F296" s="30" t="str">
        <f t="shared" si="205"/>
        <v>A27</v>
      </c>
      <c r="G296" s="1673"/>
      <c r="H296" s="1787">
        <v>1</v>
      </c>
      <c r="I296" s="2013"/>
      <c r="J296" s="3400"/>
      <c r="K296" s="3401"/>
      <c r="L296" s="3402"/>
      <c r="M296" s="3400"/>
      <c r="N296" s="3401"/>
      <c r="O296" s="3403"/>
      <c r="P296" s="3400"/>
      <c r="Q296" s="3401"/>
      <c r="R296" s="3402"/>
      <c r="S296" s="3400"/>
      <c r="T296" s="3401"/>
      <c r="U296" s="3402"/>
      <c r="V296" s="1566"/>
      <c r="W296" s="1579"/>
      <c r="Y296" s="1579"/>
      <c r="AA296" s="1673">
        <f t="shared" si="206"/>
        <v>0</v>
      </c>
      <c r="AB296" s="1787">
        <f t="shared" si="207"/>
        <v>1</v>
      </c>
      <c r="AC296" s="1745">
        <f t="shared" si="208"/>
        <v>0</v>
      </c>
      <c r="AD296" s="1544" t="b">
        <f t="shared" si="209"/>
        <v>1</v>
      </c>
      <c r="AE296" s="1544" t="b">
        <f t="shared" si="210"/>
        <v>1</v>
      </c>
      <c r="AF296" s="1544" t="b">
        <f t="shared" si="211"/>
        <v>1</v>
      </c>
    </row>
    <row r="297" spans="1:34" ht="18" customHeight="1">
      <c r="A297" s="5190"/>
      <c r="B297" s="5186"/>
      <c r="C297" s="2114"/>
      <c r="D297" s="61"/>
      <c r="E297" s="15">
        <f>VLOOKUP(F297,B.BasicInfomation!B:C,2,0)</f>
        <v>5</v>
      </c>
      <c r="F297" s="30" t="str">
        <f t="shared" si="205"/>
        <v>A37</v>
      </c>
      <c r="G297" s="1673"/>
      <c r="H297" s="1787">
        <v>1</v>
      </c>
      <c r="I297" s="2013"/>
      <c r="J297" s="3400"/>
      <c r="K297" s="3401"/>
      <c r="L297" s="3402"/>
      <c r="M297" s="3400"/>
      <c r="N297" s="3401"/>
      <c r="O297" s="3403"/>
      <c r="P297" s="3400"/>
      <c r="Q297" s="3401"/>
      <c r="R297" s="3402"/>
      <c r="S297" s="3400"/>
      <c r="T297" s="3401"/>
      <c r="U297" s="3402"/>
      <c r="V297" s="1566"/>
      <c r="W297" s="1579"/>
      <c r="Y297" s="1579"/>
      <c r="AA297" s="1673">
        <f t="shared" si="206"/>
        <v>0</v>
      </c>
      <c r="AB297" s="1787">
        <f t="shared" si="207"/>
        <v>1</v>
      </c>
      <c r="AC297" s="1745">
        <f t="shared" si="208"/>
        <v>0</v>
      </c>
      <c r="AD297" s="1544" t="b">
        <f t="shared" si="209"/>
        <v>1</v>
      </c>
      <c r="AE297" s="1544" t="b">
        <f t="shared" si="210"/>
        <v>1</v>
      </c>
      <c r="AF297" s="1544" t="b">
        <f t="shared" si="211"/>
        <v>1</v>
      </c>
    </row>
    <row r="298" spans="1:34" ht="18" customHeight="1">
      <c r="A298" s="5190"/>
      <c r="B298" s="5186"/>
      <c r="C298" s="2114"/>
      <c r="D298" s="61"/>
      <c r="E298" s="15">
        <f>VLOOKUP(F298,B.BasicInfomation!B:C,2,0)</f>
        <v>6</v>
      </c>
      <c r="F298" s="30" t="str">
        <f t="shared" si="205"/>
        <v>A18</v>
      </c>
      <c r="G298" s="1673"/>
      <c r="H298" s="1787">
        <v>1</v>
      </c>
      <c r="I298" s="2013"/>
      <c r="J298" s="3400"/>
      <c r="K298" s="3401"/>
      <c r="L298" s="3402"/>
      <c r="M298" s="3400"/>
      <c r="N298" s="3401"/>
      <c r="O298" s="3403"/>
      <c r="P298" s="3400"/>
      <c r="Q298" s="3401"/>
      <c r="R298" s="3402"/>
      <c r="S298" s="3400"/>
      <c r="T298" s="3401"/>
      <c r="U298" s="3402"/>
      <c r="V298" s="1566"/>
      <c r="W298" s="1579"/>
      <c r="Y298" s="1579"/>
      <c r="AA298" s="1673">
        <f t="shared" si="206"/>
        <v>0</v>
      </c>
      <c r="AB298" s="1787">
        <f t="shared" si="207"/>
        <v>1</v>
      </c>
      <c r="AC298" s="1745">
        <f t="shared" si="208"/>
        <v>0</v>
      </c>
      <c r="AD298" s="1544" t="b">
        <f t="shared" si="209"/>
        <v>1</v>
      </c>
      <c r="AE298" s="1544" t="b">
        <f t="shared" si="210"/>
        <v>1</v>
      </c>
      <c r="AF298" s="1544" t="b">
        <f t="shared" si="211"/>
        <v>1</v>
      </c>
    </row>
    <row r="299" spans="1:34" ht="18" customHeight="1">
      <c r="A299" s="5190"/>
      <c r="B299" s="5186"/>
      <c r="C299" s="2108"/>
      <c r="D299" s="60"/>
      <c r="E299" s="11">
        <f>VLOOKUP(F299,B.BasicInfomation!B:C,2,0)</f>
        <v>0</v>
      </c>
      <c r="F299" s="34" t="str">
        <f t="shared" si="205"/>
        <v>CNC</v>
      </c>
      <c r="G299" s="1733"/>
      <c r="H299" s="2109">
        <v>1</v>
      </c>
      <c r="I299" s="2110">
        <v>0</v>
      </c>
      <c r="J299" s="2111">
        <v>25</v>
      </c>
      <c r="K299" s="2112">
        <v>25</v>
      </c>
      <c r="L299" s="2113">
        <v>25</v>
      </c>
      <c r="M299" s="2111">
        <v>25</v>
      </c>
      <c r="N299" s="1558">
        <v>25</v>
      </c>
      <c r="O299" s="1559">
        <v>25</v>
      </c>
      <c r="P299" s="1557"/>
      <c r="Q299" s="1558"/>
      <c r="R299" s="1559"/>
      <c r="S299" s="1557"/>
      <c r="T299" s="1558"/>
      <c r="U299" s="1559"/>
      <c r="V299" s="1560">
        <f t="shared" ref="V299:V309" si="212">AVERAGE(J299:U299)</f>
        <v>25</v>
      </c>
      <c r="W299" s="1579"/>
      <c r="Y299" s="1579"/>
      <c r="AA299" s="1673">
        <f t="shared" si="206"/>
        <v>0</v>
      </c>
      <c r="AB299" s="1787">
        <f t="shared" si="207"/>
        <v>1</v>
      </c>
      <c r="AC299" s="1745">
        <f t="shared" si="208"/>
        <v>0</v>
      </c>
      <c r="AD299" s="1544" t="b">
        <f t="shared" si="209"/>
        <v>1</v>
      </c>
      <c r="AE299" s="1544" t="b">
        <f t="shared" si="210"/>
        <v>1</v>
      </c>
      <c r="AF299" s="1544" t="b">
        <f t="shared" si="211"/>
        <v>1</v>
      </c>
    </row>
    <row r="300" spans="1:34" ht="18" customHeight="1">
      <c r="A300" s="5190"/>
      <c r="B300" s="5246"/>
      <c r="C300" s="2114" t="s">
        <v>151</v>
      </c>
      <c r="D300" s="1756" t="str">
        <f>D292</f>
        <v>Mobile</v>
      </c>
      <c r="E300" s="15">
        <f>VLOOKUP(F300,B.BasicInfomation!B:C,2,0)</f>
        <v>7</v>
      </c>
      <c r="F300" s="30" t="str">
        <f t="shared" si="205"/>
        <v>MTP+IDP+ADP</v>
      </c>
      <c r="G300" s="1673">
        <v>332</v>
      </c>
      <c r="H300" s="1787">
        <v>1</v>
      </c>
      <c r="I300" s="2013"/>
      <c r="J300" s="2115">
        <f>J98/$G300/$H300/'4. L PLAN'!F$110</f>
        <v>3.9794649813673284</v>
      </c>
      <c r="K300" s="1563">
        <f>K98/$G300/$H300/'4. L PLAN'!G$110</f>
        <v>6.3939460340855403</v>
      </c>
      <c r="L300" s="1564">
        <f>L98/$G300/$H300/'4. L PLAN'!H$110</f>
        <v>4.1786265629005008</v>
      </c>
      <c r="M300" s="1899">
        <f>M98/$G300/$H300/'4. L PLAN'!I$110</f>
        <v>6.7554101796333885</v>
      </c>
      <c r="N300" s="1900">
        <f>N98/$G300/$H300/'4. L PLAN'!J$110</f>
        <v>5.1067101162218478</v>
      </c>
      <c r="O300" s="1898">
        <f>O98/$G300/$H300/'4. L PLAN'!K$110</f>
        <v>4.7008762544590068</v>
      </c>
      <c r="P300" s="1899">
        <f>P98/$G300/$H300/'4. L PLAN'!L$110</f>
        <v>4.352663198573155</v>
      </c>
      <c r="Q300" s="1900">
        <f>Q98/$G300/$H300/'4. L PLAN'!M$110</f>
        <v>3.3006206119712784</v>
      </c>
      <c r="R300" s="1898">
        <f>R98/$G300/$H300/'4. L PLAN'!N$110</f>
        <v>3.4326454364501298</v>
      </c>
      <c r="S300" s="1899">
        <f>S98/$G300/$H300/'4. L PLAN'!O$110</f>
        <v>4.352663198573155</v>
      </c>
      <c r="T300" s="1900">
        <f>T98/$G300/$H300/'4. L PLAN'!P$110</f>
        <v>2.8450481462529655</v>
      </c>
      <c r="U300" s="1898">
        <f>U98/$G300/$H300/'4. L PLAN'!Q$110</f>
        <v>2.6343038391231164</v>
      </c>
      <c r="V300" s="1901">
        <f t="shared" si="212"/>
        <v>4.3360815466342837</v>
      </c>
      <c r="Z300" s="1623"/>
      <c r="AA300" s="1673">
        <f t="shared" si="206"/>
        <v>332</v>
      </c>
      <c r="AB300" s="1787">
        <f t="shared" si="207"/>
        <v>1</v>
      </c>
      <c r="AC300" s="1745">
        <f t="shared" si="208"/>
        <v>0</v>
      </c>
      <c r="AD300" s="1544" t="b">
        <f t="shared" si="209"/>
        <v>1</v>
      </c>
      <c r="AE300" s="1544" t="b">
        <f t="shared" si="210"/>
        <v>1</v>
      </c>
      <c r="AF300" s="1544" t="b">
        <f t="shared" si="211"/>
        <v>1</v>
      </c>
    </row>
    <row r="301" spans="1:34" ht="18" customHeight="1">
      <c r="A301" s="5190"/>
      <c r="B301" s="5246"/>
      <c r="C301" s="2114"/>
      <c r="D301" s="1673"/>
      <c r="E301" s="15">
        <f>VLOOKUP(F301,B.BasicInfomation!B:C,2,0)</f>
        <v>8</v>
      </c>
      <c r="F301" s="61" t="str">
        <f t="shared" si="205"/>
        <v>Ride5</v>
      </c>
      <c r="G301" s="1673">
        <v>518</v>
      </c>
      <c r="H301" s="1787">
        <v>1</v>
      </c>
      <c r="I301" s="2013"/>
      <c r="J301" s="2115">
        <f>J99/$G301/$H301/'4. L PLAN'!F$110</f>
        <v>1.5631594578963001E-2</v>
      </c>
      <c r="K301" s="2116">
        <f>K99/$G301/$H301/'4. L PLAN'!G$110</f>
        <v>2.5401341190814875E-2</v>
      </c>
      <c r="L301" s="2117">
        <f>L99/$G301/$H301/'4. L PLAN'!H$110</f>
        <v>1.5631594578963001E-2</v>
      </c>
      <c r="M301" s="2115">
        <f>M99/$G301/$H301/'4. L PLAN'!I$110</f>
        <v>1.6256858362121519E-2</v>
      </c>
      <c r="N301" s="2116">
        <f>N99/$G301/$H301/'4. L PLAN'!J$110</f>
        <v>1.6256858362121519E-2</v>
      </c>
      <c r="O301" s="2117">
        <f>O99/$G301/$H301/'4. L PLAN'!K$110</f>
        <v>1.6256858362121519E-2</v>
      </c>
      <c r="P301" s="2115">
        <f>P99/$G301/$H301/'4. L PLAN'!L$110</f>
        <v>1.8815808289492499E-2</v>
      </c>
      <c r="Q301" s="2116">
        <f>Q99/$G301/$H301/'4. L PLAN'!M$110</f>
        <v>1.9539493223703748E-2</v>
      </c>
      <c r="R301" s="2117">
        <f>R99/$G301/$H301/'4. L PLAN'!N$110</f>
        <v>2.0321072952651901E-2</v>
      </c>
      <c r="S301" s="2115">
        <f>S99/$G301/$H301/'4. L PLAN'!O$110</f>
        <v>1.8815808289492499E-2</v>
      </c>
      <c r="T301" s="2116">
        <f>T99/$G301/$H301/'4. L PLAN'!P$110</f>
        <v>2.0321072952651901E-2</v>
      </c>
      <c r="U301" s="2117">
        <f>U99/$G301/$H301/'4. L PLAN'!Q$110</f>
        <v>1.8815808289492499E-2</v>
      </c>
      <c r="V301" s="1901">
        <f t="shared" si="212"/>
        <v>1.8505347452715874E-2</v>
      </c>
      <c r="Z301" s="1623"/>
      <c r="AA301" s="1673">
        <f t="shared" si="206"/>
        <v>518</v>
      </c>
      <c r="AB301" s="1787">
        <f t="shared" si="207"/>
        <v>1</v>
      </c>
      <c r="AC301" s="1745">
        <f t="shared" si="208"/>
        <v>0</v>
      </c>
      <c r="AD301" s="1544" t="b">
        <f t="shared" si="209"/>
        <v>1</v>
      </c>
      <c r="AE301" s="1544" t="b">
        <f t="shared" si="210"/>
        <v>1</v>
      </c>
      <c r="AF301" s="1544" t="b">
        <f t="shared" si="211"/>
        <v>1</v>
      </c>
    </row>
    <row r="302" spans="1:34" ht="18" customHeight="1">
      <c r="A302" s="5190"/>
      <c r="B302" s="5246"/>
      <c r="C302" s="2114"/>
      <c r="D302" s="1673"/>
      <c r="E302" s="15">
        <f>VLOOKUP(F302,B.BasicInfomation!B:C,2,0)</f>
        <v>0</v>
      </c>
      <c r="F302" s="61" t="str">
        <f t="shared" si="205"/>
        <v>Glymur</v>
      </c>
      <c r="G302" s="1673">
        <v>271</v>
      </c>
      <c r="H302" s="1787">
        <v>1</v>
      </c>
      <c r="I302" s="2013"/>
      <c r="J302" s="2115">
        <f>J100/$G302/$H302/'4. L PLAN'!F$110</f>
        <v>0</v>
      </c>
      <c r="K302" s="2116">
        <f>K100/$G302/$H302/'4. L PLAN'!G$110</f>
        <v>0</v>
      </c>
      <c r="L302" s="2117">
        <f>L100/$G302/$H302/'4. L PLAN'!H$110</f>
        <v>0</v>
      </c>
      <c r="M302" s="2115">
        <f>M100/$G302/$H302/'4. L PLAN'!I$110</f>
        <v>0</v>
      </c>
      <c r="N302" s="2116">
        <f>N100/$G302/$H302/'4. L PLAN'!J$110</f>
        <v>0</v>
      </c>
      <c r="O302" s="2117">
        <f>O100/$G302/$H302/'4. L PLAN'!K$110</f>
        <v>0</v>
      </c>
      <c r="P302" s="2115">
        <f>P100/$G302/$H302/'4. L PLAN'!L$110</f>
        <v>0</v>
      </c>
      <c r="Q302" s="2116">
        <f>Q100/$G302/$H302/'4. L PLAN'!M$110</f>
        <v>0</v>
      </c>
      <c r="R302" s="2117">
        <f>R100/$G302/$H302/'4. L PLAN'!N$110</f>
        <v>0</v>
      </c>
      <c r="S302" s="2115">
        <f>S100/$G302/$H302/'4. L PLAN'!O$110</f>
        <v>0</v>
      </c>
      <c r="T302" s="2116">
        <f>T100/$G302/$H302/'4. L PLAN'!P$110</f>
        <v>0</v>
      </c>
      <c r="U302" s="2117">
        <f>U100/$G302/$H302/'4. L PLAN'!Q$110</f>
        <v>0</v>
      </c>
      <c r="V302" s="1901">
        <f t="shared" si="212"/>
        <v>0</v>
      </c>
      <c r="Z302" s="1623"/>
      <c r="AA302" s="1673">
        <f t="shared" si="206"/>
        <v>271</v>
      </c>
      <c r="AB302" s="1787">
        <f t="shared" si="207"/>
        <v>1</v>
      </c>
      <c r="AC302" s="1745">
        <f t="shared" si="208"/>
        <v>0</v>
      </c>
      <c r="AD302" s="1544" t="b">
        <f t="shared" si="209"/>
        <v>1</v>
      </c>
      <c r="AE302" s="1544" t="b">
        <f t="shared" si="210"/>
        <v>1</v>
      </c>
      <c r="AF302" s="1544" t="b">
        <f t="shared" si="211"/>
        <v>1</v>
      </c>
    </row>
    <row r="303" spans="1:34" ht="18" customHeight="1">
      <c r="A303" s="5190"/>
      <c r="B303" s="5246"/>
      <c r="C303" s="2114"/>
      <c r="D303" s="1673"/>
      <c r="E303" s="15">
        <f>VLOOKUP(F303,B.BasicInfomation!B:C,2,0)</f>
        <v>9</v>
      </c>
      <c r="F303" s="61" t="str">
        <f t="shared" si="205"/>
        <v>MTP Hawi</v>
      </c>
      <c r="G303" s="1673">
        <v>183</v>
      </c>
      <c r="H303" s="1787">
        <v>1</v>
      </c>
      <c r="I303" s="2013"/>
      <c r="J303" s="2115">
        <f>J101/$G303/$H303/'4. L PLAN'!F$110</f>
        <v>0.22123404349461298</v>
      </c>
      <c r="K303" s="2116">
        <f>K101/$G303/$H303/'4. L PLAN'!G$110</f>
        <v>0.53925798101811906</v>
      </c>
      <c r="L303" s="2117">
        <f>L101/$G303/$H303/'4. L PLAN'!H$110</f>
        <v>0.22123404349461298</v>
      </c>
      <c r="M303" s="2115">
        <f>M101/$G303/$H303/'4. L PLAN'!I$110</f>
        <v>0.23008340523439749</v>
      </c>
      <c r="N303" s="2116">
        <f>N101/$G303/$H303/'4. L PLAN'!J$110</f>
        <v>0.23008340523439749</v>
      </c>
      <c r="O303" s="2117">
        <f>O101/$G303/$H303/'4. L PLAN'!K$110</f>
        <v>0.23008340523439749</v>
      </c>
      <c r="P303" s="2115">
        <f>P101/$G303/$H303/'4. L PLAN'!L$110</f>
        <v>0.21304019003184951</v>
      </c>
      <c r="Q303" s="2116">
        <f>Q101/$G303/$H303/'4. L PLAN'!M$110</f>
        <v>0.22123404349461298</v>
      </c>
      <c r="R303" s="3366">
        <f>R101/$G303/$H303/'4. L PLAN'!N$110</f>
        <v>0.23008340523439749</v>
      </c>
      <c r="S303" s="3364">
        <f>S101/$G303/$H303/'4. L PLAN'!O$110</f>
        <v>0.21304019003184951</v>
      </c>
      <c r="T303" s="3365">
        <f>T101/$G303/$H303/'4. L PLAN'!P$110</f>
        <v>0.23008340523439749</v>
      </c>
      <c r="U303" s="3366">
        <f>U101/$G303/$H303/'4. L PLAN'!Q$110</f>
        <v>0.21304019003184951</v>
      </c>
      <c r="V303" s="1901">
        <f t="shared" si="212"/>
        <v>0.2493748089807912</v>
      </c>
      <c r="Z303" s="1623"/>
      <c r="AA303" s="1673">
        <f t="shared" si="206"/>
        <v>183</v>
      </c>
      <c r="AB303" s="1787">
        <f t="shared" si="207"/>
        <v>1</v>
      </c>
      <c r="AC303" s="1745">
        <f t="shared" si="208"/>
        <v>0</v>
      </c>
      <c r="AD303" s="1544" t="b">
        <f t="shared" si="209"/>
        <v>1</v>
      </c>
      <c r="AE303" s="1544" t="b">
        <f t="shared" si="210"/>
        <v>1</v>
      </c>
      <c r="AF303" s="1544" t="b">
        <f t="shared" si="211"/>
        <v>1</v>
      </c>
    </row>
    <row r="304" spans="1:34" ht="18" customHeight="1">
      <c r="A304" s="5190"/>
      <c r="B304" s="5246"/>
      <c r="C304" s="2114"/>
      <c r="D304" s="1673"/>
      <c r="E304" s="15">
        <f>VLOOKUP(F304,B.BasicInfomation!B:C,2,0)</f>
        <v>10</v>
      </c>
      <c r="F304" s="61" t="str">
        <f t="shared" si="205"/>
        <v>QMP Amboseli</v>
      </c>
      <c r="G304" s="1673">
        <v>213</v>
      </c>
      <c r="H304" s="1787">
        <v>1</v>
      </c>
      <c r="I304" s="2013"/>
      <c r="J304" s="2115">
        <f>J102/$G304/$H304/'4. L PLAN'!F$110</f>
        <v>9.5037159529375997E-2</v>
      </c>
      <c r="K304" s="2116">
        <f>K102/$G304/$H304/'4. L PLAN'!G$110</f>
        <v>0</v>
      </c>
      <c r="L304" s="2117">
        <f>L102/$G304/$H304/'4. L PLAN'!H$110</f>
        <v>9.5037159529375997E-2</v>
      </c>
      <c r="M304" s="2115">
        <f>M102/$G304/$H304/'4. L PLAN'!I$110</f>
        <v>0</v>
      </c>
      <c r="N304" s="2116">
        <f>N102/$G304/$H304/'4. L PLAN'!J$110</f>
        <v>9.883864591055104E-2</v>
      </c>
      <c r="O304" s="2117">
        <f>O102/$G304/$H304/'4. L PLAN'!K$110</f>
        <v>0</v>
      </c>
      <c r="P304" s="2115">
        <f>P102/$G304/$H304/'4. L PLAN'!L$110</f>
        <v>9.1517264731991704E-2</v>
      </c>
      <c r="Q304" s="2116">
        <f>Q102/$G304/$H304/'4. L PLAN'!M$110</f>
        <v>0</v>
      </c>
      <c r="R304" s="2117">
        <f>R102/$G304/$H304/'4. L PLAN'!N$110</f>
        <v>9.883864591055104E-2</v>
      </c>
      <c r="S304" s="2115">
        <f>S102/$G304/$H304/'4. L PLAN'!O$110</f>
        <v>0</v>
      </c>
      <c r="T304" s="2116">
        <f>T102/$G304/$H304/'4. L PLAN'!P$110</f>
        <v>9.883864591055104E-2</v>
      </c>
      <c r="U304" s="2117">
        <f>U102/$G304/$H304/'4. L PLAN'!Q$110</f>
        <v>0</v>
      </c>
      <c r="V304" s="1901">
        <f t="shared" si="212"/>
        <v>4.8175626793533065E-2</v>
      </c>
      <c r="Z304" s="1623"/>
      <c r="AA304" s="1673">
        <f t="shared" si="206"/>
        <v>213</v>
      </c>
      <c r="AB304" s="1787">
        <f t="shared" si="207"/>
        <v>1</v>
      </c>
      <c r="AC304" s="1745">
        <f t="shared" si="208"/>
        <v>0</v>
      </c>
      <c r="AD304" s="1544" t="b">
        <f t="shared" si="209"/>
        <v>1</v>
      </c>
      <c r="AE304" s="1544" t="b">
        <f t="shared" si="210"/>
        <v>1</v>
      </c>
      <c r="AF304" s="1544" t="b">
        <f t="shared" si="211"/>
        <v>1</v>
      </c>
    </row>
    <row r="305" spans="1:32" ht="18" customHeight="1">
      <c r="A305" s="5190"/>
      <c r="B305" s="5246"/>
      <c r="C305" s="2108"/>
      <c r="D305" s="1733"/>
      <c r="E305" s="11">
        <f>VLOOKUP(F305,B.BasicInfomation!B:C,2,0)</f>
        <v>0</v>
      </c>
      <c r="F305" s="34" t="str">
        <f t="shared" si="205"/>
        <v>LDS Antenna</v>
      </c>
      <c r="G305" s="1673">
        <v>0</v>
      </c>
      <c r="H305" s="1787">
        <v>1</v>
      </c>
      <c r="I305" s="2013"/>
      <c r="J305" s="1667">
        <f>IFERROR(J103/$G$305/$H$305/'4. L PLAN'!F110,0)</f>
        <v>0</v>
      </c>
      <c r="K305" s="1667">
        <f>IFERROR(K103/$G$305/$H$305/'4. L PLAN'!G110,0)</f>
        <v>0</v>
      </c>
      <c r="L305" s="1668">
        <f>IFERROR(L103/$G$305/$H$305/'4. L PLAN'!H110,0)</f>
        <v>0</v>
      </c>
      <c r="M305" s="2118">
        <f>IFERROR(M103/$G$305/$H$305/'4. L PLAN'!I110,0)</f>
        <v>0</v>
      </c>
      <c r="N305" s="2119">
        <f>IFERROR(N103/$G$305/$H$305/'4. L PLAN'!J110,0)</f>
        <v>0</v>
      </c>
      <c r="O305" s="2120">
        <f>IFERROR(O103/$G$305/$H$305/'4. L PLAN'!K110,0)</f>
        <v>0</v>
      </c>
      <c r="P305" s="2118">
        <f>IFERROR(P103/$G$305/$H$305/'4. L PLAN'!L110,0)</f>
        <v>0</v>
      </c>
      <c r="Q305" s="2119">
        <f>IFERROR(Q103/$G$305/$H$305/'4. L PLAN'!M110,0)</f>
        <v>0</v>
      </c>
      <c r="R305" s="2120">
        <f>IFERROR(R103/$G$305/$H$305/'4. L PLAN'!N110,0)</f>
        <v>0</v>
      </c>
      <c r="S305" s="2118">
        <f>IFERROR(S103/$G$305/$H$305/'4. L PLAN'!O110,0)</f>
        <v>0</v>
      </c>
      <c r="T305" s="2119">
        <f>IFERROR(T103/$G$305/$H$305/'4. L PLAN'!P110,0)</f>
        <v>0</v>
      </c>
      <c r="U305" s="2120">
        <f>IFERROR(U103/$G$305/$H$305/'4. L PLAN'!Q110,0)</f>
        <v>0</v>
      </c>
      <c r="V305" s="1901">
        <f t="shared" si="212"/>
        <v>0</v>
      </c>
      <c r="Z305" s="1623"/>
      <c r="AA305" s="1673">
        <f t="shared" si="206"/>
        <v>0</v>
      </c>
      <c r="AB305" s="1787">
        <f t="shared" si="207"/>
        <v>1</v>
      </c>
      <c r="AC305" s="1745">
        <f t="shared" si="208"/>
        <v>0</v>
      </c>
      <c r="AD305" s="1544" t="b">
        <f t="shared" si="209"/>
        <v>1</v>
      </c>
      <c r="AE305" s="1544" t="b">
        <f t="shared" si="210"/>
        <v>1</v>
      </c>
      <c r="AF305" s="1544" t="b">
        <f t="shared" si="211"/>
        <v>1</v>
      </c>
    </row>
    <row r="306" spans="1:32" ht="18" customHeight="1">
      <c r="A306" s="5244"/>
      <c r="B306" s="5247"/>
      <c r="C306" s="1747" t="s">
        <v>44</v>
      </c>
      <c r="D306" s="2057"/>
      <c r="E306" s="2121"/>
      <c r="F306" s="1748"/>
      <c r="G306" s="4260"/>
      <c r="H306" s="1911">
        <v>1</v>
      </c>
      <c r="I306" s="2058"/>
      <c r="J306" s="1632">
        <f>SUM(J292:J305)</f>
        <v>29.311367778970279</v>
      </c>
      <c r="K306" s="1633">
        <f t="shared" ref="K306:U306" si="213">SUM(K292:K305)</f>
        <v>31.958605356294473</v>
      </c>
      <c r="L306" s="1634">
        <f t="shared" si="213"/>
        <v>29.510529360503451</v>
      </c>
      <c r="M306" s="1632">
        <f t="shared" si="213"/>
        <v>32.001750443229909</v>
      </c>
      <c r="N306" s="1633">
        <f t="shared" si="213"/>
        <v>30.451889025728917</v>
      </c>
      <c r="O306" s="1634">
        <f t="shared" si="213"/>
        <v>29.947216518055527</v>
      </c>
      <c r="P306" s="1632">
        <f t="shared" si="213"/>
        <v>4.676036461626488</v>
      </c>
      <c r="Q306" s="1633">
        <f t="shared" si="213"/>
        <v>3.5413941486895952</v>
      </c>
      <c r="R306" s="1634">
        <f t="shared" si="213"/>
        <v>3.7818885605477304</v>
      </c>
      <c r="S306" s="1632">
        <f t="shared" si="213"/>
        <v>4.5845191968944965</v>
      </c>
      <c r="T306" s="1633">
        <f t="shared" si="213"/>
        <v>3.1942912703505661</v>
      </c>
      <c r="U306" s="1634">
        <f t="shared" si="213"/>
        <v>2.8661598374444588</v>
      </c>
      <c r="V306" s="1576">
        <f>AVERAGE(J306:U306)</f>
        <v>17.152137329861326</v>
      </c>
      <c r="Z306" s="1623"/>
      <c r="AA306" s="1673">
        <f t="shared" si="206"/>
        <v>0</v>
      </c>
      <c r="AB306" s="1787">
        <f t="shared" si="207"/>
        <v>1</v>
      </c>
      <c r="AC306" s="1745">
        <f t="shared" si="208"/>
        <v>0</v>
      </c>
      <c r="AD306" s="1544" t="b">
        <f t="shared" si="209"/>
        <v>1</v>
      </c>
      <c r="AE306" s="1544" t="b">
        <f t="shared" si="210"/>
        <v>1</v>
      </c>
      <c r="AF306" s="1544" t="b">
        <f t="shared" si="211"/>
        <v>1</v>
      </c>
    </row>
    <row r="307" spans="1:32" ht="18" customHeight="1">
      <c r="A307" s="3991">
        <v>2</v>
      </c>
      <c r="B307" s="3992" t="s">
        <v>23</v>
      </c>
      <c r="C307" s="1756" t="s">
        <v>20</v>
      </c>
      <c r="D307" s="1756" t="str">
        <f>'2. S Plan'!D105</f>
        <v>Motor HSG</v>
      </c>
      <c r="E307" s="1756">
        <f>VLOOKUP(F307,B.BasicInfomation!B:C,2,0)</f>
        <v>11</v>
      </c>
      <c r="F307" s="2122" t="str">
        <f t="shared" ref="F307:F312" si="214">F192</f>
        <v>GEN3 AL5 Housing (YT)</v>
      </c>
      <c r="G307" s="4261">
        <v>1180</v>
      </c>
      <c r="H307" s="1787">
        <v>1</v>
      </c>
      <c r="I307" s="2967"/>
      <c r="J307" s="2123">
        <f>IFERROR(J105/$G307/$H307/'4. L PLAN'!F$110,0)</f>
        <v>1.5356997147276881</v>
      </c>
      <c r="K307" s="2124">
        <f>IFERROR(K105/$G307/$H307/'4. L PLAN'!G$110,0)</f>
        <v>1.761959595239138</v>
      </c>
      <c r="L307" s="2125">
        <f>IFERROR(L105/$G307/$H307/'4. L PLAN'!H$110,0)</f>
        <v>1.8887507323655277</v>
      </c>
      <c r="M307" s="2123">
        <f>IFERROR(M105/$G307/$H307/'4. L PLAN'!I$110,0)</f>
        <v>1.2630534732897045</v>
      </c>
      <c r="N307" s="2124">
        <f>IFERROR(N105/$G307/$H307/'4. L PLAN'!J$110,0)</f>
        <v>0</v>
      </c>
      <c r="O307" s="2125">
        <f>IFERROR(O105/$G307/$H307/'4. L PLAN'!K$110,0)</f>
        <v>0</v>
      </c>
      <c r="P307" s="2123">
        <f>IFERROR(P105/$G307/$H307/'4. L PLAN'!L$110,0)</f>
        <v>0</v>
      </c>
      <c r="Q307" s="2124">
        <f>IFERROR(Q105/$G307/$H307/'4. L PLAN'!M$110,0)</f>
        <v>0</v>
      </c>
      <c r="R307" s="2125">
        <f>IFERROR(R105/$G307/$H307/'4. L PLAN'!N$110,0)</f>
        <v>0</v>
      </c>
      <c r="S307" s="2123">
        <f>IFERROR(S105/$G307/$H307/'4. L PLAN'!O$110,0)</f>
        <v>0</v>
      </c>
      <c r="T307" s="2124">
        <f>IFERROR(T105/$G307/$H307/'4. L PLAN'!P$110,0)</f>
        <v>0</v>
      </c>
      <c r="U307" s="2125">
        <f>IFERROR(U105/$G307/$H307/'4. L PLAN'!Q$110,0)</f>
        <v>0</v>
      </c>
      <c r="V307" s="2126">
        <f t="shared" si="212"/>
        <v>0.53745529296850481</v>
      </c>
      <c r="Z307" s="1623"/>
      <c r="AA307" s="1673">
        <f t="shared" si="206"/>
        <v>1180</v>
      </c>
      <c r="AB307" s="1787">
        <f t="shared" si="207"/>
        <v>1</v>
      </c>
      <c r="AC307" s="1745">
        <f t="shared" si="208"/>
        <v>0</v>
      </c>
      <c r="AD307" s="1544" t="b">
        <f t="shared" si="209"/>
        <v>1</v>
      </c>
      <c r="AE307" s="1544" t="b">
        <f t="shared" si="210"/>
        <v>1</v>
      </c>
      <c r="AF307" s="1544" t="b">
        <f t="shared" si="211"/>
        <v>1</v>
      </c>
    </row>
    <row r="308" spans="1:32" ht="18" customHeight="1">
      <c r="A308" s="2154"/>
      <c r="B308" s="1785"/>
      <c r="C308" s="1673"/>
      <c r="D308" s="1673"/>
      <c r="E308" s="1673">
        <f>VLOOKUP(F308,B.BasicInfomation!B:C,2,0)</f>
        <v>12</v>
      </c>
      <c r="F308" s="2127" t="str">
        <f t="shared" si="214"/>
        <v>GEN3 AL6 Housing (YT)</v>
      </c>
      <c r="G308" s="1909">
        <v>1180</v>
      </c>
      <c r="H308" s="1787">
        <v>1</v>
      </c>
      <c r="I308" s="2013"/>
      <c r="J308" s="2115">
        <f>IFERROR(J106/$G308/$H308/'4. L PLAN'!F$110,0)</f>
        <v>0</v>
      </c>
      <c r="K308" s="2116">
        <f>IFERROR(K106/$G308/$H308/'4. L PLAN'!G$110,0)</f>
        <v>0</v>
      </c>
      <c r="L308" s="2117">
        <f>IFERROR(L106/$G308/$H308/'4. L PLAN'!H$110,0)</f>
        <v>0</v>
      </c>
      <c r="M308" s="2115">
        <f>IFERROR(M106/$G308/$H308/'4. L PLAN'!I$110,0)</f>
        <v>0</v>
      </c>
      <c r="N308" s="2116">
        <f>IFERROR(N106/$G308/$H308/'4. L PLAN'!J$110,0)</f>
        <v>0</v>
      </c>
      <c r="O308" s="2117">
        <f>IFERROR(O106/$G308/$H308/'4. L PLAN'!K$110,0)</f>
        <v>0</v>
      </c>
      <c r="P308" s="2115">
        <f>IFERROR(P106/$G308/$H308/'4. L PLAN'!L$110,0)</f>
        <v>0</v>
      </c>
      <c r="Q308" s="2116">
        <f>IFERROR(Q106/$G308/$H308/'4. L PLAN'!M$110,0)</f>
        <v>0</v>
      </c>
      <c r="R308" s="2117">
        <f>IFERROR(R106/$G308/$H308/'4. L PLAN'!N$110,0)</f>
        <v>0</v>
      </c>
      <c r="S308" s="2115">
        <f>IFERROR(S106/$G308/$H308/'4. L PLAN'!O$110,0)</f>
        <v>0</v>
      </c>
      <c r="T308" s="2116">
        <f>IFERROR(T106/$G308/$H308/'4. L PLAN'!P$110,0)</f>
        <v>0</v>
      </c>
      <c r="U308" s="2117">
        <f>IFERROR(U106/$G308/$H308/'4. L PLAN'!Q$110,0)</f>
        <v>0</v>
      </c>
      <c r="V308" s="1901">
        <f t="shared" si="212"/>
        <v>0</v>
      </c>
      <c r="X308" s="1542"/>
      <c r="Z308" s="1623"/>
      <c r="AA308" s="1673">
        <f t="shared" si="206"/>
        <v>1180</v>
      </c>
      <c r="AB308" s="1787">
        <f t="shared" si="207"/>
        <v>1</v>
      </c>
      <c r="AC308" s="1745">
        <f t="shared" si="208"/>
        <v>0</v>
      </c>
      <c r="AD308" s="1544" t="b">
        <f t="shared" si="209"/>
        <v>1</v>
      </c>
      <c r="AE308" s="1544" t="b">
        <f t="shared" si="210"/>
        <v>1</v>
      </c>
      <c r="AF308" s="1544" t="b">
        <f t="shared" si="211"/>
        <v>1</v>
      </c>
    </row>
    <row r="309" spans="1:32" ht="18" customHeight="1">
      <c r="A309" s="2154"/>
      <c r="B309" s="1785"/>
      <c r="C309" s="1673"/>
      <c r="D309" s="1673"/>
      <c r="E309" s="1673">
        <f>VLOOKUP(F309,B.BasicInfomation!B:C,2,0)</f>
        <v>0</v>
      </c>
      <c r="F309" s="2127" t="str">
        <f t="shared" si="214"/>
        <v>GEN3 AL5  Housing (MX)</v>
      </c>
      <c r="G309" s="1909">
        <v>1180</v>
      </c>
      <c r="H309" s="1787">
        <v>1</v>
      </c>
      <c r="I309" s="2013"/>
      <c r="J309" s="2115">
        <f>IFERROR(J107/$G309/$H309/'4. L PLAN'!F$110,0)</f>
        <v>0</v>
      </c>
      <c r="K309" s="2116">
        <f>IFERROR(K107/$G309/$H309/'4. L PLAN'!G$110,0)</f>
        <v>0</v>
      </c>
      <c r="L309" s="2117">
        <f>IFERROR(L107/$G309/$H309/'4. L PLAN'!H$110,0)</f>
        <v>0</v>
      </c>
      <c r="M309" s="2115">
        <f>IFERROR(M107/$G309/$H309/'4. L PLAN'!I$110,0)</f>
        <v>0</v>
      </c>
      <c r="N309" s="2116">
        <f>IFERROR(N107/$G309/$H309/'4. L PLAN'!J$110,0)</f>
        <v>0</v>
      </c>
      <c r="O309" s="2117">
        <f>IFERROR(O107/$G309/$H309/'4. L PLAN'!K$110,0)</f>
        <v>0</v>
      </c>
      <c r="P309" s="2115">
        <f>IFERROR(P107/$G309/$H309/'4. L PLAN'!L$110,0)</f>
        <v>0</v>
      </c>
      <c r="Q309" s="2116">
        <f>IFERROR(Q107/$G309/$H309/'4. L PLAN'!M$110,0)</f>
        <v>0</v>
      </c>
      <c r="R309" s="2117">
        <f>IFERROR(R107/$G309/$H309/'4. L PLAN'!N$110,0)</f>
        <v>0</v>
      </c>
      <c r="S309" s="2115">
        <f>IFERROR(S107/$G309/$H309/'4. L PLAN'!O$110,0)</f>
        <v>0</v>
      </c>
      <c r="T309" s="2116">
        <f>IFERROR(T107/$G309/$H309/'4. L PLAN'!P$110,0)</f>
        <v>0</v>
      </c>
      <c r="U309" s="2117">
        <f>IFERROR(U107/$G309/$H309/'4. L PLAN'!Q$110,0)</f>
        <v>0</v>
      </c>
      <c r="V309" s="1901">
        <f t="shared" si="212"/>
        <v>0</v>
      </c>
      <c r="Z309" s="1623"/>
      <c r="AA309" s="1673">
        <f t="shared" si="206"/>
        <v>1180</v>
      </c>
      <c r="AB309" s="1787">
        <f t="shared" si="207"/>
        <v>1</v>
      </c>
      <c r="AC309" s="1745">
        <f t="shared" si="208"/>
        <v>0</v>
      </c>
      <c r="AD309" s="1544" t="b">
        <f t="shared" si="209"/>
        <v>1</v>
      </c>
      <c r="AE309" s="1544" t="b">
        <f t="shared" si="210"/>
        <v>1</v>
      </c>
      <c r="AF309" s="1544" t="b">
        <f t="shared" si="211"/>
        <v>1</v>
      </c>
    </row>
    <row r="310" spans="1:32" ht="18" customHeight="1">
      <c r="A310" s="2154"/>
      <c r="B310" s="1785"/>
      <c r="C310" s="1673"/>
      <c r="D310" s="1673"/>
      <c r="E310" s="1673">
        <f>VLOOKUP(F310,B.BasicInfomation!B:C,2,0)</f>
        <v>0</v>
      </c>
      <c r="F310" s="2127" t="str">
        <f t="shared" si="214"/>
        <v>GEN3 AL6  Housing (MX)</v>
      </c>
      <c r="G310" s="1909">
        <v>1181</v>
      </c>
      <c r="H310" s="1787">
        <v>1</v>
      </c>
      <c r="I310" s="2013"/>
      <c r="J310" s="2115">
        <f>IFERROR(J108/$G310/$H310/'4. L PLAN'!F$110,0)</f>
        <v>0</v>
      </c>
      <c r="K310" s="2116">
        <f>IFERROR(K108/$G310/$H310/'4. L PLAN'!G$110,0)</f>
        <v>0</v>
      </c>
      <c r="L310" s="2117">
        <f>IFERROR(L108/$G310/$H310/'4. L PLAN'!H$110,0)</f>
        <v>0</v>
      </c>
      <c r="M310" s="2115">
        <f>IFERROR(M108/$G310/$H310/'4. L PLAN'!I$110,0)</f>
        <v>0</v>
      </c>
      <c r="N310" s="2116">
        <f>IFERROR(N108/$G310/$H310/'4. L PLAN'!J$110,0)</f>
        <v>0</v>
      </c>
      <c r="O310" s="2117">
        <f>IFERROR(O108/$G310/$H310/'4. L PLAN'!K$110,0)</f>
        <v>0</v>
      </c>
      <c r="P310" s="2115">
        <f>IFERROR(P108/$G310/$H310/'4. L PLAN'!L$110,0)</f>
        <v>0</v>
      </c>
      <c r="Q310" s="2116">
        <f>IFERROR(Q108/$G310/$H310/'4. L PLAN'!M$110,0)</f>
        <v>0</v>
      </c>
      <c r="R310" s="2117">
        <f>IFERROR(R108/$G310/$H310/'4. L PLAN'!N$110,0)</f>
        <v>0</v>
      </c>
      <c r="S310" s="2115">
        <f>IFERROR(S108/$G310/$H310/'4. L PLAN'!O$110,0)</f>
        <v>0</v>
      </c>
      <c r="T310" s="2116">
        <f>IFERROR(T108/$G310/$H310/'4. L PLAN'!P$110,0)</f>
        <v>0</v>
      </c>
      <c r="U310" s="2117">
        <f>IFERROR(U108/$G310/$H310/'4. L PLAN'!Q$110,0)</f>
        <v>0</v>
      </c>
      <c r="V310" s="1901">
        <f>AVERAGE(J310:U310)</f>
        <v>0</v>
      </c>
      <c r="Z310" s="1623"/>
      <c r="AA310" s="1673">
        <f t="shared" si="206"/>
        <v>1181</v>
      </c>
      <c r="AB310" s="1787">
        <f t="shared" si="207"/>
        <v>1</v>
      </c>
      <c r="AC310" s="1745">
        <f t="shared" si="208"/>
        <v>0</v>
      </c>
      <c r="AD310" s="1544" t="b">
        <f t="shared" si="209"/>
        <v>1</v>
      </c>
      <c r="AE310" s="1544" t="b">
        <f t="shared" si="210"/>
        <v>1</v>
      </c>
      <c r="AF310" s="1544" t="b">
        <f t="shared" si="211"/>
        <v>1</v>
      </c>
    </row>
    <row r="311" spans="1:32" ht="18" customHeight="1">
      <c r="A311" s="2154"/>
      <c r="B311" s="1785"/>
      <c r="C311" s="1673"/>
      <c r="D311" s="1673"/>
      <c r="E311" s="1673">
        <f>VLOOKUP(F311,B.BasicInfomation!B:C,2,0)</f>
        <v>0</v>
      </c>
      <c r="F311" s="2127" t="str">
        <f t="shared" si="214"/>
        <v>T6 Housing</v>
      </c>
      <c r="G311" s="1909">
        <v>180</v>
      </c>
      <c r="H311" s="1787">
        <v>1</v>
      </c>
      <c r="I311" s="2013"/>
      <c r="J311" s="2115">
        <f>IFERROR(J109/$G311/$H311/'4. L PLAN'!F$110,0)</f>
        <v>0</v>
      </c>
      <c r="K311" s="2116">
        <f>IFERROR(K109/$G311/$H311/'4. L PLAN'!G$110,0)</f>
        <v>0</v>
      </c>
      <c r="L311" s="2117">
        <f>IFERROR(L109/$G311/$H311/'4. L PLAN'!H$110,0)</f>
        <v>0</v>
      </c>
      <c r="M311" s="2115">
        <f>IFERROR(M109/$G311/$H311/'4. L PLAN'!I$110,0)</f>
        <v>0</v>
      </c>
      <c r="N311" s="2116">
        <f>IFERROR(N109/$G311/$H311/'4. L PLAN'!J$110,0)</f>
        <v>0</v>
      </c>
      <c r="O311" s="2117">
        <f>IFERROR(O109/$G311/$H311/'4. L PLAN'!K$110,0)</f>
        <v>0</v>
      </c>
      <c r="P311" s="2115">
        <f>IFERROR(P109/$G311/$H311/'4. L PLAN'!L$110,0)</f>
        <v>0</v>
      </c>
      <c r="Q311" s="2116">
        <f>IFERROR(Q109/$G311/$H311/'4. L PLAN'!M$110,0)</f>
        <v>0</v>
      </c>
      <c r="R311" s="2117">
        <f>IFERROR(R109/$G311/$H311/'4. L PLAN'!N$110,0)</f>
        <v>0</v>
      </c>
      <c r="S311" s="2115">
        <f>IFERROR(S109/$G311/$H311/'4. L PLAN'!O$110,0)</f>
        <v>0</v>
      </c>
      <c r="T311" s="2116">
        <f>IFERROR(T109/$G311/$H311/'4. L PLAN'!P$110,0)</f>
        <v>0</v>
      </c>
      <c r="U311" s="2117">
        <f>IFERROR(U109/$G311/$H311/'4. L PLAN'!Q$110,0)</f>
        <v>0</v>
      </c>
      <c r="V311" s="1901">
        <f t="shared" ref="V311:V314" si="215">AVERAGE(J311:U311)</f>
        <v>0</v>
      </c>
      <c r="Z311" s="1623"/>
      <c r="AA311" s="1673">
        <f t="shared" si="206"/>
        <v>180</v>
      </c>
      <c r="AB311" s="1787">
        <f t="shared" si="207"/>
        <v>1</v>
      </c>
      <c r="AC311" s="1745">
        <f t="shared" si="208"/>
        <v>0</v>
      </c>
      <c r="AD311" s="1544" t="b">
        <f t="shared" si="209"/>
        <v>1</v>
      </c>
      <c r="AE311" s="1544" t="b">
        <f t="shared" si="210"/>
        <v>1</v>
      </c>
      <c r="AF311" s="1544" t="b">
        <f t="shared" si="211"/>
        <v>1</v>
      </c>
    </row>
    <row r="312" spans="1:32" ht="18" customHeight="1">
      <c r="A312" s="2154"/>
      <c r="B312" s="1785"/>
      <c r="C312" s="1673"/>
      <c r="D312" s="1673"/>
      <c r="E312" s="1673">
        <f>VLOOKUP(F312,B.BasicInfomation!B:C,2,0)</f>
        <v>13</v>
      </c>
      <c r="F312" s="2127" t="str">
        <f t="shared" si="214"/>
        <v>CL4 Housing (YT)</v>
      </c>
      <c r="G312" s="1909">
        <v>460</v>
      </c>
      <c r="H312" s="1787">
        <v>1</v>
      </c>
      <c r="I312" s="2013"/>
      <c r="J312" s="2115">
        <f>IFERROR(J110/$G312/$H312/'4. L PLAN'!F$110,0)</f>
        <v>2.0163761170814425</v>
      </c>
      <c r="K312" s="2116">
        <f>IFERROR(K110/$G312/$H312/'4. L PLAN'!G$110,0)</f>
        <v>5.7340695829503519</v>
      </c>
      <c r="L312" s="2117">
        <f>IFERROR(L110/$G312/$H312/'4. L PLAN'!H$110,0)</f>
        <v>2.2404179078682698</v>
      </c>
      <c r="M312" s="2115">
        <f>IFERROR(M110/$G312/$H312/'4. L PLAN'!I$110,0)</f>
        <v>3.6698045330882252</v>
      </c>
      <c r="N312" s="2116">
        <f>IFERROR(N110/$G312/$H312/'4. L PLAN'!J$110,0)</f>
        <v>3.6698045330882252</v>
      </c>
      <c r="O312" s="2117">
        <f>IFERROR(O110/$G312/$H312/'4. L PLAN'!K$110,0)</f>
        <v>2.9125432802287508</v>
      </c>
      <c r="P312" s="2115">
        <f>IFERROR(P110/$G312/$H312/'4. L PLAN'!L$110,0)</f>
        <v>2.6967993335451399</v>
      </c>
      <c r="Q312" s="2116">
        <f>IFERROR(Q110/$G312/$H312/'4. L PLAN'!M$110,0)</f>
        <v>2.8005223848353373</v>
      </c>
      <c r="R312" s="2117">
        <f>IFERROR(R110/$G312/$H312/'4. L PLAN'!N$110,0)</f>
        <v>2.9125432802287508</v>
      </c>
      <c r="S312" s="2115">
        <f>IFERROR(S110/$G312/$H312/'4. L PLAN'!O$110,0)</f>
        <v>2.6967993335451399</v>
      </c>
      <c r="T312" s="2116">
        <f>IFERROR(T110/$G312/$H312/'4. L PLAN'!P$110,0)</f>
        <v>2.9125432802287508</v>
      </c>
      <c r="U312" s="2117">
        <f>IFERROR(U110/$G312/$H312/'4. L PLAN'!Q$110,0)</f>
        <v>2.6967993335451399</v>
      </c>
      <c r="V312" s="1901">
        <f t="shared" si="215"/>
        <v>3.0799185750194602</v>
      </c>
      <c r="Z312" s="1623"/>
      <c r="AA312" s="1673">
        <f t="shared" si="206"/>
        <v>460</v>
      </c>
      <c r="AB312" s="1787">
        <f t="shared" si="207"/>
        <v>1</v>
      </c>
      <c r="AC312" s="1745">
        <f t="shared" si="208"/>
        <v>0</v>
      </c>
      <c r="AD312" s="1544" t="b">
        <f t="shared" si="209"/>
        <v>1</v>
      </c>
      <c r="AE312" s="1544" t="b">
        <f t="shared" si="210"/>
        <v>1</v>
      </c>
      <c r="AF312" s="1544" t="b">
        <f t="shared" si="211"/>
        <v>1</v>
      </c>
    </row>
    <row r="313" spans="1:32" ht="18" customHeight="1">
      <c r="A313" s="2154"/>
      <c r="B313" s="1785"/>
      <c r="C313" s="1673"/>
      <c r="D313" s="2114"/>
      <c r="E313" s="1673"/>
      <c r="F313" s="2127" t="str">
        <f t="shared" ref="F313:F326" si="216">F198</f>
        <v>CL4 Housing (MX)</v>
      </c>
      <c r="G313" s="1909">
        <v>460</v>
      </c>
      <c r="H313" s="1787">
        <v>1</v>
      </c>
      <c r="I313" s="2013"/>
      <c r="J313" s="2115"/>
      <c r="K313" s="2116"/>
      <c r="L313" s="2117"/>
      <c r="M313" s="2115"/>
      <c r="N313" s="2116"/>
      <c r="O313" s="2117"/>
      <c r="P313" s="2115"/>
      <c r="Q313" s="2116"/>
      <c r="R313" s="2117"/>
      <c r="S313" s="2115"/>
      <c r="T313" s="2116"/>
      <c r="U313" s="2117"/>
      <c r="V313" s="1901"/>
      <c r="Z313" s="1623"/>
      <c r="AA313" s="1673"/>
      <c r="AB313" s="1787"/>
      <c r="AC313" s="1745"/>
    </row>
    <row r="314" spans="1:32" ht="18" customHeight="1">
      <c r="A314" s="2154"/>
      <c r="B314" s="1785"/>
      <c r="C314" s="1673"/>
      <c r="D314" s="2114"/>
      <c r="E314" s="1673">
        <f>VLOOKUP(F314,B.BasicInfomation!B:C,2,0)</f>
        <v>14</v>
      </c>
      <c r="F314" s="2127" t="str">
        <f t="shared" si="216"/>
        <v>MQ4a PE Housing (YT)</v>
      </c>
      <c r="G314" s="1909">
        <v>430</v>
      </c>
      <c r="H314" s="1787">
        <v>1</v>
      </c>
      <c r="I314" s="2013"/>
      <c r="J314" s="2115">
        <f>IFERROR(J112/$G314/$H314/'4. L PLAN'!F$110,0)</f>
        <v>2.3889693491388431</v>
      </c>
      <c r="K314" s="2116">
        <f>IFERROR(K112/$G314/$H314/'4. L PLAN'!G$110,0)</f>
        <v>3.1814079625117273</v>
      </c>
      <c r="L314" s="2117">
        <f>IFERROR(L112/$G314/$H314/'4. L PLAN'!H$110,0)</f>
        <v>1.6897588079274746</v>
      </c>
      <c r="M314" s="2115">
        <f>IFERROR(M112/$G314/$H314/'4. L PLAN'!I$110,0)</f>
        <v>1.8179474071495585</v>
      </c>
      <c r="N314" s="2116">
        <f>IFERROR(N112/$G314/$H314/'4. L PLAN'!J$110,0)</f>
        <v>2.0361010960075054</v>
      </c>
      <c r="O314" s="2117">
        <f>IFERROR(O112/$G314/$H314/'4. L PLAN'!K$110,0)</f>
        <v>1.8652140397354473</v>
      </c>
      <c r="P314" s="2115">
        <f>IFERROR(P112/$G314/$H314/'4. L PLAN'!L$110,0)</f>
        <v>1.7270500367920807</v>
      </c>
      <c r="Q314" s="2116">
        <f>IFERROR(Q112/$G314/$H314/'4. L PLAN'!M$110,0)</f>
        <v>1.7934750382071607</v>
      </c>
      <c r="R314" s="2117">
        <f>IFERROR(R112/$G314/$H314/'4. L PLAN'!N$110,0)</f>
        <v>1.8652140397354473</v>
      </c>
      <c r="S314" s="2115">
        <f>IFERROR(S112/$G314/$H314/'4. L PLAN'!O$110,0)</f>
        <v>1.7270500367920807</v>
      </c>
      <c r="T314" s="2116">
        <f>IFERROR(T112/$G314/$H314/'4. L PLAN'!P$110,0)</f>
        <v>1.8652140397354473</v>
      </c>
      <c r="U314" s="2117">
        <f>IFERROR(U112/$G314/$H314/'4. L PLAN'!Q$110,0)</f>
        <v>1.7270500367920807</v>
      </c>
      <c r="V314" s="1901">
        <f t="shared" si="215"/>
        <v>1.9737043242104046</v>
      </c>
      <c r="Z314" s="1623"/>
      <c r="AA314" s="1673">
        <f t="shared" si="206"/>
        <v>430</v>
      </c>
      <c r="AB314" s="1787">
        <f t="shared" si="207"/>
        <v>1</v>
      </c>
      <c r="AC314" s="1745">
        <f t="shared" si="208"/>
        <v>0</v>
      </c>
      <c r="AD314" s="1544" t="b">
        <f t="shared" si="209"/>
        <v>1</v>
      </c>
      <c r="AE314" s="1544" t="b">
        <f t="shared" si="210"/>
        <v>1</v>
      </c>
      <c r="AF314" s="1544" t="b">
        <f t="shared" si="211"/>
        <v>1</v>
      </c>
    </row>
    <row r="315" spans="1:32" ht="18" customHeight="1">
      <c r="A315" s="2154"/>
      <c r="B315" s="1785"/>
      <c r="C315" s="1673"/>
      <c r="D315" s="2114"/>
      <c r="E315" s="1673"/>
      <c r="F315" s="2127" t="str">
        <f t="shared" si="216"/>
        <v>MQ4a PE Housing (MX)</v>
      </c>
      <c r="G315" s="1909">
        <v>430</v>
      </c>
      <c r="H315" s="1787">
        <v>1</v>
      </c>
      <c r="I315" s="2013"/>
      <c r="J315" s="2115"/>
      <c r="K315" s="2116"/>
      <c r="L315" s="2117"/>
      <c r="M315" s="2115"/>
      <c r="N315" s="2116"/>
      <c r="O315" s="2117"/>
      <c r="P315" s="2115"/>
      <c r="Q315" s="2116"/>
      <c r="R315" s="2117"/>
      <c r="S315" s="2115"/>
      <c r="T315" s="2116"/>
      <c r="U315" s="2117"/>
      <c r="V315" s="1901"/>
      <c r="Z315" s="1623"/>
      <c r="AA315" s="1673"/>
      <c r="AB315" s="1787"/>
      <c r="AC315" s="1745"/>
    </row>
    <row r="316" spans="1:32" ht="18" customHeight="1">
      <c r="A316" s="2154"/>
      <c r="B316" s="1785"/>
      <c r="C316" s="1673"/>
      <c r="D316" s="2114"/>
      <c r="E316" s="1673">
        <f>VLOOKUP(F316,B.BasicInfomation!B:C,2,0)</f>
        <v>0</v>
      </c>
      <c r="F316" s="2127" t="str">
        <f t="shared" si="216"/>
        <v>BYD Housing</v>
      </c>
      <c r="G316" s="1909">
        <v>430</v>
      </c>
      <c r="H316" s="1787">
        <v>1</v>
      </c>
      <c r="I316" s="2013"/>
      <c r="J316" s="2115">
        <f>IFERROR(J114/$G316/$H316/'4. L PLAN'!F$110,0)</f>
        <v>0</v>
      </c>
      <c r="K316" s="2116">
        <f>IFERROR(K114/$G316/$H316/'4. L PLAN'!G$110,0)</f>
        <v>0</v>
      </c>
      <c r="L316" s="2117">
        <f>IFERROR(L114/$G316/$H316/'4. L PLAN'!H$110,0)</f>
        <v>0</v>
      </c>
      <c r="M316" s="2115">
        <f>IFERROR(M114/$G316/$H316/'4. L PLAN'!I$110,0)</f>
        <v>0</v>
      </c>
      <c r="N316" s="2116">
        <f>IFERROR(N114/$G316/$H316/'4. L PLAN'!J$110,0)</f>
        <v>0</v>
      </c>
      <c r="O316" s="2117">
        <f>IFERROR(O114/$G316/$H316/'4. L PLAN'!K$110,0)</f>
        <v>0</v>
      </c>
      <c r="P316" s="2115">
        <f>IFERROR(P114/$G316/$H316/'4. L PLAN'!L$110,0)</f>
        <v>0</v>
      </c>
      <c r="Q316" s="2116">
        <f>IFERROR(Q114/$G316/$H316/'4. L PLAN'!M$110,0)</f>
        <v>0</v>
      </c>
      <c r="R316" s="2117">
        <f>IFERROR(R114/$G316/$H316/'4. L PLAN'!N$110,0)</f>
        <v>0</v>
      </c>
      <c r="S316" s="2115">
        <f>IFERROR(S114/$G316/$H316/'4. L PLAN'!O$110,0)</f>
        <v>0</v>
      </c>
      <c r="T316" s="2116">
        <f>IFERROR(T114/$G316/$H316/'4. L PLAN'!P$110,0)</f>
        <v>0</v>
      </c>
      <c r="U316" s="2117">
        <f>IFERROR(U114/$G316/$H316/'4. L PLAN'!Q$110,0)</f>
        <v>0</v>
      </c>
      <c r="V316" s="1901">
        <f>AVERAGE(J316:U316)</f>
        <v>0</v>
      </c>
      <c r="Z316" s="1623"/>
      <c r="AA316" s="1673">
        <f t="shared" si="206"/>
        <v>430</v>
      </c>
      <c r="AB316" s="1787">
        <f t="shared" si="207"/>
        <v>1</v>
      </c>
      <c r="AC316" s="1745">
        <f t="shared" si="208"/>
        <v>0</v>
      </c>
      <c r="AD316" s="1544" t="b">
        <f t="shared" si="209"/>
        <v>1</v>
      </c>
      <c r="AE316" s="1544" t="b">
        <f t="shared" si="210"/>
        <v>1</v>
      </c>
      <c r="AF316" s="1544" t="b">
        <f t="shared" si="211"/>
        <v>1</v>
      </c>
    </row>
    <row r="317" spans="1:32" ht="18" customHeight="1">
      <c r="A317" s="2154"/>
      <c r="B317" s="1785"/>
      <c r="C317" s="1673"/>
      <c r="D317" s="2114"/>
      <c r="E317" s="1673">
        <f>VLOOKUP(F317,B.BasicInfomation!B:C,2,0)</f>
        <v>15</v>
      </c>
      <c r="F317" s="2127" t="str">
        <f t="shared" si="216"/>
        <v>MX5 Housing</v>
      </c>
      <c r="G317" s="1909">
        <v>430</v>
      </c>
      <c r="H317" s="1787">
        <v>1</v>
      </c>
      <c r="I317" s="2013"/>
      <c r="J317" s="2115">
        <f>IFERROR(J115/$G317/$H317/'4. L PLAN'!F$110,0)</f>
        <v>0</v>
      </c>
      <c r="K317" s="2116">
        <f>IFERROR(K115/$G317/$H317/'4. L PLAN'!G$110,0)</f>
        <v>0</v>
      </c>
      <c r="L317" s="2117">
        <f>IFERROR(L115/$G317/$H317/'4. L PLAN'!H$110,0)</f>
        <v>0</v>
      </c>
      <c r="M317" s="2115">
        <f>IFERROR(M115/$G317/$H317/'4. L PLAN'!I$110,0)</f>
        <v>0</v>
      </c>
      <c r="N317" s="2116">
        <f>IFERROR(N115/$G317/$H317/'4. L PLAN'!J$110,0)</f>
        <v>0</v>
      </c>
      <c r="O317" s="2117">
        <f>IFERROR(O115/$G317/$H317/'4. L PLAN'!K$110,0)</f>
        <v>0</v>
      </c>
      <c r="P317" s="2115">
        <f>IFERROR(P115/$G317/$H317/'4. L PLAN'!L$110,0)</f>
        <v>0</v>
      </c>
      <c r="Q317" s="2116">
        <f>IFERROR(Q115/$G317/$H317/'4. L PLAN'!M$110,0)</f>
        <v>0</v>
      </c>
      <c r="R317" s="2117">
        <f>IFERROR(R115/$G317/$H317/'4. L PLAN'!N$110,0)</f>
        <v>0</v>
      </c>
      <c r="S317" s="2115">
        <f>IFERROR(S115/$G317/$H317/'4. L PLAN'!O$110,0)</f>
        <v>0</v>
      </c>
      <c r="T317" s="2116">
        <f>IFERROR(T115/$G317/$H317/'4. L PLAN'!P$110,0)</f>
        <v>0</v>
      </c>
      <c r="U317" s="2117">
        <f>IFERROR(U115/$G317/$H317/'4. L PLAN'!Q$110,0)</f>
        <v>0</v>
      </c>
      <c r="V317" s="1901">
        <f t="shared" ref="V317:V320" si="217">AVERAGE(J317:U317)</f>
        <v>0</v>
      </c>
      <c r="Z317" s="1623"/>
      <c r="AA317" s="1673">
        <f t="shared" si="206"/>
        <v>430</v>
      </c>
      <c r="AB317" s="1787">
        <f t="shared" si="207"/>
        <v>1</v>
      </c>
      <c r="AC317" s="1745">
        <f t="shared" si="208"/>
        <v>0</v>
      </c>
      <c r="AD317" s="1544" t="b">
        <f t="shared" si="209"/>
        <v>1</v>
      </c>
      <c r="AE317" s="1544" t="b">
        <f t="shared" si="210"/>
        <v>1</v>
      </c>
      <c r="AF317" s="1544" t="b">
        <f t="shared" si="211"/>
        <v>1</v>
      </c>
    </row>
    <row r="318" spans="1:32" ht="18" customHeight="1">
      <c r="A318" s="2154"/>
      <c r="B318" s="1785"/>
      <c r="C318" s="1673"/>
      <c r="D318" s="2128" t="str">
        <f>'2. S Plan'!D116</f>
        <v>Motor CVR</v>
      </c>
      <c r="E318" s="1767">
        <f>VLOOKUP(F318,B.BasicInfomation!B:C,2,0)</f>
        <v>0</v>
      </c>
      <c r="F318" s="2127" t="str">
        <f t="shared" si="216"/>
        <v>Gen2 Cover</v>
      </c>
      <c r="G318" s="4262">
        <v>1280</v>
      </c>
      <c r="H318" s="2129">
        <v>1</v>
      </c>
      <c r="I318" s="2037"/>
      <c r="J318" s="2130">
        <f>IFERROR(J116/$G318/$H318/'4. L PLAN'!F$110,0)</f>
        <v>0.14950347174676956</v>
      </c>
      <c r="K318" s="2131">
        <f>IFERROR(K116/$G318/$H318/'4. L PLAN'!G$110,0)</f>
        <v>0.30610835840151068</v>
      </c>
      <c r="L318" s="2132">
        <f>IFERROR(L116/$G318/$H318/'4. L PLAN'!H$110,0)</f>
        <v>0.18687933968346193</v>
      </c>
      <c r="M318" s="2130">
        <f>IFERROR(M116/$G318/$H318/'4. L PLAN'!I$110,0)</f>
        <v>0</v>
      </c>
      <c r="N318" s="2131">
        <f>IFERROR(N116/$G318/$H318/'4. L PLAN'!J$110,0)</f>
        <v>0</v>
      </c>
      <c r="O318" s="2132">
        <f>IFERROR(O116/$G318/$H318/'4. L PLAN'!K$110,0)</f>
        <v>0</v>
      </c>
      <c r="P318" s="2130">
        <f>IFERROR(P116/$G318/$H318/'4. L PLAN'!L$110,0)</f>
        <v>0</v>
      </c>
      <c r="Q318" s="2131">
        <f>IFERROR(Q116/$G318/$H318/'4. L PLAN'!M$110,0)</f>
        <v>0</v>
      </c>
      <c r="R318" s="2132">
        <f>IFERROR(R116/$G318/$H318/'4. L PLAN'!N$110,0)</f>
        <v>0</v>
      </c>
      <c r="S318" s="2130">
        <f>IFERROR(S116/$G318/$H318/'4. L PLAN'!O$110,0)</f>
        <v>0</v>
      </c>
      <c r="T318" s="2131">
        <f>IFERROR(T116/$G318/$H318/'4. L PLAN'!P$110,0)</f>
        <v>0</v>
      </c>
      <c r="U318" s="2132">
        <f>IFERROR(U116/$G318/$H318/'4. L PLAN'!Q$110,0)</f>
        <v>0</v>
      </c>
      <c r="V318" s="2133">
        <f t="shared" si="217"/>
        <v>5.3540930819311848E-2</v>
      </c>
      <c r="Z318" s="1623"/>
      <c r="AA318" s="1673">
        <f t="shared" si="206"/>
        <v>1280</v>
      </c>
      <c r="AB318" s="1787">
        <f t="shared" si="207"/>
        <v>1</v>
      </c>
      <c r="AC318" s="1745">
        <f t="shared" si="208"/>
        <v>0</v>
      </c>
      <c r="AD318" s="1544" t="b">
        <f t="shared" si="209"/>
        <v>1</v>
      </c>
      <c r="AE318" s="1544" t="b">
        <f t="shared" si="210"/>
        <v>1</v>
      </c>
      <c r="AF318" s="1544" t="b">
        <f t="shared" si="211"/>
        <v>1</v>
      </c>
    </row>
    <row r="319" spans="1:32" ht="18" customHeight="1">
      <c r="A319" s="2154"/>
      <c r="B319" s="1785"/>
      <c r="C319" s="1673"/>
      <c r="D319" s="2114"/>
      <c r="E319" s="1673">
        <f>VLOOKUP(F319,B.BasicInfomation!B:C,2,0)</f>
        <v>0</v>
      </c>
      <c r="F319" s="2127" t="str">
        <f t="shared" si="216"/>
        <v>T6 Cover</v>
      </c>
      <c r="G319" s="1909">
        <v>1930</v>
      </c>
      <c r="H319" s="1787">
        <v>1</v>
      </c>
      <c r="I319" s="2013"/>
      <c r="J319" s="2115">
        <f>IFERROR(J117/$G319/$H319/'4. L PLAN'!F$110,0)</f>
        <v>0</v>
      </c>
      <c r="K319" s="2116">
        <f>IFERROR(K117/$G319/$H319/'4. L PLAN'!G$110,0)</f>
        <v>0</v>
      </c>
      <c r="L319" s="2117">
        <f>IFERROR(L117/$G319/$H319/'4. L PLAN'!H$110,0)</f>
        <v>0</v>
      </c>
      <c r="M319" s="2115">
        <f>IFERROR(M117/$G319/$H319/'4. L PLAN'!I$110,0)</f>
        <v>0</v>
      </c>
      <c r="N319" s="2116">
        <f>IFERROR(N117/$G319/$H319/'4. L PLAN'!J$110,0)</f>
        <v>0</v>
      </c>
      <c r="O319" s="2117">
        <f>IFERROR(O117/$G319/$H319/'4. L PLAN'!K$110,0)</f>
        <v>0</v>
      </c>
      <c r="P319" s="2115">
        <f>IFERROR(P117/$G319/$H319/'4. L PLAN'!L$110,0)</f>
        <v>0</v>
      </c>
      <c r="Q319" s="2116">
        <f>IFERROR(Q117/$G319/$H319/'4. L PLAN'!M$110,0)</f>
        <v>0</v>
      </c>
      <c r="R319" s="2117">
        <f>IFERROR(R117/$G319/$H319/'4. L PLAN'!N$110,0)</f>
        <v>0</v>
      </c>
      <c r="S319" s="2115">
        <f>IFERROR(S117/$G319/$H319/'4. L PLAN'!O$110,0)</f>
        <v>0</v>
      </c>
      <c r="T319" s="2116">
        <f>IFERROR(T117/$G319/$H319/'4. L PLAN'!P$110,0)</f>
        <v>0</v>
      </c>
      <c r="U319" s="2117">
        <f>IFERROR(U117/$G319/$H319/'4. L PLAN'!Q$110,0)</f>
        <v>0</v>
      </c>
      <c r="V319" s="1901">
        <f t="shared" si="217"/>
        <v>0</v>
      </c>
      <c r="Z319" s="1623"/>
      <c r="AA319" s="1673">
        <f t="shared" si="206"/>
        <v>1930</v>
      </c>
      <c r="AB319" s="1787">
        <f t="shared" si="207"/>
        <v>1</v>
      </c>
      <c r="AC319" s="1745">
        <f t="shared" si="208"/>
        <v>0</v>
      </c>
      <c r="AD319" s="1544" t="b">
        <f t="shared" si="209"/>
        <v>1</v>
      </c>
      <c r="AE319" s="1544" t="b">
        <f t="shared" si="210"/>
        <v>1</v>
      </c>
      <c r="AF319" s="1544" t="b">
        <f t="shared" si="211"/>
        <v>1</v>
      </c>
    </row>
    <row r="320" spans="1:32" ht="18" customHeight="1">
      <c r="A320" s="2154"/>
      <c r="B320" s="1785"/>
      <c r="C320" s="1673"/>
      <c r="D320" s="2114"/>
      <c r="E320" s="1673">
        <f>VLOOKUP(F320,B.BasicInfomation!B:C,2,0)</f>
        <v>16</v>
      </c>
      <c r="F320" s="2127" t="str">
        <f t="shared" si="216"/>
        <v>EK_Part Cover</v>
      </c>
      <c r="G320" s="1909">
        <v>990</v>
      </c>
      <c r="H320" s="1787">
        <v>1</v>
      </c>
      <c r="I320" s="2013"/>
      <c r="J320" s="2115">
        <f>IFERROR(J118/$G320/$H320/'4. L PLAN'!F$110,0)</f>
        <v>0.83566182052124049</v>
      </c>
      <c r="K320" s="2116">
        <f>IFERROR(K118/$G320/$H320/'4. L PLAN'!G$110,0)</f>
        <v>1.0184628437602619</v>
      </c>
      <c r="L320" s="2117">
        <f>IFERROR(L118/$G320/$H320/'4. L PLAN'!H$110,0)</f>
        <v>0.62674636539093043</v>
      </c>
      <c r="M320" s="2115">
        <f>IFERROR(M118/$G320/$H320/'4. L PLAN'!I$110,0)</f>
        <v>0.65181622000656758</v>
      </c>
      <c r="N320" s="2116">
        <f>IFERROR(N118/$G320/$H320/'4. L PLAN'!J$110,0)</f>
        <v>0.65181622000656758</v>
      </c>
      <c r="O320" s="2117">
        <f>IFERROR(O118/$G320/$H320/'4. L PLAN'!K$110,0)</f>
        <v>0.65181622000656758</v>
      </c>
      <c r="P320" s="2115">
        <f>IFERROR(P118/$G320/$H320/'4. L PLAN'!L$110,0)</f>
        <v>0.45829756144269707</v>
      </c>
      <c r="Q320" s="2116">
        <f>IFERROR(Q118/$G320/$H320/'4. L PLAN'!M$110,0)</f>
        <v>0.47592439072895465</v>
      </c>
      <c r="R320" s="2117">
        <f>IFERROR(R118/$G320/$H320/'4. L PLAN'!N$110,0)</f>
        <v>0.49496136635811283</v>
      </c>
      <c r="S320" s="2115">
        <f>IFERROR(S118/$G320/$H320/'4. L PLAN'!O$110,0)</f>
        <v>0.45829756144269707</v>
      </c>
      <c r="T320" s="2116">
        <f>IFERROR(T118/$G320/$H320/'4. L PLAN'!P$110,0)</f>
        <v>0.49496136635811283</v>
      </c>
      <c r="U320" s="2117">
        <f>IFERROR(U118/$G320/$H320/'4. L PLAN'!Q$110,0)</f>
        <v>0.45829756144269707</v>
      </c>
      <c r="V320" s="1901">
        <f t="shared" si="217"/>
        <v>0.60642162478878392</v>
      </c>
      <c r="Z320" s="1623"/>
      <c r="AA320" s="1673">
        <f t="shared" si="206"/>
        <v>990</v>
      </c>
      <c r="AB320" s="1787">
        <f t="shared" si="207"/>
        <v>1</v>
      </c>
      <c r="AC320" s="1745">
        <f t="shared" si="208"/>
        <v>0</v>
      </c>
      <c r="AD320" s="1544" t="b">
        <f t="shared" si="209"/>
        <v>1</v>
      </c>
      <c r="AE320" s="1544" t="b">
        <f t="shared" si="210"/>
        <v>1</v>
      </c>
      <c r="AF320" s="1544" t="b">
        <f t="shared" si="211"/>
        <v>1</v>
      </c>
    </row>
    <row r="321" spans="1:32" ht="18" customHeight="1">
      <c r="A321" s="2154"/>
      <c r="B321" s="1785"/>
      <c r="C321" s="1673"/>
      <c r="D321" s="2114"/>
      <c r="E321" s="1673">
        <f>VLOOKUP(F321,B.BasicInfomation!B:C,2,0)</f>
        <v>0</v>
      </c>
      <c r="F321" s="2127" t="str">
        <f t="shared" si="216"/>
        <v>570W Cover</v>
      </c>
      <c r="G321" s="1909">
        <v>900</v>
      </c>
      <c r="H321" s="1787">
        <v>1</v>
      </c>
      <c r="I321" s="2013"/>
      <c r="J321" s="2115">
        <f>IFERROR(J119/$G321/$H321/'4. L PLAN'!F$110,0)</f>
        <v>0</v>
      </c>
      <c r="K321" s="2116">
        <f>IFERROR(K119/$G321/$H321/'4. L PLAN'!G$110,0)</f>
        <v>0</v>
      </c>
      <c r="L321" s="2117">
        <f>IFERROR(L119/$G321/$H321/'4. L PLAN'!H$110,0)</f>
        <v>0</v>
      </c>
      <c r="M321" s="2115">
        <f>IFERROR(M119/$G321/$H321/'4. L PLAN'!I$110,0)</f>
        <v>0</v>
      </c>
      <c r="N321" s="2116">
        <f>IFERROR(N119/$G321/$H321/'4. L PLAN'!J$110,0)</f>
        <v>0</v>
      </c>
      <c r="O321" s="2117">
        <f>IFERROR(O119/$G321/$H321/'4. L PLAN'!K$110,0)</f>
        <v>0</v>
      </c>
      <c r="P321" s="2115">
        <f>IFERROR(P119/$G321/$H321/'4. L PLAN'!L$110,0)</f>
        <v>0</v>
      </c>
      <c r="Q321" s="2116">
        <f>IFERROR(Q119/$G321/$H321/'4. L PLAN'!M$110,0)</f>
        <v>0</v>
      </c>
      <c r="R321" s="2117">
        <f>IFERROR(R119/$G321/$H321/'4. L PLAN'!N$110,0)</f>
        <v>0</v>
      </c>
      <c r="S321" s="2115">
        <f>IFERROR(S119/$G321/$H321/'4. L PLAN'!O$110,0)</f>
        <v>0</v>
      </c>
      <c r="T321" s="2116">
        <f>IFERROR(T119/$G321/$H321/'4. L PLAN'!P$110,0)</f>
        <v>0</v>
      </c>
      <c r="U321" s="2117">
        <f>IFERROR(U119/$G321/$H321/'4. L PLAN'!Q$110,0)</f>
        <v>0</v>
      </c>
      <c r="V321" s="1901">
        <f>AVERAGE(J321:U321)</f>
        <v>0</v>
      </c>
      <c r="Z321" s="1623"/>
      <c r="AA321" s="1673">
        <f t="shared" si="206"/>
        <v>900</v>
      </c>
      <c r="AB321" s="1787">
        <f t="shared" si="207"/>
        <v>1</v>
      </c>
      <c r="AC321" s="1745">
        <f t="shared" si="208"/>
        <v>0</v>
      </c>
      <c r="AD321" s="1544" t="b">
        <f t="shared" si="209"/>
        <v>1</v>
      </c>
      <c r="AE321" s="1544" t="b">
        <f t="shared" si="210"/>
        <v>1</v>
      </c>
      <c r="AF321" s="1544" t="b">
        <f t="shared" si="211"/>
        <v>1</v>
      </c>
    </row>
    <row r="322" spans="1:32" ht="18" customHeight="1">
      <c r="A322" s="2154"/>
      <c r="B322" s="1785"/>
      <c r="C322" s="1673"/>
      <c r="D322" s="2114"/>
      <c r="E322" s="1673">
        <f>VLOOKUP(F322,B.BasicInfomation!B:C,2,0)</f>
        <v>17</v>
      </c>
      <c r="F322" s="2127" t="str">
        <f t="shared" si="216"/>
        <v>CL4 Cover (YT)</v>
      </c>
      <c r="G322" s="1909">
        <v>1020</v>
      </c>
      <c r="H322" s="1787">
        <v>1</v>
      </c>
      <c r="I322" s="2013"/>
      <c r="J322" s="2115">
        <f>IFERROR(J120/$G322/$H322/'4. L PLAN'!F$110,0)</f>
        <v>0.88587178408699774</v>
      </c>
      <c r="K322" s="2116">
        <f>IFERROR(K120/$G322/$H322/'4. L PLAN'!G$110,0)</f>
        <v>0</v>
      </c>
      <c r="L322" s="2117">
        <f>IFERROR(L120/$G322/$H322/'4. L PLAN'!H$110,0)</f>
        <v>0</v>
      </c>
      <c r="M322" s="2115">
        <f>IFERROR(M120/$G322/$H322/'4. L PLAN'!I$110,0)</f>
        <v>0</v>
      </c>
      <c r="N322" s="2116">
        <f>IFERROR(N120/$G322/$H322/'4. L PLAN'!J$110,0)</f>
        <v>0</v>
      </c>
      <c r="O322" s="2117">
        <f>IFERROR(O120/$G322/$H322/'4. L PLAN'!K$110,0)</f>
        <v>0</v>
      </c>
      <c r="P322" s="2115">
        <f>IFERROR(P120/$G322/$H322/'4. L PLAN'!L$110,0)</f>
        <v>0</v>
      </c>
      <c r="Q322" s="2116">
        <f>IFERROR(Q120/$G322/$H322/'4. L PLAN'!M$110,0)</f>
        <v>0</v>
      </c>
      <c r="R322" s="2117">
        <f>IFERROR(R120/$G322/$H322/'4. L PLAN'!N$110,0)</f>
        <v>0</v>
      </c>
      <c r="S322" s="2115">
        <f>IFERROR(S120/$G322/$H322/'4. L PLAN'!O$110,0)</f>
        <v>0</v>
      </c>
      <c r="T322" s="2116">
        <f>IFERROR(T120/$G322/$H322/'4. L PLAN'!P$110,0)</f>
        <v>0</v>
      </c>
      <c r="U322" s="2117">
        <f>IFERROR(U120/$G322/$H322/'4. L PLAN'!Q$110,0)</f>
        <v>0</v>
      </c>
      <c r="V322" s="1901">
        <f t="shared" ref="V322:V324" si="218">AVERAGE(J322:U322)</f>
        <v>7.3822648673916483E-2</v>
      </c>
      <c r="Z322" s="1623"/>
      <c r="AA322" s="1673">
        <f t="shared" si="206"/>
        <v>1020</v>
      </c>
      <c r="AB322" s="1787">
        <f t="shared" si="207"/>
        <v>1</v>
      </c>
      <c r="AC322" s="1745">
        <f t="shared" si="208"/>
        <v>0</v>
      </c>
      <c r="AD322" s="1544" t="b">
        <f t="shared" si="209"/>
        <v>1</v>
      </c>
      <c r="AE322" s="1544" t="b">
        <f t="shared" si="210"/>
        <v>1</v>
      </c>
      <c r="AF322" s="1544" t="b">
        <f t="shared" si="211"/>
        <v>1</v>
      </c>
    </row>
    <row r="323" spans="1:32" ht="18" customHeight="1">
      <c r="A323" s="2154"/>
      <c r="B323" s="1785"/>
      <c r="C323" s="1673"/>
      <c r="D323" s="2114"/>
      <c r="E323" s="1673"/>
      <c r="F323" s="2127" t="str">
        <f t="shared" si="216"/>
        <v>CL4 Cover (MX)</v>
      </c>
      <c r="G323" s="1909">
        <v>1020</v>
      </c>
      <c r="H323" s="1787">
        <v>1</v>
      </c>
      <c r="I323" s="2013"/>
      <c r="J323" s="2115"/>
      <c r="K323" s="2116"/>
      <c r="L323" s="2117"/>
      <c r="M323" s="2115"/>
      <c r="N323" s="2116"/>
      <c r="O323" s="2117"/>
      <c r="P323" s="2115"/>
      <c r="Q323" s="2116"/>
      <c r="R323" s="2117"/>
      <c r="S323" s="2115"/>
      <c r="T323" s="2116"/>
      <c r="U323" s="2117"/>
      <c r="V323" s="1901"/>
      <c r="Z323" s="1623"/>
      <c r="AA323" s="1673"/>
      <c r="AB323" s="1787"/>
      <c r="AC323" s="1745"/>
    </row>
    <row r="324" spans="1:32" ht="18" customHeight="1">
      <c r="A324" s="2154"/>
      <c r="B324" s="1785"/>
      <c r="C324" s="1673"/>
      <c r="D324" s="2114"/>
      <c r="E324" s="1673">
        <f>VLOOKUP(F324,B.BasicInfomation!B:C,2,0)</f>
        <v>18</v>
      </c>
      <c r="F324" s="2127" t="str">
        <f t="shared" si="216"/>
        <v>MQ4a PE Cover (YT)</v>
      </c>
      <c r="G324" s="1909">
        <v>1120</v>
      </c>
      <c r="H324" s="1787">
        <v>1</v>
      </c>
      <c r="I324" s="2013"/>
      <c r="J324" s="2115">
        <f>IFERROR(J122/$G324/$H324/'4. L PLAN'!F$110,0)</f>
        <v>1.0948245082011006</v>
      </c>
      <c r="K324" s="2116">
        <f>IFERROR(K122/$G324/$H324/'4. L PLAN'!G$110,0)</f>
        <v>1.6308323403412224</v>
      </c>
      <c r="L324" s="2117">
        <f>IFERROR(L122/$G324/$H324/'4. L PLAN'!H$110,0)</f>
        <v>0.63864762978397516</v>
      </c>
      <c r="M324" s="2115">
        <f>IFERROR(M122/$G324/$H324/'4. L PLAN'!I$110,0)</f>
        <v>0.65892215771362528</v>
      </c>
      <c r="N324" s="2116">
        <f>IFERROR(N122/$G324/$H324/'4. L PLAN'!J$110,0)</f>
        <v>0.7379928166392602</v>
      </c>
      <c r="O324" s="2117">
        <f>IFERROR(O122/$G324/$H324/'4. L PLAN'!K$110,0)</f>
        <v>0.67605413381417956</v>
      </c>
      <c r="P324" s="2115">
        <f>IFERROR(P122/$G324/$H324/'4. L PLAN'!L$110,0)</f>
        <v>0.62597604982794408</v>
      </c>
      <c r="Q324" s="2116">
        <f>IFERROR(Q122/$G324/$H324/'4. L PLAN'!M$110,0)</f>
        <v>0.6500520517444035</v>
      </c>
      <c r="R324" s="2117">
        <f>IFERROR(R122/$G324/$H324/'4. L PLAN'!N$110,0)</f>
        <v>0.67605413381417956</v>
      </c>
      <c r="S324" s="2115">
        <f>IFERROR(S122/$G324/$H324/'4. L PLAN'!O$110,0)</f>
        <v>0.62597604982794408</v>
      </c>
      <c r="T324" s="2116">
        <f>IFERROR(T122/$G324/$H324/'4. L PLAN'!P$110,0)</f>
        <v>0.67605413381417956</v>
      </c>
      <c r="U324" s="2117">
        <f>IFERROR(U122/$G324/$H324/'4. L PLAN'!Q$110,0)</f>
        <v>0.62597604982794408</v>
      </c>
      <c r="V324" s="1901">
        <f t="shared" si="218"/>
        <v>0.77644683794583003</v>
      </c>
      <c r="Z324" s="9"/>
      <c r="AA324" s="1673">
        <f t="shared" si="206"/>
        <v>1120</v>
      </c>
      <c r="AB324" s="1787">
        <f t="shared" si="207"/>
        <v>1</v>
      </c>
      <c r="AC324" s="1745">
        <f t="shared" si="208"/>
        <v>0</v>
      </c>
      <c r="AD324" s="1544" t="b">
        <f t="shared" si="209"/>
        <v>1</v>
      </c>
      <c r="AE324" s="1544" t="b">
        <f t="shared" si="210"/>
        <v>1</v>
      </c>
      <c r="AF324" s="1544" t="b">
        <f t="shared" si="211"/>
        <v>1</v>
      </c>
    </row>
    <row r="325" spans="1:32" ht="18" customHeight="1">
      <c r="A325" s="2154"/>
      <c r="B325" s="1785"/>
      <c r="C325" s="1673"/>
      <c r="D325" s="2114"/>
      <c r="E325" s="1673"/>
      <c r="F325" s="2127" t="str">
        <f t="shared" si="216"/>
        <v>MQ4a PE Cover (MX)</v>
      </c>
      <c r="G325" s="1909">
        <v>1120</v>
      </c>
      <c r="H325" s="1787">
        <v>1</v>
      </c>
      <c r="I325" s="2013"/>
      <c r="J325" s="2115"/>
      <c r="K325" s="2116"/>
      <c r="L325" s="2117"/>
      <c r="M325" s="2115"/>
      <c r="N325" s="2116"/>
      <c r="O325" s="2117"/>
      <c r="P325" s="2115"/>
      <c r="Q325" s="2116"/>
      <c r="R325" s="2117"/>
      <c r="S325" s="2115"/>
      <c r="T325" s="2116"/>
      <c r="U325" s="2117"/>
      <c r="V325" s="1901"/>
      <c r="Z325" s="9"/>
      <c r="AA325" s="1673"/>
      <c r="AB325" s="1787"/>
      <c r="AC325" s="1745"/>
    </row>
    <row r="326" spans="1:32" ht="18" customHeight="1">
      <c r="A326" s="2154"/>
      <c r="B326" s="1785"/>
      <c r="C326" s="1673"/>
      <c r="D326" s="2114"/>
      <c r="E326" s="1673">
        <f>VLOOKUP(F326,B.BasicInfomation!B:C,2,0)</f>
        <v>0</v>
      </c>
      <c r="F326" s="2127" t="str">
        <f t="shared" si="216"/>
        <v>BYD Cover</v>
      </c>
      <c r="G326" s="1909">
        <v>1120</v>
      </c>
      <c r="H326" s="1787">
        <v>1</v>
      </c>
      <c r="I326" s="2013"/>
      <c r="J326" s="2115">
        <f>IFERROR(J124/$G326/$H326/'4. L PLAN'!F$110,0)</f>
        <v>0.23480699959416651</v>
      </c>
      <c r="K326" s="2116">
        <f>IFERROR(K124/$G326/$H326/'4. L PLAN'!G$110,0)</f>
        <v>0</v>
      </c>
      <c r="L326" s="2117">
        <f>IFERROR(L124/$G326/$H326/'4. L PLAN'!H$110,0)</f>
        <v>0</v>
      </c>
      <c r="M326" s="2115">
        <f>IFERROR(M124/$G326/$H326/'4. L PLAN'!I$110,0)</f>
        <v>0</v>
      </c>
      <c r="N326" s="2116">
        <f>IFERROR(N124/$G326/$H326/'4. L PLAN'!J$110,0)</f>
        <v>0</v>
      </c>
      <c r="O326" s="2117">
        <f>IFERROR(O124/$G326/$H326/'4. L PLAN'!K$110,0)</f>
        <v>0</v>
      </c>
      <c r="P326" s="2115">
        <f>IFERROR(P124/$G326/$H326/'4. L PLAN'!L$110,0)</f>
        <v>0</v>
      </c>
      <c r="Q326" s="2116">
        <f>IFERROR(Q124/$G326/$H326/'4. L PLAN'!M$110,0)</f>
        <v>0</v>
      </c>
      <c r="R326" s="2117">
        <f>IFERROR(R124/$G326/$H326/'4. L PLAN'!N$110,0)</f>
        <v>0</v>
      </c>
      <c r="S326" s="2115">
        <f>IFERROR(S124/$G326/$H326/'4. L PLAN'!O$110,0)</f>
        <v>0</v>
      </c>
      <c r="T326" s="2116">
        <f>IFERROR(T124/$G326/$H326/'4. L PLAN'!P$110,0)</f>
        <v>0</v>
      </c>
      <c r="U326" s="2117">
        <f>IFERROR(U124/$G326/$H326/'4. L PLAN'!Q$110,0)</f>
        <v>0</v>
      </c>
      <c r="V326" s="1901">
        <f t="shared" ref="V326:V331" si="219">AVERAGE(J326:U326)</f>
        <v>1.9567249966180544E-2</v>
      </c>
      <c r="Z326" s="9"/>
      <c r="AA326" s="1673">
        <f t="shared" si="206"/>
        <v>1120</v>
      </c>
      <c r="AB326" s="1787">
        <f t="shared" si="207"/>
        <v>1</v>
      </c>
      <c r="AC326" s="1745">
        <f t="shared" si="208"/>
        <v>0</v>
      </c>
      <c r="AD326" s="1544" t="b">
        <f t="shared" si="209"/>
        <v>1</v>
      </c>
      <c r="AE326" s="1544" t="b">
        <f t="shared" si="210"/>
        <v>1</v>
      </c>
      <c r="AF326" s="1544" t="b">
        <f t="shared" si="211"/>
        <v>1</v>
      </c>
    </row>
    <row r="327" spans="1:32" ht="18" customHeight="1">
      <c r="A327" s="2154"/>
      <c r="B327" s="1785"/>
      <c r="C327" s="1673"/>
      <c r="D327" s="12" t="s">
        <v>1008</v>
      </c>
      <c r="E327" s="1767">
        <f>VLOOKUP(F327,B.BasicInfomation!B:C,2,0)</f>
        <v>19</v>
      </c>
      <c r="F327" s="1767" t="str">
        <f t="shared" ref="F327:F370" si="220">F212</f>
        <v>MX5 Cover</v>
      </c>
      <c r="G327" s="4262">
        <v>1120</v>
      </c>
      <c r="H327" s="2129">
        <v>1</v>
      </c>
      <c r="I327" s="2037"/>
      <c r="J327" s="2130">
        <f>IFERROR(J125/$G327/$H327/'4. L PLAN'!F$110,0)</f>
        <v>0</v>
      </c>
      <c r="K327" s="2131">
        <f>IFERROR(K125/$G327/$H327/'4. L PLAN'!G$110,0)</f>
        <v>0</v>
      </c>
      <c r="L327" s="2132">
        <f>IFERROR(L125/$G327/$H327/'4. L PLAN'!H$110,0)</f>
        <v>0</v>
      </c>
      <c r="M327" s="2130">
        <f>IFERROR(M125/$G327/$H327/'4. L PLAN'!I$110,0)</f>
        <v>0</v>
      </c>
      <c r="N327" s="2131">
        <f>IFERROR(N125/$G327/$H327/'4. L PLAN'!J$110,0)</f>
        <v>0</v>
      </c>
      <c r="O327" s="2132">
        <f>IFERROR(O125/$G327/$H327/'4. L PLAN'!K$110,0)</f>
        <v>0</v>
      </c>
      <c r="P327" s="2130">
        <f>IFERROR(P125/$G327/$H327/'4. L PLAN'!L$110,0)</f>
        <v>0</v>
      </c>
      <c r="Q327" s="2131">
        <f>IFERROR(Q125/$G327/$H327/'4. L PLAN'!M$110,0)</f>
        <v>0</v>
      </c>
      <c r="R327" s="2132">
        <f>IFERROR(R125/$G327/$H327/'4. L PLAN'!N$110,0)</f>
        <v>0</v>
      </c>
      <c r="S327" s="2130">
        <f>IFERROR(S125/$G327/$H327/'4. L PLAN'!O$110,0)</f>
        <v>0</v>
      </c>
      <c r="T327" s="2131">
        <f>IFERROR(T125/$G327/$H327/'4. L PLAN'!P$110,0)</f>
        <v>0</v>
      </c>
      <c r="U327" s="2132">
        <f>IFERROR(U125/$G327/$H327/'4. L PLAN'!Q$110,0)</f>
        <v>0</v>
      </c>
      <c r="V327" s="2133">
        <f t="shared" si="219"/>
        <v>0</v>
      </c>
      <c r="Z327" s="9"/>
      <c r="AA327" s="1673">
        <f t="shared" si="206"/>
        <v>1120</v>
      </c>
      <c r="AB327" s="1787">
        <f t="shared" si="207"/>
        <v>1</v>
      </c>
      <c r="AC327" s="1745">
        <f t="shared" si="208"/>
        <v>0</v>
      </c>
      <c r="AD327" s="1544" t="b">
        <f t="shared" si="209"/>
        <v>1</v>
      </c>
      <c r="AE327" s="1544" t="b">
        <f t="shared" si="210"/>
        <v>1</v>
      </c>
      <c r="AF327" s="1544" t="b">
        <f t="shared" si="211"/>
        <v>1</v>
      </c>
    </row>
    <row r="328" spans="1:32" ht="18" customHeight="1">
      <c r="A328" s="2154"/>
      <c r="B328" s="1785"/>
      <c r="C328" s="1673"/>
      <c r="D328" s="15"/>
      <c r="E328" s="1673">
        <f>VLOOKUP(F328,B.BasicInfomation!B:C,2,0)</f>
        <v>0</v>
      </c>
      <c r="F328" s="1673" t="str">
        <f t="shared" si="220"/>
        <v>FCM30-Upper Housing</v>
      </c>
      <c r="G328" s="1909">
        <v>0</v>
      </c>
      <c r="H328" s="1787">
        <v>1</v>
      </c>
      <c r="I328" s="2013"/>
      <c r="J328" s="2115">
        <f>IFERROR(J126/$G328/$H328/'4. L PLAN'!F$110,0)</f>
        <v>0</v>
      </c>
      <c r="K328" s="2116">
        <f>IFERROR(K126/$G328/$H328/'4. L PLAN'!G$110,0)</f>
        <v>0</v>
      </c>
      <c r="L328" s="2117">
        <f>IFERROR(L126/$G328/$H328/'4. L PLAN'!H$110,0)</f>
        <v>0</v>
      </c>
      <c r="M328" s="2115">
        <f>IFERROR(M126/$G328/$H328/'4. L PLAN'!I$110,0)</f>
        <v>0</v>
      </c>
      <c r="N328" s="2116">
        <f>IFERROR(N126/$G328/$H328/'4. L PLAN'!J$110,0)</f>
        <v>0</v>
      </c>
      <c r="O328" s="2117">
        <f>IFERROR(O126/$G328/$H328/'4. L PLAN'!K$110,0)</f>
        <v>0</v>
      </c>
      <c r="P328" s="2115">
        <f>IFERROR(P126/$G328/$H328/'4. L PLAN'!L$110,0)</f>
        <v>0</v>
      </c>
      <c r="Q328" s="2116">
        <f>IFERROR(Q126/$G328/$H328/'4. L PLAN'!M$110,0)</f>
        <v>0</v>
      </c>
      <c r="R328" s="2117">
        <f>IFERROR(R126/$G328/$H328/'4. L PLAN'!N$110,0)</f>
        <v>0</v>
      </c>
      <c r="S328" s="2115">
        <f>IFERROR(S126/$G328/$H328/'4. L PLAN'!O$110,0)</f>
        <v>0</v>
      </c>
      <c r="T328" s="2116">
        <f>IFERROR(T126/$G328/$H328/'4. L PLAN'!P$110,0)</f>
        <v>0</v>
      </c>
      <c r="U328" s="2117">
        <f>IFERROR(U126/$G328/$H328/'4. L PLAN'!Q$110,0)</f>
        <v>0</v>
      </c>
      <c r="V328" s="1901">
        <f t="shared" si="219"/>
        <v>0</v>
      </c>
      <c r="Z328" s="9"/>
      <c r="AA328" s="1673">
        <f t="shared" ref="AA328:AA359" si="221">G328</f>
        <v>0</v>
      </c>
      <c r="AB328" s="1787">
        <f t="shared" ref="AB328:AB359" si="222">H328</f>
        <v>1</v>
      </c>
      <c r="AC328" s="1745">
        <f t="shared" ref="AC328:AC359" si="223">I328</f>
        <v>0</v>
      </c>
      <c r="AD328" s="1544" t="b">
        <f t="shared" ref="AD328:AD359" si="224">AA328=G328</f>
        <v>1</v>
      </c>
      <c r="AE328" s="1544" t="b">
        <f t="shared" ref="AE328:AE359" si="225">AB328=H328</f>
        <v>1</v>
      </c>
      <c r="AF328" s="1544" t="b">
        <f t="shared" ref="AF328:AF359" si="226">AC328=I328</f>
        <v>1</v>
      </c>
    </row>
    <row r="329" spans="1:32" ht="18" customHeight="1">
      <c r="A329" s="2154"/>
      <c r="B329" s="1785"/>
      <c r="C329" s="1673"/>
      <c r="D329" s="2134"/>
      <c r="E329" s="1774">
        <f>VLOOKUP(F329,B.BasicInfomation!B:C,2,0)</f>
        <v>20</v>
      </c>
      <c r="F329" s="1774" t="str">
        <f t="shared" si="220"/>
        <v>DCU15 Housing</v>
      </c>
      <c r="G329" s="4263">
        <v>0</v>
      </c>
      <c r="H329" s="2135">
        <v>1</v>
      </c>
      <c r="I329" s="2025"/>
      <c r="J329" s="2136">
        <f>IFERROR(J127/$G329/$H329/'4. L PLAN'!F$110,0)</f>
        <v>0</v>
      </c>
      <c r="K329" s="2137">
        <f>IFERROR(K127/$G329/$H329/'4. L PLAN'!G$110,0)</f>
        <v>0</v>
      </c>
      <c r="L329" s="2138">
        <f>IFERROR(L127/$G329/$H329/'4. L PLAN'!H$110,0)</f>
        <v>0</v>
      </c>
      <c r="M329" s="2136">
        <f>IFERROR(M127/$G329/$H329/'4. L PLAN'!I$110,0)</f>
        <v>0</v>
      </c>
      <c r="N329" s="2137">
        <f>IFERROR(N127/$G329/$H329/'4. L PLAN'!J$110,0)</f>
        <v>0</v>
      </c>
      <c r="O329" s="2138">
        <f>IFERROR(O127/$G329/$H329/'4. L PLAN'!K$110,0)</f>
        <v>0</v>
      </c>
      <c r="P329" s="2136">
        <f>IFERROR(P127/$G329/$H329/'4. L PLAN'!L$110,0)</f>
        <v>0</v>
      </c>
      <c r="Q329" s="2137">
        <f>IFERROR(Q127/$G329/$H329/'4. L PLAN'!M$110,0)</f>
        <v>0</v>
      </c>
      <c r="R329" s="2138">
        <f>IFERROR(R127/$G329/$H329/'4. L PLAN'!N$110,0)</f>
        <v>0</v>
      </c>
      <c r="S329" s="2136">
        <f>IFERROR(S127/$G329/$H329/'4. L PLAN'!O$110,0)</f>
        <v>0</v>
      </c>
      <c r="T329" s="2137">
        <f>IFERROR(T127/$G329/$H329/'4. L PLAN'!P$110,0)</f>
        <v>0</v>
      </c>
      <c r="U329" s="2138">
        <f>IFERROR(U127/$G329/$H329/'4. L PLAN'!Q$110,0)</f>
        <v>0</v>
      </c>
      <c r="V329" s="2139">
        <f t="shared" si="219"/>
        <v>0</v>
      </c>
      <c r="Z329" s="9"/>
      <c r="AA329" s="1673">
        <f t="shared" si="221"/>
        <v>0</v>
      </c>
      <c r="AB329" s="1787">
        <f t="shared" si="222"/>
        <v>1</v>
      </c>
      <c r="AC329" s="1745">
        <f t="shared" si="223"/>
        <v>0</v>
      </c>
      <c r="AD329" s="1544" t="b">
        <f t="shared" si="224"/>
        <v>1</v>
      </c>
      <c r="AE329" s="1544" t="b">
        <f t="shared" si="225"/>
        <v>1</v>
      </c>
      <c r="AF329" s="1544" t="b">
        <f t="shared" si="226"/>
        <v>1</v>
      </c>
    </row>
    <row r="330" spans="1:32" ht="18" customHeight="1">
      <c r="A330" s="2154"/>
      <c r="B330" s="1785"/>
      <c r="C330" s="1673"/>
      <c r="D330" s="32" t="s">
        <v>882</v>
      </c>
      <c r="E330" s="1673">
        <f>VLOOKUP(F330,B.BasicInfomation!B:C,2,0)</f>
        <v>21</v>
      </c>
      <c r="F330" s="1673" t="str">
        <f t="shared" si="220"/>
        <v>DCU15 Cover</v>
      </c>
      <c r="G330" s="1909">
        <v>0</v>
      </c>
      <c r="H330" s="1787">
        <v>1</v>
      </c>
      <c r="I330" s="2013"/>
      <c r="J330" s="2115">
        <f>IFERROR(J128/$G330/$H330/'4. L PLAN'!F$110,0)</f>
        <v>0</v>
      </c>
      <c r="K330" s="2116">
        <f>IFERROR(K128/$G330/$H330/'4. L PLAN'!G$110,0)</f>
        <v>0</v>
      </c>
      <c r="L330" s="2117">
        <f>IFERROR(L128/$G330/$H330/'4. L PLAN'!H$110,0)</f>
        <v>0</v>
      </c>
      <c r="M330" s="2115">
        <f>IFERROR(M128/$G330/$H330/'4. L PLAN'!I$110,0)</f>
        <v>0</v>
      </c>
      <c r="N330" s="2116">
        <f>IFERROR(N128/$G330/$H330/'4. L PLAN'!J$110,0)</f>
        <v>0</v>
      </c>
      <c r="O330" s="2117">
        <f>IFERROR(O128/$G330/$H330/'4. L PLAN'!K$110,0)</f>
        <v>0</v>
      </c>
      <c r="P330" s="2115">
        <f>IFERROR(P128/$G330/$H330/'4. L PLAN'!L$110,0)</f>
        <v>0</v>
      </c>
      <c r="Q330" s="2116">
        <f>IFERROR(Q128/$G330/$H330/'4. L PLAN'!M$110,0)</f>
        <v>0</v>
      </c>
      <c r="R330" s="2117">
        <f>IFERROR(R128/$G330/$H330/'4. L PLAN'!N$110,0)</f>
        <v>0</v>
      </c>
      <c r="S330" s="2115">
        <f>IFERROR(S128/$G330/$H330/'4. L PLAN'!O$110,0)</f>
        <v>0</v>
      </c>
      <c r="T330" s="2116">
        <f>IFERROR(T128/$G330/$H330/'4. L PLAN'!P$110,0)</f>
        <v>0</v>
      </c>
      <c r="U330" s="2117">
        <f>IFERROR(U128/$G330/$H330/'4. L PLAN'!Q$110,0)</f>
        <v>0</v>
      </c>
      <c r="V330" s="1901">
        <f t="shared" si="219"/>
        <v>0</v>
      </c>
      <c r="Z330" s="9"/>
      <c r="AA330" s="1673">
        <f t="shared" si="221"/>
        <v>0</v>
      </c>
      <c r="AB330" s="1787">
        <f t="shared" si="222"/>
        <v>1</v>
      </c>
      <c r="AC330" s="1745">
        <f t="shared" si="223"/>
        <v>0</v>
      </c>
      <c r="AD330" s="1544" t="b">
        <f t="shared" si="224"/>
        <v>1</v>
      </c>
      <c r="AE330" s="1544" t="b">
        <f t="shared" si="225"/>
        <v>1</v>
      </c>
      <c r="AF330" s="1544" t="b">
        <f t="shared" si="226"/>
        <v>1</v>
      </c>
    </row>
    <row r="331" spans="1:32" ht="18" customHeight="1">
      <c r="A331" s="2154"/>
      <c r="B331" s="1785"/>
      <c r="C331" s="1673"/>
      <c r="D331" s="2114"/>
      <c r="E331" s="1673">
        <f>VLOOKUP(F331,B.BasicInfomation!B:C,2,0)</f>
        <v>0</v>
      </c>
      <c r="F331" s="1673" t="str">
        <f t="shared" si="220"/>
        <v>FCM30-Lower Housing</v>
      </c>
      <c r="G331" s="1909">
        <v>0</v>
      </c>
      <c r="H331" s="1787">
        <v>1</v>
      </c>
      <c r="I331" s="2013"/>
      <c r="J331" s="2115">
        <f>IFERROR(J129/$G331/$H331/'4. L PLAN'!F$110,0)</f>
        <v>0</v>
      </c>
      <c r="K331" s="2116">
        <f>IFERROR(K129/$G331/$H331/'4. L PLAN'!G$110,0)</f>
        <v>0</v>
      </c>
      <c r="L331" s="2117">
        <f>IFERROR(L129/$G331/$H331/'4. L PLAN'!H$110,0)</f>
        <v>0</v>
      </c>
      <c r="M331" s="2115">
        <f>IFERROR(M129/$G331/$H331/'4. L PLAN'!I$110,0)</f>
        <v>0</v>
      </c>
      <c r="N331" s="2116">
        <f>IFERROR(N129/$G331/$H331/'4. L PLAN'!J$110,0)</f>
        <v>0</v>
      </c>
      <c r="O331" s="2117">
        <f>IFERROR(O129/$G331/$H331/'4. L PLAN'!K$110,0)</f>
        <v>0</v>
      </c>
      <c r="P331" s="2115">
        <f>IFERROR(P129/$G331/$H331/'4. L PLAN'!L$110,0)</f>
        <v>0</v>
      </c>
      <c r="Q331" s="2116">
        <f>IFERROR(Q129/$G331/$H331/'4. L PLAN'!M$110,0)</f>
        <v>0</v>
      </c>
      <c r="R331" s="2117">
        <f>IFERROR(R129/$G331/$H331/'4. L PLAN'!N$110,0)</f>
        <v>0</v>
      </c>
      <c r="S331" s="2115">
        <f>IFERROR(S129/$G331/$H331/'4. L PLAN'!O$110,0)</f>
        <v>0</v>
      </c>
      <c r="T331" s="2116">
        <f>IFERROR(T129/$G331/$H331/'4. L PLAN'!P$110,0)</f>
        <v>0</v>
      </c>
      <c r="U331" s="2117">
        <f>IFERROR(U129/$G331/$H331/'4. L PLAN'!Q$110,0)</f>
        <v>0</v>
      </c>
      <c r="V331" s="1901">
        <f t="shared" si="219"/>
        <v>0</v>
      </c>
      <c r="Z331" s="9"/>
      <c r="AA331" s="1673">
        <f t="shared" si="221"/>
        <v>0</v>
      </c>
      <c r="AB331" s="1787">
        <f t="shared" si="222"/>
        <v>1</v>
      </c>
      <c r="AC331" s="1745">
        <f t="shared" si="223"/>
        <v>0</v>
      </c>
      <c r="AD331" s="1544" t="b">
        <f t="shared" si="224"/>
        <v>1</v>
      </c>
      <c r="AE331" s="1544" t="b">
        <f t="shared" si="225"/>
        <v>1</v>
      </c>
      <c r="AF331" s="1544" t="b">
        <f t="shared" si="226"/>
        <v>1</v>
      </c>
    </row>
    <row r="332" spans="1:32" ht="18" customHeight="1">
      <c r="A332" s="2154"/>
      <c r="B332" s="1785"/>
      <c r="C332" s="1673"/>
      <c r="D332" s="31"/>
      <c r="E332" s="61">
        <f>VLOOKUP(F332,B.BasicInfomation!B:C,2,0)</f>
        <v>0</v>
      </c>
      <c r="F332" s="1673" t="str">
        <f t="shared" si="220"/>
        <v>OMS Entry Vcsel Cover(250A)</v>
      </c>
      <c r="G332" s="1909">
        <v>2120</v>
      </c>
      <c r="H332" s="1787">
        <v>1</v>
      </c>
      <c r="I332" s="2013"/>
      <c r="J332" s="2115">
        <f>IFERROR(J130/$G332/$H332/'4. L PLAN'!F$110,0)</f>
        <v>0</v>
      </c>
      <c r="K332" s="2116">
        <f>IFERROR(K130/$G332/$H332/'4. L PLAN'!G$110,0)</f>
        <v>0</v>
      </c>
      <c r="L332" s="2117">
        <f>IFERROR(L130/$G332/$H332/'4. L PLAN'!H$110,0)</f>
        <v>0</v>
      </c>
      <c r="M332" s="2115">
        <f>IFERROR(M130/$G332/$H332/'4. L PLAN'!I$110,0)</f>
        <v>0</v>
      </c>
      <c r="N332" s="2116">
        <f>IFERROR(N130/$G332/$H332/'4. L PLAN'!J$110,0)</f>
        <v>0</v>
      </c>
      <c r="O332" s="2117">
        <f>IFERROR(O130/$G332/$H332/'4. L PLAN'!K$110,0)</f>
        <v>0</v>
      </c>
      <c r="P332" s="2115">
        <f>IFERROR(P130/$G332/$H332/'4. L PLAN'!L$110,0)</f>
        <v>0</v>
      </c>
      <c r="Q332" s="2116">
        <f>IFERROR(Q130/$G332/$H332/'4. L PLAN'!M$110,0)</f>
        <v>0</v>
      </c>
      <c r="R332" s="2117">
        <f>IFERROR(R130/$G332/$H332/'4. L PLAN'!N$110,0)</f>
        <v>0</v>
      </c>
      <c r="S332" s="2115">
        <f>IFERROR(S130/$G332/$H332/'4. L PLAN'!O$110,0)</f>
        <v>0</v>
      </c>
      <c r="T332" s="2116">
        <f>IFERROR(T130/$G332/$H332/'4. L PLAN'!P$110,0)</f>
        <v>0</v>
      </c>
      <c r="U332" s="2117">
        <f>IFERROR(U130/$G332/$H332/'4. L PLAN'!Q$110,0)</f>
        <v>0</v>
      </c>
      <c r="V332" s="1901">
        <f t="shared" ref="V332" si="227">AVERAGE(J332:U332)</f>
        <v>0</v>
      </c>
      <c r="Z332" s="9"/>
      <c r="AA332" s="1673">
        <f t="shared" si="221"/>
        <v>2120</v>
      </c>
      <c r="AB332" s="1787">
        <f t="shared" si="222"/>
        <v>1</v>
      </c>
      <c r="AC332" s="1745">
        <f t="shared" si="223"/>
        <v>0</v>
      </c>
      <c r="AD332" s="1544" t="b">
        <f t="shared" si="224"/>
        <v>1</v>
      </c>
      <c r="AE332" s="1544" t="b">
        <f t="shared" si="225"/>
        <v>1</v>
      </c>
      <c r="AF332" s="1544" t="b">
        <f t="shared" si="226"/>
        <v>1</v>
      </c>
    </row>
    <row r="333" spans="1:32" ht="18" customHeight="1">
      <c r="A333" s="2154"/>
      <c r="B333" s="1785"/>
      <c r="C333" s="1673"/>
      <c r="D333" s="27"/>
      <c r="E333" s="2140">
        <f>VLOOKUP(F333,B.BasicInfomation!B:C,2,0)</f>
        <v>0</v>
      </c>
      <c r="F333" s="1774" t="str">
        <f t="shared" si="220"/>
        <v>HKMC Ikc Camera Base</v>
      </c>
      <c r="G333" s="4263">
        <v>2120</v>
      </c>
      <c r="H333" s="2135">
        <v>1</v>
      </c>
      <c r="I333" s="2025"/>
      <c r="J333" s="2136">
        <f>IFERROR(J131/$G333/$H333/'4. L PLAN'!F$110,0)</f>
        <v>1.3480298543678416E-2</v>
      </c>
      <c r="K333" s="2137">
        <f>IFERROR(K131/$G333/$H333/'4. L PLAN'!G$110,0)</f>
        <v>2.1905485133477426E-2</v>
      </c>
      <c r="L333" s="2138">
        <f>IFERROR(L131/$G333/$H333/'4. L PLAN'!H$110,0)</f>
        <v>0</v>
      </c>
      <c r="M333" s="2136">
        <f>IFERROR(M131/$G333/$H333/'4. L PLAN'!I$110,0)</f>
        <v>0</v>
      </c>
      <c r="N333" s="2137">
        <f>IFERROR(N131/$G333/$H333/'4. L PLAN'!J$110,0)</f>
        <v>0</v>
      </c>
      <c r="O333" s="2138">
        <f>IFERROR(O131/$G333/$H333/'4. L PLAN'!K$110,0)</f>
        <v>0</v>
      </c>
      <c r="P333" s="2136">
        <f>IFERROR(P131/$G333/$H333/'4. L PLAN'!L$110,0)</f>
        <v>0</v>
      </c>
      <c r="Q333" s="2137">
        <f>IFERROR(Q131/$G333/$H333/'4. L PLAN'!M$110,0)</f>
        <v>0</v>
      </c>
      <c r="R333" s="2138">
        <f>IFERROR(R131/$G333/$H333/'4. L PLAN'!N$110,0)</f>
        <v>0</v>
      </c>
      <c r="S333" s="2136">
        <f>IFERROR(S131/$G333/$H333/'4. L PLAN'!O$110,0)</f>
        <v>0</v>
      </c>
      <c r="T333" s="2137">
        <f>IFERROR(T131/$G333/$H333/'4. L PLAN'!P$110,0)</f>
        <v>0</v>
      </c>
      <c r="U333" s="2138">
        <f>IFERROR(U131/$G333/$H333/'4. L PLAN'!Q$110,0)</f>
        <v>0</v>
      </c>
      <c r="V333" s="2139">
        <f>AVERAGE(J333:U333)</f>
        <v>2.9488153064296534E-3</v>
      </c>
      <c r="Z333" s="9"/>
      <c r="AA333" s="1673">
        <f t="shared" si="221"/>
        <v>2120</v>
      </c>
      <c r="AB333" s="1787">
        <f t="shared" si="222"/>
        <v>1</v>
      </c>
      <c r="AC333" s="1745">
        <f t="shared" si="223"/>
        <v>0</v>
      </c>
      <c r="AD333" s="1544" t="b">
        <f t="shared" si="224"/>
        <v>1</v>
      </c>
      <c r="AE333" s="1544" t="b">
        <f t="shared" si="225"/>
        <v>1</v>
      </c>
      <c r="AF333" s="1544" t="b">
        <f t="shared" si="226"/>
        <v>1</v>
      </c>
    </row>
    <row r="334" spans="1:32" ht="18" customHeight="1">
      <c r="A334" s="2154"/>
      <c r="B334" s="1785"/>
      <c r="C334" s="1673"/>
      <c r="D334" s="2128" t="str">
        <f>'2. S Plan'!D132</f>
        <v>CAM L.Mount</v>
      </c>
      <c r="E334" s="1767">
        <f>VLOOKUP(F334,B.BasicInfomation!B:C,2,0)</f>
        <v>0</v>
      </c>
      <c r="F334" s="1767" t="str">
        <f t="shared" si="220"/>
        <v>OMS Entry Lens Holder (203A)</v>
      </c>
      <c r="G334" s="4262">
        <v>880</v>
      </c>
      <c r="H334" s="2129">
        <v>1</v>
      </c>
      <c r="I334" s="2037"/>
      <c r="J334" s="2130">
        <f>IFERROR(J132/$G334/$H334/'4. L PLAN'!F$110,0)</f>
        <v>0</v>
      </c>
      <c r="K334" s="2131">
        <f>IFERROR(K132/$G334/$H334/'4. L PLAN'!G$110,0)</f>
        <v>0</v>
      </c>
      <c r="L334" s="2132">
        <f>IFERROR(L132/$G334/$H334/'4. L PLAN'!H$110,0)</f>
        <v>0</v>
      </c>
      <c r="M334" s="2130">
        <f>IFERROR(M132/$G334/$H334/'4. L PLAN'!I$110,0)</f>
        <v>0</v>
      </c>
      <c r="N334" s="2131">
        <f>IFERROR(N132/$G334/$H334/'4. L PLAN'!J$110,0)</f>
        <v>0</v>
      </c>
      <c r="O334" s="2132">
        <f>IFERROR(O132/$G334/$H334/'4. L PLAN'!K$110,0)</f>
        <v>0</v>
      </c>
      <c r="P334" s="2130">
        <f>IFERROR(P132/$G334/$H334/'4. L PLAN'!L$110,0)</f>
        <v>0</v>
      </c>
      <c r="Q334" s="2131">
        <f>IFERROR(Q132/$G334/$H334/'4. L PLAN'!M$110,0)</f>
        <v>0</v>
      </c>
      <c r="R334" s="2132">
        <f>IFERROR(R132/$G334/$H334/'4. L PLAN'!N$110,0)</f>
        <v>0</v>
      </c>
      <c r="S334" s="2130">
        <f>IFERROR(S132/$G334/$H334/'4. L PLAN'!O$110,0)</f>
        <v>0</v>
      </c>
      <c r="T334" s="2131">
        <f>IFERROR(T132/$G334/$H334/'4. L PLAN'!P$110,0)</f>
        <v>0</v>
      </c>
      <c r="U334" s="2132">
        <f>IFERROR(U132/$G334/$H334/'4. L PLAN'!Q$110,0)</f>
        <v>0</v>
      </c>
      <c r="V334" s="2133">
        <f t="shared" ref="V334:V371" si="228">AVERAGE(J334:U334)</f>
        <v>0</v>
      </c>
      <c r="Z334" s="9"/>
      <c r="AA334" s="1673">
        <f t="shared" si="221"/>
        <v>880</v>
      </c>
      <c r="AB334" s="1787">
        <f t="shared" si="222"/>
        <v>1</v>
      </c>
      <c r="AC334" s="1745">
        <f t="shared" si="223"/>
        <v>0</v>
      </c>
      <c r="AD334" s="1544" t="b">
        <f t="shared" si="224"/>
        <v>1</v>
      </c>
      <c r="AE334" s="1544" t="b">
        <f t="shared" si="225"/>
        <v>1</v>
      </c>
      <c r="AF334" s="1544" t="b">
        <f t="shared" si="226"/>
        <v>1</v>
      </c>
    </row>
    <row r="335" spans="1:32" ht="18" customHeight="1">
      <c r="A335" s="2154"/>
      <c r="B335" s="1785"/>
      <c r="C335" s="1673"/>
      <c r="D335" s="2114"/>
      <c r="E335" s="2141">
        <f>VLOOKUP(F335,B.BasicInfomation!B:C,2,0)</f>
        <v>0</v>
      </c>
      <c r="F335" s="1673" t="str">
        <f t="shared" si="220"/>
        <v>OMS Front Lens Holder (207A)</v>
      </c>
      <c r="G335" s="1909">
        <v>830</v>
      </c>
      <c r="H335" s="1787">
        <v>1</v>
      </c>
      <c r="I335" s="2013"/>
      <c r="J335" s="2115">
        <f>IFERROR(J133/$G335/$H335/'4. L PLAN'!F$110,0)</f>
        <v>0</v>
      </c>
      <c r="K335" s="2116">
        <f>IFERROR(K133/$G335/$H335/'4. L PLAN'!G$110,0)</f>
        <v>0</v>
      </c>
      <c r="L335" s="2117">
        <f>IFERROR(L133/$G335/$H335/'4. L PLAN'!H$110,0)</f>
        <v>0</v>
      </c>
      <c r="M335" s="2115">
        <f>IFERROR(M133/$G335/$H335/'4. L PLAN'!I$110,0)</f>
        <v>0</v>
      </c>
      <c r="N335" s="2116">
        <f>IFERROR(N133/$G335/$H335/'4. L PLAN'!J$110,0)</f>
        <v>0</v>
      </c>
      <c r="O335" s="2117">
        <f>IFERROR(O133/$G335/$H335/'4. L PLAN'!K$110,0)</f>
        <v>0</v>
      </c>
      <c r="P335" s="2115">
        <f>IFERROR(P133/$G335/$H335/'4. L PLAN'!L$110,0)</f>
        <v>0</v>
      </c>
      <c r="Q335" s="2116">
        <f>IFERROR(Q133/$G335/$H335/'4. L PLAN'!M$110,0)</f>
        <v>0</v>
      </c>
      <c r="R335" s="2117">
        <f>IFERROR(R133/$G335/$H335/'4. L PLAN'!N$110,0)</f>
        <v>0</v>
      </c>
      <c r="S335" s="2115">
        <f>IFERROR(S133/$G335/$H335/'4. L PLAN'!O$110,0)</f>
        <v>0</v>
      </c>
      <c r="T335" s="2116">
        <f>IFERROR(T133/$G335/$H335/'4. L PLAN'!P$110,0)</f>
        <v>0</v>
      </c>
      <c r="U335" s="2117">
        <f>IFERROR(U133/$G335/$H335/'4. L PLAN'!Q$110,0)</f>
        <v>0</v>
      </c>
      <c r="V335" s="1901">
        <f t="shared" si="228"/>
        <v>0</v>
      </c>
      <c r="Z335" s="9"/>
      <c r="AA335" s="1673">
        <f t="shared" si="221"/>
        <v>830</v>
      </c>
      <c r="AB335" s="1787">
        <f t="shared" si="222"/>
        <v>1</v>
      </c>
      <c r="AC335" s="1745">
        <f t="shared" si="223"/>
        <v>0</v>
      </c>
      <c r="AD335" s="1544" t="b">
        <f t="shared" si="224"/>
        <v>1</v>
      </c>
      <c r="AE335" s="1544" t="b">
        <f t="shared" si="225"/>
        <v>1</v>
      </c>
      <c r="AF335" s="1544" t="b">
        <f t="shared" si="226"/>
        <v>1</v>
      </c>
    </row>
    <row r="336" spans="1:32" ht="18" customHeight="1">
      <c r="A336" s="2154"/>
      <c r="B336" s="1785"/>
      <c r="C336" s="1673"/>
      <c r="D336" s="2011"/>
      <c r="E336" s="2141">
        <f>VLOOKUP(F336,B.BasicInfomation!B:C,2,0)</f>
        <v>22</v>
      </c>
      <c r="F336" s="1673" t="str">
        <f t="shared" si="220"/>
        <v>MPC5.5 Cover Lens</v>
      </c>
      <c r="G336" s="1909">
        <v>1250</v>
      </c>
      <c r="H336" s="1787">
        <v>1</v>
      </c>
      <c r="I336" s="2013"/>
      <c r="J336" s="2115">
        <f>IFERROR(J134/$G336/$H336/'4. L PLAN'!F$110,0)</f>
        <v>5.1431725732474174</v>
      </c>
      <c r="K336" s="2116">
        <f>IFERROR(K134/$G336/$H336/'4. L PLAN'!G$110,0)</f>
        <v>5.0742907977128544</v>
      </c>
      <c r="L336" s="2117">
        <f>IFERROR(L134/$G336/$H336/'4. L PLAN'!H$110,0)</f>
        <v>4.4084336342120727</v>
      </c>
      <c r="M336" s="2115">
        <f>IFERROR(M134/$G336/$H336/'4. L PLAN'!I$110,0)</f>
        <v>2.6744497380886569</v>
      </c>
      <c r="N336" s="2116">
        <f>IFERROR(N134/$G336/$H336/'4. L PLAN'!J$110,0)</f>
        <v>2.6744497380886569</v>
      </c>
      <c r="O336" s="2117">
        <f>IFERROR(O134/$G336/$H336/'4. L PLAN'!K$110,0)</f>
        <v>1.9103212414918977</v>
      </c>
      <c r="P336" s="2115">
        <f>IFERROR(P134/$G336/$H336/'4. L PLAN'!L$110,0)</f>
        <v>1.7688159643443497</v>
      </c>
      <c r="Q336" s="2116">
        <f>IFERROR(Q134/$G336/$H336/'4. L PLAN'!M$110,0)</f>
        <v>1.8368473475883631</v>
      </c>
      <c r="R336" s="2117">
        <f>IFERROR(R134/$G336/$H336/'4. L PLAN'!N$110,0)</f>
        <v>1.9103212414918977</v>
      </c>
      <c r="S336" s="2115">
        <f>IFERROR(S134/$G336/$H336/'4. L PLAN'!O$110,0)</f>
        <v>1.7688159643443497</v>
      </c>
      <c r="T336" s="2116">
        <f>IFERROR(T134/$G336/$H336/'4. L PLAN'!P$110,0)</f>
        <v>1.9103212414918977</v>
      </c>
      <c r="U336" s="2117">
        <f>IFERROR(U134/$G336/$H336/'4. L PLAN'!Q$110,0)</f>
        <v>1.7688159643443497</v>
      </c>
      <c r="V336" s="1901">
        <f t="shared" si="228"/>
        <v>2.737421287203897</v>
      </c>
      <c r="Z336" s="9"/>
      <c r="AA336" s="1673">
        <f t="shared" si="221"/>
        <v>1250</v>
      </c>
      <c r="AB336" s="1787">
        <f t="shared" si="222"/>
        <v>1</v>
      </c>
      <c r="AC336" s="1745">
        <f t="shared" si="223"/>
        <v>0</v>
      </c>
      <c r="AD336" s="1544" t="b">
        <f t="shared" si="224"/>
        <v>1</v>
      </c>
      <c r="AE336" s="1544" t="b">
        <f t="shared" si="225"/>
        <v>1</v>
      </c>
      <c r="AF336" s="1544" t="b">
        <f t="shared" si="226"/>
        <v>1</v>
      </c>
    </row>
    <row r="337" spans="1:32" ht="18" customHeight="1">
      <c r="A337" s="2154"/>
      <c r="B337" s="1785"/>
      <c r="C337" s="1673"/>
      <c r="D337" s="2011"/>
      <c r="E337" s="2141">
        <f>VLOOKUP(F337,B.BasicInfomation!B:C,2,0)</f>
        <v>0</v>
      </c>
      <c r="F337" s="4379" t="str">
        <f t="shared" si="220"/>
        <v xml:space="preserve">FCM30 Lens Holder </v>
      </c>
      <c r="G337" s="4378"/>
      <c r="H337" s="1787">
        <v>1</v>
      </c>
      <c r="I337" s="2013"/>
      <c r="J337" s="2115">
        <f>IFERROR(J135/$G337/$H337/'4. L PLAN'!F$110,0)</f>
        <v>0</v>
      </c>
      <c r="K337" s="2116">
        <f>IFERROR(K135/$G337/$H337/'4. L PLAN'!G$110,0)</f>
        <v>0</v>
      </c>
      <c r="L337" s="2117">
        <f>IFERROR(L135/$G337/$H337/'4. L PLAN'!H$110,0)</f>
        <v>0</v>
      </c>
      <c r="M337" s="2115">
        <f>IFERROR(M135/$G337/$H337/'4. L PLAN'!I$110,0)</f>
        <v>0</v>
      </c>
      <c r="N337" s="2116">
        <f>IFERROR(N135/$G337/$H337/'4. L PLAN'!J$110,0)</f>
        <v>0</v>
      </c>
      <c r="O337" s="2117">
        <f>IFERROR(O135/$G337/$H337/'4. L PLAN'!K$110,0)</f>
        <v>0</v>
      </c>
      <c r="P337" s="2115">
        <f>IFERROR(P135/$G337/$H337/'4. L PLAN'!L$110,0)</f>
        <v>0</v>
      </c>
      <c r="Q337" s="2116">
        <f>IFERROR(Q135/$G337/$H337/'4. L PLAN'!M$110,0)</f>
        <v>0</v>
      </c>
      <c r="R337" s="2117">
        <f>IFERROR(R135/$G337/$H337/'4. L PLAN'!N$110,0)</f>
        <v>0</v>
      </c>
      <c r="S337" s="2115">
        <f>IFERROR(S135/$G337/$H337/'4. L PLAN'!O$110,0)</f>
        <v>0</v>
      </c>
      <c r="T337" s="2116">
        <f>IFERROR(T135/$G337/$H337/'4. L PLAN'!P$110,0)</f>
        <v>0</v>
      </c>
      <c r="U337" s="2117">
        <f>IFERROR(U135/$G337/$H337/'4. L PLAN'!Q$110,0)</f>
        <v>0</v>
      </c>
      <c r="V337" s="1901">
        <f t="shared" si="228"/>
        <v>0</v>
      </c>
      <c r="Z337" s="9"/>
      <c r="AA337" s="1673">
        <f t="shared" si="221"/>
        <v>0</v>
      </c>
      <c r="AB337" s="1787">
        <f t="shared" si="222"/>
        <v>1</v>
      </c>
      <c r="AC337" s="1745">
        <f t="shared" si="223"/>
        <v>0</v>
      </c>
      <c r="AD337" s="1544" t="b">
        <f t="shared" si="224"/>
        <v>1</v>
      </c>
      <c r="AE337" s="1544" t="b">
        <f t="shared" si="225"/>
        <v>1</v>
      </c>
      <c r="AF337" s="1544" t="b">
        <f t="shared" si="226"/>
        <v>1</v>
      </c>
    </row>
    <row r="338" spans="1:32" ht="18" customHeight="1">
      <c r="A338" s="2154"/>
      <c r="B338" s="1785"/>
      <c r="C338" s="1756" t="s">
        <v>349</v>
      </c>
      <c r="D338" s="3493" t="str">
        <f>'2. S Plan'!D136</f>
        <v>Motor HSG</v>
      </c>
      <c r="E338" s="1756">
        <f>VLOOKUP(F338,B.BasicInfomation!B:C,2,0)</f>
        <v>23</v>
      </c>
      <c r="F338" s="1756" t="str">
        <f t="shared" si="220"/>
        <v>NX4 HSG</v>
      </c>
      <c r="G338" s="4261">
        <v>400</v>
      </c>
      <c r="H338" s="2142">
        <v>1</v>
      </c>
      <c r="I338" s="2967"/>
      <c r="J338" s="2123">
        <f>IFERROR(J136/$G338/$H338/'4. L PLAN'!F$110,0)</f>
        <v>4.3724696356275308</v>
      </c>
      <c r="K338" s="2124">
        <f>IFERROR(K136/$G338/$H338/'4. L PLAN'!G$110,0)</f>
        <v>9.4736842105263186</v>
      </c>
      <c r="L338" s="2125">
        <f>IFERROR(L136/$G338/$H338/'4. L PLAN'!H$110,0)</f>
        <v>5.7836899942163109</v>
      </c>
      <c r="M338" s="2123">
        <f>IFERROR(M136/$G338/$H338/'4. L PLAN'!I$110,0)</f>
        <v>5.2631578947368416</v>
      </c>
      <c r="N338" s="2124">
        <f>IFERROR(N136/$G338/$H338/'4. L PLAN'!J$110,0)</f>
        <v>5.2631578947368416</v>
      </c>
      <c r="O338" s="2125">
        <f>IFERROR(O136/$G338/$H338/'4. L PLAN'!K$110,0)</f>
        <v>5.2631578947368416</v>
      </c>
      <c r="P338" s="2123">
        <f>IFERROR(P136/$G338/$H338/'4. L PLAN'!L$110,0)</f>
        <v>4.8732943469785575</v>
      </c>
      <c r="Q338" s="2124">
        <f>IFERROR(Q136/$G338/$H338/'4. L PLAN'!M$110,0)</f>
        <v>5.0607287449392704</v>
      </c>
      <c r="R338" s="2125">
        <f>IFERROR(R136/$G338/$H338/'4. L PLAN'!N$110,0)</f>
        <v>5.2631578947368416</v>
      </c>
      <c r="S338" s="2123">
        <f>IFERROR(S136/$G338/$H338/'4. L PLAN'!O$110,0)</f>
        <v>4.8732943469785575</v>
      </c>
      <c r="T338" s="2124">
        <f>IFERROR(T136/$G338/$H338/'4. L PLAN'!P$110,0)</f>
        <v>5.2631578947368416</v>
      </c>
      <c r="U338" s="2125">
        <f>IFERROR(U136/$G338/$H338/'4. L PLAN'!Q$110,0)</f>
        <v>4.8732943469785575</v>
      </c>
      <c r="V338" s="2126">
        <f t="shared" si="228"/>
        <v>5.4688537583274437</v>
      </c>
      <c r="Z338" s="9"/>
      <c r="AA338" s="1673">
        <f t="shared" si="221"/>
        <v>400</v>
      </c>
      <c r="AB338" s="1787">
        <f t="shared" si="222"/>
        <v>1</v>
      </c>
      <c r="AC338" s="1745">
        <f t="shared" si="223"/>
        <v>0</v>
      </c>
      <c r="AD338" s="1544" t="b">
        <f t="shared" si="224"/>
        <v>1</v>
      </c>
      <c r="AE338" s="1544" t="b">
        <f t="shared" si="225"/>
        <v>1</v>
      </c>
      <c r="AF338" s="1544" t="b">
        <f t="shared" si="226"/>
        <v>1</v>
      </c>
    </row>
    <row r="339" spans="1:32" ht="18" customHeight="1">
      <c r="A339" s="2154"/>
      <c r="B339" s="1785"/>
      <c r="C339" s="1673"/>
      <c r="D339" s="2114"/>
      <c r="E339" s="1673">
        <f>VLOOKUP(F339,B.BasicInfomation!B:C,2,0)</f>
        <v>24</v>
      </c>
      <c r="F339" s="1673" t="str">
        <f t="shared" si="220"/>
        <v>IMEB2 Housing</v>
      </c>
      <c r="G339" s="1909">
        <v>530</v>
      </c>
      <c r="H339" s="1787">
        <v>1</v>
      </c>
      <c r="I339" s="2013"/>
      <c r="J339" s="2115">
        <f>IFERROR(J137/$G339/$H339/'4. L PLAN'!F$110,0)</f>
        <v>4.5256828573611099</v>
      </c>
      <c r="K339" s="2116">
        <f>IFERROR(K137/$G339/$H339/'4. L PLAN'!G$110,0)</f>
        <v>4.9028230954745364</v>
      </c>
      <c r="L339" s="2117">
        <f>IFERROR(L137/$G339/$H339/'4. L PLAN'!H$110,0)</f>
        <v>5.4563113152984073</v>
      </c>
      <c r="M339" s="2115">
        <f>IFERROR(M137/$G339/$H339/'4. L PLAN'!I$110,0)</f>
        <v>5.6745637679103433</v>
      </c>
      <c r="N339" s="2116">
        <f>IFERROR(N137/$G339/$H339/'4. L PLAN'!J$110,0)</f>
        <v>5.6745637679103433</v>
      </c>
      <c r="O339" s="2117">
        <f>IFERROR(O137/$G339/$H339/'4. L PLAN'!K$110,0)</f>
        <v>5.6745637679103433</v>
      </c>
      <c r="P339" s="2115">
        <f>IFERROR(P137/$G339/$H339/'4. L PLAN'!L$110,0)</f>
        <v>5.2542257110280959</v>
      </c>
      <c r="Q339" s="2116">
        <f>IFERROR(Q137/$G339/$H339/'4. L PLAN'!M$110,0)</f>
        <v>5.4563113152984073</v>
      </c>
      <c r="R339" s="2117">
        <f>IFERROR(R137/$G339/$H339/'4. L PLAN'!N$110,0)</f>
        <v>5.6745637679103433</v>
      </c>
      <c r="S339" s="2115">
        <f>IFERROR(S137/$G339/$H339/'4. L PLAN'!O$110,0)</f>
        <v>5.2542257110280959</v>
      </c>
      <c r="T339" s="2116">
        <f>IFERROR(T137/$G339/$H339/'4. L PLAN'!P$110,0)</f>
        <v>5.6745637679103433</v>
      </c>
      <c r="U339" s="2117">
        <f>IFERROR(U137/$G339/$H339/'4. L PLAN'!Q$110,0)</f>
        <v>5.2542257110280959</v>
      </c>
      <c r="V339" s="1901">
        <f t="shared" si="228"/>
        <v>5.3730520463390379</v>
      </c>
      <c r="Z339" s="9"/>
      <c r="AA339" s="1673">
        <f t="shared" si="221"/>
        <v>530</v>
      </c>
      <c r="AB339" s="1787">
        <f t="shared" si="222"/>
        <v>1</v>
      </c>
      <c r="AC339" s="1745">
        <f t="shared" si="223"/>
        <v>0</v>
      </c>
      <c r="AD339" s="1544" t="b">
        <f t="shared" si="224"/>
        <v>1</v>
      </c>
      <c r="AE339" s="1544" t="b">
        <f t="shared" si="225"/>
        <v>1</v>
      </c>
      <c r="AF339" s="1544" t="b">
        <f t="shared" si="226"/>
        <v>1</v>
      </c>
    </row>
    <row r="340" spans="1:32" ht="18" customHeight="1">
      <c r="A340" s="2154"/>
      <c r="B340" s="1785"/>
      <c r="C340" s="1673"/>
      <c r="D340" s="2114"/>
      <c r="E340" s="1673">
        <f>VLOOKUP(F340,B.BasicInfomation!B:C,2,0)</f>
        <v>25</v>
      </c>
      <c r="F340" s="1673" t="str">
        <f t="shared" si="220"/>
        <v>J100 Housing</v>
      </c>
      <c r="G340" s="1909">
        <v>390</v>
      </c>
      <c r="H340" s="1787">
        <v>1</v>
      </c>
      <c r="I340" s="2013"/>
      <c r="J340" s="2115">
        <f>IFERROR(J138/$G340/$H340/'4. L PLAN'!F$110,0)</f>
        <v>0.74743070694487723</v>
      </c>
      <c r="K340" s="2116">
        <f>IFERROR(K138/$G340/$H340/'4. L PLAN'!G$110,0)</f>
        <v>1.2045018937249516</v>
      </c>
      <c r="L340" s="2117">
        <f>IFERROR(L138/$G340/$H340/'4. L PLAN'!H$110,0)</f>
        <v>0.74743070694487723</v>
      </c>
      <c r="M340" s="2115">
        <f>IFERROR(M138/$G340/$H340/'4. L PLAN'!I$110,0)</f>
        <v>0.38557933294775404</v>
      </c>
      <c r="N340" s="2116">
        <f>IFERROR(N138/$G340/$H340/'4. L PLAN'!J$110,0)</f>
        <v>0.38557933294775404</v>
      </c>
      <c r="O340" s="2117">
        <f>IFERROR(O138/$G340/$H340/'4. L PLAN'!K$110,0)</f>
        <v>0.38557933294775404</v>
      </c>
      <c r="P340" s="2115">
        <f>IFERROR(P138/$G340/$H340/'4. L PLAN'!L$110,0)</f>
        <v>0.35701790087755003</v>
      </c>
      <c r="Q340" s="2116">
        <f>IFERROR(Q138/$G340/$H340/'4. L PLAN'!M$110,0)</f>
        <v>0.37074935860360964</v>
      </c>
      <c r="R340" s="2117">
        <f>IFERROR(R138/$G340/$H340/'4. L PLAN'!N$110,0)</f>
        <v>0.38557933294775404</v>
      </c>
      <c r="S340" s="2115">
        <f>IFERROR(S138/$G340/$H340/'4. L PLAN'!O$110,0)</f>
        <v>0.35701790087755003</v>
      </c>
      <c r="T340" s="2116">
        <f>IFERROR(T138/$G340/$H340/'4. L PLAN'!P$110,0)</f>
        <v>0.38557933294775404</v>
      </c>
      <c r="U340" s="2117">
        <f>IFERROR(U138/$G340/$H340/'4. L PLAN'!Q$110,0)</f>
        <v>0.35701790087755003</v>
      </c>
      <c r="V340" s="1901">
        <f t="shared" si="228"/>
        <v>0.50575525279914468</v>
      </c>
      <c r="Z340" s="9"/>
      <c r="AA340" s="1673">
        <f t="shared" si="221"/>
        <v>390</v>
      </c>
      <c r="AB340" s="1787">
        <f t="shared" si="222"/>
        <v>1</v>
      </c>
      <c r="AC340" s="1745">
        <f t="shared" si="223"/>
        <v>0</v>
      </c>
      <c r="AD340" s="1544" t="b">
        <f t="shared" si="224"/>
        <v>1</v>
      </c>
      <c r="AE340" s="1544" t="b">
        <f t="shared" si="225"/>
        <v>1</v>
      </c>
      <c r="AF340" s="1544" t="b">
        <f t="shared" si="226"/>
        <v>1</v>
      </c>
    </row>
    <row r="341" spans="1:32" ht="18" customHeight="1">
      <c r="A341" s="2154"/>
      <c r="B341" s="1785"/>
      <c r="C341" s="1673"/>
      <c r="D341" s="2114"/>
      <c r="E341" s="1673">
        <f>VLOOKUP(F341,B.BasicInfomation!B:C,2,0)</f>
        <v>0</v>
      </c>
      <c r="F341" s="1673" t="str">
        <f t="shared" si="220"/>
        <v>BENZ R-EPS HSG (Anodizing)</v>
      </c>
      <c r="G341" s="1909">
        <v>390</v>
      </c>
      <c r="H341" s="1787">
        <v>1</v>
      </c>
      <c r="I341" s="2013"/>
      <c r="J341" s="2115">
        <f>IFERROR(J139/$G341/$H341/'4. L PLAN'!F$110,0)</f>
        <v>0</v>
      </c>
      <c r="K341" s="2116">
        <f>IFERROR(K139/$G341/$H341/'4. L PLAN'!G$110,0)</f>
        <v>0</v>
      </c>
      <c r="L341" s="2117">
        <f>IFERROR(L139/$G341/$H341/'4. L PLAN'!H$110,0)</f>
        <v>0</v>
      </c>
      <c r="M341" s="2115">
        <f>IFERROR(M139/$G341/$H341/'4. L PLAN'!I$110,0)</f>
        <v>0</v>
      </c>
      <c r="N341" s="2116">
        <f>IFERROR(N139/$G341/$H341/'4. L PLAN'!J$110,0)</f>
        <v>0</v>
      </c>
      <c r="O341" s="2117">
        <f>IFERROR(O139/$G341/$H341/'4. L PLAN'!K$110,0)</f>
        <v>0</v>
      </c>
      <c r="P341" s="2115">
        <f>IFERROR(P139/$G341/$H341/'4. L PLAN'!L$110,0)</f>
        <v>0</v>
      </c>
      <c r="Q341" s="2116">
        <f>IFERROR(Q139/$G341/$H341/'4. L PLAN'!M$110,0)</f>
        <v>0</v>
      </c>
      <c r="R341" s="2117">
        <f>IFERROR(R139/$G341/$H341/'4. L PLAN'!N$110,0)</f>
        <v>0</v>
      </c>
      <c r="S341" s="2115">
        <f>IFERROR(S139/$G341/$H341/'4. L PLAN'!O$110,0)</f>
        <v>0</v>
      </c>
      <c r="T341" s="2116">
        <f>IFERROR(T139/$G341/$H341/'4. L PLAN'!P$110,0)</f>
        <v>0</v>
      </c>
      <c r="U341" s="2117">
        <f>IFERROR(U139/$G341/$H341/'4. L PLAN'!Q$110,0)</f>
        <v>0</v>
      </c>
      <c r="V341" s="1901">
        <f t="shared" si="228"/>
        <v>0</v>
      </c>
      <c r="Z341" s="9"/>
      <c r="AA341" s="1673">
        <f t="shared" si="221"/>
        <v>390</v>
      </c>
      <c r="AB341" s="1787">
        <f t="shared" si="222"/>
        <v>1</v>
      </c>
      <c r="AC341" s="1745">
        <f t="shared" si="223"/>
        <v>0</v>
      </c>
      <c r="AD341" s="1544" t="b">
        <f t="shared" si="224"/>
        <v>1</v>
      </c>
      <c r="AE341" s="1544" t="b">
        <f t="shared" si="225"/>
        <v>1</v>
      </c>
      <c r="AF341" s="1544" t="b">
        <f t="shared" si="226"/>
        <v>1</v>
      </c>
    </row>
    <row r="342" spans="1:32" ht="18" customHeight="1">
      <c r="A342" s="2154"/>
      <c r="B342" s="1785"/>
      <c r="C342" s="1673"/>
      <c r="D342" s="2114"/>
      <c r="E342" s="1673">
        <f>VLOOKUP(F342,B.BasicInfomation!B:C,2,0)</f>
        <v>0</v>
      </c>
      <c r="F342" s="1673" t="str">
        <f t="shared" si="220"/>
        <v>NE2 R-EPS HSG</v>
      </c>
      <c r="G342" s="1909">
        <v>390</v>
      </c>
      <c r="H342" s="1787">
        <v>1</v>
      </c>
      <c r="I342" s="2013"/>
      <c r="J342" s="2115">
        <f>IFERROR(J140/$G342/$H342/'4. L PLAN'!F$110,0)</f>
        <v>0</v>
      </c>
      <c r="K342" s="2116">
        <f>IFERROR(K140/$G342/$H342/'4. L PLAN'!G$110,0)</f>
        <v>0</v>
      </c>
      <c r="L342" s="2117">
        <f>IFERROR(L140/$G342/$H342/'4. L PLAN'!H$110,0)</f>
        <v>0</v>
      </c>
      <c r="M342" s="2115">
        <f>IFERROR(M140/$G342/$H342/'4. L PLAN'!I$110,0)</f>
        <v>0</v>
      </c>
      <c r="N342" s="2116">
        <f>IFERROR(N140/$G342/$H342/'4. L PLAN'!J$110,0)</f>
        <v>0</v>
      </c>
      <c r="O342" s="2117">
        <f>IFERROR(O140/$G342/$H342/'4. L PLAN'!K$110,0)</f>
        <v>0</v>
      </c>
      <c r="P342" s="2115">
        <f>IFERROR(P140/$G342/$H342/'4. L PLAN'!L$110,0)</f>
        <v>0</v>
      </c>
      <c r="Q342" s="2116">
        <f>IFERROR(Q140/$G342/$H342/'4. L PLAN'!M$110,0)</f>
        <v>0</v>
      </c>
      <c r="R342" s="2117">
        <f>IFERROR(R140/$G342/$H342/'4. L PLAN'!N$110,0)</f>
        <v>0</v>
      </c>
      <c r="S342" s="2115">
        <f>IFERROR(S140/$G342/$H342/'4. L PLAN'!O$110,0)</f>
        <v>0</v>
      </c>
      <c r="T342" s="2116">
        <f>IFERROR(T140/$G342/$H342/'4. L PLAN'!P$110,0)</f>
        <v>0</v>
      </c>
      <c r="U342" s="2117">
        <f>IFERROR(U140/$G342/$H342/'4. L PLAN'!Q$110,0)</f>
        <v>0</v>
      </c>
      <c r="V342" s="1901">
        <f t="shared" si="228"/>
        <v>0</v>
      </c>
      <c r="Z342" s="9"/>
      <c r="AA342" s="1673">
        <f t="shared" si="221"/>
        <v>390</v>
      </c>
      <c r="AB342" s="1787">
        <f t="shared" si="222"/>
        <v>1</v>
      </c>
      <c r="AC342" s="1745">
        <f t="shared" si="223"/>
        <v>0</v>
      </c>
      <c r="AD342" s="1544" t="b">
        <f t="shared" si="224"/>
        <v>1</v>
      </c>
      <c r="AE342" s="1544" t="b">
        <f t="shared" si="225"/>
        <v>1</v>
      </c>
      <c r="AF342" s="1544" t="b">
        <f t="shared" si="226"/>
        <v>1</v>
      </c>
    </row>
    <row r="343" spans="1:32" ht="18" customHeight="1">
      <c r="A343" s="2154"/>
      <c r="B343" s="1785"/>
      <c r="C343" s="1673"/>
      <c r="D343" s="2114"/>
      <c r="E343" s="1673">
        <f>VLOOKUP(F343,B.BasicInfomation!B:C,2,0)</f>
        <v>0</v>
      </c>
      <c r="F343" s="1673" t="str">
        <f t="shared" si="220"/>
        <v>M184 R-EPS HSG</v>
      </c>
      <c r="G343" s="1909">
        <v>390</v>
      </c>
      <c r="H343" s="1787">
        <v>1</v>
      </c>
      <c r="I343" s="2013"/>
      <c r="J343" s="2115">
        <f>IFERROR(J141/$G343/$H343/'4. L PLAN'!F$110,0)</f>
        <v>0</v>
      </c>
      <c r="K343" s="2116">
        <f>IFERROR(K141/$G343/$H343/'4. L PLAN'!G$110,0)</f>
        <v>0</v>
      </c>
      <c r="L343" s="2117">
        <f>IFERROR(L141/$G343/$H343/'4. L PLAN'!H$110,0)</f>
        <v>0</v>
      </c>
      <c r="M343" s="2115">
        <f>IFERROR(M141/$G343/$H343/'4. L PLAN'!I$110,0)</f>
        <v>0</v>
      </c>
      <c r="N343" s="2116">
        <f>IFERROR(N141/$G343/$H343/'4. L PLAN'!J$110,0)</f>
        <v>0</v>
      </c>
      <c r="O343" s="2117">
        <f>IFERROR(O141/$G343/$H343/'4. L PLAN'!K$110,0)</f>
        <v>0</v>
      </c>
      <c r="P343" s="2115">
        <f>IFERROR(P141/$G343/$H343/'4. L PLAN'!L$110,0)</f>
        <v>0</v>
      </c>
      <c r="Q343" s="2116">
        <f>IFERROR(Q141/$G343/$H343/'4. L PLAN'!M$110,0)</f>
        <v>0</v>
      </c>
      <c r="R343" s="2117">
        <f>IFERROR(R141/$G343/$H343/'4. L PLAN'!N$110,0)</f>
        <v>0</v>
      </c>
      <c r="S343" s="2115">
        <f>IFERROR(S141/$G343/$H343/'4. L PLAN'!O$110,0)</f>
        <v>0</v>
      </c>
      <c r="T343" s="2116">
        <f>IFERROR(T141/$G343/$H343/'4. L PLAN'!P$110,0)</f>
        <v>0</v>
      </c>
      <c r="U343" s="2117">
        <f>IFERROR(U141/$G343/$H343/'4. L PLAN'!Q$110,0)</f>
        <v>0</v>
      </c>
      <c r="V343" s="1901">
        <f t="shared" si="228"/>
        <v>0</v>
      </c>
      <c r="Z343" s="9"/>
      <c r="AA343" s="1673">
        <f t="shared" si="221"/>
        <v>390</v>
      </c>
      <c r="AB343" s="1787">
        <f t="shared" si="222"/>
        <v>1</v>
      </c>
      <c r="AC343" s="1745">
        <f t="shared" si="223"/>
        <v>0</v>
      </c>
      <c r="AD343" s="1544" t="b">
        <f t="shared" si="224"/>
        <v>1</v>
      </c>
      <c r="AE343" s="1544" t="b">
        <f t="shared" si="225"/>
        <v>1</v>
      </c>
      <c r="AF343" s="1544" t="b">
        <f t="shared" si="226"/>
        <v>1</v>
      </c>
    </row>
    <row r="344" spans="1:32" ht="18" customHeight="1">
      <c r="A344" s="2154"/>
      <c r="B344" s="1785"/>
      <c r="C344" s="1673"/>
      <c r="D344" s="1767" t="str">
        <f>D229</f>
        <v>Motor CVR</v>
      </c>
      <c r="E344" s="1767">
        <f>VLOOKUP(F344,B.BasicInfomation!B:C,2,0)</f>
        <v>26</v>
      </c>
      <c r="F344" s="2143" t="str">
        <f t="shared" si="220"/>
        <v>NX4 Cover</v>
      </c>
      <c r="G344" s="4262">
        <v>760</v>
      </c>
      <c r="H344" s="2129">
        <v>1</v>
      </c>
      <c r="I344" s="2037"/>
      <c r="J344" s="2130">
        <f>IFERROR(J142/$G344/$H344/'4. L PLAN'!F$110,0)</f>
        <v>2.7074115390882545</v>
      </c>
      <c r="K344" s="2131">
        <f>IFERROR(K142/$G344/$H344/'4. L PLAN'!G$110,0)</f>
        <v>5.0594753136711761</v>
      </c>
      <c r="L344" s="2132">
        <f>IFERROR(L142/$G344/$H344/'4. L PLAN'!H$110,0)</f>
        <v>3.133578170241035</v>
      </c>
      <c r="M344" s="2130">
        <f>IFERROR(M142/$G344/$H344/'4. L PLAN'!I$110,0)</f>
        <v>2.9330291673456088</v>
      </c>
      <c r="N344" s="2131">
        <f>IFERROR(N142/$G344/$H344/'4. L PLAN'!J$110,0)</f>
        <v>2.9330291673456088</v>
      </c>
      <c r="O344" s="2132">
        <f>IFERROR(O142/$G344/$H344/'4. L PLAN'!K$110,0)</f>
        <v>2.9330291673456088</v>
      </c>
      <c r="P344" s="2130">
        <f>IFERROR(P142/$G344/$H344/'4. L PLAN'!L$110,0)</f>
        <v>2.7157677475422304</v>
      </c>
      <c r="Q344" s="2131">
        <f>IFERROR(Q142/$G344/$H344/'4. L PLAN'!M$110,0)</f>
        <v>2.8202203532169317</v>
      </c>
      <c r="R344" s="2132">
        <f>IFERROR(R142/$G344/$H344/'4. L PLAN'!N$110,0)</f>
        <v>2.9330291673456088</v>
      </c>
      <c r="S344" s="2130">
        <f>IFERROR(S142/$G344/$H344/'4. L PLAN'!O$110,0)</f>
        <v>2.7157677475422304</v>
      </c>
      <c r="T344" s="2131">
        <f>IFERROR(T142/$G344/$H344/'4. L PLAN'!P$110,0)</f>
        <v>2.9330291673456088</v>
      </c>
      <c r="U344" s="2132">
        <f>IFERROR(U142/$G344/$H344/'4. L PLAN'!Q$110,0)</f>
        <v>2.7157677475422304</v>
      </c>
      <c r="V344" s="2133">
        <f t="shared" si="228"/>
        <v>3.0444278712976778</v>
      </c>
      <c r="Z344" s="9"/>
      <c r="AA344" s="1673">
        <f t="shared" si="221"/>
        <v>760</v>
      </c>
      <c r="AB344" s="1787">
        <f t="shared" si="222"/>
        <v>1</v>
      </c>
      <c r="AC344" s="1745">
        <f t="shared" si="223"/>
        <v>0</v>
      </c>
      <c r="AD344" s="1544" t="b">
        <f t="shared" si="224"/>
        <v>1</v>
      </c>
      <c r="AE344" s="1544" t="b">
        <f t="shared" si="225"/>
        <v>1</v>
      </c>
      <c r="AF344" s="1544" t="b">
        <f t="shared" si="226"/>
        <v>1</v>
      </c>
    </row>
    <row r="345" spans="1:32" ht="18" customHeight="1">
      <c r="A345" s="2154"/>
      <c r="B345" s="1785"/>
      <c r="C345" s="1673"/>
      <c r="D345" s="1673"/>
      <c r="E345" s="1673">
        <f>VLOOKUP(F345,B.BasicInfomation!B:C,2,0)</f>
        <v>27</v>
      </c>
      <c r="F345" s="2127" t="str">
        <f t="shared" si="220"/>
        <v>Tey Gen4 Cover</v>
      </c>
      <c r="G345" s="1909">
        <v>230</v>
      </c>
      <c r="H345" s="1787">
        <v>1</v>
      </c>
      <c r="I345" s="2013"/>
      <c r="J345" s="2115">
        <f>IFERROR(J143/$G345/$H345/'4. L PLAN'!F$110,0)</f>
        <v>16.981268832123593</v>
      </c>
      <c r="K345" s="2116">
        <f>IFERROR(K143/$G345/$H345/'4. L PLAN'!G$110,0)</f>
        <v>22.210257100551893</v>
      </c>
      <c r="L345" s="2117">
        <f>IFERROR(L143/$G345/$H345/'4. L PLAN'!H$110,0)</f>
        <v>16.981268832123593</v>
      </c>
      <c r="M345" s="2115">
        <f>IFERROR(M143/$G345/$H345/'4. L PLAN'!I$110,0)</f>
        <v>17.229775205276621</v>
      </c>
      <c r="N345" s="2116">
        <f>IFERROR(N143/$G345/$H345/'4. L PLAN'!J$110,0)</f>
        <v>17.229775205276621</v>
      </c>
      <c r="O345" s="2117">
        <f>IFERROR(O143/$G345/$H345/'4. L PLAN'!K$110,0)</f>
        <v>17.229775205276621</v>
      </c>
      <c r="P345" s="2115">
        <f>IFERROR(P143/$G345/$H345/'4. L PLAN'!L$110,0)</f>
        <v>14.956402087913732</v>
      </c>
      <c r="Q345" s="2116">
        <f>IFERROR(Q143/$G345/$H345/'4. L PLAN'!M$110,0)</f>
        <v>15.53164832206426</v>
      </c>
      <c r="R345" s="2117">
        <f>IFERROR(R143/$G345/$H345/'4. L PLAN'!N$110,0)</f>
        <v>16.152914254946833</v>
      </c>
      <c r="S345" s="2115">
        <f>IFERROR(S143/$G345/$H345/'4. L PLAN'!O$110,0)</f>
        <v>13.959308615386149</v>
      </c>
      <c r="T345" s="2116">
        <f>IFERROR(T143/$G345/$H345/'4. L PLAN'!P$110,0)</f>
        <v>15.076053304617041</v>
      </c>
      <c r="U345" s="2117">
        <f>IFERROR(U143/$G345/$H345/'4. L PLAN'!Q$110,0)</f>
        <v>13.959308615386149</v>
      </c>
      <c r="V345" s="1901">
        <f t="shared" si="228"/>
        <v>16.458146298411929</v>
      </c>
      <c r="Z345" s="9"/>
      <c r="AA345" s="1673">
        <f t="shared" si="221"/>
        <v>230</v>
      </c>
      <c r="AB345" s="1787">
        <f t="shared" si="222"/>
        <v>1</v>
      </c>
      <c r="AC345" s="1745">
        <f t="shared" si="223"/>
        <v>0</v>
      </c>
      <c r="AD345" s="1544" t="b">
        <f t="shared" si="224"/>
        <v>1</v>
      </c>
      <c r="AE345" s="1544" t="b">
        <f t="shared" si="225"/>
        <v>1</v>
      </c>
      <c r="AF345" s="1544" t="b">
        <f t="shared" si="226"/>
        <v>1</v>
      </c>
    </row>
    <row r="346" spans="1:32" ht="18" customHeight="1">
      <c r="A346" s="2154"/>
      <c r="B346" s="1785"/>
      <c r="C346" s="1673"/>
      <c r="D346" s="2114"/>
      <c r="E346" s="1673">
        <f>VLOOKUP(F346,B.BasicInfomation!B:C,2,0)</f>
        <v>28</v>
      </c>
      <c r="F346" s="4380" t="str">
        <f t="shared" si="220"/>
        <v>CEER RWA CVR-만도향</v>
      </c>
      <c r="G346" s="4378">
        <v>230</v>
      </c>
      <c r="H346" s="1787">
        <v>1</v>
      </c>
      <c r="I346" s="2013"/>
      <c r="J346" s="2115">
        <f>IFERROR(J144/$G346/$H346/'4. L PLAN'!F$110,0)</f>
        <v>0</v>
      </c>
      <c r="K346" s="2116">
        <f>IFERROR(K144/$G346/$H346/'4. L PLAN'!G$110,0)</f>
        <v>0</v>
      </c>
      <c r="L346" s="2117">
        <f>IFERROR(L144/$G346/$H346/'4. L PLAN'!H$110,0)</f>
        <v>0</v>
      </c>
      <c r="M346" s="2115">
        <f>IFERROR(M144/$G346/$H346/'4. L PLAN'!I$110,0)</f>
        <v>0</v>
      </c>
      <c r="N346" s="2116">
        <f>IFERROR(N144/$G346/$H346/'4. L PLAN'!J$110,0)</f>
        <v>0</v>
      </c>
      <c r="O346" s="2117">
        <f>IFERROR(O144/$G346/$H346/'4. L PLAN'!K$110,0)</f>
        <v>0</v>
      </c>
      <c r="P346" s="2115">
        <f>IFERROR(P144/$G346/$H346/'4. L PLAN'!L$110,0)</f>
        <v>0</v>
      </c>
      <c r="Q346" s="2116">
        <f>IFERROR(Q144/$G346/$H346/'4. L PLAN'!M$110,0)</f>
        <v>0</v>
      </c>
      <c r="R346" s="2117">
        <f>IFERROR(R144/$G346/$H346/'4. L PLAN'!N$110,0)</f>
        <v>0</v>
      </c>
      <c r="S346" s="2115">
        <f>IFERROR(S144/$G346/$H346/'4. L PLAN'!O$110,0)</f>
        <v>0</v>
      </c>
      <c r="T346" s="2116">
        <f>IFERROR(T144/$G346/$H346/'4. L PLAN'!P$110,0)</f>
        <v>0</v>
      </c>
      <c r="U346" s="2117">
        <f>IFERROR(U144/$G346/$H346/'4. L PLAN'!Q$110,0)</f>
        <v>0</v>
      </c>
      <c r="V346" s="1901">
        <f t="shared" si="228"/>
        <v>0</v>
      </c>
      <c r="Z346" s="9"/>
      <c r="AA346" s="1673">
        <f t="shared" si="221"/>
        <v>230</v>
      </c>
      <c r="AB346" s="1787">
        <f t="shared" si="222"/>
        <v>1</v>
      </c>
      <c r="AC346" s="1745">
        <f t="shared" si="223"/>
        <v>0</v>
      </c>
      <c r="AD346" s="1544" t="b">
        <f t="shared" si="224"/>
        <v>1</v>
      </c>
      <c r="AE346" s="1544" t="b">
        <f t="shared" si="225"/>
        <v>1</v>
      </c>
      <c r="AF346" s="1544" t="b">
        <f t="shared" si="226"/>
        <v>1</v>
      </c>
    </row>
    <row r="347" spans="1:32" ht="18" customHeight="1">
      <c r="A347" s="2154"/>
      <c r="B347" s="1785"/>
      <c r="C347" s="1673"/>
      <c r="D347" s="2114"/>
      <c r="E347" s="1673">
        <f>VLOOKUP(F347,B.BasicInfomation!B:C,2,0)</f>
        <v>29</v>
      </c>
      <c r="F347" s="4380" t="str">
        <f t="shared" si="220"/>
        <v>CEER RWS CVR-만도향</v>
      </c>
      <c r="G347" s="4378">
        <v>230</v>
      </c>
      <c r="H347" s="1787">
        <v>1</v>
      </c>
      <c r="I347" s="2013"/>
      <c r="J347" s="2115">
        <f>IFERROR(J145/$G347/$H347/'4. L PLAN'!F$110,0)</f>
        <v>0</v>
      </c>
      <c r="K347" s="2116">
        <f>IFERROR(K145/$G347/$H347/'4. L PLAN'!G$110,0)</f>
        <v>0</v>
      </c>
      <c r="L347" s="2117">
        <f>IFERROR(L145/$G347/$H347/'4. L PLAN'!H$110,0)</f>
        <v>0</v>
      </c>
      <c r="M347" s="2115">
        <f>IFERROR(M145/$G347/$H347/'4. L PLAN'!I$110,0)</f>
        <v>0</v>
      </c>
      <c r="N347" s="2116">
        <f>IFERROR(N145/$G347/$H347/'4. L PLAN'!J$110,0)</f>
        <v>0</v>
      </c>
      <c r="O347" s="2117">
        <f>IFERROR(O145/$G347/$H347/'4. L PLAN'!K$110,0)</f>
        <v>0</v>
      </c>
      <c r="P347" s="2115">
        <f>IFERROR(P145/$G347/$H347/'4. L PLAN'!L$110,0)</f>
        <v>0</v>
      </c>
      <c r="Q347" s="2116">
        <f>IFERROR(Q145/$G347/$H347/'4. L PLAN'!M$110,0)</f>
        <v>0</v>
      </c>
      <c r="R347" s="2117">
        <f>IFERROR(R145/$G347/$H347/'4. L PLAN'!N$110,0)</f>
        <v>0</v>
      </c>
      <c r="S347" s="2115">
        <f>IFERROR(S145/$G347/$H347/'4. L PLAN'!O$110,0)</f>
        <v>0</v>
      </c>
      <c r="T347" s="2116">
        <f>IFERROR(T145/$G347/$H347/'4. L PLAN'!P$110,0)</f>
        <v>0.64611657019787316</v>
      </c>
      <c r="U347" s="2117">
        <f>IFERROR(U145/$G347/$H347/'4. L PLAN'!Q$110,0)</f>
        <v>6.6472898168505462E-2</v>
      </c>
      <c r="V347" s="1901">
        <f t="shared" si="228"/>
        <v>5.9382455697198216E-2</v>
      </c>
      <c r="Z347" s="9"/>
      <c r="AA347" s="1673">
        <f t="shared" si="221"/>
        <v>230</v>
      </c>
      <c r="AB347" s="1787">
        <f t="shared" si="222"/>
        <v>1</v>
      </c>
      <c r="AC347" s="1745">
        <f t="shared" si="223"/>
        <v>0</v>
      </c>
      <c r="AD347" s="1544" t="b">
        <f t="shared" si="224"/>
        <v>1</v>
      </c>
      <c r="AE347" s="1544" t="b">
        <f t="shared" si="225"/>
        <v>1</v>
      </c>
      <c r="AF347" s="1544" t="b">
        <f t="shared" si="226"/>
        <v>1</v>
      </c>
    </row>
    <row r="348" spans="1:32" ht="18" customHeight="1">
      <c r="A348" s="2154"/>
      <c r="B348" s="1785"/>
      <c r="C348" s="1673"/>
      <c r="D348" s="2114"/>
      <c r="E348" s="1673">
        <f>VLOOKUP(F348,B.BasicInfomation!B:C,2,0)</f>
        <v>30</v>
      </c>
      <c r="F348" s="4380" t="str">
        <f t="shared" si="220"/>
        <v>JG R-EPS CVR-만도향</v>
      </c>
      <c r="G348" s="4378">
        <v>230</v>
      </c>
      <c r="H348" s="1787">
        <v>1</v>
      </c>
      <c r="I348" s="2013"/>
      <c r="J348" s="2115">
        <f>IFERROR(J146/$G348/$H348/'4. L PLAN'!F$110,0)</f>
        <v>0</v>
      </c>
      <c r="K348" s="2116">
        <f>IFERROR(K146/$G348/$H348/'4. L PLAN'!G$110,0)</f>
        <v>0</v>
      </c>
      <c r="L348" s="2117">
        <f>IFERROR(L146/$G348/$H348/'4. L PLAN'!H$110,0)</f>
        <v>0</v>
      </c>
      <c r="M348" s="2115">
        <f>IFERROR(M146/$G348/$H348/'4. L PLAN'!I$110,0)</f>
        <v>0</v>
      </c>
      <c r="N348" s="2116">
        <f>IFERROR(N146/$G348/$H348/'4. L PLAN'!J$110,0)</f>
        <v>2.5126755507695071</v>
      </c>
      <c r="O348" s="2117">
        <f>IFERROR(O146/$G348/$H348/'4. L PLAN'!K$110,0)</f>
        <v>2.5126755507695071</v>
      </c>
      <c r="P348" s="2115">
        <f>IFERROR(P146/$G348/$H348/'4. L PLAN'!L$110,0)</f>
        <v>2.326551435897692</v>
      </c>
      <c r="Q348" s="2116">
        <f>IFERROR(Q146/$G348/$H348/'4. L PLAN'!M$110,0)</f>
        <v>2.4160341834322185</v>
      </c>
      <c r="R348" s="2117">
        <f>IFERROR(R146/$G348/$H348/'4. L PLAN'!N$110,0)</f>
        <v>2.5126755507695071</v>
      </c>
      <c r="S348" s="2115">
        <f>IFERROR(S146/$G348/$H348/'4. L PLAN'!O$110,0)</f>
        <v>2.326551435897692</v>
      </c>
      <c r="T348" s="2116">
        <f>IFERROR(T146/$G348/$H348/'4. L PLAN'!P$110,0)</f>
        <v>2.5126755507695071</v>
      </c>
      <c r="U348" s="2117">
        <f>IFERROR(U146/$G348/$H348/'4. L PLAN'!Q$110,0)</f>
        <v>2.326551435897692</v>
      </c>
      <c r="V348" s="1901">
        <f t="shared" si="228"/>
        <v>1.6205325578502769</v>
      </c>
      <c r="Z348" s="9"/>
      <c r="AA348" s="1673">
        <f t="shared" si="221"/>
        <v>230</v>
      </c>
      <c r="AB348" s="1787">
        <f t="shared" si="222"/>
        <v>1</v>
      </c>
      <c r="AC348" s="1745">
        <f t="shared" si="223"/>
        <v>0</v>
      </c>
      <c r="AD348" s="1544" t="b">
        <f t="shared" si="224"/>
        <v>1</v>
      </c>
      <c r="AE348" s="1544" t="b">
        <f t="shared" si="225"/>
        <v>1</v>
      </c>
      <c r="AF348" s="1544" t="b">
        <f t="shared" si="226"/>
        <v>1</v>
      </c>
    </row>
    <row r="349" spans="1:32" ht="18" customHeight="1">
      <c r="A349" s="2154"/>
      <c r="B349" s="1785"/>
      <c r="C349" s="1673"/>
      <c r="D349" s="2114"/>
      <c r="E349" s="1673">
        <f>VLOOKUP(F349,B.BasicInfomation!B:C,2,0)</f>
        <v>31</v>
      </c>
      <c r="F349" s="4380" t="str">
        <f t="shared" si="220"/>
        <v>JG RWS CVR-만도향</v>
      </c>
      <c r="G349" s="4378">
        <v>230</v>
      </c>
      <c r="H349" s="1787">
        <v>1</v>
      </c>
      <c r="I349" s="2013"/>
      <c r="J349" s="2115">
        <f>IFERROR(J147/$G349/$H349/'4. L PLAN'!F$110,0)</f>
        <v>0</v>
      </c>
      <c r="K349" s="2116">
        <f>IFERROR(K147/$G349/$H349/'4. L PLAN'!G$110,0)</f>
        <v>0</v>
      </c>
      <c r="L349" s="2117">
        <f>IFERROR(L147/$G349/$H349/'4. L PLAN'!H$110,0)</f>
        <v>0</v>
      </c>
      <c r="M349" s="2115">
        <f>IFERROR(M147/$G349/$H349/'4. L PLAN'!I$110,0)</f>
        <v>0</v>
      </c>
      <c r="N349" s="2116">
        <f>IFERROR(N147/$G349/$H349/'4. L PLAN'!J$110,0)</f>
        <v>0.5384304751648944</v>
      </c>
      <c r="O349" s="2117">
        <f>IFERROR(O147/$G349/$H349/'4. L PLAN'!K$110,0)</f>
        <v>0.5384304751648944</v>
      </c>
      <c r="P349" s="2115">
        <f>IFERROR(P147/$G349/$H349/'4. L PLAN'!L$110,0)</f>
        <v>0.49854673626379115</v>
      </c>
      <c r="Q349" s="2116">
        <f>IFERROR(Q147/$G349/$H349/'4. L PLAN'!M$110,0)</f>
        <v>0.5177216107354754</v>
      </c>
      <c r="R349" s="2117">
        <f>IFERROR(R147/$G349/$H349/'4. L PLAN'!N$110,0)</f>
        <v>0.5384304751648944</v>
      </c>
      <c r="S349" s="2115">
        <f>IFERROR(S147/$G349/$H349/'4. L PLAN'!O$110,0)</f>
        <v>0.49854673626379115</v>
      </c>
      <c r="T349" s="2116">
        <f>IFERROR(T147/$G349/$H349/'4. L PLAN'!P$110,0)</f>
        <v>0.5384304751648944</v>
      </c>
      <c r="U349" s="2117">
        <f>IFERROR(U147/$G349/$H349/'4. L PLAN'!Q$110,0)</f>
        <v>0.49854673626379115</v>
      </c>
      <c r="V349" s="1901">
        <f t="shared" si="228"/>
        <v>0.34725697668220223</v>
      </c>
      <c r="Z349" s="9"/>
      <c r="AA349" s="1673">
        <f t="shared" si="221"/>
        <v>230</v>
      </c>
      <c r="AB349" s="1787">
        <f t="shared" si="222"/>
        <v>1</v>
      </c>
      <c r="AC349" s="1745">
        <f t="shared" si="223"/>
        <v>0</v>
      </c>
      <c r="AD349" s="1544" t="b">
        <f t="shared" si="224"/>
        <v>1</v>
      </c>
      <c r="AE349" s="1544" t="b">
        <f t="shared" si="225"/>
        <v>1</v>
      </c>
      <c r="AF349" s="1544" t="b">
        <f t="shared" si="226"/>
        <v>1</v>
      </c>
    </row>
    <row r="350" spans="1:32" ht="18" customHeight="1">
      <c r="A350" s="2154"/>
      <c r="B350" s="1785"/>
      <c r="C350" s="3733" t="s">
        <v>236</v>
      </c>
      <c r="D350" s="2145" t="s">
        <v>874</v>
      </c>
      <c r="E350" s="3733">
        <f>VLOOKUP(F350,B.BasicInfomation!B:C,2,0)</f>
        <v>32</v>
      </c>
      <c r="F350" s="3733" t="str">
        <f t="shared" si="220"/>
        <v>MAS65 Heatsink Cover</v>
      </c>
      <c r="G350" s="4307">
        <v>1220</v>
      </c>
      <c r="H350" s="4308">
        <v>1</v>
      </c>
      <c r="I350" s="2969"/>
      <c r="J350" s="2152">
        <f>IFERROR(J148/$G350/$H350/'4. L PLAN'!F$110,0)</f>
        <v>3.8842143138816101</v>
      </c>
      <c r="K350" s="4309">
        <f>IFERROR(K148/$G350/$H350/'4. L PLAN'!G$110,0)</f>
        <v>4.2078988400384105</v>
      </c>
      <c r="L350" s="2153">
        <f>IFERROR(L148/$G350/$H350/'4. L PLAN'!H$110,0)</f>
        <v>3.0426345458739283</v>
      </c>
      <c r="M350" s="2152">
        <f>IFERROR(M148/$G350/$H350/'4. L PLAN'!I$110,0)</f>
        <v>2.324363168783123</v>
      </c>
      <c r="N350" s="4309">
        <f>IFERROR(N148/$G350/$H350/'4. L PLAN'!J$110,0)</f>
        <v>2.324363168783123</v>
      </c>
      <c r="O350" s="2153">
        <f>IFERROR(O148/$G350/$H350/'4. L PLAN'!K$110,0)</f>
        <v>2.324363168783123</v>
      </c>
      <c r="P350" s="2152">
        <f>IFERROR(P148/$G350/$H350/'4. L PLAN'!L$110,0)</f>
        <v>2.1521881192436321</v>
      </c>
      <c r="Q350" s="4309">
        <f>IFERROR(Q148/$G350/$H350/'4. L PLAN'!M$110,0)</f>
        <v>2.2349645853683873</v>
      </c>
      <c r="R350" s="2153">
        <f>IFERROR(R148/$G350/$H350/'4. L PLAN'!N$110,0)</f>
        <v>2.324363168783123</v>
      </c>
      <c r="S350" s="2152">
        <f>IFERROR(S148/$G350/$H350/'4. L PLAN'!O$110,0)</f>
        <v>2.1521881192436321</v>
      </c>
      <c r="T350" s="4309">
        <f>IFERROR(T148/$G350/$H350/'4. L PLAN'!P$110,0)</f>
        <v>2.324363168783123</v>
      </c>
      <c r="U350" s="2153">
        <f>IFERROR(U148/$G350/$H350/'4. L PLAN'!Q$110,0)</f>
        <v>2.1521881192436321</v>
      </c>
      <c r="V350" s="1964">
        <f t="shared" si="228"/>
        <v>2.6206743739007377</v>
      </c>
      <c r="Z350" s="9"/>
      <c r="AA350" s="1673">
        <f t="shared" si="221"/>
        <v>1220</v>
      </c>
      <c r="AB350" s="1787">
        <f t="shared" si="222"/>
        <v>1</v>
      </c>
      <c r="AC350" s="1745">
        <f t="shared" si="223"/>
        <v>0</v>
      </c>
      <c r="AD350" s="1544" t="b">
        <f t="shared" si="224"/>
        <v>1</v>
      </c>
      <c r="AE350" s="1544" t="b">
        <f t="shared" si="225"/>
        <v>1</v>
      </c>
      <c r="AF350" s="1544" t="b">
        <f t="shared" si="226"/>
        <v>1</v>
      </c>
    </row>
    <row r="351" spans="1:32" ht="18" customHeight="1">
      <c r="A351" s="2154"/>
      <c r="B351" s="1785"/>
      <c r="C351" s="1673" t="s">
        <v>406</v>
      </c>
      <c r="D351" s="1756" t="str">
        <f>D236</f>
        <v>CAM HSG</v>
      </c>
      <c r="E351" s="1673">
        <f>VLOOKUP(F351,B.BasicInfomation!B:C,2,0)</f>
        <v>33</v>
      </c>
      <c r="F351" s="2127" t="str">
        <f t="shared" si="220"/>
        <v>FCA Housing</v>
      </c>
      <c r="G351" s="1909">
        <v>1030</v>
      </c>
      <c r="H351" s="1787">
        <v>1</v>
      </c>
      <c r="I351" s="2013"/>
      <c r="J351" s="2115">
        <f>IFERROR(J149/$G351/$H351/'4. L PLAN'!F$110,0)</f>
        <v>2.3933991565871873</v>
      </c>
      <c r="K351" s="2116">
        <f>IFERROR(K149/$G351/$H351/'4. L PLAN'!G$110,0)</f>
        <v>3.8892736294541792</v>
      </c>
      <c r="L351" s="2117">
        <f>IFERROR(L149/$G351/$H351/'4. L PLAN'!H$110,0)</f>
        <v>2.0722940035381159</v>
      </c>
      <c r="M351" s="2115">
        <f>IFERROR(M149/$G351/$H351/'4. L PLAN'!I$110,0)</f>
        <v>2.1551857636796403</v>
      </c>
      <c r="N351" s="2116">
        <f>IFERROR(N149/$G351/$H351/'4. L PLAN'!J$110,0)</f>
        <v>2.1551857636796403</v>
      </c>
      <c r="O351" s="2117">
        <f>IFERROR(O149/$G351/$H351/'4. L PLAN'!K$110,0)</f>
        <v>2.1551857636796403</v>
      </c>
      <c r="P351" s="2115">
        <f>IFERROR(P149/$G351/$H351/'4. L PLAN'!L$110,0)</f>
        <v>1.9955423737774449</v>
      </c>
      <c r="Q351" s="2116">
        <f>IFERROR(Q149/$G351/$H351/'4. L PLAN'!M$110,0)</f>
        <v>2.0722940035381159</v>
      </c>
      <c r="R351" s="2117">
        <f>IFERROR(R149/$G351/$H351/'4. L PLAN'!N$110,0)</f>
        <v>2.1551857636796403</v>
      </c>
      <c r="S351" s="2115">
        <f>IFERROR(S149/$G351/$H351/'4. L PLAN'!O$110,0)</f>
        <v>1.9955423737774449</v>
      </c>
      <c r="T351" s="2116">
        <f>IFERROR(T149/$G351/$H351/'4. L PLAN'!P$110,0)</f>
        <v>2.1551857636796403</v>
      </c>
      <c r="U351" s="2117">
        <f>IFERROR(U149/$G351/$H351/'4. L PLAN'!Q$110,0)</f>
        <v>1.9955423737774449</v>
      </c>
      <c r="V351" s="1901">
        <f t="shared" si="228"/>
        <v>2.2658180610706773</v>
      </c>
      <c r="Z351" s="9"/>
      <c r="AA351" s="1673">
        <f t="shared" si="221"/>
        <v>1030</v>
      </c>
      <c r="AB351" s="1787">
        <f t="shared" si="222"/>
        <v>1</v>
      </c>
      <c r="AC351" s="1745">
        <f t="shared" si="223"/>
        <v>0</v>
      </c>
      <c r="AD351" s="1544" t="b">
        <f t="shared" si="224"/>
        <v>1</v>
      </c>
      <c r="AE351" s="1544" t="b">
        <f t="shared" si="225"/>
        <v>1</v>
      </c>
      <c r="AF351" s="1544" t="b">
        <f t="shared" si="226"/>
        <v>1</v>
      </c>
    </row>
    <row r="352" spans="1:32" ht="18" customHeight="1">
      <c r="A352" s="2154"/>
      <c r="B352" s="1785"/>
      <c r="C352" s="1673"/>
      <c r="D352" s="1673"/>
      <c r="E352" s="1673">
        <f>VLOOKUP(F352,B.BasicInfomation!B:C,2,0)</f>
        <v>34</v>
      </c>
      <c r="F352" s="2127" t="str">
        <f t="shared" si="220"/>
        <v>GM EU2L Housing</v>
      </c>
      <c r="G352" s="1909">
        <v>1000</v>
      </c>
      <c r="H352" s="1787">
        <v>1</v>
      </c>
      <c r="I352" s="2013"/>
      <c r="J352" s="2115">
        <f>IFERROR(J150/$G352/$H352/'4. L PLAN'!F$110,0)</f>
        <v>2.2698337160750417</v>
      </c>
      <c r="K352" s="2116">
        <f>IFERROR(K150/$G352/$H352/'4. L PLAN'!G$110,0)</f>
        <v>3.5389402949648181</v>
      </c>
      <c r="L352" s="2117">
        <f>IFERROR(L150/$G352/$H352/'4. L PLAN'!H$110,0)</f>
        <v>2.3171776682734349</v>
      </c>
      <c r="M352" s="2115">
        <f>IFERROR(M150/$G352/$H352/'4. L PLAN'!I$110,0)</f>
        <v>2.409864775004372</v>
      </c>
      <c r="N352" s="2116">
        <f>IFERROR(N150/$G352/$H352/'4. L PLAN'!J$110,0)</f>
        <v>2.4597112728900798</v>
      </c>
      <c r="O352" s="2117">
        <f>IFERROR(O150/$G352/$H352/'4. L PLAN'!K$110,0)</f>
        <v>3.1965375340439262</v>
      </c>
      <c r="P352" s="2115">
        <f>IFERROR(P150/$G352/$H352/'4. L PLAN'!L$110,0)</f>
        <v>2.7669086211954683</v>
      </c>
      <c r="Q352" s="2116">
        <f>IFERROR(Q150/$G352/$H352/'4. L PLAN'!M$110,0)</f>
        <v>2.8733281835491402</v>
      </c>
      <c r="R352" s="2117">
        <f>IFERROR(R150/$G352/$H352/'4. L PLAN'!N$110,0)</f>
        <v>2.9304393733436842</v>
      </c>
      <c r="S352" s="2115">
        <f>IFERROR(S150/$G352/$H352/'4. L PLAN'!O$110,0)</f>
        <v>2.223971606798758</v>
      </c>
      <c r="T352" s="2116">
        <f>IFERROR(T150/$G352/$H352/'4. L PLAN'!P$110,0)</f>
        <v>1.6650630741888124</v>
      </c>
      <c r="U352" s="2117">
        <f>IFERROR(U150/$G352/$H352/'4. L PLAN'!Q$110,0)</f>
        <v>1.5952638997557718</v>
      </c>
      <c r="V352" s="1901">
        <f t="shared" si="228"/>
        <v>2.5205866683402758</v>
      </c>
      <c r="Z352" s="9"/>
      <c r="AA352" s="1673">
        <f t="shared" si="221"/>
        <v>1000</v>
      </c>
      <c r="AB352" s="1787">
        <f t="shared" si="222"/>
        <v>1</v>
      </c>
      <c r="AC352" s="1745">
        <f t="shared" si="223"/>
        <v>0</v>
      </c>
      <c r="AD352" s="1544" t="b">
        <f t="shared" si="224"/>
        <v>1</v>
      </c>
      <c r="AE352" s="1544" t="b">
        <f t="shared" si="225"/>
        <v>1</v>
      </c>
      <c r="AF352" s="1544" t="b">
        <f t="shared" si="226"/>
        <v>1</v>
      </c>
    </row>
    <row r="353" spans="1:32" ht="18" customHeight="1">
      <c r="A353" s="2154"/>
      <c r="B353" s="1785"/>
      <c r="C353" s="1673"/>
      <c r="D353" s="1673"/>
      <c r="E353" s="1673">
        <f>VLOOKUP(F353,B.BasicInfomation!B:C,2,0)</f>
        <v>35</v>
      </c>
      <c r="F353" s="4380" t="str">
        <f t="shared" si="220"/>
        <v>GM ACP Housing</v>
      </c>
      <c r="G353" s="4378">
        <v>570</v>
      </c>
      <c r="H353" s="1787">
        <v>1</v>
      </c>
      <c r="I353" s="2013"/>
      <c r="J353" s="2115">
        <f>IFERROR(J151/$G353/$H353/'4. L PLAN'!F$110,0)</f>
        <v>9.8953590484522191</v>
      </c>
      <c r="K353" s="2116">
        <f>IFERROR(K151/$G353/$H353/'4. L PLAN'!G$110,0)</f>
        <v>16.079958453734857</v>
      </c>
      <c r="L353" s="2117">
        <f>IFERROR(L151/$G353/$H353/'4. L PLAN'!H$110,0)</f>
        <v>10.226553400723263</v>
      </c>
      <c r="M353" s="2115">
        <f>IFERROR(M151/$G353/$H353/'4. L PLAN'!I$110,0)</f>
        <v>10.175097725325568</v>
      </c>
      <c r="N353" s="2116">
        <f>IFERROR(N151/$G353/$H353/'4. L PLAN'!J$110,0)</f>
        <v>10.522509147416118</v>
      </c>
      <c r="O353" s="2117">
        <f>IFERROR(O151/$G353/$H353/'4. L PLAN'!K$110,0)</f>
        <v>10.522509147416118</v>
      </c>
      <c r="P353" s="2115">
        <f>IFERROR(P151/$G353/$H353/'4. L PLAN'!L$110,0)</f>
        <v>9.7430640253852943</v>
      </c>
      <c r="Q353" s="2116">
        <f>IFERROR(Q151/$G353/$H353/'4. L PLAN'!M$110,0)</f>
        <v>10.117797257130881</v>
      </c>
      <c r="R353" s="2117">
        <f>IFERROR(R151/$G353/$H353/'4. L PLAN'!N$110,0)</f>
        <v>10.061991335989491</v>
      </c>
      <c r="S353" s="2115">
        <f>IFERROR(S151/$G353/$H353/'4. L PLAN'!O$110,0)</f>
        <v>9.3166586444347139</v>
      </c>
      <c r="T353" s="2116">
        <f>IFERROR(T151/$G353/$H353/'4. L PLAN'!P$110,0)</f>
        <v>10.061991335989491</v>
      </c>
      <c r="U353" s="2117">
        <f>IFERROR(U151/$G353/$H353/'4. L PLAN'!Q$110,0)</f>
        <v>9.7430640253852943</v>
      </c>
      <c r="V353" s="1901">
        <f t="shared" si="228"/>
        <v>10.538879462281942</v>
      </c>
      <c r="W353" s="2095"/>
      <c r="Y353" s="2095"/>
      <c r="Z353" s="9"/>
      <c r="AA353" s="1673">
        <f t="shared" si="221"/>
        <v>570</v>
      </c>
      <c r="AB353" s="1787">
        <f t="shared" si="222"/>
        <v>1</v>
      </c>
      <c r="AC353" s="1745">
        <f t="shared" si="223"/>
        <v>0</v>
      </c>
      <c r="AD353" s="1544" t="b">
        <f t="shared" si="224"/>
        <v>1</v>
      </c>
      <c r="AE353" s="1544" t="b">
        <f t="shared" si="225"/>
        <v>1</v>
      </c>
      <c r="AF353" s="1544" t="b">
        <f t="shared" si="226"/>
        <v>1</v>
      </c>
    </row>
    <row r="354" spans="1:32" ht="18" customHeight="1">
      <c r="A354" s="2154"/>
      <c r="B354" s="1785"/>
      <c r="C354" s="1673"/>
      <c r="D354" s="2114"/>
      <c r="E354" s="1673">
        <f>VLOOKUP(F354,B.BasicInfomation!B:C,2,0)</f>
        <v>36</v>
      </c>
      <c r="F354" s="2127" t="str">
        <f t="shared" si="220"/>
        <v>FCA Cover</v>
      </c>
      <c r="G354" s="1909">
        <v>570</v>
      </c>
      <c r="H354" s="1787">
        <v>1</v>
      </c>
      <c r="I354" s="2013"/>
      <c r="J354" s="2115">
        <f>IFERROR(J152/$G354/$H354/'4. L PLAN'!F$110,0)</f>
        <v>4.327824596179541</v>
      </c>
      <c r="K354" s="2116">
        <f>IFERROR(K152/$G354/$H354/'4. L PLAN'!G$110,0)</f>
        <v>7.0327149687917538</v>
      </c>
      <c r="L354" s="2117">
        <f>IFERROR(L152/$G354/$H354/'4. L PLAN'!H$110,0)</f>
        <v>3.7471914930462704</v>
      </c>
      <c r="M354" s="2115">
        <f>IFERROR(M152/$G354/$H354/'4. L PLAN'!I$110,0)</f>
        <v>3.897079152768121</v>
      </c>
      <c r="N354" s="2116">
        <f>IFERROR(N152/$G354/$H354/'4. L PLAN'!J$110,0)</f>
        <v>3.897079152768121</v>
      </c>
      <c r="O354" s="2117">
        <f>IFERROR(O152/$G354/$H354/'4. L PLAN'!K$110,0)</f>
        <v>3.897079152768121</v>
      </c>
      <c r="P354" s="2115">
        <f>IFERROR(P152/$G354/$H354/'4. L PLAN'!L$110,0)</f>
        <v>3.6084066229334457</v>
      </c>
      <c r="Q354" s="2116">
        <f>IFERROR(Q152/$G354/$H354/'4. L PLAN'!M$110,0)</f>
        <v>3.7471914930462704</v>
      </c>
      <c r="R354" s="2117">
        <f>IFERROR(R152/$G354/$H354/'4. L PLAN'!N$110,0)</f>
        <v>3.897079152768121</v>
      </c>
      <c r="S354" s="2115">
        <f>IFERROR(S152/$G354/$H354/'4. L PLAN'!O$110,0)</f>
        <v>3.6084066229334457</v>
      </c>
      <c r="T354" s="2116">
        <f>IFERROR(T152/$G354/$H354/'4. L PLAN'!P$110,0)</f>
        <v>3.897079152768121</v>
      </c>
      <c r="U354" s="2117">
        <f>IFERROR(U152/$G354/$H354/'4. L PLAN'!Q$110,0)</f>
        <v>3.6084066229334457</v>
      </c>
      <c r="V354" s="1901">
        <f t="shared" si="228"/>
        <v>4.097128181975398</v>
      </c>
      <c r="W354" s="2095"/>
      <c r="Y354" s="2095"/>
      <c r="Z354" s="9"/>
      <c r="AA354" s="1673">
        <f t="shared" si="221"/>
        <v>570</v>
      </c>
      <c r="AB354" s="1787">
        <f t="shared" si="222"/>
        <v>1</v>
      </c>
      <c r="AC354" s="1745">
        <f t="shared" si="223"/>
        <v>0</v>
      </c>
      <c r="AD354" s="1544" t="b">
        <f t="shared" si="224"/>
        <v>1</v>
      </c>
      <c r="AE354" s="1544" t="b">
        <f t="shared" si="225"/>
        <v>1</v>
      </c>
      <c r="AF354" s="1544" t="b">
        <f t="shared" si="226"/>
        <v>1</v>
      </c>
    </row>
    <row r="355" spans="1:32" ht="18" customHeight="1">
      <c r="A355" s="2154"/>
      <c r="B355" s="1785"/>
      <c r="C355" s="1673"/>
      <c r="D355" s="2114"/>
      <c r="E355" s="1673">
        <f>VLOOKUP(F355,B.BasicInfomation!B:C,2,0)</f>
        <v>37</v>
      </c>
      <c r="F355" s="2127" t="str">
        <f t="shared" si="220"/>
        <v>GM EU2L Cover</v>
      </c>
      <c r="G355" s="1909">
        <v>570</v>
      </c>
      <c r="H355" s="1787">
        <v>1</v>
      </c>
      <c r="I355" s="2013"/>
      <c r="J355" s="2115">
        <f>IFERROR(J153/$G355/$H355/'4. L PLAN'!F$110,0)</f>
        <v>3.9022402551485773</v>
      </c>
      <c r="K355" s="2116">
        <f>IFERROR(K153/$G355/$H355/'4. L PLAN'!G$110,0)</f>
        <v>6.0747341132307877</v>
      </c>
      <c r="L355" s="2117">
        <f>IFERROR(L153/$G355/$H355/'4. L PLAN'!H$110,0)</f>
        <v>3.983855478811626</v>
      </c>
      <c r="M355" s="2115">
        <f>IFERROR(M153/$G355/$H355/'4. L PLAN'!I$110,0)</f>
        <v>4.1432096979640907</v>
      </c>
      <c r="N355" s="2116">
        <f>IFERROR(N153/$G355/$H355/'4. L PLAN'!J$110,0)</f>
        <v>4.2319929182771174</v>
      </c>
      <c r="O355" s="2117">
        <f>IFERROR(O153/$G355/$H355/'4. L PLAN'!K$110,0)</f>
        <v>5.4946851905144447</v>
      </c>
      <c r="P355" s="2115">
        <f>IFERROR(P153/$G355/$H355/'4. L PLAN'!L$110,0)</f>
        <v>4.7571890508290382</v>
      </c>
      <c r="Q355" s="2116">
        <f>IFERROR(Q153/$G355/$H355/'4. L PLAN'!M$110,0)</f>
        <v>4.940157860476309</v>
      </c>
      <c r="R355" s="2117">
        <f>IFERROR(R153/$G355/$H355/'4. L PLAN'!N$110,0)</f>
        <v>5.03477563933225</v>
      </c>
      <c r="S355" s="2115">
        <f>IFERROR(S153/$G355/$H355/'4. L PLAN'!O$110,0)</f>
        <v>3.8231522062166725</v>
      </c>
      <c r="T355" s="2116">
        <f>IFERROR(T153/$G355/$H355/'4. L PLAN'!P$110,0)</f>
        <v>2.8663121104766782</v>
      </c>
      <c r="U355" s="2117">
        <f>IFERROR(U153/$G355/$H355/'4. L PLAN'!Q$110,0)</f>
        <v>2.749352450036842</v>
      </c>
      <c r="V355" s="1901">
        <f t="shared" si="228"/>
        <v>4.3334714142762039</v>
      </c>
      <c r="W355" s="2095"/>
      <c r="Y355" s="2095"/>
      <c r="Z355" s="9"/>
      <c r="AA355" s="1673">
        <f t="shared" si="221"/>
        <v>570</v>
      </c>
      <c r="AB355" s="1787">
        <f t="shared" si="222"/>
        <v>1</v>
      </c>
      <c r="AC355" s="1745">
        <f t="shared" si="223"/>
        <v>0</v>
      </c>
      <c r="AD355" s="1544" t="b">
        <f t="shared" si="224"/>
        <v>1</v>
      </c>
      <c r="AE355" s="1544" t="b">
        <f t="shared" si="225"/>
        <v>1</v>
      </c>
      <c r="AF355" s="1544" t="b">
        <f t="shared" si="226"/>
        <v>1</v>
      </c>
    </row>
    <row r="356" spans="1:32" ht="18" customHeight="1">
      <c r="A356" s="2154"/>
      <c r="B356" s="1785"/>
      <c r="C356" s="1673"/>
      <c r="D356" s="2134"/>
      <c r="E356" s="1774">
        <f>VLOOKUP(F356,B.BasicInfomation!B:C,2,0)</f>
        <v>38</v>
      </c>
      <c r="F356" s="3983" t="str">
        <f t="shared" si="220"/>
        <v>GM ACP Cover</v>
      </c>
      <c r="G356" s="4263">
        <v>570</v>
      </c>
      <c r="H356" s="2135">
        <v>1</v>
      </c>
      <c r="I356" s="2025"/>
      <c r="J356" s="2136">
        <f>IFERROR(J154/$G356/$H356/'4. L PLAN'!F$110,0)</f>
        <v>9.8129445388274554</v>
      </c>
      <c r="K356" s="2137">
        <f>IFERROR(K154/$G356/$H356/'4. L PLAN'!G$110,0)</f>
        <v>15.946034875594616</v>
      </c>
      <c r="L356" s="2138">
        <f>IFERROR(L154/$G356/$H356/'4. L PLAN'!H$110,0)</f>
        <v>10.166556454790127</v>
      </c>
      <c r="M356" s="2136">
        <f>IFERROR(M154/$G356/$H356/'4. L PLAN'!I$110,0)</f>
        <v>10.081529816366022</v>
      </c>
      <c r="N356" s="2137">
        <f>IFERROR(N154/$G356/$H356/'4. L PLAN'!J$110,0)</f>
        <v>10.462598678132483</v>
      </c>
      <c r="O356" s="2138">
        <f>IFERROR(O154/$G356/$H356/'4. L PLAN'!K$110,0)</f>
        <v>10.462598678132483</v>
      </c>
      <c r="P356" s="2136">
        <f>IFERROR(P154/$G356/$H356/'4. L PLAN'!L$110,0)</f>
        <v>9.6875913686411881</v>
      </c>
      <c r="Q356" s="2137">
        <f>IFERROR(Q154/$G356/$H356/'4. L PLAN'!M$110,0)</f>
        <v>10.060191036665849</v>
      </c>
      <c r="R356" s="2138">
        <f>IFERROR(R154/$G356/$H356/'4. L PLAN'!N$110,0)</f>
        <v>9.9709097815167738</v>
      </c>
      <c r="S356" s="2136">
        <f>IFERROR(S154/$G356/$H356/'4. L PLAN'!O$110,0)</f>
        <v>9.2323238717747902</v>
      </c>
      <c r="T356" s="2137">
        <f>IFERROR(T154/$G356/$H356/'4. L PLAN'!P$110,0)</f>
        <v>9.9709097815167738</v>
      </c>
      <c r="U356" s="2138">
        <f>IFERROR(U154/$G356/$H356/'4. L PLAN'!Q$110,0)</f>
        <v>9.6875913686411881</v>
      </c>
      <c r="V356" s="2139">
        <f t="shared" si="228"/>
        <v>10.461815020883314</v>
      </c>
      <c r="W356" s="2095"/>
      <c r="Y356" s="2095"/>
      <c r="Z356" s="9"/>
      <c r="AA356" s="1673">
        <f t="shared" si="221"/>
        <v>570</v>
      </c>
      <c r="AB356" s="1787">
        <f t="shared" si="222"/>
        <v>1</v>
      </c>
      <c r="AC356" s="1745">
        <f t="shared" si="223"/>
        <v>0</v>
      </c>
      <c r="AD356" s="1544" t="b">
        <f t="shared" si="224"/>
        <v>1</v>
      </c>
      <c r="AE356" s="1544" t="b">
        <f t="shared" si="225"/>
        <v>1</v>
      </c>
      <c r="AF356" s="1544" t="b">
        <f t="shared" si="226"/>
        <v>1</v>
      </c>
    </row>
    <row r="357" spans="1:32" ht="18" customHeight="1">
      <c r="A357" s="2154"/>
      <c r="B357" s="1785"/>
      <c r="C357" s="1673"/>
      <c r="D357" s="2128" t="str">
        <f>D242</f>
        <v>CAM L.Mount</v>
      </c>
      <c r="E357" s="1767">
        <f>VLOOKUP(F357,B.BasicInfomation!B:C,2,0)</f>
        <v>39</v>
      </c>
      <c r="F357" s="2143" t="str">
        <f t="shared" si="220"/>
        <v>Lens Mount</v>
      </c>
      <c r="G357" s="4262">
        <v>2040</v>
      </c>
      <c r="H357" s="2129">
        <v>1</v>
      </c>
      <c r="I357" s="2037"/>
      <c r="J357" s="2130">
        <f>IFERROR(J155/$G357/$H357/'4. L PLAN'!F$110,0)</f>
        <v>3.4425454316563981</v>
      </c>
      <c r="K357" s="2131">
        <f>IFERROR(K155/$G357/$H357/'4. L PLAN'!G$110,0)</f>
        <v>5.6245510614137357</v>
      </c>
      <c r="L357" s="2132">
        <f>IFERROR(L155/$G357/$H357/'4. L PLAN'!H$110,0)</f>
        <v>5.168572519298146</v>
      </c>
      <c r="M357" s="2115">
        <f>IFERROR(M155/$G357/$H357/'4. L PLAN'!I$110,0)</f>
        <v>5.2536564801817205</v>
      </c>
      <c r="N357" s="2116">
        <f>IFERROR(N155/$G357/$H357/'4. L PLAN'!J$110,0)</f>
        <v>5.2536564801817205</v>
      </c>
      <c r="O357" s="2117">
        <f>IFERROR(O155/$G357/$H357/'4. L PLAN'!K$110,0)</f>
        <v>5.0581186198136789</v>
      </c>
      <c r="P357" s="2115">
        <f>IFERROR(P155/$G357/$H357/'4. L PLAN'!L$110,0)</f>
        <v>4.6834431664941469</v>
      </c>
      <c r="Q357" s="2116">
        <f>IFERROR(Q155/$G357/$H357/'4. L PLAN'!M$110,0)</f>
        <v>4.9805553458673391</v>
      </c>
      <c r="R357" s="2117">
        <f>IFERROR(R155/$G357/$H357/'4. L PLAN'!N$110,0)</f>
        <v>5.3753154200700717</v>
      </c>
      <c r="S357" s="2115">
        <f>IFERROR(S155/$G357/$H357/'4. L PLAN'!O$110,0)</f>
        <v>4.8644967409089999</v>
      </c>
      <c r="T357" s="2116">
        <f>IFERROR(T155/$G357/$H357/'4. L PLAN'!P$110,0)</f>
        <v>5.0581186198136789</v>
      </c>
      <c r="U357" s="2117">
        <f>IFERROR(U155/$G357/$H357/'4. L PLAN'!Q$110,0)</f>
        <v>4.6834431664941469</v>
      </c>
      <c r="V357" s="1901">
        <f t="shared" si="228"/>
        <v>4.953872754349482</v>
      </c>
      <c r="Z357" s="9"/>
      <c r="AA357" s="1673">
        <f t="shared" si="221"/>
        <v>2040</v>
      </c>
      <c r="AB357" s="1787">
        <f t="shared" si="222"/>
        <v>1</v>
      </c>
      <c r="AC357" s="1745">
        <f t="shared" si="223"/>
        <v>0</v>
      </c>
      <c r="AD357" s="1544" t="b">
        <f t="shared" si="224"/>
        <v>1</v>
      </c>
      <c r="AE357" s="1544" t="b">
        <f t="shared" si="225"/>
        <v>1</v>
      </c>
      <c r="AF357" s="1544" t="b">
        <f t="shared" si="226"/>
        <v>1</v>
      </c>
    </row>
    <row r="358" spans="1:32" s="1579" customFormat="1" ht="18" customHeight="1">
      <c r="A358" s="2154"/>
      <c r="B358" s="1785"/>
      <c r="C358" s="1673"/>
      <c r="D358" s="2128" t="str">
        <f>D243</f>
        <v>Heatsink</v>
      </c>
      <c r="E358" s="1767">
        <f>VLOOKUP(F358,B.BasicInfomation!B:C,2,0)</f>
        <v>40</v>
      </c>
      <c r="F358" s="2143" t="str">
        <f t="shared" si="220"/>
        <v>IPM 1.0 Housing</v>
      </c>
      <c r="G358" s="4262">
        <v>640</v>
      </c>
      <c r="H358" s="2129">
        <v>1</v>
      </c>
      <c r="I358" s="4306"/>
      <c r="J358" s="2130">
        <f>IFERROR(J156/$G358/$H358/'4. L PLAN'!F$110,0)</f>
        <v>0.77376923028371902</v>
      </c>
      <c r="K358" s="2131">
        <f>IFERROR(K156/$G358/$H358/'4. L PLAN'!G$110,0)</f>
        <v>1.2573749992110435</v>
      </c>
      <c r="L358" s="2132">
        <f>IFERROR(L156/$G358/$H358/'4. L PLAN'!H$110,0)</f>
        <v>0.59704415916953646</v>
      </c>
      <c r="M358" s="2130">
        <f>IFERROR(M156/$G358/$H358/'4. L PLAN'!I$110,0)</f>
        <v>0.62092592553631787</v>
      </c>
      <c r="N358" s="2131">
        <f>IFERROR(N156/$G358/$H358/'4. L PLAN'!J$110,0)</f>
        <v>1.0841366659864109</v>
      </c>
      <c r="O358" s="2132">
        <f>IFERROR(O156/$G358/$H358/'4. L PLAN'!K$110,0)</f>
        <v>1.0841366659864109</v>
      </c>
      <c r="P358" s="2130">
        <f>IFERROR(P156/$G358/$H358/'4. L PLAN'!L$110,0)</f>
        <v>1.0038302462837139</v>
      </c>
      <c r="Q358" s="2131">
        <f>IFERROR(Q156/$G358/$H358/'4. L PLAN'!M$110,0)</f>
        <v>0.59704415916953646</v>
      </c>
      <c r="R358" s="2132">
        <f>IFERROR(R156/$G358/$H358/'4. L PLAN'!N$110,0)</f>
        <v>0.80471999949506778</v>
      </c>
      <c r="S358" s="2130">
        <f>IFERROR(S156/$G358/$H358/'4. L PLAN'!O$110,0)</f>
        <v>0.74511111064358126</v>
      </c>
      <c r="T358" s="2131">
        <f>IFERROR(T156/$G358/$H358/'4. L PLAN'!P$110,0)</f>
        <v>0.80471999949506778</v>
      </c>
      <c r="U358" s="2132">
        <f>IFERROR(U156/$G358/$H358/'4. L PLAN'!Q$110,0)</f>
        <v>0.57493141253362767</v>
      </c>
      <c r="V358" s="2146">
        <f t="shared" si="228"/>
        <v>0.82897871448283622</v>
      </c>
      <c r="W358" s="1544"/>
      <c r="X358" s="1544"/>
      <c r="Y358" s="1544"/>
      <c r="Z358" s="9"/>
      <c r="AA358" s="1673">
        <f t="shared" si="221"/>
        <v>640</v>
      </c>
      <c r="AB358" s="1787">
        <f t="shared" si="222"/>
        <v>1</v>
      </c>
      <c r="AC358" s="1745">
        <f t="shared" si="223"/>
        <v>0</v>
      </c>
      <c r="AD358" s="1544" t="b">
        <f t="shared" si="224"/>
        <v>1</v>
      </c>
      <c r="AE358" s="1544" t="b">
        <f t="shared" si="225"/>
        <v>1</v>
      </c>
      <c r="AF358" s="1544" t="b">
        <f t="shared" si="226"/>
        <v>1</v>
      </c>
    </row>
    <row r="359" spans="1:32" s="1579" customFormat="1" ht="18" customHeight="1">
      <c r="A359" s="2154"/>
      <c r="B359" s="1785"/>
      <c r="C359" s="1673"/>
      <c r="D359" s="2114"/>
      <c r="E359" s="1673">
        <f>VLOOKUP(F359,B.BasicInfomation!B:C,2,0)</f>
        <v>41</v>
      </c>
      <c r="F359" s="2127" t="str">
        <f t="shared" si="220"/>
        <v>IPM 2.0  Base Housing</v>
      </c>
      <c r="G359" s="1909">
        <v>510</v>
      </c>
      <c r="H359" s="1787">
        <v>1</v>
      </c>
      <c r="I359" s="4206"/>
      <c r="J359" s="2115">
        <f>IFERROR(J157/$G359/$H359/'4. L PLAN'!F$110,0)</f>
        <v>0.28503007883927145</v>
      </c>
      <c r="K359" s="2147">
        <f>IFERROR(K157/$G359/$H359/'4. L PLAN'!G$110,0)</f>
        <v>0.46317387811381611</v>
      </c>
      <c r="L359" s="2148">
        <f>IFERROR(L157/$G359/$H359/'4. L PLAN'!H$110,0)</f>
        <v>0.47717089091395892</v>
      </c>
      <c r="M359" s="2149">
        <f>IFERROR(M157/$G359/$H359/'4. L PLAN'!I$110,0)</f>
        <v>0.2964312819928423</v>
      </c>
      <c r="N359" s="2147">
        <f>IFERROR(N157/$G359/$H359/'4. L PLAN'!J$110,0)</f>
        <v>0.2964312819928423</v>
      </c>
      <c r="O359" s="2148">
        <f>IFERROR(O157/$G359/$H359/'4. L PLAN'!K$110,0)</f>
        <v>0.2964312819928423</v>
      </c>
      <c r="P359" s="2149">
        <f>IFERROR(P157/$G359/$H359/'4. L PLAN'!L$110,0)</f>
        <v>0.45949789495418264</v>
      </c>
      <c r="Q359" s="2147">
        <f>IFERROR(Q157/$G359/$H359/'4. L PLAN'!M$110,0)</f>
        <v>0.47717089091395892</v>
      </c>
      <c r="R359" s="2148">
        <f>IFERROR(R157/$G359/$H359/'4. L PLAN'!N$110,0)</f>
        <v>0.49625772655051725</v>
      </c>
      <c r="S359" s="2149">
        <f>IFERROR(S157/$G359/$H359/'4. L PLAN'!O$110,0)</f>
        <v>0.27447340925263175</v>
      </c>
      <c r="T359" s="2147">
        <f>IFERROR(T157/$G359/$H359/'4. L PLAN'!P$110,0)</f>
        <v>0.2964312819928423</v>
      </c>
      <c r="U359" s="2148">
        <f>IFERROR(U157/$G359/$H359/'4. L PLAN'!Q$110,0)</f>
        <v>0.27447340925263175</v>
      </c>
      <c r="V359" s="2150">
        <f t="shared" si="228"/>
        <v>0.36608110889686146</v>
      </c>
      <c r="W359" s="1544"/>
      <c r="X359" s="1544"/>
      <c r="Y359" s="1544"/>
      <c r="AA359" s="1673">
        <f t="shared" si="221"/>
        <v>510</v>
      </c>
      <c r="AB359" s="1787">
        <f t="shared" si="222"/>
        <v>1</v>
      </c>
      <c r="AC359" s="1745">
        <f t="shared" si="223"/>
        <v>0</v>
      </c>
      <c r="AD359" s="1544" t="b">
        <f t="shared" si="224"/>
        <v>1</v>
      </c>
      <c r="AE359" s="1544" t="b">
        <f t="shared" si="225"/>
        <v>1</v>
      </c>
      <c r="AF359" s="1544" t="b">
        <f t="shared" si="226"/>
        <v>1</v>
      </c>
    </row>
    <row r="360" spans="1:32" s="1579" customFormat="1" ht="18" customHeight="1">
      <c r="A360" s="2154"/>
      <c r="B360" s="2243"/>
      <c r="C360" s="1673"/>
      <c r="D360" s="2114"/>
      <c r="E360" s="1673">
        <f>VLOOKUP(F360,B.BasicInfomation!B:C,2,0)</f>
        <v>0</v>
      </c>
      <c r="F360" s="4380" t="str">
        <f t="shared" si="220"/>
        <v>IPM 2.0 Advanced HSG</v>
      </c>
      <c r="G360" s="4378">
        <v>510</v>
      </c>
      <c r="H360" s="1787">
        <v>1</v>
      </c>
      <c r="I360" s="4206"/>
      <c r="J360" s="2115">
        <f>IFERROR(J158/$G360/$H360/'4. L PLAN'!F$110,0)</f>
        <v>0</v>
      </c>
      <c r="K360" s="2147">
        <f>IFERROR(K158/$G360/$H360/'4. L PLAN'!G$110,0)</f>
        <v>0</v>
      </c>
      <c r="L360" s="2148">
        <f>IFERROR(L158/$G360/$H360/'4. L PLAN'!H$110,0)</f>
        <v>0</v>
      </c>
      <c r="M360" s="2149">
        <f>IFERROR(M158/$G360/$H360/'4. L PLAN'!I$110,0)</f>
        <v>0</v>
      </c>
      <c r="N360" s="2147">
        <f>IFERROR(N158/$G360/$H360/'4. L PLAN'!J$110,0)</f>
        <v>0</v>
      </c>
      <c r="O360" s="2148">
        <f>IFERROR(O158/$G360/$H360/'4. L PLAN'!K$110,0)</f>
        <v>0</v>
      </c>
      <c r="P360" s="2149">
        <f>IFERROR(P158/$G360/$H360/'4. L PLAN'!L$110,0)</f>
        <v>0</v>
      </c>
      <c r="Q360" s="2147">
        <f>IFERROR(Q158/$G360/$H360/'4. L PLAN'!M$110,0)</f>
        <v>0</v>
      </c>
      <c r="R360" s="2148">
        <f>IFERROR(R158/$G360/$H360/'4. L PLAN'!N$110,0)</f>
        <v>0</v>
      </c>
      <c r="S360" s="2149">
        <f>IFERROR(S158/$G360/$H360/'4. L PLAN'!O$110,0)</f>
        <v>0</v>
      </c>
      <c r="T360" s="2147">
        <f>IFERROR(T158/$G360/$H360/'4. L PLAN'!P$110,0)</f>
        <v>0</v>
      </c>
      <c r="U360" s="2148">
        <f>IFERROR(U158/$G360/$H360/'4. L PLAN'!Q$110,0)</f>
        <v>0</v>
      </c>
      <c r="V360" s="2150">
        <f t="shared" si="228"/>
        <v>0</v>
      </c>
      <c r="W360" s="1544"/>
      <c r="X360" s="1544"/>
      <c r="Y360" s="1544"/>
      <c r="AA360" s="1673">
        <f t="shared" ref="AA360:AA371" si="229">G360</f>
        <v>510</v>
      </c>
      <c r="AB360" s="1787">
        <f t="shared" ref="AB360:AB371" si="230">H360</f>
        <v>1</v>
      </c>
      <c r="AC360" s="1745">
        <f t="shared" ref="AC360:AC371" si="231">I360</f>
        <v>0</v>
      </c>
      <c r="AD360" s="1544" t="b">
        <f t="shared" ref="AD360:AD371" si="232">AA360=G360</f>
        <v>1</v>
      </c>
      <c r="AE360" s="1544" t="b">
        <f t="shared" ref="AE360:AE371" si="233">AB360=H360</f>
        <v>1</v>
      </c>
      <c r="AF360" s="1544" t="b">
        <f t="shared" ref="AF360:AF371" si="234">AC360=I360</f>
        <v>1</v>
      </c>
    </row>
    <row r="361" spans="1:32" s="1579" customFormat="1" ht="18" customHeight="1">
      <c r="A361" s="2154"/>
      <c r="B361" s="2243"/>
      <c r="C361" s="1673"/>
      <c r="D361" s="2114"/>
      <c r="E361" s="1673">
        <f>VLOOKUP(F361,B.BasicInfomation!B:C,2,0)</f>
        <v>0</v>
      </c>
      <c r="F361" s="4380" t="str">
        <f t="shared" si="220"/>
        <v>IPM 2.0 HSG Base+</v>
      </c>
      <c r="G361" s="4378">
        <v>510</v>
      </c>
      <c r="H361" s="1787">
        <v>1</v>
      </c>
      <c r="I361" s="4206"/>
      <c r="J361" s="2115">
        <f>IFERROR(J159/$G361/$H361/'4. L PLAN'!F$110,0)</f>
        <v>0</v>
      </c>
      <c r="K361" s="2147">
        <f>IFERROR(K159/$G361/$H361/'4. L PLAN'!G$110,0)</f>
        <v>0</v>
      </c>
      <c r="L361" s="2148">
        <f>IFERROR(L159/$G361/$H361/'4. L PLAN'!H$110,0)</f>
        <v>0</v>
      </c>
      <c r="M361" s="2149">
        <f>IFERROR(M159/$G361/$H361/'4. L PLAN'!I$110,0)</f>
        <v>0</v>
      </c>
      <c r="N361" s="2147">
        <f>IFERROR(N159/$G361/$H361/'4. L PLAN'!J$110,0)</f>
        <v>0</v>
      </c>
      <c r="O361" s="2148">
        <f>IFERROR(O159/$G361/$H361/'4. L PLAN'!K$110,0)</f>
        <v>0</v>
      </c>
      <c r="P361" s="2149">
        <f>IFERROR(P159/$G361/$H361/'4. L PLAN'!L$110,0)</f>
        <v>0</v>
      </c>
      <c r="Q361" s="2147">
        <f>IFERROR(Q159/$G361/$H361/'4. L PLAN'!M$110,0)</f>
        <v>0</v>
      </c>
      <c r="R361" s="2148">
        <f>IFERROR(R159/$G361/$H361/'4. L PLAN'!N$110,0)</f>
        <v>0</v>
      </c>
      <c r="S361" s="2149">
        <f>IFERROR(S159/$G361/$H361/'4. L PLAN'!O$110,0)</f>
        <v>0</v>
      </c>
      <c r="T361" s="2147">
        <f>IFERROR(T159/$G361/$H361/'4. L PLAN'!P$110,0)</f>
        <v>0</v>
      </c>
      <c r="U361" s="2148">
        <f>IFERROR(U159/$G361/$H361/'4. L PLAN'!Q$110,0)</f>
        <v>0</v>
      </c>
      <c r="V361" s="2150">
        <f t="shared" si="228"/>
        <v>0</v>
      </c>
      <c r="W361" s="1544"/>
      <c r="X361" s="1544"/>
      <c r="Y361" s="1544"/>
      <c r="AA361" s="1673">
        <f t="shared" si="229"/>
        <v>510</v>
      </c>
      <c r="AB361" s="1787">
        <f t="shared" si="230"/>
        <v>1</v>
      </c>
      <c r="AC361" s="1745">
        <f t="shared" si="231"/>
        <v>0</v>
      </c>
      <c r="AD361" s="1544" t="b">
        <f t="shared" si="232"/>
        <v>1</v>
      </c>
      <c r="AE361" s="1544" t="b">
        <f t="shared" si="233"/>
        <v>1</v>
      </c>
      <c r="AF361" s="1544" t="b">
        <f t="shared" si="234"/>
        <v>1</v>
      </c>
    </row>
    <row r="362" spans="1:32" s="1579" customFormat="1" ht="18" customHeight="1">
      <c r="A362" s="2154"/>
      <c r="B362" s="2243"/>
      <c r="C362" s="1673"/>
      <c r="D362" s="2114"/>
      <c r="E362" s="1673">
        <f>VLOOKUP(F362,B.BasicInfomation!B:C,2,0)</f>
        <v>0</v>
      </c>
      <c r="F362" s="4380" t="str">
        <f t="shared" si="220"/>
        <v>IPM 2.0 HSG Premium</v>
      </c>
      <c r="G362" s="4378">
        <v>510</v>
      </c>
      <c r="H362" s="1787">
        <v>1</v>
      </c>
      <c r="I362" s="4206"/>
      <c r="J362" s="2115">
        <f>IFERROR(J160/$G362/$H362/'4. L PLAN'!F$110,0)</f>
        <v>0</v>
      </c>
      <c r="K362" s="2147">
        <f>IFERROR(K160/$G362/$H362/'4. L PLAN'!G$110,0)</f>
        <v>0</v>
      </c>
      <c r="L362" s="2148">
        <f>IFERROR(L160/$G362/$H362/'4. L PLAN'!H$110,0)</f>
        <v>0</v>
      </c>
      <c r="M362" s="2149">
        <f>IFERROR(M160/$G362/$H362/'4. L PLAN'!I$110,0)</f>
        <v>0</v>
      </c>
      <c r="N362" s="2147">
        <f>IFERROR(N160/$G362/$H362/'4. L PLAN'!J$110,0)</f>
        <v>0</v>
      </c>
      <c r="O362" s="2148">
        <f>IFERROR(O160/$G362/$H362/'4. L PLAN'!K$110,0)</f>
        <v>0</v>
      </c>
      <c r="P362" s="2149">
        <f>IFERROR(P160/$G362/$H362/'4. L PLAN'!L$110,0)</f>
        <v>0</v>
      </c>
      <c r="Q362" s="2147">
        <f>IFERROR(Q160/$G362/$H362/'4. L PLAN'!M$110,0)</f>
        <v>0</v>
      </c>
      <c r="R362" s="2148">
        <f>IFERROR(R160/$G362/$H362/'4. L PLAN'!N$110,0)</f>
        <v>0</v>
      </c>
      <c r="S362" s="2149">
        <f>IFERROR(S160/$G362/$H362/'4. L PLAN'!O$110,0)</f>
        <v>0</v>
      </c>
      <c r="T362" s="2147">
        <f>IFERROR(T160/$G362/$H362/'4. L PLAN'!P$110,0)</f>
        <v>0</v>
      </c>
      <c r="U362" s="2148">
        <f>IFERROR(U160/$G362/$H362/'4. L PLAN'!Q$110,0)</f>
        <v>0</v>
      </c>
      <c r="V362" s="2150">
        <f t="shared" si="228"/>
        <v>0</v>
      </c>
      <c r="W362" s="1544"/>
      <c r="X362" s="1544"/>
      <c r="Y362" s="1544"/>
      <c r="AA362" s="1673">
        <f t="shared" si="229"/>
        <v>510</v>
      </c>
      <c r="AB362" s="1787">
        <f t="shared" si="230"/>
        <v>1</v>
      </c>
      <c r="AC362" s="1745">
        <f t="shared" si="231"/>
        <v>0</v>
      </c>
      <c r="AD362" s="1544" t="b">
        <f t="shared" si="232"/>
        <v>1</v>
      </c>
      <c r="AE362" s="1544" t="b">
        <f t="shared" si="233"/>
        <v>1</v>
      </c>
      <c r="AF362" s="1544" t="b">
        <f t="shared" si="234"/>
        <v>1</v>
      </c>
    </row>
    <row r="363" spans="1:32" s="1579" customFormat="1" ht="18" customHeight="1">
      <c r="A363" s="2154"/>
      <c r="B363" s="2243"/>
      <c r="C363" s="3939" t="s">
        <v>1317</v>
      </c>
      <c r="D363" s="3939" t="s">
        <v>1328</v>
      </c>
      <c r="E363" s="3734"/>
      <c r="F363" s="2122" t="str">
        <f t="shared" si="220"/>
        <v>Glass Frame (ZF60A-T5)</v>
      </c>
      <c r="G363" s="4266">
        <v>0</v>
      </c>
      <c r="H363" s="3972">
        <v>1</v>
      </c>
      <c r="I363" s="4207"/>
      <c r="J363" s="2123">
        <f>IFERROR(J76/$G363/$H363/'4. L PLAN'!F$110,0)</f>
        <v>0</v>
      </c>
      <c r="K363" s="3973">
        <f>IFERROR(K76/$G363/$H363/'4. L PLAN'!G$110,0)</f>
        <v>0</v>
      </c>
      <c r="L363" s="3974">
        <f>IFERROR(L76/$G363/$H363/'4. L PLAN'!H$110,0)</f>
        <v>0</v>
      </c>
      <c r="M363" s="3975">
        <f>IFERROR(M76/$G363/$H363/'4. L PLAN'!I$110,0)</f>
        <v>0</v>
      </c>
      <c r="N363" s="3973">
        <f>IFERROR(N76/$G363/$H363/'4. L PLAN'!J$110,0)</f>
        <v>0</v>
      </c>
      <c r="O363" s="3974">
        <f>IFERROR(O76/$G363/$H363/'4. L PLAN'!K$110,0)</f>
        <v>0</v>
      </c>
      <c r="P363" s="3975">
        <f>IFERROR(P76/$G363/$H363/'4. L PLAN'!L$110,0)</f>
        <v>0</v>
      </c>
      <c r="Q363" s="3973">
        <f>IFERROR(Q76/$G363/$H363/'4. L PLAN'!M$110,0)</f>
        <v>0</v>
      </c>
      <c r="R363" s="3974">
        <f>IFERROR(R76/$G363/$H363/'4. L PLAN'!N$110,0)</f>
        <v>0</v>
      </c>
      <c r="S363" s="3975">
        <f>IFERROR(S76/$G363/$H363/'4. L PLAN'!O$110,0)</f>
        <v>0</v>
      </c>
      <c r="T363" s="3973">
        <f>IFERROR(T76/$G363/$H363/'4. L PLAN'!P$110,0)</f>
        <v>0</v>
      </c>
      <c r="U363" s="3974">
        <f>IFERROR(U76/$G363/$H363/'4. L PLAN'!Q$110,0)</f>
        <v>0</v>
      </c>
      <c r="V363" s="3976">
        <f t="shared" ref="V363:V370" si="235">AVERAGE(J363:U363)</f>
        <v>0</v>
      </c>
      <c r="W363" s="1544"/>
      <c r="X363" s="1544"/>
      <c r="Y363" s="1544"/>
      <c r="AA363" s="1673">
        <f t="shared" si="229"/>
        <v>0</v>
      </c>
      <c r="AB363" s="1787">
        <f t="shared" si="230"/>
        <v>1</v>
      </c>
      <c r="AC363" s="1745">
        <f t="shared" si="231"/>
        <v>0</v>
      </c>
      <c r="AD363" s="1544" t="b">
        <f t="shared" si="232"/>
        <v>1</v>
      </c>
      <c r="AE363" s="1544" t="b">
        <f t="shared" si="233"/>
        <v>1</v>
      </c>
      <c r="AF363" s="1544" t="b">
        <f t="shared" si="234"/>
        <v>1</v>
      </c>
    </row>
    <row r="364" spans="1:32" s="1579" customFormat="1" ht="18" customHeight="1">
      <c r="A364" s="2154"/>
      <c r="B364" s="2243"/>
      <c r="C364" s="1673"/>
      <c r="D364" s="2114"/>
      <c r="E364" s="1673"/>
      <c r="F364" s="2127" t="str">
        <f t="shared" si="220"/>
        <v>Body Compute enclosure (AL6061-T6)</v>
      </c>
      <c r="G364" s="1909">
        <v>0</v>
      </c>
      <c r="H364" s="1787">
        <v>1</v>
      </c>
      <c r="I364" s="4206"/>
      <c r="J364" s="2115">
        <f>IFERROR(J77/$G364/$H364/'4. L PLAN'!F$110,0)</f>
        <v>0</v>
      </c>
      <c r="K364" s="2147">
        <f>IFERROR(K77/$G364/$H364/'4. L PLAN'!G$110,0)</f>
        <v>0</v>
      </c>
      <c r="L364" s="2148">
        <f>IFERROR(L77/$G364/$H364/'4. L PLAN'!H$110,0)</f>
        <v>0</v>
      </c>
      <c r="M364" s="2149">
        <f>IFERROR(M77/$G364/$H364/'4. L PLAN'!I$110,0)</f>
        <v>0</v>
      </c>
      <c r="N364" s="2147">
        <f>IFERROR(N77/$G364/$H364/'4. L PLAN'!J$110,0)</f>
        <v>0</v>
      </c>
      <c r="O364" s="2148">
        <f>IFERROR(O77/$G364/$H364/'4. L PLAN'!K$110,0)</f>
        <v>0</v>
      </c>
      <c r="P364" s="2149">
        <f>IFERROR(P77/$G364/$H364/'4. L PLAN'!L$110,0)</f>
        <v>0</v>
      </c>
      <c r="Q364" s="2147">
        <f>IFERROR(Q77/$G364/$H364/'4. L PLAN'!M$110,0)</f>
        <v>0</v>
      </c>
      <c r="R364" s="2148">
        <f>IFERROR(R77/$G364/$H364/'4. L PLAN'!N$110,0)</f>
        <v>0</v>
      </c>
      <c r="S364" s="2149">
        <f>IFERROR(S77/$G364/$H364/'4. L PLAN'!O$110,0)</f>
        <v>0</v>
      </c>
      <c r="T364" s="2147">
        <f>IFERROR(T77/$G364/$H364/'4. L PLAN'!P$110,0)</f>
        <v>0</v>
      </c>
      <c r="U364" s="2148">
        <f>IFERROR(U77/$G364/$H364/'4. L PLAN'!Q$110,0)</f>
        <v>0</v>
      </c>
      <c r="V364" s="2150">
        <f t="shared" si="235"/>
        <v>0</v>
      </c>
      <c r="W364" s="1544"/>
      <c r="X364" s="1544"/>
      <c r="Y364" s="1544"/>
      <c r="AA364" s="1673">
        <f t="shared" si="229"/>
        <v>0</v>
      </c>
      <c r="AB364" s="1787">
        <f t="shared" si="230"/>
        <v>1</v>
      </c>
      <c r="AC364" s="1745">
        <f t="shared" si="231"/>
        <v>0</v>
      </c>
      <c r="AD364" s="1544" t="b">
        <f t="shared" si="232"/>
        <v>1</v>
      </c>
      <c r="AE364" s="1544" t="b">
        <f t="shared" si="233"/>
        <v>1</v>
      </c>
      <c r="AF364" s="1544" t="b">
        <f t="shared" si="234"/>
        <v>1</v>
      </c>
    </row>
    <row r="365" spans="1:32" s="1579" customFormat="1" ht="18" customHeight="1">
      <c r="A365" s="2154"/>
      <c r="B365" s="2243"/>
      <c r="C365" s="1673"/>
      <c r="D365" s="2114"/>
      <c r="E365" s="1673"/>
      <c r="F365" s="2127" t="str">
        <f t="shared" si="220"/>
        <v>Others Part</v>
      </c>
      <c r="G365" s="1909">
        <v>0</v>
      </c>
      <c r="H365" s="1787">
        <v>1</v>
      </c>
      <c r="I365" s="4206"/>
      <c r="J365" s="2115">
        <f>IFERROR(J78/$G365/$H365/'4. L PLAN'!F$110,0)</f>
        <v>0</v>
      </c>
      <c r="K365" s="2147">
        <f>IFERROR(K78/$G365/$H365/'4. L PLAN'!G$110,0)</f>
        <v>0</v>
      </c>
      <c r="L365" s="2148">
        <f>IFERROR(L78/$G365/$H365/'4. L PLAN'!H$110,0)</f>
        <v>0</v>
      </c>
      <c r="M365" s="2149">
        <f>IFERROR(M78/$G365/$H365/'4. L PLAN'!I$110,0)</f>
        <v>0</v>
      </c>
      <c r="N365" s="2147">
        <f>IFERROR(N78/$G365/$H365/'4. L PLAN'!J$110,0)</f>
        <v>0</v>
      </c>
      <c r="O365" s="2148">
        <f>IFERROR(O78/$G365/$H365/'4. L PLAN'!K$110,0)</f>
        <v>0</v>
      </c>
      <c r="P365" s="2149">
        <f>IFERROR(P78/$G365/$H365/'4. L PLAN'!L$110,0)</f>
        <v>0</v>
      </c>
      <c r="Q365" s="2147">
        <f>IFERROR(Q78/$G365/$H365/'4. L PLAN'!M$110,0)</f>
        <v>0</v>
      </c>
      <c r="R365" s="2148">
        <f>IFERROR(R78/$G365/$H365/'4. L PLAN'!N$110,0)</f>
        <v>0</v>
      </c>
      <c r="S365" s="2149">
        <f>IFERROR(S78/$G365/$H365/'4. L PLAN'!O$110,0)</f>
        <v>0</v>
      </c>
      <c r="T365" s="2147">
        <f>IFERROR(T78/$G365/$H365/'4. L PLAN'!P$110,0)</f>
        <v>0</v>
      </c>
      <c r="U365" s="2148">
        <f>IFERROR(U78/$G365/$H365/'4. L PLAN'!Q$110,0)</f>
        <v>0</v>
      </c>
      <c r="V365" s="2150">
        <f t="shared" si="235"/>
        <v>0</v>
      </c>
      <c r="W365" s="1544"/>
      <c r="X365" s="1544"/>
      <c r="Y365" s="1544"/>
      <c r="AA365" s="1673">
        <f t="shared" si="229"/>
        <v>0</v>
      </c>
      <c r="AB365" s="1787">
        <f t="shared" si="230"/>
        <v>1</v>
      </c>
      <c r="AC365" s="1745">
        <f t="shared" si="231"/>
        <v>0</v>
      </c>
      <c r="AD365" s="1544" t="b">
        <f t="shared" si="232"/>
        <v>1</v>
      </c>
      <c r="AE365" s="1544" t="b">
        <f t="shared" si="233"/>
        <v>1</v>
      </c>
      <c r="AF365" s="1544" t="b">
        <f t="shared" si="234"/>
        <v>1</v>
      </c>
    </row>
    <row r="366" spans="1:32" s="1579" customFormat="1" ht="18" hidden="1" customHeight="1">
      <c r="A366" s="2154"/>
      <c r="B366" s="2243"/>
      <c r="C366" s="1673"/>
      <c r="D366" s="2114"/>
      <c r="E366" s="1673"/>
      <c r="F366" s="2127">
        <f t="shared" si="220"/>
        <v>0</v>
      </c>
      <c r="G366" s="1909">
        <v>0</v>
      </c>
      <c r="H366" s="1787">
        <v>1</v>
      </c>
      <c r="I366" s="4206"/>
      <c r="J366" s="2115">
        <f>IFERROR(J79/$G366/$H366/'4. L PLAN'!F$110,0)</f>
        <v>0</v>
      </c>
      <c r="K366" s="2147">
        <f>IFERROR(K79/$G366/$H366/'4. L PLAN'!G$110,0)</f>
        <v>0</v>
      </c>
      <c r="L366" s="2148">
        <f>IFERROR(L79/$G366/$H366/'4. L PLAN'!H$110,0)</f>
        <v>0</v>
      </c>
      <c r="M366" s="2149">
        <f>IFERROR(M79/$G366/$H366/'4. L PLAN'!I$110,0)</f>
        <v>0</v>
      </c>
      <c r="N366" s="2147">
        <f>IFERROR(N79/$G366/$H366/'4. L PLAN'!J$110,0)</f>
        <v>0</v>
      </c>
      <c r="O366" s="2148">
        <f>IFERROR(O79/$G366/$H366/'4. L PLAN'!K$110,0)</f>
        <v>0</v>
      </c>
      <c r="P366" s="2149">
        <f>IFERROR(P79/$G366/$H366/'4. L PLAN'!L$110,0)</f>
        <v>0</v>
      </c>
      <c r="Q366" s="2147">
        <f>IFERROR(Q79/$G366/$H366/'4. L PLAN'!M$110,0)</f>
        <v>0</v>
      </c>
      <c r="R366" s="2148">
        <f>IFERROR(R79/$G366/$H366/'4. L PLAN'!N$110,0)</f>
        <v>0</v>
      </c>
      <c r="S366" s="2149">
        <f>IFERROR(S79/$G366/$H366/'4. L PLAN'!O$110,0)</f>
        <v>0</v>
      </c>
      <c r="T366" s="2147">
        <f>IFERROR(T79/$G366/$H366/'4. L PLAN'!P$110,0)</f>
        <v>0</v>
      </c>
      <c r="U366" s="2148">
        <f>IFERROR(U79/$G366/$H366/'4. L PLAN'!Q$110,0)</f>
        <v>0</v>
      </c>
      <c r="V366" s="2150">
        <f t="shared" si="235"/>
        <v>0</v>
      </c>
      <c r="W366" s="1544"/>
      <c r="X366" s="1544"/>
      <c r="Y366" s="1544"/>
      <c r="AA366" s="1673">
        <f t="shared" si="229"/>
        <v>0</v>
      </c>
      <c r="AB366" s="1787">
        <f t="shared" si="230"/>
        <v>1</v>
      </c>
      <c r="AC366" s="1745">
        <f t="shared" si="231"/>
        <v>0</v>
      </c>
      <c r="AD366" s="1544" t="b">
        <f t="shared" si="232"/>
        <v>1</v>
      </c>
      <c r="AE366" s="1544" t="b">
        <f t="shared" si="233"/>
        <v>1</v>
      </c>
      <c r="AF366" s="1544" t="b">
        <f t="shared" si="234"/>
        <v>1</v>
      </c>
    </row>
    <row r="367" spans="1:32" s="1579" customFormat="1" ht="18" hidden="1" customHeight="1">
      <c r="A367" s="2154"/>
      <c r="B367" s="2243"/>
      <c r="C367" s="1673"/>
      <c r="D367" s="2114"/>
      <c r="E367" s="1673"/>
      <c r="F367" s="2127">
        <f t="shared" si="220"/>
        <v>0</v>
      </c>
      <c r="G367" s="1909">
        <v>0</v>
      </c>
      <c r="H367" s="1787">
        <v>1</v>
      </c>
      <c r="I367" s="4206"/>
      <c r="J367" s="2115">
        <f>IFERROR(J80/$G367/$H367/'4. L PLAN'!F$110,0)</f>
        <v>0</v>
      </c>
      <c r="K367" s="2147">
        <f>IFERROR(K80/$G367/$H367/'4. L PLAN'!G$110,0)</f>
        <v>0</v>
      </c>
      <c r="L367" s="2148">
        <f>IFERROR(L80/$G367/$H367/'4. L PLAN'!H$110,0)</f>
        <v>0</v>
      </c>
      <c r="M367" s="2149">
        <f>IFERROR(M80/$G367/$H367/'4. L PLAN'!I$110,0)</f>
        <v>0</v>
      </c>
      <c r="N367" s="2147">
        <f>IFERROR(N80/$G367/$H367/'4. L PLAN'!J$110,0)</f>
        <v>0</v>
      </c>
      <c r="O367" s="2148">
        <f>IFERROR(O80/$G367/$H367/'4. L PLAN'!K$110,0)</f>
        <v>0</v>
      </c>
      <c r="P367" s="2149">
        <f>IFERROR(P80/$G367/$H367/'4. L PLAN'!L$110,0)</f>
        <v>0</v>
      </c>
      <c r="Q367" s="2147">
        <f>IFERROR(Q80/$G367/$H367/'4. L PLAN'!M$110,0)</f>
        <v>0</v>
      </c>
      <c r="R367" s="2148">
        <f>IFERROR(R80/$G367/$H367/'4. L PLAN'!N$110,0)</f>
        <v>0</v>
      </c>
      <c r="S367" s="2149">
        <f>IFERROR(S80/$G367/$H367/'4. L PLAN'!O$110,0)</f>
        <v>0</v>
      </c>
      <c r="T367" s="2147">
        <f>IFERROR(T80/$G367/$H367/'4. L PLAN'!P$110,0)</f>
        <v>0</v>
      </c>
      <c r="U367" s="2148">
        <f>IFERROR(U80/$G367/$H367/'4. L PLAN'!Q$110,0)</f>
        <v>0</v>
      </c>
      <c r="V367" s="2150">
        <f t="shared" si="235"/>
        <v>0</v>
      </c>
      <c r="W367" s="1544"/>
      <c r="X367" s="1544"/>
      <c r="Y367" s="1544"/>
      <c r="AA367" s="1673">
        <f t="shared" si="229"/>
        <v>0</v>
      </c>
      <c r="AB367" s="1787">
        <f t="shared" si="230"/>
        <v>1</v>
      </c>
      <c r="AC367" s="1745">
        <f t="shared" si="231"/>
        <v>0</v>
      </c>
      <c r="AD367" s="1544" t="b">
        <f t="shared" si="232"/>
        <v>1</v>
      </c>
      <c r="AE367" s="1544" t="b">
        <f t="shared" si="233"/>
        <v>1</v>
      </c>
      <c r="AF367" s="1544" t="b">
        <f t="shared" si="234"/>
        <v>1</v>
      </c>
    </row>
    <row r="368" spans="1:32" s="1579" customFormat="1" ht="18" hidden="1" customHeight="1">
      <c r="A368" s="2154"/>
      <c r="B368" s="2243"/>
      <c r="C368" s="1673"/>
      <c r="D368" s="2114"/>
      <c r="E368" s="1673"/>
      <c r="F368" s="2127">
        <f t="shared" si="220"/>
        <v>0</v>
      </c>
      <c r="G368" s="1909">
        <v>0</v>
      </c>
      <c r="H368" s="1787">
        <v>1</v>
      </c>
      <c r="I368" s="4206"/>
      <c r="J368" s="2115">
        <f>IFERROR(J81/$G368/$H368/'4. L PLAN'!F$110,0)</f>
        <v>0</v>
      </c>
      <c r="K368" s="2147">
        <f>IFERROR(K81/$G368/$H368/'4. L PLAN'!G$110,0)</f>
        <v>0</v>
      </c>
      <c r="L368" s="2148">
        <f>IFERROR(L81/$G368/$H368/'4. L PLAN'!H$110,0)</f>
        <v>0</v>
      </c>
      <c r="M368" s="2149">
        <f>IFERROR(M81/$G368/$H368/'4. L PLAN'!I$110,0)</f>
        <v>0</v>
      </c>
      <c r="N368" s="2147">
        <f>IFERROR(N81/$G368/$H368/'4. L PLAN'!J$110,0)</f>
        <v>0</v>
      </c>
      <c r="O368" s="2148">
        <f>IFERROR(O81/$G368/$H368/'4. L PLAN'!K$110,0)</f>
        <v>0</v>
      </c>
      <c r="P368" s="2149">
        <f>IFERROR(P81/$G368/$H368/'4. L PLAN'!L$110,0)</f>
        <v>0</v>
      </c>
      <c r="Q368" s="2147">
        <f>IFERROR(Q81/$G368/$H368/'4. L PLAN'!M$110,0)</f>
        <v>0</v>
      </c>
      <c r="R368" s="2148">
        <f>IFERROR(R81/$G368/$H368/'4. L PLAN'!N$110,0)</f>
        <v>0</v>
      </c>
      <c r="S368" s="2149">
        <f>IFERROR(S81/$G368/$H368/'4. L PLAN'!O$110,0)</f>
        <v>0</v>
      </c>
      <c r="T368" s="2147">
        <f>IFERROR(T81/$G368/$H368/'4. L PLAN'!P$110,0)</f>
        <v>0</v>
      </c>
      <c r="U368" s="2148">
        <f>IFERROR(U81/$G368/$H368/'4. L PLAN'!Q$110,0)</f>
        <v>0</v>
      </c>
      <c r="V368" s="2150">
        <f t="shared" si="235"/>
        <v>0</v>
      </c>
      <c r="W368" s="1544"/>
      <c r="X368" s="1544"/>
      <c r="Y368" s="1544"/>
      <c r="AA368" s="1673">
        <f t="shared" si="229"/>
        <v>0</v>
      </c>
      <c r="AB368" s="1787">
        <f t="shared" si="230"/>
        <v>1</v>
      </c>
      <c r="AC368" s="1745">
        <f t="shared" si="231"/>
        <v>0</v>
      </c>
      <c r="AD368" s="1544" t="b">
        <f t="shared" si="232"/>
        <v>1</v>
      </c>
      <c r="AE368" s="1544" t="b">
        <f t="shared" si="233"/>
        <v>1</v>
      </c>
      <c r="AF368" s="1544" t="b">
        <f t="shared" si="234"/>
        <v>1</v>
      </c>
    </row>
    <row r="369" spans="1:34" s="1579" customFormat="1" ht="18" hidden="1" customHeight="1">
      <c r="A369" s="2154"/>
      <c r="B369" s="2243"/>
      <c r="C369" s="1673"/>
      <c r="D369" s="2114"/>
      <c r="E369" s="1673"/>
      <c r="F369" s="2127">
        <f t="shared" si="220"/>
        <v>0</v>
      </c>
      <c r="G369" s="1909">
        <v>0</v>
      </c>
      <c r="H369" s="1787">
        <v>1</v>
      </c>
      <c r="I369" s="4206"/>
      <c r="J369" s="2115">
        <f>IFERROR(J82/$G369/$H369/'4. L PLAN'!F$110,0)</f>
        <v>0</v>
      </c>
      <c r="K369" s="2147">
        <f>IFERROR(K82/$G369/$H369/'4. L PLAN'!G$110,0)</f>
        <v>0</v>
      </c>
      <c r="L369" s="2148">
        <f>IFERROR(L82/$G369/$H369/'4. L PLAN'!H$110,0)</f>
        <v>0</v>
      </c>
      <c r="M369" s="2149">
        <f>IFERROR(M82/$G369/$H369/'4. L PLAN'!I$110,0)</f>
        <v>0</v>
      </c>
      <c r="N369" s="2147">
        <f>IFERROR(N82/$G369/$H369/'4. L PLAN'!J$110,0)</f>
        <v>0</v>
      </c>
      <c r="O369" s="2148">
        <f>IFERROR(O82/$G369/$H369/'4. L PLAN'!K$110,0)</f>
        <v>0</v>
      </c>
      <c r="P369" s="2149">
        <f>IFERROR(P82/$G369/$H369/'4. L PLAN'!L$110,0)</f>
        <v>0</v>
      </c>
      <c r="Q369" s="2147">
        <f>IFERROR(Q82/$G369/$H369/'4. L PLAN'!M$110,0)</f>
        <v>0</v>
      </c>
      <c r="R369" s="2148">
        <f>IFERROR(R82/$G369/$H369/'4. L PLAN'!N$110,0)</f>
        <v>0</v>
      </c>
      <c r="S369" s="2149">
        <f>IFERROR(S82/$G369/$H369/'4. L PLAN'!O$110,0)</f>
        <v>0</v>
      </c>
      <c r="T369" s="2147">
        <f>IFERROR(T82/$G369/$H369/'4. L PLAN'!P$110,0)</f>
        <v>0</v>
      </c>
      <c r="U369" s="2148">
        <f>IFERROR(U82/$G369/$H369/'4. L PLAN'!Q$110,0)</f>
        <v>0</v>
      </c>
      <c r="V369" s="2150">
        <f t="shared" si="235"/>
        <v>0</v>
      </c>
      <c r="W369" s="1544"/>
      <c r="X369" s="1544"/>
      <c r="Y369" s="1544"/>
      <c r="AA369" s="1673">
        <f t="shared" si="229"/>
        <v>0</v>
      </c>
      <c r="AB369" s="1787">
        <f t="shared" si="230"/>
        <v>1</v>
      </c>
      <c r="AC369" s="1745">
        <f t="shared" si="231"/>
        <v>0</v>
      </c>
      <c r="AD369" s="1544" t="b">
        <f t="shared" si="232"/>
        <v>1</v>
      </c>
      <c r="AE369" s="1544" t="b">
        <f t="shared" si="233"/>
        <v>1</v>
      </c>
      <c r="AF369" s="1544" t="b">
        <f t="shared" si="234"/>
        <v>1</v>
      </c>
    </row>
    <row r="370" spans="1:34" s="1579" customFormat="1" ht="18" hidden="1" customHeight="1">
      <c r="A370" s="2154"/>
      <c r="B370" s="2243"/>
      <c r="C370" s="1733"/>
      <c r="D370" s="2108"/>
      <c r="E370" s="1733"/>
      <c r="F370" s="3738">
        <f t="shared" si="220"/>
        <v>0</v>
      </c>
      <c r="G370" s="4264">
        <v>0</v>
      </c>
      <c r="H370" s="2109">
        <v>1</v>
      </c>
      <c r="I370" s="4208"/>
      <c r="J370" s="2144">
        <f>IFERROR(J83/$G370/$H370/'4. L PLAN'!F$110,0)</f>
        <v>0</v>
      </c>
      <c r="K370" s="3977">
        <f>IFERROR(K83/$G370/$H370/'4. L PLAN'!G$110,0)</f>
        <v>0</v>
      </c>
      <c r="L370" s="3978">
        <f>IFERROR(L83/$G370/$H370/'4. L PLAN'!H$110,0)</f>
        <v>0</v>
      </c>
      <c r="M370" s="3979">
        <f>IFERROR(M83/$G370/$H370/'4. L PLAN'!I$110,0)</f>
        <v>0</v>
      </c>
      <c r="N370" s="3977">
        <f>IFERROR(N83/$G370/$H370/'4. L PLAN'!J$110,0)</f>
        <v>0</v>
      </c>
      <c r="O370" s="3978">
        <f>IFERROR(O83/$G370/$H370/'4. L PLAN'!K$110,0)</f>
        <v>0</v>
      </c>
      <c r="P370" s="3979">
        <f>IFERROR(P83/$G370/$H370/'4. L PLAN'!L$110,0)</f>
        <v>0</v>
      </c>
      <c r="Q370" s="3977">
        <f>IFERROR(Q83/$G370/$H370/'4. L PLAN'!M$110,0)</f>
        <v>0</v>
      </c>
      <c r="R370" s="3978">
        <f>IFERROR(R83/$G370/$H370/'4. L PLAN'!N$110,0)</f>
        <v>0</v>
      </c>
      <c r="S370" s="3979">
        <f>IFERROR(S83/$G370/$H370/'4. L PLAN'!O$110,0)</f>
        <v>0</v>
      </c>
      <c r="T370" s="3977">
        <f>IFERROR(T83/$G370/$H370/'4. L PLAN'!P$110,0)</f>
        <v>0</v>
      </c>
      <c r="U370" s="3978">
        <f>IFERROR(U83/$G370/$H370/'4. L PLAN'!Q$110,0)</f>
        <v>0</v>
      </c>
      <c r="V370" s="3980">
        <f t="shared" si="235"/>
        <v>0</v>
      </c>
      <c r="W370" s="1544"/>
      <c r="X370" s="1544"/>
      <c r="Y370" s="1544"/>
      <c r="AA370" s="1673">
        <f t="shared" si="229"/>
        <v>0</v>
      </c>
      <c r="AB370" s="1787">
        <f t="shared" si="230"/>
        <v>1</v>
      </c>
      <c r="AC370" s="1745">
        <f t="shared" si="231"/>
        <v>0</v>
      </c>
      <c r="AD370" s="1544" t="b">
        <f t="shared" si="232"/>
        <v>1</v>
      </c>
      <c r="AE370" s="1544" t="b">
        <f t="shared" si="233"/>
        <v>1</v>
      </c>
      <c r="AF370" s="1544" t="b">
        <f t="shared" si="234"/>
        <v>1</v>
      </c>
    </row>
    <row r="371" spans="1:34" ht="18" customHeight="1" thickBot="1">
      <c r="A371" s="2155"/>
      <c r="B371" s="2057"/>
      <c r="C371" s="1747" t="s">
        <v>44</v>
      </c>
      <c r="D371" s="1747"/>
      <c r="E371" s="1747"/>
      <c r="F371" s="1748"/>
      <c r="G371" s="1960"/>
      <c r="H371" s="2151">
        <f>H266</f>
        <v>0</v>
      </c>
      <c r="I371" s="2969"/>
      <c r="J371" s="1633">
        <f t="shared" ref="J371:U371" si="236">SUM(J307:J370)</f>
        <v>84.61979057396573</v>
      </c>
      <c r="K371" s="1633">
        <f t="shared" si="236"/>
        <v>125.69443369454744</v>
      </c>
      <c r="L371" s="1634">
        <f t="shared" si="236"/>
        <v>85.580964050494345</v>
      </c>
      <c r="M371" s="1632">
        <f t="shared" si="236"/>
        <v>83.579442685155314</v>
      </c>
      <c r="N371" s="1633">
        <f t="shared" si="236"/>
        <v>86.995040328089416</v>
      </c>
      <c r="O371" s="1634">
        <f t="shared" si="236"/>
        <v>87.044805512559194</v>
      </c>
      <c r="P371" s="1632">
        <f t="shared" si="236"/>
        <v>79.116406402191416</v>
      </c>
      <c r="Q371" s="1633">
        <f t="shared" si="236"/>
        <v>81.830929917120187</v>
      </c>
      <c r="R371" s="1634">
        <f t="shared" si="236"/>
        <v>84.370481866978892</v>
      </c>
      <c r="S371" s="1632">
        <f t="shared" si="236"/>
        <v>75.497976145910954</v>
      </c>
      <c r="T371" s="1633">
        <f t="shared" si="236"/>
        <v>79.988874414022476</v>
      </c>
      <c r="U371" s="1634">
        <f t="shared" si="236"/>
        <v>74.39238118614881</v>
      </c>
      <c r="V371" s="1576">
        <f t="shared" si="228"/>
        <v>85.725960564765344</v>
      </c>
      <c r="AA371" s="1673">
        <f t="shared" si="229"/>
        <v>0</v>
      </c>
      <c r="AB371" s="1787">
        <f t="shared" si="230"/>
        <v>0</v>
      </c>
      <c r="AC371" s="1745">
        <f t="shared" si="231"/>
        <v>0</v>
      </c>
      <c r="AD371" s="1544" t="b">
        <f t="shared" si="232"/>
        <v>1</v>
      </c>
      <c r="AE371" s="1544" t="b">
        <f t="shared" si="233"/>
        <v>1</v>
      </c>
      <c r="AF371" s="1544" t="b">
        <f t="shared" si="234"/>
        <v>1</v>
      </c>
    </row>
    <row r="372" spans="1:34" ht="18" customHeight="1" thickBot="1">
      <c r="A372" s="5151" t="s">
        <v>138</v>
      </c>
      <c r="B372" s="5152"/>
      <c r="C372" s="5152"/>
      <c r="D372" s="5152"/>
      <c r="E372" s="5152"/>
      <c r="F372" s="5152"/>
      <c r="G372" s="5152"/>
      <c r="H372" s="5152"/>
      <c r="I372" s="5253"/>
      <c r="J372" s="1617">
        <f>(J306+J371)</f>
        <v>113.93115835293601</v>
      </c>
      <c r="K372" s="1618">
        <f t="shared" ref="K372:U372" si="237">(K306+K371)</f>
        <v>157.65303905084193</v>
      </c>
      <c r="L372" s="1619">
        <f t="shared" si="237"/>
        <v>115.0914934109978</v>
      </c>
      <c r="M372" s="1617">
        <f t="shared" si="237"/>
        <v>115.58119312838522</v>
      </c>
      <c r="N372" s="1618">
        <f t="shared" si="237"/>
        <v>117.44692935381833</v>
      </c>
      <c r="O372" s="1619">
        <f t="shared" si="237"/>
        <v>116.99202203061472</v>
      </c>
      <c r="P372" s="1617">
        <f t="shared" si="237"/>
        <v>83.792442863817911</v>
      </c>
      <c r="Q372" s="1618">
        <f t="shared" si="237"/>
        <v>85.372324065809778</v>
      </c>
      <c r="R372" s="1619">
        <f t="shared" si="237"/>
        <v>88.15237042752662</v>
      </c>
      <c r="S372" s="1617">
        <f t="shared" si="237"/>
        <v>80.082495342805444</v>
      </c>
      <c r="T372" s="1618">
        <f t="shared" si="237"/>
        <v>83.183165684373037</v>
      </c>
      <c r="U372" s="1619">
        <f t="shared" si="237"/>
        <v>77.258541023593267</v>
      </c>
      <c r="V372" s="1692">
        <f>(V306+V371)</f>
        <v>102.87809789462668</v>
      </c>
      <c r="AA372" s="1544"/>
      <c r="AB372" s="1544"/>
      <c r="AC372" s="1544"/>
    </row>
    <row r="373" spans="1:34" ht="18" customHeight="1">
      <c r="V373" s="1626" t="b">
        <f>(AVERAGE(J372:U372))=V372</f>
        <v>1</v>
      </c>
    </row>
    <row r="374" spans="1:34" s="1623" customFormat="1" ht="18" customHeight="1" thickBot="1">
      <c r="A374" s="1547" t="s">
        <v>1387</v>
      </c>
      <c r="F374" s="1624" t="s">
        <v>89</v>
      </c>
      <c r="G374" s="1872">
        <v>0.9</v>
      </c>
      <c r="H374" s="1812"/>
      <c r="I374" s="1813"/>
      <c r="J374" s="1625"/>
      <c r="K374" s="1625"/>
      <c r="L374" s="1625"/>
      <c r="M374" s="1625"/>
      <c r="N374" s="1625"/>
      <c r="O374" s="1625"/>
      <c r="P374" s="1625"/>
      <c r="Q374" s="1625"/>
      <c r="R374" s="1625"/>
      <c r="S374" s="1625"/>
      <c r="T374" s="1625"/>
      <c r="U374" s="1625"/>
      <c r="V374" s="1546" t="s">
        <v>279</v>
      </c>
      <c r="W374" s="1544"/>
      <c r="X374" s="1544"/>
      <c r="Y374" s="1544"/>
      <c r="Z374" s="1544"/>
      <c r="AA374" s="1872">
        <v>0.9</v>
      </c>
      <c r="AB374" s="1812"/>
      <c r="AC374" s="1813"/>
      <c r="AD374" s="1544"/>
      <c r="AE374" s="1544"/>
      <c r="AF374" s="1544"/>
      <c r="AG374" s="1544"/>
      <c r="AH374" s="1544"/>
    </row>
    <row r="375" spans="1:34" s="1623" customFormat="1" ht="24.95" customHeight="1" thickBot="1">
      <c r="A375" s="1548" t="s">
        <v>41</v>
      </c>
      <c r="B375" s="81" t="s">
        <v>107</v>
      </c>
      <c r="C375" s="81" t="s">
        <v>46</v>
      </c>
      <c r="D375" s="72" t="s">
        <v>1006</v>
      </c>
      <c r="E375" s="81" t="s">
        <v>1029</v>
      </c>
      <c r="F375" s="81" t="s">
        <v>108</v>
      </c>
      <c r="G375" s="81" t="s">
        <v>183</v>
      </c>
      <c r="H375" s="2106" t="s">
        <v>190</v>
      </c>
      <c r="I375" s="1998" t="s">
        <v>248</v>
      </c>
      <c r="J375" s="1548" t="s">
        <v>1350</v>
      </c>
      <c r="K375" s="81" t="s">
        <v>1351</v>
      </c>
      <c r="L375" s="1549" t="s">
        <v>1352</v>
      </c>
      <c r="M375" s="1548" t="s">
        <v>1353</v>
      </c>
      <c r="N375" s="81" t="s">
        <v>1354</v>
      </c>
      <c r="O375" s="1549" t="s">
        <v>1355</v>
      </c>
      <c r="P375" s="1548" t="s">
        <v>1356</v>
      </c>
      <c r="Q375" s="81" t="s">
        <v>1357</v>
      </c>
      <c r="R375" s="1549" t="s">
        <v>1358</v>
      </c>
      <c r="S375" s="1548" t="s">
        <v>1359</v>
      </c>
      <c r="T375" s="81" t="s">
        <v>1360</v>
      </c>
      <c r="U375" s="1549" t="s">
        <v>1361</v>
      </c>
      <c r="V375" s="1550" t="s">
        <v>1362</v>
      </c>
      <c r="W375" s="1544"/>
      <c r="X375" s="1544"/>
      <c r="Y375" s="1544"/>
      <c r="Z375" s="1544"/>
      <c r="AA375" s="81" t="s">
        <v>183</v>
      </c>
      <c r="AB375" s="2106" t="s">
        <v>190</v>
      </c>
      <c r="AC375" s="1998" t="s">
        <v>248</v>
      </c>
      <c r="AD375" s="1544"/>
      <c r="AE375" s="1544"/>
      <c r="AF375" s="1544"/>
      <c r="AG375" s="1544"/>
      <c r="AH375" s="1544"/>
    </row>
    <row r="376" spans="1:34" s="1579" customFormat="1" ht="18" customHeight="1">
      <c r="A376" s="2154"/>
      <c r="B376" s="2243"/>
      <c r="C376" s="3939" t="s">
        <v>1317</v>
      </c>
      <c r="D376" s="3939" t="s">
        <v>1328</v>
      </c>
      <c r="E376" s="1688" t="e">
        <f>VLOOKUP(F363,B.BasicInfomation!B:C,2,0)</f>
        <v>#N/A</v>
      </c>
      <c r="F376" s="3409" t="str">
        <f>F248</f>
        <v>Glass Frame (ZF60A-T5)</v>
      </c>
      <c r="G376" s="4255">
        <f>23/9</f>
        <v>2.5555555555555554</v>
      </c>
      <c r="H376" s="3972">
        <v>1</v>
      </c>
      <c r="I376" s="4207"/>
      <c r="J376" s="2123">
        <f>IFERROR(J76/$G376/$H376/'4. L PLAN'!F$110,0)</f>
        <v>0</v>
      </c>
      <c r="K376" s="3973">
        <f>IFERROR(K76/$G376/$H376/'4. L PLAN'!G$110,0)</f>
        <v>1.2228260869565217</v>
      </c>
      <c r="L376" s="3974">
        <f>IFERROR(L76/$G376/$H376/'4. L PLAN'!H$110,0)</f>
        <v>0.82775919732441483</v>
      </c>
      <c r="M376" s="3975">
        <f>IFERROR(M76/$G376/$H376/'4. L PLAN'!I$110,0)</f>
        <v>0</v>
      </c>
      <c r="N376" s="3973">
        <f>IFERROR(N76/$G376/$H376/'4. L PLAN'!J$110,0)</f>
        <v>0</v>
      </c>
      <c r="O376" s="3974">
        <f>IFERROR(O76/$G376/$H376/'4. L PLAN'!K$110,0)</f>
        <v>0</v>
      </c>
      <c r="P376" s="3975">
        <f>IFERROR(P76/$G376/$H376/'4. L PLAN'!L$110,0)</f>
        <v>0</v>
      </c>
      <c r="Q376" s="3973">
        <f>IFERROR(Q76/$G376/$H376/'4. L PLAN'!M$110,0)</f>
        <v>0</v>
      </c>
      <c r="R376" s="3974">
        <f>IFERROR(R76/$G376/$H376/'4. L PLAN'!N$110,0)</f>
        <v>0</v>
      </c>
      <c r="S376" s="3975">
        <f>IFERROR(S76/$G376/$H376/'4. L PLAN'!O$110,0)</f>
        <v>0</v>
      </c>
      <c r="T376" s="3973">
        <f>IFERROR(T76/$G376/$H376/'4. L PLAN'!P$110,0)</f>
        <v>0</v>
      </c>
      <c r="U376" s="3974">
        <f>IFERROR(U76/$G376/$H376/'4. L PLAN'!Q$110,0)</f>
        <v>0</v>
      </c>
      <c r="V376" s="3976">
        <f t="shared" ref="V376:V381" si="238">AVERAGE(J376:U376)</f>
        <v>0.17088210702341136</v>
      </c>
      <c r="W376" s="1544"/>
      <c r="X376" s="1544"/>
      <c r="Y376" s="1544"/>
      <c r="AA376" s="1673">
        <f t="shared" ref="AA376:AC381" si="239">G376</f>
        <v>2.5555555555555554</v>
      </c>
      <c r="AB376" s="1787">
        <f t="shared" si="239"/>
        <v>1</v>
      </c>
      <c r="AC376" s="1745">
        <f t="shared" si="239"/>
        <v>0</v>
      </c>
      <c r="AD376" s="1544" t="b">
        <f t="shared" ref="AD376:AF381" si="240">AA376=G376</f>
        <v>1</v>
      </c>
      <c r="AE376" s="1544" t="b">
        <f t="shared" si="240"/>
        <v>1</v>
      </c>
      <c r="AF376" s="1544" t="b">
        <f t="shared" si="240"/>
        <v>1</v>
      </c>
    </row>
    <row r="377" spans="1:34" s="1579" customFormat="1" ht="18" customHeight="1">
      <c r="A377" s="2154"/>
      <c r="B377" s="2243"/>
      <c r="C377" s="1673"/>
      <c r="D377" s="2114"/>
      <c r="E377" s="1673"/>
      <c r="F377" s="2127" t="str">
        <f>F250</f>
        <v>Others Part</v>
      </c>
      <c r="G377" s="4256"/>
      <c r="H377" s="1787"/>
      <c r="I377" s="4206"/>
      <c r="J377" s="2115">
        <f>IFERROR(J78/$G377/$H377/'4. L PLAN'!F$110,0)</f>
        <v>0</v>
      </c>
      <c r="K377" s="2147">
        <f>IFERROR(K78/$G377/$H377/'4. L PLAN'!G$110,0)</f>
        <v>0</v>
      </c>
      <c r="L377" s="2148">
        <f>IFERROR(L78/$G377/$H377/'4. L PLAN'!H$110,0)</f>
        <v>0</v>
      </c>
      <c r="M377" s="2149">
        <f>IFERROR(M78/$G377/$H377/'4. L PLAN'!I$110,0)</f>
        <v>0</v>
      </c>
      <c r="N377" s="2147">
        <f>IFERROR(N78/$G377/$H377/'4. L PLAN'!J$110,0)</f>
        <v>0</v>
      </c>
      <c r="O377" s="2148">
        <f>IFERROR(O78/$G377/$H377/'4. L PLAN'!K$110,0)</f>
        <v>0</v>
      </c>
      <c r="P377" s="2149">
        <f>IFERROR(P78/$G377/$H377/'4. L PLAN'!L$110,0)</f>
        <v>0</v>
      </c>
      <c r="Q377" s="2147">
        <f>IFERROR(Q78/$G377/$H377/'4. L PLAN'!M$110,0)</f>
        <v>0</v>
      </c>
      <c r="R377" s="2148">
        <f>IFERROR(R78/$G377/$H377/'4. L PLAN'!N$110,0)</f>
        <v>0</v>
      </c>
      <c r="S377" s="2149">
        <f>IFERROR(S78/$G377/$H377/'4. L PLAN'!O$110,0)</f>
        <v>0</v>
      </c>
      <c r="T377" s="2147">
        <f>IFERROR(T78/$G377/$H377/'4. L PLAN'!P$110,0)</f>
        <v>0</v>
      </c>
      <c r="U377" s="2148">
        <f>IFERROR(U78/$G377/$H377/'4. L PLAN'!Q$110,0)</f>
        <v>0</v>
      </c>
      <c r="V377" s="2150">
        <f t="shared" si="238"/>
        <v>0</v>
      </c>
      <c r="W377" s="1544"/>
      <c r="X377" s="1544"/>
      <c r="Y377" s="1544"/>
      <c r="AA377" s="1673">
        <f t="shared" si="239"/>
        <v>0</v>
      </c>
      <c r="AB377" s="1787">
        <f t="shared" si="239"/>
        <v>0</v>
      </c>
      <c r="AC377" s="1745">
        <f t="shared" si="239"/>
        <v>0</v>
      </c>
      <c r="AD377" s="1544" t="b">
        <f t="shared" si="240"/>
        <v>1</v>
      </c>
      <c r="AE377" s="1544" t="b">
        <f t="shared" si="240"/>
        <v>1</v>
      </c>
      <c r="AF377" s="1544" t="b">
        <f t="shared" si="240"/>
        <v>1</v>
      </c>
    </row>
    <row r="378" spans="1:34" s="1579" customFormat="1" ht="18" customHeight="1">
      <c r="A378" s="2154"/>
      <c r="B378" s="2243"/>
      <c r="C378" s="1673"/>
      <c r="D378" s="2114"/>
      <c r="E378" s="1673"/>
      <c r="F378" s="2127">
        <f>F251</f>
        <v>0</v>
      </c>
      <c r="G378" s="4256"/>
      <c r="H378" s="1787"/>
      <c r="I378" s="4206"/>
      <c r="J378" s="2115">
        <f>IFERROR(J79/$G378/$H378/'4. L PLAN'!F$110,0)</f>
        <v>0</v>
      </c>
      <c r="K378" s="2147">
        <f>IFERROR(K79/$G378/$H378/'4. L PLAN'!G$110,0)</f>
        <v>0</v>
      </c>
      <c r="L378" s="2148">
        <f>IFERROR(L79/$G378/$H378/'4. L PLAN'!H$110,0)</f>
        <v>0</v>
      </c>
      <c r="M378" s="2149">
        <f>IFERROR(M79/$G378/$H378/'4. L PLAN'!I$110,0)</f>
        <v>0</v>
      </c>
      <c r="N378" s="2147">
        <f>IFERROR(N79/$G378/$H378/'4. L PLAN'!J$110,0)</f>
        <v>0</v>
      </c>
      <c r="O378" s="2148">
        <f>IFERROR(O79/$G378/$H378/'4. L PLAN'!K$110,0)</f>
        <v>0</v>
      </c>
      <c r="P378" s="2149">
        <f>IFERROR(P79/$G378/$H378/'4. L PLAN'!L$110,0)</f>
        <v>0</v>
      </c>
      <c r="Q378" s="2147">
        <f>IFERROR(Q79/$G378/$H378/'4. L PLAN'!M$110,0)</f>
        <v>0</v>
      </c>
      <c r="R378" s="2148">
        <f>IFERROR(R79/$G378/$H378/'4. L PLAN'!N$110,0)</f>
        <v>0</v>
      </c>
      <c r="S378" s="2149">
        <f>IFERROR(S79/$G378/$H378/'4. L PLAN'!O$110,0)</f>
        <v>0</v>
      </c>
      <c r="T378" s="2147">
        <f>IFERROR(T79/$G378/$H378/'4. L PLAN'!P$110,0)</f>
        <v>0</v>
      </c>
      <c r="U378" s="2148">
        <f>IFERROR(U79/$G378/$H378/'4. L PLAN'!Q$110,0)</f>
        <v>0</v>
      </c>
      <c r="V378" s="2150">
        <f t="shared" si="238"/>
        <v>0</v>
      </c>
      <c r="W378" s="1544"/>
      <c r="X378" s="1544"/>
      <c r="Y378" s="1544"/>
      <c r="AA378" s="1673">
        <f t="shared" si="239"/>
        <v>0</v>
      </c>
      <c r="AB378" s="1787">
        <f t="shared" si="239"/>
        <v>0</v>
      </c>
      <c r="AC378" s="1745">
        <f t="shared" si="239"/>
        <v>0</v>
      </c>
      <c r="AD378" s="1544" t="b">
        <f t="shared" si="240"/>
        <v>1</v>
      </c>
      <c r="AE378" s="1544" t="b">
        <f t="shared" si="240"/>
        <v>1</v>
      </c>
      <c r="AF378" s="1544" t="b">
        <f t="shared" si="240"/>
        <v>1</v>
      </c>
    </row>
    <row r="379" spans="1:34" s="1579" customFormat="1" ht="18" customHeight="1">
      <c r="A379" s="2154"/>
      <c r="B379" s="2243"/>
      <c r="C379" s="1673"/>
      <c r="D379" s="2114"/>
      <c r="E379" s="1673"/>
      <c r="F379" s="2127">
        <f>F252</f>
        <v>0</v>
      </c>
      <c r="G379" s="4256"/>
      <c r="H379" s="1787"/>
      <c r="I379" s="4206"/>
      <c r="J379" s="2115">
        <f>IFERROR(J80/$G379/$H379/'4. L PLAN'!F$110,0)</f>
        <v>0</v>
      </c>
      <c r="K379" s="2147">
        <f>IFERROR(K80/$G379/$H379/'4. L PLAN'!G$110,0)</f>
        <v>0</v>
      </c>
      <c r="L379" s="2148">
        <f>IFERROR(L80/$G379/$H379/'4. L PLAN'!H$110,0)</f>
        <v>0</v>
      </c>
      <c r="M379" s="2149">
        <f>IFERROR(M80/$G379/$H379/'4. L PLAN'!I$110,0)</f>
        <v>0</v>
      </c>
      <c r="N379" s="2147">
        <f>IFERROR(N80/$G379/$H379/'4. L PLAN'!J$110,0)</f>
        <v>0</v>
      </c>
      <c r="O379" s="2148">
        <f>IFERROR(O80/$G379/$H379/'4. L PLAN'!K$110,0)</f>
        <v>0</v>
      </c>
      <c r="P379" s="2149">
        <f>IFERROR(P80/$G379/$H379/'4. L PLAN'!L$110,0)</f>
        <v>0</v>
      </c>
      <c r="Q379" s="2147">
        <f>IFERROR(Q80/$G379/$H379/'4. L PLAN'!M$110,0)</f>
        <v>0</v>
      </c>
      <c r="R379" s="2148">
        <f>IFERROR(R80/$G379/$H379/'4. L PLAN'!N$110,0)</f>
        <v>0</v>
      </c>
      <c r="S379" s="2149">
        <f>IFERROR(S80/$G379/$H379/'4. L PLAN'!O$110,0)</f>
        <v>0</v>
      </c>
      <c r="T379" s="2147">
        <f>IFERROR(T80/$G379/$H379/'4. L PLAN'!P$110,0)</f>
        <v>0</v>
      </c>
      <c r="U379" s="2148">
        <f>IFERROR(U80/$G379/$H379/'4. L PLAN'!Q$110,0)</f>
        <v>0</v>
      </c>
      <c r="V379" s="2150">
        <f t="shared" si="238"/>
        <v>0</v>
      </c>
      <c r="W379" s="1544"/>
      <c r="X379" s="1544"/>
      <c r="Y379" s="1544"/>
      <c r="AA379" s="1673">
        <f t="shared" si="239"/>
        <v>0</v>
      </c>
      <c r="AB379" s="1787">
        <f t="shared" si="239"/>
        <v>0</v>
      </c>
      <c r="AC379" s="1745">
        <f t="shared" si="239"/>
        <v>0</v>
      </c>
      <c r="AD379" s="1544" t="b">
        <f t="shared" si="240"/>
        <v>1</v>
      </c>
      <c r="AE379" s="1544" t="b">
        <f t="shared" si="240"/>
        <v>1</v>
      </c>
      <c r="AF379" s="1544" t="b">
        <f t="shared" si="240"/>
        <v>1</v>
      </c>
    </row>
    <row r="380" spans="1:34" s="1579" customFormat="1" ht="18" customHeight="1">
      <c r="A380" s="2154"/>
      <c r="B380" s="2243"/>
      <c r="C380" s="1673"/>
      <c r="D380" s="2114"/>
      <c r="E380" s="1673"/>
      <c r="F380" s="2127">
        <f>F253</f>
        <v>0</v>
      </c>
      <c r="G380" s="4256"/>
      <c r="H380" s="1787"/>
      <c r="I380" s="4206"/>
      <c r="J380" s="2115">
        <f>IFERROR(J81/$G380/$H380/'4. L PLAN'!F$110,0)</f>
        <v>0</v>
      </c>
      <c r="K380" s="2147">
        <f>IFERROR(K81/$G380/$H380/'4. L PLAN'!G$110,0)</f>
        <v>0</v>
      </c>
      <c r="L380" s="2148">
        <f>IFERROR(L81/$G380/$H380/'4. L PLAN'!H$110,0)</f>
        <v>0</v>
      </c>
      <c r="M380" s="2149">
        <f>IFERROR(M81/$G380/$H380/'4. L PLAN'!I$110,0)</f>
        <v>0</v>
      </c>
      <c r="N380" s="2147">
        <f>IFERROR(N81/$G380/$H380/'4. L PLAN'!J$110,0)</f>
        <v>0</v>
      </c>
      <c r="O380" s="2148">
        <f>IFERROR(O81/$G380/$H380/'4. L PLAN'!K$110,0)</f>
        <v>0</v>
      </c>
      <c r="P380" s="2149">
        <f>IFERROR(P81/$G380/$H380/'4. L PLAN'!L$110,0)</f>
        <v>0</v>
      </c>
      <c r="Q380" s="2147">
        <f>IFERROR(Q81/$G380/$H380/'4. L PLAN'!M$110,0)</f>
        <v>0</v>
      </c>
      <c r="R380" s="2148">
        <f>IFERROR(R81/$G380/$H380/'4. L PLAN'!N$110,0)</f>
        <v>0</v>
      </c>
      <c r="S380" s="2149">
        <f>IFERROR(S81/$G380/$H380/'4. L PLAN'!O$110,0)</f>
        <v>0</v>
      </c>
      <c r="T380" s="2147">
        <f>IFERROR(T81/$G380/$H380/'4. L PLAN'!P$110,0)</f>
        <v>0</v>
      </c>
      <c r="U380" s="2148">
        <f>IFERROR(U81/$G380/$H380/'4. L PLAN'!Q$110,0)</f>
        <v>0</v>
      </c>
      <c r="V380" s="2150">
        <f t="shared" si="238"/>
        <v>0</v>
      </c>
      <c r="W380" s="1544"/>
      <c r="X380" s="1544"/>
      <c r="Y380" s="1544"/>
      <c r="AA380" s="1673">
        <f t="shared" si="239"/>
        <v>0</v>
      </c>
      <c r="AB380" s="1787">
        <f t="shared" si="239"/>
        <v>0</v>
      </c>
      <c r="AC380" s="1745">
        <f t="shared" si="239"/>
        <v>0</v>
      </c>
      <c r="AD380" s="1544" t="b">
        <f t="shared" si="240"/>
        <v>1</v>
      </c>
      <c r="AE380" s="1544" t="b">
        <f t="shared" si="240"/>
        <v>1</v>
      </c>
      <c r="AF380" s="1544" t="b">
        <f t="shared" si="240"/>
        <v>1</v>
      </c>
    </row>
    <row r="381" spans="1:34" ht="18" customHeight="1" thickBot="1">
      <c r="A381" s="2155"/>
      <c r="B381" s="2057"/>
      <c r="C381" s="1747" t="s">
        <v>44</v>
      </c>
      <c r="D381" s="1747"/>
      <c r="E381" s="1747"/>
      <c r="F381" s="1748"/>
      <c r="G381" s="1960"/>
      <c r="H381" s="2151"/>
      <c r="I381" s="2969"/>
      <c r="J381" s="1572">
        <f t="shared" ref="J381:U381" si="241">SUM(J376:J380)</f>
        <v>0</v>
      </c>
      <c r="K381" s="1573">
        <f t="shared" si="241"/>
        <v>1.2228260869565217</v>
      </c>
      <c r="L381" s="1574">
        <f t="shared" si="241"/>
        <v>0.82775919732441483</v>
      </c>
      <c r="M381" s="1572">
        <f t="shared" si="241"/>
        <v>0</v>
      </c>
      <c r="N381" s="1573">
        <f t="shared" si="241"/>
        <v>0</v>
      </c>
      <c r="O381" s="1574">
        <f t="shared" si="241"/>
        <v>0</v>
      </c>
      <c r="P381" s="1572">
        <f t="shared" si="241"/>
        <v>0</v>
      </c>
      <c r="Q381" s="1573">
        <f t="shared" si="241"/>
        <v>0</v>
      </c>
      <c r="R381" s="1574">
        <f t="shared" si="241"/>
        <v>0</v>
      </c>
      <c r="S381" s="1572">
        <f t="shared" si="241"/>
        <v>0</v>
      </c>
      <c r="T381" s="1573">
        <f t="shared" si="241"/>
        <v>0</v>
      </c>
      <c r="U381" s="1574">
        <f t="shared" si="241"/>
        <v>0</v>
      </c>
      <c r="V381" s="1964">
        <f t="shared" si="238"/>
        <v>0.17088210702341136</v>
      </c>
      <c r="AA381" s="1960">
        <f t="shared" si="239"/>
        <v>0</v>
      </c>
      <c r="AB381" s="2151">
        <f t="shared" si="239"/>
        <v>0</v>
      </c>
      <c r="AC381" s="1961">
        <f t="shared" si="239"/>
        <v>0</v>
      </c>
      <c r="AD381" s="1544" t="b">
        <f t="shared" si="240"/>
        <v>1</v>
      </c>
      <c r="AE381" s="1544" t="b">
        <f t="shared" si="240"/>
        <v>1</v>
      </c>
      <c r="AF381" s="1544" t="b">
        <f t="shared" si="240"/>
        <v>1</v>
      </c>
    </row>
    <row r="382" spans="1:34" ht="18" customHeight="1" thickBot="1">
      <c r="A382" s="5151" t="s">
        <v>138</v>
      </c>
      <c r="B382" s="5152"/>
      <c r="C382" s="5152"/>
      <c r="D382" s="5152"/>
      <c r="E382" s="5152"/>
      <c r="F382" s="5152"/>
      <c r="G382" s="5152"/>
      <c r="H382" s="5152"/>
      <c r="I382" s="5253"/>
      <c r="J382" s="1617">
        <f t="shared" ref="J382:V382" si="242">(+J381)</f>
        <v>0</v>
      </c>
      <c r="K382" s="1618">
        <f t="shared" si="242"/>
        <v>1.2228260869565217</v>
      </c>
      <c r="L382" s="1619">
        <f t="shared" si="242"/>
        <v>0.82775919732441483</v>
      </c>
      <c r="M382" s="1617">
        <f t="shared" si="242"/>
        <v>0</v>
      </c>
      <c r="N382" s="1618">
        <f t="shared" si="242"/>
        <v>0</v>
      </c>
      <c r="O382" s="1619">
        <f t="shared" si="242"/>
        <v>0</v>
      </c>
      <c r="P382" s="1617">
        <f t="shared" si="242"/>
        <v>0</v>
      </c>
      <c r="Q382" s="1618">
        <f t="shared" si="242"/>
        <v>0</v>
      </c>
      <c r="R382" s="1619">
        <f t="shared" si="242"/>
        <v>0</v>
      </c>
      <c r="S382" s="1617">
        <f t="shared" si="242"/>
        <v>0</v>
      </c>
      <c r="T382" s="1618">
        <f t="shared" si="242"/>
        <v>0</v>
      </c>
      <c r="U382" s="1619">
        <f t="shared" si="242"/>
        <v>0</v>
      </c>
      <c r="V382" s="1692">
        <f t="shared" si="242"/>
        <v>0.17088210702341136</v>
      </c>
      <c r="AA382" s="1544"/>
      <c r="AB382" s="1544"/>
      <c r="AC382" s="1544"/>
    </row>
    <row r="383" spans="1:34" ht="18" customHeight="1">
      <c r="V383" s="1626"/>
    </row>
    <row r="384" spans="1:34" s="1623" customFormat="1" ht="18" customHeight="1" thickBot="1">
      <c r="A384" s="1547" t="s">
        <v>1329</v>
      </c>
      <c r="F384" s="1624" t="s">
        <v>89</v>
      </c>
      <c r="G384" s="1872">
        <v>0.9</v>
      </c>
      <c r="H384" s="1812"/>
      <c r="I384" s="1813"/>
      <c r="J384" s="1625"/>
      <c r="K384" s="1625"/>
      <c r="L384" s="1625"/>
      <c r="M384" s="1625"/>
      <c r="N384" s="1625"/>
      <c r="O384" s="1625"/>
      <c r="P384" s="1625"/>
      <c r="Q384" s="1625"/>
      <c r="R384" s="1625"/>
      <c r="S384" s="1625"/>
      <c r="T384" s="1625"/>
      <c r="U384" s="1625"/>
      <c r="V384" s="1546" t="s">
        <v>279</v>
      </c>
      <c r="W384" s="1544"/>
      <c r="X384" s="1544"/>
      <c r="Y384" s="1544"/>
      <c r="Z384" s="1544"/>
      <c r="AA384" s="1872">
        <v>0.9</v>
      </c>
      <c r="AB384" s="1812"/>
      <c r="AC384" s="1813"/>
      <c r="AD384" s="1544"/>
      <c r="AE384" s="1544"/>
      <c r="AF384" s="1544"/>
      <c r="AG384" s="1544"/>
      <c r="AH384" s="1544"/>
    </row>
    <row r="385" spans="1:34" s="1623" customFormat="1" ht="24.95" customHeight="1" thickBot="1">
      <c r="A385" s="1548" t="s">
        <v>41</v>
      </c>
      <c r="B385" s="81" t="s">
        <v>107</v>
      </c>
      <c r="C385" s="81" t="s">
        <v>46</v>
      </c>
      <c r="D385" s="72" t="s">
        <v>1006</v>
      </c>
      <c r="E385" s="81" t="s">
        <v>1029</v>
      </c>
      <c r="F385" s="81" t="s">
        <v>108</v>
      </c>
      <c r="G385" s="81" t="s">
        <v>183</v>
      </c>
      <c r="H385" s="2106" t="s">
        <v>190</v>
      </c>
      <c r="I385" s="1998" t="s">
        <v>248</v>
      </c>
      <c r="J385" s="1548" t="s">
        <v>1350</v>
      </c>
      <c r="K385" s="81" t="s">
        <v>1351</v>
      </c>
      <c r="L385" s="1549" t="s">
        <v>1352</v>
      </c>
      <c r="M385" s="1548" t="s">
        <v>1353</v>
      </c>
      <c r="N385" s="81" t="s">
        <v>1354</v>
      </c>
      <c r="O385" s="1549" t="s">
        <v>1355</v>
      </c>
      <c r="P385" s="1548" t="s">
        <v>1356</v>
      </c>
      <c r="Q385" s="81" t="s">
        <v>1357</v>
      </c>
      <c r="R385" s="1549" t="s">
        <v>1358</v>
      </c>
      <c r="S385" s="1548" t="s">
        <v>1359</v>
      </c>
      <c r="T385" s="81" t="s">
        <v>1360</v>
      </c>
      <c r="U385" s="1549" t="s">
        <v>1361</v>
      </c>
      <c r="V385" s="1550" t="s">
        <v>1362</v>
      </c>
      <c r="W385" s="1544"/>
      <c r="X385" s="1544"/>
      <c r="Y385" s="1544"/>
      <c r="Z385" s="1544"/>
      <c r="AA385" s="81" t="s">
        <v>183</v>
      </c>
      <c r="AB385" s="2106" t="s">
        <v>190</v>
      </c>
      <c r="AC385" s="1998" t="s">
        <v>248</v>
      </c>
      <c r="AD385" s="1544"/>
      <c r="AE385" s="1544"/>
      <c r="AF385" s="1544"/>
      <c r="AG385" s="1544"/>
      <c r="AH385" s="1544"/>
    </row>
    <row r="386" spans="1:34" ht="18" customHeight="1">
      <c r="A386" s="2154"/>
      <c r="B386" s="1785"/>
      <c r="C386" s="1673" t="s">
        <v>556</v>
      </c>
      <c r="D386" s="61"/>
      <c r="E386" s="61">
        <f>VLOOKUP(F386,B.BasicInfomation!B:C,2,0)</f>
        <v>11</v>
      </c>
      <c r="F386" s="15" t="str">
        <f>F307</f>
        <v>GEN3 AL5 Housing (YT)</v>
      </c>
      <c r="G386" s="1909">
        <v>1170</v>
      </c>
      <c r="H386" s="1787">
        <v>0.98</v>
      </c>
      <c r="I386" s="2013">
        <v>1</v>
      </c>
      <c r="J386" s="4257">
        <f>(J105+J106+J108+J107)/($G$386/$I$386/(100%+(100%-$H$386)))/'4. L PLAN'!F$110</f>
        <v>1.5798018603814064</v>
      </c>
      <c r="K386" s="4258">
        <f>(K105+K106+K108+K107)/($G$386/$I$386/(100%+(100%-$H$386)))/'4. L PLAN'!G$110</f>
        <v>1.8125594605383133</v>
      </c>
      <c r="L386" s="4259">
        <f>(L105+L106+L108+L107)/($G$386/$I$386/(100%+(100%-$H$386)))/'4. L PLAN'!H$110</f>
        <v>1.9429917790385891</v>
      </c>
      <c r="M386" s="4257">
        <f>(M105+M106+M108+M107)/($G$386/$I$386/(100%+(100%-$H$386)))/'4. L PLAN'!I$110</f>
        <v>1.2993257781636656</v>
      </c>
      <c r="N386" s="4258">
        <f>(N105+N106+N108+N107)/($G$386/$I$386/(100%+(100%-$H$386)))/'4. L PLAN'!J$110</f>
        <v>0</v>
      </c>
      <c r="O386" s="4259">
        <f>(O105+O106+O108+O107)/($G$386/$I$386/(100%+(100%-$H$386)))/'4. L PLAN'!K$110</f>
        <v>0</v>
      </c>
      <c r="P386" s="4257">
        <f>(P105+P106+P108+P107)/($G$386/$I$386/(100%+(100%-$H$386)))/'4. L PLAN'!L$110</f>
        <v>0</v>
      </c>
      <c r="Q386" s="4258">
        <f>(Q105+Q106+Q108+Q107)/($G$386/$I$386/(100%+(100%-$H$386)))/'4. L PLAN'!M$110</f>
        <v>0</v>
      </c>
      <c r="R386" s="4259">
        <f>(R105+R106+R108+R107)/($G$386/$I$386/(100%+(100%-$H$386)))/'4. L PLAN'!N$110</f>
        <v>0</v>
      </c>
      <c r="S386" s="4257">
        <f>(S105+S106+S108+S107)/($G$386/$I$386/(100%+(100%-$H$386)))/'4. L PLAN'!O$110</f>
        <v>0</v>
      </c>
      <c r="T386" s="4258">
        <f>(T105+T106+T108+T107)/($G$386/$I$386/(100%+(100%-$H$386)))/'4. L PLAN'!P$110</f>
        <v>0</v>
      </c>
      <c r="U386" s="4259">
        <f>(U105+U106+U108+U107)/($G$386/$I$386/(100%+(100%-$H$386)))/'4. L PLAN'!Q$110</f>
        <v>0</v>
      </c>
      <c r="V386" s="1566">
        <f t="shared" ref="V386:V395" si="243">AVERAGE(J386:U386)</f>
        <v>0.55288990651016456</v>
      </c>
      <c r="AA386" s="1909">
        <f t="shared" ref="AA386:AC395" si="244">G386</f>
        <v>1170</v>
      </c>
      <c r="AB386" s="1787">
        <f t="shared" si="244"/>
        <v>0.98</v>
      </c>
      <c r="AC386" s="1788">
        <f t="shared" si="244"/>
        <v>1</v>
      </c>
      <c r="AD386" s="1544" t="b">
        <f t="shared" ref="AD386:AF394" si="245">AA386=G386</f>
        <v>1</v>
      </c>
      <c r="AE386" s="1544" t="b">
        <f t="shared" si="245"/>
        <v>1</v>
      </c>
      <c r="AF386" s="1544" t="b">
        <f t="shared" si="245"/>
        <v>1</v>
      </c>
    </row>
    <row r="387" spans="1:34" ht="18" customHeight="1">
      <c r="A387" s="2154"/>
      <c r="B387" s="1785"/>
      <c r="C387" s="1673"/>
      <c r="D387" s="61"/>
      <c r="E387" s="61">
        <f>VLOOKUP(F387,B.BasicInfomation!B:C,2,0)</f>
        <v>0</v>
      </c>
      <c r="F387" s="15" t="s">
        <v>1382</v>
      </c>
      <c r="G387" s="1909">
        <v>878</v>
      </c>
      <c r="H387" s="1787">
        <v>0.98</v>
      </c>
      <c r="I387" s="2013">
        <v>1</v>
      </c>
      <c r="J387" s="4257">
        <f>(J117/($G$387/$I$387/(100%+(100%-$H$387)))/'4. L PLAN'!F110)</f>
        <v>0</v>
      </c>
      <c r="K387" s="4258">
        <f>(K117/($G$387/$I$387/(100%+(100%-$H$387)))/'4. L PLAN'!G110)</f>
        <v>0</v>
      </c>
      <c r="L387" s="4259">
        <f>(L117/($G$387/$I$387/(100%+(100%-$H$387)))/'4. L PLAN'!H110)</f>
        <v>0</v>
      </c>
      <c r="M387" s="4257">
        <f>(M117/($G$387/$I$387/(100%+(100%-$H$387)))/'4. L PLAN'!I110)</f>
        <v>0</v>
      </c>
      <c r="N387" s="4258">
        <f>(N117/($G$387/$I$387/(100%+(100%-$H$387)))/'4. L PLAN'!J110)</f>
        <v>0</v>
      </c>
      <c r="O387" s="4259">
        <f>(O117/($G$387/$I$387/(100%+(100%-$H$387)))/'4. L PLAN'!K110)</f>
        <v>0</v>
      </c>
      <c r="P387" s="4257">
        <f>(P117/($G$387/$I$387/(100%+(100%-$H$387)))/'4. L PLAN'!L110)</f>
        <v>0</v>
      </c>
      <c r="Q387" s="4258">
        <f>(Q117/($G$387/$I$387/(100%+(100%-$H$387)))/'4. L PLAN'!M110)</f>
        <v>0</v>
      </c>
      <c r="R387" s="4259">
        <f>(R117/($G$387/$I$387/(100%+(100%-$H$387)))/'4. L PLAN'!N110)</f>
        <v>0</v>
      </c>
      <c r="S387" s="4257">
        <f>(S117/($G$387/$I$387/(100%+(100%-$H$387)))/'4. L PLAN'!O110)</f>
        <v>0</v>
      </c>
      <c r="T387" s="4258">
        <f>(T117/($G$387/$I$387/(100%+(100%-$H$387)))/'4. L PLAN'!P110)</f>
        <v>0</v>
      </c>
      <c r="U387" s="4259">
        <f>(U117/($G$387/$I$387/(100%+(100%-$H$387)))/'4. L PLAN'!Q110)</f>
        <v>0</v>
      </c>
      <c r="V387" s="1566">
        <f t="shared" si="243"/>
        <v>0</v>
      </c>
      <c r="AA387" s="1909">
        <f t="shared" si="244"/>
        <v>878</v>
      </c>
      <c r="AB387" s="1787">
        <f t="shared" si="244"/>
        <v>0.98</v>
      </c>
      <c r="AC387" s="1788">
        <f t="shared" si="244"/>
        <v>1</v>
      </c>
      <c r="AD387" s="1544" t="b">
        <f t="shared" si="245"/>
        <v>1</v>
      </c>
      <c r="AE387" s="1544" t="b">
        <f t="shared" si="245"/>
        <v>1</v>
      </c>
      <c r="AF387" s="1544" t="b">
        <f t="shared" si="245"/>
        <v>1</v>
      </c>
    </row>
    <row r="388" spans="1:34" ht="18" customHeight="1">
      <c r="A388" s="2154"/>
      <c r="B388" s="1785"/>
      <c r="C388" s="1673"/>
      <c r="D388" s="61"/>
      <c r="E388" s="61">
        <f>VLOOKUP(F388,B.BasicInfomation!B:C,2,0)</f>
        <v>18</v>
      </c>
      <c r="F388" s="15" t="s">
        <v>1548</v>
      </c>
      <c r="G388" s="1909">
        <v>846</v>
      </c>
      <c r="H388" s="1787">
        <v>0.98</v>
      </c>
      <c r="I388" s="2013">
        <v>1</v>
      </c>
      <c r="J388" s="4257">
        <f>(J122/($G$388/$I$388/(100%+(100%-$H$388)))/'4. L PLAN'!F110)</f>
        <v>1.4784013217126919</v>
      </c>
      <c r="K388" s="4258">
        <f>(K122/($G$388/$I$388/(100%+(100%-$H$388)))/'4. L PLAN'!G110)</f>
        <v>2.2022019688011967</v>
      </c>
      <c r="L388" s="4259">
        <f>(L122/($G$388/$I$388/(100%+(100%-$H$388)))/'4. L PLAN'!H110)</f>
        <v>0.86240077099907009</v>
      </c>
      <c r="M388" s="4257">
        <f>(M122/($G$388/$I$388/(100%+(100%-$H$388)))/'4. L PLAN'!I110)</f>
        <v>0.88977857325300891</v>
      </c>
      <c r="N388" s="4258">
        <f>(N122/($G$388/$I$388/(100%+(100%-$H$388)))/'4. L PLAN'!J110)</f>
        <v>0.99655200204336991</v>
      </c>
      <c r="O388" s="4259">
        <f>(O122/($G$388/$I$388/(100%+(100%-$H$388)))/'4. L PLAN'!K110)</f>
        <v>0.91291281615758724</v>
      </c>
      <c r="P388" s="4257">
        <f>(P122/($G$388/$I$388/(100%+(100%-$H$388)))/'4. L PLAN'!L110)</f>
        <v>0.84528964459035849</v>
      </c>
      <c r="Q388" s="4258">
        <f>(Q122/($G$388/$I$388/(100%+(100%-$H$388)))/'4. L PLAN'!M110)</f>
        <v>0.87780078476691081</v>
      </c>
      <c r="R388" s="4259">
        <f>(R122/($G$388/$I$388/(100%+(100%-$H$388)))/'4. L PLAN'!N110)</f>
        <v>0.91291281615758724</v>
      </c>
      <c r="S388" s="4257">
        <f>(S122/($G$388/$I$388/(100%+(100%-$H$388)))/'4. L PLAN'!O110)</f>
        <v>0.84528964459035849</v>
      </c>
      <c r="T388" s="4258">
        <f>(T122/($G$388/$I$388/(100%+(100%-$H$388)))/'4. L PLAN'!P110)</f>
        <v>0.91291281615758724</v>
      </c>
      <c r="U388" s="4259">
        <f>(U122/($G$388/$I$388/(100%+(100%-$H$388)))/'4. L PLAN'!Q110)</f>
        <v>0.84528964459035849</v>
      </c>
      <c r="V388" s="1566">
        <f t="shared" si="243"/>
        <v>1.0484785669850074</v>
      </c>
      <c r="AA388" s="1909">
        <f t="shared" si="244"/>
        <v>846</v>
      </c>
      <c r="AB388" s="1787">
        <f t="shared" si="244"/>
        <v>0.98</v>
      </c>
      <c r="AC388" s="1788">
        <f t="shared" si="244"/>
        <v>1</v>
      </c>
      <c r="AD388" s="1544" t="b">
        <f t="shared" si="245"/>
        <v>1</v>
      </c>
      <c r="AE388" s="1544" t="b">
        <f t="shared" si="245"/>
        <v>1</v>
      </c>
      <c r="AF388" s="1544" t="b">
        <f t="shared" si="245"/>
        <v>1</v>
      </c>
    </row>
    <row r="389" spans="1:34" ht="18" customHeight="1">
      <c r="A389" s="2154"/>
      <c r="B389" s="1785"/>
      <c r="C389" s="1673"/>
      <c r="D389" s="61"/>
      <c r="E389" s="61"/>
      <c r="F389" s="15" t="s">
        <v>1549</v>
      </c>
      <c r="G389" s="1909">
        <v>846</v>
      </c>
      <c r="H389" s="1787">
        <v>0.98</v>
      </c>
      <c r="I389" s="2013">
        <v>1</v>
      </c>
      <c r="J389" s="4257">
        <f>(J123/($G$389/$I$389/(100%+(100%-$H$389)))/'4. L PLAN'!F110)</f>
        <v>2.5943931311185233</v>
      </c>
      <c r="K389" s="4258">
        <f>(K123/($G$389/$I$389/(100%+(100%-$H$389)))/'4. L PLAN'!G110)</f>
        <v>2.1079444190338004</v>
      </c>
      <c r="L389" s="4259">
        <f>(L123/($G$389/$I$389/(100%+(100%-$H$389)))/'4. L PLAN'!H110)</f>
        <v>1.2971965655592617</v>
      </c>
      <c r="M389" s="4257">
        <f>(M123/($G$389/$I$389/(100%+(100%-$H$389)))/'4. L PLAN'!I110)</f>
        <v>1.3490844281816323</v>
      </c>
      <c r="N389" s="4258">
        <f>(N123/($G$389/$I$389/(100%+(100%-$H$389)))/'4. L PLAN'!J110)</f>
        <v>1.2491522483163262</v>
      </c>
      <c r="O389" s="4259">
        <f>(O123/($G$389/$I$389/(100%+(100%-$H$389)))/'4. L PLAN'!K110)</f>
        <v>1.2491522483163262</v>
      </c>
      <c r="P389" s="4257">
        <f>(P123/($G$389/$I$389/(100%+(100%-$H$389)))/'4. L PLAN'!L110)</f>
        <v>1.1566224521447463</v>
      </c>
      <c r="Q389" s="4258">
        <f>(Q123/($G$389/$I$389/(100%+(100%-$H$389)))/'4. L PLAN'!M110)</f>
        <v>1.2011079310733905</v>
      </c>
      <c r="R389" s="4259">
        <f>(R123/($G$389/$I$389/(100%+(100%-$H$389)))/'4. L PLAN'!N110)</f>
        <v>1.2491522483163262</v>
      </c>
      <c r="S389" s="4257">
        <f>(S123/($G$389/$I$389/(100%+(100%-$H$389)))/'4. L PLAN'!O110)</f>
        <v>1.1566224521447463</v>
      </c>
      <c r="T389" s="4258">
        <f>(T123/($G$389/$I$389/(100%+(100%-$H$389)))/'4. L PLAN'!P110)</f>
        <v>1.2491522483163262</v>
      </c>
      <c r="U389" s="4259">
        <f>(U123/($G$389/$I$389/(100%+(100%-$H$389)))/'4. L PLAN'!Q110)</f>
        <v>1.1566224521447463</v>
      </c>
      <c r="V389" s="1566">
        <f t="shared" si="243"/>
        <v>1.4180169020555127</v>
      </c>
      <c r="AA389" s="1909"/>
      <c r="AB389" s="1787"/>
      <c r="AC389" s="1788"/>
    </row>
    <row r="390" spans="1:34" ht="18" customHeight="1">
      <c r="A390" s="2154"/>
      <c r="B390" s="1785"/>
      <c r="C390" s="1673"/>
      <c r="D390" s="61"/>
      <c r="E390" s="61">
        <f>VLOOKUP(F390,B.BasicInfomation!B:C,2,0)</f>
        <v>0</v>
      </c>
      <c r="F390" s="15" t="s">
        <v>875</v>
      </c>
      <c r="G390" s="1909">
        <v>840</v>
      </c>
      <c r="H390" s="1787">
        <v>0.98</v>
      </c>
      <c r="I390" s="2013">
        <v>1</v>
      </c>
      <c r="J390" s="4257">
        <f>(J116/($G$390/$I$390/(100%+(100%-$H$390)))/'4. L PLAN'!F110)</f>
        <v>0.23237111037212183</v>
      </c>
      <c r="K390" s="4258">
        <f>(K116/($G$390/$I$390/(100%+(100%-$H$390)))/'4. L PLAN'!G110)</f>
        <v>0.47577984848691951</v>
      </c>
      <c r="L390" s="4259">
        <f>(L116/($G$390/$I$390/(100%+(100%-$H$390)))/'4. L PLAN'!H110)</f>
        <v>0.29046388796515232</v>
      </c>
      <c r="M390" s="4257">
        <f>(M116/($G$390/$I$390/(100%+(100%-$H$390)))/'4. L PLAN'!I110)</f>
        <v>0</v>
      </c>
      <c r="N390" s="4258">
        <f>(N116/($G$390/$I$390/(100%+(100%-$H$390)))/'4. L PLAN'!J110)</f>
        <v>0</v>
      </c>
      <c r="O390" s="4259">
        <f>(O116/($G$390/$I$390/(100%+(100%-$H$390)))/'4. L PLAN'!K110)</f>
        <v>0</v>
      </c>
      <c r="P390" s="4257">
        <f>(P116/($G$390/$I$390/(100%+(100%-$H$390)))/'4. L PLAN'!L110)</f>
        <v>0</v>
      </c>
      <c r="Q390" s="4258">
        <f>(Q116/($G$390/$I$390/(100%+(100%-$H$390)))/'4. L PLAN'!M110)</f>
        <v>0</v>
      </c>
      <c r="R390" s="4259">
        <f>(R116/($G$390/$I$390/(100%+(100%-$H$390)))/'4. L PLAN'!N110)</f>
        <v>0</v>
      </c>
      <c r="S390" s="4257">
        <f>(S116/($G$390/$I$390/(100%+(100%-$H$390)))/'4. L PLAN'!O110)</f>
        <v>0</v>
      </c>
      <c r="T390" s="4258">
        <f>(T116/($G$390/$I$390/(100%+(100%-$H$390)))/'4. L PLAN'!P110)</f>
        <v>0</v>
      </c>
      <c r="U390" s="4259">
        <f>(U116/($G$390/$I$390/(100%+(100%-$H$390)))/'4. L PLAN'!Q110)</f>
        <v>0</v>
      </c>
      <c r="V390" s="1566">
        <f t="shared" si="243"/>
        <v>8.3217903902016138E-2</v>
      </c>
      <c r="AA390" s="1909">
        <f t="shared" si="244"/>
        <v>840</v>
      </c>
      <c r="AB390" s="1787">
        <f t="shared" si="244"/>
        <v>0.98</v>
      </c>
      <c r="AC390" s="1788">
        <f t="shared" si="244"/>
        <v>1</v>
      </c>
      <c r="AD390" s="1544" t="b">
        <f t="shared" si="245"/>
        <v>1</v>
      </c>
      <c r="AE390" s="1544" t="b">
        <f t="shared" si="245"/>
        <v>1</v>
      </c>
      <c r="AF390" s="1544" t="b">
        <f t="shared" si="245"/>
        <v>1</v>
      </c>
    </row>
    <row r="391" spans="1:34" ht="18" customHeight="1">
      <c r="A391" s="2154"/>
      <c r="B391" s="1785"/>
      <c r="C391" s="1673"/>
      <c r="D391" s="61"/>
      <c r="E391" s="61">
        <f>VLOOKUP(F391,B.BasicInfomation!B:C,2,0)</f>
        <v>17</v>
      </c>
      <c r="F391" s="15" t="s">
        <v>1550</v>
      </c>
      <c r="G391" s="1909">
        <v>846</v>
      </c>
      <c r="H391" s="1787">
        <v>0.98</v>
      </c>
      <c r="I391" s="2013">
        <v>1</v>
      </c>
      <c r="J391" s="4257">
        <f>(J120/($G$391/$I$391/(100%+(100%-$H$391)))/'4. L PLAN'!F110)</f>
        <v>1.089433811068691</v>
      </c>
      <c r="K391" s="4258">
        <f>(K120/($G$391/$I$391/(100%+(100%-$H$391)))/'4. L PLAN'!G110)</f>
        <v>0</v>
      </c>
      <c r="L391" s="4259">
        <f>(L120/($G$391/$I$391/(100%+(100%-$H$391)))/'4. L PLAN'!H110)</f>
        <v>0</v>
      </c>
      <c r="M391" s="4257">
        <f>(M120/($G$391/$I$391/(100%+(100%-$H$391)))/'4. L PLAN'!I110)</f>
        <v>0</v>
      </c>
      <c r="N391" s="4258">
        <f>(N120/($G$391/$I$391/(100%+(100%-$H$391)))/'4. L PLAN'!J110)</f>
        <v>0</v>
      </c>
      <c r="O391" s="4259">
        <f>(O120/($G$391/$I$391/(100%+(100%-$H$391)))/'4. L PLAN'!K110)</f>
        <v>0</v>
      </c>
      <c r="P391" s="4257">
        <f>(P120/($G$391/$I$391/(100%+(100%-$H$391)))/'4. L PLAN'!L110)</f>
        <v>0</v>
      </c>
      <c r="Q391" s="4258">
        <f>(Q120/($G$391/$I$391/(100%+(100%-$H$391)))/'4. L PLAN'!M110)</f>
        <v>0</v>
      </c>
      <c r="R391" s="4259">
        <f>(R120/($G$391/$I$391/(100%+(100%-$H$391)))/'4. L PLAN'!N110)</f>
        <v>0</v>
      </c>
      <c r="S391" s="4257">
        <f>(S120/($G$391/$I$391/(100%+(100%-$H$391)))/'4. L PLAN'!O110)</f>
        <v>0</v>
      </c>
      <c r="T391" s="4258">
        <f>(T120/($G$391/$I$391/(100%+(100%-$H$391)))/'4. L PLAN'!P110)</f>
        <v>0</v>
      </c>
      <c r="U391" s="4259">
        <f>(U120/($G$391/$I$391/(100%+(100%-$H$391)))/'4. L PLAN'!Q110)</f>
        <v>0</v>
      </c>
      <c r="V391" s="1566">
        <f t="shared" si="243"/>
        <v>9.078615092239091E-2</v>
      </c>
      <c r="AA391" s="1909">
        <f>G391</f>
        <v>846</v>
      </c>
      <c r="AB391" s="1787">
        <f>H391</f>
        <v>0.98</v>
      </c>
      <c r="AC391" s="1788">
        <f>I391</f>
        <v>1</v>
      </c>
      <c r="AD391" s="1544" t="b">
        <f>AA391=G391</f>
        <v>1</v>
      </c>
      <c r="AE391" s="1544" t="b">
        <f>AB391=H391</f>
        <v>1</v>
      </c>
      <c r="AF391" s="1544" t="b">
        <f>AC391=I391</f>
        <v>1</v>
      </c>
    </row>
    <row r="392" spans="1:34" ht="18" customHeight="1">
      <c r="A392" s="2154"/>
      <c r="B392" s="1785"/>
      <c r="C392" s="1673"/>
      <c r="D392" s="61"/>
      <c r="E392" s="61"/>
      <c r="F392" s="15" t="s">
        <v>1551</v>
      </c>
      <c r="G392" s="1909">
        <v>846</v>
      </c>
      <c r="H392" s="1787">
        <v>0.98</v>
      </c>
      <c r="I392" s="2013">
        <v>1</v>
      </c>
      <c r="J392" s="4257">
        <f>(J121/($G$392/$I$392/(100%+(100%-$H$392)))/'4. L PLAN'!F110)</f>
        <v>2.7085521655226326</v>
      </c>
      <c r="K392" s="4258">
        <f>(K121/($G$392/$I$392/(100%+(100%-$H$392)))/'4. L PLAN'!G110)</f>
        <v>2.2006986344871389</v>
      </c>
      <c r="L392" s="4259">
        <f>(L121/($G$392/$I$392/(100%+(100%-$H$392)))/'4. L PLAN'!H110)</f>
        <v>1.3542760827613163</v>
      </c>
      <c r="M392" s="4257">
        <f>(M121/($G$392/$I$392/(100%+(100%-$H$392)))/'4. L PLAN'!I110)</f>
        <v>1.4084471260717688</v>
      </c>
      <c r="N392" s="4258">
        <f>(N121/($G$392/$I$392/(100%+(100%-$H$392)))/'4. L PLAN'!J110)</f>
        <v>1.4084471260717688</v>
      </c>
      <c r="O392" s="4259">
        <f>(O121/($G$392/$I$392/(100%+(100%-$H$392)))/'4. L PLAN'!K110)</f>
        <v>1.4084471260717688</v>
      </c>
      <c r="P392" s="4257">
        <f>(P121/($G$392/$I$392/(100%+(100%-$H$392)))/'4. L PLAN'!L110)</f>
        <v>1.3041177093257119</v>
      </c>
      <c r="Q392" s="4258">
        <f>(Q121/($G$392/$I$392/(100%+(100%-$H$392)))/'4. L PLAN'!M110)</f>
        <v>1.3542760827613163</v>
      </c>
      <c r="R392" s="4259">
        <f>(R121/($G$392/$I$392/(100%+(100%-$H$392)))/'4. L PLAN'!N110)</f>
        <v>1.4084471260717688</v>
      </c>
      <c r="S392" s="4257">
        <f>(S121/($G$392/$I$392/(100%+(100%-$H$392)))/'4. L PLAN'!O110)</f>
        <v>1.3041177093257119</v>
      </c>
      <c r="T392" s="4258">
        <f>(T121/($G$392/$I$392/(100%+(100%-$H$392)))/'4. L PLAN'!P110)</f>
        <v>1.4084471260717688</v>
      </c>
      <c r="U392" s="4259">
        <f>(U121/($G$392/$I$392/(100%+(100%-$H$392)))/'4. L PLAN'!Q110)</f>
        <v>1.3041177093257119</v>
      </c>
      <c r="V392" s="1566">
        <f t="shared" si="243"/>
        <v>1.5476993103223657</v>
      </c>
      <c r="AA392" s="1909"/>
      <c r="AB392" s="1787"/>
      <c r="AC392" s="1788"/>
    </row>
    <row r="393" spans="1:34" ht="18" customHeight="1">
      <c r="A393" s="2154"/>
      <c r="B393" s="1785"/>
      <c r="C393" s="3984" t="s">
        <v>349</v>
      </c>
      <c r="D393" s="4302"/>
      <c r="E393" s="4302">
        <f>VLOOKUP(F393,B.BasicInfomation!B:C,2,0)</f>
        <v>24</v>
      </c>
      <c r="F393" s="1635" t="s">
        <v>1383</v>
      </c>
      <c r="G393" s="4265">
        <v>878</v>
      </c>
      <c r="H393" s="3985">
        <v>0.98</v>
      </c>
      <c r="I393" s="4205">
        <v>1</v>
      </c>
      <c r="J393" s="4303">
        <f>(J137/($G$393/$I$393/(100%+(100%-$H$393)))/'4. L PLAN'!F110)</f>
        <v>2.7865423151360096</v>
      </c>
      <c r="K393" s="4304">
        <f>(K137/($G$393/$I$393/(100%+(100%-$H$393)))/'4. L PLAN'!G110)</f>
        <v>3.018754174730677</v>
      </c>
      <c r="L393" s="4305">
        <f>(L137/($G$393/$I$393/(100%+(100%-$H$393)))/'4. L PLAN'!H110)</f>
        <v>3.3595465797839621</v>
      </c>
      <c r="M393" s="4303">
        <f>(M137/($G$393/$I$393/(100%+(100%-$H$393)))/'4. L PLAN'!I110)</f>
        <v>3.4939284429753208</v>
      </c>
      <c r="N393" s="4304">
        <f>(N137/($G$393/$I$393/(100%+(100%-$H$393)))/'4. L PLAN'!J110)</f>
        <v>3.4939284429753208</v>
      </c>
      <c r="O393" s="4305">
        <f>(O137/($G$393/$I$393/(100%+(100%-$H$393)))/'4. L PLAN'!K110)</f>
        <v>3.4939284429753208</v>
      </c>
      <c r="P393" s="4303">
        <f>(P137/($G$393/$I$393/(100%+(100%-$H$393)))/'4. L PLAN'!L110)</f>
        <v>3.2351189286808526</v>
      </c>
      <c r="Q393" s="4304">
        <f>(Q137/($G$393/$I$393/(100%+(100%-$H$393)))/'4. L PLAN'!M110)</f>
        <v>3.3595465797839621</v>
      </c>
      <c r="R393" s="4305">
        <f>(R137/($G$393/$I$393/(100%+(100%-$H$393)))/'4. L PLAN'!N110)</f>
        <v>3.4939284429753208</v>
      </c>
      <c r="S393" s="4303">
        <f>(S137/($G$393/$I$393/(100%+(100%-$H$393)))/'4. L PLAN'!O110)</f>
        <v>3.2351189286808526</v>
      </c>
      <c r="T393" s="4304">
        <f>(T137/($G$393/$I$393/(100%+(100%-$H$393)))/'4. L PLAN'!P110)</f>
        <v>3.4939284429753208</v>
      </c>
      <c r="U393" s="4305">
        <f>(U137/($G$393/$I$393/(100%+(100%-$H$393)))/'4. L PLAN'!Q110)</f>
        <v>3.2351189286808526</v>
      </c>
      <c r="V393" s="1606">
        <f t="shared" si="243"/>
        <v>3.3082823875294811</v>
      </c>
      <c r="AA393" s="1909">
        <f t="shared" si="244"/>
        <v>878</v>
      </c>
      <c r="AB393" s="1787">
        <f t="shared" si="244"/>
        <v>0.98</v>
      </c>
      <c r="AC393" s="1788">
        <f t="shared" si="244"/>
        <v>1</v>
      </c>
      <c r="AD393" s="1544" t="b">
        <f t="shared" si="245"/>
        <v>1</v>
      </c>
      <c r="AE393" s="1544" t="b">
        <f t="shared" si="245"/>
        <v>1</v>
      </c>
      <c r="AF393" s="1544" t="b">
        <f t="shared" si="245"/>
        <v>1</v>
      </c>
    </row>
    <row r="394" spans="1:34" ht="18" customHeight="1">
      <c r="A394" s="2155"/>
      <c r="B394" s="2057"/>
      <c r="C394" s="1747" t="s">
        <v>44</v>
      </c>
      <c r="D394" s="1747"/>
      <c r="E394" s="1747"/>
      <c r="F394" s="1748"/>
      <c r="G394" s="1960"/>
      <c r="H394" s="2151"/>
      <c r="I394" s="2969"/>
      <c r="J394" s="1572">
        <f t="shared" ref="J394:U394" si="246">SUM(J386:J393)</f>
        <v>12.469495715312075</v>
      </c>
      <c r="K394" s="1573">
        <f t="shared" si="246"/>
        <v>11.817938506078045</v>
      </c>
      <c r="L394" s="1574">
        <f t="shared" si="246"/>
        <v>9.1068756661073511</v>
      </c>
      <c r="M394" s="1572">
        <f t="shared" si="246"/>
        <v>8.4405643486453954</v>
      </c>
      <c r="N394" s="1573">
        <f t="shared" si="246"/>
        <v>7.1480798194067852</v>
      </c>
      <c r="O394" s="1574">
        <f t="shared" si="246"/>
        <v>7.064440633521003</v>
      </c>
      <c r="P394" s="1572">
        <f t="shared" si="246"/>
        <v>6.5411487347416699</v>
      </c>
      <c r="Q394" s="1573">
        <f t="shared" si="246"/>
        <v>6.7927313783855796</v>
      </c>
      <c r="R394" s="1574">
        <f t="shared" si="246"/>
        <v>7.064440633521003</v>
      </c>
      <c r="S394" s="1572">
        <f t="shared" si="246"/>
        <v>6.5411487347416699</v>
      </c>
      <c r="T394" s="1573">
        <f t="shared" si="246"/>
        <v>7.064440633521003</v>
      </c>
      <c r="U394" s="1574">
        <f t="shared" si="246"/>
        <v>6.5411487347416699</v>
      </c>
      <c r="V394" s="1964">
        <f t="shared" si="243"/>
        <v>8.0493711282269373</v>
      </c>
      <c r="AA394" s="1960">
        <f t="shared" si="244"/>
        <v>0</v>
      </c>
      <c r="AB394" s="2151">
        <f t="shared" si="244"/>
        <v>0</v>
      </c>
      <c r="AC394" s="1961">
        <f t="shared" si="244"/>
        <v>0</v>
      </c>
      <c r="AD394" s="1544" t="b">
        <f t="shared" si="245"/>
        <v>1</v>
      </c>
      <c r="AE394" s="1544" t="b">
        <f t="shared" si="245"/>
        <v>1</v>
      </c>
      <c r="AF394" s="1544" t="b">
        <f t="shared" si="245"/>
        <v>1</v>
      </c>
    </row>
    <row r="395" spans="1:34" ht="18" customHeight="1" thickBot="1">
      <c r="A395" s="65">
        <v>2</v>
      </c>
      <c r="B395" s="5264" t="s">
        <v>481</v>
      </c>
      <c r="C395" s="5265"/>
      <c r="D395" s="5265"/>
      <c r="E395" s="5265"/>
      <c r="F395" s="5279"/>
      <c r="G395" s="2156">
        <v>450</v>
      </c>
      <c r="H395" s="2157"/>
      <c r="I395" s="2086">
        <v>1</v>
      </c>
      <c r="J395" s="2159">
        <v>1</v>
      </c>
      <c r="K395" s="2160">
        <f>J395</f>
        <v>1</v>
      </c>
      <c r="L395" s="2161">
        <f t="shared" ref="L395" si="247">K395</f>
        <v>1</v>
      </c>
      <c r="M395" s="2159">
        <f t="shared" ref="M395" si="248">L395</f>
        <v>1</v>
      </c>
      <c r="N395" s="2160">
        <f t="shared" ref="N395" si="249">M395</f>
        <v>1</v>
      </c>
      <c r="O395" s="2161">
        <f t="shared" ref="O395" si="250">N395</f>
        <v>1</v>
      </c>
      <c r="P395" s="2159">
        <f t="shared" ref="P395" si="251">O395</f>
        <v>1</v>
      </c>
      <c r="Q395" s="2160">
        <f t="shared" ref="Q395" si="252">P395</f>
        <v>1</v>
      </c>
      <c r="R395" s="2161">
        <f t="shared" ref="R395" si="253">Q395</f>
        <v>1</v>
      </c>
      <c r="S395" s="2159">
        <f t="shared" ref="S395" si="254">R395</f>
        <v>1</v>
      </c>
      <c r="T395" s="2160">
        <f t="shared" ref="T395" si="255">S395</f>
        <v>1</v>
      </c>
      <c r="U395" s="2161">
        <f t="shared" ref="U395" si="256">T395</f>
        <v>1</v>
      </c>
      <c r="V395" s="1560">
        <f t="shared" si="243"/>
        <v>1</v>
      </c>
      <c r="AA395" s="2156">
        <f t="shared" si="244"/>
        <v>450</v>
      </c>
      <c r="AB395" s="2157">
        <f t="shared" si="244"/>
        <v>0</v>
      </c>
      <c r="AC395" s="2158">
        <f t="shared" si="244"/>
        <v>1</v>
      </c>
    </row>
    <row r="396" spans="1:34" ht="18" customHeight="1" thickBot="1">
      <c r="A396" s="5151" t="s">
        <v>138</v>
      </c>
      <c r="B396" s="5152"/>
      <c r="C396" s="5152"/>
      <c r="D396" s="5152"/>
      <c r="E396" s="5152"/>
      <c r="F396" s="5152"/>
      <c r="G396" s="5152"/>
      <c r="H396" s="5152"/>
      <c r="I396" s="5253"/>
      <c r="J396" s="1617">
        <f t="shared" ref="J396:V396" si="257">(+J394+J395)</f>
        <v>13.469495715312075</v>
      </c>
      <c r="K396" s="1618">
        <f t="shared" si="257"/>
        <v>12.817938506078045</v>
      </c>
      <c r="L396" s="1619">
        <f t="shared" si="257"/>
        <v>10.106875666107351</v>
      </c>
      <c r="M396" s="1617">
        <f t="shared" si="257"/>
        <v>9.4405643486453954</v>
      </c>
      <c r="N396" s="1618">
        <f t="shared" si="257"/>
        <v>8.1480798194067852</v>
      </c>
      <c r="O396" s="1619">
        <f t="shared" si="257"/>
        <v>8.0644406335210022</v>
      </c>
      <c r="P396" s="1617">
        <f t="shared" si="257"/>
        <v>7.5411487347416699</v>
      </c>
      <c r="Q396" s="1618">
        <f t="shared" si="257"/>
        <v>7.7927313783855796</v>
      </c>
      <c r="R396" s="1619">
        <f t="shared" si="257"/>
        <v>8.0644406335210022</v>
      </c>
      <c r="S396" s="1617">
        <f t="shared" si="257"/>
        <v>7.5411487347416699</v>
      </c>
      <c r="T396" s="1618">
        <f t="shared" si="257"/>
        <v>8.0644406335210022</v>
      </c>
      <c r="U396" s="1619">
        <f t="shared" si="257"/>
        <v>7.5411487347416699</v>
      </c>
      <c r="V396" s="1692">
        <f t="shared" si="257"/>
        <v>9.0493711282269373</v>
      </c>
      <c r="AA396" s="1544"/>
      <c r="AB396" s="1544"/>
      <c r="AC396" s="1544"/>
    </row>
    <row r="397" spans="1:34" ht="18" customHeight="1"/>
    <row r="398" spans="1:34" s="1623" customFormat="1" ht="18" customHeight="1" thickBot="1">
      <c r="A398" s="1547" t="s">
        <v>1332</v>
      </c>
      <c r="F398" s="1624" t="s">
        <v>89</v>
      </c>
      <c r="G398" s="1872">
        <v>0.9</v>
      </c>
      <c r="H398" s="1812"/>
      <c r="I398" s="1813"/>
      <c r="J398" s="1625"/>
      <c r="K398" s="1625"/>
      <c r="L398" s="1625"/>
      <c r="M398" s="1625"/>
      <c r="N398" s="1625"/>
      <c r="O398" s="1625"/>
      <c r="P398" s="1625"/>
      <c r="Q398" s="1625"/>
      <c r="R398" s="1625"/>
      <c r="S398" s="1625"/>
      <c r="T398" s="1625"/>
      <c r="U398" s="1625"/>
      <c r="V398" s="1546" t="s">
        <v>279</v>
      </c>
      <c r="W398" s="1544"/>
      <c r="X398" s="1544"/>
      <c r="Y398" s="1544"/>
      <c r="Z398" s="1544"/>
      <c r="AA398" s="1872">
        <v>0.9</v>
      </c>
      <c r="AB398" s="1812"/>
      <c r="AC398" s="1813"/>
      <c r="AD398" s="1544"/>
      <c r="AE398" s="1544"/>
      <c r="AF398" s="1544"/>
      <c r="AG398" s="1544"/>
      <c r="AH398" s="1544"/>
    </row>
    <row r="399" spans="1:34" s="1623" customFormat="1" ht="24.95" customHeight="1" thickBot="1">
      <c r="A399" s="1548" t="s">
        <v>41</v>
      </c>
      <c r="B399" s="81" t="s">
        <v>107</v>
      </c>
      <c r="C399" s="81" t="s">
        <v>46</v>
      </c>
      <c r="D399" s="72" t="s">
        <v>1006</v>
      </c>
      <c r="E399" s="81" t="s">
        <v>1029</v>
      </c>
      <c r="F399" s="81" t="s">
        <v>108</v>
      </c>
      <c r="G399" s="81" t="s">
        <v>183</v>
      </c>
      <c r="H399" s="2106" t="s">
        <v>190</v>
      </c>
      <c r="I399" s="1998" t="s">
        <v>248</v>
      </c>
      <c r="J399" s="1548" t="s">
        <v>1350</v>
      </c>
      <c r="K399" s="81" t="s">
        <v>1351</v>
      </c>
      <c r="L399" s="1549" t="s">
        <v>1352</v>
      </c>
      <c r="M399" s="1548" t="s">
        <v>1353</v>
      </c>
      <c r="N399" s="81" t="s">
        <v>1354</v>
      </c>
      <c r="O399" s="1549" t="s">
        <v>1355</v>
      </c>
      <c r="P399" s="1548" t="s">
        <v>1356</v>
      </c>
      <c r="Q399" s="81" t="s">
        <v>1357</v>
      </c>
      <c r="R399" s="1549" t="s">
        <v>1358</v>
      </c>
      <c r="S399" s="1548" t="s">
        <v>1359</v>
      </c>
      <c r="T399" s="81" t="s">
        <v>1360</v>
      </c>
      <c r="U399" s="1549" t="s">
        <v>1361</v>
      </c>
      <c r="V399" s="1550" t="s">
        <v>1362</v>
      </c>
      <c r="W399" s="1544"/>
      <c r="X399" s="1544"/>
      <c r="Y399" s="1544"/>
      <c r="Z399" s="1544"/>
      <c r="AA399" s="81" t="s">
        <v>183</v>
      </c>
      <c r="AB399" s="2106" t="s">
        <v>190</v>
      </c>
      <c r="AC399" s="1998" t="s">
        <v>248</v>
      </c>
      <c r="AD399" s="1544"/>
      <c r="AE399" s="1544"/>
      <c r="AF399" s="1544"/>
      <c r="AG399" s="1544"/>
      <c r="AH399" s="1544"/>
    </row>
    <row r="400" spans="1:34" ht="18" customHeight="1">
      <c r="A400" s="2154"/>
      <c r="B400" s="1785"/>
      <c r="C400" s="1673" t="s">
        <v>1384</v>
      </c>
      <c r="D400" s="61"/>
      <c r="E400" s="61">
        <f>VLOOKUP(F400,B.BasicInfomation!B:C,2,0)</f>
        <v>0</v>
      </c>
      <c r="F400" s="15" t="str">
        <f t="shared" ref="F400:F405" si="258">F5</f>
        <v>A34</v>
      </c>
      <c r="G400" s="1909">
        <f>3600/7.5*20*2</f>
        <v>19200</v>
      </c>
      <c r="H400" s="1787">
        <v>0.98</v>
      </c>
      <c r="I400" s="2013">
        <v>1</v>
      </c>
      <c r="J400" s="4257">
        <f>(J90/($G$400/$I$400/(100%+(100%-$H$400)))/'4. L PLAN'!F$110)</f>
        <v>0</v>
      </c>
      <c r="K400" s="4258">
        <f>(K90/($G$400/$I$400/(100%+(100%-$H$400)))/'4. L PLAN'!G$110)</f>
        <v>0</v>
      </c>
      <c r="L400" s="4259">
        <f>(L90/($G$400/$I$400/(100%+(100%-$H$400)))/'4. L PLAN'!H$110)</f>
        <v>0</v>
      </c>
      <c r="M400" s="4257">
        <f>(M90/($G$400/$I$400/(100%+(100%-$H$400)))/'4. L PLAN'!I$110)</f>
        <v>0</v>
      </c>
      <c r="N400" s="4258">
        <f>(N90/($G$400/$I$400/(100%+(100%-$H$400)))/'4. L PLAN'!J$110)</f>
        <v>0</v>
      </c>
      <c r="O400" s="4259">
        <f>(O90/($G$400/$I$400/(100%+(100%-$H$400)))/'4. L PLAN'!K$110)</f>
        <v>0</v>
      </c>
      <c r="P400" s="4257">
        <f>(P90/($G$400/$I$400/(100%+(100%-$H$400)))/'4. L PLAN'!L$110)</f>
        <v>0</v>
      </c>
      <c r="Q400" s="4258">
        <f>(Q90/($G$400/$I$400/(100%+(100%-$H$400)))/'4. L PLAN'!M$110)</f>
        <v>0</v>
      </c>
      <c r="R400" s="4259">
        <f>(R90/($G$400/$I$400/(100%+(100%-$H$400)))/'4. L PLAN'!N$110)</f>
        <v>0</v>
      </c>
      <c r="S400" s="4257">
        <f>(S90/($G$400/$I$400/(100%+(100%-$H$400)))/'4. L PLAN'!O$110)</f>
        <v>0</v>
      </c>
      <c r="T400" s="4258">
        <f>(T90/($G$400/$I$400/(100%+(100%-$H$400)))/'4. L PLAN'!P$110)</f>
        <v>0</v>
      </c>
      <c r="U400" s="4259">
        <f>(U90/($G$400/$I$400/(100%+(100%-$H$400)))/'4. L PLAN'!Q$110)</f>
        <v>0</v>
      </c>
      <c r="V400" s="1566">
        <f t="shared" ref="V400:V406" si="259">AVERAGE(J400:U400)</f>
        <v>0</v>
      </c>
      <c r="AA400" s="1909">
        <f t="shared" ref="AA400:AC406" si="260">G400</f>
        <v>19200</v>
      </c>
      <c r="AB400" s="1787">
        <f t="shared" si="260"/>
        <v>0.98</v>
      </c>
      <c r="AC400" s="1788">
        <f t="shared" si="260"/>
        <v>1</v>
      </c>
      <c r="AD400" s="1544" t="b">
        <f t="shared" ref="AD400:AF406" si="261">AA400=G400</f>
        <v>1</v>
      </c>
      <c r="AE400" s="1544" t="b">
        <f t="shared" si="261"/>
        <v>1</v>
      </c>
      <c r="AF400" s="1544" t="b">
        <f t="shared" si="261"/>
        <v>1</v>
      </c>
    </row>
    <row r="401" spans="1:34" ht="18" customHeight="1">
      <c r="A401" s="2154"/>
      <c r="B401" s="1785"/>
      <c r="C401" s="1673"/>
      <c r="D401" s="61"/>
      <c r="E401" s="61">
        <f>VLOOKUP(F401,B.BasicInfomation!B:C,2,0)</f>
        <v>1</v>
      </c>
      <c r="F401" s="15" t="str">
        <f t="shared" si="258"/>
        <v>A15/17</v>
      </c>
      <c r="G401" s="1909">
        <f t="shared" ref="G401:G405" si="262">3600/7.5*20*2</f>
        <v>19200</v>
      </c>
      <c r="H401" s="1787">
        <v>0.98</v>
      </c>
      <c r="I401" s="2013">
        <v>1</v>
      </c>
      <c r="J401" s="4257">
        <f>(J91/($G$401/$I$401/(100%+(100%-$H$401)))/'4. L PLAN'!F$110)</f>
        <v>1.5621670573194122</v>
      </c>
      <c r="K401" s="4258">
        <f>(K91/($G$401/$I$401/(100%+(100%-$H$401)))/'4. L PLAN'!G$110)</f>
        <v>2.0234591412742384</v>
      </c>
      <c r="L401" s="4259">
        <f>(L91/($G$401/$I$401/(100%+(100%-$H$401)))/'4. L PLAN'!H$110)</f>
        <v>1.6934796505433627</v>
      </c>
      <c r="M401" s="4257">
        <f>(M91/($G$401/$I$401/(100%+(100%-$H$401)))/'4. L PLAN'!I$110)</f>
        <v>1.7376731301939059</v>
      </c>
      <c r="N401" s="4258">
        <f>(N91/($G$401/$I$401/(100%+(100%-$H$401)))/'4. L PLAN'!J$110)</f>
        <v>1.7376731301939059</v>
      </c>
      <c r="O401" s="4259">
        <f>(O91/($G$401/$I$401/(100%+(100%-$H$401)))/'4. L PLAN'!K$110)</f>
        <v>1.3844875346260388</v>
      </c>
      <c r="P401" s="4257">
        <f>(P91/($G$401/$I$401/(100%+(100%-$H$401)))/'4. L PLAN'!L$110)</f>
        <v>0.98107109879963073</v>
      </c>
      <c r="Q401" s="4258">
        <f>(Q91/($G$401/$I$401/(100%+(100%-$H$401)))/'4. L PLAN'!M$110)</f>
        <v>0.67920306839974443</v>
      </c>
      <c r="R401" s="4259">
        <f>(R91/($G$401/$I$401/(100%+(100%-$H$401)))/'4. L PLAN'!N$110)</f>
        <v>0.47091412742382266</v>
      </c>
      <c r="S401" s="4257">
        <f>(S91/($G$401/$I$401/(100%+(100%-$H$401)))/'4. L PLAN'!O$110)</f>
        <v>0.32702369959987693</v>
      </c>
      <c r="T401" s="4258">
        <f>(T91/($G$401/$I$401/(100%+(100%-$H$401)))/'4. L PLAN'!P$110)</f>
        <v>0.28254847645429365</v>
      </c>
      <c r="U401" s="4259">
        <f>(U91/($G$401/$I$401/(100%+(100%-$H$401)))/'4. L PLAN'!Q$110)</f>
        <v>0.26161895967990151</v>
      </c>
      <c r="V401" s="1566">
        <f t="shared" si="259"/>
        <v>1.0951099228756778</v>
      </c>
      <c r="AA401" s="1909">
        <f t="shared" si="260"/>
        <v>19200</v>
      </c>
      <c r="AB401" s="1787">
        <f t="shared" si="260"/>
        <v>0.98</v>
      </c>
      <c r="AC401" s="1788">
        <f t="shared" si="260"/>
        <v>1</v>
      </c>
      <c r="AD401" s="1544" t="b">
        <f t="shared" si="261"/>
        <v>1</v>
      </c>
      <c r="AE401" s="1544" t="b">
        <f t="shared" si="261"/>
        <v>1</v>
      </c>
      <c r="AF401" s="1544" t="b">
        <f t="shared" si="261"/>
        <v>1</v>
      </c>
    </row>
    <row r="402" spans="1:34" ht="18" customHeight="1">
      <c r="A402" s="2154"/>
      <c r="B402" s="1785"/>
      <c r="C402" s="1673"/>
      <c r="D402" s="61"/>
      <c r="E402" s="61">
        <f>VLOOKUP(F402,B.BasicInfomation!B:C,2,0)</f>
        <v>2</v>
      </c>
      <c r="F402" s="15" t="str">
        <f t="shared" si="258"/>
        <v>A36</v>
      </c>
      <c r="G402" s="1909">
        <f t="shared" si="262"/>
        <v>19200</v>
      </c>
      <c r="H402" s="1787">
        <v>0.98</v>
      </c>
      <c r="I402" s="2013">
        <v>1</v>
      </c>
      <c r="J402" s="4257">
        <f>(J92/($G$402/$I$402/(100%+(100%-$H$402)))/'4. L PLAN'!F$110)</f>
        <v>0.22640102279991475</v>
      </c>
      <c r="K402" s="4258">
        <f>(K92/($G$402/$I$402/(100%+(100%-$H$402)))/'4. L PLAN'!G$110)</f>
        <v>0.36790166204986147</v>
      </c>
      <c r="L402" s="4259">
        <f>(L92/($G$402/$I$402/(100%+(100%-$H$402)))/'4. L PLAN'!H$110)</f>
        <v>0.22640102279991475</v>
      </c>
      <c r="M402" s="4257">
        <f>(M92/($G$402/$I$402/(100%+(100%-$H$402)))/'4. L PLAN'!I$110)</f>
        <v>0</v>
      </c>
      <c r="N402" s="4258">
        <f>(N92/($G$402/$I$402/(100%+(100%-$H$402)))/'4. L PLAN'!J$110)</f>
        <v>0</v>
      </c>
      <c r="O402" s="4259">
        <f>(O92/($G$402/$I$402/(100%+(100%-$H$402)))/'4. L PLAN'!K$110)</f>
        <v>0</v>
      </c>
      <c r="P402" s="4257">
        <f>(P92/($G$402/$I$402/(100%+(100%-$H$402)))/'4. L PLAN'!L$110)</f>
        <v>0</v>
      </c>
      <c r="Q402" s="4258">
        <f>(Q92/($G$402/$I$402/(100%+(100%-$H$402)))/'4. L PLAN'!M$110)</f>
        <v>0</v>
      </c>
      <c r="R402" s="4259">
        <f>(R92/($G$402/$I$402/(100%+(100%-$H$402)))/'4. L PLAN'!N$110)</f>
        <v>0</v>
      </c>
      <c r="S402" s="4257">
        <f>(S92/($G$402/$I$402/(100%+(100%-$H$402)))/'4. L PLAN'!O$110)</f>
        <v>0</v>
      </c>
      <c r="T402" s="4258">
        <f>(T92/($G$402/$I$402/(100%+(100%-$H$402)))/'4. L PLAN'!P$110)</f>
        <v>0</v>
      </c>
      <c r="U402" s="4259">
        <f>(U92/($G$402/$I$402/(100%+(100%-$H$402)))/'4. L PLAN'!Q$110)</f>
        <v>0</v>
      </c>
      <c r="V402" s="1566">
        <f t="shared" si="259"/>
        <v>6.8391975637474248E-2</v>
      </c>
      <c r="AA402" s="1909">
        <f t="shared" si="260"/>
        <v>19200</v>
      </c>
      <c r="AB402" s="1787">
        <f t="shared" si="260"/>
        <v>0.98</v>
      </c>
      <c r="AC402" s="1788">
        <f t="shared" si="260"/>
        <v>1</v>
      </c>
      <c r="AD402" s="1544" t="b">
        <f t="shared" si="261"/>
        <v>1</v>
      </c>
      <c r="AE402" s="1544" t="b">
        <f t="shared" si="261"/>
        <v>1</v>
      </c>
      <c r="AF402" s="1544" t="b">
        <f t="shared" si="261"/>
        <v>1</v>
      </c>
    </row>
    <row r="403" spans="1:34" ht="18" customHeight="1">
      <c r="A403" s="2154"/>
      <c r="B403" s="1785"/>
      <c r="C403" s="1673"/>
      <c r="D403" s="61"/>
      <c r="E403" s="61">
        <f>VLOOKUP(F403,B.BasicInfomation!B:C,2,0)</f>
        <v>3</v>
      </c>
      <c r="F403" s="15" t="str">
        <f t="shared" si="258"/>
        <v>A26</v>
      </c>
      <c r="G403" s="1909">
        <f t="shared" si="262"/>
        <v>19200</v>
      </c>
      <c r="H403" s="1787">
        <v>0.98</v>
      </c>
      <c r="I403" s="2013">
        <v>1</v>
      </c>
      <c r="J403" s="4257">
        <f>(J93/($G$403/$I$403/(100%+(100%-$H$403)))/'4. L PLAN'!F$110)</f>
        <v>0.56600255699978708</v>
      </c>
      <c r="K403" s="4258">
        <f>(K93/($G$403/$I$403/(100%+(100%-$H$403)))/'4. L PLAN'!G$110)</f>
        <v>0.44148199445983383</v>
      </c>
      <c r="L403" s="4259">
        <f>(L93/($G$403/$I$403/(100%+(100%-$H$403)))/'4. L PLAN'!H$110)</f>
        <v>0.33960153419987221</v>
      </c>
      <c r="M403" s="4257">
        <f>(M93/($G$403/$I$403/(100%+(100%-$H$403)))/'4. L PLAN'!I$110)</f>
        <v>0.35318559556786711</v>
      </c>
      <c r="N403" s="4258">
        <f>(N93/($G$403/$I$403/(100%+(100%-$H$403)))/'4. L PLAN'!J$110)</f>
        <v>0.23545706371191133</v>
      </c>
      <c r="O403" s="4259">
        <f>(O93/($G$403/$I$403/(100%+(100%-$H$403)))/'4. L PLAN'!K$110)</f>
        <v>0.23545706371191133</v>
      </c>
      <c r="P403" s="4257">
        <f>(P93/($G$403/$I$403/(100%+(100%-$H$403)))/'4. L PLAN'!L$110)</f>
        <v>0.10900789986662562</v>
      </c>
      <c r="Q403" s="4258">
        <f>(Q93/($G$403/$I$403/(100%+(100%-$H$403)))/'4. L PLAN'!M$110)</f>
        <v>0</v>
      </c>
      <c r="R403" s="4259">
        <f>(R93/($G$403/$I$403/(100%+(100%-$H$403)))/'4. L PLAN'!N$110)</f>
        <v>0</v>
      </c>
      <c r="S403" s="4257">
        <f>(S93/($G$403/$I$403/(100%+(100%-$H$403)))/'4. L PLAN'!O$110)</f>
        <v>0</v>
      </c>
      <c r="T403" s="4258">
        <f>(T93/($G$403/$I$403/(100%+(100%-$H$403)))/'4. L PLAN'!P$110)</f>
        <v>0</v>
      </c>
      <c r="U403" s="4259">
        <f>(U93/($G$403/$I$403/(100%+(100%-$H$403)))/'4. L PLAN'!Q$110)</f>
        <v>0</v>
      </c>
      <c r="V403" s="1566">
        <f t="shared" si="259"/>
        <v>0.19001614237648404</v>
      </c>
      <c r="AA403" s="1909">
        <f t="shared" si="260"/>
        <v>19200</v>
      </c>
      <c r="AB403" s="1787">
        <f t="shared" si="260"/>
        <v>0.98</v>
      </c>
      <c r="AC403" s="1788">
        <f t="shared" si="260"/>
        <v>1</v>
      </c>
      <c r="AD403" s="1544" t="b">
        <f t="shared" si="261"/>
        <v>1</v>
      </c>
      <c r="AE403" s="1544" t="b">
        <f t="shared" si="261"/>
        <v>1</v>
      </c>
      <c r="AF403" s="1544" t="b">
        <f t="shared" si="261"/>
        <v>1</v>
      </c>
    </row>
    <row r="404" spans="1:34" ht="18" customHeight="1">
      <c r="A404" s="2154"/>
      <c r="B404" s="1785"/>
      <c r="C404" s="1673"/>
      <c r="D404" s="61"/>
      <c r="E404" s="61">
        <f>VLOOKUP(F404,B.BasicInfomation!B:C,2,0)</f>
        <v>4</v>
      </c>
      <c r="F404" s="15" t="str">
        <f t="shared" si="258"/>
        <v>A27</v>
      </c>
      <c r="G404" s="1909">
        <f t="shared" si="262"/>
        <v>19200</v>
      </c>
      <c r="H404" s="1787">
        <v>0.98</v>
      </c>
      <c r="I404" s="2013">
        <v>1</v>
      </c>
      <c r="J404" s="4257">
        <f>(J94/($G$404/$I$404/(100%+(100%-$H$404)))/'4. L PLAN'!F$110)</f>
        <v>0</v>
      </c>
      <c r="K404" s="4258">
        <f>(K94/($G$404/$I$404/(100%+(100%-$H$404)))/'4. L PLAN'!G$110)</f>
        <v>0</v>
      </c>
      <c r="L404" s="4259">
        <f>(L94/($G$404/$I$404/(100%+(100%-$H$404)))/'4. L PLAN'!H$110)</f>
        <v>0.11320051139995738</v>
      </c>
      <c r="M404" s="4257">
        <f>(M94/($G$404/$I$404/(100%+(100%-$H$404)))/'4. L PLAN'!I$110)</f>
        <v>0.47091412742382266</v>
      </c>
      <c r="N404" s="4258">
        <f>(N94/($G$404/$I$404/(100%+(100%-$H$404)))/'4. L PLAN'!J$110)</f>
        <v>0.70637119113573421</v>
      </c>
      <c r="O404" s="4259">
        <f>(O94/($G$404/$I$404/(100%+(100%-$H$404)))/'4. L PLAN'!K$110)</f>
        <v>1.2950138504155126</v>
      </c>
      <c r="P404" s="4257">
        <f>(P94/($G$404/$I$404/(100%+(100%-$H$404)))/'4. L PLAN'!L$110)</f>
        <v>1.199086898532882</v>
      </c>
      <c r="Q404" s="4258">
        <f>(Q94/($G$404/$I$404/(100%+(100%-$H$404)))/'4. L PLAN'!M$110)</f>
        <v>1.2452056253995314</v>
      </c>
      <c r="R404" s="4259">
        <f>(R94/($G$404/$I$404/(100%+(100%-$H$404)))/'4. L PLAN'!N$110)</f>
        <v>1.2950138504155126</v>
      </c>
      <c r="S404" s="4257">
        <f>(S94/($G$404/$I$404/(100%+(100%-$H$404)))/'4. L PLAN'!O$110)</f>
        <v>1.0900789986662565</v>
      </c>
      <c r="T404" s="4258">
        <f>(T94/($G$404/$I$404/(100%+(100%-$H$404)))/'4. L PLAN'!P$110)</f>
        <v>0.70637119113573421</v>
      </c>
      <c r="U404" s="4259">
        <f>(U94/($G$404/$I$404/(100%+(100%-$H$404)))/'4. L PLAN'!Q$110)</f>
        <v>0.4687339694264902</v>
      </c>
      <c r="V404" s="1566">
        <f t="shared" si="259"/>
        <v>0.71583251782928625</v>
      </c>
      <c r="AA404" s="1909">
        <f t="shared" si="260"/>
        <v>19200</v>
      </c>
      <c r="AB404" s="1787">
        <f t="shared" si="260"/>
        <v>0.98</v>
      </c>
      <c r="AC404" s="1788">
        <f t="shared" si="260"/>
        <v>1</v>
      </c>
      <c r="AD404" s="1544" t="b">
        <f t="shared" si="261"/>
        <v>1</v>
      </c>
      <c r="AE404" s="1544" t="b">
        <f t="shared" si="261"/>
        <v>1</v>
      </c>
      <c r="AF404" s="1544" t="b">
        <f t="shared" si="261"/>
        <v>1</v>
      </c>
    </row>
    <row r="405" spans="1:34" ht="18" customHeight="1">
      <c r="A405" s="2154"/>
      <c r="B405" s="1785"/>
      <c r="C405" s="1673"/>
      <c r="D405" s="61"/>
      <c r="E405" s="61">
        <f>VLOOKUP(F405,B.BasicInfomation!B:C,2,0)</f>
        <v>5</v>
      </c>
      <c r="F405" s="15" t="str">
        <f t="shared" si="258"/>
        <v>A37</v>
      </c>
      <c r="G405" s="1909">
        <f t="shared" si="262"/>
        <v>19200</v>
      </c>
      <c r="H405" s="1787">
        <v>0.98</v>
      </c>
      <c r="I405" s="2013">
        <v>1</v>
      </c>
      <c r="J405" s="4257">
        <f>(J95/($G$405/$I$405/(100%+(100%-$H$405)))/'4. L PLAN'!F$110)</f>
        <v>9.0560409119965934E-2</v>
      </c>
      <c r="K405" s="4258">
        <f>(K95/($G$405/$I$405/(100%+(100%-$H$405)))/'4. L PLAN'!G$110)</f>
        <v>1.3612361495844878</v>
      </c>
      <c r="L405" s="4259">
        <f>(L95/($G$405/$I$405/(100%+(100%-$H$405)))/'4. L PLAN'!H$110)</f>
        <v>1.4127423822714684</v>
      </c>
      <c r="M405" s="4257">
        <f>(M95/($G$405/$I$405/(100%+(100%-$H$405)))/'4. L PLAN'!I$110)</f>
        <v>1.2950138504155126</v>
      </c>
      <c r="N405" s="4258">
        <f>(N95/($G$405/$I$405/(100%+(100%-$H$405)))/'4. L PLAN'!J$110)</f>
        <v>1.2950138504155126</v>
      </c>
      <c r="O405" s="4259">
        <f>(O95/($G$405/$I$405/(100%+(100%-$H$405)))/'4. L PLAN'!K$110)</f>
        <v>1.2950138504155126</v>
      </c>
      <c r="P405" s="4257">
        <f>(P95/($G$405/$I$405/(100%+(100%-$H$405)))/'4. L PLAN'!L$110)</f>
        <v>1.199086898532882</v>
      </c>
      <c r="Q405" s="4258">
        <f>(Q95/($G$405/$I$405/(100%+(100%-$H$405)))/'4. L PLAN'!M$110)</f>
        <v>1.2452056253995314</v>
      </c>
      <c r="R405" s="4259">
        <f>(R95/($G$405/$I$405/(100%+(100%-$H$405)))/'4. L PLAN'!N$110)</f>
        <v>1.2950138504155126</v>
      </c>
      <c r="S405" s="4257">
        <f>(S95/($G$405/$I$405/(100%+(100%-$H$405)))/'4. L PLAN'!O$110)</f>
        <v>1.0900789986662565</v>
      </c>
      <c r="T405" s="4258">
        <f>(T95/($G$405/$I$405/(100%+(100%-$H$405)))/'4. L PLAN'!P$110)</f>
        <v>0.70637119113573421</v>
      </c>
      <c r="U405" s="4259">
        <f>(U95/($G$405/$I$405/(100%+(100%-$H$405)))/'4. L PLAN'!Q$110)</f>
        <v>0.48617523340515034</v>
      </c>
      <c r="V405" s="1566">
        <f t="shared" si="259"/>
        <v>1.0642926908147941</v>
      </c>
      <c r="AA405" s="1909">
        <f t="shared" si="260"/>
        <v>19200</v>
      </c>
      <c r="AB405" s="1787">
        <f t="shared" si="260"/>
        <v>0.98</v>
      </c>
      <c r="AC405" s="1788">
        <f t="shared" si="260"/>
        <v>1</v>
      </c>
      <c r="AD405" s="1544" t="b">
        <f t="shared" si="261"/>
        <v>1</v>
      </c>
      <c r="AE405" s="1544" t="b">
        <f t="shared" si="261"/>
        <v>1</v>
      </c>
      <c r="AF405" s="1544" t="b">
        <f t="shared" si="261"/>
        <v>1</v>
      </c>
    </row>
    <row r="406" spans="1:34" ht="18" customHeight="1" thickBot="1">
      <c r="A406" s="2155"/>
      <c r="B406" s="2057"/>
      <c r="C406" s="1747" t="s">
        <v>44</v>
      </c>
      <c r="D406" s="1747"/>
      <c r="E406" s="1747"/>
      <c r="F406" s="1748"/>
      <c r="G406" s="1960"/>
      <c r="H406" s="2151"/>
      <c r="I406" s="2969"/>
      <c r="J406" s="4287">
        <f t="shared" ref="J406:U406" si="263">SUM(J400:J405)</f>
        <v>2.4451310462390796</v>
      </c>
      <c r="K406" s="4288">
        <f t="shared" si="263"/>
        <v>4.1940789473684212</v>
      </c>
      <c r="L406" s="4289">
        <f t="shared" si="263"/>
        <v>3.7854251012145754</v>
      </c>
      <c r="M406" s="4287">
        <f t="shared" si="263"/>
        <v>3.8567867036011085</v>
      </c>
      <c r="N406" s="4288">
        <f t="shared" si="263"/>
        <v>3.9745152354570643</v>
      </c>
      <c r="O406" s="4289">
        <f t="shared" si="263"/>
        <v>4.2099722991689754</v>
      </c>
      <c r="P406" s="4287">
        <f t="shared" si="263"/>
        <v>3.4882527957320209</v>
      </c>
      <c r="Q406" s="4288">
        <f t="shared" si="263"/>
        <v>3.1696143191988071</v>
      </c>
      <c r="R406" s="4289">
        <f t="shared" si="263"/>
        <v>3.060941828254848</v>
      </c>
      <c r="S406" s="4287">
        <f t="shared" si="263"/>
        <v>2.5071816969323901</v>
      </c>
      <c r="T406" s="4288">
        <f t="shared" si="263"/>
        <v>1.695290858725762</v>
      </c>
      <c r="U406" s="4289">
        <f t="shared" si="263"/>
        <v>1.2165281625115421</v>
      </c>
      <c r="V406" s="1964">
        <f t="shared" si="259"/>
        <v>3.133643249533717</v>
      </c>
      <c r="AA406" s="1960">
        <f t="shared" si="260"/>
        <v>0</v>
      </c>
      <c r="AB406" s="2151">
        <f t="shared" si="260"/>
        <v>0</v>
      </c>
      <c r="AC406" s="1961">
        <f t="shared" si="260"/>
        <v>0</v>
      </c>
      <c r="AD406" s="1544" t="b">
        <f t="shared" si="261"/>
        <v>1</v>
      </c>
      <c r="AE406" s="1544" t="b">
        <f t="shared" si="261"/>
        <v>1</v>
      </c>
      <c r="AF406" s="1544" t="b">
        <f t="shared" si="261"/>
        <v>1</v>
      </c>
    </row>
    <row r="407" spans="1:34" ht="18" customHeight="1" thickBot="1">
      <c r="A407" s="5151" t="s">
        <v>138</v>
      </c>
      <c r="B407" s="5152"/>
      <c r="C407" s="5152"/>
      <c r="D407" s="5152"/>
      <c r="E407" s="5152"/>
      <c r="F407" s="5152"/>
      <c r="G407" s="5152"/>
      <c r="H407" s="5152"/>
      <c r="I407" s="5253"/>
      <c r="J407" s="4290">
        <f t="shared" ref="J407:V407" si="264">(+J406)</f>
        <v>2.4451310462390796</v>
      </c>
      <c r="K407" s="4291">
        <f t="shared" si="264"/>
        <v>4.1940789473684212</v>
      </c>
      <c r="L407" s="4292">
        <f t="shared" si="264"/>
        <v>3.7854251012145754</v>
      </c>
      <c r="M407" s="4290">
        <f t="shared" si="264"/>
        <v>3.8567867036011085</v>
      </c>
      <c r="N407" s="4291">
        <f t="shared" si="264"/>
        <v>3.9745152354570643</v>
      </c>
      <c r="O407" s="4292">
        <f t="shared" si="264"/>
        <v>4.2099722991689754</v>
      </c>
      <c r="P407" s="4290">
        <f t="shared" si="264"/>
        <v>3.4882527957320209</v>
      </c>
      <c r="Q407" s="4291">
        <f t="shared" si="264"/>
        <v>3.1696143191988071</v>
      </c>
      <c r="R407" s="4292">
        <f t="shared" si="264"/>
        <v>3.060941828254848</v>
      </c>
      <c r="S407" s="4290">
        <f t="shared" si="264"/>
        <v>2.5071816969323901</v>
      </c>
      <c r="T407" s="4291">
        <f t="shared" si="264"/>
        <v>1.695290858725762</v>
      </c>
      <c r="U407" s="4292">
        <f t="shared" si="264"/>
        <v>1.2165281625115421</v>
      </c>
      <c r="V407" s="4293">
        <f t="shared" si="264"/>
        <v>3.133643249533717</v>
      </c>
      <c r="AA407" s="1544"/>
      <c r="AB407" s="1544"/>
      <c r="AC407" s="1544"/>
    </row>
    <row r="408" spans="1:34" ht="18" customHeight="1">
      <c r="A408" s="1547" t="s">
        <v>1330</v>
      </c>
      <c r="V408" s="1546" t="s">
        <v>280</v>
      </c>
    </row>
    <row r="409" spans="1:34" ht="18" customHeight="1" thickBot="1">
      <c r="A409" s="2162" t="s">
        <v>1042</v>
      </c>
      <c r="V409" s="1546"/>
    </row>
    <row r="410" spans="1:34" s="1623" customFormat="1" ht="24.95" customHeight="1" thickBot="1">
      <c r="A410" s="89" t="s">
        <v>41</v>
      </c>
      <c r="B410" s="5151" t="s">
        <v>109</v>
      </c>
      <c r="C410" s="5152"/>
      <c r="D410" s="5152"/>
      <c r="E410" s="5152"/>
      <c r="F410" s="5152"/>
      <c r="G410" s="5152"/>
      <c r="H410" s="5152"/>
      <c r="I410" s="5253"/>
      <c r="J410" s="1548" t="s">
        <v>1350</v>
      </c>
      <c r="K410" s="81" t="s">
        <v>1351</v>
      </c>
      <c r="L410" s="1549" t="s">
        <v>1352</v>
      </c>
      <c r="M410" s="1548" t="s">
        <v>1353</v>
      </c>
      <c r="N410" s="81" t="s">
        <v>1354</v>
      </c>
      <c r="O410" s="1549" t="s">
        <v>1355</v>
      </c>
      <c r="P410" s="1548" t="s">
        <v>1356</v>
      </c>
      <c r="Q410" s="81" t="s">
        <v>1357</v>
      </c>
      <c r="R410" s="1549" t="s">
        <v>1358</v>
      </c>
      <c r="S410" s="1548" t="s">
        <v>1359</v>
      </c>
      <c r="T410" s="81" t="s">
        <v>1360</v>
      </c>
      <c r="U410" s="1549" t="s">
        <v>1361</v>
      </c>
      <c r="V410" s="1550" t="s">
        <v>1362</v>
      </c>
      <c r="W410" s="1544"/>
      <c r="X410" s="1544"/>
      <c r="Y410" s="1544"/>
      <c r="Z410" s="1544"/>
      <c r="AA410" s="1544"/>
      <c r="AB410" s="1544"/>
      <c r="AC410" s="1544"/>
      <c r="AD410" s="1544"/>
      <c r="AE410" s="1544"/>
      <c r="AF410" s="1544"/>
      <c r="AG410" s="1544"/>
      <c r="AH410" s="1544"/>
    </row>
    <row r="411" spans="1:34" ht="18" customHeight="1">
      <c r="A411" s="4534">
        <v>1</v>
      </c>
      <c r="B411" s="5281" t="s">
        <v>98</v>
      </c>
      <c r="C411" s="5269"/>
      <c r="D411" s="5269"/>
      <c r="E411" s="5269"/>
      <c r="F411" s="5269"/>
      <c r="G411" s="5269"/>
      <c r="H411" s="5269"/>
      <c r="I411" s="5270"/>
      <c r="J411" s="3457">
        <f t="array" ref="J411">SUMPRODUCT(($I$5:$I$83=$B411)*($H$5:$H$83)*(J$5:J$83))</f>
        <v>193795.64327034558</v>
      </c>
      <c r="K411" s="2164">
        <f t="array" ref="K411">SUMPRODUCT(($I$5:$I$83=$B411)*($H$5:$H$83)*(K$5:K$83))</f>
        <v>157280.61573660717</v>
      </c>
      <c r="L411" s="2165">
        <f t="array" ref="L411">SUMPRODUCT(($I$5:$I$83=$B411)*($H$5:$H$83)*(L$5:L$83))</f>
        <v>171301.8682221199</v>
      </c>
      <c r="M411" s="2166">
        <f t="array" ref="M411">SUMPRODUCT(($I$5:$I$83=$B411)*($H$5:$H$83)*(M$5:M$83))</f>
        <v>164027.76014410116</v>
      </c>
      <c r="N411" s="2164">
        <f t="array" ref="N411">SUMPRODUCT(($I$5:$I$83=$B411)*($H$5:$H$83)*(N$5:N$83))</f>
        <v>156842.25359175834</v>
      </c>
      <c r="O411" s="2165">
        <f t="array" ref="O411">SUMPRODUCT(($I$5:$I$83=$B411)*($H$5:$H$83)*(O$5:O$83))</f>
        <v>154807.31899087122</v>
      </c>
      <c r="P411" s="2166">
        <f t="array" ref="P411">SUMPRODUCT(($I$5:$I$83=$B411)*($H$5:$H$83)*(P$5:P$83))</f>
        <v>153802.18565311859</v>
      </c>
      <c r="Q411" s="2164">
        <f t="array" ref="Q411">SUMPRODUCT(($I$5:$I$83=$B411)*($H$5:$H$83)*(Q$5:Q$83))</f>
        <v>152539.76236999966</v>
      </c>
      <c r="R411" s="2165">
        <f t="array" ref="R411">SUMPRODUCT(($I$5:$I$83=$B411)*($H$5:$H$83)*(R$5:R$83))</f>
        <v>151828.01402919425</v>
      </c>
      <c r="S411" s="2166">
        <f t="array" ref="S411">SUMPRODUCT(($I$5:$I$83=$B411)*($H$5:$H$83)*(S$5:S$83))</f>
        <v>151368.45918851058</v>
      </c>
      <c r="T411" s="2164">
        <f t="array" ref="T411">SUMPRODUCT(($I$5:$I$83=$B411)*($H$5:$H$83)*(T$5:T$83))</f>
        <v>148669.52766055008</v>
      </c>
      <c r="U411" s="2165">
        <f t="array" ref="U411">SUMPRODUCT(($I$5:$I$83=$B411)*($H$5:$H$83)*(U$5:U$83))</f>
        <v>147572.49142941294</v>
      </c>
      <c r="V411" s="2167">
        <f>SUM(J411:U411)</f>
        <v>1903835.9002865895</v>
      </c>
      <c r="AA411" s="1544"/>
      <c r="AB411" s="1544"/>
      <c r="AC411" s="1544"/>
    </row>
    <row r="412" spans="1:34" ht="18" customHeight="1">
      <c r="A412" s="4535">
        <v>2</v>
      </c>
      <c r="B412" s="5280" t="s">
        <v>1073</v>
      </c>
      <c r="C412" s="5272"/>
      <c r="D412" s="5272"/>
      <c r="E412" s="5272"/>
      <c r="F412" s="5272"/>
      <c r="G412" s="5272"/>
      <c r="H412" s="5272"/>
      <c r="I412" s="5273"/>
      <c r="J412" s="3457">
        <f t="array" ref="J412">SUMPRODUCT(($I$5:$I$83=$B412)*($H$5:$H$83)*(J$5:J$83))</f>
        <v>40564.800000000003</v>
      </c>
      <c r="K412" s="2169">
        <f t="array" ref="K412">SUMPRODUCT(($I$5:$I$83=$B412)*($H$5:$H$83)*(K$5:K$83))</f>
        <v>42818.400000000001</v>
      </c>
      <c r="L412" s="1845">
        <f t="array" ref="L412">SUMPRODUCT(($I$5:$I$83=$B412)*($H$5:$H$83)*(L$5:L$83))</f>
        <v>62800.320000000007</v>
      </c>
      <c r="M412" s="2170">
        <f t="array" ref="M412">SUMPRODUCT(($I$5:$I$83=$B412)*($H$5:$H$83)*(M$5:M$83))</f>
        <v>61523.280000000006</v>
      </c>
      <c r="N412" s="2169">
        <f t="array" ref="N412">SUMPRODUCT(($I$5:$I$83=$B412)*($H$5:$H$83)*(N$5:N$83))</f>
        <v>63401.280000000006</v>
      </c>
      <c r="O412" s="1845">
        <f t="array" ref="O412">SUMPRODUCT(($I$5:$I$83=$B412)*($H$5:$H$83)*(O$5:O$83))</f>
        <v>67157.279999999999</v>
      </c>
      <c r="P412" s="2170">
        <f t="array" ref="P412">SUMPRODUCT(($I$5:$I$83=$B412)*($H$5:$H$83)*(P$5:P$83))</f>
        <v>60096</v>
      </c>
      <c r="Q412" s="2169">
        <f t="array" ref="Q412">SUMPRODUCT(($I$5:$I$83=$B412)*($H$5:$H$83)*(Q$5:Q$83))</f>
        <v>54462</v>
      </c>
      <c r="R412" s="1845">
        <f t="array" ref="R412">SUMPRODUCT(($I$5:$I$83=$B412)*($H$5:$H$83)*(R$5:R$83))</f>
        <v>58218</v>
      </c>
      <c r="S412" s="2170">
        <f t="array" ref="S412">SUMPRODUCT(($I$5:$I$83=$B412)*($H$5:$H$83)*(S$5:S$83))</f>
        <v>56340</v>
      </c>
      <c r="T412" s="2169">
        <f t="array" ref="T412">SUMPRODUCT(($I$5:$I$83=$B412)*($H$5:$H$83)*(T$5:T$83))</f>
        <v>42067.200000000004</v>
      </c>
      <c r="U412" s="1845">
        <f t="array" ref="U412">SUMPRODUCT(($I$5:$I$83=$B412)*($H$5:$H$83)*(U$5:U$83))</f>
        <v>35982.480000000003</v>
      </c>
      <c r="V412" s="2171">
        <f>SUM(J412:U412)</f>
        <v>645431.03999999992</v>
      </c>
      <c r="AA412" s="1544"/>
      <c r="AB412" s="1544"/>
      <c r="AC412" s="1544"/>
    </row>
    <row r="413" spans="1:34" ht="18" customHeight="1">
      <c r="A413" s="2805">
        <v>3</v>
      </c>
      <c r="B413" s="5278" t="s">
        <v>1074</v>
      </c>
      <c r="C413" s="5275"/>
      <c r="D413" s="5275"/>
      <c r="E413" s="5275"/>
      <c r="F413" s="5275"/>
      <c r="G413" s="5275"/>
      <c r="H413" s="5275"/>
      <c r="I413" s="5276"/>
      <c r="J413" s="3457" cm="1">
        <f t="array" ref="J413">SUMPRODUCT(($I$5:$I$83="S3Y")*($H$5:$H$83)*(J$5:J$83))</f>
        <v>0</v>
      </c>
      <c r="K413" s="2169">
        <f t="shared" ref="K413:U413" si="265">SUMPRODUCT(($I$5:$I$83="S3Y")*($H$5:$H$83)*(K$5:K$83))</f>
        <v>0</v>
      </c>
      <c r="L413" s="1845">
        <f t="shared" si="265"/>
        <v>0</v>
      </c>
      <c r="M413" s="2170">
        <f t="shared" si="265"/>
        <v>0</v>
      </c>
      <c r="N413" s="2169">
        <f t="shared" si="265"/>
        <v>0</v>
      </c>
      <c r="O413" s="1845">
        <f t="shared" si="265"/>
        <v>0</v>
      </c>
      <c r="P413" s="2170">
        <f t="shared" si="265"/>
        <v>0</v>
      </c>
      <c r="Q413" s="2169">
        <f t="shared" si="265"/>
        <v>0</v>
      </c>
      <c r="R413" s="1845">
        <f t="shared" si="265"/>
        <v>0</v>
      </c>
      <c r="S413" s="2170">
        <f t="shared" si="265"/>
        <v>0</v>
      </c>
      <c r="T413" s="2169">
        <f t="shared" si="265"/>
        <v>0</v>
      </c>
      <c r="U413" s="1845">
        <f t="shared" si="265"/>
        <v>0</v>
      </c>
      <c r="V413" s="2171">
        <f>SUM(J413:U413)</f>
        <v>0</v>
      </c>
      <c r="AA413" s="1544"/>
      <c r="AB413" s="1544"/>
      <c r="AC413" s="1544"/>
    </row>
    <row r="414" spans="1:34" s="1539" customFormat="1" ht="18" customHeight="1" thickBot="1">
      <c r="A414" s="2355"/>
      <c r="B414" s="5277" t="s">
        <v>15</v>
      </c>
      <c r="C414" s="5265"/>
      <c r="D414" s="5265"/>
      <c r="E414" s="5265"/>
      <c r="F414" s="5265"/>
      <c r="G414" s="5265"/>
      <c r="H414" s="5265"/>
      <c r="I414" s="5266"/>
      <c r="J414" s="2172">
        <f t="shared" ref="J414:V414" si="266">SUM(J411:J413)</f>
        <v>234360.44327034557</v>
      </c>
      <c r="K414" s="2173">
        <f t="shared" si="266"/>
        <v>200099.01573660717</v>
      </c>
      <c r="L414" s="2174">
        <f t="shared" si="266"/>
        <v>234102.1882221199</v>
      </c>
      <c r="M414" s="2172">
        <f t="shared" si="266"/>
        <v>225551.04014410116</v>
      </c>
      <c r="N414" s="2173">
        <f t="shared" si="266"/>
        <v>220243.53359175834</v>
      </c>
      <c r="O414" s="2174">
        <f t="shared" si="266"/>
        <v>221964.59899087122</v>
      </c>
      <c r="P414" s="2172">
        <f t="shared" si="266"/>
        <v>213898.18565311859</v>
      </c>
      <c r="Q414" s="2173">
        <f t="shared" si="266"/>
        <v>207001.76236999966</v>
      </c>
      <c r="R414" s="2174">
        <f t="shared" si="266"/>
        <v>210046.01402919425</v>
      </c>
      <c r="S414" s="2172">
        <f t="shared" si="266"/>
        <v>207708.45918851058</v>
      </c>
      <c r="T414" s="2173">
        <f t="shared" si="266"/>
        <v>190736.7276605501</v>
      </c>
      <c r="U414" s="2174">
        <f t="shared" si="266"/>
        <v>183554.97142941295</v>
      </c>
      <c r="V414" s="2175">
        <f t="shared" si="266"/>
        <v>2549266.9402865893</v>
      </c>
      <c r="W414" s="1544"/>
      <c r="X414" s="1544"/>
      <c r="Y414" s="1544"/>
      <c r="Z414" s="2095"/>
      <c r="AA414" s="2095"/>
      <c r="AB414" s="2095"/>
      <c r="AC414" s="2095"/>
      <c r="AD414" s="2095"/>
      <c r="AE414" s="2095"/>
      <c r="AF414" s="2095"/>
      <c r="AG414" s="2095"/>
      <c r="AH414" s="2095"/>
    </row>
    <row r="415" spans="1:34" ht="18" customHeight="1">
      <c r="A415" s="2104"/>
      <c r="B415" s="1631"/>
      <c r="C415" s="1631"/>
      <c r="D415" s="1631"/>
      <c r="E415" s="1631"/>
      <c r="F415" s="2176"/>
      <c r="G415" s="1631"/>
      <c r="H415" s="2177"/>
      <c r="V415" s="9" t="b">
        <f>V414=SUM(J414:U414)</f>
        <v>1</v>
      </c>
      <c r="AA415" s="1631"/>
      <c r="AB415" s="2177"/>
    </row>
    <row r="416" spans="1:34" ht="18" customHeight="1" thickBot="1">
      <c r="A416" s="2178" t="s">
        <v>1043</v>
      </c>
      <c r="B416" s="1631"/>
      <c r="C416" s="1631"/>
      <c r="D416" s="1631"/>
      <c r="E416" s="1631"/>
      <c r="F416" s="2176"/>
      <c r="G416" s="1631"/>
      <c r="H416" s="2177"/>
      <c r="AA416" s="1631"/>
      <c r="AB416" s="2177"/>
    </row>
    <row r="417" spans="1:34" s="1623" customFormat="1" ht="24.95" customHeight="1" thickBot="1">
      <c r="A417" s="1548" t="s">
        <v>41</v>
      </c>
      <c r="B417" s="5267" t="s">
        <v>109</v>
      </c>
      <c r="C417" s="5152"/>
      <c r="D417" s="5152"/>
      <c r="E417" s="5152"/>
      <c r="F417" s="5152"/>
      <c r="G417" s="5152"/>
      <c r="H417" s="5152"/>
      <c r="I417" s="5253"/>
      <c r="J417" s="1548" t="s">
        <v>1350</v>
      </c>
      <c r="K417" s="81" t="s">
        <v>1351</v>
      </c>
      <c r="L417" s="1549" t="s">
        <v>1352</v>
      </c>
      <c r="M417" s="1548" t="s">
        <v>1353</v>
      </c>
      <c r="N417" s="81" t="s">
        <v>1354</v>
      </c>
      <c r="O417" s="1549" t="s">
        <v>1355</v>
      </c>
      <c r="P417" s="1548" t="s">
        <v>1356</v>
      </c>
      <c r="Q417" s="81" t="s">
        <v>1357</v>
      </c>
      <c r="R417" s="1549" t="s">
        <v>1358</v>
      </c>
      <c r="S417" s="1548" t="s">
        <v>1359</v>
      </c>
      <c r="T417" s="81" t="s">
        <v>1360</v>
      </c>
      <c r="U417" s="1549" t="s">
        <v>1361</v>
      </c>
      <c r="V417" s="1550" t="s">
        <v>1362</v>
      </c>
      <c r="W417" s="1544"/>
      <c r="X417" s="1544"/>
      <c r="Y417" s="1544"/>
      <c r="Z417" s="1544"/>
      <c r="AA417" s="1544"/>
      <c r="AB417" s="1544"/>
      <c r="AC417" s="1544"/>
      <c r="AD417" s="1544"/>
      <c r="AE417" s="1544"/>
      <c r="AF417" s="1544"/>
      <c r="AG417" s="1544"/>
      <c r="AH417" s="1544"/>
    </row>
    <row r="418" spans="1:34" ht="18" customHeight="1">
      <c r="A418" s="2163">
        <v>1</v>
      </c>
      <c r="B418" s="5268" t="s">
        <v>98</v>
      </c>
      <c r="C418" s="5269"/>
      <c r="D418" s="5269"/>
      <c r="E418" s="5269"/>
      <c r="F418" s="5269"/>
      <c r="G418" s="5269"/>
      <c r="H418" s="5269"/>
      <c r="I418" s="5270"/>
      <c r="J418" s="3457">
        <f t="array" ref="J418">SUMPRODUCT(($I$90:$I$168=$B418)*($H$90:$H$168)*(J$90:J$168))</f>
        <v>821292.17078354117</v>
      </c>
      <c r="K418" s="2164">
        <f t="array" ref="K418">SUMPRODUCT(($I$90:$I$168=$B418)*($H$90:$H$168)*(K$90:K$168))</f>
        <v>620457.67603486602</v>
      </c>
      <c r="L418" s="2165">
        <f t="array" ref="L418">SUMPRODUCT(($I$90:$I$168=$B418)*($H$90:$H$168)*(L$90:L$168))</f>
        <v>660270.81851218431</v>
      </c>
      <c r="M418" s="2166">
        <f t="array" ref="M418">SUMPRODUCT(($I$90:$I$168=$B418)*($H$90:$H$168)*(M$90:M$168))</f>
        <v>628545.51481533225</v>
      </c>
      <c r="N418" s="2164">
        <f t="array" ref="N418">SUMPRODUCT(($I$90:$I$168=$B418)*($H$90:$H$168)*(N$90:N$168))</f>
        <v>609707.21091304522</v>
      </c>
      <c r="O418" s="2165">
        <f t="array" ref="O418">SUMPRODUCT(($I$90:$I$168=$B418)*($H$90:$H$168)*(O$90:O$168))</f>
        <v>598734.48236101819</v>
      </c>
      <c r="P418" s="2166">
        <f t="array" ref="P418">SUMPRODUCT(($I$90:$I$168=$B418)*($H$90:$H$168)*(P$90:P$168))</f>
        <v>591981.37106457003</v>
      </c>
      <c r="Q418" s="2164">
        <f t="array" ref="Q418">SUMPRODUCT(($I$90:$I$168=$B418)*($H$90:$H$168)*(Q$90:Q$168))</f>
        <v>587913.40114779328</v>
      </c>
      <c r="R418" s="2165">
        <f t="array" ref="R418">SUMPRODUCT(($I$90:$I$168=$B418)*($H$90:$H$168)*(R$90:R$168))</f>
        <v>586860.09668709524</v>
      </c>
      <c r="S418" s="2166">
        <f t="array" ref="S418">SUMPRODUCT(($I$90:$I$168=$B418)*($H$90:$H$168)*(S$90:S$168))</f>
        <v>591992.93202111532</v>
      </c>
      <c r="T418" s="2164">
        <f t="array" ref="T418">SUMPRODUCT(($I$90:$I$168=$B418)*($H$90:$H$168)*(T$90:T$168))</f>
        <v>585949.17976198881</v>
      </c>
      <c r="U418" s="2165">
        <f t="array" ref="U418">SUMPRODUCT(($I$90:$I$168=$B418)*($H$90:$H$168)*(U$90:U$168))</f>
        <v>577057.44633225561</v>
      </c>
      <c r="V418" s="2167">
        <f>SUM(J418:U418)</f>
        <v>7460762.3004348055</v>
      </c>
      <c r="AA418" s="1544"/>
      <c r="AB418" s="1544"/>
      <c r="AC418" s="1544"/>
    </row>
    <row r="419" spans="1:34" ht="18" customHeight="1">
      <c r="A419" s="2168">
        <v>2</v>
      </c>
      <c r="B419" s="5271" t="s">
        <v>1073</v>
      </c>
      <c r="C419" s="5272"/>
      <c r="D419" s="5272"/>
      <c r="E419" s="5272"/>
      <c r="F419" s="5272"/>
      <c r="G419" s="5272"/>
      <c r="H419" s="5272"/>
      <c r="I419" s="5273"/>
      <c r="J419" s="3457">
        <f t="array" ref="J419">SUMPRODUCT(($I$90:$I$168=$B419)*($H$90:$H$168)*(J$90:J$168))</f>
        <v>227368.42105263163</v>
      </c>
      <c r="K419" s="2169">
        <f t="array" ref="K419">SUMPRODUCT((($I$90:$I$168="S3Y")+($I$90:$I$168="S36"))*($H$90:$H$168)*(K$90:K$168))</f>
        <v>240000.00000000006</v>
      </c>
      <c r="L419" s="1845">
        <f t="array" ref="L419">SUMPRODUCT((($I$90:$I$168="S3Y")+($I$90:$I$168="S36"))*($H$90:$H$168)*(L$90:L$168))</f>
        <v>352000</v>
      </c>
      <c r="M419" s="2170">
        <f t="array" ref="M419">SUMPRODUCT((($I$90:$I$168="S3Y")+($I$90:$I$168="S36"))*($H$90:$H$168)*(M$90:M$168))</f>
        <v>344842.10526315798</v>
      </c>
      <c r="N419" s="2169">
        <f t="array" ref="N419">SUMPRODUCT((($I$90:$I$168="S3Y")+($I$90:$I$168="S36"))*($H$90:$H$168)*(N$90:N$168))</f>
        <v>355368.42105263163</v>
      </c>
      <c r="O419" s="1845">
        <f t="array" ref="O419">SUMPRODUCT((($I$90:$I$168="S3Y")+($I$90:$I$168="S36"))*($H$90:$H$168)*(O$90:O$168))</f>
        <v>376421.05263157905</v>
      </c>
      <c r="P419" s="2170">
        <f t="array" ref="P419">SUMPRODUCT((($I$90:$I$168="S3Y")+($I$90:$I$168="S36"))*($H$90:$H$168)*(P$90:P$168))</f>
        <v>336842.10526315792</v>
      </c>
      <c r="Q419" s="2169">
        <f t="array" ref="Q419">SUMPRODUCT((($I$90:$I$168="S3Y")+($I$90:$I$168="S36"))*($H$90:$H$168)*(Q$90:Q$168))</f>
        <v>305263.15789473691</v>
      </c>
      <c r="R419" s="1845">
        <f t="array" ref="R419">SUMPRODUCT((($I$90:$I$168="S3Y")+($I$90:$I$168="S36"))*($H$90:$H$168)*(R$90:R$168))</f>
        <v>326315.78947368427</v>
      </c>
      <c r="S419" s="2170">
        <f t="array" ref="S419">SUMPRODUCT((($I$90:$I$168="S3Y")+($I$90:$I$168="S36"))*($H$90:$H$168)*(S$90:S$168))</f>
        <v>315789.47368421056</v>
      </c>
      <c r="T419" s="2169">
        <f t="array" ref="T419">SUMPRODUCT((($I$90:$I$168="S3Y")+($I$90:$I$168="S36"))*($H$90:$H$168)*(T$90:T$168))</f>
        <v>235789.47368421053</v>
      </c>
      <c r="U419" s="1845">
        <f t="array" ref="U419">SUMPRODUCT((($I$90:$I$168="S3Y")+($I$90:$I$168="S36"))*($H$90:$H$168)*(U$90:U$168))</f>
        <v>201684.21052631579</v>
      </c>
      <c r="V419" s="2171">
        <f>SUM(J419:U419)</f>
        <v>3617684.210526316</v>
      </c>
      <c r="AA419" s="1544"/>
      <c r="AB419" s="1544"/>
      <c r="AC419" s="1544"/>
    </row>
    <row r="420" spans="1:34" ht="18" customHeight="1">
      <c r="A420" s="47">
        <v>3</v>
      </c>
      <c r="B420" s="5274" t="s">
        <v>1074</v>
      </c>
      <c r="C420" s="5275"/>
      <c r="D420" s="5275"/>
      <c r="E420" s="5275"/>
      <c r="F420" s="5275"/>
      <c r="G420" s="5275"/>
      <c r="H420" s="5275"/>
      <c r="I420" s="5276"/>
      <c r="J420" s="3457" cm="1">
        <f t="array" ref="J420">SUMPRODUCT(($I$90:$I$168="S3Y")*($H$90:$H$168)*(J$90:J$168))</f>
        <v>0</v>
      </c>
      <c r="K420" s="2169">
        <f t="shared" ref="K420:U420" si="267">SUMPRODUCT(($I$90:$I$168="S3Y")*($H$90:$H$168)*(K$90:K$168))</f>
        <v>0</v>
      </c>
      <c r="L420" s="1845">
        <f t="shared" si="267"/>
        <v>0</v>
      </c>
      <c r="M420" s="2170">
        <f t="shared" si="267"/>
        <v>0</v>
      </c>
      <c r="N420" s="2169">
        <f t="shared" si="267"/>
        <v>0</v>
      </c>
      <c r="O420" s="1845">
        <f t="shared" si="267"/>
        <v>0</v>
      </c>
      <c r="P420" s="2170">
        <f t="shared" si="267"/>
        <v>0</v>
      </c>
      <c r="Q420" s="2169">
        <f t="shared" si="267"/>
        <v>0</v>
      </c>
      <c r="R420" s="1845">
        <f t="shared" si="267"/>
        <v>0</v>
      </c>
      <c r="S420" s="2170">
        <f t="shared" si="267"/>
        <v>0</v>
      </c>
      <c r="T420" s="2169">
        <f t="shared" si="267"/>
        <v>0</v>
      </c>
      <c r="U420" s="1845">
        <f t="shared" si="267"/>
        <v>0</v>
      </c>
      <c r="V420" s="2171">
        <f>SUM(J420:U420)</f>
        <v>0</v>
      </c>
      <c r="AA420" s="1544"/>
      <c r="AB420" s="1544"/>
      <c r="AC420" s="1544"/>
    </row>
    <row r="421" spans="1:34" s="1539" customFormat="1" ht="18" customHeight="1" thickBot="1">
      <c r="A421" s="76"/>
      <c r="B421" s="5264" t="s">
        <v>15</v>
      </c>
      <c r="C421" s="5265"/>
      <c r="D421" s="5265"/>
      <c r="E421" s="5265"/>
      <c r="F421" s="5265"/>
      <c r="G421" s="5265"/>
      <c r="H421" s="5265"/>
      <c r="I421" s="5266"/>
      <c r="J421" s="2172">
        <f t="shared" ref="J421:V421" si="268">SUM(J418:J420)</f>
        <v>1048660.5918361729</v>
      </c>
      <c r="K421" s="2173">
        <f t="shared" si="268"/>
        <v>860457.67603486613</v>
      </c>
      <c r="L421" s="2174">
        <f t="shared" si="268"/>
        <v>1012270.8185121843</v>
      </c>
      <c r="M421" s="2172">
        <f t="shared" si="268"/>
        <v>973387.62007849023</v>
      </c>
      <c r="N421" s="2173">
        <f t="shared" si="268"/>
        <v>965075.63196567679</v>
      </c>
      <c r="O421" s="2174">
        <f t="shared" si="268"/>
        <v>975155.5349925973</v>
      </c>
      <c r="P421" s="2172">
        <f t="shared" si="268"/>
        <v>928823.47632772801</v>
      </c>
      <c r="Q421" s="2173">
        <f t="shared" si="268"/>
        <v>893176.55904253013</v>
      </c>
      <c r="R421" s="2174">
        <f t="shared" si="268"/>
        <v>913175.88616077951</v>
      </c>
      <c r="S421" s="2172">
        <f t="shared" si="268"/>
        <v>907782.40570532589</v>
      </c>
      <c r="T421" s="2173">
        <f t="shared" si="268"/>
        <v>821738.65344619937</v>
      </c>
      <c r="U421" s="2174">
        <f t="shared" si="268"/>
        <v>778741.65685857134</v>
      </c>
      <c r="V421" s="2175">
        <f t="shared" si="268"/>
        <v>11078446.510961121</v>
      </c>
      <c r="W421" s="1544"/>
      <c r="X421" s="1544"/>
      <c r="Y421" s="1544"/>
      <c r="Z421" s="2095"/>
      <c r="AA421" s="2095"/>
      <c r="AB421" s="2095"/>
      <c r="AC421" s="2095"/>
      <c r="AD421" s="2095"/>
      <c r="AE421" s="2095"/>
      <c r="AF421" s="2095"/>
      <c r="AG421" s="2095"/>
      <c r="AH421" s="2095"/>
    </row>
    <row r="422" spans="1:34" ht="18" customHeight="1"/>
    <row r="423" spans="1:34" ht="18" customHeight="1" thickBot="1">
      <c r="A423" s="2178" t="s">
        <v>1044</v>
      </c>
      <c r="B423" s="1631"/>
      <c r="C423" s="1631"/>
      <c r="D423" s="1631"/>
      <c r="E423" s="1631"/>
      <c r="F423" s="2176"/>
      <c r="G423" s="1631"/>
      <c r="H423" s="2177"/>
      <c r="AA423" s="1631"/>
      <c r="AB423" s="2177"/>
    </row>
    <row r="424" spans="1:34" ht="24.95" customHeight="1" thickBot="1">
      <c r="A424" s="1548" t="s">
        <v>41</v>
      </c>
      <c r="B424" s="5267" t="s">
        <v>109</v>
      </c>
      <c r="C424" s="5152"/>
      <c r="D424" s="5152"/>
      <c r="E424" s="5152"/>
      <c r="F424" s="5152"/>
      <c r="G424" s="5152"/>
      <c r="H424" s="5152"/>
      <c r="I424" s="5253"/>
      <c r="J424" s="1548" t="s">
        <v>1350</v>
      </c>
      <c r="K424" s="81" t="s">
        <v>1351</v>
      </c>
      <c r="L424" s="1549" t="s">
        <v>1352</v>
      </c>
      <c r="M424" s="1548" t="s">
        <v>1353</v>
      </c>
      <c r="N424" s="81" t="s">
        <v>1354</v>
      </c>
      <c r="O424" s="1549" t="s">
        <v>1355</v>
      </c>
      <c r="P424" s="1548" t="s">
        <v>1356</v>
      </c>
      <c r="Q424" s="81" t="s">
        <v>1357</v>
      </c>
      <c r="R424" s="1549" t="s">
        <v>1358</v>
      </c>
      <c r="S424" s="1548" t="s">
        <v>1359</v>
      </c>
      <c r="T424" s="81" t="s">
        <v>1360</v>
      </c>
      <c r="U424" s="1549" t="s">
        <v>1361</v>
      </c>
      <c r="V424" s="1550" t="s">
        <v>1362</v>
      </c>
      <c r="AA424" s="1544"/>
      <c r="AB424" s="1544"/>
      <c r="AC424" s="1544"/>
    </row>
    <row r="425" spans="1:34" ht="18" customHeight="1">
      <c r="A425" s="2163">
        <v>1</v>
      </c>
      <c r="B425" s="5268" t="s">
        <v>98</v>
      </c>
      <c r="C425" s="5269"/>
      <c r="D425" s="5269"/>
      <c r="E425" s="5269"/>
      <c r="F425" s="5269"/>
      <c r="G425" s="5269"/>
      <c r="H425" s="5269"/>
      <c r="I425" s="5270"/>
      <c r="J425" s="3457">
        <f t="shared" ref="J425:U425" si="269">J418-J411</f>
        <v>627496.52751319553</v>
      </c>
      <c r="K425" s="2164">
        <f t="shared" si="269"/>
        <v>463177.06029825885</v>
      </c>
      <c r="L425" s="2165">
        <f t="shared" si="269"/>
        <v>488968.95029006444</v>
      </c>
      <c r="M425" s="2166">
        <f t="shared" si="269"/>
        <v>464517.75467123109</v>
      </c>
      <c r="N425" s="2164">
        <f t="shared" si="269"/>
        <v>452864.9573212869</v>
      </c>
      <c r="O425" s="2165">
        <f t="shared" si="269"/>
        <v>443927.163370147</v>
      </c>
      <c r="P425" s="2166">
        <f t="shared" si="269"/>
        <v>438179.18541145144</v>
      </c>
      <c r="Q425" s="2164">
        <f t="shared" si="269"/>
        <v>435373.63877779362</v>
      </c>
      <c r="R425" s="2165">
        <f t="shared" si="269"/>
        <v>435032.08265790099</v>
      </c>
      <c r="S425" s="2166">
        <f t="shared" si="269"/>
        <v>440624.47283260478</v>
      </c>
      <c r="T425" s="2164">
        <f t="shared" si="269"/>
        <v>437279.65210143873</v>
      </c>
      <c r="U425" s="2165">
        <f t="shared" si="269"/>
        <v>429484.95490284264</v>
      </c>
      <c r="V425" s="2167">
        <f>SUM(J425:U425)</f>
        <v>5556926.4001482148</v>
      </c>
      <c r="AA425" s="1544"/>
      <c r="AB425" s="1544"/>
      <c r="AC425" s="1544"/>
    </row>
    <row r="426" spans="1:34" ht="18" customHeight="1">
      <c r="A426" s="2168">
        <v>2</v>
      </c>
      <c r="B426" s="5271" t="s">
        <v>1073</v>
      </c>
      <c r="C426" s="5272"/>
      <c r="D426" s="5272"/>
      <c r="E426" s="5272"/>
      <c r="F426" s="5272"/>
      <c r="G426" s="5272"/>
      <c r="H426" s="5272"/>
      <c r="I426" s="5273"/>
      <c r="J426" s="3457">
        <f>J419-J412</f>
        <v>186803.62105263164</v>
      </c>
      <c r="K426" s="2169">
        <f t="shared" ref="K426:U426" si="270">K419-K412</f>
        <v>197181.60000000006</v>
      </c>
      <c r="L426" s="1845">
        <f t="shared" si="270"/>
        <v>289199.68</v>
      </c>
      <c r="M426" s="2170">
        <f t="shared" si="270"/>
        <v>283318.82526315795</v>
      </c>
      <c r="N426" s="2169">
        <f t="shared" si="270"/>
        <v>291967.1410526316</v>
      </c>
      <c r="O426" s="1845">
        <f t="shared" si="270"/>
        <v>309263.77263157908</v>
      </c>
      <c r="P426" s="2170">
        <f t="shared" si="270"/>
        <v>276746.10526315792</v>
      </c>
      <c r="Q426" s="2169">
        <f t="shared" si="270"/>
        <v>250801.15789473691</v>
      </c>
      <c r="R426" s="1845">
        <f t="shared" si="270"/>
        <v>268097.78947368427</v>
      </c>
      <c r="S426" s="2170">
        <f t="shared" si="270"/>
        <v>259449.47368421056</v>
      </c>
      <c r="T426" s="2169">
        <f t="shared" si="270"/>
        <v>193722.27368421052</v>
      </c>
      <c r="U426" s="1845">
        <f t="shared" si="270"/>
        <v>165701.73052631578</v>
      </c>
      <c r="V426" s="2171">
        <f>SUM(J426:U426)</f>
        <v>2972253.1705263169</v>
      </c>
      <c r="AA426" s="1544"/>
      <c r="AB426" s="1544"/>
      <c r="AC426" s="1544"/>
    </row>
    <row r="427" spans="1:34" ht="18" customHeight="1">
      <c r="A427" s="47">
        <v>3</v>
      </c>
      <c r="B427" s="5274" t="s">
        <v>1074</v>
      </c>
      <c r="C427" s="5275"/>
      <c r="D427" s="5275"/>
      <c r="E427" s="5275"/>
      <c r="F427" s="5275"/>
      <c r="G427" s="5275"/>
      <c r="H427" s="5275"/>
      <c r="I427" s="5276"/>
      <c r="J427" s="3457">
        <f t="shared" ref="J427:U427" si="271">J420-J413</f>
        <v>0</v>
      </c>
      <c r="K427" s="2169">
        <f t="shared" si="271"/>
        <v>0</v>
      </c>
      <c r="L427" s="1845">
        <f t="shared" si="271"/>
        <v>0</v>
      </c>
      <c r="M427" s="2170">
        <f t="shared" si="271"/>
        <v>0</v>
      </c>
      <c r="N427" s="2169">
        <f t="shared" si="271"/>
        <v>0</v>
      </c>
      <c r="O427" s="1845">
        <f t="shared" si="271"/>
        <v>0</v>
      </c>
      <c r="P427" s="2170">
        <f t="shared" si="271"/>
        <v>0</v>
      </c>
      <c r="Q427" s="2169">
        <f t="shared" si="271"/>
        <v>0</v>
      </c>
      <c r="R427" s="1845">
        <f t="shared" si="271"/>
        <v>0</v>
      </c>
      <c r="S427" s="2170">
        <f t="shared" si="271"/>
        <v>0</v>
      </c>
      <c r="T427" s="2169">
        <f t="shared" si="271"/>
        <v>0</v>
      </c>
      <c r="U427" s="1845">
        <f t="shared" si="271"/>
        <v>0</v>
      </c>
      <c r="V427" s="2171">
        <f>SUM(J427:U427)</f>
        <v>0</v>
      </c>
      <c r="AA427" s="1544"/>
      <c r="AB427" s="1544"/>
      <c r="AC427" s="1544"/>
    </row>
    <row r="428" spans="1:34" ht="18" customHeight="1" thickBot="1">
      <c r="A428" s="76"/>
      <c r="B428" s="5264" t="s">
        <v>15</v>
      </c>
      <c r="C428" s="5265"/>
      <c r="D428" s="5265"/>
      <c r="E428" s="5265"/>
      <c r="F428" s="5265"/>
      <c r="G428" s="5265"/>
      <c r="H428" s="5265"/>
      <c r="I428" s="5266"/>
      <c r="J428" s="2172">
        <f t="shared" ref="J428:V428" si="272">SUM(J425:J427)</f>
        <v>814300.14856582717</v>
      </c>
      <c r="K428" s="2173">
        <f t="shared" si="272"/>
        <v>660358.66029825888</v>
      </c>
      <c r="L428" s="2174">
        <f t="shared" si="272"/>
        <v>778168.6302900645</v>
      </c>
      <c r="M428" s="2172">
        <f t="shared" si="272"/>
        <v>747836.5799343891</v>
      </c>
      <c r="N428" s="2173">
        <f t="shared" si="272"/>
        <v>744832.09837391856</v>
      </c>
      <c r="O428" s="2174">
        <f t="shared" si="272"/>
        <v>753190.93600172608</v>
      </c>
      <c r="P428" s="2172">
        <f t="shared" si="272"/>
        <v>714925.29067460936</v>
      </c>
      <c r="Q428" s="2173">
        <f t="shared" si="272"/>
        <v>686174.79667253047</v>
      </c>
      <c r="R428" s="2174">
        <f t="shared" si="272"/>
        <v>703129.87213158526</v>
      </c>
      <c r="S428" s="2172">
        <f t="shared" si="272"/>
        <v>700073.94651681534</v>
      </c>
      <c r="T428" s="2173">
        <f t="shared" si="272"/>
        <v>631001.92578564922</v>
      </c>
      <c r="U428" s="2174">
        <f t="shared" si="272"/>
        <v>595186.68542915839</v>
      </c>
      <c r="V428" s="2175">
        <f t="shared" si="272"/>
        <v>8529179.5706745312</v>
      </c>
      <c r="AA428" s="1544"/>
      <c r="AB428" s="1544"/>
      <c r="AC428" s="1544"/>
    </row>
    <row r="429" spans="1:34" ht="18" customHeight="1">
      <c r="A429" s="1540"/>
      <c r="B429" s="1540"/>
      <c r="C429" s="1540"/>
      <c r="D429" s="1540"/>
      <c r="E429" s="1540"/>
      <c r="F429" s="1540"/>
      <c r="G429" s="1540"/>
      <c r="H429" s="1540"/>
      <c r="I429" s="1540"/>
      <c r="J429" s="2179"/>
      <c r="K429" s="2179"/>
      <c r="L429" s="2179"/>
      <c r="M429" s="2179"/>
      <c r="N429" s="2179"/>
      <c r="O429" s="2179"/>
      <c r="P429" s="2179"/>
      <c r="Q429" s="2179"/>
      <c r="R429" s="2179"/>
      <c r="S429" s="2179"/>
      <c r="T429" s="2179"/>
      <c r="U429" s="2179"/>
      <c r="V429" s="2179"/>
      <c r="AA429" s="1540"/>
      <c r="AB429" s="1540"/>
      <c r="AC429" s="1540"/>
    </row>
    <row r="430" spans="1:34" ht="18" customHeight="1" thickBot="1">
      <c r="A430" s="2178" t="s">
        <v>1041</v>
      </c>
    </row>
    <row r="431" spans="1:34" ht="24.95" customHeight="1" thickBot="1">
      <c r="A431" s="1548" t="s">
        <v>41</v>
      </c>
      <c r="B431" s="5267" t="s">
        <v>109</v>
      </c>
      <c r="C431" s="5152"/>
      <c r="D431" s="5152"/>
      <c r="E431" s="5152"/>
      <c r="F431" s="5152"/>
      <c r="G431" s="5152"/>
      <c r="H431" s="5152"/>
      <c r="I431" s="5253"/>
      <c r="J431" s="1548" t="s">
        <v>1350</v>
      </c>
      <c r="K431" s="81" t="s">
        <v>1351</v>
      </c>
      <c r="L431" s="1549" t="s">
        <v>1352</v>
      </c>
      <c r="M431" s="1548" t="s">
        <v>1353</v>
      </c>
      <c r="N431" s="81" t="s">
        <v>1354</v>
      </c>
      <c r="O431" s="1549" t="s">
        <v>1355</v>
      </c>
      <c r="P431" s="1548" t="s">
        <v>1356</v>
      </c>
      <c r="Q431" s="81" t="s">
        <v>1357</v>
      </c>
      <c r="R431" s="1549" t="s">
        <v>1358</v>
      </c>
      <c r="S431" s="1548" t="s">
        <v>1359</v>
      </c>
      <c r="T431" s="81" t="s">
        <v>1360</v>
      </c>
      <c r="U431" s="1549" t="s">
        <v>1361</v>
      </c>
      <c r="V431" s="1550" t="s">
        <v>1362</v>
      </c>
      <c r="AA431" s="1544"/>
      <c r="AB431" s="1544"/>
      <c r="AC431" s="1544"/>
    </row>
    <row r="432" spans="1:34" ht="18" customHeight="1">
      <c r="A432" s="2163">
        <v>1</v>
      </c>
      <c r="B432" s="5268" t="s">
        <v>98</v>
      </c>
      <c r="C432" s="5269"/>
      <c r="D432" s="5269"/>
      <c r="E432" s="5269"/>
      <c r="F432" s="5269"/>
      <c r="G432" s="5269"/>
      <c r="H432" s="5269"/>
      <c r="I432" s="5270"/>
      <c r="J432" s="4536">
        <f t="shared" ref="J432:V432" si="273">IFERROR(J411/J418,"")</f>
        <v>0.23596431351032829</v>
      </c>
      <c r="K432" s="2181">
        <f t="shared" si="273"/>
        <v>0.25349128846585328</v>
      </c>
      <c r="L432" s="2182">
        <f t="shared" si="273"/>
        <v>0.25944182813973443</v>
      </c>
      <c r="M432" s="2183">
        <f t="shared" si="273"/>
        <v>0.26096401338937691</v>
      </c>
      <c r="N432" s="2181">
        <f t="shared" si="273"/>
        <v>0.25724192003057472</v>
      </c>
      <c r="O432" s="2182">
        <f t="shared" si="273"/>
        <v>0.25855754687856319</v>
      </c>
      <c r="P432" s="2183">
        <f t="shared" si="273"/>
        <v>0.25980916490080347</v>
      </c>
      <c r="Q432" s="2181">
        <f t="shared" si="273"/>
        <v>0.25945957699245109</v>
      </c>
      <c r="R432" s="2182">
        <f t="shared" si="273"/>
        <v>0.25871245103608842</v>
      </c>
      <c r="S432" s="2183">
        <f t="shared" si="273"/>
        <v>0.2556930176036486</v>
      </c>
      <c r="T432" s="2181">
        <f t="shared" si="273"/>
        <v>0.25372426960464267</v>
      </c>
      <c r="U432" s="2182">
        <f t="shared" si="273"/>
        <v>0.25573275653468353</v>
      </c>
      <c r="V432" s="2184">
        <f t="shared" si="273"/>
        <v>0.25517980919666022</v>
      </c>
      <c r="AA432" s="1544"/>
      <c r="AB432" s="1544"/>
      <c r="AC432" s="1544"/>
    </row>
    <row r="433" spans="1:29" ht="18" customHeight="1">
      <c r="A433" s="2168">
        <v>2</v>
      </c>
      <c r="B433" s="5271" t="s">
        <v>1073</v>
      </c>
      <c r="C433" s="5272"/>
      <c r="D433" s="5272"/>
      <c r="E433" s="5272"/>
      <c r="F433" s="5272"/>
      <c r="G433" s="5272"/>
      <c r="H433" s="5272"/>
      <c r="I433" s="5273"/>
      <c r="J433" s="4536">
        <f t="shared" ref="J433:V433" si="274">IFERROR(J412/J419,"")</f>
        <v>0.17840999999999999</v>
      </c>
      <c r="K433" s="2185">
        <f t="shared" si="274"/>
        <v>0.17840999999999996</v>
      </c>
      <c r="L433" s="2186">
        <f t="shared" si="274"/>
        <v>0.17841000000000001</v>
      </c>
      <c r="M433" s="2187">
        <f t="shared" si="274"/>
        <v>0.17840999999999999</v>
      </c>
      <c r="N433" s="2185">
        <f t="shared" si="274"/>
        <v>0.17840999999999999</v>
      </c>
      <c r="O433" s="2186">
        <f t="shared" si="274"/>
        <v>0.17840999999999996</v>
      </c>
      <c r="P433" s="2187">
        <f t="shared" si="274"/>
        <v>0.17840999999999999</v>
      </c>
      <c r="Q433" s="2185">
        <f t="shared" si="274"/>
        <v>0.17840999999999996</v>
      </c>
      <c r="R433" s="2186">
        <f t="shared" si="274"/>
        <v>0.17840999999999996</v>
      </c>
      <c r="S433" s="2187">
        <f t="shared" si="274"/>
        <v>0.17840999999999999</v>
      </c>
      <c r="T433" s="2185">
        <f t="shared" si="274"/>
        <v>0.17841000000000001</v>
      </c>
      <c r="U433" s="2186">
        <f t="shared" si="274"/>
        <v>0.17841000000000001</v>
      </c>
      <c r="V433" s="2188">
        <f t="shared" si="274"/>
        <v>0.17840999999999996</v>
      </c>
      <c r="AA433" s="1544"/>
      <c r="AB433" s="1544"/>
      <c r="AC433" s="1544"/>
    </row>
    <row r="434" spans="1:29" ht="18" customHeight="1">
      <c r="A434" s="47">
        <v>3</v>
      </c>
      <c r="B434" s="5274" t="s">
        <v>1074</v>
      </c>
      <c r="C434" s="5275"/>
      <c r="D434" s="5275"/>
      <c r="E434" s="5275"/>
      <c r="F434" s="5275"/>
      <c r="G434" s="5275"/>
      <c r="H434" s="5275"/>
      <c r="I434" s="5276"/>
      <c r="J434" s="4536" t="str">
        <f t="shared" ref="J434:V434" si="275">IFERROR(J413/J420,"")</f>
        <v/>
      </c>
      <c r="K434" s="2185" t="str">
        <f t="shared" si="275"/>
        <v/>
      </c>
      <c r="L434" s="2186" t="str">
        <f t="shared" si="275"/>
        <v/>
      </c>
      <c r="M434" s="2187" t="str">
        <f t="shared" si="275"/>
        <v/>
      </c>
      <c r="N434" s="2185" t="str">
        <f t="shared" si="275"/>
        <v/>
      </c>
      <c r="O434" s="2186" t="str">
        <f t="shared" si="275"/>
        <v/>
      </c>
      <c r="P434" s="2187" t="str">
        <f t="shared" si="275"/>
        <v/>
      </c>
      <c r="Q434" s="2185" t="str">
        <f t="shared" si="275"/>
        <v/>
      </c>
      <c r="R434" s="2186" t="str">
        <f t="shared" si="275"/>
        <v/>
      </c>
      <c r="S434" s="2187" t="str">
        <f t="shared" si="275"/>
        <v/>
      </c>
      <c r="T434" s="2185" t="str">
        <f t="shared" si="275"/>
        <v/>
      </c>
      <c r="U434" s="2186" t="str">
        <f t="shared" si="275"/>
        <v/>
      </c>
      <c r="V434" s="2188" t="str">
        <f t="shared" si="275"/>
        <v/>
      </c>
      <c r="AA434" s="1544"/>
      <c r="AB434" s="1544"/>
      <c r="AC434" s="1544"/>
    </row>
    <row r="435" spans="1:29" ht="18" customHeight="1" thickBot="1">
      <c r="A435" s="76"/>
      <c r="B435" s="5264" t="s">
        <v>15</v>
      </c>
      <c r="C435" s="5265"/>
      <c r="D435" s="5265"/>
      <c r="E435" s="5265"/>
      <c r="F435" s="5265"/>
      <c r="G435" s="5265"/>
      <c r="H435" s="5265"/>
      <c r="I435" s="5266"/>
      <c r="J435" s="2189">
        <f t="shared" ref="J435:V435" si="276">IFERROR(J414/J421,"")</f>
        <v>0.22348550626851302</v>
      </c>
      <c r="K435" s="2190">
        <f t="shared" si="276"/>
        <v>0.23254951557721831</v>
      </c>
      <c r="L435" s="2191">
        <f t="shared" si="276"/>
        <v>0.23126438492635665</v>
      </c>
      <c r="M435" s="2189">
        <f t="shared" si="276"/>
        <v>0.23171759686640928</v>
      </c>
      <c r="N435" s="2190">
        <f t="shared" si="276"/>
        <v>0.22821375475325584</v>
      </c>
      <c r="O435" s="2191">
        <f t="shared" si="276"/>
        <v>0.2276196883736667</v>
      </c>
      <c r="P435" s="2189">
        <f t="shared" si="276"/>
        <v>0.23028938340232727</v>
      </c>
      <c r="Q435" s="2190">
        <f t="shared" si="276"/>
        <v>0.23175906294708629</v>
      </c>
      <c r="R435" s="2191">
        <f t="shared" si="276"/>
        <v>0.23001703966612652</v>
      </c>
      <c r="S435" s="2189">
        <f t="shared" si="276"/>
        <v>0.22880864167787646</v>
      </c>
      <c r="T435" s="2190">
        <f t="shared" si="276"/>
        <v>0.23211361283863222</v>
      </c>
      <c r="U435" s="2191">
        <f t="shared" si="276"/>
        <v>0.23570714345739527</v>
      </c>
      <c r="V435" s="2192">
        <f t="shared" si="276"/>
        <v>0.23011050671809627</v>
      </c>
      <c r="AA435" s="1544"/>
      <c r="AB435" s="1544"/>
      <c r="AC435" s="1544"/>
    </row>
    <row r="436" spans="1:29" ht="18" customHeight="1">
      <c r="J436" s="2193"/>
    </row>
  </sheetData>
  <mergeCells count="80">
    <mergeCell ref="A192:A256"/>
    <mergeCell ref="B192:B256"/>
    <mergeCell ref="A257:I257"/>
    <mergeCell ref="A263:A269"/>
    <mergeCell ref="A258:I258"/>
    <mergeCell ref="A259:I259"/>
    <mergeCell ref="F268:H268"/>
    <mergeCell ref="F262:H262"/>
    <mergeCell ref="C269:H269"/>
    <mergeCell ref="F263:H263"/>
    <mergeCell ref="F264:H264"/>
    <mergeCell ref="F266:H266"/>
    <mergeCell ref="B263:B269"/>
    <mergeCell ref="A292:A306"/>
    <mergeCell ref="B292:B306"/>
    <mergeCell ref="F265:H265"/>
    <mergeCell ref="F270:H270"/>
    <mergeCell ref="F271:H271"/>
    <mergeCell ref="F272:H272"/>
    <mergeCell ref="F267:H267"/>
    <mergeCell ref="F273:H273"/>
    <mergeCell ref="F274:H274"/>
    <mergeCell ref="F275:H275"/>
    <mergeCell ref="C276:I276"/>
    <mergeCell ref="A280:A282"/>
    <mergeCell ref="B280:B282"/>
    <mergeCell ref="F280:H280"/>
    <mergeCell ref="F281:H281"/>
    <mergeCell ref="F282:H282"/>
    <mergeCell ref="B90:B104"/>
    <mergeCell ref="A170:I170"/>
    <mergeCell ref="A171:I171"/>
    <mergeCell ref="A172:I172"/>
    <mergeCell ref="B177:B191"/>
    <mergeCell ref="B413:I413"/>
    <mergeCell ref="A372:I372"/>
    <mergeCell ref="A396:I396"/>
    <mergeCell ref="B395:F395"/>
    <mergeCell ref="B412:I412"/>
    <mergeCell ref="B411:I411"/>
    <mergeCell ref="B410:I410"/>
    <mergeCell ref="A382:I382"/>
    <mergeCell ref="A407:I407"/>
    <mergeCell ref="B417:I417"/>
    <mergeCell ref="B418:I418"/>
    <mergeCell ref="B419:I419"/>
    <mergeCell ref="B420:I420"/>
    <mergeCell ref="B414:I414"/>
    <mergeCell ref="B421:I421"/>
    <mergeCell ref="B431:I431"/>
    <mergeCell ref="B432:I432"/>
    <mergeCell ref="B433:I433"/>
    <mergeCell ref="B434:I434"/>
    <mergeCell ref="B435:I435"/>
    <mergeCell ref="B424:I424"/>
    <mergeCell ref="B425:I425"/>
    <mergeCell ref="B426:I426"/>
    <mergeCell ref="B427:I427"/>
    <mergeCell ref="B428:I428"/>
    <mergeCell ref="AC277:AC279"/>
    <mergeCell ref="I277:I279"/>
    <mergeCell ref="F278:H278"/>
    <mergeCell ref="F279:H279"/>
    <mergeCell ref="F277:H277"/>
    <mergeCell ref="D5:D12"/>
    <mergeCell ref="B277:B279"/>
    <mergeCell ref="A277:A279"/>
    <mergeCell ref="A270:A276"/>
    <mergeCell ref="B270:B276"/>
    <mergeCell ref="A5:A19"/>
    <mergeCell ref="B5:B19"/>
    <mergeCell ref="C5:C12"/>
    <mergeCell ref="A20:A84"/>
    <mergeCell ref="B20:B84"/>
    <mergeCell ref="C13:C18"/>
    <mergeCell ref="A85:I85"/>
    <mergeCell ref="A105:A169"/>
    <mergeCell ref="B105:B169"/>
    <mergeCell ref="A177:A191"/>
    <mergeCell ref="A90:A104"/>
  </mergeCells>
  <phoneticPr fontId="7" type="noConversion"/>
  <conditionalFormatting sqref="J263:U282">
    <cfRule type="cellIs" dxfId="28" priority="5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portrait" r:id="rId1"/>
  <ignoredErrors>
    <ignoredError sqref="V19 V84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183"/>
  <sheetViews>
    <sheetView showGridLines="0" zoomScale="70" zoomScaleNormal="70" workbookViewId="0">
      <selection activeCell="H122" sqref="H122"/>
    </sheetView>
  </sheetViews>
  <sheetFormatPr defaultColWidth="9" defaultRowHeight="13.5"/>
  <cols>
    <col min="1" max="1" width="4.75" style="1537" customWidth="1"/>
    <col min="2" max="2" width="14.125" style="9" customWidth="1"/>
    <col min="3" max="3" width="13.125" style="9" customWidth="1"/>
    <col min="4" max="4" width="17.75" style="9" customWidth="1"/>
    <col min="5" max="5" width="7.375" style="9" customWidth="1"/>
    <col min="6" max="6" width="26.375" style="9" customWidth="1"/>
    <col min="7" max="7" width="7.125" style="9" customWidth="1"/>
    <col min="8" max="8" width="10.125" style="9" customWidth="1"/>
    <col min="9" max="9" width="11.375" style="1715" customWidth="1"/>
    <col min="10" max="10" width="11.875" style="1715" customWidth="1"/>
    <col min="11" max="11" width="11.375" style="3762" customWidth="1"/>
    <col min="12" max="23" width="12.75" style="3762" customWidth="1"/>
    <col min="24" max="24" width="18.25" style="3762" customWidth="1"/>
    <col min="25" max="16384" width="9" style="9"/>
  </cols>
  <sheetData>
    <row r="1" spans="1:24" ht="23.25" customHeight="1">
      <c r="A1" s="1538" t="s">
        <v>34</v>
      </c>
      <c r="B1" s="1539"/>
      <c r="C1" s="1539"/>
      <c r="D1" s="1539"/>
      <c r="E1" s="1539"/>
      <c r="F1" s="1539"/>
      <c r="G1" s="1541"/>
      <c r="H1" s="1541"/>
    </row>
    <row r="2" spans="1:24" ht="23.25" customHeight="1">
      <c r="A2" s="1717"/>
    </row>
    <row r="3" spans="1:24" ht="23.25" customHeight="1" thickBot="1">
      <c r="A3" s="1547" t="s">
        <v>971</v>
      </c>
      <c r="W3" s="3753"/>
      <c r="X3" s="3753" t="s">
        <v>105</v>
      </c>
    </row>
    <row r="4" spans="1:24" ht="26.25" customHeight="1" thickBot="1">
      <c r="A4" s="1548" t="s">
        <v>41</v>
      </c>
      <c r="B4" s="81" t="s">
        <v>107</v>
      </c>
      <c r="C4" s="81" t="s">
        <v>106</v>
      </c>
      <c r="D4" s="81" t="s">
        <v>1006</v>
      </c>
      <c r="E4" s="81" t="s">
        <v>1053</v>
      </c>
      <c r="F4" s="81" t="s">
        <v>108</v>
      </c>
      <c r="G4" s="81" t="s">
        <v>972</v>
      </c>
      <c r="H4" s="81" t="s">
        <v>184</v>
      </c>
      <c r="I4" s="2194" t="s">
        <v>208</v>
      </c>
      <c r="J4" s="3741" t="s">
        <v>973</v>
      </c>
      <c r="K4" s="4310" t="s">
        <v>1388</v>
      </c>
      <c r="L4" s="3754" t="str">
        <f>'3. P PLAN'!J4</f>
        <v>Jan.26</v>
      </c>
      <c r="M4" s="3755" t="str">
        <f>'3. P PLAN'!K4</f>
        <v>Feb.26</v>
      </c>
      <c r="N4" s="3756" t="str">
        <f>'3. P PLAN'!L4</f>
        <v>Mar.26</v>
      </c>
      <c r="O4" s="3754" t="str">
        <f>'3. P PLAN'!M4</f>
        <v>Apr.26</v>
      </c>
      <c r="P4" s="3755" t="str">
        <f>'3. P PLAN'!N4</f>
        <v>May.26</v>
      </c>
      <c r="Q4" s="3756" t="str">
        <f>'3. P PLAN'!O4</f>
        <v>Jun.26</v>
      </c>
      <c r="R4" s="3754" t="str">
        <f>'3. P PLAN'!P4</f>
        <v>Jul.26</v>
      </c>
      <c r="S4" s="3755" t="str">
        <f>'3. P PLAN'!Q4</f>
        <v>Aug.26</v>
      </c>
      <c r="T4" s="3756" t="str">
        <f>'3. P PLAN'!R4</f>
        <v>Sep.26</v>
      </c>
      <c r="U4" s="3754" t="str">
        <f>'3. P PLAN'!S4</f>
        <v>Oct.26</v>
      </c>
      <c r="V4" s="3755" t="str">
        <f>'3. P PLAN'!T4</f>
        <v>Nov.26</v>
      </c>
      <c r="W4" s="3756" t="str">
        <f>'3. P PLAN'!U4</f>
        <v>Dec.26</v>
      </c>
      <c r="X4" s="3763" t="str">
        <f>'3. P PLAN'!V4</f>
        <v>2026
Total</v>
      </c>
    </row>
    <row r="5" spans="1:24" ht="18" customHeight="1">
      <c r="A5" s="5189">
        <v>1</v>
      </c>
      <c r="B5" s="5187" t="s">
        <v>16</v>
      </c>
      <c r="C5" s="1688" t="s">
        <v>19</v>
      </c>
      <c r="D5" s="62" t="s">
        <v>861</v>
      </c>
      <c r="E5" s="1767"/>
      <c r="F5" s="1688" t="s">
        <v>1213</v>
      </c>
      <c r="G5" s="1879">
        <v>2</v>
      </c>
      <c r="H5" s="2195">
        <v>100000</v>
      </c>
      <c r="I5" s="3409">
        <f>IFERROR(ROUNDUP(#REF!/$H5/$G5,0),0)</f>
        <v>0</v>
      </c>
      <c r="J5" s="3742">
        <v>19000</v>
      </c>
      <c r="K5" s="3764">
        <f t="shared" ref="K5:K36" si="0">IFERROR(ROUNDUP(X5/$H5/$G5,0),0)</f>
        <v>0</v>
      </c>
      <c r="L5" s="3765">
        <f>'3. P PLAN'!J90</f>
        <v>0</v>
      </c>
      <c r="M5" s="3766">
        <f>'3. P PLAN'!K90</f>
        <v>0</v>
      </c>
      <c r="N5" s="3767">
        <f>'3. P PLAN'!L90</f>
        <v>0</v>
      </c>
      <c r="O5" s="3765">
        <f>'3. P PLAN'!M90</f>
        <v>0</v>
      </c>
      <c r="P5" s="3766">
        <f>'3. P PLAN'!N90</f>
        <v>0</v>
      </c>
      <c r="Q5" s="3767">
        <f>'3. P PLAN'!O90</f>
        <v>0</v>
      </c>
      <c r="R5" s="3765">
        <f>'3. P PLAN'!P90</f>
        <v>0</v>
      </c>
      <c r="S5" s="3766">
        <f>'3. P PLAN'!Q90</f>
        <v>0</v>
      </c>
      <c r="T5" s="3767">
        <f>'3. P PLAN'!R90</f>
        <v>0</v>
      </c>
      <c r="U5" s="3765">
        <f>'3. P PLAN'!S90</f>
        <v>0</v>
      </c>
      <c r="V5" s="3766">
        <f>'3. P PLAN'!T90</f>
        <v>0</v>
      </c>
      <c r="W5" s="3767">
        <f>'3. P PLAN'!U90</f>
        <v>0</v>
      </c>
      <c r="X5" s="3768">
        <f t="shared" ref="X5:X18" si="1">SUM(L5:W5)</f>
        <v>0</v>
      </c>
    </row>
    <row r="6" spans="1:24" ht="18" customHeight="1">
      <c r="A6" s="5190"/>
      <c r="B6" s="5186"/>
      <c r="C6" s="1673"/>
      <c r="D6" s="61"/>
      <c r="E6" s="1673">
        <v>1</v>
      </c>
      <c r="F6" s="1673" t="s">
        <v>1241</v>
      </c>
      <c r="G6" s="1894">
        <v>2</v>
      </c>
      <c r="H6" s="2141">
        <v>100000</v>
      </c>
      <c r="I6" s="2127">
        <f>IFERROR(ROUNDUP(#REF!/$H6/$G6,0),0)</f>
        <v>0</v>
      </c>
      <c r="J6" s="3743">
        <v>19000</v>
      </c>
      <c r="K6" s="3769">
        <f t="shared" si="0"/>
        <v>30</v>
      </c>
      <c r="L6" s="3770">
        <f>'3. P PLAN'!J91</f>
        <v>764542.93628808879</v>
      </c>
      <c r="M6" s="3771">
        <f>'3. P PLAN'!K91</f>
        <v>609418.28254847659</v>
      </c>
      <c r="N6" s="3772">
        <f>'3. P PLAN'!L91</f>
        <v>828808.86426592804</v>
      </c>
      <c r="O6" s="3770">
        <f>'3. P PLAN'!M91</f>
        <v>817728.53185595584</v>
      </c>
      <c r="P6" s="3771">
        <f>'3. P PLAN'!N91</f>
        <v>817728.53185595584</v>
      </c>
      <c r="Q6" s="3772">
        <f>'3. P PLAN'!O91</f>
        <v>651523.54570637131</v>
      </c>
      <c r="R6" s="3770">
        <f>'3. P PLAN'!P91</f>
        <v>498614.95844875346</v>
      </c>
      <c r="S6" s="3771">
        <f>'3. P PLAN'!Q91</f>
        <v>332409.97229916905</v>
      </c>
      <c r="T6" s="3772">
        <f>'3. P PLAN'!R91</f>
        <v>221606.64819944598</v>
      </c>
      <c r="U6" s="3770">
        <f>'3. P PLAN'!S91</f>
        <v>166204.98614958453</v>
      </c>
      <c r="V6" s="3771">
        <f>'3. P PLAN'!T91</f>
        <v>132963.98891966761</v>
      </c>
      <c r="W6" s="3772">
        <f>'3. P PLAN'!U91</f>
        <v>132963.98891966761</v>
      </c>
      <c r="X6" s="3773">
        <f t="shared" si="1"/>
        <v>5974515.2354570655</v>
      </c>
    </row>
    <row r="7" spans="1:24" ht="18" customHeight="1">
      <c r="A7" s="5190"/>
      <c r="B7" s="5186"/>
      <c r="C7" s="1673"/>
      <c r="D7" s="61"/>
      <c r="E7" s="1673">
        <v>2</v>
      </c>
      <c r="F7" s="1673" t="s">
        <v>1214</v>
      </c>
      <c r="G7" s="1894">
        <v>2</v>
      </c>
      <c r="H7" s="2141">
        <v>100000</v>
      </c>
      <c r="I7" s="2127">
        <f>IFERROR(ROUNDUP(#REF!/$H7/$G7,0),0)</f>
        <v>0</v>
      </c>
      <c r="J7" s="3743">
        <v>19000</v>
      </c>
      <c r="K7" s="3769">
        <f t="shared" si="0"/>
        <v>2</v>
      </c>
      <c r="L7" s="3770">
        <f>'3. P PLAN'!J92</f>
        <v>110803.32409972299</v>
      </c>
      <c r="M7" s="3771">
        <f>'3. P PLAN'!K92</f>
        <v>110803.32409972299</v>
      </c>
      <c r="N7" s="3772">
        <f>'3. P PLAN'!L92</f>
        <v>110803.32409972299</v>
      </c>
      <c r="O7" s="3770">
        <f>'3. P PLAN'!M92</f>
        <v>0</v>
      </c>
      <c r="P7" s="3771">
        <f>'3. P PLAN'!N92</f>
        <v>0</v>
      </c>
      <c r="Q7" s="3772">
        <f>'3. P PLAN'!O92</f>
        <v>0</v>
      </c>
      <c r="R7" s="3770">
        <f>'3. P PLAN'!P92</f>
        <v>0</v>
      </c>
      <c r="S7" s="3771">
        <f>'3. P PLAN'!Q92</f>
        <v>0</v>
      </c>
      <c r="T7" s="3772">
        <f>'3. P PLAN'!R92</f>
        <v>0</v>
      </c>
      <c r="U7" s="3770">
        <f>'3. P PLAN'!S92</f>
        <v>0</v>
      </c>
      <c r="V7" s="3771">
        <f>'3. P PLAN'!T92</f>
        <v>0</v>
      </c>
      <c r="W7" s="3772">
        <f>'3. P PLAN'!U92</f>
        <v>0</v>
      </c>
      <c r="X7" s="3773">
        <f t="shared" si="1"/>
        <v>332409.97229916893</v>
      </c>
    </row>
    <row r="8" spans="1:24" ht="18" customHeight="1">
      <c r="A8" s="5190"/>
      <c r="B8" s="5186"/>
      <c r="C8" s="1673"/>
      <c r="D8" s="61"/>
      <c r="E8" s="1673">
        <v>3</v>
      </c>
      <c r="F8" s="1673" t="s">
        <v>1215</v>
      </c>
      <c r="G8" s="1894">
        <v>2</v>
      </c>
      <c r="H8" s="2141">
        <v>100000</v>
      </c>
      <c r="I8" s="2127">
        <f>IFERROR(ROUNDUP(#REF!/$H8/$G8,0),0)</f>
        <v>0</v>
      </c>
      <c r="J8" s="3743">
        <v>19000</v>
      </c>
      <c r="K8" s="3769">
        <f t="shared" si="0"/>
        <v>6</v>
      </c>
      <c r="L8" s="3770">
        <f>'3. P PLAN'!J93</f>
        <v>277008.31024930754</v>
      </c>
      <c r="M8" s="3771">
        <f>'3. P PLAN'!K93</f>
        <v>132963.98891966761</v>
      </c>
      <c r="N8" s="3772">
        <f>'3. P PLAN'!L93</f>
        <v>166204.98614958453</v>
      </c>
      <c r="O8" s="3770">
        <f>'3. P PLAN'!M93</f>
        <v>166204.98614958453</v>
      </c>
      <c r="P8" s="3771">
        <f>'3. P PLAN'!N93</f>
        <v>110803.32409972299</v>
      </c>
      <c r="Q8" s="3772">
        <f>'3. P PLAN'!O93</f>
        <v>110803.32409972299</v>
      </c>
      <c r="R8" s="3770">
        <f>'3. P PLAN'!P93</f>
        <v>55401.662049861494</v>
      </c>
      <c r="S8" s="3771">
        <f>'3. P PLAN'!Q93</f>
        <v>0</v>
      </c>
      <c r="T8" s="3772">
        <f>'3. P PLAN'!R93</f>
        <v>0</v>
      </c>
      <c r="U8" s="3770">
        <f>'3. P PLAN'!S93</f>
        <v>0</v>
      </c>
      <c r="V8" s="3771">
        <f>'3. P PLAN'!T93</f>
        <v>0</v>
      </c>
      <c r="W8" s="3772">
        <f>'3. P PLAN'!U93</f>
        <v>0</v>
      </c>
      <c r="X8" s="3773">
        <f t="shared" si="1"/>
        <v>1019390.5817174518</v>
      </c>
    </row>
    <row r="9" spans="1:24" ht="18" customHeight="1">
      <c r="A9" s="5190"/>
      <c r="B9" s="5186"/>
      <c r="C9" s="1673"/>
      <c r="D9" s="61"/>
      <c r="E9" s="1673">
        <v>4</v>
      </c>
      <c r="F9" s="1673" t="s">
        <v>1242</v>
      </c>
      <c r="G9" s="1894">
        <v>2</v>
      </c>
      <c r="H9" s="2141">
        <v>100000</v>
      </c>
      <c r="I9" s="2127">
        <f>IFERROR(ROUNDUP(#REF!/$H9/$G9,0),0)</f>
        <v>0</v>
      </c>
      <c r="J9" s="3743">
        <v>19000</v>
      </c>
      <c r="K9" s="3769">
        <f t="shared" si="0"/>
        <v>21</v>
      </c>
      <c r="L9" s="3770">
        <f>'3. P PLAN'!J94</f>
        <v>0</v>
      </c>
      <c r="M9" s="3771">
        <f>'3. P PLAN'!K94</f>
        <v>0</v>
      </c>
      <c r="N9" s="3772">
        <f>'3. P PLAN'!L94</f>
        <v>55401.662049861494</v>
      </c>
      <c r="O9" s="3770">
        <f>'3. P PLAN'!M94</f>
        <v>221606.64819944598</v>
      </c>
      <c r="P9" s="3771">
        <f>'3. P PLAN'!N94</f>
        <v>332409.97229916905</v>
      </c>
      <c r="Q9" s="3772">
        <f>'3. P PLAN'!O94</f>
        <v>609418.28254847659</v>
      </c>
      <c r="R9" s="3770">
        <f>'3. P PLAN'!P94</f>
        <v>609418.28254847659</v>
      </c>
      <c r="S9" s="3771">
        <f>'3. P PLAN'!Q94</f>
        <v>609418.28254847659</v>
      </c>
      <c r="T9" s="3772">
        <f>'3. P PLAN'!R94</f>
        <v>609418.28254847659</v>
      </c>
      <c r="U9" s="3770">
        <f>'3. P PLAN'!S94</f>
        <v>554016.62049861508</v>
      </c>
      <c r="V9" s="3771">
        <f>'3. P PLAN'!T94</f>
        <v>332409.97229916905</v>
      </c>
      <c r="W9" s="3772">
        <f>'3. P PLAN'!U94</f>
        <v>238227.14681440443</v>
      </c>
      <c r="X9" s="3773">
        <f t="shared" si="1"/>
        <v>4171745.1523545706</v>
      </c>
    </row>
    <row r="10" spans="1:24" ht="18" customHeight="1">
      <c r="A10" s="5190"/>
      <c r="B10" s="5186"/>
      <c r="C10" s="1673"/>
      <c r="D10" s="61"/>
      <c r="E10" s="1673">
        <v>5</v>
      </c>
      <c r="F10" s="1673" t="s">
        <v>1243</v>
      </c>
      <c r="G10" s="1894">
        <v>2</v>
      </c>
      <c r="H10" s="2141">
        <v>100000</v>
      </c>
      <c r="I10" s="2127">
        <f>IFERROR(ROUNDUP(#REF!/$H10/$G10,0),0)</f>
        <v>0</v>
      </c>
      <c r="J10" s="3743">
        <v>19000</v>
      </c>
      <c r="K10" s="3769">
        <f t="shared" si="0"/>
        <v>30</v>
      </c>
      <c r="L10" s="3770">
        <f>'3. P PLAN'!J95</f>
        <v>44321.329639889205</v>
      </c>
      <c r="M10" s="3771">
        <f>'3. P PLAN'!K95</f>
        <v>409972.29916897515</v>
      </c>
      <c r="N10" s="3772">
        <f>'3. P PLAN'!L95</f>
        <v>691412.74238227156</v>
      </c>
      <c r="O10" s="3770">
        <f>'3. P PLAN'!M95</f>
        <v>609418.28254847659</v>
      </c>
      <c r="P10" s="3771">
        <f>'3. P PLAN'!N95</f>
        <v>609418.28254847659</v>
      </c>
      <c r="Q10" s="3772">
        <f>'3. P PLAN'!O95</f>
        <v>609418.28254847659</v>
      </c>
      <c r="R10" s="3770">
        <f>'3. P PLAN'!P95</f>
        <v>609418.28254847659</v>
      </c>
      <c r="S10" s="3771">
        <f>'3. P PLAN'!Q95</f>
        <v>609418.28254847659</v>
      </c>
      <c r="T10" s="3772">
        <f>'3. P PLAN'!R95</f>
        <v>609418.28254847659</v>
      </c>
      <c r="U10" s="3770">
        <f>'3. P PLAN'!S95</f>
        <v>554016.62049861508</v>
      </c>
      <c r="V10" s="3771">
        <f>'3. P PLAN'!T95</f>
        <v>332409.97229916905</v>
      </c>
      <c r="W10" s="3772">
        <f>'3. P PLAN'!U95</f>
        <v>247091.41274238229</v>
      </c>
      <c r="X10" s="3773">
        <f t="shared" si="1"/>
        <v>5935734.0720221614</v>
      </c>
    </row>
    <row r="11" spans="1:24" ht="18" customHeight="1">
      <c r="A11" s="5190"/>
      <c r="B11" s="5186"/>
      <c r="C11" s="1673"/>
      <c r="D11" s="61"/>
      <c r="E11" s="1673">
        <v>6</v>
      </c>
      <c r="F11" s="1673" t="s">
        <v>1244</v>
      </c>
      <c r="G11" s="1894">
        <v>2</v>
      </c>
      <c r="H11" s="2141">
        <v>100000</v>
      </c>
      <c r="I11" s="2127">
        <f>IFERROR(ROUNDUP(#REF!/$H11/$G11,0),0)</f>
        <v>0</v>
      </c>
      <c r="J11" s="3743">
        <v>19000</v>
      </c>
      <c r="K11" s="3769">
        <f t="shared" si="0"/>
        <v>9</v>
      </c>
      <c r="L11" s="3770">
        <f>'3. P PLAN'!J96</f>
        <v>0</v>
      </c>
      <c r="M11" s="3771">
        <f>'3. P PLAN'!K96</f>
        <v>0</v>
      </c>
      <c r="N11" s="3772">
        <f>'3. P PLAN'!L96</f>
        <v>0</v>
      </c>
      <c r="O11" s="3770">
        <f>'3. P PLAN'!M96</f>
        <v>0</v>
      </c>
      <c r="P11" s="3771">
        <f>'3. P PLAN'!N96</f>
        <v>0</v>
      </c>
      <c r="Q11" s="3772">
        <f>'3. P PLAN'!O96</f>
        <v>0</v>
      </c>
      <c r="R11" s="3770">
        <f>'3. P PLAN'!P96</f>
        <v>0</v>
      </c>
      <c r="S11" s="3771">
        <f>'3. P PLAN'!Q96</f>
        <v>55401.662049861494</v>
      </c>
      <c r="T11" s="3772">
        <f>'3. P PLAN'!R96</f>
        <v>277008.31024930754</v>
      </c>
      <c r="U11" s="3770">
        <f>'3. P PLAN'!S96</f>
        <v>387811.63434903056</v>
      </c>
      <c r="V11" s="3771">
        <f>'3. P PLAN'!T96</f>
        <v>443213.29639889195</v>
      </c>
      <c r="W11" s="3772">
        <f>'3. P PLAN'!U96</f>
        <v>443213.29639889195</v>
      </c>
      <c r="X11" s="3773">
        <f t="shared" si="1"/>
        <v>1606648.1994459834</v>
      </c>
    </row>
    <row r="12" spans="1:24" ht="18" customHeight="1">
      <c r="A12" s="5190"/>
      <c r="B12" s="5186"/>
      <c r="C12" s="1733"/>
      <c r="D12" s="60"/>
      <c r="E12" s="60"/>
      <c r="F12" s="1733" t="s">
        <v>92</v>
      </c>
      <c r="G12" s="1888">
        <v>0</v>
      </c>
      <c r="H12" s="1733"/>
      <c r="I12" s="2197">
        <f>IFERROR(ROUNDUP(#REF!/$H12/$G12,0),0)</f>
        <v>0</v>
      </c>
      <c r="J12" s="3744"/>
      <c r="K12" s="3774">
        <f t="shared" si="0"/>
        <v>0</v>
      </c>
      <c r="L12" s="3775">
        <f>'3. P PLAN'!J97</f>
        <v>498614.95844875346</v>
      </c>
      <c r="M12" s="3776">
        <f>'3. P PLAN'!K97</f>
        <v>492731.30193905823</v>
      </c>
      <c r="N12" s="3777">
        <f>'3. P PLAN'!L97</f>
        <v>509695.29085872578</v>
      </c>
      <c r="O12" s="3775">
        <f>'3. P PLAN'!M97</f>
        <v>555023.8227146815</v>
      </c>
      <c r="P12" s="3776">
        <f>'3. P PLAN'!N97</f>
        <v>509695.29085872578</v>
      </c>
      <c r="Q12" s="3777">
        <f>'3. P PLAN'!O97</f>
        <v>587257.61772853194</v>
      </c>
      <c r="R12" s="3775">
        <f>'3. P PLAN'!P97</f>
        <v>587257.61772853194</v>
      </c>
      <c r="S12" s="3776">
        <f>'3. P PLAN'!Q97</f>
        <v>587257.61772853194</v>
      </c>
      <c r="T12" s="3777">
        <f>'3. P PLAN'!R97</f>
        <v>587257.61772853194</v>
      </c>
      <c r="U12" s="3775">
        <f>'3. P PLAN'!S97</f>
        <v>587257.61772853194</v>
      </c>
      <c r="V12" s="3776">
        <f>'3. P PLAN'!T97</f>
        <v>587257.61772853194</v>
      </c>
      <c r="W12" s="3777">
        <f>'3. P PLAN'!U97</f>
        <v>554016.62049861508</v>
      </c>
      <c r="X12" s="3778">
        <f t="shared" si="1"/>
        <v>6643322.9916897528</v>
      </c>
    </row>
    <row r="13" spans="1:24" ht="18" customHeight="1">
      <c r="A13" s="5190"/>
      <c r="B13" s="5186"/>
      <c r="C13" s="61" t="s">
        <v>24</v>
      </c>
      <c r="D13" s="61" t="s">
        <v>861</v>
      </c>
      <c r="E13" s="61">
        <v>7</v>
      </c>
      <c r="F13" s="1756" t="s">
        <v>863</v>
      </c>
      <c r="G13" s="1894">
        <v>1</v>
      </c>
      <c r="H13" s="1673">
        <v>100000</v>
      </c>
      <c r="I13" s="2198">
        <f>IFERROR(ROUNDUP(#REF!/$H13/$G13,0),0)</f>
        <v>0</v>
      </c>
      <c r="J13" s="3745">
        <v>19000</v>
      </c>
      <c r="K13" s="3779">
        <f t="shared" si="0"/>
        <v>5</v>
      </c>
      <c r="L13" s="3770">
        <f>'3. P PLAN'!J98</f>
        <v>34350.741719162776</v>
      </c>
      <c r="M13" s="3771">
        <f>'3. P PLAN'!K98</f>
        <v>33964.641333062391</v>
      </c>
      <c r="N13" s="3772">
        <f>'3. P PLAN'!L98</f>
        <v>36069.904490957124</v>
      </c>
      <c r="O13" s="3770">
        <f>'3. P PLAN'!M98</f>
        <v>56069.904490957124</v>
      </c>
      <c r="P13" s="3771">
        <f>'3. P PLAN'!N98</f>
        <v>42385.693964641338</v>
      </c>
      <c r="Q13" s="3772">
        <f>'3. P PLAN'!O98</f>
        <v>39017.272912009757</v>
      </c>
      <c r="R13" s="3770">
        <f>'3. P PLAN'!P98</f>
        <v>39017.272912009757</v>
      </c>
      <c r="S13" s="3771">
        <f>'3. P PLAN'!Q98</f>
        <v>28490.957122536074</v>
      </c>
      <c r="T13" s="3772">
        <f>'3. P PLAN'!R98</f>
        <v>28490.957122536074</v>
      </c>
      <c r="U13" s="3770">
        <f>'3. P PLAN'!S98</f>
        <v>39017.272912009757</v>
      </c>
      <c r="V13" s="3771">
        <f>'3. P PLAN'!T98</f>
        <v>23613.899613899615</v>
      </c>
      <c r="W13" s="3772">
        <f>'3. P PLAN'!U98</f>
        <v>23613.899613899615</v>
      </c>
      <c r="X13" s="3773">
        <f t="shared" si="1"/>
        <v>424102.41820768139</v>
      </c>
    </row>
    <row r="14" spans="1:24" ht="18" customHeight="1">
      <c r="A14" s="5190"/>
      <c r="B14" s="5186"/>
      <c r="C14" s="61"/>
      <c r="D14" s="61"/>
      <c r="E14" s="61">
        <v>8</v>
      </c>
      <c r="F14" s="15" t="s">
        <v>864</v>
      </c>
      <c r="G14" s="1894">
        <v>1</v>
      </c>
      <c r="H14" s="1673">
        <v>100000</v>
      </c>
      <c r="I14" s="2127">
        <f>IFERROR(ROUNDUP(#REF!/$H14/$G14,0),0)</f>
        <v>0</v>
      </c>
      <c r="J14" s="3743">
        <v>24000</v>
      </c>
      <c r="K14" s="3769">
        <f t="shared" si="0"/>
        <v>1</v>
      </c>
      <c r="L14" s="3780">
        <f>'3. P PLAN'!J99</f>
        <v>210.5263157894737</v>
      </c>
      <c r="M14" s="3781">
        <f>'3. P PLAN'!K99</f>
        <v>210.5263157894737</v>
      </c>
      <c r="N14" s="3782">
        <f>'3. P PLAN'!L99</f>
        <v>210.5263157894737</v>
      </c>
      <c r="O14" s="3780">
        <f>'3. P PLAN'!M99</f>
        <v>210.5263157894737</v>
      </c>
      <c r="P14" s="3781">
        <f>'3. P PLAN'!N99</f>
        <v>210.5263157894737</v>
      </c>
      <c r="Q14" s="3782">
        <f>'3. P PLAN'!O99</f>
        <v>210.5263157894737</v>
      </c>
      <c r="R14" s="3780">
        <f>'3. P PLAN'!P99</f>
        <v>263.15789473684208</v>
      </c>
      <c r="S14" s="3781">
        <f>'3. P PLAN'!Q99</f>
        <v>263.15789473684208</v>
      </c>
      <c r="T14" s="3782">
        <f>'3. P PLAN'!R99</f>
        <v>263.15789473684208</v>
      </c>
      <c r="U14" s="3783">
        <f>'3. P PLAN'!S99</f>
        <v>263.15789473684208</v>
      </c>
      <c r="V14" s="3781">
        <f>'3. P PLAN'!T99</f>
        <v>263.15789473684208</v>
      </c>
      <c r="W14" s="3784">
        <f>'3. P PLAN'!U99</f>
        <v>263.15789473684208</v>
      </c>
      <c r="X14" s="3785">
        <f t="shared" si="1"/>
        <v>2842.1052631578946</v>
      </c>
    </row>
    <row r="15" spans="1:24" ht="18" customHeight="1">
      <c r="A15" s="5190"/>
      <c r="B15" s="5186"/>
      <c r="C15" s="61"/>
      <c r="D15" s="61"/>
      <c r="E15" s="61"/>
      <c r="F15" s="15" t="s">
        <v>1194</v>
      </c>
      <c r="G15" s="1894">
        <v>1</v>
      </c>
      <c r="H15" s="1673">
        <v>100000</v>
      </c>
      <c r="I15" s="2127">
        <f>IFERROR(ROUNDUP(#REF!/$H15/$G15,0),0)</f>
        <v>0</v>
      </c>
      <c r="J15" s="3743">
        <v>24000</v>
      </c>
      <c r="K15" s="3769">
        <f t="shared" si="0"/>
        <v>0</v>
      </c>
      <c r="L15" s="3780">
        <f>'3. P PLAN'!J100</f>
        <v>0</v>
      </c>
      <c r="M15" s="3781">
        <f>'3. P PLAN'!K100</f>
        <v>0</v>
      </c>
      <c r="N15" s="3782">
        <f>'3. P PLAN'!L100</f>
        <v>0</v>
      </c>
      <c r="O15" s="3780">
        <f>'3. P PLAN'!M100</f>
        <v>0</v>
      </c>
      <c r="P15" s="3781">
        <f>'3. P PLAN'!N100</f>
        <v>0</v>
      </c>
      <c r="Q15" s="3782">
        <f>'3. P PLAN'!O100</f>
        <v>0</v>
      </c>
      <c r="R15" s="3780">
        <f>'3. P PLAN'!P100</f>
        <v>0</v>
      </c>
      <c r="S15" s="3781">
        <f>'3. P PLAN'!Q100</f>
        <v>0</v>
      </c>
      <c r="T15" s="3782">
        <f>'3. P PLAN'!R100</f>
        <v>0</v>
      </c>
      <c r="U15" s="3783">
        <f>'3. P PLAN'!S100</f>
        <v>0</v>
      </c>
      <c r="V15" s="3781">
        <f>'3. P PLAN'!T100</f>
        <v>0</v>
      </c>
      <c r="W15" s="3784">
        <f>'3. P PLAN'!U100</f>
        <v>0</v>
      </c>
      <c r="X15" s="3785">
        <f t="shared" si="1"/>
        <v>0</v>
      </c>
    </row>
    <row r="16" spans="1:24" ht="18" customHeight="1">
      <c r="A16" s="5190"/>
      <c r="B16" s="5186"/>
      <c r="C16" s="61"/>
      <c r="D16" s="61"/>
      <c r="E16" s="61">
        <v>9</v>
      </c>
      <c r="F16" s="15" t="s">
        <v>1067</v>
      </c>
      <c r="G16" s="1894">
        <v>1</v>
      </c>
      <c r="H16" s="1673">
        <v>100000</v>
      </c>
      <c r="I16" s="2127">
        <f>IFERROR(ROUNDUP(#REF!/$H16/$G16,0),0)</f>
        <v>0</v>
      </c>
      <c r="J16" s="3743">
        <v>24000</v>
      </c>
      <c r="K16" s="3769">
        <f t="shared" si="0"/>
        <v>1</v>
      </c>
      <c r="L16" s="3780">
        <f>'3. P PLAN'!J101</f>
        <v>1052.6315789473686</v>
      </c>
      <c r="M16" s="3781">
        <f>'3. P PLAN'!K101</f>
        <v>1578.9473684210527</v>
      </c>
      <c r="N16" s="3782">
        <f>'3. P PLAN'!L101</f>
        <v>1052.6315789473686</v>
      </c>
      <c r="O16" s="3780">
        <f>'3. P PLAN'!M101</f>
        <v>1052.6315789473686</v>
      </c>
      <c r="P16" s="3781">
        <f>'3. P PLAN'!N101</f>
        <v>1052.6315789473686</v>
      </c>
      <c r="Q16" s="3782">
        <f>'3. P PLAN'!O101</f>
        <v>1052.6315789473686</v>
      </c>
      <c r="R16" s="3780">
        <f>'3. P PLAN'!P101</f>
        <v>1052.6315789473686</v>
      </c>
      <c r="S16" s="3781">
        <f>'3. P PLAN'!Q101</f>
        <v>1052.6315789473686</v>
      </c>
      <c r="T16" s="3782">
        <f>'3. P PLAN'!R101</f>
        <v>1052.6315789473686</v>
      </c>
      <c r="U16" s="3783">
        <f>'3. P PLAN'!S101</f>
        <v>1052.6315789473686</v>
      </c>
      <c r="V16" s="3781">
        <f>'3. P PLAN'!T101</f>
        <v>1052.6315789473686</v>
      </c>
      <c r="W16" s="3784">
        <f>'3. P PLAN'!U101</f>
        <v>1052.6315789473686</v>
      </c>
      <c r="X16" s="3785">
        <f t="shared" si="1"/>
        <v>13157.894736842105</v>
      </c>
    </row>
    <row r="17" spans="1:24" ht="18" customHeight="1">
      <c r="A17" s="5190"/>
      <c r="B17" s="5186"/>
      <c r="C17" s="61"/>
      <c r="D17" s="61"/>
      <c r="E17" s="61">
        <v>10</v>
      </c>
      <c r="F17" s="15" t="s">
        <v>1068</v>
      </c>
      <c r="G17" s="1894">
        <v>1</v>
      </c>
      <c r="H17" s="1673">
        <v>100000</v>
      </c>
      <c r="I17" s="2127">
        <f>IFERROR(ROUNDUP(#REF!/$H17/$G17,0),0)</f>
        <v>0</v>
      </c>
      <c r="J17" s="3743">
        <v>24000</v>
      </c>
      <c r="K17" s="3769">
        <f t="shared" si="0"/>
        <v>1</v>
      </c>
      <c r="L17" s="3780">
        <f>'3. P PLAN'!J102</f>
        <v>526.31578947368428</v>
      </c>
      <c r="M17" s="3781">
        <f>'3. P PLAN'!K102</f>
        <v>0</v>
      </c>
      <c r="N17" s="3782">
        <f>'3. P PLAN'!L102</f>
        <v>526.31578947368428</v>
      </c>
      <c r="O17" s="3780">
        <f>'3. P PLAN'!M102</f>
        <v>0</v>
      </c>
      <c r="P17" s="3781">
        <f>'3. P PLAN'!N102</f>
        <v>526.31578947368428</v>
      </c>
      <c r="Q17" s="3782">
        <f>'3. P PLAN'!O102</f>
        <v>0</v>
      </c>
      <c r="R17" s="3780">
        <f>'3. P PLAN'!P102</f>
        <v>526.31578947368428</v>
      </c>
      <c r="S17" s="3781">
        <f>'3. P PLAN'!Q102</f>
        <v>0</v>
      </c>
      <c r="T17" s="3782">
        <f>'3. P PLAN'!R102</f>
        <v>526.31578947368428</v>
      </c>
      <c r="U17" s="3783">
        <f>'3. P PLAN'!S102</f>
        <v>0</v>
      </c>
      <c r="V17" s="3781">
        <f>'3. P PLAN'!T102</f>
        <v>526.31578947368428</v>
      </c>
      <c r="W17" s="3784">
        <f>'3. P PLAN'!U102</f>
        <v>0</v>
      </c>
      <c r="X17" s="3785">
        <f t="shared" si="1"/>
        <v>3157.8947368421054</v>
      </c>
    </row>
    <row r="18" spans="1:24" ht="18" customHeight="1">
      <c r="A18" s="5190"/>
      <c r="B18" s="5186"/>
      <c r="C18" s="1673"/>
      <c r="D18" s="1673"/>
      <c r="E18" s="1673"/>
      <c r="F18" s="1733" t="s">
        <v>397</v>
      </c>
      <c r="G18" s="1894">
        <v>1</v>
      </c>
      <c r="H18" s="1673">
        <v>100000</v>
      </c>
      <c r="I18" s="2127">
        <f>IFERROR(ROUNDUP(#REF!/$H18/$G18,0),0)</f>
        <v>0</v>
      </c>
      <c r="J18" s="3743">
        <v>24000</v>
      </c>
      <c r="K18" s="3769">
        <f t="shared" si="0"/>
        <v>1</v>
      </c>
      <c r="L18" s="3770">
        <f>'3. P PLAN'!J103</f>
        <v>3684.2105263157896</v>
      </c>
      <c r="M18" s="3771">
        <f>'3. P PLAN'!K103</f>
        <v>3684.2105263157896</v>
      </c>
      <c r="N18" s="3772">
        <f>'3. P PLAN'!L103</f>
        <v>4736.8421052631584</v>
      </c>
      <c r="O18" s="3770">
        <f>'3. P PLAN'!M103</f>
        <v>4736.8421052631584</v>
      </c>
      <c r="P18" s="3771">
        <f>'3. P PLAN'!N103</f>
        <v>3157.8947368421054</v>
      </c>
      <c r="Q18" s="3772">
        <f>'3. P PLAN'!O103</f>
        <v>3157.8947368421054</v>
      </c>
      <c r="R18" s="3770">
        <f>'3. P PLAN'!P103</f>
        <v>2631.5789473684213</v>
      </c>
      <c r="S18" s="3771">
        <f>'3. P PLAN'!Q103</f>
        <v>2631.5789473684213</v>
      </c>
      <c r="T18" s="3772">
        <f>'3. P PLAN'!R103</f>
        <v>2631.5789473684213</v>
      </c>
      <c r="U18" s="3770">
        <f>'3. P PLAN'!S103</f>
        <v>6315.7894736842109</v>
      </c>
      <c r="V18" s="3771">
        <f>'3. P PLAN'!T103</f>
        <v>6315.7894736842109</v>
      </c>
      <c r="W18" s="3772">
        <f>'3. P PLAN'!U103</f>
        <v>4210.5263157894733</v>
      </c>
      <c r="X18" s="3773">
        <f t="shared" si="1"/>
        <v>47894.736842105267</v>
      </c>
    </row>
    <row r="19" spans="1:24" ht="18" customHeight="1">
      <c r="A19" s="5244"/>
      <c r="B19" s="5247"/>
      <c r="C19" s="5302" t="s">
        <v>44</v>
      </c>
      <c r="D19" s="5302"/>
      <c r="E19" s="5302"/>
      <c r="F19" s="5302"/>
      <c r="G19" s="2201"/>
      <c r="H19" s="2201"/>
      <c r="I19" s="2201"/>
      <c r="J19" s="3746"/>
      <c r="K19" s="3786">
        <f t="shared" si="0"/>
        <v>0</v>
      </c>
      <c r="L19" s="3787">
        <f t="shared" ref="L19:X19" si="2">SUM(L5:L18)</f>
        <v>1735115.2846554513</v>
      </c>
      <c r="M19" s="3788">
        <f t="shared" si="2"/>
        <v>1795327.5222194891</v>
      </c>
      <c r="N19" s="3789">
        <f t="shared" si="2"/>
        <v>2404923.0900865253</v>
      </c>
      <c r="O19" s="3787">
        <f t="shared" si="2"/>
        <v>2432052.1759591023</v>
      </c>
      <c r="P19" s="3788">
        <f t="shared" si="2"/>
        <v>2427388.4640477444</v>
      </c>
      <c r="Q19" s="3789">
        <f t="shared" si="2"/>
        <v>2611859.3781751683</v>
      </c>
      <c r="R19" s="3787">
        <f t="shared" si="2"/>
        <v>2403601.760446636</v>
      </c>
      <c r="S19" s="3788">
        <f t="shared" si="2"/>
        <v>2226344.1427181042</v>
      </c>
      <c r="T19" s="3789">
        <f t="shared" si="2"/>
        <v>2337673.7826073007</v>
      </c>
      <c r="U19" s="3787">
        <f t="shared" si="2"/>
        <v>2295956.3310837545</v>
      </c>
      <c r="V19" s="3788">
        <f t="shared" si="2"/>
        <v>1860026.6419961713</v>
      </c>
      <c r="W19" s="3789">
        <f t="shared" si="2"/>
        <v>1644652.6807773348</v>
      </c>
      <c r="X19" s="3790">
        <f t="shared" si="2"/>
        <v>26174921.254772782</v>
      </c>
    </row>
    <row r="20" spans="1:24" ht="18" customHeight="1">
      <c r="A20" s="5251">
        <v>2</v>
      </c>
      <c r="B20" s="5254" t="s">
        <v>23</v>
      </c>
      <c r="C20" s="3734" t="s">
        <v>20</v>
      </c>
      <c r="D20" s="1592" t="s">
        <v>865</v>
      </c>
      <c r="E20" s="1756">
        <v>11</v>
      </c>
      <c r="F20" s="1592" t="s">
        <v>866</v>
      </c>
      <c r="G20" s="2202">
        <f>IFERROR(VLOOKUP(E20,B.BasicInfomation!$A$10:$O$127,14,0),"")</f>
        <v>2</v>
      </c>
      <c r="H20" s="2202">
        <v>120000</v>
      </c>
      <c r="I20" s="2198">
        <f>IFERROR(ROUNDUP(#REF!/$H20/$G20,0),0)</f>
        <v>0</v>
      </c>
      <c r="J20" s="3745">
        <v>19000</v>
      </c>
      <c r="K20" s="3779">
        <f t="shared" si="0"/>
        <v>1</v>
      </c>
      <c r="L20" s="3791">
        <f>'3. P PLAN'!J105</f>
        <v>47115.26724784547</v>
      </c>
      <c r="M20" s="3792">
        <f>'3. P PLAN'!K105</f>
        <v>33265.797158114925</v>
      </c>
      <c r="N20" s="3793">
        <f>'3. P PLAN'!L105</f>
        <v>57946.87246897439</v>
      </c>
      <c r="O20" s="3791">
        <f>'3. P PLAN'!M105</f>
        <v>37260.077462046283</v>
      </c>
      <c r="P20" s="3792">
        <f>'3. P PLAN'!N105</f>
        <v>0</v>
      </c>
      <c r="Q20" s="3793">
        <f>'3. P PLAN'!O105</f>
        <v>0</v>
      </c>
      <c r="R20" s="3791">
        <f>'3. P PLAN'!P105</f>
        <v>0</v>
      </c>
      <c r="S20" s="3792">
        <f>'3. P PLAN'!Q105</f>
        <v>0</v>
      </c>
      <c r="T20" s="3793">
        <f>'3. P PLAN'!R105</f>
        <v>0</v>
      </c>
      <c r="U20" s="3791">
        <f>'3. P PLAN'!S105</f>
        <v>0</v>
      </c>
      <c r="V20" s="3792">
        <f>'3. P PLAN'!T105</f>
        <v>0</v>
      </c>
      <c r="W20" s="3793">
        <f>'3. P PLAN'!U105</f>
        <v>0</v>
      </c>
      <c r="X20" s="3794">
        <f t="shared" ref="X20:X79" si="3">SUM(L20:W20)</f>
        <v>175588.01433698108</v>
      </c>
    </row>
    <row r="21" spans="1:24" ht="18" customHeight="1">
      <c r="A21" s="5190"/>
      <c r="B21" s="5186"/>
      <c r="C21" s="1673"/>
      <c r="D21" s="15"/>
      <c r="E21" s="1673">
        <v>12</v>
      </c>
      <c r="F21" s="15" t="s">
        <v>867</v>
      </c>
      <c r="G21" s="2205">
        <f>IFERROR(VLOOKUP(E21,B.BasicInfomation!$A$10:$O$127,14,0),"")</f>
        <v>2</v>
      </c>
      <c r="H21" s="2205">
        <v>120000</v>
      </c>
      <c r="I21" s="2206">
        <f>IFERROR(ROUNDUP(#REF!/$H21/$G21,0),0)</f>
        <v>0</v>
      </c>
      <c r="J21" s="3743">
        <v>24000</v>
      </c>
      <c r="K21" s="3795">
        <f t="shared" si="0"/>
        <v>0</v>
      </c>
      <c r="L21" s="3780">
        <f>'3. P PLAN'!J106</f>
        <v>0</v>
      </c>
      <c r="M21" s="3781">
        <f>'3. P PLAN'!K106</f>
        <v>0</v>
      </c>
      <c r="N21" s="3782">
        <f>'3. P PLAN'!L106</f>
        <v>0</v>
      </c>
      <c r="O21" s="3780">
        <f>'3. P PLAN'!M106</f>
        <v>0</v>
      </c>
      <c r="P21" s="3781">
        <f>'3. P PLAN'!N106</f>
        <v>0</v>
      </c>
      <c r="Q21" s="3782">
        <f>'3. P PLAN'!O106</f>
        <v>0</v>
      </c>
      <c r="R21" s="3780">
        <f>'3. P PLAN'!P106</f>
        <v>0</v>
      </c>
      <c r="S21" s="3781">
        <f>'3. P PLAN'!Q106</f>
        <v>0</v>
      </c>
      <c r="T21" s="3782">
        <f>'3. P PLAN'!R106</f>
        <v>0</v>
      </c>
      <c r="U21" s="3783">
        <f>'3. P PLAN'!S106</f>
        <v>0</v>
      </c>
      <c r="V21" s="3781">
        <f>'3. P PLAN'!T106</f>
        <v>0</v>
      </c>
      <c r="W21" s="3784">
        <f>'3. P PLAN'!U106</f>
        <v>0</v>
      </c>
      <c r="X21" s="3785">
        <f t="shared" si="3"/>
        <v>0</v>
      </c>
    </row>
    <row r="22" spans="1:24" ht="18" customHeight="1">
      <c r="A22" s="5190"/>
      <c r="B22" s="5186"/>
      <c r="C22" s="1673"/>
      <c r="D22" s="15"/>
      <c r="E22" s="1673"/>
      <c r="F22" s="15" t="s">
        <v>868</v>
      </c>
      <c r="G22" s="2205">
        <f>IFERROR(VLOOKUP(E22,B.BasicInfomation!$A$10:$O$127,14,0),"")</f>
        <v>2</v>
      </c>
      <c r="H22" s="2205">
        <v>120000</v>
      </c>
      <c r="I22" s="2206">
        <f>IFERROR(ROUNDUP(#REF!/$H22/$G22,0),0)</f>
        <v>0</v>
      </c>
      <c r="J22" s="3743">
        <v>24000</v>
      </c>
      <c r="K22" s="3795">
        <f t="shared" si="0"/>
        <v>0</v>
      </c>
      <c r="L22" s="3780">
        <f>'3. P PLAN'!J107</f>
        <v>0</v>
      </c>
      <c r="M22" s="3781">
        <f>'3. P PLAN'!K107</f>
        <v>0</v>
      </c>
      <c r="N22" s="3782">
        <f>'3. P PLAN'!L107</f>
        <v>0</v>
      </c>
      <c r="O22" s="3780">
        <f>'3. P PLAN'!M107</f>
        <v>0</v>
      </c>
      <c r="P22" s="3781">
        <f>'3. P PLAN'!N107</f>
        <v>0</v>
      </c>
      <c r="Q22" s="3782">
        <f>'3. P PLAN'!O107</f>
        <v>0</v>
      </c>
      <c r="R22" s="3780">
        <f>'3. P PLAN'!P107</f>
        <v>0</v>
      </c>
      <c r="S22" s="3781">
        <f>'3. P PLAN'!Q107</f>
        <v>0</v>
      </c>
      <c r="T22" s="3782">
        <f>'3. P PLAN'!R107</f>
        <v>0</v>
      </c>
      <c r="U22" s="3783">
        <f>'3. P PLAN'!S107</f>
        <v>0</v>
      </c>
      <c r="V22" s="3781">
        <f>'3. P PLAN'!T107</f>
        <v>0</v>
      </c>
      <c r="W22" s="3784">
        <f>'3. P PLAN'!U107</f>
        <v>0</v>
      </c>
      <c r="X22" s="3785">
        <f t="shared" si="3"/>
        <v>0</v>
      </c>
    </row>
    <row r="23" spans="1:24" ht="18" customHeight="1">
      <c r="A23" s="5190"/>
      <c r="B23" s="5186"/>
      <c r="C23" s="1673"/>
      <c r="D23" s="15"/>
      <c r="E23" s="1673"/>
      <c r="F23" s="15" t="s">
        <v>1195</v>
      </c>
      <c r="G23" s="2205">
        <f>IFERROR(VLOOKUP(E23,B.BasicInfomation!$A$10:$O$127,14,0),"")</f>
        <v>2</v>
      </c>
      <c r="H23" s="2205">
        <v>120000</v>
      </c>
      <c r="I23" s="2206">
        <f>IFERROR(ROUNDUP(#REF!/$H23/$G23,0),0)</f>
        <v>0</v>
      </c>
      <c r="J23" s="3743">
        <v>24000</v>
      </c>
      <c r="K23" s="3795">
        <f t="shared" si="0"/>
        <v>0</v>
      </c>
      <c r="L23" s="3780">
        <f>'3. P PLAN'!J108</f>
        <v>0</v>
      </c>
      <c r="M23" s="3781">
        <f>'3. P PLAN'!K108</f>
        <v>0</v>
      </c>
      <c r="N23" s="3782">
        <f>'3. P PLAN'!L108</f>
        <v>0</v>
      </c>
      <c r="O23" s="3780">
        <f>'3. P PLAN'!M108</f>
        <v>0</v>
      </c>
      <c r="P23" s="3781">
        <f>'3. P PLAN'!N108</f>
        <v>0</v>
      </c>
      <c r="Q23" s="3782">
        <f>'3. P PLAN'!O108</f>
        <v>0</v>
      </c>
      <c r="R23" s="3780">
        <f>'3. P PLAN'!P108</f>
        <v>0</v>
      </c>
      <c r="S23" s="3781">
        <f>'3. P PLAN'!Q108</f>
        <v>0</v>
      </c>
      <c r="T23" s="3782">
        <f>'3. P PLAN'!R108</f>
        <v>0</v>
      </c>
      <c r="U23" s="3783">
        <f>'3. P PLAN'!S108</f>
        <v>0</v>
      </c>
      <c r="V23" s="3781">
        <f>'3. P PLAN'!T108</f>
        <v>0</v>
      </c>
      <c r="W23" s="3784">
        <f>'3. P PLAN'!U108</f>
        <v>0</v>
      </c>
      <c r="X23" s="3785">
        <f t="shared" si="3"/>
        <v>0</v>
      </c>
    </row>
    <row r="24" spans="1:24" ht="18" customHeight="1">
      <c r="A24" s="5190"/>
      <c r="B24" s="5186"/>
      <c r="C24" s="1673"/>
      <c r="D24" s="15"/>
      <c r="E24" s="1673"/>
      <c r="F24" s="15" t="s">
        <v>870</v>
      </c>
      <c r="G24" s="2205">
        <f>IFERROR(VLOOKUP(E24,B.BasicInfomation!$A$10:$O$127,14,0),"")</f>
        <v>2</v>
      </c>
      <c r="H24" s="2205">
        <v>120000</v>
      </c>
      <c r="I24" s="2206">
        <f>IFERROR(ROUNDUP(#REF!/$H24/$G24,0),0)</f>
        <v>0</v>
      </c>
      <c r="J24" s="3743">
        <v>24000</v>
      </c>
      <c r="K24" s="3795">
        <f t="shared" si="0"/>
        <v>0</v>
      </c>
      <c r="L24" s="3780">
        <f>'3. P PLAN'!J109</f>
        <v>0</v>
      </c>
      <c r="M24" s="3781">
        <f>'3. P PLAN'!K109</f>
        <v>0</v>
      </c>
      <c r="N24" s="3782">
        <f>'3. P PLAN'!L109</f>
        <v>0</v>
      </c>
      <c r="O24" s="3780">
        <f>'3. P PLAN'!M109</f>
        <v>0</v>
      </c>
      <c r="P24" s="3781">
        <f>'3. P PLAN'!N109</f>
        <v>0</v>
      </c>
      <c r="Q24" s="3782">
        <f>'3. P PLAN'!O109</f>
        <v>0</v>
      </c>
      <c r="R24" s="3780">
        <f>'3. P PLAN'!P109</f>
        <v>0</v>
      </c>
      <c r="S24" s="3781">
        <f>'3. P PLAN'!Q109</f>
        <v>0</v>
      </c>
      <c r="T24" s="3782">
        <f>'3. P PLAN'!R109</f>
        <v>0</v>
      </c>
      <c r="U24" s="3783">
        <f>'3. P PLAN'!S109</f>
        <v>0</v>
      </c>
      <c r="V24" s="3781">
        <f>'3. P PLAN'!T109</f>
        <v>0</v>
      </c>
      <c r="W24" s="3784">
        <f>'3. P PLAN'!U109</f>
        <v>0</v>
      </c>
      <c r="X24" s="3785">
        <f t="shared" si="3"/>
        <v>0</v>
      </c>
    </row>
    <row r="25" spans="1:24" s="1579" customFormat="1" ht="18" customHeight="1">
      <c r="A25" s="5190"/>
      <c r="B25" s="5186"/>
      <c r="C25" s="1673"/>
      <c r="D25" s="15"/>
      <c r="E25" s="1673">
        <v>13</v>
      </c>
      <c r="F25" s="15" t="s">
        <v>871</v>
      </c>
      <c r="G25" s="2205">
        <f>IFERROR(VLOOKUP(E25,B.BasicInfomation!$A$10:$O$127,14,0),"")</f>
        <v>1</v>
      </c>
      <c r="H25" s="2205">
        <v>120000</v>
      </c>
      <c r="I25" s="2206">
        <f>IFERROR(ROUNDUP(#REF!/$H25/$G25,0),0)</f>
        <v>0</v>
      </c>
      <c r="J25" s="3743">
        <v>18000</v>
      </c>
      <c r="K25" s="3795">
        <f t="shared" si="0"/>
        <v>4</v>
      </c>
      <c r="L25" s="3780">
        <f>'3. P PLAN'!J110</f>
        <v>24115.858360294053</v>
      </c>
      <c r="M25" s="3781">
        <f>'3. P PLAN'!K110</f>
        <v>42202.752130514593</v>
      </c>
      <c r="N25" s="3782">
        <f>'3. P PLAN'!L110</f>
        <v>26795.398178104504</v>
      </c>
      <c r="O25" s="3780">
        <f>'3. P PLAN'!M110</f>
        <v>42202.752130514593</v>
      </c>
      <c r="P25" s="3781">
        <f>'3. P PLAN'!N110</f>
        <v>42202.752130514593</v>
      </c>
      <c r="Q25" s="3782">
        <f>'3. P PLAN'!O110</f>
        <v>33494.247722630636</v>
      </c>
      <c r="R25" s="3780">
        <f>'3. P PLAN'!P110</f>
        <v>33494.247722630636</v>
      </c>
      <c r="S25" s="3781">
        <f>'3. P PLAN'!Q110</f>
        <v>33494.247722630636</v>
      </c>
      <c r="T25" s="3782">
        <f>'3. P PLAN'!R110</f>
        <v>33494.247722630636</v>
      </c>
      <c r="U25" s="3783">
        <f>'3. P PLAN'!S110</f>
        <v>33494.247722630636</v>
      </c>
      <c r="V25" s="3781">
        <f>'3. P PLAN'!T110</f>
        <v>33494.247722630636</v>
      </c>
      <c r="W25" s="3784">
        <f>'3. P PLAN'!U110</f>
        <v>33494.247722630636</v>
      </c>
      <c r="X25" s="3785">
        <f t="shared" si="3"/>
        <v>411979.2469883567</v>
      </c>
    </row>
    <row r="26" spans="1:24" s="1579" customFormat="1" ht="18" customHeight="1">
      <c r="A26" s="5190"/>
      <c r="B26" s="5186"/>
      <c r="C26" s="1673"/>
      <c r="D26" s="15"/>
      <c r="E26" s="1673">
        <v>14</v>
      </c>
      <c r="F26" s="15" t="s">
        <v>872</v>
      </c>
      <c r="G26" s="2205">
        <f>IFERROR(VLOOKUP(E26,B.BasicInfomation!$A$10:$O$127,14,0),"")</f>
        <v>1</v>
      </c>
      <c r="H26" s="2205">
        <v>120000</v>
      </c>
      <c r="I26" s="2206">
        <f>IFERROR(ROUNDUP(#REF!/$H26/$G26,0),0)</f>
        <v>0</v>
      </c>
      <c r="J26" s="3743">
        <v>18000</v>
      </c>
      <c r="K26" s="3795">
        <f t="shared" si="0"/>
        <v>3</v>
      </c>
      <c r="L26" s="3780">
        <f>'3. P PLAN'!J112</f>
        <v>26708.677323372267</v>
      </c>
      <c r="M26" s="3781">
        <f>'3. P PLAN'!K112</f>
        <v>21888.086782080685</v>
      </c>
      <c r="N26" s="3782">
        <f>'3. P PLAN'!L112</f>
        <v>18891.503472629167</v>
      </c>
      <c r="O26" s="3780">
        <f>'3. P PLAN'!M112</f>
        <v>19542.934626857754</v>
      </c>
      <c r="P26" s="3781">
        <f>'3. P PLAN'!N112</f>
        <v>21888.086782080685</v>
      </c>
      <c r="Q26" s="3782">
        <f>'3. P PLAN'!O112</f>
        <v>20051.050927156059</v>
      </c>
      <c r="R26" s="3780">
        <f>'3. P PLAN'!P112</f>
        <v>20051.050927156059</v>
      </c>
      <c r="S26" s="3781">
        <f>'3. P PLAN'!Q112</f>
        <v>20051.050927156059</v>
      </c>
      <c r="T26" s="3782">
        <f>'3. P PLAN'!R112</f>
        <v>20051.050927156059</v>
      </c>
      <c r="U26" s="3783">
        <f>'3. P PLAN'!S112</f>
        <v>20051.050927156059</v>
      </c>
      <c r="V26" s="3781">
        <f>'3. P PLAN'!T112</f>
        <v>20051.050927156059</v>
      </c>
      <c r="W26" s="3784">
        <f>'3. P PLAN'!U112</f>
        <v>20051.050927156059</v>
      </c>
      <c r="X26" s="3785">
        <f t="shared" si="3"/>
        <v>249276.64547711296</v>
      </c>
    </row>
    <row r="27" spans="1:24" s="1579" customFormat="1" ht="18" customHeight="1">
      <c r="A27" s="5190"/>
      <c r="B27" s="5186"/>
      <c r="C27" s="1673"/>
      <c r="D27" s="15"/>
      <c r="E27" s="1673"/>
      <c r="F27" s="15" t="s">
        <v>692</v>
      </c>
      <c r="G27" s="2205">
        <f>IFERROR(VLOOKUP(E27,B.BasicInfomation!$A$10:$O$127,14,0),"")</f>
        <v>2</v>
      </c>
      <c r="H27" s="2205">
        <v>120000</v>
      </c>
      <c r="I27" s="2206">
        <f>IFERROR(ROUNDUP(#REF!/$H27/$G27,0),0)</f>
        <v>0</v>
      </c>
      <c r="J27" s="3743">
        <v>18000</v>
      </c>
      <c r="K27" s="3795">
        <f t="shared" si="0"/>
        <v>0</v>
      </c>
      <c r="L27" s="3780">
        <f>'3. P PLAN'!J114</f>
        <v>0</v>
      </c>
      <c r="M27" s="3781">
        <f>'3. P PLAN'!K114</f>
        <v>0</v>
      </c>
      <c r="N27" s="3782">
        <f>'3. P PLAN'!L114</f>
        <v>0</v>
      </c>
      <c r="O27" s="3780">
        <f>'3. P PLAN'!M114</f>
        <v>0</v>
      </c>
      <c r="P27" s="3781">
        <f>'3. P PLAN'!N114</f>
        <v>0</v>
      </c>
      <c r="Q27" s="3782">
        <f>'3. P PLAN'!O114</f>
        <v>0</v>
      </c>
      <c r="R27" s="3780">
        <f>'3. P PLAN'!P114</f>
        <v>0</v>
      </c>
      <c r="S27" s="3781">
        <f>'3. P PLAN'!Q114</f>
        <v>0</v>
      </c>
      <c r="T27" s="3782">
        <f>'3. P PLAN'!R114</f>
        <v>0</v>
      </c>
      <c r="U27" s="3783">
        <f>'3. P PLAN'!S114</f>
        <v>0</v>
      </c>
      <c r="V27" s="3781">
        <f>'3. P PLAN'!T114</f>
        <v>0</v>
      </c>
      <c r="W27" s="3784">
        <f>'3. P PLAN'!U114</f>
        <v>0</v>
      </c>
      <c r="X27" s="3785">
        <f t="shared" si="3"/>
        <v>0</v>
      </c>
    </row>
    <row r="28" spans="1:24" ht="18" customHeight="1">
      <c r="A28" s="5190"/>
      <c r="B28" s="5186"/>
      <c r="C28" s="1673"/>
      <c r="D28" s="15"/>
      <c r="E28" s="1673">
        <v>15</v>
      </c>
      <c r="F28" s="15" t="s">
        <v>1310</v>
      </c>
      <c r="G28" s="2205">
        <f>IFERROR(VLOOKUP(E28,B.BasicInfomation!$A$10:$O$127,14,0),"")</f>
        <v>1</v>
      </c>
      <c r="H28" s="2205">
        <v>120000</v>
      </c>
      <c r="I28" s="2206">
        <f>IFERROR(ROUNDUP(#REF!/$H28/$G28,0),0)</f>
        <v>0</v>
      </c>
      <c r="J28" s="3743">
        <v>16900</v>
      </c>
      <c r="K28" s="3795">
        <f t="shared" si="0"/>
        <v>0</v>
      </c>
      <c r="L28" s="3780">
        <f>'3. P PLAN'!J115</f>
        <v>0</v>
      </c>
      <c r="M28" s="3781">
        <f>'3. P PLAN'!K115</f>
        <v>0</v>
      </c>
      <c r="N28" s="3782">
        <f>'3. P PLAN'!L115</f>
        <v>0</v>
      </c>
      <c r="O28" s="3780">
        <f>'3. P PLAN'!M115</f>
        <v>0</v>
      </c>
      <c r="P28" s="3781">
        <f>'3. P PLAN'!N115</f>
        <v>0</v>
      </c>
      <c r="Q28" s="3782">
        <f>'3. P PLAN'!O115</f>
        <v>0</v>
      </c>
      <c r="R28" s="3780">
        <f>'3. P PLAN'!P115</f>
        <v>0</v>
      </c>
      <c r="S28" s="3781">
        <f>'3. P PLAN'!Q115</f>
        <v>0</v>
      </c>
      <c r="T28" s="3782">
        <f>'3. P PLAN'!R115</f>
        <v>0</v>
      </c>
      <c r="U28" s="3783">
        <f>'3. P PLAN'!S115</f>
        <v>0</v>
      </c>
      <c r="V28" s="3781">
        <f>'3. P PLAN'!T115</f>
        <v>0</v>
      </c>
      <c r="W28" s="3784">
        <f>'3. P PLAN'!U115</f>
        <v>0</v>
      </c>
      <c r="X28" s="3785">
        <f t="shared" si="3"/>
        <v>0</v>
      </c>
    </row>
    <row r="29" spans="1:24" ht="18" customHeight="1">
      <c r="A29" s="5190"/>
      <c r="B29" s="5186"/>
      <c r="C29" s="1673"/>
      <c r="D29" s="15" t="s">
        <v>874</v>
      </c>
      <c r="E29" s="1673"/>
      <c r="F29" s="15" t="s">
        <v>875</v>
      </c>
      <c r="G29" s="2205">
        <f>IFERROR(VLOOKUP(E29,B.BasicInfomation!$A$10:$O$127,14,0),"")</f>
        <v>2</v>
      </c>
      <c r="H29" s="2205">
        <v>120000</v>
      </c>
      <c r="I29" s="2206">
        <f>IFERROR(ROUNDUP(#REF!/$H29/$G29,0),0)</f>
        <v>0</v>
      </c>
      <c r="J29" s="3743">
        <v>20000</v>
      </c>
      <c r="K29" s="3795">
        <f t="shared" si="0"/>
        <v>1</v>
      </c>
      <c r="L29" s="3780">
        <f>'3. P PLAN'!J116</f>
        <v>4975.4755397324907</v>
      </c>
      <c r="M29" s="3781">
        <f>'3. P PLAN'!K116</f>
        <v>6269.099180062939</v>
      </c>
      <c r="N29" s="3782">
        <f>'3. P PLAN'!L116</f>
        <v>6219.3444246656136</v>
      </c>
      <c r="O29" s="3780">
        <f>'3. P PLAN'!M116</f>
        <v>0</v>
      </c>
      <c r="P29" s="3781">
        <f>'3. P PLAN'!N116</f>
        <v>0</v>
      </c>
      <c r="Q29" s="3782">
        <f>'3. P PLAN'!O116</f>
        <v>0</v>
      </c>
      <c r="R29" s="3780">
        <f>'3. P PLAN'!P116</f>
        <v>0</v>
      </c>
      <c r="S29" s="3781">
        <f>'3. P PLAN'!Q116</f>
        <v>0</v>
      </c>
      <c r="T29" s="3782">
        <f>'3. P PLAN'!R116</f>
        <v>0</v>
      </c>
      <c r="U29" s="3783">
        <f>'3. P PLAN'!S116</f>
        <v>0</v>
      </c>
      <c r="V29" s="3781">
        <f>'3. P PLAN'!T116</f>
        <v>0</v>
      </c>
      <c r="W29" s="3784">
        <f>'3. P PLAN'!U116</f>
        <v>0</v>
      </c>
      <c r="X29" s="3785">
        <f t="shared" si="3"/>
        <v>17463.919144461044</v>
      </c>
    </row>
    <row r="30" spans="1:24" ht="18" customHeight="1">
      <c r="A30" s="5190"/>
      <c r="B30" s="5186"/>
      <c r="C30" s="1673"/>
      <c r="D30" s="15"/>
      <c r="E30" s="1673"/>
      <c r="F30" s="15" t="s">
        <v>876</v>
      </c>
      <c r="G30" s="2205">
        <f>IFERROR(VLOOKUP(E30,B.BasicInfomation!$A$10:$O$127,14,0),"")</f>
        <v>2</v>
      </c>
      <c r="H30" s="2205">
        <v>120000</v>
      </c>
      <c r="I30" s="2206">
        <f>IFERROR(ROUNDUP(#REF!/$H30/$G30,0),0)</f>
        <v>0</v>
      </c>
      <c r="J30" s="3743">
        <v>20000</v>
      </c>
      <c r="K30" s="3795">
        <f t="shared" si="0"/>
        <v>0</v>
      </c>
      <c r="L30" s="3780">
        <f>'3. P PLAN'!J117</f>
        <v>0</v>
      </c>
      <c r="M30" s="3781">
        <f>'3. P PLAN'!K117</f>
        <v>0</v>
      </c>
      <c r="N30" s="3782">
        <f>'3. P PLAN'!L117</f>
        <v>0</v>
      </c>
      <c r="O30" s="3780">
        <f>'3. P PLAN'!M117</f>
        <v>0</v>
      </c>
      <c r="P30" s="3781">
        <f>'3. P PLAN'!N117</f>
        <v>0</v>
      </c>
      <c r="Q30" s="3782">
        <f>'3. P PLAN'!O117</f>
        <v>0</v>
      </c>
      <c r="R30" s="3780">
        <f>'3. P PLAN'!P117</f>
        <v>0</v>
      </c>
      <c r="S30" s="3781">
        <f>'3. P PLAN'!Q117</f>
        <v>0</v>
      </c>
      <c r="T30" s="3782">
        <f>'3. P PLAN'!R117</f>
        <v>0</v>
      </c>
      <c r="U30" s="3783">
        <f>'3. P PLAN'!S117</f>
        <v>0</v>
      </c>
      <c r="V30" s="3781">
        <f>'3. P PLAN'!T117</f>
        <v>0</v>
      </c>
      <c r="W30" s="3784">
        <f>'3. P PLAN'!U117</f>
        <v>0</v>
      </c>
      <c r="X30" s="3785">
        <f t="shared" si="3"/>
        <v>0</v>
      </c>
    </row>
    <row r="31" spans="1:24" ht="18" customHeight="1">
      <c r="A31" s="5190"/>
      <c r="B31" s="5186"/>
      <c r="C31" s="1673"/>
      <c r="D31" s="15"/>
      <c r="E31" s="1673">
        <v>16</v>
      </c>
      <c r="F31" s="15" t="s">
        <v>877</v>
      </c>
      <c r="G31" s="2205">
        <f>IFERROR(VLOOKUP(E31,B.BasicInfomation!$A$10:$O$127,14,0),"")</f>
        <v>4</v>
      </c>
      <c r="H31" s="2205">
        <v>120000</v>
      </c>
      <c r="I31" s="2206">
        <f>IFERROR(ROUNDUP(#REF!/$H31/$G31,0),0)</f>
        <v>0</v>
      </c>
      <c r="J31" s="3743">
        <v>20000</v>
      </c>
      <c r="K31" s="3795">
        <f t="shared" si="0"/>
        <v>1</v>
      </c>
      <c r="L31" s="3780">
        <f>'3. P PLAN'!J118</f>
        <v>21509.935260216731</v>
      </c>
      <c r="M31" s="3781">
        <f>'3. P PLAN'!K118</f>
        <v>16132.451445162547</v>
      </c>
      <c r="N31" s="3782">
        <f>'3. P PLAN'!L118</f>
        <v>16132.451445162547</v>
      </c>
      <c r="O31" s="3780">
        <f>'3. P PLAN'!M118</f>
        <v>16132.451445162547</v>
      </c>
      <c r="P31" s="3781">
        <f>'3. P PLAN'!N118</f>
        <v>16132.451445162547</v>
      </c>
      <c r="Q31" s="3782">
        <f>'3. P PLAN'!O118</f>
        <v>16132.451445162547</v>
      </c>
      <c r="R31" s="3780">
        <f>'3. P PLAN'!P118</f>
        <v>12250.293817363292</v>
      </c>
      <c r="S31" s="3781">
        <f>'3. P PLAN'!Q118</f>
        <v>12250.293817363292</v>
      </c>
      <c r="T31" s="3782">
        <f>'3. P PLAN'!R118</f>
        <v>12250.293817363292</v>
      </c>
      <c r="U31" s="3783">
        <f>'3. P PLAN'!S118</f>
        <v>12250.293817363292</v>
      </c>
      <c r="V31" s="3781">
        <f>'3. P PLAN'!T118</f>
        <v>12250.293817363292</v>
      </c>
      <c r="W31" s="3784">
        <f>'3. P PLAN'!U118</f>
        <v>12250.293817363292</v>
      </c>
      <c r="X31" s="3785">
        <f t="shared" si="3"/>
        <v>175673.95539020922</v>
      </c>
    </row>
    <row r="32" spans="1:24" ht="18" customHeight="1">
      <c r="A32" s="5190"/>
      <c r="B32" s="5186"/>
      <c r="C32" s="1673"/>
      <c r="D32" s="15"/>
      <c r="E32" s="1673"/>
      <c r="F32" s="15" t="s">
        <v>1062</v>
      </c>
      <c r="G32" s="2205">
        <f>IFERROR(VLOOKUP(E32,B.BasicInfomation!$A$10:$O$127,14,0),"")</f>
        <v>2</v>
      </c>
      <c r="H32" s="2205">
        <v>120000</v>
      </c>
      <c r="I32" s="2206">
        <f>IFERROR(ROUNDUP(#REF!/$H32/$G32,0),0)</f>
        <v>0</v>
      </c>
      <c r="J32" s="3743">
        <v>20000</v>
      </c>
      <c r="K32" s="3795">
        <f t="shared" si="0"/>
        <v>0</v>
      </c>
      <c r="L32" s="3780">
        <f>'3. P PLAN'!J119</f>
        <v>0</v>
      </c>
      <c r="M32" s="3781">
        <f>'3. P PLAN'!K119</f>
        <v>0</v>
      </c>
      <c r="N32" s="3782">
        <f>'3. P PLAN'!L119</f>
        <v>0</v>
      </c>
      <c r="O32" s="3780">
        <f>'3. P PLAN'!M119</f>
        <v>0</v>
      </c>
      <c r="P32" s="3781">
        <f>'3. P PLAN'!N119</f>
        <v>0</v>
      </c>
      <c r="Q32" s="3782">
        <f>'3. P PLAN'!O119</f>
        <v>0</v>
      </c>
      <c r="R32" s="3780">
        <f>'3. P PLAN'!P119</f>
        <v>0</v>
      </c>
      <c r="S32" s="3781">
        <f>'3. P PLAN'!Q119</f>
        <v>0</v>
      </c>
      <c r="T32" s="3782">
        <f>'3. P PLAN'!R119</f>
        <v>0</v>
      </c>
      <c r="U32" s="3783">
        <f>'3. P PLAN'!S119</f>
        <v>0</v>
      </c>
      <c r="V32" s="3781">
        <f>'3. P PLAN'!T119</f>
        <v>0</v>
      </c>
      <c r="W32" s="3784">
        <f>'3. P PLAN'!U119</f>
        <v>0</v>
      </c>
      <c r="X32" s="3785">
        <f t="shared" si="3"/>
        <v>0</v>
      </c>
    </row>
    <row r="33" spans="1:24" ht="18" customHeight="1">
      <c r="A33" s="5190"/>
      <c r="B33" s="5186"/>
      <c r="C33" s="1673"/>
      <c r="D33" s="15"/>
      <c r="E33" s="1673">
        <v>17</v>
      </c>
      <c r="F33" s="15" t="s">
        <v>878</v>
      </c>
      <c r="G33" s="2205">
        <f>IFERROR(VLOOKUP(E33,B.BasicInfomation!$A$10:$O$127,14,0),"")</f>
        <v>4</v>
      </c>
      <c r="H33" s="2205">
        <v>120000</v>
      </c>
      <c r="I33" s="2206">
        <f>IFERROR(ROUNDUP(#REF!/$H33/$G33,0),0)</f>
        <v>0</v>
      </c>
      <c r="J33" s="3743">
        <v>17000</v>
      </c>
      <c r="K33" s="3795">
        <f t="shared" si="0"/>
        <v>1</v>
      </c>
      <c r="L33" s="3780">
        <f>'3. P PLAN'!J120</f>
        <v>23493.319713987181</v>
      </c>
      <c r="M33" s="3781">
        <f>'3. P PLAN'!K120</f>
        <v>0</v>
      </c>
      <c r="N33" s="3782">
        <f>'3. P PLAN'!L120</f>
        <v>0</v>
      </c>
      <c r="O33" s="3780">
        <f>'3. P PLAN'!M120</f>
        <v>0</v>
      </c>
      <c r="P33" s="3781">
        <f>'3. P PLAN'!N120</f>
        <v>0</v>
      </c>
      <c r="Q33" s="3782">
        <f>'3. P PLAN'!O120</f>
        <v>0</v>
      </c>
      <c r="R33" s="3780">
        <f>'3. P PLAN'!P120</f>
        <v>0</v>
      </c>
      <c r="S33" s="3781">
        <f>'3. P PLAN'!Q120</f>
        <v>0</v>
      </c>
      <c r="T33" s="3782">
        <f>'3. P PLAN'!R120</f>
        <v>0</v>
      </c>
      <c r="U33" s="3783">
        <f>'3. P PLAN'!S120</f>
        <v>0</v>
      </c>
      <c r="V33" s="3781">
        <f>'3. P PLAN'!T120</f>
        <v>0</v>
      </c>
      <c r="W33" s="3784">
        <f>'3. P PLAN'!U120</f>
        <v>0</v>
      </c>
      <c r="X33" s="3785">
        <f t="shared" si="3"/>
        <v>23493.319713987181</v>
      </c>
    </row>
    <row r="34" spans="1:24" ht="18" customHeight="1">
      <c r="A34" s="5190"/>
      <c r="B34" s="5186"/>
      <c r="C34" s="1673"/>
      <c r="D34" s="15"/>
      <c r="E34" s="1673">
        <v>18</v>
      </c>
      <c r="F34" s="15" t="s">
        <v>879</v>
      </c>
      <c r="G34" s="2205">
        <f>IFERROR(VLOOKUP(E34,B.BasicInfomation!$A$10:$O$127,14,0),"")</f>
        <v>4</v>
      </c>
      <c r="H34" s="2205">
        <v>120000</v>
      </c>
      <c r="I34" s="2206">
        <f>IFERROR(ROUNDUP(#REF!/$H34/$G34,0),0)</f>
        <v>0</v>
      </c>
      <c r="J34" s="3743">
        <v>17000</v>
      </c>
      <c r="K34" s="3795">
        <f t="shared" si="0"/>
        <v>1</v>
      </c>
      <c r="L34" s="3780">
        <f>'3. P PLAN'!J122</f>
        <v>31881.289678816051</v>
      </c>
      <c r="M34" s="3781">
        <f>'3. P PLAN'!K122</f>
        <v>29224.515538914704</v>
      </c>
      <c r="N34" s="3782">
        <f>'3. P PLAN'!L122</f>
        <v>18597.418979309357</v>
      </c>
      <c r="O34" s="3780">
        <f>'3. P PLAN'!M122</f>
        <v>18449.820415981507</v>
      </c>
      <c r="P34" s="3781">
        <f>'3. P PLAN'!N122</f>
        <v>20663.798865899287</v>
      </c>
      <c r="Q34" s="3782">
        <f>'3. P PLAN'!O122</f>
        <v>18929.515746797028</v>
      </c>
      <c r="R34" s="3780">
        <f>'3. P PLAN'!P122</f>
        <v>18929.515746797028</v>
      </c>
      <c r="S34" s="3781">
        <f>'3. P PLAN'!Q122</f>
        <v>18929.515746797028</v>
      </c>
      <c r="T34" s="3782">
        <f>'3. P PLAN'!R122</f>
        <v>18929.515746797028</v>
      </c>
      <c r="U34" s="3783">
        <f>'3. P PLAN'!S122</f>
        <v>18929.515746797028</v>
      </c>
      <c r="V34" s="3781">
        <f>'3. P PLAN'!T122</f>
        <v>18929.515746797028</v>
      </c>
      <c r="W34" s="3784">
        <f>'3. P PLAN'!U122</f>
        <v>18929.515746797028</v>
      </c>
      <c r="X34" s="3785">
        <f t="shared" si="3"/>
        <v>251323.45370650009</v>
      </c>
    </row>
    <row r="35" spans="1:24" ht="18" customHeight="1">
      <c r="A35" s="5190"/>
      <c r="B35" s="5186"/>
      <c r="C35" s="1673"/>
      <c r="D35" s="15"/>
      <c r="E35" s="1673"/>
      <c r="F35" s="15" t="s">
        <v>880</v>
      </c>
      <c r="G35" s="2205">
        <f>IFERROR(VLOOKUP(E35,B.BasicInfomation!$A$10:$O$127,14,0),"")</f>
        <v>2</v>
      </c>
      <c r="H35" s="2205">
        <v>120000</v>
      </c>
      <c r="I35" s="2206">
        <f>IFERROR(ROUNDUP(#REF!/$H35/$G35,0),0)</f>
        <v>0</v>
      </c>
      <c r="J35" s="3743">
        <v>17000</v>
      </c>
      <c r="K35" s="3795">
        <f t="shared" si="0"/>
        <v>1</v>
      </c>
      <c r="L35" s="3780">
        <f>'3. P PLAN'!J124</f>
        <v>6837.5798281821289</v>
      </c>
      <c r="M35" s="3781">
        <f>'3. P PLAN'!K124</f>
        <v>0</v>
      </c>
      <c r="N35" s="3782">
        <f>'3. P PLAN'!L124</f>
        <v>0</v>
      </c>
      <c r="O35" s="3780">
        <f>'3. P PLAN'!M124</f>
        <v>0</v>
      </c>
      <c r="P35" s="3781">
        <f>'3. P PLAN'!N124</f>
        <v>0</v>
      </c>
      <c r="Q35" s="3782">
        <f>'3. P PLAN'!O124</f>
        <v>0</v>
      </c>
      <c r="R35" s="3780">
        <f>'3. P PLAN'!P124</f>
        <v>0</v>
      </c>
      <c r="S35" s="3781">
        <f>'3. P PLAN'!Q124</f>
        <v>0</v>
      </c>
      <c r="T35" s="3782">
        <f>'3. P PLAN'!R124</f>
        <v>0</v>
      </c>
      <c r="U35" s="3783">
        <f>'3. P PLAN'!S124</f>
        <v>0</v>
      </c>
      <c r="V35" s="3781">
        <f>'3. P PLAN'!T124</f>
        <v>0</v>
      </c>
      <c r="W35" s="3784">
        <f>'3. P PLAN'!U124</f>
        <v>0</v>
      </c>
      <c r="X35" s="3785">
        <f t="shared" si="3"/>
        <v>6837.5798281821289</v>
      </c>
    </row>
    <row r="36" spans="1:24" ht="18" customHeight="1">
      <c r="A36" s="5190"/>
      <c r="B36" s="5186"/>
      <c r="C36" s="1673"/>
      <c r="D36" s="15"/>
      <c r="E36" s="1673">
        <v>19</v>
      </c>
      <c r="F36" s="15" t="s">
        <v>1311</v>
      </c>
      <c r="G36" s="2205">
        <f>IFERROR(VLOOKUP(E36,B.BasicInfomation!$A$10:$O$127,14,0),"")</f>
        <v>4</v>
      </c>
      <c r="H36" s="2205">
        <v>120000</v>
      </c>
      <c r="I36" s="2206">
        <f>IFERROR(ROUNDUP(#REF!/$H36/$G36,0),0)</f>
        <v>0</v>
      </c>
      <c r="J36" s="3743">
        <v>17000</v>
      </c>
      <c r="K36" s="3795">
        <f t="shared" si="0"/>
        <v>0</v>
      </c>
      <c r="L36" s="3780">
        <f>'3. P PLAN'!J125</f>
        <v>0</v>
      </c>
      <c r="M36" s="3781">
        <f>'3. P PLAN'!K125</f>
        <v>0</v>
      </c>
      <c r="N36" s="3782">
        <f>'3. P PLAN'!L125</f>
        <v>0</v>
      </c>
      <c r="O36" s="3780">
        <f>'3. P PLAN'!M125</f>
        <v>0</v>
      </c>
      <c r="P36" s="3781">
        <f>'3. P PLAN'!N125</f>
        <v>0</v>
      </c>
      <c r="Q36" s="3782">
        <f>'3. P PLAN'!O125</f>
        <v>0</v>
      </c>
      <c r="R36" s="3780">
        <f>'3. P PLAN'!P125</f>
        <v>0</v>
      </c>
      <c r="S36" s="3781">
        <f>'3. P PLAN'!Q125</f>
        <v>0</v>
      </c>
      <c r="T36" s="3782">
        <f>'3. P PLAN'!R125</f>
        <v>0</v>
      </c>
      <c r="U36" s="3783">
        <f>'3. P PLAN'!S125</f>
        <v>0</v>
      </c>
      <c r="V36" s="3781">
        <f>'3. P PLAN'!T125</f>
        <v>0</v>
      </c>
      <c r="W36" s="3784">
        <f>'3. P PLAN'!U125</f>
        <v>0</v>
      </c>
      <c r="X36" s="3785">
        <f t="shared" si="3"/>
        <v>0</v>
      </c>
    </row>
    <row r="37" spans="1:24" ht="18" customHeight="1">
      <c r="A37" s="5190"/>
      <c r="B37" s="5186"/>
      <c r="C37" s="1673"/>
      <c r="D37" s="15" t="s">
        <v>905</v>
      </c>
      <c r="E37" s="1673"/>
      <c r="F37" s="15" t="s">
        <v>967</v>
      </c>
      <c r="G37" s="2205">
        <f>IFERROR(VLOOKUP(E37,B.BasicInfomation!$A$10:$O$127,14,0),"")</f>
        <v>2</v>
      </c>
      <c r="H37" s="2205">
        <v>120000</v>
      </c>
      <c r="I37" s="2206">
        <f>IFERROR(ROUNDUP(#REF!/$H37/$G37,0),0)</f>
        <v>0</v>
      </c>
      <c r="J37" s="3743">
        <v>18000</v>
      </c>
      <c r="K37" s="3795">
        <f t="shared" ref="K37:K79" si="4">IFERROR(ROUNDUP(X37/$H37/$G37,0),0)</f>
        <v>0</v>
      </c>
      <c r="L37" s="3780">
        <f>'3. P PLAN'!J126</f>
        <v>0</v>
      </c>
      <c r="M37" s="3781">
        <f>'3. P PLAN'!K126</f>
        <v>0</v>
      </c>
      <c r="N37" s="3782">
        <f>'3. P PLAN'!L126</f>
        <v>0</v>
      </c>
      <c r="O37" s="3780">
        <f>'3. P PLAN'!M126</f>
        <v>0</v>
      </c>
      <c r="P37" s="3781">
        <f>'3. P PLAN'!N126</f>
        <v>0</v>
      </c>
      <c r="Q37" s="3782">
        <f>'3. P PLAN'!O126</f>
        <v>0</v>
      </c>
      <c r="R37" s="3780">
        <f>'3. P PLAN'!P126</f>
        <v>0</v>
      </c>
      <c r="S37" s="3781">
        <f>'3. P PLAN'!Q126</f>
        <v>0</v>
      </c>
      <c r="T37" s="3782">
        <f>'3. P PLAN'!R126</f>
        <v>0</v>
      </c>
      <c r="U37" s="3783">
        <f>'3. P PLAN'!S126</f>
        <v>0</v>
      </c>
      <c r="V37" s="3781">
        <f>'3. P PLAN'!T126</f>
        <v>0</v>
      </c>
      <c r="W37" s="3784">
        <f>'3. P PLAN'!U126</f>
        <v>0</v>
      </c>
      <c r="X37" s="3785">
        <f t="shared" si="3"/>
        <v>0</v>
      </c>
    </row>
    <row r="38" spans="1:24" ht="18" customHeight="1">
      <c r="A38" s="5190"/>
      <c r="B38" s="5186"/>
      <c r="C38" s="1673"/>
      <c r="D38" s="15"/>
      <c r="E38" s="1673">
        <v>20</v>
      </c>
      <c r="F38" s="15" t="s">
        <v>881</v>
      </c>
      <c r="G38" s="2205">
        <f>IFERROR(VLOOKUP(E38,B.BasicInfomation!$A$10:$O$127,14,0),"")</f>
        <v>2</v>
      </c>
      <c r="H38" s="2205">
        <v>120000</v>
      </c>
      <c r="I38" s="2206">
        <f>IFERROR(ROUNDUP(#REF!/$H38/$G38,0),0)</f>
        <v>0</v>
      </c>
      <c r="J38" s="3743">
        <v>17000</v>
      </c>
      <c r="K38" s="3795">
        <f t="shared" si="4"/>
        <v>2</v>
      </c>
      <c r="L38" s="3780">
        <f>'3. P PLAN'!J127</f>
        <v>28564.489377555557</v>
      </c>
      <c r="M38" s="3781">
        <f>'3. P PLAN'!K127</f>
        <v>33532.226660608692</v>
      </c>
      <c r="N38" s="3782">
        <f>'3. P PLAN'!L127</f>
        <v>31048.358019082127</v>
      </c>
      <c r="O38" s="3780">
        <f>'3. P PLAN'!M127</f>
        <v>33532.226660608692</v>
      </c>
      <c r="P38" s="3781">
        <f>'3. P PLAN'!N127</f>
        <v>33532.226660608692</v>
      </c>
      <c r="Q38" s="3782">
        <f>'3. P PLAN'!O127</f>
        <v>33532.226660608692</v>
      </c>
      <c r="R38" s="3780">
        <f>'3. P PLAN'!P127</f>
        <v>33532.226660608692</v>
      </c>
      <c r="S38" s="3781">
        <f>'3. P PLAN'!Q127</f>
        <v>33532.226660608692</v>
      </c>
      <c r="T38" s="3782">
        <f>'3. P PLAN'!R127</f>
        <v>33532.226660608692</v>
      </c>
      <c r="U38" s="3783">
        <f>'3. P PLAN'!S127</f>
        <v>33532.226660608692</v>
      </c>
      <c r="V38" s="3781">
        <f>'3. P PLAN'!T127</f>
        <v>33532.226660608692</v>
      </c>
      <c r="W38" s="3784">
        <f>'3. P PLAN'!U127</f>
        <v>33532.226660608692</v>
      </c>
      <c r="X38" s="3785">
        <f t="shared" si="3"/>
        <v>394935.11400272453</v>
      </c>
    </row>
    <row r="39" spans="1:24" ht="18" customHeight="1">
      <c r="A39" s="5190"/>
      <c r="B39" s="5186"/>
      <c r="C39" s="1673"/>
      <c r="D39" s="15" t="s">
        <v>882</v>
      </c>
      <c r="E39" s="1673">
        <v>21</v>
      </c>
      <c r="F39" s="15" t="s">
        <v>883</v>
      </c>
      <c r="G39" s="2205">
        <f>IFERROR(VLOOKUP(E39,B.BasicInfomation!$A$10:$O$127,14,0),"")</f>
        <v>2</v>
      </c>
      <c r="H39" s="2205">
        <v>120000</v>
      </c>
      <c r="I39" s="2206">
        <f>IFERROR(ROUNDUP(#REF!/$H39/$G39,0),0)</f>
        <v>0</v>
      </c>
      <c r="J39" s="3743">
        <v>17000</v>
      </c>
      <c r="K39" s="3795">
        <f t="shared" si="4"/>
        <v>2</v>
      </c>
      <c r="L39" s="3780">
        <f>'3. P PLAN'!J128</f>
        <v>28574.012089453394</v>
      </c>
      <c r="M39" s="3781">
        <f>'3. P PLAN'!K128</f>
        <v>33543.405496314859</v>
      </c>
      <c r="N39" s="3782">
        <f>'3. P PLAN'!L128</f>
        <v>31058.708792884125</v>
      </c>
      <c r="O39" s="3780">
        <f>'3. P PLAN'!M128</f>
        <v>33543.405496314859</v>
      </c>
      <c r="P39" s="3781">
        <f>'3. P PLAN'!N128</f>
        <v>33543.405496314859</v>
      </c>
      <c r="Q39" s="3782">
        <f>'3. P PLAN'!O128</f>
        <v>33543.405496314859</v>
      </c>
      <c r="R39" s="3780">
        <f>'3. P PLAN'!P128</f>
        <v>33543.405496314859</v>
      </c>
      <c r="S39" s="3781">
        <f>'3. P PLAN'!Q128</f>
        <v>33543.405496314859</v>
      </c>
      <c r="T39" s="3782">
        <f>'3. P PLAN'!R128</f>
        <v>33543.405496314859</v>
      </c>
      <c r="U39" s="3783">
        <f>'3. P PLAN'!S128</f>
        <v>33543.405496314859</v>
      </c>
      <c r="V39" s="3781">
        <f>'3. P PLAN'!T128</f>
        <v>33543.405496314859</v>
      </c>
      <c r="W39" s="3784">
        <f>'3. P PLAN'!U128</f>
        <v>33543.405496314859</v>
      </c>
      <c r="X39" s="3785">
        <f t="shared" si="3"/>
        <v>395066.77584548615</v>
      </c>
    </row>
    <row r="40" spans="1:24" ht="18" customHeight="1">
      <c r="A40" s="5190"/>
      <c r="B40" s="5186"/>
      <c r="C40" s="1673"/>
      <c r="D40" s="13"/>
      <c r="E40" s="1673"/>
      <c r="F40" s="15" t="s">
        <v>968</v>
      </c>
      <c r="G40" s="2205">
        <f>IFERROR(VLOOKUP(E40,B.BasicInfomation!$A$10:$O$127,14,0),"")</f>
        <v>2</v>
      </c>
      <c r="H40" s="2205">
        <v>120000</v>
      </c>
      <c r="I40" s="2206">
        <f>IFERROR(ROUNDUP(#REF!/$H40/$G40,0),0)</f>
        <v>0</v>
      </c>
      <c r="J40" s="3743">
        <v>18000</v>
      </c>
      <c r="K40" s="3795">
        <f t="shared" si="4"/>
        <v>0</v>
      </c>
      <c r="L40" s="3780">
        <f>'3. P PLAN'!J129</f>
        <v>0</v>
      </c>
      <c r="M40" s="3781">
        <f>'3. P PLAN'!K129</f>
        <v>0</v>
      </c>
      <c r="N40" s="3782">
        <f>'3. P PLAN'!L129</f>
        <v>0</v>
      </c>
      <c r="O40" s="3780">
        <f>'3. P PLAN'!M129</f>
        <v>0</v>
      </c>
      <c r="P40" s="3781">
        <f>'3. P PLAN'!N129</f>
        <v>0</v>
      </c>
      <c r="Q40" s="3782">
        <f>'3. P PLAN'!O129</f>
        <v>0</v>
      </c>
      <c r="R40" s="3780">
        <f>'3. P PLAN'!P129</f>
        <v>0</v>
      </c>
      <c r="S40" s="3781">
        <f>'3. P PLAN'!Q129</f>
        <v>0</v>
      </c>
      <c r="T40" s="3782">
        <f>'3. P PLAN'!R129</f>
        <v>0</v>
      </c>
      <c r="U40" s="3783">
        <f>'3. P PLAN'!S129</f>
        <v>0</v>
      </c>
      <c r="V40" s="3781">
        <f>'3. P PLAN'!T129</f>
        <v>0</v>
      </c>
      <c r="W40" s="3784">
        <f>'3. P PLAN'!U129</f>
        <v>0</v>
      </c>
      <c r="X40" s="3785">
        <f t="shared" si="3"/>
        <v>0</v>
      </c>
    </row>
    <row r="41" spans="1:24" ht="18" customHeight="1">
      <c r="A41" s="5190"/>
      <c r="B41" s="5186"/>
      <c r="C41" s="1673"/>
      <c r="D41" s="13"/>
      <c r="E41" s="1673"/>
      <c r="F41" s="15" t="s">
        <v>884</v>
      </c>
      <c r="G41" s="2205">
        <f>IFERROR(VLOOKUP(E41,B.BasicInfomation!$A$10:$O$127,14,0),"")</f>
        <v>2</v>
      </c>
      <c r="H41" s="2205">
        <v>120000</v>
      </c>
      <c r="I41" s="2206">
        <f>IFERROR(ROUNDUP(#REF!/$H41/$G41,0),0)</f>
        <v>0</v>
      </c>
      <c r="J41" s="3743">
        <v>17000</v>
      </c>
      <c r="K41" s="3795">
        <f t="shared" si="4"/>
        <v>0</v>
      </c>
      <c r="L41" s="3780">
        <f>'3. P PLAN'!J130</f>
        <v>0</v>
      </c>
      <c r="M41" s="3781">
        <f>'3. P PLAN'!K130</f>
        <v>0</v>
      </c>
      <c r="N41" s="3782">
        <f>'3. P PLAN'!L130</f>
        <v>0</v>
      </c>
      <c r="O41" s="3780">
        <f>'3. P PLAN'!M130</f>
        <v>0</v>
      </c>
      <c r="P41" s="3781">
        <f>'3. P PLAN'!N130</f>
        <v>0</v>
      </c>
      <c r="Q41" s="3782">
        <f>'3. P PLAN'!O130</f>
        <v>0</v>
      </c>
      <c r="R41" s="3780">
        <f>'3. P PLAN'!P130</f>
        <v>0</v>
      </c>
      <c r="S41" s="3781">
        <f>'3. P PLAN'!Q130</f>
        <v>0</v>
      </c>
      <c r="T41" s="3782">
        <f>'3. P PLAN'!R130</f>
        <v>0</v>
      </c>
      <c r="U41" s="3783">
        <f>'3. P PLAN'!S130</f>
        <v>0</v>
      </c>
      <c r="V41" s="3781">
        <f>'3. P PLAN'!T130</f>
        <v>0</v>
      </c>
      <c r="W41" s="3784">
        <f>'3. P PLAN'!U130</f>
        <v>0</v>
      </c>
      <c r="X41" s="3785">
        <f t="shared" si="3"/>
        <v>0</v>
      </c>
    </row>
    <row r="42" spans="1:24" ht="18" customHeight="1">
      <c r="A42" s="5190"/>
      <c r="B42" s="5186"/>
      <c r="C42" s="1673"/>
      <c r="D42" s="13"/>
      <c r="E42" s="1673"/>
      <c r="F42" s="15" t="s">
        <v>67</v>
      </c>
      <c r="G42" s="2205">
        <f>IFERROR(VLOOKUP(E42,B.BasicInfomation!$A$10:$O$127,14,0),"")</f>
        <v>2</v>
      </c>
      <c r="H42" s="2205">
        <v>120000</v>
      </c>
      <c r="I42" s="2206">
        <f>IFERROR(ROUNDUP(#REF!/$H42/$G42,0),0)</f>
        <v>0</v>
      </c>
      <c r="J42" s="3743">
        <v>17000</v>
      </c>
      <c r="K42" s="3795">
        <f t="shared" si="4"/>
        <v>1</v>
      </c>
      <c r="L42" s="3780">
        <f>'3. P PLAN'!J131</f>
        <v>743.03405572755423</v>
      </c>
      <c r="M42" s="3781">
        <f>'3. P PLAN'!K131</f>
        <v>743.03405572755423</v>
      </c>
      <c r="N42" s="3782">
        <f>'3. P PLAN'!L131</f>
        <v>0</v>
      </c>
      <c r="O42" s="3780">
        <f>'3. P PLAN'!M131</f>
        <v>0</v>
      </c>
      <c r="P42" s="3781">
        <f>'3. P PLAN'!N131</f>
        <v>0</v>
      </c>
      <c r="Q42" s="3782">
        <f>'3. P PLAN'!O131</f>
        <v>0</v>
      </c>
      <c r="R42" s="3780">
        <f>'3. P PLAN'!P131</f>
        <v>0</v>
      </c>
      <c r="S42" s="3781">
        <f>'3. P PLAN'!Q131</f>
        <v>0</v>
      </c>
      <c r="T42" s="3782">
        <f>'3. P PLAN'!R131</f>
        <v>0</v>
      </c>
      <c r="U42" s="3783">
        <f>'3. P PLAN'!S131</f>
        <v>0</v>
      </c>
      <c r="V42" s="3781">
        <f>'3. P PLAN'!T131</f>
        <v>0</v>
      </c>
      <c r="W42" s="3784">
        <f>'3. P PLAN'!U131</f>
        <v>0</v>
      </c>
      <c r="X42" s="3785">
        <f t="shared" si="3"/>
        <v>1486.0681114551085</v>
      </c>
    </row>
    <row r="43" spans="1:24" ht="18" customHeight="1">
      <c r="A43" s="5190"/>
      <c r="B43" s="5186"/>
      <c r="C43" s="1673"/>
      <c r="D43" s="13" t="s">
        <v>885</v>
      </c>
      <c r="E43" s="1673"/>
      <c r="F43" s="15" t="s">
        <v>886</v>
      </c>
      <c r="G43" s="2205">
        <f>IFERROR(VLOOKUP(E43,B.BasicInfomation!$A$10:$O$127,14,0),"")</f>
        <v>2</v>
      </c>
      <c r="H43" s="2205">
        <v>120000</v>
      </c>
      <c r="I43" s="2206">
        <f>IFERROR(ROUNDUP(#REF!/$H43/$G43,0),0)</f>
        <v>0</v>
      </c>
      <c r="J43" s="3743">
        <v>17000</v>
      </c>
      <c r="K43" s="3795">
        <f t="shared" si="4"/>
        <v>0</v>
      </c>
      <c r="L43" s="3780">
        <f>'3. P PLAN'!J132</f>
        <v>0</v>
      </c>
      <c r="M43" s="3781">
        <f>'3. P PLAN'!K132</f>
        <v>0</v>
      </c>
      <c r="N43" s="3782">
        <f>'3. P PLAN'!L132</f>
        <v>0</v>
      </c>
      <c r="O43" s="3780">
        <f>'3. P PLAN'!M132</f>
        <v>0</v>
      </c>
      <c r="P43" s="3781">
        <f>'3. P PLAN'!N132</f>
        <v>0</v>
      </c>
      <c r="Q43" s="3782">
        <f>'3. P PLAN'!O132</f>
        <v>0</v>
      </c>
      <c r="R43" s="3780">
        <f>'3. P PLAN'!P132</f>
        <v>0</v>
      </c>
      <c r="S43" s="3781">
        <f>'3. P PLAN'!Q132</f>
        <v>0</v>
      </c>
      <c r="T43" s="3782">
        <f>'3. P PLAN'!R132</f>
        <v>0</v>
      </c>
      <c r="U43" s="3783">
        <f>'3. P PLAN'!S132</f>
        <v>0</v>
      </c>
      <c r="V43" s="3781">
        <f>'3. P PLAN'!T132</f>
        <v>0</v>
      </c>
      <c r="W43" s="3784">
        <f>'3. P PLAN'!U132</f>
        <v>0</v>
      </c>
      <c r="X43" s="3785">
        <f t="shared" si="3"/>
        <v>0</v>
      </c>
    </row>
    <row r="44" spans="1:24" ht="18" customHeight="1">
      <c r="A44" s="5190"/>
      <c r="B44" s="5186"/>
      <c r="C44" s="1673"/>
      <c r="D44" s="15"/>
      <c r="E44" s="1673"/>
      <c r="F44" s="15" t="s">
        <v>887</v>
      </c>
      <c r="G44" s="2205">
        <f>IFERROR(VLOOKUP(E44,B.BasicInfomation!$A$10:$O$127,14,0),"")</f>
        <v>2</v>
      </c>
      <c r="H44" s="2205">
        <v>120000</v>
      </c>
      <c r="I44" s="2206">
        <f>IFERROR(ROUNDUP(#REF!/$H44/$G44,0),0)</f>
        <v>0</v>
      </c>
      <c r="J44" s="3743">
        <v>17000</v>
      </c>
      <c r="K44" s="3795">
        <f t="shared" si="4"/>
        <v>0</v>
      </c>
      <c r="L44" s="3780">
        <f>'3. P PLAN'!J133</f>
        <v>0</v>
      </c>
      <c r="M44" s="3781">
        <f>'3. P PLAN'!K133</f>
        <v>0</v>
      </c>
      <c r="N44" s="3782">
        <f>'3. P PLAN'!L133</f>
        <v>0</v>
      </c>
      <c r="O44" s="3780">
        <f>'3. P PLAN'!M133</f>
        <v>0</v>
      </c>
      <c r="P44" s="3781">
        <f>'3. P PLAN'!N133</f>
        <v>0</v>
      </c>
      <c r="Q44" s="3782">
        <f>'3. P PLAN'!O133</f>
        <v>0</v>
      </c>
      <c r="R44" s="3780">
        <f>'3. P PLAN'!P133</f>
        <v>0</v>
      </c>
      <c r="S44" s="3781">
        <f>'3. P PLAN'!Q133</f>
        <v>0</v>
      </c>
      <c r="T44" s="3782">
        <f>'3. P PLAN'!R133</f>
        <v>0</v>
      </c>
      <c r="U44" s="3783">
        <f>'3. P PLAN'!S133</f>
        <v>0</v>
      </c>
      <c r="V44" s="3781">
        <f>'3. P PLAN'!T133</f>
        <v>0</v>
      </c>
      <c r="W44" s="3784">
        <f>'3. P PLAN'!U133</f>
        <v>0</v>
      </c>
      <c r="X44" s="3785">
        <f t="shared" si="3"/>
        <v>0</v>
      </c>
    </row>
    <row r="45" spans="1:24" ht="18" customHeight="1">
      <c r="A45" s="5190"/>
      <c r="B45" s="5186"/>
      <c r="C45" s="1673"/>
      <c r="D45" s="15"/>
      <c r="E45" s="1673">
        <v>22</v>
      </c>
      <c r="F45" s="15" t="s">
        <v>76</v>
      </c>
      <c r="G45" s="2205">
        <f>IFERROR(VLOOKUP(E45,B.BasicInfomation!$A$10:$O$127,14,0),"")</f>
        <v>2</v>
      </c>
      <c r="H45" s="2205">
        <v>120000</v>
      </c>
      <c r="I45" s="2206">
        <f>IFERROR(ROUNDUP(#REF!/$H45/$G45,0),0)</f>
        <v>0</v>
      </c>
      <c r="J45" s="3743">
        <v>17000</v>
      </c>
      <c r="K45" s="3795">
        <f t="shared" si="4"/>
        <v>5</v>
      </c>
      <c r="L45" s="3780">
        <f>'3. P PLAN'!J134</f>
        <v>167153.10863054107</v>
      </c>
      <c r="M45" s="3781">
        <f>'3. P PLAN'!K134</f>
        <v>101485.81595425708</v>
      </c>
      <c r="N45" s="3782">
        <f>'3. P PLAN'!L134</f>
        <v>143274.09311189235</v>
      </c>
      <c r="O45" s="3780">
        <f>'3. P PLAN'!M134</f>
        <v>83576.554315270536</v>
      </c>
      <c r="P45" s="3781">
        <f>'3. P PLAN'!N134</f>
        <v>83576.554315270536</v>
      </c>
      <c r="Q45" s="3782">
        <f>'3. P PLAN'!O134</f>
        <v>59697.538796621804</v>
      </c>
      <c r="R45" s="3780">
        <f>'3. P PLAN'!P134</f>
        <v>59697.538796621804</v>
      </c>
      <c r="S45" s="3781">
        <f>'3. P PLAN'!Q134</f>
        <v>59697.538796621804</v>
      </c>
      <c r="T45" s="3782">
        <f>'3. P PLAN'!R134</f>
        <v>59697.538796621804</v>
      </c>
      <c r="U45" s="3783">
        <f>'3. P PLAN'!S134</f>
        <v>59697.538796621804</v>
      </c>
      <c r="V45" s="3781">
        <f>'3. P PLAN'!T134</f>
        <v>59697.538796621804</v>
      </c>
      <c r="W45" s="3784">
        <f>'3. P PLAN'!U134</f>
        <v>59697.538796621804</v>
      </c>
      <c r="X45" s="3785">
        <f t="shared" si="3"/>
        <v>996948.89790358441</v>
      </c>
    </row>
    <row r="46" spans="1:24" ht="18" customHeight="1">
      <c r="A46" s="5190"/>
      <c r="B46" s="5186"/>
      <c r="C46" s="1733"/>
      <c r="D46" s="11"/>
      <c r="E46" s="1733"/>
      <c r="F46" s="11" t="s">
        <v>969</v>
      </c>
      <c r="G46" s="2213">
        <f>IFERROR(VLOOKUP(E46,B.BasicInfomation!$A$10:$O$127,14,0),"")</f>
        <v>2</v>
      </c>
      <c r="H46" s="2213">
        <v>120000</v>
      </c>
      <c r="I46" s="4537">
        <f>IFERROR(ROUNDUP(#REF!/$H46/$G46,0),0)</f>
        <v>0</v>
      </c>
      <c r="J46" s="3744">
        <v>17000</v>
      </c>
      <c r="K46" s="3825">
        <f t="shared" si="4"/>
        <v>0</v>
      </c>
      <c r="L46" s="3826">
        <f>'3. P PLAN'!J135</f>
        <v>0</v>
      </c>
      <c r="M46" s="3827">
        <f>'3. P PLAN'!K135</f>
        <v>0</v>
      </c>
      <c r="N46" s="3828">
        <f>'3. P PLAN'!L135</f>
        <v>0</v>
      </c>
      <c r="O46" s="3826">
        <f>'3. P PLAN'!M135</f>
        <v>0</v>
      </c>
      <c r="P46" s="3827">
        <f>'3. P PLAN'!N135</f>
        <v>0</v>
      </c>
      <c r="Q46" s="3828">
        <f>'3. P PLAN'!O135</f>
        <v>0</v>
      </c>
      <c r="R46" s="3826">
        <f>'3. P PLAN'!P135</f>
        <v>0</v>
      </c>
      <c r="S46" s="3827">
        <f>'3. P PLAN'!Q135</f>
        <v>0</v>
      </c>
      <c r="T46" s="3828">
        <f>'3. P PLAN'!R135</f>
        <v>0</v>
      </c>
      <c r="U46" s="4538">
        <f>'3. P PLAN'!S135</f>
        <v>0</v>
      </c>
      <c r="V46" s="3827">
        <f>'3. P PLAN'!T135</f>
        <v>0</v>
      </c>
      <c r="W46" s="4539">
        <f>'3. P PLAN'!U135</f>
        <v>0</v>
      </c>
      <c r="X46" s="3829">
        <f t="shared" si="3"/>
        <v>0</v>
      </c>
    </row>
    <row r="47" spans="1:24" ht="18" customHeight="1">
      <c r="A47" s="5190"/>
      <c r="B47" s="5186"/>
      <c r="C47" s="1592" t="s">
        <v>403</v>
      </c>
      <c r="D47" s="1599" t="s">
        <v>865</v>
      </c>
      <c r="E47" s="1673">
        <v>23</v>
      </c>
      <c r="F47" s="15" t="s">
        <v>401</v>
      </c>
      <c r="G47" s="2205">
        <f>IFERROR(VLOOKUP(E47,B.BasicInfomation!$A$10:$O$127,14,0),"")</f>
        <v>1</v>
      </c>
      <c r="H47" s="2205">
        <v>100000</v>
      </c>
      <c r="I47" s="2206">
        <f>IFERROR(ROUNDUP(#REF!/$H47/$G47,0),0)</f>
        <v>0</v>
      </c>
      <c r="J47" s="3743">
        <v>18000</v>
      </c>
      <c r="K47" s="3795">
        <f t="shared" si="4"/>
        <v>7</v>
      </c>
      <c r="L47" s="3780">
        <f>'3. P PLAN'!J136</f>
        <v>45473.68421052632</v>
      </c>
      <c r="M47" s="3781">
        <f>'3. P PLAN'!K136</f>
        <v>60631.578947368434</v>
      </c>
      <c r="N47" s="3782">
        <f>'3. P PLAN'!L136</f>
        <v>60150.375939849626</v>
      </c>
      <c r="O47" s="3780">
        <f>'3. P PLAN'!M136</f>
        <v>52631.57894736842</v>
      </c>
      <c r="P47" s="3781">
        <f>'3. P PLAN'!N136</f>
        <v>52631.57894736842</v>
      </c>
      <c r="Q47" s="3782">
        <f>'3. P PLAN'!O136</f>
        <v>52631.57894736842</v>
      </c>
      <c r="R47" s="3780">
        <f>'3. P PLAN'!P136</f>
        <v>52631.57894736842</v>
      </c>
      <c r="S47" s="3781">
        <f>'3. P PLAN'!Q136</f>
        <v>52631.57894736842</v>
      </c>
      <c r="T47" s="3782">
        <f>'3. P PLAN'!R136</f>
        <v>52631.57894736842</v>
      </c>
      <c r="U47" s="3783">
        <f>'3. P PLAN'!S136</f>
        <v>52631.57894736842</v>
      </c>
      <c r="V47" s="3781">
        <f>'3. P PLAN'!T136</f>
        <v>52631.57894736842</v>
      </c>
      <c r="W47" s="3784">
        <f>'3. P PLAN'!U136</f>
        <v>52631.57894736842</v>
      </c>
      <c r="X47" s="3785">
        <f t="shared" si="3"/>
        <v>639939.84962406021</v>
      </c>
    </row>
    <row r="48" spans="1:24" ht="18" customHeight="1">
      <c r="A48" s="5190"/>
      <c r="B48" s="5186"/>
      <c r="C48" s="1673"/>
      <c r="D48" s="1599"/>
      <c r="E48" s="1673">
        <v>24</v>
      </c>
      <c r="F48" s="15" t="s">
        <v>265</v>
      </c>
      <c r="G48" s="2205">
        <f>IFERROR(VLOOKUP(E48,B.BasicInfomation!$A$10:$O$127,14,0),"")</f>
        <v>1</v>
      </c>
      <c r="H48" s="2205">
        <v>100000</v>
      </c>
      <c r="I48" s="2206">
        <f>IFERROR(ROUNDUP(#REF!/$H48/$G48,0),0)</f>
        <v>0</v>
      </c>
      <c r="J48" s="3743">
        <v>18000</v>
      </c>
      <c r="K48" s="3795">
        <f t="shared" si="4"/>
        <v>9</v>
      </c>
      <c r="L48" s="3780">
        <f>'3. P PLAN'!J137</f>
        <v>62363.909774436099</v>
      </c>
      <c r="M48" s="3781">
        <f>'3. P PLAN'!K137</f>
        <v>41575.939849624068</v>
      </c>
      <c r="N48" s="3782">
        <f>'3. P PLAN'!L137</f>
        <v>75187.969924812045</v>
      </c>
      <c r="O48" s="3780">
        <f>'3. P PLAN'!M137</f>
        <v>75187.969924812045</v>
      </c>
      <c r="P48" s="3781">
        <f>'3. P PLAN'!N137</f>
        <v>75187.969924812045</v>
      </c>
      <c r="Q48" s="3782">
        <f>'3. P PLAN'!O137</f>
        <v>75187.969924812045</v>
      </c>
      <c r="R48" s="3780">
        <f>'3. P PLAN'!P137</f>
        <v>75187.969924812045</v>
      </c>
      <c r="S48" s="3781">
        <f>'3. P PLAN'!Q137</f>
        <v>75187.969924812045</v>
      </c>
      <c r="T48" s="3782">
        <f>'3. P PLAN'!R137</f>
        <v>75187.969924812045</v>
      </c>
      <c r="U48" s="3783">
        <f>'3. P PLAN'!S137</f>
        <v>75187.969924812045</v>
      </c>
      <c r="V48" s="3781">
        <f>'3. P PLAN'!T137</f>
        <v>75187.969924812045</v>
      </c>
      <c r="W48" s="3784">
        <f>'3. P PLAN'!U137</f>
        <v>75187.969924812045</v>
      </c>
      <c r="X48" s="3785">
        <f t="shared" si="3"/>
        <v>855819.54887218075</v>
      </c>
    </row>
    <row r="49" spans="1:24" ht="18" customHeight="1">
      <c r="A49" s="5190"/>
      <c r="B49" s="5186"/>
      <c r="C49" s="1673"/>
      <c r="D49" s="1599"/>
      <c r="E49" s="1673">
        <v>25</v>
      </c>
      <c r="F49" s="15" t="s">
        <v>888</v>
      </c>
      <c r="G49" s="2205">
        <f>IFERROR(VLOOKUP(E49,B.BasicInfomation!$A$10:$O$127,14,0),"")</f>
        <v>1</v>
      </c>
      <c r="H49" s="2205">
        <v>100000</v>
      </c>
      <c r="I49" s="2206">
        <f>IFERROR(ROUNDUP(#REF!/$H49/$G49,0),0)</f>
        <v>0</v>
      </c>
      <c r="J49" s="3743">
        <v>18000</v>
      </c>
      <c r="K49" s="3795">
        <f t="shared" si="4"/>
        <v>1</v>
      </c>
      <c r="L49" s="3780">
        <f>'3. P PLAN'!J138</f>
        <v>7578.9473684210543</v>
      </c>
      <c r="M49" s="3781">
        <f>'3. P PLAN'!K138</f>
        <v>7516.0918168436983</v>
      </c>
      <c r="N49" s="3782">
        <f>'3. P PLAN'!L138</f>
        <v>7578.9473684210543</v>
      </c>
      <c r="O49" s="3780">
        <f>'3. P PLAN'!M138</f>
        <v>3759.3984962406016</v>
      </c>
      <c r="P49" s="3781">
        <f>'3. P PLAN'!N138</f>
        <v>3759.3984962406016</v>
      </c>
      <c r="Q49" s="3782">
        <f>'3. P PLAN'!O138</f>
        <v>3759.3984962406016</v>
      </c>
      <c r="R49" s="3780">
        <f>'3. P PLAN'!P138</f>
        <v>3759.3984962406016</v>
      </c>
      <c r="S49" s="3781">
        <f>'3. P PLAN'!Q138</f>
        <v>3759.3984962406016</v>
      </c>
      <c r="T49" s="3782">
        <f>'3. P PLAN'!R138</f>
        <v>3759.3984962406016</v>
      </c>
      <c r="U49" s="3783">
        <f>'3. P PLAN'!S138</f>
        <v>3759.3984962406016</v>
      </c>
      <c r="V49" s="3781">
        <f>'3. P PLAN'!T138</f>
        <v>3759.3984962406016</v>
      </c>
      <c r="W49" s="3784">
        <f>'3. P PLAN'!U138</f>
        <v>3759.3984962406016</v>
      </c>
      <c r="X49" s="3785">
        <f t="shared" si="3"/>
        <v>56508.573019851232</v>
      </c>
    </row>
    <row r="50" spans="1:24" ht="18" customHeight="1">
      <c r="A50" s="5190"/>
      <c r="B50" s="5186"/>
      <c r="C50" s="1673"/>
      <c r="D50" s="1599"/>
      <c r="E50" s="1673"/>
      <c r="F50" s="15" t="s">
        <v>1256</v>
      </c>
      <c r="G50" s="2205">
        <f>IFERROR(VLOOKUP(E50,B.BasicInfomation!$A$10:$O$127,14,0),"")</f>
        <v>2</v>
      </c>
      <c r="H50" s="2205">
        <v>100000</v>
      </c>
      <c r="I50" s="2206">
        <f>IFERROR(ROUNDUP(#REF!/$H50/$G50,0),0)</f>
        <v>0</v>
      </c>
      <c r="J50" s="3743">
        <v>18000</v>
      </c>
      <c r="K50" s="3795">
        <f t="shared" si="4"/>
        <v>0</v>
      </c>
      <c r="L50" s="3780">
        <f>'3. P PLAN'!J139</f>
        <v>0</v>
      </c>
      <c r="M50" s="3781">
        <f>'3. P PLAN'!K139</f>
        <v>0</v>
      </c>
      <c r="N50" s="3782">
        <f>'3. P PLAN'!L139</f>
        <v>0</v>
      </c>
      <c r="O50" s="3780">
        <f>'3. P PLAN'!M139</f>
        <v>0</v>
      </c>
      <c r="P50" s="3781">
        <f>'3. P PLAN'!N139</f>
        <v>0</v>
      </c>
      <c r="Q50" s="3782">
        <f>'3. P PLAN'!O139</f>
        <v>0</v>
      </c>
      <c r="R50" s="3780">
        <f>'3. P PLAN'!P139</f>
        <v>0</v>
      </c>
      <c r="S50" s="3781">
        <f>'3. P PLAN'!Q139</f>
        <v>0</v>
      </c>
      <c r="T50" s="3782">
        <f>'3. P PLAN'!R139</f>
        <v>0</v>
      </c>
      <c r="U50" s="3783">
        <f>'3. P PLAN'!S139</f>
        <v>0</v>
      </c>
      <c r="V50" s="3781">
        <f>'3. P PLAN'!T139</f>
        <v>0</v>
      </c>
      <c r="W50" s="3784">
        <f>'3. P PLAN'!U139</f>
        <v>0</v>
      </c>
      <c r="X50" s="3785">
        <f t="shared" si="3"/>
        <v>0</v>
      </c>
    </row>
    <row r="51" spans="1:24" ht="18" customHeight="1">
      <c r="A51" s="5190"/>
      <c r="B51" s="5186"/>
      <c r="C51" s="1673"/>
      <c r="D51" s="1599"/>
      <c r="E51" s="1673"/>
      <c r="F51" s="15" t="s">
        <v>1257</v>
      </c>
      <c r="G51" s="2205">
        <f>IFERROR(VLOOKUP(E51,B.BasicInfomation!$A$10:$O$127,14,0),"")</f>
        <v>2</v>
      </c>
      <c r="H51" s="2205">
        <v>100000</v>
      </c>
      <c r="I51" s="2206">
        <f>IFERROR(ROUNDUP(#REF!/$H51/$G51,0),0)</f>
        <v>0</v>
      </c>
      <c r="J51" s="3743">
        <v>18000</v>
      </c>
      <c r="K51" s="3795">
        <f t="shared" si="4"/>
        <v>0</v>
      </c>
      <c r="L51" s="3780">
        <f>'3. P PLAN'!J140</f>
        <v>0</v>
      </c>
      <c r="M51" s="3781">
        <f>'3. P PLAN'!K140</f>
        <v>0</v>
      </c>
      <c r="N51" s="3782">
        <f>'3. P PLAN'!L140</f>
        <v>0</v>
      </c>
      <c r="O51" s="3780">
        <f>'3. P PLAN'!M140</f>
        <v>0</v>
      </c>
      <c r="P51" s="3781">
        <f>'3. P PLAN'!N140</f>
        <v>0</v>
      </c>
      <c r="Q51" s="3782">
        <f>'3. P PLAN'!O140</f>
        <v>0</v>
      </c>
      <c r="R51" s="3780">
        <f>'3. P PLAN'!P140</f>
        <v>0</v>
      </c>
      <c r="S51" s="3781">
        <f>'3. P PLAN'!Q140</f>
        <v>0</v>
      </c>
      <c r="T51" s="3782">
        <f>'3. P PLAN'!R140</f>
        <v>0</v>
      </c>
      <c r="U51" s="3783">
        <f>'3. P PLAN'!S140</f>
        <v>0</v>
      </c>
      <c r="V51" s="3781">
        <f>'3. P PLAN'!T140</f>
        <v>0</v>
      </c>
      <c r="W51" s="3784">
        <f>'3. P PLAN'!U140</f>
        <v>0</v>
      </c>
      <c r="X51" s="3785">
        <f t="shared" si="3"/>
        <v>0</v>
      </c>
    </row>
    <row r="52" spans="1:24" ht="18" customHeight="1">
      <c r="A52" s="5190"/>
      <c r="B52" s="5186"/>
      <c r="C52" s="1673"/>
      <c r="D52" s="1599"/>
      <c r="E52" s="1673"/>
      <c r="F52" s="15" t="s">
        <v>1258</v>
      </c>
      <c r="G52" s="2205">
        <f>IFERROR(VLOOKUP(E52,B.BasicInfomation!$A$10:$O$127,14,0),"")</f>
        <v>2</v>
      </c>
      <c r="H52" s="2205">
        <v>100000</v>
      </c>
      <c r="I52" s="2206">
        <f>IFERROR(ROUNDUP(#REF!/$H52/$G52,0),0)</f>
        <v>0</v>
      </c>
      <c r="J52" s="3743">
        <v>18000</v>
      </c>
      <c r="K52" s="3795">
        <f t="shared" si="4"/>
        <v>0</v>
      </c>
      <c r="L52" s="3780">
        <f>'3. P PLAN'!J141</f>
        <v>0</v>
      </c>
      <c r="M52" s="3781">
        <f>'3. P PLAN'!K141</f>
        <v>0</v>
      </c>
      <c r="N52" s="3782">
        <f>'3. P PLAN'!L141</f>
        <v>0</v>
      </c>
      <c r="O52" s="3780">
        <f>'3. P PLAN'!M141</f>
        <v>0</v>
      </c>
      <c r="P52" s="3781">
        <f>'3. P PLAN'!N141</f>
        <v>0</v>
      </c>
      <c r="Q52" s="3782">
        <f>'3. P PLAN'!O141</f>
        <v>0</v>
      </c>
      <c r="R52" s="3780">
        <f>'3. P PLAN'!P141</f>
        <v>0</v>
      </c>
      <c r="S52" s="3781">
        <f>'3. P PLAN'!Q141</f>
        <v>0</v>
      </c>
      <c r="T52" s="3782">
        <f>'3. P PLAN'!R141</f>
        <v>0</v>
      </c>
      <c r="U52" s="3783">
        <f>'3. P PLAN'!S141</f>
        <v>0</v>
      </c>
      <c r="V52" s="3781">
        <f>'3. P PLAN'!T141</f>
        <v>0</v>
      </c>
      <c r="W52" s="3784">
        <f>'3. P PLAN'!U141</f>
        <v>0</v>
      </c>
      <c r="X52" s="3785">
        <f t="shared" si="3"/>
        <v>0</v>
      </c>
    </row>
    <row r="53" spans="1:24" ht="18" customHeight="1">
      <c r="A53" s="5190"/>
      <c r="B53" s="5186"/>
      <c r="C53" s="1673"/>
      <c r="D53" s="15" t="s">
        <v>874</v>
      </c>
      <c r="E53" s="1673">
        <v>26</v>
      </c>
      <c r="F53" s="15" t="s">
        <v>889</v>
      </c>
      <c r="G53" s="2205">
        <f>IFERROR(VLOOKUP(E53,B.BasicInfomation!$A$10:$O$127,14,0),"")</f>
        <v>4</v>
      </c>
      <c r="H53" s="2205">
        <v>100000</v>
      </c>
      <c r="I53" s="2206">
        <f>IFERROR(ROUNDUP(#REF!/$H53/$G53,0),0)</f>
        <v>0</v>
      </c>
      <c r="J53" s="3743">
        <v>17000</v>
      </c>
      <c r="K53" s="3795">
        <f t="shared" si="4"/>
        <v>2</v>
      </c>
      <c r="L53" s="3780">
        <f>'3. P PLAN'!J142</f>
        <v>53498.452012383903</v>
      </c>
      <c r="M53" s="3781">
        <f>'3. P PLAN'!K142</f>
        <v>61523.2198142415</v>
      </c>
      <c r="N53" s="3782">
        <f>'3. P PLAN'!L142</f>
        <v>61919.50464396285</v>
      </c>
      <c r="O53" s="3780">
        <f>'3. P PLAN'!M142</f>
        <v>55727.55417956657</v>
      </c>
      <c r="P53" s="3781">
        <f>'3. P PLAN'!N142</f>
        <v>55727.55417956657</v>
      </c>
      <c r="Q53" s="3782">
        <f>'3. P PLAN'!O142</f>
        <v>55727.55417956657</v>
      </c>
      <c r="R53" s="3780">
        <f>'3. P PLAN'!P142</f>
        <v>55727.55417956657</v>
      </c>
      <c r="S53" s="3781">
        <f>'3. P PLAN'!Q142</f>
        <v>55727.55417956657</v>
      </c>
      <c r="T53" s="3782">
        <f>'3. P PLAN'!R142</f>
        <v>55727.55417956657</v>
      </c>
      <c r="U53" s="3783">
        <f>'3. P PLAN'!S142</f>
        <v>55727.55417956657</v>
      </c>
      <c r="V53" s="3781">
        <f>'3. P PLAN'!T142</f>
        <v>55727.55417956657</v>
      </c>
      <c r="W53" s="3784">
        <f>'3. P PLAN'!U142</f>
        <v>55727.55417956657</v>
      </c>
      <c r="X53" s="3785">
        <f t="shared" si="3"/>
        <v>678489.16408668738</v>
      </c>
    </row>
    <row r="54" spans="1:24" ht="18" customHeight="1">
      <c r="A54" s="5190"/>
      <c r="B54" s="5186"/>
      <c r="C54" s="1673"/>
      <c r="D54" s="15"/>
      <c r="E54" s="1673">
        <v>27</v>
      </c>
      <c r="F54" s="15" t="s">
        <v>890</v>
      </c>
      <c r="G54" s="2205">
        <f>IFERROR(VLOOKUP(E54,B.BasicInfomation!$A$10:$O$127,14,0),"")</f>
        <v>4</v>
      </c>
      <c r="H54" s="2205">
        <v>100000</v>
      </c>
      <c r="I54" s="2206">
        <f>IFERROR(ROUNDUP(#REF!/$H54/$G54,0),0)</f>
        <v>0</v>
      </c>
      <c r="J54" s="3743">
        <v>17000</v>
      </c>
      <c r="K54" s="3795">
        <f t="shared" si="4"/>
        <v>3</v>
      </c>
      <c r="L54" s="3780">
        <f>'3. P PLAN'!J143</f>
        <v>101547.98761609908</v>
      </c>
      <c r="M54" s="3781">
        <f>'3. P PLAN'!K143</f>
        <v>81733.746130030966</v>
      </c>
      <c r="N54" s="3782">
        <f>'3. P PLAN'!L143</f>
        <v>101547.98761609908</v>
      </c>
      <c r="O54" s="3780">
        <f>'3. P PLAN'!M143</f>
        <v>99071.207430340568</v>
      </c>
      <c r="P54" s="3781">
        <f>'3. P PLAN'!N143</f>
        <v>99071.207430340568</v>
      </c>
      <c r="Q54" s="3782">
        <f>'3. P PLAN'!O143</f>
        <v>99071.207430340568</v>
      </c>
      <c r="R54" s="3780">
        <f>'3. P PLAN'!P143</f>
        <v>92879.256965944282</v>
      </c>
      <c r="S54" s="3781">
        <f>'3. P PLAN'!Q143</f>
        <v>92879.256965944282</v>
      </c>
      <c r="T54" s="3782">
        <f>'3. P PLAN'!R143</f>
        <v>92879.256965944282</v>
      </c>
      <c r="U54" s="3783">
        <f>'3. P PLAN'!S143</f>
        <v>86687.306501547995</v>
      </c>
      <c r="V54" s="3781">
        <f>'3. P PLAN'!T143</f>
        <v>86687.306501547995</v>
      </c>
      <c r="W54" s="3784">
        <f>'3. P PLAN'!U143</f>
        <v>86687.306501547995</v>
      </c>
      <c r="X54" s="3785">
        <f t="shared" si="3"/>
        <v>1120743.0340557278</v>
      </c>
    </row>
    <row r="55" spans="1:24" ht="18" customHeight="1">
      <c r="A55" s="5190"/>
      <c r="B55" s="5186"/>
      <c r="C55" s="1673"/>
      <c r="D55" s="13"/>
      <c r="E55" s="1673">
        <v>28</v>
      </c>
      <c r="F55" s="15" t="s">
        <v>1269</v>
      </c>
      <c r="G55" s="2205">
        <f>IFERROR(VLOOKUP(E55,B.BasicInfomation!$A$10:$O$127,14,0),"")</f>
        <v>2</v>
      </c>
      <c r="H55" s="2205">
        <v>100000</v>
      </c>
      <c r="I55" s="2206">
        <f>IFERROR(ROUNDUP(#REF!/$H55/$G55,0),0)</f>
        <v>0</v>
      </c>
      <c r="J55" s="3743">
        <v>17000</v>
      </c>
      <c r="K55" s="3795">
        <f t="shared" si="4"/>
        <v>0</v>
      </c>
      <c r="L55" s="3780">
        <f>'3. P PLAN'!J144</f>
        <v>0</v>
      </c>
      <c r="M55" s="3781">
        <f>'3. P PLAN'!K144</f>
        <v>0</v>
      </c>
      <c r="N55" s="3782">
        <f>'3. P PLAN'!L144</f>
        <v>0</v>
      </c>
      <c r="O55" s="3780">
        <f>'3. P PLAN'!M144</f>
        <v>0</v>
      </c>
      <c r="P55" s="3781">
        <f>'3. P PLAN'!N144</f>
        <v>0</v>
      </c>
      <c r="Q55" s="3782">
        <f>'3. P PLAN'!O144</f>
        <v>0</v>
      </c>
      <c r="R55" s="3780">
        <f>'3. P PLAN'!P144</f>
        <v>0</v>
      </c>
      <c r="S55" s="3781">
        <f>'3. P PLAN'!Q144</f>
        <v>0</v>
      </c>
      <c r="T55" s="3782">
        <f>'3. P PLAN'!R144</f>
        <v>0</v>
      </c>
      <c r="U55" s="3783">
        <f>'3. P PLAN'!S144</f>
        <v>0</v>
      </c>
      <c r="V55" s="3781">
        <f>'3. P PLAN'!T144</f>
        <v>0</v>
      </c>
      <c r="W55" s="3784">
        <f>'3. P PLAN'!U144</f>
        <v>0</v>
      </c>
      <c r="X55" s="3785">
        <f t="shared" si="3"/>
        <v>0</v>
      </c>
    </row>
    <row r="56" spans="1:24" ht="18" customHeight="1">
      <c r="A56" s="5190"/>
      <c r="B56" s="5186"/>
      <c r="C56" s="1673"/>
      <c r="D56" s="13"/>
      <c r="E56" s="1673">
        <v>29</v>
      </c>
      <c r="F56" s="15" t="s">
        <v>1270</v>
      </c>
      <c r="G56" s="2205">
        <f>IFERROR(VLOOKUP(E56,B.BasicInfomation!$A$10:$O$127,14,0),"")</f>
        <v>2</v>
      </c>
      <c r="H56" s="2205">
        <v>100000</v>
      </c>
      <c r="I56" s="2206">
        <f>IFERROR(ROUNDUP(#REF!/$H56/$G56,0),0)</f>
        <v>0</v>
      </c>
      <c r="J56" s="3743">
        <v>17000</v>
      </c>
      <c r="K56" s="3795">
        <f t="shared" si="4"/>
        <v>1</v>
      </c>
      <c r="L56" s="3780">
        <f>'3. P PLAN'!J145</f>
        <v>0</v>
      </c>
      <c r="M56" s="3781">
        <f>'3. P PLAN'!K145</f>
        <v>0</v>
      </c>
      <c r="N56" s="3782">
        <f>'3. P PLAN'!L145</f>
        <v>0</v>
      </c>
      <c r="O56" s="3780">
        <f>'3. P PLAN'!M145</f>
        <v>0</v>
      </c>
      <c r="P56" s="3781">
        <f>'3. P PLAN'!N145</f>
        <v>0</v>
      </c>
      <c r="Q56" s="3782">
        <f>'3. P PLAN'!O145</f>
        <v>0</v>
      </c>
      <c r="R56" s="3780">
        <f>'3. P PLAN'!P145</f>
        <v>0</v>
      </c>
      <c r="S56" s="3781">
        <f>'3. P PLAN'!Q145</f>
        <v>0</v>
      </c>
      <c r="T56" s="3782">
        <f>'3. P PLAN'!R145</f>
        <v>0</v>
      </c>
      <c r="U56" s="3783">
        <f>'3. P PLAN'!S145</f>
        <v>0</v>
      </c>
      <c r="V56" s="3781">
        <f>'3. P PLAN'!T145</f>
        <v>3715.1702786377709</v>
      </c>
      <c r="W56" s="3784">
        <f>'3. P PLAN'!U145</f>
        <v>412.79669762641896</v>
      </c>
      <c r="X56" s="3785">
        <f t="shared" si="3"/>
        <v>4127.9669762641897</v>
      </c>
    </row>
    <row r="57" spans="1:24" ht="18" customHeight="1">
      <c r="A57" s="5190"/>
      <c r="B57" s="5186"/>
      <c r="C57" s="1673"/>
      <c r="D57" s="13"/>
      <c r="E57" s="1673">
        <v>30</v>
      </c>
      <c r="F57" s="15" t="s">
        <v>1271</v>
      </c>
      <c r="G57" s="2205">
        <f>IFERROR(VLOOKUP(E57,B.BasicInfomation!$A$10:$O$127,14,0),"")</f>
        <v>2</v>
      </c>
      <c r="H57" s="2205">
        <v>100000</v>
      </c>
      <c r="I57" s="2206">
        <f>IFERROR(ROUNDUP(#REF!/$H57/$G57,0),0)</f>
        <v>0</v>
      </c>
      <c r="J57" s="3743">
        <v>17000</v>
      </c>
      <c r="K57" s="3795">
        <f t="shared" si="4"/>
        <v>1</v>
      </c>
      <c r="L57" s="3780">
        <f>'3. P PLAN'!J146</f>
        <v>0</v>
      </c>
      <c r="M57" s="3781">
        <f>'3. P PLAN'!K146</f>
        <v>0</v>
      </c>
      <c r="N57" s="3782">
        <f>'3. P PLAN'!L146</f>
        <v>0</v>
      </c>
      <c r="O57" s="3780">
        <f>'3. P PLAN'!M146</f>
        <v>0</v>
      </c>
      <c r="P57" s="3781">
        <f>'3. P PLAN'!N146</f>
        <v>14447.884416924666</v>
      </c>
      <c r="Q57" s="3782">
        <f>'3. P PLAN'!O146</f>
        <v>14447.884416924666</v>
      </c>
      <c r="R57" s="3780">
        <f>'3. P PLAN'!P146</f>
        <v>14447.884416924666</v>
      </c>
      <c r="S57" s="3781">
        <f>'3. P PLAN'!Q146</f>
        <v>14447.884416924666</v>
      </c>
      <c r="T57" s="3782">
        <f>'3. P PLAN'!R146</f>
        <v>14447.884416924666</v>
      </c>
      <c r="U57" s="3783">
        <f>'3. P PLAN'!S146</f>
        <v>14447.884416924666</v>
      </c>
      <c r="V57" s="3781">
        <f>'3. P PLAN'!T146</f>
        <v>14447.884416924666</v>
      </c>
      <c r="W57" s="3784">
        <f>'3. P PLAN'!U146</f>
        <v>14447.884416924666</v>
      </c>
      <c r="X57" s="3785">
        <f t="shared" si="3"/>
        <v>115583.07533539736</v>
      </c>
    </row>
    <row r="58" spans="1:24" ht="18" customHeight="1">
      <c r="A58" s="5190"/>
      <c r="B58" s="5186"/>
      <c r="C58" s="1673"/>
      <c r="D58" s="13"/>
      <c r="E58" s="1673">
        <v>31</v>
      </c>
      <c r="F58" s="15" t="s">
        <v>1272</v>
      </c>
      <c r="G58" s="2205">
        <f>IFERROR(VLOOKUP(E58,B.BasicInfomation!$A$10:$O$127,14,0),"")</f>
        <v>2</v>
      </c>
      <c r="H58" s="2205">
        <v>100000</v>
      </c>
      <c r="I58" s="2206">
        <f>IFERROR(ROUNDUP(#REF!/$H58/$G58,0),0)</f>
        <v>0</v>
      </c>
      <c r="J58" s="3743">
        <v>17000</v>
      </c>
      <c r="K58" s="3795">
        <f t="shared" si="4"/>
        <v>1</v>
      </c>
      <c r="L58" s="3780">
        <f>'3. P PLAN'!J147</f>
        <v>0</v>
      </c>
      <c r="M58" s="3781">
        <f>'3. P PLAN'!K147</f>
        <v>0</v>
      </c>
      <c r="N58" s="3782">
        <f>'3. P PLAN'!L147</f>
        <v>0</v>
      </c>
      <c r="O58" s="3780">
        <f>'3. P PLAN'!M147</f>
        <v>0</v>
      </c>
      <c r="P58" s="3781">
        <f>'3. P PLAN'!N147</f>
        <v>3095.9752321981427</v>
      </c>
      <c r="Q58" s="3782">
        <f>'3. P PLAN'!O147</f>
        <v>3095.9752321981427</v>
      </c>
      <c r="R58" s="3780">
        <f>'3. P PLAN'!P147</f>
        <v>3095.9752321981427</v>
      </c>
      <c r="S58" s="3781">
        <f>'3. P PLAN'!Q147</f>
        <v>3095.9752321981427</v>
      </c>
      <c r="T58" s="3782">
        <f>'3. P PLAN'!R147</f>
        <v>3095.9752321981427</v>
      </c>
      <c r="U58" s="3783">
        <f>'3. P PLAN'!S147</f>
        <v>3095.9752321981427</v>
      </c>
      <c r="V58" s="3781">
        <f>'3. P PLAN'!T147</f>
        <v>3095.9752321981427</v>
      </c>
      <c r="W58" s="3784">
        <f>'3. P PLAN'!U147</f>
        <v>3095.9752321981427</v>
      </c>
      <c r="X58" s="3785">
        <f t="shared" si="3"/>
        <v>24767.801857585142</v>
      </c>
    </row>
    <row r="59" spans="1:24" ht="18" customHeight="1">
      <c r="A59" s="5190"/>
      <c r="B59" s="5186"/>
      <c r="C59" s="1733"/>
      <c r="D59" s="1607" t="s">
        <v>892</v>
      </c>
      <c r="E59" s="1733">
        <v>32</v>
      </c>
      <c r="F59" s="11" t="s">
        <v>893</v>
      </c>
      <c r="G59" s="2213">
        <f>IFERROR(VLOOKUP(E59,B.BasicInfomation!$A$10:$O$127,14,0),"")</f>
        <v>2</v>
      </c>
      <c r="H59" s="2213">
        <v>100000</v>
      </c>
      <c r="I59" s="4537">
        <f>IFERROR(ROUNDUP(#REF!/$H59/$G59,0),0)</f>
        <v>0</v>
      </c>
      <c r="J59" s="3744">
        <v>17000</v>
      </c>
      <c r="K59" s="3825">
        <f t="shared" si="4"/>
        <v>5</v>
      </c>
      <c r="L59" s="3826">
        <f>'3. P PLAN'!J148</f>
        <v>123207.27803632469</v>
      </c>
      <c r="M59" s="3827">
        <f>'3. P PLAN'!K148</f>
        <v>82138.185357549781</v>
      </c>
      <c r="N59" s="3828">
        <f>'3. P PLAN'!L148</f>
        <v>96512.367795121012</v>
      </c>
      <c r="O59" s="3826">
        <f>'3. P PLAN'!M148</f>
        <v>70893.076647885246</v>
      </c>
      <c r="P59" s="3827">
        <f>'3. P PLAN'!N148</f>
        <v>70893.076647885246</v>
      </c>
      <c r="Q59" s="3828">
        <f>'3. P PLAN'!O148</f>
        <v>70893.076647885246</v>
      </c>
      <c r="R59" s="3826">
        <f>'3. P PLAN'!P148</f>
        <v>70893.076647885246</v>
      </c>
      <c r="S59" s="3827">
        <f>'3. P PLAN'!Q148</f>
        <v>70893.076647885246</v>
      </c>
      <c r="T59" s="3828">
        <f>'3. P PLAN'!R148</f>
        <v>70893.076647885246</v>
      </c>
      <c r="U59" s="4538">
        <f>'3. P PLAN'!S148</f>
        <v>70893.076647885246</v>
      </c>
      <c r="V59" s="3827">
        <f>'3. P PLAN'!T148</f>
        <v>70893.076647885246</v>
      </c>
      <c r="W59" s="4539">
        <f>'3. P PLAN'!U148</f>
        <v>70893.076647885246</v>
      </c>
      <c r="X59" s="3829">
        <f t="shared" si="3"/>
        <v>939895.52101996285</v>
      </c>
    </row>
    <row r="60" spans="1:24" ht="18" customHeight="1">
      <c r="A60" s="5190"/>
      <c r="B60" s="5186"/>
      <c r="C60" s="15" t="s">
        <v>405</v>
      </c>
      <c r="D60" s="1599" t="s">
        <v>865</v>
      </c>
      <c r="E60" s="1673">
        <v>33</v>
      </c>
      <c r="F60" s="15" t="s">
        <v>894</v>
      </c>
      <c r="G60" s="2205">
        <f>IFERROR(VLOOKUP(E60,B.BasicInfomation!$A$10:$O$127,14,0),"")</f>
        <v>2</v>
      </c>
      <c r="H60" s="2205">
        <v>100000</v>
      </c>
      <c r="I60" s="2206">
        <f>IFERROR(ROUNDUP(#REF!/$H60/$G60,0),0)</f>
        <v>0</v>
      </c>
      <c r="J60" s="3743">
        <v>18000</v>
      </c>
      <c r="K60" s="3795">
        <f t="shared" si="4"/>
        <v>4</v>
      </c>
      <c r="L60" s="3780">
        <f>'3. P PLAN'!J149</f>
        <v>64095.229413404872</v>
      </c>
      <c r="M60" s="3781">
        <f>'3. P PLAN'!K149</f>
        <v>64095.229413404872</v>
      </c>
      <c r="N60" s="3782">
        <f>'3. P PLAN'!L149</f>
        <v>55496.033414750738</v>
      </c>
      <c r="O60" s="3780">
        <f>'3. P PLAN'!M149</f>
        <v>55496.033414750738</v>
      </c>
      <c r="P60" s="3781">
        <f>'3. P PLAN'!N149</f>
        <v>55496.033414750738</v>
      </c>
      <c r="Q60" s="3782">
        <f>'3. P PLAN'!O149</f>
        <v>55496.033414750738</v>
      </c>
      <c r="R60" s="3780">
        <f>'3. P PLAN'!P149</f>
        <v>55496.033414750738</v>
      </c>
      <c r="S60" s="3781">
        <f>'3. P PLAN'!Q149</f>
        <v>55496.033414750738</v>
      </c>
      <c r="T60" s="3782">
        <f>'3. P PLAN'!R149</f>
        <v>55496.033414750738</v>
      </c>
      <c r="U60" s="3783">
        <f>'3. P PLAN'!S149</f>
        <v>55496.033414750738</v>
      </c>
      <c r="V60" s="3781">
        <f>'3. P PLAN'!T149</f>
        <v>55496.033414750738</v>
      </c>
      <c r="W60" s="3784">
        <f>'3. P PLAN'!U149</f>
        <v>55496.033414750738</v>
      </c>
      <c r="X60" s="3785">
        <f t="shared" si="3"/>
        <v>683150.79297431698</v>
      </c>
    </row>
    <row r="61" spans="1:24" ht="18" customHeight="1">
      <c r="A61" s="5190"/>
      <c r="B61" s="5186"/>
      <c r="C61" s="1673"/>
      <c r="D61" s="15"/>
      <c r="E61" s="1673">
        <v>34</v>
      </c>
      <c r="F61" s="15" t="s">
        <v>895</v>
      </c>
      <c r="G61" s="2205">
        <f>IFERROR(VLOOKUP(E61,B.BasicInfomation!$A$10:$O$127,14,0),"")</f>
        <v>2</v>
      </c>
      <c r="H61" s="2205">
        <v>100000</v>
      </c>
      <c r="I61" s="2206">
        <f>IFERROR(ROUNDUP(#REF!/$H61/$G61,0),0)</f>
        <v>0</v>
      </c>
      <c r="J61" s="3743">
        <v>18000</v>
      </c>
      <c r="K61" s="3796">
        <f t="shared" si="4"/>
        <v>4</v>
      </c>
      <c r="L61" s="3780">
        <f>'3. P PLAN'!J150</f>
        <v>59015.676617951081</v>
      </c>
      <c r="M61" s="3781">
        <f>'3. P PLAN'!K150</f>
        <v>56623.044719437086</v>
      </c>
      <c r="N61" s="3782">
        <f>'3. P PLAN'!L150</f>
        <v>60246.619375109301</v>
      </c>
      <c r="O61" s="3780">
        <f>'3. P PLAN'!M150</f>
        <v>60246.619375109301</v>
      </c>
      <c r="P61" s="3781">
        <f>'3. P PLAN'!N150</f>
        <v>61492.781822252</v>
      </c>
      <c r="Q61" s="3782">
        <f>'3. P PLAN'!O150</f>
        <v>79913.438351098157</v>
      </c>
      <c r="R61" s="3780">
        <f>'3. P PLAN'!P150</f>
        <v>74706.532772277642</v>
      </c>
      <c r="S61" s="3781">
        <f>'3. P PLAN'!Q150</f>
        <v>74706.532772277642</v>
      </c>
      <c r="T61" s="3782">
        <f>'3. P PLAN'!R150</f>
        <v>73260.984333592103</v>
      </c>
      <c r="U61" s="3783">
        <f>'3. P PLAN'!S150</f>
        <v>60047.233383566461</v>
      </c>
      <c r="V61" s="3781">
        <f>'3. P PLAN'!T150</f>
        <v>41626.576854720312</v>
      </c>
      <c r="W61" s="3784">
        <f>'3. P PLAN'!U150</f>
        <v>43072.125293405843</v>
      </c>
      <c r="X61" s="3785">
        <f t="shared" si="3"/>
        <v>744958.165670797</v>
      </c>
    </row>
    <row r="62" spans="1:24" ht="18" customHeight="1">
      <c r="A62" s="5190"/>
      <c r="B62" s="5186"/>
      <c r="C62" s="1673"/>
      <c r="D62" s="15"/>
      <c r="E62" s="1673">
        <v>35</v>
      </c>
      <c r="F62" s="15" t="s">
        <v>896</v>
      </c>
      <c r="G62" s="2205">
        <f>IFERROR(VLOOKUP(E62,B.BasicInfomation!$A$10:$O$127,14,0),"")</f>
        <v>2</v>
      </c>
      <c r="H62" s="2205">
        <v>100000</v>
      </c>
      <c r="I62" s="2206">
        <f>IFERROR(ROUNDUP(#REF!/$H62/$G62,0),0)</f>
        <v>0</v>
      </c>
      <c r="J62" s="3743">
        <v>18000</v>
      </c>
      <c r="K62" s="3796">
        <f t="shared" si="4"/>
        <v>9</v>
      </c>
      <c r="L62" s="3780">
        <f>'3. P PLAN'!J151</f>
        <v>146649.22109806188</v>
      </c>
      <c r="M62" s="3781">
        <f>'3. P PLAN'!K151</f>
        <v>146649.22109806188</v>
      </c>
      <c r="N62" s="3782">
        <f>'3. P PLAN'!L151</f>
        <v>151557.52139871876</v>
      </c>
      <c r="O62" s="3780">
        <f>'3. P PLAN'!M151</f>
        <v>144995.14258588935</v>
      </c>
      <c r="P62" s="3781">
        <f>'3. P PLAN'!N151</f>
        <v>149945.75535067968</v>
      </c>
      <c r="Q62" s="3782">
        <f>'3. P PLAN'!O151</f>
        <v>149945.75535067968</v>
      </c>
      <c r="R62" s="3780">
        <f>'3. P PLAN'!P151</f>
        <v>149945.75535067968</v>
      </c>
      <c r="S62" s="3781">
        <f>'3. P PLAN'!Q151</f>
        <v>149945.75535067968</v>
      </c>
      <c r="T62" s="3782">
        <f>'3. P PLAN'!R151</f>
        <v>143383.37653785024</v>
      </c>
      <c r="U62" s="3783">
        <f>'3. P PLAN'!S151</f>
        <v>143383.37653785024</v>
      </c>
      <c r="V62" s="3781">
        <f>'3. P PLAN'!T151</f>
        <v>143383.37653785024</v>
      </c>
      <c r="W62" s="3784">
        <f>'3. P PLAN'!U151</f>
        <v>149945.75535067968</v>
      </c>
      <c r="X62" s="3785">
        <f t="shared" si="3"/>
        <v>1769730.0125476806</v>
      </c>
    </row>
    <row r="63" spans="1:24" ht="18" customHeight="1">
      <c r="A63" s="5190"/>
      <c r="B63" s="5186"/>
      <c r="C63" s="1673"/>
      <c r="D63" s="15" t="s">
        <v>874</v>
      </c>
      <c r="E63" s="1673">
        <v>36</v>
      </c>
      <c r="F63" s="15" t="s">
        <v>404</v>
      </c>
      <c r="G63" s="2205">
        <f>IFERROR(VLOOKUP(E63,B.BasicInfomation!$A$10:$O$127,14,0),"")</f>
        <v>2</v>
      </c>
      <c r="H63" s="2205">
        <v>100000</v>
      </c>
      <c r="I63" s="2206">
        <f>IFERROR(ROUNDUP(#REF!/$H63/$G63,0),0)</f>
        <v>0</v>
      </c>
      <c r="J63" s="3743">
        <v>20000</v>
      </c>
      <c r="K63" s="3796">
        <f t="shared" si="4"/>
        <v>4</v>
      </c>
      <c r="L63" s="3780">
        <f>'3. P PLAN'!J152</f>
        <v>64138.360515380795</v>
      </c>
      <c r="M63" s="3781">
        <f>'3. P PLAN'!K152</f>
        <v>64138.360515380795</v>
      </c>
      <c r="N63" s="3782">
        <f>'3. P PLAN'!L152</f>
        <v>55533.37792694573</v>
      </c>
      <c r="O63" s="3780">
        <f>'3. P PLAN'!M152</f>
        <v>55533.37792694573</v>
      </c>
      <c r="P63" s="3781">
        <f>'3. P PLAN'!N152</f>
        <v>55533.37792694573</v>
      </c>
      <c r="Q63" s="3782">
        <f>'3. P PLAN'!O152</f>
        <v>55533.37792694573</v>
      </c>
      <c r="R63" s="3780">
        <f>'3. P PLAN'!P152</f>
        <v>55533.37792694573</v>
      </c>
      <c r="S63" s="3781">
        <f>'3. P PLAN'!Q152</f>
        <v>55533.37792694573</v>
      </c>
      <c r="T63" s="3782">
        <f>'3. P PLAN'!R152</f>
        <v>55533.37792694573</v>
      </c>
      <c r="U63" s="3783">
        <f>'3. P PLAN'!S152</f>
        <v>55533.37792694573</v>
      </c>
      <c r="V63" s="3781">
        <f>'3. P PLAN'!T152</f>
        <v>55533.37792694573</v>
      </c>
      <c r="W63" s="3784">
        <f>'3. P PLAN'!U152</f>
        <v>55533.37792694573</v>
      </c>
      <c r="X63" s="3785">
        <f t="shared" si="3"/>
        <v>683610.50030021882</v>
      </c>
    </row>
    <row r="64" spans="1:24" ht="18" customHeight="1">
      <c r="A64" s="5190"/>
      <c r="B64" s="5186"/>
      <c r="C64" s="1673"/>
      <c r="D64" s="15"/>
      <c r="E64" s="1673">
        <v>37</v>
      </c>
      <c r="F64" s="15" t="s">
        <v>897</v>
      </c>
      <c r="G64" s="2205">
        <f>IFERROR(VLOOKUP(E64,B.BasicInfomation!$A$10:$O$127,14,0),"")</f>
        <v>2</v>
      </c>
      <c r="H64" s="2205">
        <v>100000</v>
      </c>
      <c r="I64" s="2206">
        <f>IFERROR(ROUNDUP(#REF!/$H64/$G64,0),0)</f>
        <v>0</v>
      </c>
      <c r="J64" s="3743">
        <v>20000</v>
      </c>
      <c r="K64" s="3796">
        <f t="shared" si="4"/>
        <v>4</v>
      </c>
      <c r="L64" s="3780">
        <f>'3. P PLAN'!J153</f>
        <v>57831.20058130192</v>
      </c>
      <c r="M64" s="3781">
        <f>'3. P PLAN'!K153</f>
        <v>55401.575112664781</v>
      </c>
      <c r="N64" s="3782">
        <f>'3. P PLAN'!L153</f>
        <v>59040.738195988291</v>
      </c>
      <c r="O64" s="3780">
        <f>'3. P PLAN'!M153</f>
        <v>59040.738195988291</v>
      </c>
      <c r="P64" s="3781">
        <f>'3. P PLAN'!N153</f>
        <v>60305.899085448917</v>
      </c>
      <c r="Q64" s="3782">
        <f>'3. P PLAN'!O153</f>
        <v>78299.26396483084</v>
      </c>
      <c r="R64" s="3780">
        <f>'3. P PLAN'!P153</f>
        <v>73213.139492258895</v>
      </c>
      <c r="S64" s="3781">
        <f>'3. P PLAN'!Q153</f>
        <v>73213.139492258895</v>
      </c>
      <c r="T64" s="3782">
        <f>'3. P PLAN'!R153</f>
        <v>71745.55286048456</v>
      </c>
      <c r="U64" s="3783">
        <f>'3. P PLAN'!S153</f>
        <v>58838.312453674589</v>
      </c>
      <c r="V64" s="3781">
        <f>'3. P PLAN'!T153</f>
        <v>40844.947574292666</v>
      </c>
      <c r="W64" s="3784">
        <f>'3. P PLAN'!U153</f>
        <v>42312.534206067001</v>
      </c>
      <c r="X64" s="3785">
        <f t="shared" si="3"/>
        <v>730087.0412152597</v>
      </c>
    </row>
    <row r="65" spans="1:24" ht="18" customHeight="1">
      <c r="A65" s="5190"/>
      <c r="B65" s="5186"/>
      <c r="C65" s="1673"/>
      <c r="D65" s="15"/>
      <c r="E65" s="1673">
        <v>38</v>
      </c>
      <c r="F65" s="15" t="s">
        <v>898</v>
      </c>
      <c r="G65" s="2205">
        <f>IFERROR(VLOOKUP(E65,B.BasicInfomation!$A$10:$O$127,14,0),"")</f>
        <v>2</v>
      </c>
      <c r="H65" s="2205">
        <v>100000</v>
      </c>
      <c r="I65" s="2206">
        <f>IFERROR(ROUNDUP(#REF!/$H65/$G65,0),0)</f>
        <v>0</v>
      </c>
      <c r="J65" s="3743">
        <v>12000</v>
      </c>
      <c r="K65" s="3796">
        <f t="shared" si="4"/>
        <v>9</v>
      </c>
      <c r="L65" s="3780">
        <f>'3. P PLAN'!J154</f>
        <v>145427.8380654229</v>
      </c>
      <c r="M65" s="3781">
        <f>'3. P PLAN'!K154</f>
        <v>145427.8380654229</v>
      </c>
      <c r="N65" s="3782">
        <f>'3. P PLAN'!L154</f>
        <v>150668.36665998967</v>
      </c>
      <c r="O65" s="3780">
        <f>'3. P PLAN'!M154</f>
        <v>143661.7998832158</v>
      </c>
      <c r="P65" s="3781">
        <f>'3. P PLAN'!N154</f>
        <v>149092.03116338787</v>
      </c>
      <c r="Q65" s="3782">
        <f>'3. P PLAN'!O154</f>
        <v>149092.03116338787</v>
      </c>
      <c r="R65" s="3780">
        <f>'3. P PLAN'!P154</f>
        <v>149092.03116338787</v>
      </c>
      <c r="S65" s="3781">
        <f>'3. P PLAN'!Q154</f>
        <v>149092.03116338787</v>
      </c>
      <c r="T65" s="3782">
        <f>'3. P PLAN'!R154</f>
        <v>142085.46438661401</v>
      </c>
      <c r="U65" s="3783">
        <f>'3. P PLAN'!S154</f>
        <v>142085.46438661401</v>
      </c>
      <c r="V65" s="3781">
        <f>'3. P PLAN'!T154</f>
        <v>142085.46438661401</v>
      </c>
      <c r="W65" s="3784">
        <f>'3. P PLAN'!U154</f>
        <v>149092.03116338787</v>
      </c>
      <c r="X65" s="3785">
        <f t="shared" si="3"/>
        <v>1756902.391650833</v>
      </c>
    </row>
    <row r="66" spans="1:24" ht="18" customHeight="1">
      <c r="A66" s="5190"/>
      <c r="B66" s="5186"/>
      <c r="C66" s="1673"/>
      <c r="D66" s="15" t="s">
        <v>885</v>
      </c>
      <c r="E66" s="1673">
        <v>39</v>
      </c>
      <c r="F66" s="15" t="s">
        <v>899</v>
      </c>
      <c r="G66" s="2205">
        <f>IFERROR(VLOOKUP(E66,B.BasicInfomation!$A$10:$O$127,14,0),"")</f>
        <v>2</v>
      </c>
      <c r="H66" s="2205">
        <v>100000</v>
      </c>
      <c r="I66" s="2206">
        <f>IFERROR(ROUNDUP(#REF!/$H66/$G66,0),0)</f>
        <v>0</v>
      </c>
      <c r="J66" s="3743">
        <v>12000</v>
      </c>
      <c r="K66" s="3796">
        <f t="shared" si="4"/>
        <v>16</v>
      </c>
      <c r="L66" s="3780">
        <f>'3. P PLAN'!J155</f>
        <v>182592.60969505535</v>
      </c>
      <c r="M66" s="3781">
        <f>'3. P PLAN'!K155</f>
        <v>183585.34664454433</v>
      </c>
      <c r="N66" s="3782">
        <f>'3. P PLAN'!L155</f>
        <v>274141.08642357367</v>
      </c>
      <c r="O66" s="3780">
        <f>'3. P PLAN'!M155</f>
        <v>267936.48048926773</v>
      </c>
      <c r="P66" s="3781">
        <f>'3. P PLAN'!N155</f>
        <v>267936.48048926773</v>
      </c>
      <c r="Q66" s="3782">
        <f>'3. P PLAN'!O155</f>
        <v>257964.04961049763</v>
      </c>
      <c r="R66" s="3780">
        <f>'3. P PLAN'!P155</f>
        <v>257964.04961049763</v>
      </c>
      <c r="S66" s="3781">
        <f>'3. P PLAN'!Q155</f>
        <v>264168.65554480365</v>
      </c>
      <c r="T66" s="3782">
        <f>'3. P PLAN'!R155</f>
        <v>274141.08642357367</v>
      </c>
      <c r="U66" s="3783">
        <f>'3. P PLAN'!S155</f>
        <v>267936.48048926773</v>
      </c>
      <c r="V66" s="3781">
        <f>'3. P PLAN'!T155</f>
        <v>257964.04961049763</v>
      </c>
      <c r="W66" s="3784">
        <f>'3. P PLAN'!U155</f>
        <v>257964.04961049763</v>
      </c>
      <c r="X66" s="3785">
        <f t="shared" si="3"/>
        <v>3014294.4246413438</v>
      </c>
    </row>
    <row r="67" spans="1:24" ht="18" customHeight="1">
      <c r="A67" s="5190"/>
      <c r="B67" s="5186"/>
      <c r="C67" s="1673"/>
      <c r="D67" s="15" t="s">
        <v>892</v>
      </c>
      <c r="E67" s="1673">
        <v>40</v>
      </c>
      <c r="F67" s="15" t="s">
        <v>900</v>
      </c>
      <c r="G67" s="2205">
        <f>IFERROR(VLOOKUP(E67,B.BasicInfomation!$A$10:$O$127,14,0),"")</f>
        <v>2</v>
      </c>
      <c r="H67" s="2205">
        <v>100000</v>
      </c>
      <c r="I67" s="2206">
        <f>IFERROR(ROUNDUP(#REF!/$H67/$G67,0),0)</f>
        <v>0</v>
      </c>
      <c r="J67" s="3743">
        <v>19000</v>
      </c>
      <c r="K67" s="3796">
        <f t="shared" si="4"/>
        <v>1</v>
      </c>
      <c r="L67" s="3780">
        <f>'3. P PLAN'!J156</f>
        <v>12875.519991921085</v>
      </c>
      <c r="M67" s="3781">
        <f>'3. P PLAN'!K156</f>
        <v>12875.519991921085</v>
      </c>
      <c r="N67" s="3782">
        <f>'3. P PLAN'!L156</f>
        <v>9934.8148085810863</v>
      </c>
      <c r="O67" s="3780">
        <f>'3. P PLAN'!M156</f>
        <v>9934.8148085810863</v>
      </c>
      <c r="P67" s="3781">
        <f>'3. P PLAN'!N156</f>
        <v>17346.186655782574</v>
      </c>
      <c r="Q67" s="3782">
        <f>'3. P PLAN'!O156</f>
        <v>17346.186655782574</v>
      </c>
      <c r="R67" s="3780">
        <f>'3. P PLAN'!P156</f>
        <v>17346.186655782574</v>
      </c>
      <c r="S67" s="3781">
        <f>'3. P PLAN'!Q156</f>
        <v>9934.8148085810863</v>
      </c>
      <c r="T67" s="3782">
        <f>'3. P PLAN'!R156</f>
        <v>12875.519991921085</v>
      </c>
      <c r="U67" s="3783">
        <f>'3. P PLAN'!S156</f>
        <v>12875.519991921085</v>
      </c>
      <c r="V67" s="3781">
        <f>'3. P PLAN'!T156</f>
        <v>12875.519991921085</v>
      </c>
      <c r="W67" s="3784">
        <f>'3. P PLAN'!U156</f>
        <v>9934.8148085810863</v>
      </c>
      <c r="X67" s="3785">
        <f t="shared" si="3"/>
        <v>156155.41916127747</v>
      </c>
    </row>
    <row r="68" spans="1:24" ht="18" customHeight="1">
      <c r="A68" s="5190"/>
      <c r="B68" s="5186"/>
      <c r="C68" s="1673"/>
      <c r="D68" s="15"/>
      <c r="E68" s="1673">
        <v>41</v>
      </c>
      <c r="F68" s="15" t="s">
        <v>901</v>
      </c>
      <c r="G68" s="2205">
        <f>IFERROR(VLOOKUP(E68,B.BasicInfomation!$A$10:$O$127,14,0),"")</f>
        <v>1</v>
      </c>
      <c r="H68" s="2205">
        <v>100000</v>
      </c>
      <c r="I68" s="2206">
        <f>IFERROR(ROUNDUP(#REF!/$H68/$G68,0),0)</f>
        <v>0</v>
      </c>
      <c r="J68" s="3743">
        <v>20000</v>
      </c>
      <c r="K68" s="3796">
        <f t="shared" si="4"/>
        <v>1</v>
      </c>
      <c r="L68" s="3780">
        <f>'3. P PLAN'!J157</f>
        <v>3779.4988454087393</v>
      </c>
      <c r="M68" s="3781">
        <f>'3. P PLAN'!K157</f>
        <v>3779.4988454087393</v>
      </c>
      <c r="N68" s="3782">
        <f>'3. P PLAN'!L157</f>
        <v>6327.2860135190949</v>
      </c>
      <c r="O68" s="3780">
        <f>'3. P PLAN'!M157</f>
        <v>3779.4988454087393</v>
      </c>
      <c r="P68" s="3781">
        <f>'3. P PLAN'!N157</f>
        <v>3779.4988454087393</v>
      </c>
      <c r="Q68" s="3782">
        <f>'3. P PLAN'!O157</f>
        <v>3779.4988454087393</v>
      </c>
      <c r="R68" s="3780">
        <f>'3. P PLAN'!P157</f>
        <v>6327.2860135190949</v>
      </c>
      <c r="S68" s="3781">
        <f>'3. P PLAN'!Q157</f>
        <v>6327.2860135190949</v>
      </c>
      <c r="T68" s="3782">
        <f>'3. P PLAN'!R157</f>
        <v>6327.2860135190949</v>
      </c>
      <c r="U68" s="3783">
        <f>'3. P PLAN'!S157</f>
        <v>3779.4988454087393</v>
      </c>
      <c r="V68" s="3781">
        <f>'3. P PLAN'!T157</f>
        <v>3779.4988454087393</v>
      </c>
      <c r="W68" s="3784">
        <f>'3. P PLAN'!U157</f>
        <v>3779.4988454087393</v>
      </c>
      <c r="X68" s="3785">
        <f t="shared" si="3"/>
        <v>55545.134817346283</v>
      </c>
    </row>
    <row r="69" spans="1:24" ht="18" customHeight="1">
      <c r="A69" s="5190"/>
      <c r="B69" s="5186"/>
      <c r="C69" s="1673"/>
      <c r="D69" s="15"/>
      <c r="E69" s="1673"/>
      <c r="F69" s="15" t="s">
        <v>1283</v>
      </c>
      <c r="G69" s="2205">
        <f>IFERROR(VLOOKUP(E69,B.BasicInfomation!$A$10:$O$127,14,0),"")</f>
        <v>2</v>
      </c>
      <c r="H69" s="2205">
        <v>100000</v>
      </c>
      <c r="I69" s="2206">
        <f>IFERROR(ROUNDUP(#REF!/$H69/$G69,0),0)</f>
        <v>0</v>
      </c>
      <c r="J69" s="3743">
        <v>20000</v>
      </c>
      <c r="K69" s="3796">
        <f t="shared" si="4"/>
        <v>0</v>
      </c>
      <c r="L69" s="3780">
        <f>'3. P PLAN'!J158</f>
        <v>0</v>
      </c>
      <c r="M69" s="3781">
        <f>'3. P PLAN'!K158</f>
        <v>0</v>
      </c>
      <c r="N69" s="3782">
        <f>'3. P PLAN'!L158</f>
        <v>0</v>
      </c>
      <c r="O69" s="3780">
        <f>'3. P PLAN'!M158</f>
        <v>0</v>
      </c>
      <c r="P69" s="3781">
        <f>'3. P PLAN'!N158</f>
        <v>0</v>
      </c>
      <c r="Q69" s="3782">
        <f>'3. P PLAN'!O158</f>
        <v>0</v>
      </c>
      <c r="R69" s="3780">
        <f>'3. P PLAN'!P158</f>
        <v>0</v>
      </c>
      <c r="S69" s="3781">
        <f>'3. P PLAN'!Q158</f>
        <v>0</v>
      </c>
      <c r="T69" s="3782">
        <f>'3. P PLAN'!R158</f>
        <v>0</v>
      </c>
      <c r="U69" s="3783">
        <f>'3. P PLAN'!S158</f>
        <v>0</v>
      </c>
      <c r="V69" s="3781">
        <f>'3. P PLAN'!T158</f>
        <v>0</v>
      </c>
      <c r="W69" s="3784">
        <f>'3. P PLAN'!U158</f>
        <v>0</v>
      </c>
      <c r="X69" s="3785">
        <f t="shared" si="3"/>
        <v>0</v>
      </c>
    </row>
    <row r="70" spans="1:24" ht="18" customHeight="1">
      <c r="A70" s="5190"/>
      <c r="B70" s="5186"/>
      <c r="C70" s="1673"/>
      <c r="D70" s="15"/>
      <c r="E70" s="1673"/>
      <c r="F70" s="15" t="s">
        <v>1284</v>
      </c>
      <c r="G70" s="2205">
        <f>IFERROR(VLOOKUP(E70,B.BasicInfomation!$A$10:$O$127,14,0),"")</f>
        <v>2</v>
      </c>
      <c r="H70" s="2205">
        <v>100000</v>
      </c>
      <c r="I70" s="2206">
        <f>IFERROR(ROUNDUP(#REF!/$H70/$G70,0),0)</f>
        <v>0</v>
      </c>
      <c r="J70" s="3743">
        <v>20000</v>
      </c>
      <c r="K70" s="3796">
        <f t="shared" si="4"/>
        <v>0</v>
      </c>
      <c r="L70" s="3780">
        <f>'3. P PLAN'!J159</f>
        <v>0</v>
      </c>
      <c r="M70" s="3781">
        <f>'3. P PLAN'!K159</f>
        <v>0</v>
      </c>
      <c r="N70" s="3782">
        <f>'3. P PLAN'!L159</f>
        <v>0</v>
      </c>
      <c r="O70" s="3780">
        <f>'3. P PLAN'!M159</f>
        <v>0</v>
      </c>
      <c r="P70" s="3781">
        <f>'3. P PLAN'!N159</f>
        <v>0</v>
      </c>
      <c r="Q70" s="3782">
        <f>'3. P PLAN'!O159</f>
        <v>0</v>
      </c>
      <c r="R70" s="3780">
        <f>'3. P PLAN'!P159</f>
        <v>0</v>
      </c>
      <c r="S70" s="3781">
        <f>'3. P PLAN'!Q159</f>
        <v>0</v>
      </c>
      <c r="T70" s="3782">
        <f>'3. P PLAN'!R159</f>
        <v>0</v>
      </c>
      <c r="U70" s="3783">
        <f>'3. P PLAN'!S159</f>
        <v>0</v>
      </c>
      <c r="V70" s="3781">
        <f>'3. P PLAN'!T159</f>
        <v>0</v>
      </c>
      <c r="W70" s="3784">
        <f>'3. P PLAN'!U159</f>
        <v>0</v>
      </c>
      <c r="X70" s="3785">
        <f t="shared" si="3"/>
        <v>0</v>
      </c>
    </row>
    <row r="71" spans="1:24" ht="18" customHeight="1">
      <c r="A71" s="5190"/>
      <c r="B71" s="5186"/>
      <c r="C71" s="1733"/>
      <c r="D71" s="11" t="s">
        <v>22</v>
      </c>
      <c r="E71" s="11"/>
      <c r="F71" s="2213" t="s">
        <v>1285</v>
      </c>
      <c r="G71" s="2213">
        <f>IFERROR(VLOOKUP(E71,B.BasicInfomation!$A$10:$O$127,14,0),"")</f>
        <v>2</v>
      </c>
      <c r="H71" s="2213">
        <v>100000</v>
      </c>
      <c r="I71" s="4537">
        <f>IFERROR(ROUNDUP(#REF!/$H71/$G71,0),0)</f>
        <v>0</v>
      </c>
      <c r="J71" s="3744">
        <v>20000</v>
      </c>
      <c r="K71" s="4540">
        <f t="shared" si="4"/>
        <v>0</v>
      </c>
      <c r="L71" s="3826">
        <f>'3. P PLAN'!J160</f>
        <v>0</v>
      </c>
      <c r="M71" s="3827">
        <f>'3. P PLAN'!K160</f>
        <v>0</v>
      </c>
      <c r="N71" s="3828">
        <f>'3. P PLAN'!L160</f>
        <v>0</v>
      </c>
      <c r="O71" s="3826">
        <f>'3. P PLAN'!M160</f>
        <v>0</v>
      </c>
      <c r="P71" s="3827">
        <f>'3. P PLAN'!N160</f>
        <v>0</v>
      </c>
      <c r="Q71" s="3828">
        <f>'3. P PLAN'!O160</f>
        <v>0</v>
      </c>
      <c r="R71" s="3826">
        <f>'3. P PLAN'!P160</f>
        <v>0</v>
      </c>
      <c r="S71" s="3827">
        <f>'3. P PLAN'!Q160</f>
        <v>0</v>
      </c>
      <c r="T71" s="3828">
        <f>'3. P PLAN'!R160</f>
        <v>0</v>
      </c>
      <c r="U71" s="4538">
        <f>'3. P PLAN'!S160</f>
        <v>0</v>
      </c>
      <c r="V71" s="3827">
        <f>'3. P PLAN'!T160</f>
        <v>0</v>
      </c>
      <c r="W71" s="4539">
        <f>'3. P PLAN'!U160</f>
        <v>0</v>
      </c>
      <c r="X71" s="3829">
        <f t="shared" si="3"/>
        <v>0</v>
      </c>
    </row>
    <row r="72" spans="1:24" ht="18" customHeight="1">
      <c r="A72" s="5190"/>
      <c r="B72" s="5186"/>
      <c r="C72" s="3939" t="s">
        <v>1317</v>
      </c>
      <c r="D72" s="15" t="s">
        <v>1363</v>
      </c>
      <c r="E72" s="15"/>
      <c r="F72" s="2205" t="s">
        <v>1318</v>
      </c>
      <c r="G72" s="2205">
        <f>IFERROR(VLOOKUP(E72,B.BasicInfomation!$A$10:$O$127,14,0),"")</f>
        <v>2</v>
      </c>
      <c r="H72" s="2205">
        <v>100000</v>
      </c>
      <c r="I72" s="2206">
        <f>IFERROR(ROUNDUP(#REF!/$H72/$G72,0),0)</f>
        <v>0</v>
      </c>
      <c r="J72" s="3743">
        <v>20000</v>
      </c>
      <c r="K72" s="3796">
        <f t="shared" si="4"/>
        <v>0</v>
      </c>
      <c r="L72" s="3780">
        <f>'3. P PLAN'!J161</f>
        <v>0</v>
      </c>
      <c r="M72" s="3781">
        <f>'3. P PLAN'!K161</f>
        <v>0</v>
      </c>
      <c r="N72" s="3782">
        <f>'3. P PLAN'!L161</f>
        <v>0</v>
      </c>
      <c r="O72" s="3780">
        <f>'3. P PLAN'!M161</f>
        <v>0</v>
      </c>
      <c r="P72" s="3781">
        <f>'3. P PLAN'!N161</f>
        <v>0</v>
      </c>
      <c r="Q72" s="3782">
        <f>'3. P PLAN'!O161</f>
        <v>0</v>
      </c>
      <c r="R72" s="3780">
        <f>'3. P PLAN'!P161</f>
        <v>0</v>
      </c>
      <c r="S72" s="3781">
        <f>'3. P PLAN'!Q161</f>
        <v>0</v>
      </c>
      <c r="T72" s="3782">
        <f>'3. P PLAN'!R161</f>
        <v>0</v>
      </c>
      <c r="U72" s="3783">
        <f>'3. P PLAN'!S161</f>
        <v>0</v>
      </c>
      <c r="V72" s="3781">
        <f>'3. P PLAN'!T161</f>
        <v>0</v>
      </c>
      <c r="W72" s="3784">
        <f>'3. P PLAN'!U161</f>
        <v>0</v>
      </c>
      <c r="X72" s="3785">
        <f t="shared" si="3"/>
        <v>0</v>
      </c>
    </row>
    <row r="73" spans="1:24" ht="18" customHeight="1">
      <c r="A73" s="5190"/>
      <c r="B73" s="5186"/>
      <c r="C73" s="1673"/>
      <c r="D73" s="15"/>
      <c r="E73" s="15"/>
      <c r="F73" s="2205" t="s">
        <v>1319</v>
      </c>
      <c r="G73" s="2205">
        <f>IFERROR(VLOOKUP(E73,B.BasicInfomation!$A$10:$O$127,14,0),"")</f>
        <v>2</v>
      </c>
      <c r="H73" s="2205">
        <v>100000</v>
      </c>
      <c r="I73" s="2206">
        <f>IFERROR(ROUNDUP(#REF!/$H73/$G73,0),0)</f>
        <v>0</v>
      </c>
      <c r="J73" s="3743">
        <v>20000</v>
      </c>
      <c r="K73" s="3796">
        <f t="shared" si="4"/>
        <v>0</v>
      </c>
      <c r="L73" s="3780">
        <f>'3. P PLAN'!J162</f>
        <v>0</v>
      </c>
      <c r="M73" s="3781">
        <f>'3. P PLAN'!K162</f>
        <v>0</v>
      </c>
      <c r="N73" s="3782">
        <f>'3. P PLAN'!L162</f>
        <v>0</v>
      </c>
      <c r="O73" s="3780">
        <f>'3. P PLAN'!M162</f>
        <v>0</v>
      </c>
      <c r="P73" s="3781">
        <f>'3. P PLAN'!N162</f>
        <v>0</v>
      </c>
      <c r="Q73" s="3782">
        <f>'3. P PLAN'!O162</f>
        <v>0</v>
      </c>
      <c r="R73" s="3780">
        <f>'3. P PLAN'!P162</f>
        <v>0</v>
      </c>
      <c r="S73" s="3781">
        <f>'3. P PLAN'!Q162</f>
        <v>0</v>
      </c>
      <c r="T73" s="3782">
        <f>'3. P PLAN'!R162</f>
        <v>0</v>
      </c>
      <c r="U73" s="3783">
        <f>'3. P PLAN'!S162</f>
        <v>0</v>
      </c>
      <c r="V73" s="3781">
        <f>'3. P PLAN'!T162</f>
        <v>0</v>
      </c>
      <c r="W73" s="3784">
        <f>'3. P PLAN'!U162</f>
        <v>0</v>
      </c>
      <c r="X73" s="3785">
        <f t="shared" si="3"/>
        <v>0</v>
      </c>
    </row>
    <row r="74" spans="1:24" ht="18" customHeight="1">
      <c r="A74" s="5190"/>
      <c r="B74" s="5186"/>
      <c r="C74" s="1673"/>
      <c r="D74" s="15"/>
      <c r="E74" s="15"/>
      <c r="F74" s="2205" t="s">
        <v>1320</v>
      </c>
      <c r="G74" s="2205">
        <f>IFERROR(VLOOKUP(E74,B.BasicInfomation!$A$10:$O$127,14,0),"")</f>
        <v>2</v>
      </c>
      <c r="H74" s="2205">
        <v>100000</v>
      </c>
      <c r="I74" s="2206">
        <f>IFERROR(ROUNDUP(#REF!/$H74/$G74,0),0)</f>
        <v>0</v>
      </c>
      <c r="J74" s="3743">
        <v>20000</v>
      </c>
      <c r="K74" s="3796">
        <f t="shared" si="4"/>
        <v>0</v>
      </c>
      <c r="L74" s="3780">
        <f>'3. P PLAN'!J163</f>
        <v>0</v>
      </c>
      <c r="M74" s="3781">
        <f>'3. P PLAN'!K163</f>
        <v>0</v>
      </c>
      <c r="N74" s="3782">
        <f>'3. P PLAN'!L163</f>
        <v>0</v>
      </c>
      <c r="O74" s="3780">
        <f>'3. P PLAN'!M163</f>
        <v>0</v>
      </c>
      <c r="P74" s="3781">
        <f>'3. P PLAN'!N163</f>
        <v>0</v>
      </c>
      <c r="Q74" s="3782">
        <f>'3. P PLAN'!O163</f>
        <v>0</v>
      </c>
      <c r="R74" s="3780">
        <f>'3. P PLAN'!P163</f>
        <v>0</v>
      </c>
      <c r="S74" s="3781">
        <f>'3. P PLAN'!Q163</f>
        <v>0</v>
      </c>
      <c r="T74" s="3782">
        <f>'3. P PLAN'!R163</f>
        <v>0</v>
      </c>
      <c r="U74" s="3783">
        <f>'3. P PLAN'!S163</f>
        <v>0</v>
      </c>
      <c r="V74" s="3781">
        <f>'3. P PLAN'!T163</f>
        <v>0</v>
      </c>
      <c r="W74" s="3784">
        <f>'3. P PLAN'!U163</f>
        <v>0</v>
      </c>
      <c r="X74" s="3785">
        <f t="shared" si="3"/>
        <v>0</v>
      </c>
    </row>
    <row r="75" spans="1:24" ht="18" customHeight="1">
      <c r="A75" s="5190"/>
      <c r="B75" s="5186"/>
      <c r="C75" s="1673"/>
      <c r="D75" s="15"/>
      <c r="E75" s="15"/>
      <c r="F75" s="2205" t="s">
        <v>1321</v>
      </c>
      <c r="G75" s="2205">
        <f>IFERROR(VLOOKUP(E75,B.BasicInfomation!$A$10:$O$127,14,0),"")</f>
        <v>2</v>
      </c>
      <c r="H75" s="2205">
        <v>100000</v>
      </c>
      <c r="I75" s="2206">
        <f>IFERROR(ROUNDUP(#REF!/$H75/$G75,0),0)</f>
        <v>0</v>
      </c>
      <c r="J75" s="3743">
        <v>20000</v>
      </c>
      <c r="K75" s="3796">
        <f t="shared" si="4"/>
        <v>0</v>
      </c>
      <c r="L75" s="3780">
        <f>'3. P PLAN'!J164</f>
        <v>0</v>
      </c>
      <c r="M75" s="3781">
        <f>'3. P PLAN'!K164</f>
        <v>0</v>
      </c>
      <c r="N75" s="3782">
        <f>'3. P PLAN'!L164</f>
        <v>0</v>
      </c>
      <c r="O75" s="3780">
        <f>'3. P PLAN'!M164</f>
        <v>0</v>
      </c>
      <c r="P75" s="3781">
        <f>'3. P PLAN'!N164</f>
        <v>0</v>
      </c>
      <c r="Q75" s="3782">
        <f>'3. P PLAN'!O164</f>
        <v>0</v>
      </c>
      <c r="R75" s="3780">
        <f>'3. P PLAN'!P164</f>
        <v>0</v>
      </c>
      <c r="S75" s="3781">
        <f>'3. P PLAN'!Q164</f>
        <v>0</v>
      </c>
      <c r="T75" s="3782">
        <f>'3. P PLAN'!R164</f>
        <v>0</v>
      </c>
      <c r="U75" s="3783">
        <f>'3. P PLAN'!S164</f>
        <v>0</v>
      </c>
      <c r="V75" s="3781">
        <f>'3. P PLAN'!T164</f>
        <v>0</v>
      </c>
      <c r="W75" s="3784">
        <f>'3. P PLAN'!U164</f>
        <v>0</v>
      </c>
      <c r="X75" s="3785">
        <f t="shared" si="3"/>
        <v>0</v>
      </c>
    </row>
    <row r="76" spans="1:24" ht="18" customHeight="1">
      <c r="A76" s="5190"/>
      <c r="B76" s="5186"/>
      <c r="C76" s="1673"/>
      <c r="D76" s="15"/>
      <c r="E76" s="15"/>
      <c r="F76" s="2205" t="s">
        <v>1322</v>
      </c>
      <c r="G76" s="2205">
        <f>IFERROR(VLOOKUP(E76,B.BasicInfomation!$A$10:$O$127,14,0),"")</f>
        <v>2</v>
      </c>
      <c r="H76" s="2205">
        <v>100000</v>
      </c>
      <c r="I76" s="2206">
        <f>IFERROR(ROUNDUP(#REF!/$H76/$G76,0),0)</f>
        <v>0</v>
      </c>
      <c r="J76" s="3743">
        <v>20000</v>
      </c>
      <c r="K76" s="3796">
        <f t="shared" si="4"/>
        <v>0</v>
      </c>
      <c r="L76" s="3780">
        <f>'3. P PLAN'!J165</f>
        <v>0</v>
      </c>
      <c r="M76" s="3781">
        <f>'3. P PLAN'!K165</f>
        <v>0</v>
      </c>
      <c r="N76" s="3782">
        <f>'3. P PLAN'!L165</f>
        <v>0</v>
      </c>
      <c r="O76" s="3780">
        <f>'3. P PLAN'!M165</f>
        <v>0</v>
      </c>
      <c r="P76" s="3781">
        <f>'3. P PLAN'!N165</f>
        <v>0</v>
      </c>
      <c r="Q76" s="3782">
        <f>'3. P PLAN'!O165</f>
        <v>0</v>
      </c>
      <c r="R76" s="3780">
        <f>'3. P PLAN'!P165</f>
        <v>0</v>
      </c>
      <c r="S76" s="3781">
        <f>'3. P PLAN'!Q165</f>
        <v>0</v>
      </c>
      <c r="T76" s="3782">
        <f>'3. P PLAN'!R165</f>
        <v>0</v>
      </c>
      <c r="U76" s="3783">
        <f>'3. P PLAN'!S165</f>
        <v>0</v>
      </c>
      <c r="V76" s="3781">
        <f>'3. P PLAN'!T165</f>
        <v>0</v>
      </c>
      <c r="W76" s="3784">
        <f>'3. P PLAN'!U165</f>
        <v>0</v>
      </c>
      <c r="X76" s="3785">
        <f t="shared" si="3"/>
        <v>0</v>
      </c>
    </row>
    <row r="77" spans="1:24" ht="18" customHeight="1">
      <c r="A77" s="5190"/>
      <c r="B77" s="5186"/>
      <c r="C77" s="1673"/>
      <c r="D77" s="15"/>
      <c r="E77" s="15"/>
      <c r="F77" s="2205" t="s">
        <v>1323</v>
      </c>
      <c r="G77" s="2205">
        <f>IFERROR(VLOOKUP(E77,B.BasicInfomation!$A$10:$O$127,14,0),"")</f>
        <v>2</v>
      </c>
      <c r="H77" s="2205">
        <v>100000</v>
      </c>
      <c r="I77" s="2206">
        <f>IFERROR(ROUNDUP(#REF!/$H77/$G77,0),0)</f>
        <v>0</v>
      </c>
      <c r="J77" s="3743">
        <v>20000</v>
      </c>
      <c r="K77" s="3796">
        <f t="shared" si="4"/>
        <v>0</v>
      </c>
      <c r="L77" s="3780">
        <f>'3. P PLAN'!J166</f>
        <v>0</v>
      </c>
      <c r="M77" s="3781">
        <f>'3. P PLAN'!K166</f>
        <v>0</v>
      </c>
      <c r="N77" s="3782">
        <f>'3. P PLAN'!L166</f>
        <v>0</v>
      </c>
      <c r="O77" s="3780">
        <f>'3. P PLAN'!M166</f>
        <v>0</v>
      </c>
      <c r="P77" s="3781">
        <f>'3. P PLAN'!N166</f>
        <v>0</v>
      </c>
      <c r="Q77" s="3782">
        <f>'3. P PLAN'!O166</f>
        <v>0</v>
      </c>
      <c r="R77" s="3780">
        <f>'3. P PLAN'!P166</f>
        <v>0</v>
      </c>
      <c r="S77" s="3781">
        <f>'3. P PLAN'!Q166</f>
        <v>0</v>
      </c>
      <c r="T77" s="3782">
        <f>'3. P PLAN'!R166</f>
        <v>0</v>
      </c>
      <c r="U77" s="3783">
        <f>'3. P PLAN'!S166</f>
        <v>0</v>
      </c>
      <c r="V77" s="3781">
        <f>'3. P PLAN'!T166</f>
        <v>0</v>
      </c>
      <c r="W77" s="3784">
        <f>'3. P PLAN'!U166</f>
        <v>0</v>
      </c>
      <c r="X77" s="3785">
        <f t="shared" si="3"/>
        <v>0</v>
      </c>
    </row>
    <row r="78" spans="1:24" ht="18" customHeight="1">
      <c r="A78" s="5190"/>
      <c r="B78" s="5186"/>
      <c r="C78" s="1673"/>
      <c r="D78" s="15"/>
      <c r="E78" s="15"/>
      <c r="F78" s="2205" t="s">
        <v>1324</v>
      </c>
      <c r="G78" s="2205">
        <f>IFERROR(VLOOKUP(E78,B.BasicInfomation!$A$10:$O$127,14,0),"")</f>
        <v>2</v>
      </c>
      <c r="H78" s="2205">
        <v>100000</v>
      </c>
      <c r="I78" s="2206">
        <f>IFERROR(ROUNDUP(#REF!/$H78/$G78,0),0)</f>
        <v>0</v>
      </c>
      <c r="J78" s="3743">
        <v>20000</v>
      </c>
      <c r="K78" s="3796">
        <f t="shared" si="4"/>
        <v>0</v>
      </c>
      <c r="L78" s="3780">
        <f>'3. P PLAN'!J167</f>
        <v>0</v>
      </c>
      <c r="M78" s="3781">
        <f>'3. P PLAN'!K167</f>
        <v>0</v>
      </c>
      <c r="N78" s="3782">
        <f>'3. P PLAN'!L167</f>
        <v>0</v>
      </c>
      <c r="O78" s="3780">
        <f>'3. P PLAN'!M167</f>
        <v>0</v>
      </c>
      <c r="P78" s="3781">
        <f>'3. P PLAN'!N167</f>
        <v>0</v>
      </c>
      <c r="Q78" s="3782">
        <f>'3. P PLAN'!O167</f>
        <v>0</v>
      </c>
      <c r="R78" s="3780">
        <f>'3. P PLAN'!P167</f>
        <v>0</v>
      </c>
      <c r="S78" s="3781">
        <f>'3. P PLAN'!Q167</f>
        <v>0</v>
      </c>
      <c r="T78" s="3782">
        <f>'3. P PLAN'!R167</f>
        <v>0</v>
      </c>
      <c r="U78" s="3783">
        <f>'3. P PLAN'!S167</f>
        <v>0</v>
      </c>
      <c r="V78" s="3781">
        <f>'3. P PLAN'!T167</f>
        <v>0</v>
      </c>
      <c r="W78" s="3784">
        <f>'3. P PLAN'!U167</f>
        <v>0</v>
      </c>
      <c r="X78" s="3785">
        <f t="shared" si="3"/>
        <v>0</v>
      </c>
    </row>
    <row r="79" spans="1:24" ht="18" customHeight="1">
      <c r="A79" s="5190"/>
      <c r="B79" s="5186"/>
      <c r="C79" s="1673"/>
      <c r="D79" s="15"/>
      <c r="E79" s="15"/>
      <c r="F79" s="2205" t="s">
        <v>1325</v>
      </c>
      <c r="G79" s="2205">
        <f>IFERROR(VLOOKUP(E79,B.BasicInfomation!$A$10:$O$127,14,0),"")</f>
        <v>2</v>
      </c>
      <c r="H79" s="2205">
        <v>100000</v>
      </c>
      <c r="I79" s="2206">
        <f>IFERROR(ROUNDUP(#REF!/$H79/$G79,0),0)</f>
        <v>0</v>
      </c>
      <c r="J79" s="3743">
        <v>20000</v>
      </c>
      <c r="K79" s="3796">
        <f t="shared" si="4"/>
        <v>0</v>
      </c>
      <c r="L79" s="3780">
        <f>'3. P PLAN'!J168</f>
        <v>0</v>
      </c>
      <c r="M79" s="3781">
        <f>'3. P PLAN'!K168</f>
        <v>0</v>
      </c>
      <c r="N79" s="3782">
        <f>'3. P PLAN'!L168</f>
        <v>0</v>
      </c>
      <c r="O79" s="3780">
        <f>'3. P PLAN'!M168</f>
        <v>0</v>
      </c>
      <c r="P79" s="3781">
        <f>'3. P PLAN'!N168</f>
        <v>0</v>
      </c>
      <c r="Q79" s="3782">
        <f>'3. P PLAN'!O168</f>
        <v>0</v>
      </c>
      <c r="R79" s="3780">
        <f>'3. P PLAN'!P168</f>
        <v>0</v>
      </c>
      <c r="S79" s="3781">
        <f>'3. P PLAN'!Q168</f>
        <v>0</v>
      </c>
      <c r="T79" s="3782">
        <f>'3. P PLAN'!R168</f>
        <v>0</v>
      </c>
      <c r="U79" s="3783">
        <f>'3. P PLAN'!S168</f>
        <v>0</v>
      </c>
      <c r="V79" s="3781">
        <f>'3. P PLAN'!T168</f>
        <v>0</v>
      </c>
      <c r="W79" s="3784">
        <f>'3. P PLAN'!U168</f>
        <v>0</v>
      </c>
      <c r="X79" s="3785">
        <f t="shared" si="3"/>
        <v>0</v>
      </c>
    </row>
    <row r="80" spans="1:24" ht="18" customHeight="1" thickBot="1">
      <c r="A80" s="5244"/>
      <c r="B80" s="5247"/>
      <c r="C80" s="5164" t="s">
        <v>44</v>
      </c>
      <c r="D80" s="5164"/>
      <c r="E80" s="5164"/>
      <c r="F80" s="5164"/>
      <c r="G80" s="2220"/>
      <c r="H80" s="2220"/>
      <c r="I80" s="2220"/>
      <c r="J80" s="3747"/>
      <c r="K80" s="3797">
        <f>IFERROR(ROUNDUP(X80/$H80/$G80,0),0)</f>
        <v>0</v>
      </c>
      <c r="L80" s="3798">
        <f t="shared" ref="L80:X80" si="5">SUM(L20:L79)</f>
        <v>1541747.4609478235</v>
      </c>
      <c r="M80" s="3799">
        <f t="shared" si="5"/>
        <v>1385981.5807236633</v>
      </c>
      <c r="N80" s="3800">
        <f t="shared" si="5"/>
        <v>1575807.1463981459</v>
      </c>
      <c r="O80" s="3798">
        <f t="shared" si="5"/>
        <v>1442135.5137041269</v>
      </c>
      <c r="P80" s="3799">
        <f t="shared" si="5"/>
        <v>1447281.9657251113</v>
      </c>
      <c r="Q80" s="3800">
        <f t="shared" si="5"/>
        <v>1437564.7173540099</v>
      </c>
      <c r="R80" s="3798">
        <f t="shared" si="5"/>
        <v>1419745.3663785323</v>
      </c>
      <c r="S80" s="3799">
        <f t="shared" si="5"/>
        <v>1418538.6004656367</v>
      </c>
      <c r="T80" s="3800">
        <f t="shared" si="5"/>
        <v>1414969.6558676837</v>
      </c>
      <c r="U80" s="3801">
        <f t="shared" si="5"/>
        <v>1373904.3209440352</v>
      </c>
      <c r="V80" s="3799">
        <f t="shared" si="5"/>
        <v>1331233.0389356748</v>
      </c>
      <c r="W80" s="3802">
        <f t="shared" si="5"/>
        <v>1341472.0408313866</v>
      </c>
      <c r="X80" s="3794">
        <f t="shared" si="5"/>
        <v>17130381.408275835</v>
      </c>
    </row>
    <row r="81" spans="1:24" ht="18" customHeight="1" thickBot="1">
      <c r="A81" s="5151" t="s">
        <v>390</v>
      </c>
      <c r="B81" s="5152"/>
      <c r="C81" s="5152"/>
      <c r="D81" s="5152"/>
      <c r="E81" s="5152"/>
      <c r="F81" s="5152"/>
      <c r="G81" s="5152"/>
      <c r="H81" s="5153"/>
      <c r="I81" s="1621">
        <f>SUM(I20:I79)</f>
        <v>0</v>
      </c>
      <c r="J81" s="3748"/>
      <c r="K81" s="3803">
        <f>SUM(K20:K79)</f>
        <v>105</v>
      </c>
      <c r="L81" s="3804">
        <f t="shared" ref="L81:X81" si="6">L19+L80</f>
        <v>3276862.7456032746</v>
      </c>
      <c r="M81" s="3805">
        <f t="shared" si="6"/>
        <v>3181309.1029431522</v>
      </c>
      <c r="N81" s="3806">
        <f t="shared" si="6"/>
        <v>3980730.236484671</v>
      </c>
      <c r="O81" s="3807">
        <f t="shared" si="6"/>
        <v>3874187.6896632295</v>
      </c>
      <c r="P81" s="3805">
        <f t="shared" si="6"/>
        <v>3874670.4297728557</v>
      </c>
      <c r="Q81" s="3806">
        <f t="shared" si="6"/>
        <v>4049424.0955291782</v>
      </c>
      <c r="R81" s="3807">
        <f t="shared" si="6"/>
        <v>3823347.1268251683</v>
      </c>
      <c r="S81" s="3805">
        <f t="shared" si="6"/>
        <v>3644882.7431837409</v>
      </c>
      <c r="T81" s="3806">
        <f t="shared" si="6"/>
        <v>3752643.4384749844</v>
      </c>
      <c r="U81" s="3807">
        <f t="shared" si="6"/>
        <v>3669860.6520277895</v>
      </c>
      <c r="V81" s="3805">
        <f t="shared" si="6"/>
        <v>3191259.6809318461</v>
      </c>
      <c r="W81" s="3806">
        <f t="shared" si="6"/>
        <v>2986124.7216087217</v>
      </c>
      <c r="X81" s="3808">
        <f t="shared" si="6"/>
        <v>43305302.663048618</v>
      </c>
    </row>
    <row r="82" spans="1:24" s="1544" customFormat="1" ht="18" customHeight="1">
      <c r="A82" s="2226"/>
      <c r="B82" s="1731"/>
      <c r="I82" s="2227"/>
      <c r="J82" s="2227"/>
      <c r="K82" s="3809"/>
      <c r="L82" s="3809"/>
      <c r="M82" s="3809"/>
      <c r="N82" s="3809"/>
      <c r="O82" s="3809"/>
      <c r="P82" s="3809"/>
      <c r="Q82" s="3809"/>
      <c r="R82" s="3809"/>
      <c r="S82" s="3809"/>
      <c r="T82" s="3809"/>
      <c r="U82" s="3809"/>
      <c r="V82" s="3809"/>
      <c r="W82" s="3809"/>
      <c r="X82" s="3810" t="b">
        <f>SUM(L81:W81)=X81</f>
        <v>1</v>
      </c>
    </row>
    <row r="83" spans="1:24" ht="18" customHeight="1"/>
    <row r="84" spans="1:24" s="1623" customFormat="1" ht="18" customHeight="1" thickBot="1">
      <c r="A84" s="1547" t="s">
        <v>202</v>
      </c>
      <c r="F84" s="2228"/>
      <c r="G84" s="2229"/>
      <c r="H84" s="2229"/>
      <c r="I84" s="2230"/>
      <c r="J84" s="1812"/>
      <c r="K84" s="3757"/>
      <c r="L84" s="3811"/>
      <c r="M84" s="3811"/>
      <c r="N84" s="3811"/>
      <c r="O84" s="3811"/>
      <c r="P84" s="3811"/>
      <c r="Q84" s="3811"/>
      <c r="R84" s="3811"/>
      <c r="S84" s="3811"/>
      <c r="T84" s="3811"/>
      <c r="U84" s="3811"/>
      <c r="V84" s="3811"/>
      <c r="W84" s="3811"/>
      <c r="X84" s="3753" t="s">
        <v>105</v>
      </c>
    </row>
    <row r="85" spans="1:24" ht="26.25" customHeight="1" thickBot="1">
      <c r="A85" s="1548" t="s">
        <v>41</v>
      </c>
      <c r="B85" s="81" t="s">
        <v>107</v>
      </c>
      <c r="C85" s="81" t="s">
        <v>106</v>
      </c>
      <c r="D85" s="81" t="s">
        <v>1010</v>
      </c>
      <c r="E85" s="81" t="s">
        <v>1029</v>
      </c>
      <c r="F85" s="81" t="s">
        <v>108</v>
      </c>
      <c r="G85" s="81" t="s">
        <v>972</v>
      </c>
      <c r="H85" s="81" t="s">
        <v>184</v>
      </c>
      <c r="I85" s="2194" t="s">
        <v>208</v>
      </c>
      <c r="J85" s="3741" t="s">
        <v>975</v>
      </c>
      <c r="K85" s="3761" t="s">
        <v>208</v>
      </c>
      <c r="L85" s="3754" t="str">
        <f t="shared" ref="L85:X85" si="7">L4</f>
        <v>Jan.26</v>
      </c>
      <c r="M85" s="3755" t="str">
        <f t="shared" si="7"/>
        <v>Feb.26</v>
      </c>
      <c r="N85" s="3756" t="str">
        <f t="shared" si="7"/>
        <v>Mar.26</v>
      </c>
      <c r="O85" s="3754" t="str">
        <f t="shared" si="7"/>
        <v>Apr.26</v>
      </c>
      <c r="P85" s="3755" t="str">
        <f t="shared" si="7"/>
        <v>May.26</v>
      </c>
      <c r="Q85" s="3756" t="str">
        <f t="shared" si="7"/>
        <v>Jun.26</v>
      </c>
      <c r="R85" s="3754" t="str">
        <f t="shared" si="7"/>
        <v>Jul.26</v>
      </c>
      <c r="S85" s="3755" t="str">
        <f t="shared" si="7"/>
        <v>Aug.26</v>
      </c>
      <c r="T85" s="3756" t="str">
        <f t="shared" si="7"/>
        <v>Sep.26</v>
      </c>
      <c r="U85" s="3754" t="str">
        <f t="shared" si="7"/>
        <v>Oct.26</v>
      </c>
      <c r="V85" s="3755" t="str">
        <f t="shared" si="7"/>
        <v>Nov.26</v>
      </c>
      <c r="W85" s="3756" t="str">
        <f t="shared" si="7"/>
        <v>Dec.26</v>
      </c>
      <c r="X85" s="3763" t="str">
        <f t="shared" si="7"/>
        <v>2026
Total</v>
      </c>
    </row>
    <row r="86" spans="1:24" ht="18" customHeight="1">
      <c r="A86" s="77">
        <v>1</v>
      </c>
      <c r="B86" s="80" t="s">
        <v>861</v>
      </c>
      <c r="C86" s="1688" t="s">
        <v>19</v>
      </c>
      <c r="D86" s="2231" t="s">
        <v>861</v>
      </c>
      <c r="E86" s="2141">
        <f>VLOOKUP(F86,B.BasicInfomation!B:C,2,0)</f>
        <v>0</v>
      </c>
      <c r="F86" s="1688" t="str">
        <f t="shared" ref="F86:G92" si="8">F5</f>
        <v>A34</v>
      </c>
      <c r="G86" s="4209">
        <f t="shared" si="8"/>
        <v>2</v>
      </c>
      <c r="H86" s="2141">
        <v>100000</v>
      </c>
      <c r="I86" s="2233">
        <f t="shared" ref="I86:K92" si="9">I5</f>
        <v>0</v>
      </c>
      <c r="J86" s="3743">
        <f t="shared" si="9"/>
        <v>19000</v>
      </c>
      <c r="K86" s="3795">
        <f t="shared" si="9"/>
        <v>0</v>
      </c>
      <c r="L86" s="3758"/>
      <c r="M86" s="3759"/>
      <c r="N86" s="3760"/>
      <c r="O86" s="3758"/>
      <c r="P86" s="3759"/>
      <c r="Q86" s="3760"/>
      <c r="R86" s="3758"/>
      <c r="S86" s="3759"/>
      <c r="T86" s="3760"/>
      <c r="U86" s="3758"/>
      <c r="V86" s="3759"/>
      <c r="W86" s="3760"/>
      <c r="X86" s="3812">
        <f>SUM(L86:W86)</f>
        <v>0</v>
      </c>
    </row>
    <row r="87" spans="1:24" ht="18" customHeight="1">
      <c r="A87" s="77"/>
      <c r="B87" s="80"/>
      <c r="C87" s="1673"/>
      <c r="D87" s="2231"/>
      <c r="E87" s="2141">
        <f>VLOOKUP(F87,B.BasicInfomation!B:C,2,0)</f>
        <v>1</v>
      </c>
      <c r="F87" s="1673" t="str">
        <f t="shared" si="8"/>
        <v>A15/17</v>
      </c>
      <c r="G87" s="4209">
        <f t="shared" si="8"/>
        <v>2</v>
      </c>
      <c r="H87" s="2141">
        <v>100000</v>
      </c>
      <c r="I87" s="2233">
        <f t="shared" si="9"/>
        <v>0</v>
      </c>
      <c r="J87" s="3743">
        <f t="shared" si="9"/>
        <v>19000</v>
      </c>
      <c r="K87" s="3795">
        <f t="shared" si="9"/>
        <v>30</v>
      </c>
      <c r="L87" s="3758">
        <v>2</v>
      </c>
      <c r="M87" s="3759">
        <v>2</v>
      </c>
      <c r="N87" s="3760">
        <v>2</v>
      </c>
      <c r="O87" s="3758">
        <v>2</v>
      </c>
      <c r="P87" s="3759">
        <v>2</v>
      </c>
      <c r="Q87" s="3760">
        <v>2</v>
      </c>
      <c r="R87" s="3758">
        <v>2</v>
      </c>
      <c r="S87" s="3759">
        <v>2</v>
      </c>
      <c r="T87" s="3760">
        <v>1</v>
      </c>
      <c r="U87" s="3758">
        <v>1</v>
      </c>
      <c r="V87" s="3759">
        <v>2</v>
      </c>
      <c r="W87" s="3760">
        <v>1</v>
      </c>
      <c r="X87" s="3812">
        <f t="shared" ref="X87:X131" si="10">SUM(L87:W87)</f>
        <v>21</v>
      </c>
    </row>
    <row r="88" spans="1:24" ht="18" customHeight="1">
      <c r="A88" s="77"/>
      <c r="B88" s="80"/>
      <c r="C88" s="1673"/>
      <c r="D88" s="2231"/>
      <c r="E88" s="2141">
        <f>VLOOKUP(F88,B.BasicInfomation!B:C,2,0)</f>
        <v>2</v>
      </c>
      <c r="F88" s="1673" t="str">
        <f t="shared" si="8"/>
        <v>A36</v>
      </c>
      <c r="G88" s="4209">
        <f t="shared" si="8"/>
        <v>2</v>
      </c>
      <c r="H88" s="2141">
        <v>100000</v>
      </c>
      <c r="I88" s="2233">
        <f t="shared" si="9"/>
        <v>0</v>
      </c>
      <c r="J88" s="3743">
        <f t="shared" si="9"/>
        <v>19000</v>
      </c>
      <c r="K88" s="3795">
        <f t="shared" si="9"/>
        <v>2</v>
      </c>
      <c r="L88" s="3758"/>
      <c r="M88" s="3759"/>
      <c r="N88" s="3760"/>
      <c r="O88" s="3758"/>
      <c r="P88" s="3759"/>
      <c r="Q88" s="3760"/>
      <c r="R88" s="3758"/>
      <c r="S88" s="3759"/>
      <c r="T88" s="3760"/>
      <c r="U88" s="3758"/>
      <c r="V88" s="3759"/>
      <c r="W88" s="3760"/>
      <c r="X88" s="3812">
        <f t="shared" si="10"/>
        <v>0</v>
      </c>
    </row>
    <row r="89" spans="1:24" ht="18" customHeight="1">
      <c r="A89" s="77"/>
      <c r="B89" s="80"/>
      <c r="C89" s="1673"/>
      <c r="D89" s="2231"/>
      <c r="E89" s="2141">
        <f>VLOOKUP(F89,B.BasicInfomation!B:C,2,0)</f>
        <v>3</v>
      </c>
      <c r="F89" s="1673" t="str">
        <f t="shared" si="8"/>
        <v>A26</v>
      </c>
      <c r="G89" s="4209">
        <f t="shared" si="8"/>
        <v>2</v>
      </c>
      <c r="H89" s="2141">
        <v>100000</v>
      </c>
      <c r="I89" s="2233">
        <f t="shared" si="9"/>
        <v>0</v>
      </c>
      <c r="J89" s="3743">
        <f t="shared" si="9"/>
        <v>19000</v>
      </c>
      <c r="K89" s="3795">
        <f t="shared" si="9"/>
        <v>6</v>
      </c>
      <c r="L89" s="3758"/>
      <c r="M89" s="3759"/>
      <c r="N89" s="3760"/>
      <c r="O89" s="3758"/>
      <c r="P89" s="3759"/>
      <c r="Q89" s="3760"/>
      <c r="R89" s="3758"/>
      <c r="S89" s="3759"/>
      <c r="T89" s="3760"/>
      <c r="U89" s="3758"/>
      <c r="V89" s="3759"/>
      <c r="W89" s="3760"/>
      <c r="X89" s="3812">
        <f t="shared" si="10"/>
        <v>0</v>
      </c>
    </row>
    <row r="90" spans="1:24" ht="18" customHeight="1">
      <c r="A90" s="77"/>
      <c r="B90" s="80"/>
      <c r="C90" s="1673"/>
      <c r="D90" s="2231"/>
      <c r="E90" s="2141">
        <f>VLOOKUP(F90,B.BasicInfomation!B:C,2,0)</f>
        <v>4</v>
      </c>
      <c r="F90" s="1673" t="str">
        <f t="shared" si="8"/>
        <v>A27</v>
      </c>
      <c r="G90" s="4209">
        <f t="shared" si="8"/>
        <v>2</v>
      </c>
      <c r="H90" s="2141">
        <v>100000</v>
      </c>
      <c r="I90" s="2233">
        <f t="shared" si="9"/>
        <v>0</v>
      </c>
      <c r="J90" s="3743">
        <f t="shared" si="9"/>
        <v>19000</v>
      </c>
      <c r="K90" s="3795">
        <f t="shared" si="9"/>
        <v>21</v>
      </c>
      <c r="L90" s="3758">
        <v>3</v>
      </c>
      <c r="M90" s="3759">
        <v>2</v>
      </c>
      <c r="N90" s="3760">
        <v>2</v>
      </c>
      <c r="O90" s="3758">
        <v>2</v>
      </c>
      <c r="P90" s="3759">
        <v>2</v>
      </c>
      <c r="Q90" s="3760">
        <v>2</v>
      </c>
      <c r="R90" s="3758">
        <v>2</v>
      </c>
      <c r="S90" s="3759">
        <v>2</v>
      </c>
      <c r="T90" s="3760">
        <v>2</v>
      </c>
      <c r="U90" s="3758">
        <v>2</v>
      </c>
      <c r="V90" s="3759">
        <v>2</v>
      </c>
      <c r="W90" s="3760">
        <v>3</v>
      </c>
      <c r="X90" s="3812">
        <f t="shared" si="10"/>
        <v>26</v>
      </c>
    </row>
    <row r="91" spans="1:24" ht="18" customHeight="1">
      <c r="A91" s="77"/>
      <c r="B91" s="80"/>
      <c r="C91" s="1673"/>
      <c r="D91" s="2231"/>
      <c r="E91" s="2141">
        <f>VLOOKUP(F91,B.BasicInfomation!B:C,2,0)</f>
        <v>5</v>
      </c>
      <c r="F91" s="1673" t="str">
        <f t="shared" si="8"/>
        <v>A37</v>
      </c>
      <c r="G91" s="4209">
        <f t="shared" si="8"/>
        <v>2</v>
      </c>
      <c r="H91" s="2141">
        <v>100000</v>
      </c>
      <c r="I91" s="2233">
        <f t="shared" si="9"/>
        <v>0</v>
      </c>
      <c r="J91" s="3743">
        <f t="shared" si="9"/>
        <v>19000</v>
      </c>
      <c r="K91" s="3795">
        <f t="shared" si="9"/>
        <v>30</v>
      </c>
      <c r="L91" s="3758">
        <v>3</v>
      </c>
      <c r="M91" s="3759">
        <v>2</v>
      </c>
      <c r="N91" s="3760">
        <v>2</v>
      </c>
      <c r="O91" s="3758">
        <v>2</v>
      </c>
      <c r="P91" s="3759">
        <v>2</v>
      </c>
      <c r="Q91" s="3760">
        <v>2</v>
      </c>
      <c r="R91" s="3758">
        <v>2</v>
      </c>
      <c r="S91" s="3759">
        <v>2</v>
      </c>
      <c r="T91" s="3760">
        <v>1</v>
      </c>
      <c r="U91" s="3758">
        <v>1</v>
      </c>
      <c r="V91" s="3759">
        <v>1</v>
      </c>
      <c r="W91" s="3760">
        <v>3</v>
      </c>
      <c r="X91" s="3812">
        <f t="shared" si="10"/>
        <v>23</v>
      </c>
    </row>
    <row r="92" spans="1:24" ht="18" customHeight="1">
      <c r="A92" s="77"/>
      <c r="B92" s="80"/>
      <c r="C92" s="1673"/>
      <c r="D92" s="2231"/>
      <c r="E92" s="2141">
        <f>VLOOKUP(F92,B.BasicInfomation!B:C,2,0)</f>
        <v>6</v>
      </c>
      <c r="F92" s="1673" t="str">
        <f t="shared" si="8"/>
        <v>A18</v>
      </c>
      <c r="G92" s="4209">
        <f t="shared" si="8"/>
        <v>2</v>
      </c>
      <c r="H92" s="2141">
        <v>100000</v>
      </c>
      <c r="I92" s="2233">
        <f t="shared" si="9"/>
        <v>0</v>
      </c>
      <c r="J92" s="3743">
        <f t="shared" si="9"/>
        <v>19000</v>
      </c>
      <c r="K92" s="3795">
        <f t="shared" si="9"/>
        <v>9</v>
      </c>
      <c r="L92" s="3758"/>
      <c r="M92" s="3759"/>
      <c r="N92" s="3760"/>
      <c r="O92" s="3758"/>
      <c r="P92" s="3759"/>
      <c r="Q92" s="3760"/>
      <c r="R92" s="3758">
        <v>4</v>
      </c>
      <c r="S92" s="3759">
        <v>2</v>
      </c>
      <c r="T92" s="3760">
        <v>1</v>
      </c>
      <c r="U92" s="3758">
        <v>1</v>
      </c>
      <c r="V92" s="3759">
        <v>1</v>
      </c>
      <c r="W92" s="3760"/>
      <c r="X92" s="3812">
        <f t="shared" si="10"/>
        <v>9</v>
      </c>
    </row>
    <row r="93" spans="1:24" ht="18" customHeight="1">
      <c r="A93" s="77"/>
      <c r="B93" s="80"/>
      <c r="C93" s="4312" t="s">
        <v>24</v>
      </c>
      <c r="D93" s="4313" t="s">
        <v>861</v>
      </c>
      <c r="E93" s="4314">
        <v>7</v>
      </c>
      <c r="F93" s="3734" t="str">
        <f t="shared" ref="F93:K98" si="11">F13</f>
        <v>MTP+IDP+ADP</v>
      </c>
      <c r="G93" s="4315">
        <f t="shared" si="11"/>
        <v>1</v>
      </c>
      <c r="H93" s="4316">
        <f t="shared" si="11"/>
        <v>100000</v>
      </c>
      <c r="I93" s="4316">
        <f t="shared" si="11"/>
        <v>0</v>
      </c>
      <c r="J93" s="3745">
        <f t="shared" si="11"/>
        <v>19000</v>
      </c>
      <c r="K93" s="4317">
        <f t="shared" si="11"/>
        <v>5</v>
      </c>
      <c r="L93" s="4318"/>
      <c r="M93" s="4319"/>
      <c r="N93" s="4320"/>
      <c r="O93" s="4318"/>
      <c r="P93" s="4319"/>
      <c r="Q93" s="4320">
        <v>1</v>
      </c>
      <c r="R93" s="4318"/>
      <c r="S93" s="4319"/>
      <c r="T93" s="4320"/>
      <c r="U93" s="4318">
        <v>1</v>
      </c>
      <c r="V93" s="4319"/>
      <c r="W93" s="4320"/>
      <c r="X93" s="4321">
        <f t="shared" si="10"/>
        <v>2</v>
      </c>
    </row>
    <row r="94" spans="1:24" ht="18" customHeight="1">
      <c r="A94" s="77"/>
      <c r="B94" s="80"/>
      <c r="C94" s="80"/>
      <c r="D94" s="80"/>
      <c r="E94" s="2141">
        <v>8</v>
      </c>
      <c r="F94" s="1673" t="str">
        <f t="shared" si="11"/>
        <v>Ride5</v>
      </c>
      <c r="G94" s="4210">
        <f t="shared" si="11"/>
        <v>1</v>
      </c>
      <c r="H94" s="2205">
        <f t="shared" si="11"/>
        <v>100000</v>
      </c>
      <c r="I94" s="2233">
        <f t="shared" si="11"/>
        <v>0</v>
      </c>
      <c r="J94" s="3743">
        <f t="shared" si="11"/>
        <v>24000</v>
      </c>
      <c r="K94" s="3795">
        <f t="shared" si="11"/>
        <v>1</v>
      </c>
      <c r="L94" s="3758"/>
      <c r="M94" s="3759"/>
      <c r="N94" s="3760"/>
      <c r="O94" s="3758"/>
      <c r="P94" s="3759"/>
      <c r="Q94" s="3760"/>
      <c r="R94" s="3758">
        <v>1</v>
      </c>
      <c r="S94" s="3759"/>
      <c r="T94" s="3760"/>
      <c r="U94" s="3758"/>
      <c r="V94" s="3759"/>
      <c r="W94" s="3760"/>
      <c r="X94" s="3812">
        <f t="shared" si="10"/>
        <v>1</v>
      </c>
    </row>
    <row r="95" spans="1:24" ht="18" customHeight="1">
      <c r="A95" s="77"/>
      <c r="B95" s="80"/>
      <c r="C95" s="80"/>
      <c r="D95" s="80"/>
      <c r="E95" s="2141">
        <f>VLOOKUP(F95,B.BasicInfomation!B:C,2,0)</f>
        <v>0</v>
      </c>
      <c r="F95" s="15" t="str">
        <f t="shared" si="11"/>
        <v>Glymur</v>
      </c>
      <c r="G95" s="4210">
        <f t="shared" si="11"/>
        <v>1</v>
      </c>
      <c r="H95" s="2205">
        <f t="shared" si="11"/>
        <v>100000</v>
      </c>
      <c r="I95" s="2233">
        <f t="shared" si="11"/>
        <v>0</v>
      </c>
      <c r="J95" s="3743">
        <f t="shared" si="11"/>
        <v>24000</v>
      </c>
      <c r="K95" s="3795">
        <f t="shared" si="11"/>
        <v>0</v>
      </c>
      <c r="L95" s="3758"/>
      <c r="M95" s="3759"/>
      <c r="N95" s="3760"/>
      <c r="O95" s="3758"/>
      <c r="P95" s="3759"/>
      <c r="Q95" s="3760"/>
      <c r="R95" s="3758"/>
      <c r="S95" s="3759"/>
      <c r="T95" s="3760">
        <v>1</v>
      </c>
      <c r="U95" s="3758"/>
      <c r="V95" s="3759"/>
      <c r="W95" s="3760"/>
      <c r="X95" s="3812">
        <f t="shared" si="10"/>
        <v>1</v>
      </c>
    </row>
    <row r="96" spans="1:24" ht="18" customHeight="1">
      <c r="A96" s="77"/>
      <c r="B96" s="80"/>
      <c r="C96" s="80"/>
      <c r="D96" s="80"/>
      <c r="E96" s="2141">
        <v>9</v>
      </c>
      <c r="F96" s="15" t="str">
        <f t="shared" si="11"/>
        <v>MTP Hawi</v>
      </c>
      <c r="G96" s="4210">
        <f t="shared" si="11"/>
        <v>1</v>
      </c>
      <c r="H96" s="2205">
        <f t="shared" si="11"/>
        <v>100000</v>
      </c>
      <c r="I96" s="2233">
        <f t="shared" si="11"/>
        <v>0</v>
      </c>
      <c r="J96" s="3743">
        <f t="shared" si="11"/>
        <v>24000</v>
      </c>
      <c r="K96" s="3795">
        <f t="shared" si="11"/>
        <v>1</v>
      </c>
      <c r="L96" s="3758"/>
      <c r="M96" s="3759"/>
      <c r="N96" s="3760"/>
      <c r="O96" s="3758"/>
      <c r="P96" s="3759"/>
      <c r="Q96" s="3760"/>
      <c r="R96" s="3758"/>
      <c r="S96" s="3759"/>
      <c r="T96" s="3760"/>
      <c r="U96" s="3758"/>
      <c r="V96" s="3759"/>
      <c r="W96" s="3760"/>
      <c r="X96" s="3812">
        <f t="shared" si="10"/>
        <v>0</v>
      </c>
    </row>
    <row r="97" spans="1:24" ht="18" customHeight="1">
      <c r="A97" s="77"/>
      <c r="B97" s="80"/>
      <c r="C97" s="80"/>
      <c r="D97" s="80"/>
      <c r="E97" s="2141">
        <v>10</v>
      </c>
      <c r="F97" s="15" t="str">
        <f t="shared" si="11"/>
        <v>QMP Amboseli</v>
      </c>
      <c r="G97" s="4210">
        <f t="shared" si="11"/>
        <v>1</v>
      </c>
      <c r="H97" s="2205">
        <f t="shared" si="11"/>
        <v>100000</v>
      </c>
      <c r="I97" s="2233">
        <f t="shared" si="11"/>
        <v>0</v>
      </c>
      <c r="J97" s="3743">
        <f t="shared" si="11"/>
        <v>24000</v>
      </c>
      <c r="K97" s="3795">
        <f t="shared" si="11"/>
        <v>1</v>
      </c>
      <c r="L97" s="3758"/>
      <c r="M97" s="3759"/>
      <c r="N97" s="3760"/>
      <c r="O97" s="3758"/>
      <c r="P97" s="3759"/>
      <c r="Q97" s="3760"/>
      <c r="R97" s="3758"/>
      <c r="S97" s="3759"/>
      <c r="T97" s="3760"/>
      <c r="U97" s="3758"/>
      <c r="V97" s="3759"/>
      <c r="W97" s="3760"/>
      <c r="X97" s="3812">
        <f t="shared" si="10"/>
        <v>0</v>
      </c>
    </row>
    <row r="98" spans="1:24" ht="18" customHeight="1">
      <c r="A98" s="77"/>
      <c r="B98" s="80"/>
      <c r="C98" s="80"/>
      <c r="D98" s="80"/>
      <c r="E98" s="2141">
        <f>VLOOKUP(F98,B.BasicInfomation!B:C,2,0)</f>
        <v>0</v>
      </c>
      <c r="F98" s="1673" t="str">
        <f t="shared" si="11"/>
        <v>LDS Antenna</v>
      </c>
      <c r="G98" s="4210">
        <f t="shared" si="11"/>
        <v>1</v>
      </c>
      <c r="H98" s="2205">
        <f t="shared" si="11"/>
        <v>100000</v>
      </c>
      <c r="I98" s="2233">
        <f t="shared" si="11"/>
        <v>0</v>
      </c>
      <c r="J98" s="3743">
        <f t="shared" si="11"/>
        <v>24000</v>
      </c>
      <c r="K98" s="3795">
        <f t="shared" si="11"/>
        <v>1</v>
      </c>
      <c r="L98" s="3758">
        <v>1</v>
      </c>
      <c r="M98" s="3759"/>
      <c r="N98" s="3760"/>
      <c r="O98" s="3758"/>
      <c r="P98" s="3759"/>
      <c r="Q98" s="3760"/>
      <c r="R98" s="3758"/>
      <c r="S98" s="3759"/>
      <c r="T98" s="3760"/>
      <c r="U98" s="3758"/>
      <c r="V98" s="3759"/>
      <c r="W98" s="3760"/>
      <c r="X98" s="3812">
        <f t="shared" si="10"/>
        <v>1</v>
      </c>
    </row>
    <row r="99" spans="1:24" ht="18" customHeight="1">
      <c r="A99" s="59">
        <v>2</v>
      </c>
      <c r="B99" s="57" t="s">
        <v>23</v>
      </c>
      <c r="C99" s="1756" t="s">
        <v>20</v>
      </c>
      <c r="D99" s="1756" t="s">
        <v>865</v>
      </c>
      <c r="E99" s="2195">
        <v>11</v>
      </c>
      <c r="F99" s="1592" t="str">
        <f t="shared" ref="F99:I118" si="12">F20</f>
        <v>GEN3 AL5 Housing (YT)</v>
      </c>
      <c r="G99" s="4211">
        <f t="shared" si="12"/>
        <v>2</v>
      </c>
      <c r="H99" s="2202">
        <f t="shared" si="12"/>
        <v>120000</v>
      </c>
      <c r="I99" s="2234">
        <f t="shared" si="12"/>
        <v>0</v>
      </c>
      <c r="J99" s="3745">
        <f t="shared" ref="J99:K118" si="13">J19</f>
        <v>0</v>
      </c>
      <c r="K99" s="3779">
        <f t="shared" si="13"/>
        <v>0</v>
      </c>
      <c r="L99" s="3791"/>
      <c r="M99" s="3813"/>
      <c r="N99" s="3814"/>
      <c r="O99" s="3791"/>
      <c r="P99" s="3813"/>
      <c r="Q99" s="3814"/>
      <c r="R99" s="3791"/>
      <c r="S99" s="3813"/>
      <c r="T99" s="3814"/>
      <c r="U99" s="3791"/>
      <c r="V99" s="3813"/>
      <c r="W99" s="3814"/>
      <c r="X99" s="3794">
        <f t="shared" si="10"/>
        <v>0</v>
      </c>
    </row>
    <row r="100" spans="1:24" ht="18" customHeight="1">
      <c r="A100" s="2154"/>
      <c r="B100" s="1785"/>
      <c r="C100" s="1673"/>
      <c r="D100" s="1673"/>
      <c r="E100" s="2141">
        <v>12</v>
      </c>
      <c r="F100" s="15" t="str">
        <f t="shared" si="12"/>
        <v>GEN3 AL6 Housing (YT)</v>
      </c>
      <c r="G100" s="4210">
        <f t="shared" si="12"/>
        <v>2</v>
      </c>
      <c r="H100" s="2205">
        <f t="shared" si="12"/>
        <v>120000</v>
      </c>
      <c r="I100" s="2233">
        <f t="shared" si="12"/>
        <v>0</v>
      </c>
      <c r="J100" s="3743">
        <f t="shared" si="13"/>
        <v>19000</v>
      </c>
      <c r="K100" s="3795">
        <f t="shared" si="13"/>
        <v>1</v>
      </c>
      <c r="L100" s="3780"/>
      <c r="M100" s="3781"/>
      <c r="N100" s="3782"/>
      <c r="O100" s="3780"/>
      <c r="P100" s="3781"/>
      <c r="Q100" s="3782"/>
      <c r="R100" s="3780"/>
      <c r="S100" s="3781"/>
      <c r="T100" s="3782"/>
      <c r="U100" s="3780"/>
      <c r="V100" s="3781"/>
      <c r="W100" s="3782"/>
      <c r="X100" s="3785">
        <f t="shared" si="10"/>
        <v>0</v>
      </c>
    </row>
    <row r="101" spans="1:24" ht="18" customHeight="1">
      <c r="A101" s="2154"/>
      <c r="B101" s="1785"/>
      <c r="C101" s="1673"/>
      <c r="D101" s="1673"/>
      <c r="E101" s="2141"/>
      <c r="F101" s="15" t="str">
        <f t="shared" si="12"/>
        <v>GEN3 AL5  Housing (MX)</v>
      </c>
      <c r="G101" s="2205">
        <f t="shared" si="12"/>
        <v>2</v>
      </c>
      <c r="H101" s="2205">
        <f t="shared" si="12"/>
        <v>120000</v>
      </c>
      <c r="I101" s="2233">
        <f t="shared" si="12"/>
        <v>0</v>
      </c>
      <c r="J101" s="3743">
        <f t="shared" si="13"/>
        <v>24000</v>
      </c>
      <c r="K101" s="3795">
        <f t="shared" si="13"/>
        <v>0</v>
      </c>
      <c r="L101" s="3780"/>
      <c r="M101" s="3781"/>
      <c r="N101" s="3782"/>
      <c r="O101" s="3780"/>
      <c r="P101" s="3781"/>
      <c r="Q101" s="3782"/>
      <c r="R101" s="3780"/>
      <c r="S101" s="3781"/>
      <c r="T101" s="3782"/>
      <c r="U101" s="3780"/>
      <c r="V101" s="3781"/>
      <c r="W101" s="3782"/>
      <c r="X101" s="3785">
        <f t="shared" si="10"/>
        <v>0</v>
      </c>
    </row>
    <row r="102" spans="1:24" ht="18" customHeight="1">
      <c r="A102" s="2154"/>
      <c r="B102" s="1785"/>
      <c r="C102" s="1673"/>
      <c r="D102" s="1673"/>
      <c r="E102" s="2141"/>
      <c r="F102" s="15" t="str">
        <f t="shared" si="12"/>
        <v>GEN3 AL6  Housing (MX)</v>
      </c>
      <c r="G102" s="2205">
        <f t="shared" si="12"/>
        <v>2</v>
      </c>
      <c r="H102" s="2205">
        <f t="shared" si="12"/>
        <v>120000</v>
      </c>
      <c r="I102" s="2233">
        <f t="shared" si="12"/>
        <v>0</v>
      </c>
      <c r="J102" s="3743">
        <f t="shared" si="13"/>
        <v>24000</v>
      </c>
      <c r="K102" s="3795">
        <f t="shared" si="13"/>
        <v>0</v>
      </c>
      <c r="L102" s="3780"/>
      <c r="M102" s="3781"/>
      <c r="N102" s="3782"/>
      <c r="O102" s="3780"/>
      <c r="P102" s="3781"/>
      <c r="Q102" s="3782"/>
      <c r="R102" s="3780"/>
      <c r="S102" s="3781"/>
      <c r="T102" s="3782"/>
      <c r="U102" s="3780"/>
      <c r="V102" s="3781"/>
      <c r="W102" s="3782"/>
      <c r="X102" s="3785">
        <f t="shared" si="10"/>
        <v>0</v>
      </c>
    </row>
    <row r="103" spans="1:24" ht="18" customHeight="1">
      <c r="A103" s="2154"/>
      <c r="B103" s="1785"/>
      <c r="C103" s="1673"/>
      <c r="D103" s="1673"/>
      <c r="E103" s="2141"/>
      <c r="F103" s="15" t="str">
        <f t="shared" si="12"/>
        <v>T6 Housing</v>
      </c>
      <c r="G103" s="2205">
        <f t="shared" si="12"/>
        <v>2</v>
      </c>
      <c r="H103" s="2205">
        <f t="shared" si="12"/>
        <v>120000</v>
      </c>
      <c r="I103" s="2233">
        <f t="shared" si="12"/>
        <v>0</v>
      </c>
      <c r="J103" s="3743">
        <f t="shared" si="13"/>
        <v>24000</v>
      </c>
      <c r="K103" s="3795">
        <f t="shared" si="13"/>
        <v>0</v>
      </c>
      <c r="L103" s="3780"/>
      <c r="M103" s="3781"/>
      <c r="N103" s="3782"/>
      <c r="O103" s="3780"/>
      <c r="P103" s="3781"/>
      <c r="Q103" s="3782"/>
      <c r="R103" s="3780"/>
      <c r="S103" s="3781"/>
      <c r="T103" s="3782"/>
      <c r="U103" s="3780"/>
      <c r="V103" s="3781"/>
      <c r="W103" s="3782"/>
      <c r="X103" s="3785">
        <f t="shared" si="10"/>
        <v>0</v>
      </c>
    </row>
    <row r="104" spans="1:24" s="1579" customFormat="1" ht="18" customHeight="1">
      <c r="A104" s="2154"/>
      <c r="B104" s="1785"/>
      <c r="C104" s="1673"/>
      <c r="D104" s="1673"/>
      <c r="E104" s="2141">
        <v>13</v>
      </c>
      <c r="F104" s="15" t="str">
        <f t="shared" si="12"/>
        <v>CL4 Housing</v>
      </c>
      <c r="G104" s="2205">
        <f t="shared" si="12"/>
        <v>1</v>
      </c>
      <c r="H104" s="2205">
        <f t="shared" si="12"/>
        <v>120000</v>
      </c>
      <c r="I104" s="2233">
        <f t="shared" si="12"/>
        <v>0</v>
      </c>
      <c r="J104" s="3743">
        <f t="shared" si="13"/>
        <v>24000</v>
      </c>
      <c r="K104" s="3795">
        <f t="shared" si="13"/>
        <v>0</v>
      </c>
      <c r="L104" s="3780">
        <v>1</v>
      </c>
      <c r="M104" s="3781"/>
      <c r="N104" s="3782"/>
      <c r="O104" s="3780">
        <v>1</v>
      </c>
      <c r="P104" s="3781"/>
      <c r="Q104" s="3782"/>
      <c r="R104" s="3780">
        <v>1</v>
      </c>
      <c r="S104" s="3781"/>
      <c r="T104" s="3782"/>
      <c r="U104" s="3780">
        <v>1</v>
      </c>
      <c r="V104" s="3781"/>
      <c r="W104" s="3782"/>
      <c r="X104" s="3785">
        <f t="shared" si="10"/>
        <v>4</v>
      </c>
    </row>
    <row r="105" spans="1:24" s="1579" customFormat="1" ht="18" customHeight="1">
      <c r="A105" s="2154"/>
      <c r="B105" s="1785"/>
      <c r="C105" s="1673"/>
      <c r="D105" s="1673"/>
      <c r="E105" s="2141">
        <v>14</v>
      </c>
      <c r="F105" s="15" t="str">
        <f t="shared" si="12"/>
        <v>MQ4a PE Housing</v>
      </c>
      <c r="G105" s="2205">
        <f t="shared" si="12"/>
        <v>1</v>
      </c>
      <c r="H105" s="2205">
        <f t="shared" si="12"/>
        <v>120000</v>
      </c>
      <c r="I105" s="2233">
        <f t="shared" si="12"/>
        <v>0</v>
      </c>
      <c r="J105" s="3743">
        <f t="shared" si="13"/>
        <v>18000</v>
      </c>
      <c r="K105" s="3795">
        <f t="shared" si="13"/>
        <v>4</v>
      </c>
      <c r="L105" s="3780">
        <v>1</v>
      </c>
      <c r="M105" s="3781"/>
      <c r="N105" s="3782">
        <v>1</v>
      </c>
      <c r="O105" s="3780"/>
      <c r="P105" s="3781">
        <v>1</v>
      </c>
      <c r="Q105" s="3782"/>
      <c r="R105" s="3780">
        <v>1</v>
      </c>
      <c r="S105" s="3781"/>
      <c r="T105" s="3782">
        <v>1</v>
      </c>
      <c r="U105" s="3780"/>
      <c r="V105" s="3781">
        <v>1</v>
      </c>
      <c r="W105" s="3782"/>
      <c r="X105" s="3785">
        <f t="shared" si="10"/>
        <v>6</v>
      </c>
    </row>
    <row r="106" spans="1:24" s="1579" customFormat="1" ht="18" customHeight="1">
      <c r="A106" s="2154"/>
      <c r="B106" s="1785"/>
      <c r="C106" s="1673"/>
      <c r="D106" s="1673"/>
      <c r="E106" s="2141"/>
      <c r="F106" s="15" t="str">
        <f t="shared" si="12"/>
        <v>BYD Housing</v>
      </c>
      <c r="G106" s="2205">
        <f t="shared" si="12"/>
        <v>2</v>
      </c>
      <c r="H106" s="2205">
        <f t="shared" si="12"/>
        <v>120000</v>
      </c>
      <c r="I106" s="2233">
        <f t="shared" si="12"/>
        <v>0</v>
      </c>
      <c r="J106" s="3743">
        <f t="shared" si="13"/>
        <v>18000</v>
      </c>
      <c r="K106" s="3795">
        <f t="shared" si="13"/>
        <v>3</v>
      </c>
      <c r="L106" s="3780"/>
      <c r="M106" s="3781"/>
      <c r="N106" s="3782">
        <v>1</v>
      </c>
      <c r="O106" s="3780"/>
      <c r="P106" s="3781"/>
      <c r="Q106" s="3782">
        <v>1</v>
      </c>
      <c r="R106" s="3780"/>
      <c r="S106" s="3781"/>
      <c r="T106" s="3782">
        <v>1</v>
      </c>
      <c r="U106" s="3780"/>
      <c r="V106" s="3781">
        <v>1</v>
      </c>
      <c r="W106" s="3782"/>
      <c r="X106" s="3785">
        <f t="shared" si="10"/>
        <v>4</v>
      </c>
    </row>
    <row r="107" spans="1:24" ht="18" customHeight="1">
      <c r="A107" s="2154"/>
      <c r="B107" s="1785"/>
      <c r="C107" s="1673"/>
      <c r="D107" s="1767" t="s">
        <v>874</v>
      </c>
      <c r="E107" s="2235">
        <v>15</v>
      </c>
      <c r="F107" s="12" t="str">
        <f t="shared" si="12"/>
        <v>MX5 Housing</v>
      </c>
      <c r="G107" s="2207">
        <f t="shared" si="12"/>
        <v>1</v>
      </c>
      <c r="H107" s="2207">
        <f t="shared" si="12"/>
        <v>120000</v>
      </c>
      <c r="I107" s="2236">
        <f t="shared" si="12"/>
        <v>0</v>
      </c>
      <c r="J107" s="3749">
        <f t="shared" si="13"/>
        <v>18000</v>
      </c>
      <c r="K107" s="3815">
        <f t="shared" si="13"/>
        <v>0</v>
      </c>
      <c r="L107" s="3816"/>
      <c r="M107" s="3817"/>
      <c r="N107" s="3818"/>
      <c r="O107" s="3816"/>
      <c r="P107" s="3817"/>
      <c r="Q107" s="3818"/>
      <c r="R107" s="3816"/>
      <c r="S107" s="3817"/>
      <c r="T107" s="3818"/>
      <c r="U107" s="3816"/>
      <c r="V107" s="3817"/>
      <c r="W107" s="3818"/>
      <c r="X107" s="3819">
        <f t="shared" si="10"/>
        <v>0</v>
      </c>
    </row>
    <row r="108" spans="1:24" ht="18" customHeight="1">
      <c r="A108" s="2154"/>
      <c r="B108" s="1785"/>
      <c r="C108" s="1673"/>
      <c r="D108" s="1673"/>
      <c r="E108" s="2141"/>
      <c r="F108" s="15" t="str">
        <f t="shared" si="12"/>
        <v>Gen2 Cover</v>
      </c>
      <c r="G108" s="2205">
        <f t="shared" si="12"/>
        <v>2</v>
      </c>
      <c r="H108" s="2205">
        <f t="shared" si="12"/>
        <v>120000</v>
      </c>
      <c r="I108" s="2233">
        <f t="shared" si="12"/>
        <v>0</v>
      </c>
      <c r="J108" s="3743">
        <f t="shared" si="13"/>
        <v>16900</v>
      </c>
      <c r="K108" s="3795">
        <f t="shared" si="13"/>
        <v>0</v>
      </c>
      <c r="L108" s="3780">
        <v>1</v>
      </c>
      <c r="M108" s="3781"/>
      <c r="N108" s="3782"/>
      <c r="O108" s="3780"/>
      <c r="P108" s="3781"/>
      <c r="Q108" s="3782"/>
      <c r="R108" s="3780"/>
      <c r="S108" s="3781"/>
      <c r="T108" s="3782"/>
      <c r="U108" s="3780"/>
      <c r="V108" s="3781"/>
      <c r="W108" s="3782"/>
      <c r="X108" s="3785">
        <f t="shared" si="10"/>
        <v>1</v>
      </c>
    </row>
    <row r="109" spans="1:24" ht="18" customHeight="1">
      <c r="A109" s="2154"/>
      <c r="B109" s="1785"/>
      <c r="C109" s="1673"/>
      <c r="D109" s="1673"/>
      <c r="E109" s="2141"/>
      <c r="F109" s="15" t="str">
        <f t="shared" si="12"/>
        <v>T6 Cover</v>
      </c>
      <c r="G109" s="2205">
        <f t="shared" si="12"/>
        <v>2</v>
      </c>
      <c r="H109" s="2205">
        <f t="shared" si="12"/>
        <v>120000</v>
      </c>
      <c r="I109" s="2233">
        <f t="shared" si="12"/>
        <v>0</v>
      </c>
      <c r="J109" s="3743">
        <f t="shared" si="13"/>
        <v>20000</v>
      </c>
      <c r="K109" s="3795">
        <f t="shared" si="13"/>
        <v>1</v>
      </c>
      <c r="L109" s="3780"/>
      <c r="M109" s="3781"/>
      <c r="N109" s="3782"/>
      <c r="O109" s="3780"/>
      <c r="P109" s="3781"/>
      <c r="Q109" s="3782"/>
      <c r="R109" s="3780"/>
      <c r="S109" s="3781"/>
      <c r="T109" s="3782"/>
      <c r="U109" s="3780"/>
      <c r="V109" s="3781"/>
      <c r="W109" s="3782"/>
      <c r="X109" s="3785">
        <f t="shared" si="10"/>
        <v>0</v>
      </c>
    </row>
    <row r="110" spans="1:24" ht="18" customHeight="1">
      <c r="A110" s="2154"/>
      <c r="B110" s="1785"/>
      <c r="C110" s="1673"/>
      <c r="D110" s="1673"/>
      <c r="E110" s="2141">
        <v>16</v>
      </c>
      <c r="F110" s="15" t="str">
        <f t="shared" si="12"/>
        <v>EK_Part Cover</v>
      </c>
      <c r="G110" s="2205">
        <f t="shared" si="12"/>
        <v>4</v>
      </c>
      <c r="H110" s="2205">
        <f t="shared" si="12"/>
        <v>120000</v>
      </c>
      <c r="I110" s="2233">
        <f t="shared" si="12"/>
        <v>0</v>
      </c>
      <c r="J110" s="3743">
        <f t="shared" si="13"/>
        <v>20000</v>
      </c>
      <c r="K110" s="3795">
        <f t="shared" si="13"/>
        <v>0</v>
      </c>
      <c r="L110" s="3780"/>
      <c r="M110" s="3781"/>
      <c r="N110" s="3782"/>
      <c r="O110" s="3780"/>
      <c r="P110" s="3781"/>
      <c r="Q110" s="3782"/>
      <c r="R110" s="3780"/>
      <c r="S110" s="3781"/>
      <c r="T110" s="3782"/>
      <c r="U110" s="3780"/>
      <c r="V110" s="3781"/>
      <c r="W110" s="3782"/>
      <c r="X110" s="3785">
        <f t="shared" si="10"/>
        <v>0</v>
      </c>
    </row>
    <row r="111" spans="1:24" ht="18" customHeight="1">
      <c r="A111" s="2154"/>
      <c r="B111" s="1785"/>
      <c r="C111" s="1673"/>
      <c r="D111" s="1673"/>
      <c r="E111" s="2141"/>
      <c r="F111" s="15" t="str">
        <f t="shared" si="12"/>
        <v>570W Cover</v>
      </c>
      <c r="G111" s="2205">
        <f t="shared" si="12"/>
        <v>2</v>
      </c>
      <c r="H111" s="2205">
        <f t="shared" si="12"/>
        <v>120000</v>
      </c>
      <c r="I111" s="2233">
        <f t="shared" si="12"/>
        <v>0</v>
      </c>
      <c r="J111" s="3743">
        <f t="shared" si="13"/>
        <v>20000</v>
      </c>
      <c r="K111" s="3795">
        <f t="shared" si="13"/>
        <v>1</v>
      </c>
      <c r="L111" s="3780"/>
      <c r="M111" s="3781">
        <v>1</v>
      </c>
      <c r="N111" s="3782"/>
      <c r="O111" s="3780"/>
      <c r="P111" s="3781"/>
      <c r="Q111" s="3782"/>
      <c r="R111" s="3780"/>
      <c r="S111" s="3781"/>
      <c r="T111" s="3782"/>
      <c r="U111" s="3780"/>
      <c r="V111" s="3781"/>
      <c r="W111" s="3782"/>
      <c r="X111" s="3785">
        <f t="shared" si="10"/>
        <v>1</v>
      </c>
    </row>
    <row r="112" spans="1:24" ht="18" customHeight="1">
      <c r="A112" s="2154"/>
      <c r="B112" s="1785"/>
      <c r="C112" s="1673"/>
      <c r="D112" s="1673"/>
      <c r="E112" s="2141">
        <v>17</v>
      </c>
      <c r="F112" s="15" t="str">
        <f t="shared" si="12"/>
        <v>CL4 Cover</v>
      </c>
      <c r="G112" s="2205">
        <f t="shared" si="12"/>
        <v>4</v>
      </c>
      <c r="H112" s="2205">
        <f t="shared" si="12"/>
        <v>120000</v>
      </c>
      <c r="I112" s="2233">
        <f t="shared" si="12"/>
        <v>0</v>
      </c>
      <c r="J112" s="3743">
        <f t="shared" si="13"/>
        <v>20000</v>
      </c>
      <c r="K112" s="3795">
        <f t="shared" si="13"/>
        <v>0</v>
      </c>
      <c r="L112" s="3780"/>
      <c r="M112" s="3781"/>
      <c r="N112" s="3782"/>
      <c r="O112" s="3780"/>
      <c r="P112" s="3781"/>
      <c r="Q112" s="3782"/>
      <c r="R112" s="3780"/>
      <c r="S112" s="3781"/>
      <c r="T112" s="3782"/>
      <c r="U112" s="3780"/>
      <c r="V112" s="3781"/>
      <c r="W112" s="3782"/>
      <c r="X112" s="3785">
        <f t="shared" si="10"/>
        <v>0</v>
      </c>
    </row>
    <row r="113" spans="1:24" ht="18" customHeight="1">
      <c r="A113" s="2154"/>
      <c r="B113" s="1785"/>
      <c r="C113" s="1673"/>
      <c r="D113" s="1673"/>
      <c r="E113" s="2141">
        <v>18</v>
      </c>
      <c r="F113" s="15" t="str">
        <f t="shared" si="12"/>
        <v xml:space="preserve">MQ4a PE Cover </v>
      </c>
      <c r="G113" s="2205">
        <f t="shared" si="12"/>
        <v>4</v>
      </c>
      <c r="H113" s="2205">
        <f t="shared" si="12"/>
        <v>120000</v>
      </c>
      <c r="I113" s="2233">
        <f t="shared" si="12"/>
        <v>0</v>
      </c>
      <c r="J113" s="3743">
        <f t="shared" si="13"/>
        <v>17000</v>
      </c>
      <c r="K113" s="3795">
        <f t="shared" si="13"/>
        <v>1</v>
      </c>
      <c r="L113" s="3780"/>
      <c r="M113" s="3781">
        <v>1</v>
      </c>
      <c r="N113" s="3782"/>
      <c r="O113" s="3780"/>
      <c r="P113" s="3781"/>
      <c r="Q113" s="3782"/>
      <c r="R113" s="3780"/>
      <c r="S113" s="3781"/>
      <c r="T113" s="3782"/>
      <c r="U113" s="3780"/>
      <c r="V113" s="3781"/>
      <c r="W113" s="3782"/>
      <c r="X113" s="3785">
        <f t="shared" si="10"/>
        <v>1</v>
      </c>
    </row>
    <row r="114" spans="1:24" ht="18" customHeight="1">
      <c r="A114" s="2154"/>
      <c r="B114" s="1785"/>
      <c r="C114" s="1673"/>
      <c r="D114" s="1673"/>
      <c r="E114" s="2141"/>
      <c r="F114" s="15" t="str">
        <f t="shared" si="12"/>
        <v>BYD Cover</v>
      </c>
      <c r="G114" s="2205">
        <f t="shared" si="12"/>
        <v>2</v>
      </c>
      <c r="H114" s="2205">
        <f t="shared" si="12"/>
        <v>120000</v>
      </c>
      <c r="I114" s="2233">
        <f t="shared" si="12"/>
        <v>0</v>
      </c>
      <c r="J114" s="3743">
        <f t="shared" si="13"/>
        <v>17000</v>
      </c>
      <c r="K114" s="3795">
        <f t="shared" si="13"/>
        <v>1</v>
      </c>
      <c r="L114" s="3780"/>
      <c r="M114" s="3781">
        <v>1</v>
      </c>
      <c r="N114" s="3782"/>
      <c r="O114" s="3780"/>
      <c r="P114" s="3781"/>
      <c r="Q114" s="3782"/>
      <c r="R114" s="3780"/>
      <c r="S114" s="3781"/>
      <c r="T114" s="3782"/>
      <c r="U114" s="3780"/>
      <c r="V114" s="3781"/>
      <c r="W114" s="3782"/>
      <c r="X114" s="3785">
        <f t="shared" si="10"/>
        <v>1</v>
      </c>
    </row>
    <row r="115" spans="1:24" ht="18" customHeight="1">
      <c r="A115" s="2154"/>
      <c r="B115" s="1785"/>
      <c r="C115" s="1673"/>
      <c r="D115" s="1673"/>
      <c r="E115" s="2141">
        <v>19</v>
      </c>
      <c r="F115" s="15" t="str">
        <f t="shared" si="12"/>
        <v>MX5 Cover</v>
      </c>
      <c r="G115" s="2205">
        <f t="shared" si="12"/>
        <v>4</v>
      </c>
      <c r="H115" s="2205">
        <f t="shared" si="12"/>
        <v>120000</v>
      </c>
      <c r="I115" s="2233">
        <f t="shared" si="12"/>
        <v>0</v>
      </c>
      <c r="J115" s="3743">
        <f t="shared" si="13"/>
        <v>17000</v>
      </c>
      <c r="K115" s="3795">
        <f t="shared" si="13"/>
        <v>1</v>
      </c>
      <c r="L115" s="3780"/>
      <c r="M115" s="3781"/>
      <c r="N115" s="3782"/>
      <c r="O115" s="3780"/>
      <c r="P115" s="3781"/>
      <c r="Q115" s="3782"/>
      <c r="R115" s="3780"/>
      <c r="S115" s="3781"/>
      <c r="T115" s="3782"/>
      <c r="U115" s="3780"/>
      <c r="V115" s="3781"/>
      <c r="W115" s="3782"/>
      <c r="X115" s="3785">
        <f t="shared" si="10"/>
        <v>0</v>
      </c>
    </row>
    <row r="116" spans="1:24" ht="18" customHeight="1">
      <c r="A116" s="2154"/>
      <c r="B116" s="1785"/>
      <c r="C116" s="1673"/>
      <c r="D116" s="1673"/>
      <c r="E116" s="2141"/>
      <c r="F116" s="15" t="str">
        <f t="shared" si="12"/>
        <v>FCM30-Upper Housing</v>
      </c>
      <c r="G116" s="2205">
        <f t="shared" si="12"/>
        <v>2</v>
      </c>
      <c r="H116" s="2205">
        <f t="shared" si="12"/>
        <v>120000</v>
      </c>
      <c r="I116" s="2233">
        <f t="shared" si="12"/>
        <v>0</v>
      </c>
      <c r="J116" s="3743">
        <f t="shared" si="13"/>
        <v>17000</v>
      </c>
      <c r="K116" s="3795">
        <f t="shared" si="13"/>
        <v>0</v>
      </c>
      <c r="L116" s="3780">
        <v>1</v>
      </c>
      <c r="M116" s="3781"/>
      <c r="N116" s="3782"/>
      <c r="O116" s="3780"/>
      <c r="P116" s="3781"/>
      <c r="Q116" s="3782"/>
      <c r="R116" s="3780"/>
      <c r="S116" s="3781"/>
      <c r="T116" s="3782"/>
      <c r="U116" s="3780"/>
      <c r="V116" s="3781"/>
      <c r="W116" s="3782"/>
      <c r="X116" s="3785">
        <f t="shared" si="10"/>
        <v>1</v>
      </c>
    </row>
    <row r="117" spans="1:24" ht="18" customHeight="1">
      <c r="A117" s="2154"/>
      <c r="B117" s="1785"/>
      <c r="C117" s="1673"/>
      <c r="D117" s="1673"/>
      <c r="E117" s="2141">
        <v>20</v>
      </c>
      <c r="F117" s="15" t="str">
        <f t="shared" si="12"/>
        <v>DCU15 Housing</v>
      </c>
      <c r="G117" s="2205">
        <f t="shared" si="12"/>
        <v>2</v>
      </c>
      <c r="H117" s="2205">
        <f t="shared" si="12"/>
        <v>120000</v>
      </c>
      <c r="I117" s="2233">
        <f t="shared" si="12"/>
        <v>0</v>
      </c>
      <c r="J117" s="3743">
        <f t="shared" si="13"/>
        <v>18000</v>
      </c>
      <c r="K117" s="3795">
        <f t="shared" si="13"/>
        <v>0</v>
      </c>
      <c r="L117" s="3780"/>
      <c r="M117" s="3781"/>
      <c r="N117" s="3782">
        <v>1</v>
      </c>
      <c r="O117" s="3780">
        <v>1</v>
      </c>
      <c r="P117" s="3781"/>
      <c r="Q117" s="3782">
        <v>1</v>
      </c>
      <c r="R117" s="3780">
        <v>1</v>
      </c>
      <c r="S117" s="3781"/>
      <c r="T117" s="3782"/>
      <c r="U117" s="3780">
        <v>1</v>
      </c>
      <c r="V117" s="3781">
        <v>1</v>
      </c>
      <c r="W117" s="3782"/>
      <c r="X117" s="3785">
        <f t="shared" si="10"/>
        <v>6</v>
      </c>
    </row>
    <row r="118" spans="1:24" ht="18" customHeight="1">
      <c r="A118" s="2154"/>
      <c r="B118" s="1785"/>
      <c r="C118" s="1673"/>
      <c r="D118" s="1673"/>
      <c r="E118" s="2141">
        <v>21</v>
      </c>
      <c r="F118" s="15" t="str">
        <f t="shared" si="12"/>
        <v>DCU15 Cover</v>
      </c>
      <c r="G118" s="2205">
        <f t="shared" si="12"/>
        <v>2</v>
      </c>
      <c r="H118" s="2205">
        <f t="shared" si="12"/>
        <v>120000</v>
      </c>
      <c r="I118" s="2233">
        <f t="shared" si="12"/>
        <v>0</v>
      </c>
      <c r="J118" s="3743">
        <f t="shared" si="13"/>
        <v>17000</v>
      </c>
      <c r="K118" s="3795">
        <f t="shared" si="13"/>
        <v>2</v>
      </c>
      <c r="L118" s="3780"/>
      <c r="M118" s="3781"/>
      <c r="N118" s="3782">
        <v>1</v>
      </c>
      <c r="O118" s="3780"/>
      <c r="P118" s="3781"/>
      <c r="Q118" s="3782"/>
      <c r="R118" s="3780"/>
      <c r="S118" s="3781"/>
      <c r="T118" s="3782"/>
      <c r="U118" s="3780"/>
      <c r="V118" s="3781"/>
      <c r="W118" s="3782"/>
      <c r="X118" s="3785">
        <f t="shared" si="10"/>
        <v>1</v>
      </c>
    </row>
    <row r="119" spans="1:24" ht="18" customHeight="1">
      <c r="A119" s="2154"/>
      <c r="B119" s="1785"/>
      <c r="C119" s="1673"/>
      <c r="D119" s="1673"/>
      <c r="E119" s="2141"/>
      <c r="F119" s="15" t="str">
        <f t="shared" ref="F119:I138" si="14">F40</f>
        <v>FCM30-Lower Housing</v>
      </c>
      <c r="G119" s="2205">
        <f t="shared" si="14"/>
        <v>2</v>
      </c>
      <c r="H119" s="2205">
        <f t="shared" si="14"/>
        <v>120000</v>
      </c>
      <c r="I119" s="2233">
        <f t="shared" si="14"/>
        <v>0</v>
      </c>
      <c r="J119" s="3743">
        <f t="shared" ref="J119:K138" si="15">J39</f>
        <v>17000</v>
      </c>
      <c r="K119" s="3795">
        <f t="shared" si="15"/>
        <v>2</v>
      </c>
      <c r="L119" s="3780">
        <v>1</v>
      </c>
      <c r="M119" s="3781"/>
      <c r="N119" s="3782"/>
      <c r="O119" s="3780"/>
      <c r="P119" s="3781"/>
      <c r="Q119" s="3782"/>
      <c r="R119" s="3780"/>
      <c r="S119" s="3781"/>
      <c r="T119" s="3782"/>
      <c r="U119" s="3780"/>
      <c r="V119" s="3781"/>
      <c r="W119" s="3782"/>
      <c r="X119" s="3785">
        <f t="shared" si="10"/>
        <v>1</v>
      </c>
    </row>
    <row r="120" spans="1:24" ht="18" customHeight="1">
      <c r="A120" s="2154"/>
      <c r="B120" s="1785"/>
      <c r="C120" s="1673"/>
      <c r="D120" s="1673"/>
      <c r="E120" s="2141"/>
      <c r="F120" s="15" t="str">
        <f t="shared" si="14"/>
        <v>OMS Entry Vcsel Cover(250A)</v>
      </c>
      <c r="G120" s="2205">
        <f t="shared" si="14"/>
        <v>2</v>
      </c>
      <c r="H120" s="2205">
        <f t="shared" si="14"/>
        <v>120000</v>
      </c>
      <c r="I120" s="2233">
        <f t="shared" si="14"/>
        <v>0</v>
      </c>
      <c r="J120" s="3743">
        <f t="shared" si="15"/>
        <v>18000</v>
      </c>
      <c r="K120" s="3795">
        <f t="shared" si="15"/>
        <v>0</v>
      </c>
      <c r="L120" s="3780"/>
      <c r="M120" s="3781"/>
      <c r="N120" s="3782">
        <v>1</v>
      </c>
      <c r="O120" s="3780">
        <v>1</v>
      </c>
      <c r="P120" s="3781"/>
      <c r="Q120" s="3782">
        <v>1</v>
      </c>
      <c r="R120" s="3780">
        <v>1</v>
      </c>
      <c r="S120" s="3781"/>
      <c r="T120" s="3782"/>
      <c r="U120" s="3780">
        <v>1</v>
      </c>
      <c r="V120" s="3781">
        <v>1</v>
      </c>
      <c r="W120" s="3782"/>
      <c r="X120" s="3785">
        <f t="shared" si="10"/>
        <v>6</v>
      </c>
    </row>
    <row r="121" spans="1:24" ht="18" customHeight="1">
      <c r="A121" s="2154"/>
      <c r="B121" s="1785"/>
      <c r="C121" s="1673"/>
      <c r="D121" s="1673"/>
      <c r="E121" s="2141"/>
      <c r="F121" s="15" t="str">
        <f t="shared" si="14"/>
        <v>HKMC Ikc Camera Base</v>
      </c>
      <c r="G121" s="2205">
        <f t="shared" si="14"/>
        <v>2</v>
      </c>
      <c r="H121" s="2205">
        <f t="shared" si="14"/>
        <v>120000</v>
      </c>
      <c r="I121" s="2233">
        <f t="shared" si="14"/>
        <v>0</v>
      </c>
      <c r="J121" s="3743">
        <f t="shared" si="15"/>
        <v>17000</v>
      </c>
      <c r="K121" s="3795">
        <f t="shared" si="15"/>
        <v>0</v>
      </c>
      <c r="L121" s="3780">
        <v>1</v>
      </c>
      <c r="M121" s="3781"/>
      <c r="N121" s="3782"/>
      <c r="O121" s="3780"/>
      <c r="P121" s="3781"/>
      <c r="Q121" s="3782"/>
      <c r="R121" s="3780"/>
      <c r="S121" s="3781"/>
      <c r="T121" s="3782"/>
      <c r="U121" s="3780"/>
      <c r="V121" s="3781"/>
      <c r="W121" s="3782"/>
      <c r="X121" s="3785">
        <f t="shared" si="10"/>
        <v>1</v>
      </c>
    </row>
    <row r="122" spans="1:24" ht="18" customHeight="1">
      <c r="A122" s="2154"/>
      <c r="B122" s="1785"/>
      <c r="C122" s="1673"/>
      <c r="D122" s="1673"/>
      <c r="E122" s="2141"/>
      <c r="F122" s="15" t="str">
        <f t="shared" si="14"/>
        <v>OMS Entry Lens Holder (203A)</v>
      </c>
      <c r="G122" s="2205">
        <f t="shared" si="14"/>
        <v>2</v>
      </c>
      <c r="H122" s="2205">
        <f t="shared" si="14"/>
        <v>120000</v>
      </c>
      <c r="I122" s="2233">
        <f t="shared" si="14"/>
        <v>0</v>
      </c>
      <c r="J122" s="3743">
        <f t="shared" si="15"/>
        <v>17000</v>
      </c>
      <c r="K122" s="3795">
        <f t="shared" si="15"/>
        <v>1</v>
      </c>
      <c r="L122" s="3780"/>
      <c r="M122" s="3781"/>
      <c r="N122" s="3782"/>
      <c r="O122" s="3780"/>
      <c r="P122" s="3781"/>
      <c r="Q122" s="3782"/>
      <c r="R122" s="3780"/>
      <c r="S122" s="3781"/>
      <c r="T122" s="3782"/>
      <c r="U122" s="3780"/>
      <c r="V122" s="3781"/>
      <c r="W122" s="3782"/>
      <c r="X122" s="3785">
        <f t="shared" si="10"/>
        <v>0</v>
      </c>
    </row>
    <row r="123" spans="1:24" ht="18" customHeight="1">
      <c r="A123" s="2154"/>
      <c r="B123" s="1785"/>
      <c r="C123" s="1673"/>
      <c r="D123" s="1673"/>
      <c r="E123" s="2141"/>
      <c r="F123" s="15" t="str">
        <f t="shared" si="14"/>
        <v>OMS Front Lens Holder (207A)</v>
      </c>
      <c r="G123" s="2205">
        <f t="shared" si="14"/>
        <v>2</v>
      </c>
      <c r="H123" s="2205">
        <f t="shared" si="14"/>
        <v>120000</v>
      </c>
      <c r="I123" s="2233">
        <f t="shared" si="14"/>
        <v>0</v>
      </c>
      <c r="J123" s="3743">
        <f t="shared" si="15"/>
        <v>17000</v>
      </c>
      <c r="K123" s="3795">
        <f t="shared" si="15"/>
        <v>0</v>
      </c>
      <c r="L123" s="3780"/>
      <c r="M123" s="3781"/>
      <c r="N123" s="3782"/>
      <c r="O123" s="3780"/>
      <c r="P123" s="3781">
        <v>1</v>
      </c>
      <c r="Q123" s="3782"/>
      <c r="R123" s="3780"/>
      <c r="S123" s="3781"/>
      <c r="T123" s="3782"/>
      <c r="U123" s="3780"/>
      <c r="V123" s="3781"/>
      <c r="W123" s="3782"/>
      <c r="X123" s="3785">
        <f t="shared" si="10"/>
        <v>1</v>
      </c>
    </row>
    <row r="124" spans="1:24" ht="18" customHeight="1">
      <c r="A124" s="2154"/>
      <c r="B124" s="1785"/>
      <c r="C124" s="1673"/>
      <c r="D124" s="1673"/>
      <c r="E124" s="2141">
        <v>22</v>
      </c>
      <c r="F124" s="15" t="str">
        <f t="shared" si="14"/>
        <v>MPC5.5 Cover Lens</v>
      </c>
      <c r="G124" s="2205">
        <f t="shared" si="14"/>
        <v>2</v>
      </c>
      <c r="H124" s="2205">
        <f t="shared" si="14"/>
        <v>120000</v>
      </c>
      <c r="I124" s="2233">
        <f t="shared" si="14"/>
        <v>0</v>
      </c>
      <c r="J124" s="3743">
        <f t="shared" si="15"/>
        <v>17000</v>
      </c>
      <c r="K124" s="3795">
        <f t="shared" si="15"/>
        <v>0</v>
      </c>
      <c r="L124" s="3780">
        <v>1</v>
      </c>
      <c r="M124" s="3781"/>
      <c r="N124" s="3782"/>
      <c r="O124" s="3780"/>
      <c r="P124" s="3781"/>
      <c r="Q124" s="3782"/>
      <c r="R124" s="3780"/>
      <c r="S124" s="3781"/>
      <c r="T124" s="3782"/>
      <c r="U124" s="3780"/>
      <c r="V124" s="3781"/>
      <c r="W124" s="3782"/>
      <c r="X124" s="3785">
        <f t="shared" si="10"/>
        <v>1</v>
      </c>
    </row>
    <row r="125" spans="1:24" ht="18" customHeight="1">
      <c r="A125" s="2154"/>
      <c r="B125" s="1785"/>
      <c r="C125" s="1733"/>
      <c r="D125" s="1733"/>
      <c r="E125" s="2232"/>
      <c r="F125" s="11" t="str">
        <f t="shared" si="14"/>
        <v xml:space="preserve">FCM30 Lens Holder </v>
      </c>
      <c r="G125" s="2213">
        <f t="shared" si="14"/>
        <v>2</v>
      </c>
      <c r="H125" s="2213">
        <f t="shared" si="14"/>
        <v>120000</v>
      </c>
      <c r="I125" s="2239">
        <f t="shared" si="14"/>
        <v>0</v>
      </c>
      <c r="J125" s="3744">
        <f t="shared" si="15"/>
        <v>17000</v>
      </c>
      <c r="K125" s="3825">
        <f t="shared" si="15"/>
        <v>5</v>
      </c>
      <c r="L125" s="3826"/>
      <c r="M125" s="3827">
        <v>1</v>
      </c>
      <c r="N125" s="3828"/>
      <c r="O125" s="3826">
        <v>1</v>
      </c>
      <c r="P125" s="3827"/>
      <c r="Q125" s="3828">
        <v>1</v>
      </c>
      <c r="R125" s="3826">
        <v>1</v>
      </c>
      <c r="S125" s="3827"/>
      <c r="T125" s="3828">
        <v>1</v>
      </c>
      <c r="U125" s="3826"/>
      <c r="V125" s="3827">
        <v>1</v>
      </c>
      <c r="W125" s="3828"/>
      <c r="X125" s="3829">
        <f t="shared" si="10"/>
        <v>6</v>
      </c>
    </row>
    <row r="126" spans="1:24" ht="18" customHeight="1">
      <c r="A126" s="2154"/>
      <c r="B126" s="1785"/>
      <c r="C126" s="1592" t="s">
        <v>403</v>
      </c>
      <c r="D126" s="1593" t="s">
        <v>865</v>
      </c>
      <c r="E126" s="2141">
        <v>23</v>
      </c>
      <c r="F126" s="15" t="str">
        <f t="shared" si="14"/>
        <v>NX4 HSG</v>
      </c>
      <c r="G126" s="2205">
        <f t="shared" si="14"/>
        <v>1</v>
      </c>
      <c r="H126" s="2205">
        <f t="shared" si="14"/>
        <v>100000</v>
      </c>
      <c r="I126" s="2233">
        <f t="shared" si="14"/>
        <v>0</v>
      </c>
      <c r="J126" s="3743">
        <f t="shared" si="15"/>
        <v>17000</v>
      </c>
      <c r="K126" s="3795">
        <f t="shared" si="15"/>
        <v>0</v>
      </c>
      <c r="L126" s="3780">
        <v>1</v>
      </c>
      <c r="M126" s="3781"/>
      <c r="N126" s="3782">
        <v>1</v>
      </c>
      <c r="O126" s="3780"/>
      <c r="P126" s="3781">
        <v>1</v>
      </c>
      <c r="Q126" s="3782"/>
      <c r="R126" s="3780"/>
      <c r="S126" s="3781">
        <v>1</v>
      </c>
      <c r="T126" s="3782">
        <v>1</v>
      </c>
      <c r="U126" s="3780"/>
      <c r="V126" s="3781"/>
      <c r="W126" s="3782">
        <v>1</v>
      </c>
      <c r="X126" s="3785">
        <f t="shared" si="10"/>
        <v>6</v>
      </c>
    </row>
    <row r="127" spans="1:24" ht="18" customHeight="1">
      <c r="A127" s="2154"/>
      <c r="B127" s="1785"/>
      <c r="C127" s="15"/>
      <c r="D127" s="1599"/>
      <c r="E127" s="2141">
        <v>24</v>
      </c>
      <c r="F127" s="15" t="str">
        <f t="shared" si="14"/>
        <v>IMEB2 Housing</v>
      </c>
      <c r="G127" s="2205">
        <f t="shared" si="14"/>
        <v>1</v>
      </c>
      <c r="H127" s="2205">
        <f t="shared" si="14"/>
        <v>100000</v>
      </c>
      <c r="I127" s="2233">
        <f t="shared" si="14"/>
        <v>0</v>
      </c>
      <c r="J127" s="3743">
        <f t="shared" si="15"/>
        <v>18000</v>
      </c>
      <c r="K127" s="3795">
        <f t="shared" si="15"/>
        <v>7</v>
      </c>
      <c r="L127" s="3780"/>
      <c r="M127" s="3781">
        <v>1</v>
      </c>
      <c r="N127" s="3782"/>
      <c r="O127" s="3780"/>
      <c r="P127" s="3781">
        <v>1</v>
      </c>
      <c r="Q127" s="3782"/>
      <c r="R127" s="3780">
        <v>1</v>
      </c>
      <c r="S127" s="3781"/>
      <c r="T127" s="3782">
        <v>1</v>
      </c>
      <c r="U127" s="3780"/>
      <c r="V127" s="3781"/>
      <c r="W127" s="3782">
        <v>1</v>
      </c>
      <c r="X127" s="3785">
        <f t="shared" si="10"/>
        <v>5</v>
      </c>
    </row>
    <row r="128" spans="1:24" ht="18" customHeight="1">
      <c r="A128" s="2154"/>
      <c r="B128" s="1785"/>
      <c r="C128" s="15"/>
      <c r="D128" s="1599"/>
      <c r="E128" s="2141">
        <v>25</v>
      </c>
      <c r="F128" s="15" t="str">
        <f t="shared" si="14"/>
        <v>J100 Housing</v>
      </c>
      <c r="G128" s="2205">
        <f t="shared" si="14"/>
        <v>1</v>
      </c>
      <c r="H128" s="2205">
        <f t="shared" si="14"/>
        <v>100000</v>
      </c>
      <c r="I128" s="2233">
        <f t="shared" si="14"/>
        <v>0</v>
      </c>
      <c r="J128" s="3743">
        <f t="shared" si="15"/>
        <v>18000</v>
      </c>
      <c r="K128" s="3795">
        <f t="shared" si="15"/>
        <v>9</v>
      </c>
      <c r="L128" s="3780">
        <v>1</v>
      </c>
      <c r="M128" s="3781"/>
      <c r="N128" s="3782"/>
      <c r="O128" s="3780">
        <v>1</v>
      </c>
      <c r="P128" s="3781"/>
      <c r="Q128" s="3782">
        <v>1</v>
      </c>
      <c r="R128" s="3780"/>
      <c r="S128" s="3781">
        <v>1</v>
      </c>
      <c r="T128" s="3782"/>
      <c r="U128" s="3780">
        <v>1</v>
      </c>
      <c r="V128" s="3781"/>
      <c r="W128" s="3782">
        <v>1</v>
      </c>
      <c r="X128" s="3785">
        <f t="shared" si="10"/>
        <v>6</v>
      </c>
    </row>
    <row r="129" spans="1:24" ht="18" customHeight="1">
      <c r="A129" s="2154"/>
      <c r="B129" s="1785"/>
      <c r="C129" s="15"/>
      <c r="D129" s="1599"/>
      <c r="E129" s="2141"/>
      <c r="F129" s="15" t="str">
        <f t="shared" si="14"/>
        <v>BENZ R-EPS HSG (Anodizing)</v>
      </c>
      <c r="G129" s="2205">
        <f t="shared" si="14"/>
        <v>2</v>
      </c>
      <c r="H129" s="2205">
        <f t="shared" si="14"/>
        <v>100000</v>
      </c>
      <c r="I129" s="2233">
        <f t="shared" si="14"/>
        <v>0</v>
      </c>
      <c r="J129" s="3743">
        <f t="shared" si="15"/>
        <v>18000</v>
      </c>
      <c r="K129" s="3795">
        <f t="shared" si="15"/>
        <v>1</v>
      </c>
      <c r="L129" s="3780">
        <v>1</v>
      </c>
      <c r="M129" s="3781"/>
      <c r="N129" s="3782"/>
      <c r="O129" s="3780"/>
      <c r="P129" s="3781"/>
      <c r="Q129" s="3782"/>
      <c r="R129" s="3780"/>
      <c r="S129" s="3781"/>
      <c r="T129" s="3782"/>
      <c r="U129" s="3780"/>
      <c r="V129" s="3781"/>
      <c r="W129" s="3782"/>
      <c r="X129" s="3785">
        <f t="shared" si="10"/>
        <v>1</v>
      </c>
    </row>
    <row r="130" spans="1:24" ht="18" customHeight="1">
      <c r="A130" s="2154"/>
      <c r="B130" s="1785"/>
      <c r="C130" s="15"/>
      <c r="D130" s="1599"/>
      <c r="E130" s="2141"/>
      <c r="F130" s="15" t="str">
        <f t="shared" si="14"/>
        <v>NE2 R-EPS HSG</v>
      </c>
      <c r="G130" s="2205">
        <f t="shared" si="14"/>
        <v>2</v>
      </c>
      <c r="H130" s="2205">
        <f t="shared" si="14"/>
        <v>100000</v>
      </c>
      <c r="I130" s="2233">
        <f t="shared" si="14"/>
        <v>0</v>
      </c>
      <c r="J130" s="3743">
        <f t="shared" si="15"/>
        <v>18000</v>
      </c>
      <c r="K130" s="3795">
        <f t="shared" si="15"/>
        <v>0</v>
      </c>
      <c r="L130" s="3780">
        <v>1</v>
      </c>
      <c r="M130" s="3781"/>
      <c r="N130" s="3782"/>
      <c r="O130" s="3780"/>
      <c r="P130" s="3781"/>
      <c r="Q130" s="3782"/>
      <c r="R130" s="3780"/>
      <c r="S130" s="3781">
        <v>1</v>
      </c>
      <c r="T130" s="3782"/>
      <c r="U130" s="3780"/>
      <c r="V130" s="3781"/>
      <c r="W130" s="3782"/>
      <c r="X130" s="3785">
        <f t="shared" si="10"/>
        <v>2</v>
      </c>
    </row>
    <row r="131" spans="1:24" ht="18" customHeight="1">
      <c r="A131" s="2154"/>
      <c r="B131" s="1785"/>
      <c r="C131" s="15"/>
      <c r="D131" s="1599"/>
      <c r="E131" s="2237"/>
      <c r="F131" s="1586" t="str">
        <f t="shared" si="14"/>
        <v>M184 R-EPS HSG</v>
      </c>
      <c r="G131" s="2210">
        <f t="shared" si="14"/>
        <v>2</v>
      </c>
      <c r="H131" s="2210">
        <f t="shared" si="14"/>
        <v>100000</v>
      </c>
      <c r="I131" s="2238">
        <f t="shared" si="14"/>
        <v>0</v>
      </c>
      <c r="J131" s="3750">
        <f t="shared" si="15"/>
        <v>18000</v>
      </c>
      <c r="K131" s="3820">
        <f t="shared" si="15"/>
        <v>0</v>
      </c>
      <c r="L131" s="3821"/>
      <c r="M131" s="3822"/>
      <c r="N131" s="3823"/>
      <c r="O131" s="3821"/>
      <c r="P131" s="3822">
        <v>1</v>
      </c>
      <c r="Q131" s="3823"/>
      <c r="R131" s="3821"/>
      <c r="S131" s="3822"/>
      <c r="T131" s="3823"/>
      <c r="U131" s="3821">
        <v>1</v>
      </c>
      <c r="V131" s="3822"/>
      <c r="W131" s="3823"/>
      <c r="X131" s="3824">
        <f t="shared" si="10"/>
        <v>2</v>
      </c>
    </row>
    <row r="132" spans="1:24" ht="18" customHeight="1">
      <c r="A132" s="2154"/>
      <c r="B132" s="1785"/>
      <c r="C132" s="15"/>
      <c r="D132" s="12" t="s">
        <v>874</v>
      </c>
      <c r="E132" s="2141">
        <v>26</v>
      </c>
      <c r="F132" s="15" t="str">
        <f t="shared" si="14"/>
        <v>NX4 Cover</v>
      </c>
      <c r="G132" s="2205">
        <f t="shared" si="14"/>
        <v>4</v>
      </c>
      <c r="H132" s="2205">
        <f t="shared" si="14"/>
        <v>100000</v>
      </c>
      <c r="I132" s="2233">
        <f t="shared" si="14"/>
        <v>0</v>
      </c>
      <c r="J132" s="3743">
        <f t="shared" si="15"/>
        <v>18000</v>
      </c>
      <c r="K132" s="3795">
        <f t="shared" si="15"/>
        <v>0</v>
      </c>
      <c r="L132" s="3780"/>
      <c r="M132" s="3781"/>
      <c r="N132" s="3782"/>
      <c r="O132" s="3780"/>
      <c r="P132" s="3781"/>
      <c r="Q132" s="3782"/>
      <c r="R132" s="3780"/>
      <c r="S132" s="3781"/>
      <c r="T132" s="3782"/>
      <c r="U132" s="3780">
        <v>1</v>
      </c>
      <c r="V132" s="3781"/>
      <c r="W132" s="3782"/>
      <c r="X132" s="3785">
        <f t="shared" ref="X132:X160" si="16">SUM(L132:W132)</f>
        <v>1</v>
      </c>
    </row>
    <row r="133" spans="1:24" ht="18" customHeight="1">
      <c r="A133" s="2154"/>
      <c r="B133" s="1785"/>
      <c r="C133" s="15"/>
      <c r="D133" s="1586"/>
      <c r="E133" s="2237">
        <v>27</v>
      </c>
      <c r="F133" s="1586" t="str">
        <f t="shared" si="14"/>
        <v>Tey Gen4 Cover</v>
      </c>
      <c r="G133" s="2210">
        <f t="shared" si="14"/>
        <v>4</v>
      </c>
      <c r="H133" s="2210">
        <f t="shared" si="14"/>
        <v>100000</v>
      </c>
      <c r="I133" s="2238">
        <f t="shared" si="14"/>
        <v>0</v>
      </c>
      <c r="J133" s="3750">
        <f t="shared" si="15"/>
        <v>17000</v>
      </c>
      <c r="K133" s="3820">
        <f t="shared" si="15"/>
        <v>2</v>
      </c>
      <c r="L133" s="3821"/>
      <c r="M133" s="3822"/>
      <c r="N133" s="3823"/>
      <c r="O133" s="3821">
        <v>1</v>
      </c>
      <c r="P133" s="3822"/>
      <c r="Q133" s="3823"/>
      <c r="R133" s="3821">
        <v>1</v>
      </c>
      <c r="S133" s="3822"/>
      <c r="T133" s="3823"/>
      <c r="U133" s="3821"/>
      <c r="V133" s="3822"/>
      <c r="W133" s="3823"/>
      <c r="X133" s="3824">
        <f t="shared" si="16"/>
        <v>2</v>
      </c>
    </row>
    <row r="134" spans="1:24" ht="18" customHeight="1">
      <c r="A134" s="2154"/>
      <c r="B134" s="1785"/>
      <c r="C134" s="15"/>
      <c r="D134" s="13"/>
      <c r="E134" s="2141">
        <v>28</v>
      </c>
      <c r="F134" s="15" t="str">
        <f t="shared" si="14"/>
        <v>CEER RWA CVR-만도향</v>
      </c>
      <c r="G134" s="2205">
        <f t="shared" si="14"/>
        <v>2</v>
      </c>
      <c r="H134" s="2205">
        <f t="shared" si="14"/>
        <v>100000</v>
      </c>
      <c r="I134" s="2233">
        <f t="shared" si="14"/>
        <v>0</v>
      </c>
      <c r="J134" s="3743">
        <f t="shared" si="15"/>
        <v>17000</v>
      </c>
      <c r="K134" s="3795">
        <f t="shared" si="15"/>
        <v>3</v>
      </c>
      <c r="L134" s="3780"/>
      <c r="M134" s="3781"/>
      <c r="N134" s="3782">
        <v>1</v>
      </c>
      <c r="O134" s="3780"/>
      <c r="P134" s="3781"/>
      <c r="Q134" s="3782">
        <v>1</v>
      </c>
      <c r="R134" s="3780"/>
      <c r="S134" s="3781"/>
      <c r="T134" s="3782"/>
      <c r="U134" s="3780"/>
      <c r="V134" s="3781"/>
      <c r="W134" s="3782"/>
      <c r="X134" s="3785">
        <f t="shared" si="16"/>
        <v>2</v>
      </c>
    </row>
    <row r="135" spans="1:24" ht="18" customHeight="1">
      <c r="A135" s="2154"/>
      <c r="B135" s="1785"/>
      <c r="C135" s="15"/>
      <c r="D135" s="13"/>
      <c r="E135" s="2141">
        <v>29</v>
      </c>
      <c r="F135" s="15" t="str">
        <f t="shared" si="14"/>
        <v>CEER RWS CVR-만도향</v>
      </c>
      <c r="G135" s="2205">
        <f t="shared" si="14"/>
        <v>2</v>
      </c>
      <c r="H135" s="2205">
        <f t="shared" si="14"/>
        <v>100000</v>
      </c>
      <c r="I135" s="2233">
        <f t="shared" si="14"/>
        <v>0</v>
      </c>
      <c r="J135" s="3743">
        <f t="shared" si="15"/>
        <v>17000</v>
      </c>
      <c r="K135" s="3795">
        <f t="shared" si="15"/>
        <v>0</v>
      </c>
      <c r="L135" s="3780"/>
      <c r="M135" s="3781"/>
      <c r="N135" s="3782"/>
      <c r="O135" s="3780"/>
      <c r="P135" s="3781"/>
      <c r="Q135" s="3782"/>
      <c r="R135" s="3780"/>
      <c r="S135" s="3781">
        <v>1</v>
      </c>
      <c r="T135" s="3782"/>
      <c r="U135" s="3780"/>
      <c r="V135" s="3781"/>
      <c r="W135" s="3782"/>
      <c r="X135" s="3785">
        <f t="shared" si="16"/>
        <v>1</v>
      </c>
    </row>
    <row r="136" spans="1:24" ht="18" customHeight="1">
      <c r="A136" s="2154"/>
      <c r="B136" s="1785"/>
      <c r="C136" s="15"/>
      <c r="D136" s="13"/>
      <c r="E136" s="2141">
        <v>30</v>
      </c>
      <c r="F136" s="15" t="str">
        <f t="shared" si="14"/>
        <v>JG R-EPS CVR-만도향</v>
      </c>
      <c r="G136" s="2205">
        <f t="shared" si="14"/>
        <v>2</v>
      </c>
      <c r="H136" s="2205">
        <f t="shared" si="14"/>
        <v>100000</v>
      </c>
      <c r="I136" s="2233">
        <f t="shared" si="14"/>
        <v>0</v>
      </c>
      <c r="J136" s="3743">
        <f t="shared" si="15"/>
        <v>17000</v>
      </c>
      <c r="K136" s="3795">
        <f t="shared" si="15"/>
        <v>1</v>
      </c>
      <c r="L136" s="3780"/>
      <c r="M136" s="3781"/>
      <c r="N136" s="3782"/>
      <c r="O136" s="3780"/>
      <c r="P136" s="3781"/>
      <c r="Q136" s="3782"/>
      <c r="R136" s="3780"/>
      <c r="S136" s="3781"/>
      <c r="T136" s="3782">
        <v>1</v>
      </c>
      <c r="U136" s="3780"/>
      <c r="V136" s="3781"/>
      <c r="W136" s="3782"/>
      <c r="X136" s="3785">
        <f t="shared" si="16"/>
        <v>1</v>
      </c>
    </row>
    <row r="137" spans="1:24" ht="18" customHeight="1">
      <c r="A137" s="2154"/>
      <c r="B137" s="1785"/>
      <c r="C137" s="15"/>
      <c r="D137" s="13"/>
      <c r="E137" s="2141">
        <v>31</v>
      </c>
      <c r="F137" s="15" t="str">
        <f t="shared" si="14"/>
        <v>JG RWS CVR-만도향</v>
      </c>
      <c r="G137" s="2205">
        <f t="shared" si="14"/>
        <v>2</v>
      </c>
      <c r="H137" s="2205">
        <f t="shared" si="14"/>
        <v>100000</v>
      </c>
      <c r="I137" s="2233">
        <f t="shared" si="14"/>
        <v>0</v>
      </c>
      <c r="J137" s="3743">
        <f t="shared" si="15"/>
        <v>17000</v>
      </c>
      <c r="K137" s="3795">
        <f t="shared" si="15"/>
        <v>1</v>
      </c>
      <c r="L137" s="3780"/>
      <c r="M137" s="3781"/>
      <c r="N137" s="3782"/>
      <c r="O137" s="3780"/>
      <c r="P137" s="3781"/>
      <c r="Q137" s="3782"/>
      <c r="R137" s="3780"/>
      <c r="S137" s="3781"/>
      <c r="T137" s="3782"/>
      <c r="U137" s="3780">
        <v>1</v>
      </c>
      <c r="V137" s="3781"/>
      <c r="W137" s="3782"/>
      <c r="X137" s="3785">
        <f t="shared" si="16"/>
        <v>1</v>
      </c>
    </row>
    <row r="138" spans="1:24" ht="18" customHeight="1">
      <c r="A138" s="2154"/>
      <c r="B138" s="1785"/>
      <c r="C138" s="11"/>
      <c r="D138" s="1607" t="s">
        <v>892</v>
      </c>
      <c r="E138" s="2232">
        <v>32</v>
      </c>
      <c r="F138" s="11" t="str">
        <f t="shared" si="14"/>
        <v>MAS65 Heatsink Cover</v>
      </c>
      <c r="G138" s="2213">
        <f t="shared" si="14"/>
        <v>2</v>
      </c>
      <c r="H138" s="2213">
        <f t="shared" si="14"/>
        <v>100000</v>
      </c>
      <c r="I138" s="2239">
        <f t="shared" si="14"/>
        <v>0</v>
      </c>
      <c r="J138" s="3744">
        <f t="shared" si="15"/>
        <v>17000</v>
      </c>
      <c r="K138" s="3825">
        <f t="shared" si="15"/>
        <v>1</v>
      </c>
      <c r="L138" s="3826"/>
      <c r="M138" s="3827"/>
      <c r="N138" s="3828">
        <v>1</v>
      </c>
      <c r="O138" s="3826"/>
      <c r="P138" s="3827"/>
      <c r="Q138" s="3828"/>
      <c r="R138" s="3826"/>
      <c r="S138" s="3827"/>
      <c r="T138" s="3828"/>
      <c r="U138" s="3826"/>
      <c r="V138" s="3827"/>
      <c r="W138" s="3828"/>
      <c r="X138" s="3829">
        <f t="shared" si="16"/>
        <v>1</v>
      </c>
    </row>
    <row r="139" spans="1:24" ht="18" customHeight="1">
      <c r="A139" s="2154"/>
      <c r="B139" s="1785"/>
      <c r="C139" s="15" t="s">
        <v>405</v>
      </c>
      <c r="D139" s="1599" t="s">
        <v>1008</v>
      </c>
      <c r="E139" s="4314">
        <v>33</v>
      </c>
      <c r="F139" s="3939" t="str">
        <f t="shared" ref="F139:I158" si="17">F60</f>
        <v>FCA Housing</v>
      </c>
      <c r="G139" s="4316">
        <f t="shared" si="17"/>
        <v>2</v>
      </c>
      <c r="H139" s="4316">
        <f t="shared" si="17"/>
        <v>100000</v>
      </c>
      <c r="I139" s="2234">
        <f t="shared" si="17"/>
        <v>0</v>
      </c>
      <c r="J139" s="3745">
        <f t="shared" ref="J139:K158" si="18">J59</f>
        <v>17000</v>
      </c>
      <c r="K139" s="3779">
        <f t="shared" si="18"/>
        <v>5</v>
      </c>
      <c r="L139" s="3791"/>
      <c r="M139" s="3792"/>
      <c r="N139" s="3793"/>
      <c r="O139" s="3791">
        <v>1</v>
      </c>
      <c r="P139" s="3792"/>
      <c r="Q139" s="3793"/>
      <c r="R139" s="3791">
        <v>1</v>
      </c>
      <c r="S139" s="3792"/>
      <c r="T139" s="3793"/>
      <c r="U139" s="3791">
        <v>1</v>
      </c>
      <c r="V139" s="3792"/>
      <c r="W139" s="3793"/>
      <c r="X139" s="3794">
        <f t="shared" si="16"/>
        <v>3</v>
      </c>
    </row>
    <row r="140" spans="1:24" ht="18" customHeight="1">
      <c r="A140" s="2154"/>
      <c r="B140" s="1785"/>
      <c r="C140" s="15"/>
      <c r="D140" s="15"/>
      <c r="E140" s="2141">
        <v>34</v>
      </c>
      <c r="F140" s="15" t="str">
        <f t="shared" si="17"/>
        <v>GM EU2L Housing</v>
      </c>
      <c r="G140" s="2205">
        <f t="shared" si="17"/>
        <v>2</v>
      </c>
      <c r="H140" s="2205">
        <f t="shared" si="17"/>
        <v>100000</v>
      </c>
      <c r="I140" s="2233">
        <f t="shared" si="17"/>
        <v>0</v>
      </c>
      <c r="J140" s="3743">
        <f t="shared" si="18"/>
        <v>18000</v>
      </c>
      <c r="K140" s="3795">
        <f t="shared" si="18"/>
        <v>4</v>
      </c>
      <c r="L140" s="3780"/>
      <c r="M140" s="3781"/>
      <c r="N140" s="3782">
        <v>1</v>
      </c>
      <c r="O140" s="3780"/>
      <c r="P140" s="3781"/>
      <c r="Q140" s="3782">
        <v>1</v>
      </c>
      <c r="R140" s="3780"/>
      <c r="S140" s="3781"/>
      <c r="T140" s="3782">
        <v>1</v>
      </c>
      <c r="U140" s="3780"/>
      <c r="V140" s="3781"/>
      <c r="W140" s="3782">
        <v>1</v>
      </c>
      <c r="X140" s="3785">
        <f t="shared" si="16"/>
        <v>4</v>
      </c>
    </row>
    <row r="141" spans="1:24" ht="18" customHeight="1">
      <c r="A141" s="2154"/>
      <c r="B141" s="1785"/>
      <c r="C141" s="15"/>
      <c r="D141" s="1586"/>
      <c r="E141" s="2237">
        <v>35</v>
      </c>
      <c r="F141" s="1586" t="str">
        <f t="shared" si="17"/>
        <v>GM ACP Housing</v>
      </c>
      <c r="G141" s="2210">
        <f t="shared" si="17"/>
        <v>2</v>
      </c>
      <c r="H141" s="2210">
        <f t="shared" si="17"/>
        <v>100000</v>
      </c>
      <c r="I141" s="2238">
        <f t="shared" si="17"/>
        <v>0</v>
      </c>
      <c r="J141" s="3750">
        <f t="shared" si="18"/>
        <v>18000</v>
      </c>
      <c r="K141" s="3820">
        <f t="shared" si="18"/>
        <v>4</v>
      </c>
      <c r="L141" s="3821">
        <v>1</v>
      </c>
      <c r="M141" s="3822"/>
      <c r="N141" s="3823">
        <v>1</v>
      </c>
      <c r="O141" s="3821"/>
      <c r="P141" s="3822">
        <v>1</v>
      </c>
      <c r="Q141" s="3823"/>
      <c r="R141" s="3821"/>
      <c r="S141" s="3822">
        <v>1</v>
      </c>
      <c r="T141" s="3823"/>
      <c r="U141" s="3821"/>
      <c r="V141" s="3822">
        <v>1</v>
      </c>
      <c r="W141" s="3823"/>
      <c r="X141" s="3824">
        <f t="shared" si="16"/>
        <v>5</v>
      </c>
    </row>
    <row r="142" spans="1:24" ht="18" customHeight="1">
      <c r="A142" s="2154"/>
      <c r="B142" s="1785"/>
      <c r="C142" s="15"/>
      <c r="D142" s="15" t="s">
        <v>1009</v>
      </c>
      <c r="E142" s="2141">
        <v>36</v>
      </c>
      <c r="F142" s="15" t="str">
        <f t="shared" si="17"/>
        <v>FCA Cover</v>
      </c>
      <c r="G142" s="2205">
        <f t="shared" si="17"/>
        <v>2</v>
      </c>
      <c r="H142" s="2205">
        <f t="shared" si="17"/>
        <v>100000</v>
      </c>
      <c r="I142" s="2233">
        <f t="shared" si="17"/>
        <v>0</v>
      </c>
      <c r="J142" s="3743">
        <f t="shared" si="18"/>
        <v>18000</v>
      </c>
      <c r="K142" s="3795">
        <f t="shared" si="18"/>
        <v>9</v>
      </c>
      <c r="L142" s="3780">
        <v>1</v>
      </c>
      <c r="M142" s="3781">
        <v>1</v>
      </c>
      <c r="N142" s="3782">
        <v>1</v>
      </c>
      <c r="O142" s="3780">
        <v>1</v>
      </c>
      <c r="P142" s="3781">
        <v>1</v>
      </c>
      <c r="Q142" s="3782">
        <v>1</v>
      </c>
      <c r="R142" s="3780"/>
      <c r="S142" s="3781">
        <v>1</v>
      </c>
      <c r="T142" s="3782"/>
      <c r="U142" s="3780">
        <v>1</v>
      </c>
      <c r="V142" s="3781">
        <v>1</v>
      </c>
      <c r="W142" s="3782">
        <v>1</v>
      </c>
      <c r="X142" s="3785">
        <f t="shared" si="16"/>
        <v>10</v>
      </c>
    </row>
    <row r="143" spans="1:24" ht="18" customHeight="1">
      <c r="A143" s="2154"/>
      <c r="B143" s="1785"/>
      <c r="C143" s="15"/>
      <c r="D143" s="15"/>
      <c r="E143" s="2141">
        <v>37</v>
      </c>
      <c r="F143" s="15" t="str">
        <f t="shared" si="17"/>
        <v>GM EU2L Cover</v>
      </c>
      <c r="G143" s="2205">
        <f t="shared" si="17"/>
        <v>2</v>
      </c>
      <c r="H143" s="2205">
        <f t="shared" si="17"/>
        <v>100000</v>
      </c>
      <c r="I143" s="2233">
        <f t="shared" si="17"/>
        <v>0</v>
      </c>
      <c r="J143" s="3743">
        <f t="shared" si="18"/>
        <v>20000</v>
      </c>
      <c r="K143" s="3795">
        <f t="shared" si="18"/>
        <v>4</v>
      </c>
      <c r="L143" s="3780"/>
      <c r="M143" s="3781">
        <v>1</v>
      </c>
      <c r="N143" s="3782"/>
      <c r="O143" s="3780"/>
      <c r="P143" s="3781">
        <v>1</v>
      </c>
      <c r="Q143" s="3782"/>
      <c r="R143" s="3780"/>
      <c r="S143" s="3781"/>
      <c r="T143" s="3782">
        <v>1</v>
      </c>
      <c r="U143" s="3780"/>
      <c r="V143" s="3781"/>
      <c r="W143" s="3782">
        <v>1</v>
      </c>
      <c r="X143" s="3785">
        <f t="shared" si="16"/>
        <v>4</v>
      </c>
    </row>
    <row r="144" spans="1:24" ht="18" customHeight="1">
      <c r="A144" s="2154"/>
      <c r="B144" s="1785"/>
      <c r="C144" s="13"/>
      <c r="D144" s="1586"/>
      <c r="E144" s="2141">
        <v>38</v>
      </c>
      <c r="F144" s="15" t="str">
        <f t="shared" si="17"/>
        <v>GM ACP Cover</v>
      </c>
      <c r="G144" s="2205">
        <f t="shared" si="17"/>
        <v>2</v>
      </c>
      <c r="H144" s="2205">
        <f t="shared" si="17"/>
        <v>100000</v>
      </c>
      <c r="I144" s="2233">
        <f t="shared" si="17"/>
        <v>0</v>
      </c>
      <c r="J144" s="3743">
        <f t="shared" si="18"/>
        <v>20000</v>
      </c>
      <c r="K144" s="3795">
        <f t="shared" si="18"/>
        <v>4</v>
      </c>
      <c r="L144" s="3780"/>
      <c r="M144" s="3781">
        <v>1</v>
      </c>
      <c r="N144" s="3782"/>
      <c r="O144" s="3780"/>
      <c r="P144" s="3781"/>
      <c r="Q144" s="3782">
        <v>1</v>
      </c>
      <c r="R144" s="3780"/>
      <c r="S144" s="3781"/>
      <c r="T144" s="3782">
        <v>1</v>
      </c>
      <c r="U144" s="3780"/>
      <c r="V144" s="3781">
        <v>1</v>
      </c>
      <c r="W144" s="3782">
        <v>1</v>
      </c>
      <c r="X144" s="3785">
        <f t="shared" si="16"/>
        <v>5</v>
      </c>
    </row>
    <row r="145" spans="1:24" ht="18" customHeight="1">
      <c r="A145" s="2154"/>
      <c r="B145" s="1785"/>
      <c r="C145" s="13"/>
      <c r="D145" s="15" t="s">
        <v>885</v>
      </c>
      <c r="E145" s="2237">
        <v>39</v>
      </c>
      <c r="F145" s="1586" t="str">
        <f t="shared" si="17"/>
        <v>Lens Mount</v>
      </c>
      <c r="G145" s="2210">
        <f t="shared" si="17"/>
        <v>2</v>
      </c>
      <c r="H145" s="2210">
        <f t="shared" si="17"/>
        <v>100000</v>
      </c>
      <c r="I145" s="2238">
        <f t="shared" si="17"/>
        <v>0</v>
      </c>
      <c r="J145" s="3750">
        <f t="shared" si="18"/>
        <v>12000</v>
      </c>
      <c r="K145" s="3820">
        <f t="shared" si="18"/>
        <v>9</v>
      </c>
      <c r="L145" s="3821">
        <v>1</v>
      </c>
      <c r="M145" s="3822"/>
      <c r="N145" s="3823">
        <v>1</v>
      </c>
      <c r="O145" s="3821">
        <v>1</v>
      </c>
      <c r="P145" s="3822">
        <v>1</v>
      </c>
      <c r="Q145" s="3823">
        <v>1</v>
      </c>
      <c r="R145" s="3821">
        <v>1</v>
      </c>
      <c r="S145" s="3822"/>
      <c r="T145" s="3823">
        <v>1</v>
      </c>
      <c r="U145" s="3821">
        <v>1</v>
      </c>
      <c r="V145" s="3822">
        <v>1</v>
      </c>
      <c r="W145" s="3823">
        <v>1</v>
      </c>
      <c r="X145" s="3824">
        <f t="shared" si="16"/>
        <v>10</v>
      </c>
    </row>
    <row r="146" spans="1:24" s="1579" customFormat="1" ht="18" customHeight="1">
      <c r="A146" s="2154"/>
      <c r="B146" s="1785"/>
      <c r="C146" s="13"/>
      <c r="D146" s="12" t="s">
        <v>892</v>
      </c>
      <c r="E146" s="2141">
        <v>40</v>
      </c>
      <c r="F146" s="15" t="str">
        <f t="shared" si="17"/>
        <v>IPM 1.0 Housing</v>
      </c>
      <c r="G146" s="2205">
        <f t="shared" si="17"/>
        <v>2</v>
      </c>
      <c r="H146" s="2205">
        <f t="shared" si="17"/>
        <v>100000</v>
      </c>
      <c r="I146" s="2233">
        <f t="shared" si="17"/>
        <v>0</v>
      </c>
      <c r="J146" s="3743">
        <f t="shared" si="18"/>
        <v>12000</v>
      </c>
      <c r="K146" s="3795">
        <f t="shared" si="18"/>
        <v>16</v>
      </c>
      <c r="L146" s="3780">
        <v>2</v>
      </c>
      <c r="M146" s="3781">
        <v>2</v>
      </c>
      <c r="N146" s="3782">
        <v>1</v>
      </c>
      <c r="O146" s="3780">
        <v>1</v>
      </c>
      <c r="P146" s="3781">
        <v>2</v>
      </c>
      <c r="Q146" s="3782">
        <v>1</v>
      </c>
      <c r="R146" s="3780">
        <v>2</v>
      </c>
      <c r="S146" s="3781">
        <v>1</v>
      </c>
      <c r="T146" s="3782">
        <v>1</v>
      </c>
      <c r="U146" s="3780"/>
      <c r="V146" s="3781">
        <v>1</v>
      </c>
      <c r="W146" s="3782">
        <v>1</v>
      </c>
      <c r="X146" s="3785">
        <f t="shared" si="16"/>
        <v>15</v>
      </c>
    </row>
    <row r="147" spans="1:24" ht="18" customHeight="1">
      <c r="A147" s="2154"/>
      <c r="B147" s="1785"/>
      <c r="C147" s="13"/>
      <c r="D147" s="15"/>
      <c r="E147" s="2141">
        <v>41</v>
      </c>
      <c r="F147" s="15" t="str">
        <f t="shared" si="17"/>
        <v>IPM 2.0  Base Housing</v>
      </c>
      <c r="G147" s="2205">
        <f t="shared" si="17"/>
        <v>1</v>
      </c>
      <c r="H147" s="2205">
        <f t="shared" si="17"/>
        <v>100000</v>
      </c>
      <c r="I147" s="2233">
        <f t="shared" si="17"/>
        <v>0</v>
      </c>
      <c r="J147" s="3743">
        <f t="shared" si="18"/>
        <v>19000</v>
      </c>
      <c r="K147" s="3795">
        <f t="shared" si="18"/>
        <v>1</v>
      </c>
      <c r="L147" s="3780"/>
      <c r="M147" s="3781"/>
      <c r="N147" s="3782"/>
      <c r="O147" s="3780"/>
      <c r="P147" s="3781"/>
      <c r="Q147" s="3782"/>
      <c r="R147" s="3780"/>
      <c r="S147" s="3781"/>
      <c r="T147" s="3782">
        <v>1</v>
      </c>
      <c r="U147" s="3780"/>
      <c r="V147" s="3781"/>
      <c r="W147" s="3782"/>
      <c r="X147" s="3785">
        <f t="shared" si="16"/>
        <v>1</v>
      </c>
    </row>
    <row r="148" spans="1:24" ht="18" customHeight="1">
      <c r="A148" s="2154"/>
      <c r="B148" s="1785"/>
      <c r="C148" s="13"/>
      <c r="D148" s="15"/>
      <c r="E148" s="2141"/>
      <c r="F148" s="15" t="str">
        <f t="shared" si="17"/>
        <v>IPM 2.0 Advanced HSG</v>
      </c>
      <c r="G148" s="2205">
        <f t="shared" si="17"/>
        <v>2</v>
      </c>
      <c r="H148" s="2205">
        <f t="shared" si="17"/>
        <v>100000</v>
      </c>
      <c r="I148" s="2233">
        <f t="shared" si="17"/>
        <v>0</v>
      </c>
      <c r="J148" s="3743">
        <f t="shared" si="18"/>
        <v>20000</v>
      </c>
      <c r="K148" s="3795">
        <f t="shared" si="18"/>
        <v>1</v>
      </c>
      <c r="L148" s="3780"/>
      <c r="M148" s="3781"/>
      <c r="N148" s="3782"/>
      <c r="O148" s="3780"/>
      <c r="P148" s="3781"/>
      <c r="Q148" s="3782"/>
      <c r="R148" s="3780"/>
      <c r="S148" s="3781"/>
      <c r="T148" s="3782"/>
      <c r="U148" s="3780">
        <v>1</v>
      </c>
      <c r="V148" s="3781"/>
      <c r="W148" s="3782"/>
      <c r="X148" s="3785">
        <f t="shared" si="16"/>
        <v>1</v>
      </c>
    </row>
    <row r="149" spans="1:24" ht="18" customHeight="1">
      <c r="A149" s="2154"/>
      <c r="B149" s="1785"/>
      <c r="C149" s="13"/>
      <c r="D149" s="15"/>
      <c r="E149" s="2141"/>
      <c r="F149" s="15" t="str">
        <f t="shared" si="17"/>
        <v>IPM 2.0 HSG Base+</v>
      </c>
      <c r="G149" s="2205">
        <f t="shared" si="17"/>
        <v>2</v>
      </c>
      <c r="H149" s="2205">
        <f t="shared" si="17"/>
        <v>100000</v>
      </c>
      <c r="I149" s="2233">
        <f t="shared" si="17"/>
        <v>0</v>
      </c>
      <c r="J149" s="3743">
        <f t="shared" si="18"/>
        <v>20000</v>
      </c>
      <c r="K149" s="3795">
        <f t="shared" si="18"/>
        <v>0</v>
      </c>
      <c r="L149" s="3780"/>
      <c r="M149" s="3781"/>
      <c r="N149" s="3782"/>
      <c r="O149" s="3780"/>
      <c r="P149" s="3781"/>
      <c r="Q149" s="3782"/>
      <c r="R149" s="3780"/>
      <c r="S149" s="3781"/>
      <c r="T149" s="3782"/>
      <c r="U149" s="3780"/>
      <c r="V149" s="3781">
        <v>1</v>
      </c>
      <c r="W149" s="3782"/>
      <c r="X149" s="3785">
        <f t="shared" si="16"/>
        <v>1</v>
      </c>
    </row>
    <row r="150" spans="1:24" ht="18" customHeight="1">
      <c r="A150" s="2154"/>
      <c r="B150" s="1785"/>
      <c r="C150" s="13"/>
      <c r="D150" s="15"/>
      <c r="E150" s="2232"/>
      <c r="F150" s="11" t="str">
        <f t="shared" si="17"/>
        <v>IPM 2.0 HSG Premium</v>
      </c>
      <c r="G150" s="2213">
        <f t="shared" si="17"/>
        <v>2</v>
      </c>
      <c r="H150" s="2213">
        <f t="shared" si="17"/>
        <v>100000</v>
      </c>
      <c r="I150" s="2239">
        <f t="shared" si="17"/>
        <v>0</v>
      </c>
      <c r="J150" s="3744">
        <f t="shared" si="18"/>
        <v>20000</v>
      </c>
      <c r="K150" s="3825">
        <f t="shared" si="18"/>
        <v>0</v>
      </c>
      <c r="L150" s="3826"/>
      <c r="M150" s="3827"/>
      <c r="N150" s="3828"/>
      <c r="O150" s="3826"/>
      <c r="P150" s="3827"/>
      <c r="Q150" s="3828"/>
      <c r="R150" s="3826"/>
      <c r="S150" s="3827"/>
      <c r="T150" s="3828">
        <v>1</v>
      </c>
      <c r="U150" s="3826"/>
      <c r="V150" s="3827"/>
      <c r="W150" s="3828"/>
      <c r="X150" s="3829">
        <f t="shared" si="16"/>
        <v>1</v>
      </c>
    </row>
    <row r="151" spans="1:24" ht="18" customHeight="1">
      <c r="A151" s="2154"/>
      <c r="B151" s="1785"/>
      <c r="C151" s="3939" t="s">
        <v>1317</v>
      </c>
      <c r="D151" s="3939" t="s">
        <v>1328</v>
      </c>
      <c r="E151" s="2141"/>
      <c r="F151" s="15" t="str">
        <f t="shared" si="17"/>
        <v>HUB FRONT COVER</v>
      </c>
      <c r="G151" s="2205">
        <f t="shared" si="17"/>
        <v>2</v>
      </c>
      <c r="H151" s="2205">
        <f t="shared" si="17"/>
        <v>100000</v>
      </c>
      <c r="I151" s="2233">
        <f t="shared" si="17"/>
        <v>0</v>
      </c>
      <c r="J151" s="3743">
        <f t="shared" si="18"/>
        <v>20000</v>
      </c>
      <c r="K151" s="3795">
        <f t="shared" si="18"/>
        <v>0</v>
      </c>
      <c r="L151" s="3780"/>
      <c r="M151" s="3781">
        <v>1</v>
      </c>
      <c r="N151" s="3782"/>
      <c r="O151" s="3780"/>
      <c r="P151" s="3781"/>
      <c r="Q151" s="3782"/>
      <c r="R151" s="3780"/>
      <c r="S151" s="3781">
        <v>1</v>
      </c>
      <c r="T151" s="3782"/>
      <c r="U151" s="3780"/>
      <c r="V151" s="3781"/>
      <c r="W151" s="3782"/>
      <c r="X151" s="3785">
        <f t="shared" si="16"/>
        <v>2</v>
      </c>
    </row>
    <row r="152" spans="1:24" ht="18" customHeight="1">
      <c r="A152" s="2154"/>
      <c r="B152" s="1785"/>
      <c r="C152" s="13"/>
      <c r="D152" s="15"/>
      <c r="E152" s="2141"/>
      <c r="F152" s="15" t="str">
        <f t="shared" si="17"/>
        <v>HUB REAR COVER</v>
      </c>
      <c r="G152" s="2205">
        <f t="shared" si="17"/>
        <v>2</v>
      </c>
      <c r="H152" s="2205">
        <f t="shared" si="17"/>
        <v>100000</v>
      </c>
      <c r="I152" s="2233">
        <f t="shared" si="17"/>
        <v>0</v>
      </c>
      <c r="J152" s="3743">
        <f t="shared" si="18"/>
        <v>20000</v>
      </c>
      <c r="K152" s="3795">
        <f t="shared" si="18"/>
        <v>0</v>
      </c>
      <c r="L152" s="3780"/>
      <c r="M152" s="3781"/>
      <c r="N152" s="3782"/>
      <c r="O152" s="3780"/>
      <c r="P152" s="3781"/>
      <c r="Q152" s="3782"/>
      <c r="R152" s="3780"/>
      <c r="S152" s="3781"/>
      <c r="T152" s="3782"/>
      <c r="U152" s="3780"/>
      <c r="V152" s="3781"/>
      <c r="W152" s="3782"/>
      <c r="X152" s="3785">
        <f t="shared" si="16"/>
        <v>0</v>
      </c>
    </row>
    <row r="153" spans="1:24" ht="18" customHeight="1">
      <c r="A153" s="2154"/>
      <c r="B153" s="1785"/>
      <c r="C153" s="13"/>
      <c r="D153" s="15"/>
      <c r="E153" s="2141"/>
      <c r="F153" s="15" t="str">
        <f t="shared" si="17"/>
        <v>AM HUD ENCL</v>
      </c>
      <c r="G153" s="2205">
        <f t="shared" si="17"/>
        <v>2</v>
      </c>
      <c r="H153" s="2205">
        <f t="shared" si="17"/>
        <v>100000</v>
      </c>
      <c r="I153" s="2233">
        <f t="shared" si="17"/>
        <v>0</v>
      </c>
      <c r="J153" s="3743">
        <f t="shared" si="18"/>
        <v>20000</v>
      </c>
      <c r="K153" s="3795">
        <f t="shared" si="18"/>
        <v>0</v>
      </c>
      <c r="L153" s="3780"/>
      <c r="M153" s="3781"/>
      <c r="N153" s="3782"/>
      <c r="O153" s="3780"/>
      <c r="P153" s="3781"/>
      <c r="Q153" s="3782"/>
      <c r="R153" s="3780"/>
      <c r="S153" s="3781"/>
      <c r="T153" s="3782"/>
      <c r="U153" s="3780"/>
      <c r="V153" s="3781"/>
      <c r="W153" s="3782"/>
      <c r="X153" s="3785">
        <f t="shared" si="16"/>
        <v>0</v>
      </c>
    </row>
    <row r="154" spans="1:24" ht="18" customHeight="1">
      <c r="A154" s="2154"/>
      <c r="B154" s="1785"/>
      <c r="C154" s="13"/>
      <c r="D154" s="15"/>
      <c r="E154" s="2141"/>
      <c r="F154" s="15" t="str">
        <f t="shared" si="17"/>
        <v>PUCK REAR COVER</v>
      </c>
      <c r="G154" s="2205">
        <f t="shared" si="17"/>
        <v>2</v>
      </c>
      <c r="H154" s="2205">
        <f t="shared" si="17"/>
        <v>100000</v>
      </c>
      <c r="I154" s="2233">
        <f t="shared" si="17"/>
        <v>0</v>
      </c>
      <c r="J154" s="3743">
        <f t="shared" si="18"/>
        <v>20000</v>
      </c>
      <c r="K154" s="3795">
        <f t="shared" si="18"/>
        <v>0</v>
      </c>
      <c r="L154" s="3780"/>
      <c r="M154" s="3781"/>
      <c r="N154" s="3782"/>
      <c r="O154" s="3780"/>
      <c r="P154" s="3781"/>
      <c r="Q154" s="3782"/>
      <c r="R154" s="3780"/>
      <c r="S154" s="3781"/>
      <c r="T154" s="3782"/>
      <c r="U154" s="3780"/>
      <c r="V154" s="3781"/>
      <c r="W154" s="3782"/>
      <c r="X154" s="3785">
        <f t="shared" si="16"/>
        <v>0</v>
      </c>
    </row>
    <row r="155" spans="1:24" ht="18" customHeight="1">
      <c r="A155" s="2154"/>
      <c r="B155" s="1785"/>
      <c r="C155" s="13"/>
      <c r="D155" s="15"/>
      <c r="E155" s="2141"/>
      <c r="F155" s="15" t="str">
        <f t="shared" si="17"/>
        <v>COA2 PUCK FRONY COVER</v>
      </c>
      <c r="G155" s="2205">
        <f t="shared" si="17"/>
        <v>2</v>
      </c>
      <c r="H155" s="2205">
        <f t="shared" si="17"/>
        <v>100000</v>
      </c>
      <c r="I155" s="2233">
        <f t="shared" si="17"/>
        <v>0</v>
      </c>
      <c r="J155" s="3743">
        <f t="shared" si="18"/>
        <v>20000</v>
      </c>
      <c r="K155" s="3795">
        <f t="shared" si="18"/>
        <v>0</v>
      </c>
      <c r="L155" s="3780"/>
      <c r="M155" s="3781"/>
      <c r="N155" s="3782"/>
      <c r="O155" s="3780"/>
      <c r="P155" s="3781"/>
      <c r="Q155" s="3782"/>
      <c r="R155" s="3780"/>
      <c r="S155" s="3781"/>
      <c r="T155" s="3782"/>
      <c r="U155" s="3780"/>
      <c r="V155" s="3781"/>
      <c r="W155" s="3782"/>
      <c r="X155" s="3785">
        <f t="shared" si="16"/>
        <v>0</v>
      </c>
    </row>
    <row r="156" spans="1:24" s="1579" customFormat="1" ht="18" customHeight="1">
      <c r="A156" s="2154"/>
      <c r="B156" s="1785"/>
      <c r="C156" s="13"/>
      <c r="D156" s="15"/>
      <c r="E156" s="2141"/>
      <c r="F156" s="15" t="str">
        <f t="shared" si="17"/>
        <v>HUD LID AM</v>
      </c>
      <c r="G156" s="2205">
        <f t="shared" si="17"/>
        <v>2</v>
      </c>
      <c r="H156" s="2205">
        <f t="shared" si="17"/>
        <v>100000</v>
      </c>
      <c r="I156" s="2233">
        <f t="shared" si="17"/>
        <v>0</v>
      </c>
      <c r="J156" s="3743">
        <f t="shared" si="18"/>
        <v>20000</v>
      </c>
      <c r="K156" s="3795">
        <f t="shared" si="18"/>
        <v>0</v>
      </c>
      <c r="L156" s="3780"/>
      <c r="M156" s="3781"/>
      <c r="N156" s="3782"/>
      <c r="O156" s="3780"/>
      <c r="P156" s="3781"/>
      <c r="Q156" s="3782"/>
      <c r="R156" s="3780"/>
      <c r="S156" s="3781"/>
      <c r="T156" s="3782"/>
      <c r="U156" s="3780"/>
      <c r="V156" s="3781"/>
      <c r="W156" s="3782"/>
      <c r="X156" s="3785">
        <f t="shared" si="16"/>
        <v>0</v>
      </c>
    </row>
    <row r="157" spans="1:24" s="1579" customFormat="1" ht="18" customHeight="1">
      <c r="A157" s="2154"/>
      <c r="B157" s="1785"/>
      <c r="C157" s="13"/>
      <c r="D157" s="15"/>
      <c r="E157" s="2141"/>
      <c r="F157" s="15" t="str">
        <f t="shared" si="17"/>
        <v>CTRL TOP COVER ASM</v>
      </c>
      <c r="G157" s="2205">
        <f t="shared" si="17"/>
        <v>2</v>
      </c>
      <c r="H157" s="2205">
        <f t="shared" si="17"/>
        <v>100000</v>
      </c>
      <c r="I157" s="2205">
        <f t="shared" si="17"/>
        <v>0</v>
      </c>
      <c r="J157" s="3743">
        <f t="shared" si="18"/>
        <v>20000</v>
      </c>
      <c r="K157" s="3832">
        <f t="shared" si="18"/>
        <v>0</v>
      </c>
      <c r="L157" s="3780"/>
      <c r="M157" s="3781"/>
      <c r="N157" s="3782"/>
      <c r="O157" s="3780"/>
      <c r="P157" s="3781"/>
      <c r="Q157" s="3782"/>
      <c r="R157" s="3780"/>
      <c r="S157" s="3781"/>
      <c r="T157" s="3782"/>
      <c r="U157" s="3780"/>
      <c r="V157" s="3833"/>
      <c r="W157" s="3782"/>
      <c r="X157" s="3785">
        <f t="shared" si="16"/>
        <v>0</v>
      </c>
    </row>
    <row r="158" spans="1:24" s="1579" customFormat="1" ht="18" customHeight="1">
      <c r="A158" s="2154"/>
      <c r="B158" s="1785"/>
      <c r="C158" s="1607"/>
      <c r="D158" s="11"/>
      <c r="E158" s="2237"/>
      <c r="F158" s="1586" t="str">
        <f t="shared" si="17"/>
        <v>CTRL REAR COVER ASM</v>
      </c>
      <c r="G158" s="2210">
        <f t="shared" si="17"/>
        <v>2</v>
      </c>
      <c r="H158" s="2210">
        <f t="shared" si="17"/>
        <v>100000</v>
      </c>
      <c r="I158" s="2210">
        <f t="shared" si="17"/>
        <v>0</v>
      </c>
      <c r="J158" s="3750">
        <f t="shared" si="18"/>
        <v>20000</v>
      </c>
      <c r="K158" s="3830">
        <f t="shared" si="18"/>
        <v>0</v>
      </c>
      <c r="L158" s="3821"/>
      <c r="M158" s="3822"/>
      <c r="N158" s="3823"/>
      <c r="O158" s="3821"/>
      <c r="P158" s="3822"/>
      <c r="Q158" s="3823"/>
      <c r="R158" s="3821"/>
      <c r="S158" s="3822"/>
      <c r="T158" s="3823"/>
      <c r="U158" s="3821"/>
      <c r="V158" s="3831"/>
      <c r="W158" s="3823"/>
      <c r="X158" s="3824">
        <f t="shared" si="16"/>
        <v>0</v>
      </c>
    </row>
    <row r="159" spans="1:24" ht="18" customHeight="1">
      <c r="A159" s="2155"/>
      <c r="B159" s="2057"/>
      <c r="C159" s="5164" t="s">
        <v>44</v>
      </c>
      <c r="D159" s="5164"/>
      <c r="E159" s="5164"/>
      <c r="F159" s="5164"/>
      <c r="G159" s="2220"/>
      <c r="H159" s="2220"/>
      <c r="I159" s="2244"/>
      <c r="J159" s="3751"/>
      <c r="K159" s="3797"/>
      <c r="L159" s="3835">
        <f t="shared" ref="L159:W159" si="19">SUM(L86:L158)</f>
        <v>25</v>
      </c>
      <c r="M159" s="3797">
        <f t="shared" si="19"/>
        <v>17</v>
      </c>
      <c r="N159" s="3836">
        <f t="shared" si="19"/>
        <v>19</v>
      </c>
      <c r="O159" s="3835">
        <f t="shared" si="19"/>
        <v>16</v>
      </c>
      <c r="P159" s="3797">
        <f t="shared" si="19"/>
        <v>17</v>
      </c>
      <c r="Q159" s="3836">
        <f t="shared" si="19"/>
        <v>18</v>
      </c>
      <c r="R159" s="3835">
        <f t="shared" si="19"/>
        <v>22</v>
      </c>
      <c r="S159" s="3797">
        <f t="shared" si="19"/>
        <v>16</v>
      </c>
      <c r="T159" s="3836">
        <f t="shared" si="19"/>
        <v>19</v>
      </c>
      <c r="U159" s="3835">
        <f t="shared" si="19"/>
        <v>17</v>
      </c>
      <c r="V159" s="3837">
        <f t="shared" si="19"/>
        <v>17</v>
      </c>
      <c r="W159" s="3836">
        <f t="shared" si="19"/>
        <v>16</v>
      </c>
      <c r="X159" s="3838">
        <f t="shared" si="16"/>
        <v>219</v>
      </c>
    </row>
    <row r="160" spans="1:24" ht="18" customHeight="1" thickBot="1">
      <c r="A160" s="77">
        <v>2</v>
      </c>
      <c r="B160" s="5305" t="s">
        <v>974</v>
      </c>
      <c r="C160" s="5306"/>
      <c r="D160" s="5306"/>
      <c r="E160" s="5306"/>
      <c r="F160" s="5307"/>
      <c r="G160" s="1909"/>
      <c r="H160" s="1909"/>
      <c r="I160" s="2207">
        <f>I82</f>
        <v>0</v>
      </c>
      <c r="J160" s="3752"/>
      <c r="K160" s="3834">
        <f>K82</f>
        <v>0</v>
      </c>
      <c r="L160" s="3839"/>
      <c r="M160" s="3840">
        <v>0</v>
      </c>
      <c r="N160" s="3841">
        <v>0</v>
      </c>
      <c r="O160" s="3839">
        <v>0</v>
      </c>
      <c r="P160" s="3840">
        <v>0</v>
      </c>
      <c r="Q160" s="3841">
        <v>0</v>
      </c>
      <c r="R160" s="3839">
        <v>0</v>
      </c>
      <c r="S160" s="3840">
        <v>0</v>
      </c>
      <c r="T160" s="3841">
        <v>0</v>
      </c>
      <c r="U160" s="3839"/>
      <c r="V160" s="3840">
        <v>0</v>
      </c>
      <c r="W160" s="3841"/>
      <c r="X160" s="3773">
        <f t="shared" si="16"/>
        <v>0</v>
      </c>
    </row>
    <row r="161" spans="1:24" s="4012" customFormat="1" ht="18" customHeight="1" thickBot="1">
      <c r="A161" s="5151" t="s">
        <v>138</v>
      </c>
      <c r="B161" s="5152"/>
      <c r="C161" s="5152"/>
      <c r="D161" s="5152"/>
      <c r="E161" s="5152"/>
      <c r="F161" s="5152"/>
      <c r="G161" s="5152"/>
      <c r="H161" s="5153"/>
      <c r="I161" s="1621">
        <f>SUM(I86:I158)</f>
        <v>0</v>
      </c>
      <c r="J161" s="3748"/>
      <c r="K161" s="3803">
        <f>SUM(K86:K158)</f>
        <v>212</v>
      </c>
      <c r="L161" s="3859">
        <f>L159+L160</f>
        <v>25</v>
      </c>
      <c r="M161" s="3805">
        <f t="shared" ref="M161:W161" si="20">M159+M160</f>
        <v>17</v>
      </c>
      <c r="N161" s="3860">
        <f t="shared" si="20"/>
        <v>19</v>
      </c>
      <c r="O161" s="3859">
        <f t="shared" si="20"/>
        <v>16</v>
      </c>
      <c r="P161" s="3805">
        <f t="shared" si="20"/>
        <v>17</v>
      </c>
      <c r="Q161" s="3860">
        <f t="shared" si="20"/>
        <v>18</v>
      </c>
      <c r="R161" s="3859">
        <f t="shared" si="20"/>
        <v>22</v>
      </c>
      <c r="S161" s="3805">
        <f t="shared" si="20"/>
        <v>16</v>
      </c>
      <c r="T161" s="3860">
        <f t="shared" si="20"/>
        <v>19</v>
      </c>
      <c r="U161" s="3859">
        <f t="shared" si="20"/>
        <v>17</v>
      </c>
      <c r="V161" s="3805">
        <f t="shared" si="20"/>
        <v>17</v>
      </c>
      <c r="W161" s="3860">
        <f t="shared" si="20"/>
        <v>16</v>
      </c>
      <c r="X161" s="3808">
        <f>X159+X160</f>
        <v>219</v>
      </c>
    </row>
    <row r="162" spans="1:24" ht="18" customHeight="1" thickBot="1">
      <c r="A162" s="5151" t="s">
        <v>200</v>
      </c>
      <c r="B162" s="5152"/>
      <c r="C162" s="5152"/>
      <c r="D162" s="5152"/>
      <c r="E162" s="5152"/>
      <c r="F162" s="5152"/>
      <c r="G162" s="5152"/>
      <c r="H162" s="5153"/>
      <c r="I162" s="1621"/>
      <c r="J162" s="3748"/>
      <c r="K162" s="3803"/>
      <c r="L162" s="3842">
        <v>8</v>
      </c>
      <c r="M162" s="3843">
        <f>L162</f>
        <v>8</v>
      </c>
      <c r="N162" s="3844">
        <f t="shared" ref="N162" si="21">M162</f>
        <v>8</v>
      </c>
      <c r="O162" s="3842">
        <f t="shared" ref="O162" si="22">N162</f>
        <v>8</v>
      </c>
      <c r="P162" s="3843">
        <f t="shared" ref="P162" si="23">O162</f>
        <v>8</v>
      </c>
      <c r="Q162" s="3844">
        <v>8</v>
      </c>
      <c r="R162" s="3842">
        <f t="shared" ref="R162" si="24">Q162</f>
        <v>8</v>
      </c>
      <c r="S162" s="3843">
        <f t="shared" ref="S162" si="25">R162</f>
        <v>8</v>
      </c>
      <c r="T162" s="3844">
        <f t="shared" ref="T162" si="26">S162</f>
        <v>8</v>
      </c>
      <c r="U162" s="3842">
        <f t="shared" ref="U162" si="27">T162</f>
        <v>8</v>
      </c>
      <c r="V162" s="3843">
        <f t="shared" ref="V162" si="28">U162</f>
        <v>8</v>
      </c>
      <c r="W162" s="3844">
        <v>8</v>
      </c>
      <c r="X162" s="3808">
        <f>SUM(L162:W162)</f>
        <v>96</v>
      </c>
    </row>
    <row r="163" spans="1:24" s="4012" customFormat="1" ht="18" customHeight="1" thickBot="1">
      <c r="A163" s="5151" t="s">
        <v>201</v>
      </c>
      <c r="B163" s="5152"/>
      <c r="C163" s="5152"/>
      <c r="D163" s="5152"/>
      <c r="E163" s="5152"/>
      <c r="F163" s="5152"/>
      <c r="G163" s="5152"/>
      <c r="H163" s="5153"/>
      <c r="I163" s="1621"/>
      <c r="J163" s="3748"/>
      <c r="K163" s="3803"/>
      <c r="L163" s="4615">
        <f>MAX(0,L161-L162)</f>
        <v>17</v>
      </c>
      <c r="M163" s="4616">
        <f>MAX(0,M161-M162)</f>
        <v>9</v>
      </c>
      <c r="N163" s="4617">
        <f>MAX(0,N161-N162)</f>
        <v>11</v>
      </c>
      <c r="O163" s="4615">
        <f>MAX(0,O161-O162)</f>
        <v>8</v>
      </c>
      <c r="P163" s="4616">
        <f t="shared" ref="P163:W163" si="29">MAX(0,P161-P162)</f>
        <v>9</v>
      </c>
      <c r="Q163" s="4617">
        <f t="shared" si="29"/>
        <v>10</v>
      </c>
      <c r="R163" s="4615">
        <f t="shared" si="29"/>
        <v>14</v>
      </c>
      <c r="S163" s="4616">
        <f t="shared" si="29"/>
        <v>8</v>
      </c>
      <c r="T163" s="4617">
        <f t="shared" si="29"/>
        <v>11</v>
      </c>
      <c r="U163" s="4615">
        <f t="shared" si="29"/>
        <v>9</v>
      </c>
      <c r="V163" s="4616">
        <f t="shared" si="29"/>
        <v>9</v>
      </c>
      <c r="W163" s="4617">
        <f t="shared" si="29"/>
        <v>8</v>
      </c>
      <c r="X163" s="4618">
        <f>SUM(L163:W163)</f>
        <v>123</v>
      </c>
    </row>
    <row r="164" spans="1:24" ht="18" customHeight="1">
      <c r="A164" s="1993"/>
      <c r="B164" s="1993"/>
      <c r="C164" s="1993"/>
      <c r="D164" s="1993"/>
      <c r="E164" s="1993"/>
      <c r="F164" s="1993"/>
      <c r="G164" s="1993"/>
      <c r="H164" s="1993"/>
      <c r="I164" s="1555"/>
      <c r="J164" s="2249"/>
      <c r="K164" s="3845"/>
      <c r="L164" s="3846"/>
      <c r="M164" s="3845"/>
      <c r="N164" s="3845"/>
      <c r="O164" s="3845"/>
      <c r="P164" s="3845"/>
      <c r="Q164" s="3845"/>
      <c r="R164" s="3845"/>
      <c r="S164" s="3845"/>
      <c r="T164" s="3845"/>
      <c r="U164" s="3845"/>
      <c r="V164" s="3845"/>
      <c r="W164" s="3845"/>
      <c r="X164" s="3845"/>
    </row>
    <row r="165" spans="1:24" ht="20.25" customHeight="1" thickBot="1">
      <c r="A165" s="2250" t="s">
        <v>976</v>
      </c>
      <c r="B165" s="2251"/>
      <c r="C165" s="2251"/>
      <c r="D165" s="2251"/>
      <c r="E165" s="2251"/>
      <c r="F165" s="2251"/>
      <c r="G165" s="2251"/>
      <c r="H165" s="2251"/>
      <c r="I165" s="2252"/>
      <c r="J165" s="2253"/>
      <c r="K165" s="3847"/>
      <c r="L165" s="3847"/>
      <c r="M165" s="3847"/>
      <c r="N165" s="3847"/>
      <c r="O165" s="3847"/>
      <c r="P165" s="3847"/>
      <c r="Q165" s="3847"/>
      <c r="R165" s="3847"/>
      <c r="S165" s="3847"/>
      <c r="T165" s="3847"/>
      <c r="U165" s="3847"/>
      <c r="V165" s="3847"/>
      <c r="W165" s="3847"/>
      <c r="X165" s="3753" t="s">
        <v>87</v>
      </c>
    </row>
    <row r="166" spans="1:24" ht="20.25" customHeight="1" thickBot="1">
      <c r="A166" s="1548" t="s">
        <v>41</v>
      </c>
      <c r="B166" s="5152" t="s">
        <v>109</v>
      </c>
      <c r="C166" s="5152"/>
      <c r="D166" s="5152"/>
      <c r="E166" s="5152"/>
      <c r="F166" s="5152"/>
      <c r="G166" s="5152"/>
      <c r="H166" s="5153"/>
      <c r="I166" s="5303" t="s">
        <v>977</v>
      </c>
      <c r="J166" s="5304"/>
      <c r="K166" s="3848"/>
      <c r="L166" s="3754" t="str">
        <f t="shared" ref="L166:X166" si="30">L85</f>
        <v>Jan.26</v>
      </c>
      <c r="M166" s="3755" t="str">
        <f t="shared" si="30"/>
        <v>Feb.26</v>
      </c>
      <c r="N166" s="3756" t="str">
        <f t="shared" si="30"/>
        <v>Mar.26</v>
      </c>
      <c r="O166" s="3754" t="str">
        <f t="shared" si="30"/>
        <v>Apr.26</v>
      </c>
      <c r="P166" s="3755" t="str">
        <f t="shared" si="30"/>
        <v>May.26</v>
      </c>
      <c r="Q166" s="3756" t="str">
        <f t="shared" si="30"/>
        <v>Jun.26</v>
      </c>
      <c r="R166" s="3754" t="str">
        <f t="shared" si="30"/>
        <v>Jul.26</v>
      </c>
      <c r="S166" s="3755" t="str">
        <f t="shared" si="30"/>
        <v>Aug.26</v>
      </c>
      <c r="T166" s="3756" t="str">
        <f t="shared" si="30"/>
        <v>Sep.26</v>
      </c>
      <c r="U166" s="3754" t="str">
        <f t="shared" si="30"/>
        <v>Oct.26</v>
      </c>
      <c r="V166" s="3755" t="str">
        <f t="shared" si="30"/>
        <v>Nov.26</v>
      </c>
      <c r="W166" s="3756" t="str">
        <f t="shared" si="30"/>
        <v>Dec.26</v>
      </c>
      <c r="X166" s="3763" t="str">
        <f t="shared" si="30"/>
        <v>2026
Total</v>
      </c>
    </row>
    <row r="167" spans="1:24" ht="20.25" customHeight="1" thickBot="1">
      <c r="A167" s="1790">
        <v>1</v>
      </c>
      <c r="B167" s="5265" t="s">
        <v>199</v>
      </c>
      <c r="C167" s="5265"/>
      <c r="D167" s="5265"/>
      <c r="E167" s="5265"/>
      <c r="F167" s="5265"/>
      <c r="G167" s="5265"/>
      <c r="H167" s="5279"/>
      <c r="I167" s="5308">
        <v>18207</v>
      </c>
      <c r="J167" s="5309"/>
      <c r="K167" s="3849"/>
      <c r="L167" s="4421">
        <f t="shared" ref="L167:W167" si="31">$I$167*L163</f>
        <v>309519</v>
      </c>
      <c r="M167" s="4422">
        <f t="shared" si="31"/>
        <v>163863</v>
      </c>
      <c r="N167" s="4423">
        <f t="shared" si="31"/>
        <v>200277</v>
      </c>
      <c r="O167" s="4421">
        <f t="shared" si="31"/>
        <v>145656</v>
      </c>
      <c r="P167" s="4422">
        <f t="shared" si="31"/>
        <v>163863</v>
      </c>
      <c r="Q167" s="4423">
        <f t="shared" si="31"/>
        <v>182070</v>
      </c>
      <c r="R167" s="4421">
        <f t="shared" si="31"/>
        <v>254898</v>
      </c>
      <c r="S167" s="4422">
        <f t="shared" si="31"/>
        <v>145656</v>
      </c>
      <c r="T167" s="4423">
        <f t="shared" si="31"/>
        <v>200277</v>
      </c>
      <c r="U167" s="4421">
        <f t="shared" si="31"/>
        <v>163863</v>
      </c>
      <c r="V167" s="4422">
        <f t="shared" si="31"/>
        <v>163863</v>
      </c>
      <c r="W167" s="4423">
        <f t="shared" si="31"/>
        <v>145656</v>
      </c>
      <c r="X167" s="3857">
        <f>SUM(L167:W167)</f>
        <v>2239461</v>
      </c>
    </row>
    <row r="168" spans="1:24" ht="20.25" customHeight="1" thickBot="1">
      <c r="A168" s="1790">
        <v>2</v>
      </c>
      <c r="B168" s="5265" t="s">
        <v>978</v>
      </c>
      <c r="C168" s="5265"/>
      <c r="D168" s="5265"/>
      <c r="E168" s="5265"/>
      <c r="F168" s="5265"/>
      <c r="G168" s="5265"/>
      <c r="H168" s="5279"/>
      <c r="I168" s="5308">
        <v>7500</v>
      </c>
      <c r="J168" s="5309"/>
      <c r="K168" s="3850"/>
      <c r="L168" s="4424">
        <f>$I$168*L162</f>
        <v>60000</v>
      </c>
      <c r="M168" s="4425">
        <f t="shared" ref="M168:W168" si="32">$I$168*M162</f>
        <v>60000</v>
      </c>
      <c r="N168" s="4426">
        <f t="shared" si="32"/>
        <v>60000</v>
      </c>
      <c r="O168" s="4424">
        <f t="shared" si="32"/>
        <v>60000</v>
      </c>
      <c r="P168" s="4425">
        <f t="shared" si="32"/>
        <v>60000</v>
      </c>
      <c r="Q168" s="4426">
        <f t="shared" si="32"/>
        <v>60000</v>
      </c>
      <c r="R168" s="4424">
        <f t="shared" si="32"/>
        <v>60000</v>
      </c>
      <c r="S168" s="4425">
        <f t="shared" si="32"/>
        <v>60000</v>
      </c>
      <c r="T168" s="4426">
        <f t="shared" si="32"/>
        <v>60000</v>
      </c>
      <c r="U168" s="4424">
        <f t="shared" si="32"/>
        <v>60000</v>
      </c>
      <c r="V168" s="4425">
        <f t="shared" si="32"/>
        <v>60000</v>
      </c>
      <c r="W168" s="4426">
        <f t="shared" si="32"/>
        <v>60000</v>
      </c>
      <c r="X168" s="4311">
        <f>SUM(L168:W168)</f>
        <v>720000</v>
      </c>
    </row>
    <row r="169" spans="1:24" s="1623" customFormat="1" ht="20.25" customHeight="1" thickBot="1">
      <c r="A169" s="5151" t="s">
        <v>138</v>
      </c>
      <c r="B169" s="5152"/>
      <c r="C169" s="5152"/>
      <c r="D169" s="5152"/>
      <c r="E169" s="5152"/>
      <c r="F169" s="5152"/>
      <c r="G169" s="5152"/>
      <c r="H169" s="5153"/>
      <c r="I169" s="5310"/>
      <c r="J169" s="5311"/>
      <c r="K169" s="3851"/>
      <c r="L169" s="3859">
        <f>+L167+L168</f>
        <v>369519</v>
      </c>
      <c r="M169" s="3805">
        <f t="shared" ref="M169:W169" si="33">+M167+M168</f>
        <v>223863</v>
      </c>
      <c r="N169" s="3860">
        <f t="shared" si="33"/>
        <v>260277</v>
      </c>
      <c r="O169" s="3859">
        <f t="shared" si="33"/>
        <v>205656</v>
      </c>
      <c r="P169" s="3805">
        <f t="shared" si="33"/>
        <v>223863</v>
      </c>
      <c r="Q169" s="3860">
        <f t="shared" si="33"/>
        <v>242070</v>
      </c>
      <c r="R169" s="3859">
        <f t="shared" si="33"/>
        <v>314898</v>
      </c>
      <c r="S169" s="3805">
        <f t="shared" si="33"/>
        <v>205656</v>
      </c>
      <c r="T169" s="3860">
        <f t="shared" si="33"/>
        <v>260277</v>
      </c>
      <c r="U169" s="3859">
        <f t="shared" si="33"/>
        <v>223863</v>
      </c>
      <c r="V169" s="3805">
        <f t="shared" si="33"/>
        <v>223863</v>
      </c>
      <c r="W169" s="3860">
        <f t="shared" si="33"/>
        <v>205656</v>
      </c>
      <c r="X169" s="3808">
        <f>+X167+X168</f>
        <v>2959461</v>
      </c>
    </row>
    <row r="170" spans="1:24" ht="20.25" customHeight="1">
      <c r="X170" s="3762" t="b">
        <f>SUM(L169:W169)=X169</f>
        <v>1</v>
      </c>
    </row>
    <row r="171" spans="1:24" ht="20.25" customHeight="1">
      <c r="H171" s="2260" t="s">
        <v>979</v>
      </c>
      <c r="I171" s="2261">
        <v>23702</v>
      </c>
      <c r="K171" s="3852">
        <v>23702</v>
      </c>
    </row>
    <row r="172" spans="1:24" ht="20.25" customHeight="1" thickBot="1">
      <c r="A172" s="2250" t="s">
        <v>980</v>
      </c>
      <c r="B172" s="2251"/>
      <c r="C172" s="2251"/>
      <c r="D172" s="2251"/>
      <c r="E172" s="2251"/>
      <c r="F172" s="2251"/>
      <c r="G172" s="2251"/>
      <c r="H172" s="2251"/>
      <c r="I172" s="2252"/>
      <c r="J172" s="2253"/>
      <c r="K172" s="3847"/>
      <c r="L172" s="3847"/>
      <c r="M172" s="3847"/>
      <c r="N172" s="3847"/>
      <c r="O172" s="3847"/>
      <c r="P172" s="3847"/>
      <c r="Q172" s="3847"/>
      <c r="R172" s="3847"/>
      <c r="S172" s="3847"/>
      <c r="T172" s="3847"/>
      <c r="U172" s="3847"/>
      <c r="V172" s="3847"/>
      <c r="W172" s="3847"/>
      <c r="X172" s="3753" t="s">
        <v>87</v>
      </c>
    </row>
    <row r="173" spans="1:24" ht="20.25" customHeight="1" thickBot="1">
      <c r="A173" s="1548" t="s">
        <v>41</v>
      </c>
      <c r="B173" s="5152" t="s">
        <v>109</v>
      </c>
      <c r="C173" s="5152"/>
      <c r="D173" s="5152"/>
      <c r="E173" s="5152"/>
      <c r="F173" s="5152"/>
      <c r="G173" s="5152"/>
      <c r="H173" s="5153"/>
      <c r="I173" s="5303"/>
      <c r="J173" s="5304"/>
      <c r="K173" s="3763"/>
      <c r="L173" s="3761" t="str">
        <f>L166</f>
        <v>Jan.26</v>
      </c>
      <c r="M173" s="3755" t="str">
        <f t="shared" ref="M173:X173" si="34">M166</f>
        <v>Feb.26</v>
      </c>
      <c r="N173" s="3756" t="str">
        <f t="shared" si="34"/>
        <v>Mar.26</v>
      </c>
      <c r="O173" s="3754" t="str">
        <f t="shared" si="34"/>
        <v>Apr.26</v>
      </c>
      <c r="P173" s="3755" t="str">
        <f t="shared" si="34"/>
        <v>May.26</v>
      </c>
      <c r="Q173" s="3756" t="str">
        <f t="shared" si="34"/>
        <v>Jun.26</v>
      </c>
      <c r="R173" s="3754" t="str">
        <f t="shared" si="34"/>
        <v>Jul.26</v>
      </c>
      <c r="S173" s="3755" t="str">
        <f t="shared" si="34"/>
        <v>Aug.26</v>
      </c>
      <c r="T173" s="3756" t="str">
        <f t="shared" si="34"/>
        <v>Sep.26</v>
      </c>
      <c r="U173" s="3754" t="str">
        <f t="shared" si="34"/>
        <v>Oct.26</v>
      </c>
      <c r="V173" s="3755" t="str">
        <f t="shared" si="34"/>
        <v>Nov.26</v>
      </c>
      <c r="W173" s="3756" t="str">
        <f t="shared" si="34"/>
        <v>Dec.26</v>
      </c>
      <c r="X173" s="3763" t="str">
        <f t="shared" si="34"/>
        <v>2026
Total</v>
      </c>
    </row>
    <row r="174" spans="1:24" ht="20.25" customHeight="1" thickBot="1">
      <c r="A174" s="76">
        <v>1</v>
      </c>
      <c r="B174" s="5267" t="s">
        <v>17</v>
      </c>
      <c r="C174" s="5152"/>
      <c r="D174" s="5152"/>
      <c r="E174" s="5152"/>
      <c r="F174" s="5152"/>
      <c r="G174" s="5152"/>
      <c r="H174" s="5153"/>
      <c r="I174" s="5303"/>
      <c r="J174" s="5304"/>
      <c r="K174" s="3853"/>
      <c r="L174" s="3856">
        <f t="shared" ref="L174:W174" si="35">SUM(L93:L145)</f>
        <v>15</v>
      </c>
      <c r="M174" s="3854">
        <f t="shared" si="35"/>
        <v>8</v>
      </c>
      <c r="N174" s="3855">
        <f t="shared" si="35"/>
        <v>12</v>
      </c>
      <c r="O174" s="3856">
        <f t="shared" si="35"/>
        <v>9</v>
      </c>
      <c r="P174" s="3854">
        <f t="shared" si="35"/>
        <v>9</v>
      </c>
      <c r="Q174" s="3855">
        <f t="shared" si="35"/>
        <v>11</v>
      </c>
      <c r="R174" s="3856">
        <f t="shared" si="35"/>
        <v>10</v>
      </c>
      <c r="S174" s="3854">
        <f t="shared" si="35"/>
        <v>6</v>
      </c>
      <c r="T174" s="3855">
        <f t="shared" si="35"/>
        <v>11</v>
      </c>
      <c r="U174" s="3856">
        <f t="shared" si="35"/>
        <v>11</v>
      </c>
      <c r="V174" s="3854">
        <f t="shared" si="35"/>
        <v>9</v>
      </c>
      <c r="W174" s="3855">
        <f t="shared" si="35"/>
        <v>8</v>
      </c>
      <c r="X174" s="3857">
        <f>SUM(L174:W174)</f>
        <v>119</v>
      </c>
    </row>
    <row r="175" spans="1:24" ht="20.25" customHeight="1" thickBot="1">
      <c r="A175" s="1790">
        <v>2</v>
      </c>
      <c r="B175" s="5265" t="s">
        <v>981</v>
      </c>
      <c r="C175" s="5265"/>
      <c r="D175" s="5265"/>
      <c r="E175" s="5265"/>
      <c r="F175" s="5265"/>
      <c r="G175" s="5265"/>
      <c r="H175" s="5279"/>
      <c r="I175" s="5308"/>
      <c r="J175" s="5309"/>
      <c r="K175" s="3853"/>
      <c r="L175" s="3856" t="e">
        <f>SUM(L146:L158)+#REF!</f>
        <v>#REF!</v>
      </c>
      <c r="M175" s="3854" t="e">
        <f>SUM(M146:M158)+#REF!</f>
        <v>#REF!</v>
      </c>
      <c r="N175" s="3855" t="e">
        <f>SUM(N146:N158)+#REF!</f>
        <v>#REF!</v>
      </c>
      <c r="O175" s="3856" t="e">
        <f>SUM(O146:O158)+#REF!</f>
        <v>#REF!</v>
      </c>
      <c r="P175" s="3854" t="e">
        <f>SUM(P146:P158)+#REF!</f>
        <v>#REF!</v>
      </c>
      <c r="Q175" s="3855" t="e">
        <f>SUM(Q146:Q158)+#REF!</f>
        <v>#REF!</v>
      </c>
      <c r="R175" s="3856" t="e">
        <f>SUM(R146:R158)+#REF!</f>
        <v>#REF!</v>
      </c>
      <c r="S175" s="3854" t="e">
        <f>SUM(S146:S158)+#REF!</f>
        <v>#REF!</v>
      </c>
      <c r="T175" s="3855" t="e">
        <f>SUM(T146:T158)+#REF!</f>
        <v>#REF!</v>
      </c>
      <c r="U175" s="3856" t="e">
        <f>SUM(U146:U158)+#REF!</f>
        <v>#REF!</v>
      </c>
      <c r="V175" s="3854" t="e">
        <f>SUM(V146:V158)+#REF!</f>
        <v>#REF!</v>
      </c>
      <c r="W175" s="3855" t="e">
        <f>SUM(W146:W158)+#REF!</f>
        <v>#REF!</v>
      </c>
      <c r="X175" s="3857" t="e">
        <f>SUM(L175:W175)</f>
        <v>#REF!</v>
      </c>
    </row>
    <row r="176" spans="1:24" s="1623" customFormat="1" ht="20.25" customHeight="1" thickBot="1">
      <c r="A176" s="5151" t="s">
        <v>138</v>
      </c>
      <c r="B176" s="5152"/>
      <c r="C176" s="5152"/>
      <c r="D176" s="5152"/>
      <c r="E176" s="5152"/>
      <c r="F176" s="5152"/>
      <c r="G176" s="5152"/>
      <c r="H176" s="5153"/>
      <c r="I176" s="5310"/>
      <c r="J176" s="5311"/>
      <c r="K176" s="3858"/>
      <c r="L176" s="3859" t="e">
        <f>L175+L174</f>
        <v>#REF!</v>
      </c>
      <c r="M176" s="3805" t="e">
        <f t="shared" ref="M176:W176" si="36">M175+M174</f>
        <v>#REF!</v>
      </c>
      <c r="N176" s="3860" t="e">
        <f t="shared" si="36"/>
        <v>#REF!</v>
      </c>
      <c r="O176" s="3859" t="e">
        <f t="shared" si="36"/>
        <v>#REF!</v>
      </c>
      <c r="P176" s="3805" t="e">
        <f t="shared" si="36"/>
        <v>#REF!</v>
      </c>
      <c r="Q176" s="3860" t="e">
        <f t="shared" si="36"/>
        <v>#REF!</v>
      </c>
      <c r="R176" s="3859" t="e">
        <f t="shared" si="36"/>
        <v>#REF!</v>
      </c>
      <c r="S176" s="3805" t="e">
        <f t="shared" si="36"/>
        <v>#REF!</v>
      </c>
      <c r="T176" s="3860" t="e">
        <f t="shared" si="36"/>
        <v>#REF!</v>
      </c>
      <c r="U176" s="3859" t="e">
        <f t="shared" si="36"/>
        <v>#REF!</v>
      </c>
      <c r="V176" s="3805" t="e">
        <f t="shared" si="36"/>
        <v>#REF!</v>
      </c>
      <c r="W176" s="3860" t="e">
        <f t="shared" si="36"/>
        <v>#REF!</v>
      </c>
      <c r="X176" s="3857" t="e">
        <f>SUM(X174:X175)</f>
        <v>#REF!</v>
      </c>
    </row>
    <row r="177" spans="1:24" ht="20.25" customHeight="1"/>
    <row r="178" spans="1:24" ht="20.25" customHeight="1" thickBot="1">
      <c r="A178" s="2250" t="s">
        <v>982</v>
      </c>
      <c r="B178" s="2251"/>
      <c r="C178" s="2251"/>
      <c r="D178" s="2251"/>
      <c r="E178" s="2251"/>
      <c r="F178" s="2251"/>
      <c r="G178" s="2251"/>
      <c r="H178" s="2251"/>
      <c r="I178" s="2252"/>
      <c r="J178" s="2253"/>
      <c r="K178" s="3847"/>
      <c r="L178" s="3847"/>
      <c r="M178" s="3847"/>
      <c r="N178" s="3847"/>
      <c r="O178" s="3847"/>
      <c r="P178" s="3847"/>
      <c r="Q178" s="3847"/>
      <c r="R178" s="3847"/>
      <c r="S178" s="3847"/>
      <c r="T178" s="3847"/>
      <c r="U178" s="3847"/>
      <c r="V178" s="3847"/>
      <c r="W178" s="3847"/>
      <c r="X178" s="3753" t="s">
        <v>87</v>
      </c>
    </row>
    <row r="179" spans="1:24" ht="20.25" customHeight="1" thickBot="1">
      <c r="A179" s="1548" t="s">
        <v>41</v>
      </c>
      <c r="B179" s="5152" t="s">
        <v>109</v>
      </c>
      <c r="C179" s="5152"/>
      <c r="D179" s="5152"/>
      <c r="E179" s="5152"/>
      <c r="F179" s="5152"/>
      <c r="G179" s="5152"/>
      <c r="H179" s="5153"/>
      <c r="I179" s="5303" t="s">
        <v>977</v>
      </c>
      <c r="J179" s="5304"/>
      <c r="K179" s="3848"/>
      <c r="L179" s="3754" t="str">
        <f>L173</f>
        <v>Jan.26</v>
      </c>
      <c r="M179" s="3755" t="str">
        <f t="shared" ref="M179:X179" si="37">M173</f>
        <v>Feb.26</v>
      </c>
      <c r="N179" s="3756" t="str">
        <f t="shared" si="37"/>
        <v>Mar.26</v>
      </c>
      <c r="O179" s="3754" t="str">
        <f t="shared" si="37"/>
        <v>Apr.26</v>
      </c>
      <c r="P179" s="3755" t="str">
        <f t="shared" si="37"/>
        <v>May.26</v>
      </c>
      <c r="Q179" s="3756" t="str">
        <f t="shared" si="37"/>
        <v>Jun.26</v>
      </c>
      <c r="R179" s="3754" t="str">
        <f t="shared" si="37"/>
        <v>Jul.26</v>
      </c>
      <c r="S179" s="3755" t="str">
        <f t="shared" si="37"/>
        <v>Aug.26</v>
      </c>
      <c r="T179" s="3756" t="str">
        <f t="shared" si="37"/>
        <v>Sep.26</v>
      </c>
      <c r="U179" s="3754" t="str">
        <f t="shared" si="37"/>
        <v>Oct.26</v>
      </c>
      <c r="V179" s="3755" t="str">
        <f t="shared" si="37"/>
        <v>Nov.26</v>
      </c>
      <c r="W179" s="3756" t="str">
        <f t="shared" si="37"/>
        <v>Dec.26</v>
      </c>
      <c r="X179" s="3763" t="str">
        <f t="shared" si="37"/>
        <v>2026
Total</v>
      </c>
    </row>
    <row r="180" spans="1:24" ht="20.25" customHeight="1" thickBot="1">
      <c r="A180" s="76">
        <v>1</v>
      </c>
      <c r="B180" s="5267" t="s">
        <v>489</v>
      </c>
      <c r="C180" s="5152"/>
      <c r="D180" s="5152"/>
      <c r="E180" s="5152"/>
      <c r="F180" s="5152"/>
      <c r="G180" s="5152"/>
      <c r="H180" s="5153"/>
      <c r="I180" s="5303"/>
      <c r="J180" s="5304"/>
      <c r="K180" s="3853"/>
      <c r="L180" s="4421">
        <f t="shared" ref="L180:W180" si="38">$I$167*L174</f>
        <v>273105</v>
      </c>
      <c r="M180" s="4422">
        <f t="shared" si="38"/>
        <v>145656</v>
      </c>
      <c r="N180" s="4423">
        <f t="shared" si="38"/>
        <v>218484</v>
      </c>
      <c r="O180" s="4421">
        <f t="shared" si="38"/>
        <v>163863</v>
      </c>
      <c r="P180" s="4422">
        <f t="shared" si="38"/>
        <v>163863</v>
      </c>
      <c r="Q180" s="4423">
        <f t="shared" si="38"/>
        <v>200277</v>
      </c>
      <c r="R180" s="4421">
        <f t="shared" si="38"/>
        <v>182070</v>
      </c>
      <c r="S180" s="4422">
        <f t="shared" si="38"/>
        <v>109242</v>
      </c>
      <c r="T180" s="4423">
        <f t="shared" si="38"/>
        <v>200277</v>
      </c>
      <c r="U180" s="4421">
        <f t="shared" si="38"/>
        <v>200277</v>
      </c>
      <c r="V180" s="4422">
        <f t="shared" si="38"/>
        <v>163863</v>
      </c>
      <c r="W180" s="4423">
        <f t="shared" si="38"/>
        <v>145656</v>
      </c>
      <c r="X180" s="3857">
        <f>SUM(L180:W180)</f>
        <v>2166633</v>
      </c>
    </row>
    <row r="181" spans="1:24" ht="20.25" customHeight="1" thickBot="1">
      <c r="A181" s="1548">
        <v>2</v>
      </c>
      <c r="B181" s="5152" t="s">
        <v>981</v>
      </c>
      <c r="C181" s="5152"/>
      <c r="D181" s="5152"/>
      <c r="E181" s="5152"/>
      <c r="F181" s="5152"/>
      <c r="G181" s="5152"/>
      <c r="H181" s="5153"/>
      <c r="I181" s="5303"/>
      <c r="J181" s="5304"/>
      <c r="K181" s="3804"/>
      <c r="L181" s="4427">
        <v>20046.873378101849</v>
      </c>
      <c r="M181" s="4428">
        <v>22712.382637361108</v>
      </c>
      <c r="N181" s="4429">
        <v>22248.864624353741</v>
      </c>
      <c r="O181" s="4427" t="e">
        <f t="shared" ref="O181:W181" si="39">$I$167*O175</f>
        <v>#REF!</v>
      </c>
      <c r="P181" s="4428" t="e">
        <f t="shared" si="39"/>
        <v>#REF!</v>
      </c>
      <c r="Q181" s="4429" t="e">
        <f t="shared" si="39"/>
        <v>#REF!</v>
      </c>
      <c r="R181" s="4427" t="e">
        <f t="shared" si="39"/>
        <v>#REF!</v>
      </c>
      <c r="S181" s="4428" t="e">
        <f t="shared" si="39"/>
        <v>#REF!</v>
      </c>
      <c r="T181" s="4429" t="e">
        <f t="shared" si="39"/>
        <v>#REF!</v>
      </c>
      <c r="U181" s="4427" t="e">
        <f t="shared" si="39"/>
        <v>#REF!</v>
      </c>
      <c r="V181" s="4428" t="e">
        <f t="shared" si="39"/>
        <v>#REF!</v>
      </c>
      <c r="W181" s="4429" t="e">
        <f t="shared" si="39"/>
        <v>#REF!</v>
      </c>
      <c r="X181" s="3808" t="e">
        <f>SUM(L181:W181)</f>
        <v>#REF!</v>
      </c>
    </row>
    <row r="182" spans="1:24" s="1623" customFormat="1" ht="20.25" customHeight="1" thickBot="1">
      <c r="A182" s="5151" t="s">
        <v>138</v>
      </c>
      <c r="B182" s="5152"/>
      <c r="C182" s="5152"/>
      <c r="D182" s="5152"/>
      <c r="E182" s="5152"/>
      <c r="F182" s="5152"/>
      <c r="G182" s="5152"/>
      <c r="H182" s="5153"/>
      <c r="I182" s="5310"/>
      <c r="J182" s="5311"/>
      <c r="K182" s="3858"/>
      <c r="L182" s="3859">
        <f>L181+L180</f>
        <v>293151.87337810185</v>
      </c>
      <c r="M182" s="3805">
        <f t="shared" ref="M182:W182" si="40">M181+M180</f>
        <v>168368.38263736112</v>
      </c>
      <c r="N182" s="3860">
        <f t="shared" si="40"/>
        <v>240732.86462435374</v>
      </c>
      <c r="O182" s="3859" t="e">
        <f t="shared" si="40"/>
        <v>#REF!</v>
      </c>
      <c r="P182" s="3805" t="e">
        <f t="shared" si="40"/>
        <v>#REF!</v>
      </c>
      <c r="Q182" s="3860" t="e">
        <f t="shared" si="40"/>
        <v>#REF!</v>
      </c>
      <c r="R182" s="3859" t="e">
        <f t="shared" si="40"/>
        <v>#REF!</v>
      </c>
      <c r="S182" s="3805" t="e">
        <f t="shared" si="40"/>
        <v>#REF!</v>
      </c>
      <c r="T182" s="3860" t="e">
        <f t="shared" si="40"/>
        <v>#REF!</v>
      </c>
      <c r="U182" s="3859" t="e">
        <f t="shared" si="40"/>
        <v>#REF!</v>
      </c>
      <c r="V182" s="3805" t="e">
        <f t="shared" si="40"/>
        <v>#REF!</v>
      </c>
      <c r="W182" s="3860" t="e">
        <f t="shared" si="40"/>
        <v>#REF!</v>
      </c>
      <c r="X182" s="3857" t="e">
        <f>SUM(X180:X181)</f>
        <v>#REF!</v>
      </c>
    </row>
    <row r="183" spans="1:24" ht="20.25" customHeight="1">
      <c r="X183" s="3762" t="e">
        <f>SUM(L182:W182)=X182</f>
        <v>#REF!</v>
      </c>
    </row>
  </sheetData>
  <mergeCells count="36">
    <mergeCell ref="A182:H182"/>
    <mergeCell ref="I182:J182"/>
    <mergeCell ref="B168:H168"/>
    <mergeCell ref="I168:J168"/>
    <mergeCell ref="B179:H179"/>
    <mergeCell ref="I179:J179"/>
    <mergeCell ref="B180:H180"/>
    <mergeCell ref="I180:J180"/>
    <mergeCell ref="B181:H181"/>
    <mergeCell ref="I181:J181"/>
    <mergeCell ref="B173:H173"/>
    <mergeCell ref="I173:J173"/>
    <mergeCell ref="B175:H175"/>
    <mergeCell ref="I175:J175"/>
    <mergeCell ref="A176:H176"/>
    <mergeCell ref="I176:J176"/>
    <mergeCell ref="B174:H174"/>
    <mergeCell ref="I174:J174"/>
    <mergeCell ref="C80:F80"/>
    <mergeCell ref="A163:H163"/>
    <mergeCell ref="A162:H162"/>
    <mergeCell ref="A161:H161"/>
    <mergeCell ref="B160:F160"/>
    <mergeCell ref="A169:H169"/>
    <mergeCell ref="I166:J166"/>
    <mergeCell ref="I167:J167"/>
    <mergeCell ref="I169:J169"/>
    <mergeCell ref="B166:H166"/>
    <mergeCell ref="B167:H167"/>
    <mergeCell ref="C19:F19"/>
    <mergeCell ref="C159:F159"/>
    <mergeCell ref="A81:H81"/>
    <mergeCell ref="A5:A19"/>
    <mergeCell ref="B5:B19"/>
    <mergeCell ref="A20:A80"/>
    <mergeCell ref="B20:B80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45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121"/>
  <sheetViews>
    <sheetView topLeftCell="A40" workbookViewId="0">
      <selection activeCell="I88" sqref="I88:I89"/>
    </sheetView>
  </sheetViews>
  <sheetFormatPr defaultColWidth="9" defaultRowHeight="13.5"/>
  <cols>
    <col min="1" max="1" width="22.125" style="104" customWidth="1"/>
    <col min="2" max="2" width="22.125" style="105" customWidth="1"/>
    <col min="3" max="3" width="11.125" style="105" customWidth="1"/>
    <col min="4" max="4" width="11.75" style="105" customWidth="1"/>
    <col min="5" max="5" width="12.75" style="105" customWidth="1"/>
    <col min="6" max="7" width="12.125" style="472" customWidth="1"/>
    <col min="8" max="17" width="12.125" style="105" customWidth="1"/>
    <col min="18" max="18" width="16.125" style="105" customWidth="1"/>
    <col min="19" max="19" width="12" style="236" customWidth="1"/>
    <col min="20" max="20" width="10.125" style="107" bestFit="1" customWidth="1"/>
    <col min="21" max="21" width="13.625" style="107" bestFit="1" customWidth="1"/>
    <col min="22" max="16384" width="9" style="105"/>
  </cols>
  <sheetData>
    <row r="1" spans="1:19" ht="19.5" customHeight="1">
      <c r="A1" s="110" t="s">
        <v>39</v>
      </c>
      <c r="B1" s="103"/>
      <c r="C1" s="103"/>
      <c r="D1" s="103"/>
      <c r="E1" s="103"/>
      <c r="F1" s="535"/>
      <c r="G1" s="535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19" ht="19.5" customHeight="1"/>
    <row r="3" spans="1:19" ht="27" customHeight="1" thickBot="1">
      <c r="A3" s="109" t="s">
        <v>373</v>
      </c>
      <c r="B3" s="389"/>
      <c r="C3" s="389"/>
      <c r="D3" s="390"/>
      <c r="E3" s="389"/>
      <c r="R3" s="108" t="s">
        <v>351</v>
      </c>
    </row>
    <row r="4" spans="1:19" ht="17.25" customHeight="1" thickBot="1">
      <c r="A4" s="55" t="s">
        <v>112</v>
      </c>
      <c r="B4" s="391" t="s">
        <v>124</v>
      </c>
      <c r="C4" s="315" t="s">
        <v>104</v>
      </c>
      <c r="D4" s="315"/>
      <c r="E4" s="392" t="s">
        <v>352</v>
      </c>
      <c r="F4" s="393" t="s">
        <v>430</v>
      </c>
      <c r="G4" s="315" t="s">
        <v>557</v>
      </c>
      <c r="H4" s="316" t="s">
        <v>558</v>
      </c>
      <c r="I4" s="393" t="s">
        <v>431</v>
      </c>
      <c r="J4" s="315" t="s">
        <v>559</v>
      </c>
      <c r="K4" s="316" t="s">
        <v>560</v>
      </c>
      <c r="L4" s="393" t="s">
        <v>561</v>
      </c>
      <c r="M4" s="315" t="s">
        <v>562</v>
      </c>
      <c r="N4" s="316" t="s">
        <v>563</v>
      </c>
      <c r="O4" s="393" t="s">
        <v>564</v>
      </c>
      <c r="P4" s="315" t="s">
        <v>565</v>
      </c>
      <c r="Q4" s="316" t="s">
        <v>566</v>
      </c>
      <c r="R4" s="394" t="s">
        <v>433</v>
      </c>
    </row>
    <row r="5" spans="1:19" ht="16.5" customHeight="1">
      <c r="A5" s="5312" t="s">
        <v>312</v>
      </c>
      <c r="B5" s="395" t="s">
        <v>823</v>
      </c>
      <c r="C5" s="396">
        <f>(7061+17043+16422+13920+8755+8755)/F5</f>
        <v>11992.666666666666</v>
      </c>
      <c r="D5" s="397"/>
      <c r="E5" s="398">
        <v>6</v>
      </c>
      <c r="F5" s="787">
        <v>6</v>
      </c>
      <c r="G5" s="788">
        <f t="shared" ref="G5:Q5" si="0">F5</f>
        <v>6</v>
      </c>
      <c r="H5" s="789">
        <f t="shared" si="0"/>
        <v>6</v>
      </c>
      <c r="I5" s="787">
        <f t="shared" si="0"/>
        <v>6</v>
      </c>
      <c r="J5" s="788">
        <f t="shared" si="0"/>
        <v>6</v>
      </c>
      <c r="K5" s="789">
        <f t="shared" si="0"/>
        <v>6</v>
      </c>
      <c r="L5" s="399">
        <f t="shared" si="0"/>
        <v>6</v>
      </c>
      <c r="M5" s="400">
        <f t="shared" si="0"/>
        <v>6</v>
      </c>
      <c r="N5" s="401">
        <f t="shared" si="0"/>
        <v>6</v>
      </c>
      <c r="O5" s="399">
        <f t="shared" si="0"/>
        <v>6</v>
      </c>
      <c r="P5" s="400">
        <f t="shared" si="0"/>
        <v>6</v>
      </c>
      <c r="Q5" s="401">
        <f t="shared" si="0"/>
        <v>6</v>
      </c>
      <c r="R5" s="402">
        <f t="shared" ref="R5:R13" si="1">AVERAGE(F5:Q5)</f>
        <v>6</v>
      </c>
      <c r="S5" s="403">
        <v>13060</v>
      </c>
    </row>
    <row r="6" spans="1:19" ht="16.5" customHeight="1">
      <c r="A6" s="5313"/>
      <c r="B6" s="404" t="s">
        <v>434</v>
      </c>
      <c r="C6" s="405">
        <v>10138</v>
      </c>
      <c r="D6" s="406"/>
      <c r="E6" s="407">
        <v>1</v>
      </c>
      <c r="F6" s="523">
        <v>1</v>
      </c>
      <c r="G6" s="524">
        <f t="shared" ref="G6:Q6" si="2">F6</f>
        <v>1</v>
      </c>
      <c r="H6" s="525">
        <f t="shared" si="2"/>
        <v>1</v>
      </c>
      <c r="I6" s="523">
        <f t="shared" si="2"/>
        <v>1</v>
      </c>
      <c r="J6" s="524">
        <f t="shared" si="2"/>
        <v>1</v>
      </c>
      <c r="K6" s="525">
        <f t="shared" si="2"/>
        <v>1</v>
      </c>
      <c r="L6" s="408">
        <f t="shared" si="2"/>
        <v>1</v>
      </c>
      <c r="M6" s="409">
        <f t="shared" si="2"/>
        <v>1</v>
      </c>
      <c r="N6" s="410">
        <f t="shared" si="2"/>
        <v>1</v>
      </c>
      <c r="O6" s="408">
        <f t="shared" si="2"/>
        <v>1</v>
      </c>
      <c r="P6" s="409">
        <f t="shared" si="2"/>
        <v>1</v>
      </c>
      <c r="Q6" s="410">
        <f t="shared" si="2"/>
        <v>1</v>
      </c>
      <c r="R6" s="411">
        <f t="shared" si="1"/>
        <v>1</v>
      </c>
      <c r="S6" s="403">
        <v>8862</v>
      </c>
    </row>
    <row r="7" spans="1:19" ht="16.5" customHeight="1">
      <c r="A7" s="5313"/>
      <c r="B7" s="404" t="s">
        <v>307</v>
      </c>
      <c r="C7" s="405">
        <f>(6741+6596)/E7</f>
        <v>6668.5</v>
      </c>
      <c r="D7" s="412"/>
      <c r="E7" s="407">
        <v>2</v>
      </c>
      <c r="F7" s="523">
        <v>2</v>
      </c>
      <c r="G7" s="524">
        <v>2</v>
      </c>
      <c r="H7" s="525">
        <v>2</v>
      </c>
      <c r="I7" s="523">
        <f t="shared" ref="I7:Q7" si="3">H7</f>
        <v>2</v>
      </c>
      <c r="J7" s="524">
        <f t="shared" si="3"/>
        <v>2</v>
      </c>
      <c r="K7" s="525">
        <f t="shared" si="3"/>
        <v>2</v>
      </c>
      <c r="L7" s="408">
        <f t="shared" si="3"/>
        <v>2</v>
      </c>
      <c r="M7" s="409">
        <f t="shared" si="3"/>
        <v>2</v>
      </c>
      <c r="N7" s="410">
        <f t="shared" si="3"/>
        <v>2</v>
      </c>
      <c r="O7" s="408">
        <f t="shared" si="3"/>
        <v>2</v>
      </c>
      <c r="P7" s="409">
        <f t="shared" si="3"/>
        <v>2</v>
      </c>
      <c r="Q7" s="410">
        <f t="shared" si="3"/>
        <v>2</v>
      </c>
      <c r="R7" s="411">
        <f t="shared" si="1"/>
        <v>2</v>
      </c>
      <c r="S7" s="403">
        <v>5395</v>
      </c>
    </row>
    <row r="8" spans="1:19" ht="16.5" customHeight="1">
      <c r="A8" s="413"/>
      <c r="B8" s="414" t="s">
        <v>354</v>
      </c>
      <c r="C8" s="415"/>
      <c r="D8" s="416"/>
      <c r="E8" s="417">
        <f t="shared" ref="E8:Q8" si="4">SUM(E5:E7)</f>
        <v>9</v>
      </c>
      <c r="F8" s="820">
        <f t="shared" si="4"/>
        <v>9</v>
      </c>
      <c r="G8" s="821">
        <f t="shared" si="4"/>
        <v>9</v>
      </c>
      <c r="H8" s="822">
        <f t="shared" si="4"/>
        <v>9</v>
      </c>
      <c r="I8" s="820">
        <f t="shared" si="4"/>
        <v>9</v>
      </c>
      <c r="J8" s="821">
        <f t="shared" si="4"/>
        <v>9</v>
      </c>
      <c r="K8" s="822">
        <f t="shared" si="4"/>
        <v>9</v>
      </c>
      <c r="L8" s="418">
        <f t="shared" si="4"/>
        <v>9</v>
      </c>
      <c r="M8" s="232">
        <f t="shared" si="4"/>
        <v>9</v>
      </c>
      <c r="N8" s="419">
        <f t="shared" si="4"/>
        <v>9</v>
      </c>
      <c r="O8" s="418">
        <f t="shared" si="4"/>
        <v>9</v>
      </c>
      <c r="P8" s="232">
        <f t="shared" si="4"/>
        <v>9</v>
      </c>
      <c r="Q8" s="419">
        <f t="shared" si="4"/>
        <v>9</v>
      </c>
      <c r="R8" s="420">
        <f t="shared" si="1"/>
        <v>9</v>
      </c>
      <c r="S8" s="403"/>
    </row>
    <row r="9" spans="1:19" ht="16.5" customHeight="1">
      <c r="A9" s="5314" t="s">
        <v>355</v>
      </c>
      <c r="B9" s="421" t="s">
        <v>356</v>
      </c>
      <c r="C9" s="422">
        <f>(9774+12088)/E9</f>
        <v>10931</v>
      </c>
      <c r="D9" s="423"/>
      <c r="E9" s="424">
        <v>2</v>
      </c>
      <c r="F9" s="823">
        <v>2</v>
      </c>
      <c r="G9" s="823">
        <v>2</v>
      </c>
      <c r="H9" s="824">
        <v>2</v>
      </c>
      <c r="I9" s="825">
        <f t="shared" ref="I9:Q9" si="5">H9</f>
        <v>2</v>
      </c>
      <c r="J9" s="823">
        <f t="shared" si="5"/>
        <v>2</v>
      </c>
      <c r="K9" s="824">
        <f t="shared" si="5"/>
        <v>2</v>
      </c>
      <c r="L9" s="425">
        <f t="shared" si="5"/>
        <v>2</v>
      </c>
      <c r="M9" s="426">
        <f t="shared" si="5"/>
        <v>2</v>
      </c>
      <c r="N9" s="427">
        <f t="shared" si="5"/>
        <v>2</v>
      </c>
      <c r="O9" s="425">
        <f t="shared" si="5"/>
        <v>2</v>
      </c>
      <c r="P9" s="426">
        <f t="shared" si="5"/>
        <v>2</v>
      </c>
      <c r="Q9" s="427">
        <f t="shared" si="5"/>
        <v>2</v>
      </c>
      <c r="R9" s="428">
        <f t="shared" si="1"/>
        <v>2</v>
      </c>
      <c r="S9" s="403">
        <v>8177</v>
      </c>
    </row>
    <row r="10" spans="1:19" ht="16.5" customHeight="1">
      <c r="A10" s="5313"/>
      <c r="B10" s="404" t="str">
        <f>B6</f>
        <v>G,S Manager</v>
      </c>
      <c r="C10" s="405">
        <v>11077.093073430839</v>
      </c>
      <c r="D10" s="429"/>
      <c r="E10" s="407">
        <v>2</v>
      </c>
      <c r="F10" s="523">
        <v>2</v>
      </c>
      <c r="G10" s="524">
        <v>2</v>
      </c>
      <c r="H10" s="525">
        <v>2</v>
      </c>
      <c r="I10" s="523">
        <f t="shared" ref="I10:Q10" si="6">+H10</f>
        <v>2</v>
      </c>
      <c r="J10" s="524">
        <f t="shared" si="6"/>
        <v>2</v>
      </c>
      <c r="K10" s="525">
        <f t="shared" si="6"/>
        <v>2</v>
      </c>
      <c r="L10" s="408">
        <f t="shared" si="6"/>
        <v>2</v>
      </c>
      <c r="M10" s="409">
        <f t="shared" si="6"/>
        <v>2</v>
      </c>
      <c r="N10" s="410">
        <f t="shared" si="6"/>
        <v>2</v>
      </c>
      <c r="O10" s="408">
        <f t="shared" si="6"/>
        <v>2</v>
      </c>
      <c r="P10" s="409">
        <f t="shared" si="6"/>
        <v>2</v>
      </c>
      <c r="Q10" s="410">
        <f t="shared" si="6"/>
        <v>2</v>
      </c>
      <c r="R10" s="411">
        <f t="shared" si="1"/>
        <v>2</v>
      </c>
      <c r="S10" s="403"/>
    </row>
    <row r="11" spans="1:19" ht="16.5" customHeight="1">
      <c r="A11" s="5313"/>
      <c r="B11" s="404" t="str">
        <f>B7</f>
        <v>Manager</v>
      </c>
      <c r="C11" s="405">
        <f>(4292+3215)/E11</f>
        <v>3753.5</v>
      </c>
      <c r="D11" s="429"/>
      <c r="E11" s="407">
        <v>2</v>
      </c>
      <c r="F11" s="523">
        <v>2</v>
      </c>
      <c r="G11" s="524">
        <v>2</v>
      </c>
      <c r="H11" s="525">
        <v>2</v>
      </c>
      <c r="I11" s="523">
        <v>2</v>
      </c>
      <c r="J11" s="524">
        <v>2</v>
      </c>
      <c r="K11" s="525">
        <v>2</v>
      </c>
      <c r="L11" s="408">
        <v>2</v>
      </c>
      <c r="M11" s="409">
        <v>2</v>
      </c>
      <c r="N11" s="410">
        <v>2</v>
      </c>
      <c r="O11" s="408">
        <v>2</v>
      </c>
      <c r="P11" s="409">
        <v>2</v>
      </c>
      <c r="Q11" s="410">
        <v>2</v>
      </c>
      <c r="R11" s="411">
        <f t="shared" si="1"/>
        <v>2</v>
      </c>
      <c r="S11" s="403">
        <v>3847</v>
      </c>
    </row>
    <row r="12" spans="1:19" ht="16.5" customHeight="1" thickBot="1">
      <c r="A12" s="430"/>
      <c r="B12" s="431" t="s">
        <v>357</v>
      </c>
      <c r="C12" s="432"/>
      <c r="D12" s="433"/>
      <c r="E12" s="475">
        <f>E11+E9+E10</f>
        <v>6</v>
      </c>
      <c r="F12" s="817">
        <f t="shared" ref="F12:Q12" si="7">SUM(F9:F11)</f>
        <v>6</v>
      </c>
      <c r="G12" s="864">
        <f t="shared" si="7"/>
        <v>6</v>
      </c>
      <c r="H12" s="255">
        <f t="shared" si="7"/>
        <v>6</v>
      </c>
      <c r="I12" s="817">
        <f t="shared" si="7"/>
        <v>6</v>
      </c>
      <c r="J12" s="864">
        <f t="shared" si="7"/>
        <v>6</v>
      </c>
      <c r="K12" s="255">
        <f t="shared" si="7"/>
        <v>6</v>
      </c>
      <c r="L12" s="865">
        <f t="shared" si="7"/>
        <v>6</v>
      </c>
      <c r="M12" s="866">
        <f t="shared" si="7"/>
        <v>6</v>
      </c>
      <c r="N12" s="867">
        <f t="shared" si="7"/>
        <v>6</v>
      </c>
      <c r="O12" s="865">
        <f t="shared" si="7"/>
        <v>6</v>
      </c>
      <c r="P12" s="866">
        <f t="shared" si="7"/>
        <v>6</v>
      </c>
      <c r="Q12" s="867">
        <f t="shared" si="7"/>
        <v>6</v>
      </c>
      <c r="R12" s="435">
        <f t="shared" si="1"/>
        <v>6</v>
      </c>
      <c r="S12" s="403"/>
    </row>
    <row r="13" spans="1:19" ht="21" customHeight="1" thickBot="1">
      <c r="A13" s="5315" t="s">
        <v>358</v>
      </c>
      <c r="B13" s="5316"/>
      <c r="C13" s="315"/>
      <c r="D13" s="391"/>
      <c r="E13" s="436">
        <f>E12+E8</f>
        <v>15</v>
      </c>
      <c r="F13" s="220">
        <f t="shared" ref="F13:Q13" si="8">F8+F12</f>
        <v>15</v>
      </c>
      <c r="G13" s="221">
        <f t="shared" si="8"/>
        <v>15</v>
      </c>
      <c r="H13" s="222">
        <f t="shared" si="8"/>
        <v>15</v>
      </c>
      <c r="I13" s="220">
        <f t="shared" si="8"/>
        <v>15</v>
      </c>
      <c r="J13" s="221">
        <f t="shared" si="8"/>
        <v>15</v>
      </c>
      <c r="K13" s="222">
        <f t="shared" si="8"/>
        <v>15</v>
      </c>
      <c r="L13" s="266">
        <f t="shared" si="8"/>
        <v>15</v>
      </c>
      <c r="M13" s="267">
        <f t="shared" si="8"/>
        <v>15</v>
      </c>
      <c r="N13" s="237">
        <f t="shared" si="8"/>
        <v>15</v>
      </c>
      <c r="O13" s="266">
        <f t="shared" si="8"/>
        <v>15</v>
      </c>
      <c r="P13" s="267">
        <f t="shared" si="8"/>
        <v>15</v>
      </c>
      <c r="Q13" s="237">
        <f t="shared" si="8"/>
        <v>15</v>
      </c>
      <c r="R13" s="437">
        <f t="shared" si="1"/>
        <v>15</v>
      </c>
      <c r="S13" s="403"/>
    </row>
    <row r="14" spans="1:19" ht="16.5" customHeight="1">
      <c r="A14" s="609"/>
      <c r="B14" s="602"/>
      <c r="C14" s="609"/>
      <c r="D14" s="609"/>
      <c r="E14" s="610"/>
      <c r="F14" s="611"/>
      <c r="G14" s="611"/>
      <c r="H14" s="612"/>
      <c r="I14" s="612"/>
      <c r="J14" s="612"/>
      <c r="K14" s="611"/>
      <c r="L14" s="612"/>
      <c r="M14" s="612"/>
      <c r="N14" s="612"/>
      <c r="O14" s="612"/>
      <c r="P14" s="612"/>
      <c r="Q14" s="612"/>
      <c r="R14" s="613"/>
      <c r="S14" s="403"/>
    </row>
    <row r="15" spans="1:19" ht="16.5" customHeight="1" thickBot="1">
      <c r="A15" s="109" t="s">
        <v>372</v>
      </c>
      <c r="B15" s="389"/>
      <c r="C15" s="389"/>
      <c r="D15" s="390"/>
      <c r="E15" s="389"/>
      <c r="R15" s="108" t="s">
        <v>351</v>
      </c>
      <c r="S15" s="403"/>
    </row>
    <row r="16" spans="1:19" ht="18.75" customHeight="1" thickBot="1">
      <c r="A16" s="55" t="s">
        <v>112</v>
      </c>
      <c r="B16" s="391" t="s">
        <v>124</v>
      </c>
      <c r="C16" s="315" t="s">
        <v>104</v>
      </c>
      <c r="D16" s="315"/>
      <c r="E16" s="392" t="s">
        <v>352</v>
      </c>
      <c r="F16" s="393" t="s">
        <v>430</v>
      </c>
      <c r="G16" s="315" t="s">
        <v>557</v>
      </c>
      <c r="H16" s="316" t="s">
        <v>558</v>
      </c>
      <c r="I16" s="393" t="s">
        <v>431</v>
      </c>
      <c r="J16" s="315" t="s">
        <v>559</v>
      </c>
      <c r="K16" s="316" t="s">
        <v>560</v>
      </c>
      <c r="L16" s="393" t="s">
        <v>561</v>
      </c>
      <c r="M16" s="315" t="s">
        <v>562</v>
      </c>
      <c r="N16" s="316" t="s">
        <v>563</v>
      </c>
      <c r="O16" s="393" t="s">
        <v>564</v>
      </c>
      <c r="P16" s="315" t="s">
        <v>565</v>
      </c>
      <c r="Q16" s="316" t="s">
        <v>566</v>
      </c>
      <c r="R16" s="394" t="s">
        <v>433</v>
      </c>
      <c r="S16" s="403"/>
    </row>
    <row r="17" spans="1:21" ht="16.5" customHeight="1">
      <c r="A17" s="598" t="s">
        <v>359</v>
      </c>
      <c r="B17" s="395" t="s">
        <v>400</v>
      </c>
      <c r="C17" s="396">
        <v>2548.1415472077442</v>
      </c>
      <c r="D17" s="438"/>
      <c r="E17" s="398">
        <v>6</v>
      </c>
      <c r="F17" s="787">
        <v>6</v>
      </c>
      <c r="G17" s="788">
        <v>6</v>
      </c>
      <c r="H17" s="789">
        <v>6</v>
      </c>
      <c r="I17" s="787">
        <v>6</v>
      </c>
      <c r="J17" s="788">
        <v>6</v>
      </c>
      <c r="K17" s="789">
        <v>6</v>
      </c>
      <c r="L17" s="399">
        <v>6</v>
      </c>
      <c r="M17" s="400">
        <v>6</v>
      </c>
      <c r="N17" s="401">
        <v>6</v>
      </c>
      <c r="O17" s="399">
        <v>6</v>
      </c>
      <c r="P17" s="400">
        <v>6</v>
      </c>
      <c r="Q17" s="401">
        <v>6</v>
      </c>
      <c r="R17" s="402">
        <f>AVERAGE(F17:Q17)</f>
        <v>6</v>
      </c>
      <c r="S17" s="403"/>
    </row>
    <row r="18" spans="1:21" ht="16.5" customHeight="1">
      <c r="A18" s="596"/>
      <c r="B18" s="404" t="s">
        <v>307</v>
      </c>
      <c r="C18" s="405">
        <v>1462.3855278862443</v>
      </c>
      <c r="D18" s="439"/>
      <c r="E18" s="407">
        <v>8</v>
      </c>
      <c r="F18" s="523">
        <v>9</v>
      </c>
      <c r="G18" s="524">
        <f t="shared" ref="G18:Q18" si="9">F18</f>
        <v>9</v>
      </c>
      <c r="H18" s="525">
        <f t="shared" si="9"/>
        <v>9</v>
      </c>
      <c r="I18" s="523">
        <f t="shared" si="9"/>
        <v>9</v>
      </c>
      <c r="J18" s="524">
        <f t="shared" si="9"/>
        <v>9</v>
      </c>
      <c r="K18" s="525">
        <f t="shared" si="9"/>
        <v>9</v>
      </c>
      <c r="L18" s="408">
        <f t="shared" si="9"/>
        <v>9</v>
      </c>
      <c r="M18" s="409">
        <f t="shared" si="9"/>
        <v>9</v>
      </c>
      <c r="N18" s="410">
        <f t="shared" si="9"/>
        <v>9</v>
      </c>
      <c r="O18" s="408">
        <f t="shared" si="9"/>
        <v>9</v>
      </c>
      <c r="P18" s="409">
        <f t="shared" si="9"/>
        <v>9</v>
      </c>
      <c r="Q18" s="410">
        <f t="shared" si="9"/>
        <v>9</v>
      </c>
      <c r="R18" s="411">
        <f>AVERAGE(F18:Q18)</f>
        <v>9</v>
      </c>
      <c r="S18" s="403"/>
    </row>
    <row r="19" spans="1:21" ht="16.5" customHeight="1">
      <c r="A19" s="596"/>
      <c r="B19" s="404" t="s">
        <v>353</v>
      </c>
      <c r="C19" s="405">
        <v>664.03231782688022</v>
      </c>
      <c r="D19" s="440"/>
      <c r="E19" s="407">
        <v>53</v>
      </c>
      <c r="F19" s="523">
        <v>55</v>
      </c>
      <c r="G19" s="524">
        <v>55</v>
      </c>
      <c r="H19" s="525">
        <v>55</v>
      </c>
      <c r="I19" s="523">
        <f>H19</f>
        <v>55</v>
      </c>
      <c r="J19" s="524">
        <f>I19</f>
        <v>55</v>
      </c>
      <c r="K19" s="525">
        <f>J19</f>
        <v>55</v>
      </c>
      <c r="L19" s="408">
        <v>50</v>
      </c>
      <c r="M19" s="409">
        <f>L19</f>
        <v>50</v>
      </c>
      <c r="N19" s="410">
        <f>M19</f>
        <v>50</v>
      </c>
      <c r="O19" s="408">
        <f>N19</f>
        <v>50</v>
      </c>
      <c r="P19" s="409">
        <f>O19</f>
        <v>50</v>
      </c>
      <c r="Q19" s="410">
        <f>P19</f>
        <v>50</v>
      </c>
      <c r="R19" s="411">
        <f>AVERAGE(F19:Q19)</f>
        <v>52.5</v>
      </c>
      <c r="S19" s="403"/>
    </row>
    <row r="20" spans="1:21" ht="16.5" customHeight="1">
      <c r="A20" s="413"/>
      <c r="B20" s="414" t="s">
        <v>354</v>
      </c>
      <c r="C20" s="415"/>
      <c r="D20" s="416"/>
      <c r="E20" s="417">
        <f t="shared" ref="E20:R20" si="10">SUM(E17:E19)</f>
        <v>67</v>
      </c>
      <c r="F20" s="820">
        <f t="shared" si="10"/>
        <v>70</v>
      </c>
      <c r="G20" s="821">
        <f t="shared" si="10"/>
        <v>70</v>
      </c>
      <c r="H20" s="822">
        <f t="shared" si="10"/>
        <v>70</v>
      </c>
      <c r="I20" s="820">
        <f t="shared" si="10"/>
        <v>70</v>
      </c>
      <c r="J20" s="821">
        <f t="shared" si="10"/>
        <v>70</v>
      </c>
      <c r="K20" s="822">
        <f t="shared" si="10"/>
        <v>70</v>
      </c>
      <c r="L20" s="418">
        <f t="shared" si="10"/>
        <v>65</v>
      </c>
      <c r="M20" s="232">
        <f t="shared" si="10"/>
        <v>65</v>
      </c>
      <c r="N20" s="419">
        <f t="shared" si="10"/>
        <v>65</v>
      </c>
      <c r="O20" s="418">
        <f t="shared" si="10"/>
        <v>65</v>
      </c>
      <c r="P20" s="232">
        <f t="shared" si="10"/>
        <v>65</v>
      </c>
      <c r="Q20" s="419">
        <f t="shared" si="10"/>
        <v>65</v>
      </c>
      <c r="R20" s="420">
        <f t="shared" si="10"/>
        <v>67.5</v>
      </c>
      <c r="S20" s="403"/>
    </row>
    <row r="21" spans="1:21" ht="16.5" customHeight="1">
      <c r="A21" s="441" t="s">
        <v>360</v>
      </c>
      <c r="B21" s="421" t="s">
        <v>400</v>
      </c>
      <c r="C21" s="422">
        <v>1853.4521445607761</v>
      </c>
      <c r="D21" s="442"/>
      <c r="E21" s="424">
        <v>6</v>
      </c>
      <c r="F21" s="825">
        <v>3</v>
      </c>
      <c r="G21" s="823">
        <v>3</v>
      </c>
      <c r="H21" s="824">
        <v>3</v>
      </c>
      <c r="I21" s="825">
        <v>3</v>
      </c>
      <c r="J21" s="823">
        <v>3</v>
      </c>
      <c r="K21" s="824">
        <v>3</v>
      </c>
      <c r="L21" s="425">
        <v>3</v>
      </c>
      <c r="M21" s="426">
        <v>3</v>
      </c>
      <c r="N21" s="427">
        <v>3</v>
      </c>
      <c r="O21" s="425">
        <v>3</v>
      </c>
      <c r="P21" s="426">
        <v>3</v>
      </c>
      <c r="Q21" s="427">
        <v>3</v>
      </c>
      <c r="R21" s="411">
        <f>AVERAGE(F21:Q21)</f>
        <v>3</v>
      </c>
      <c r="S21" s="403"/>
    </row>
    <row r="22" spans="1:21" ht="16.5" customHeight="1">
      <c r="A22" s="596"/>
      <c r="B22" s="404" t="s">
        <v>307</v>
      </c>
      <c r="C22" s="405">
        <v>1389.3012371876198</v>
      </c>
      <c r="D22" s="443"/>
      <c r="E22" s="407">
        <v>9</v>
      </c>
      <c r="F22" s="523">
        <v>11</v>
      </c>
      <c r="G22" s="524">
        <v>11</v>
      </c>
      <c r="H22" s="525">
        <v>11</v>
      </c>
      <c r="I22" s="523">
        <v>11</v>
      </c>
      <c r="J22" s="524">
        <v>11</v>
      </c>
      <c r="K22" s="525">
        <v>11</v>
      </c>
      <c r="L22" s="408">
        <v>11</v>
      </c>
      <c r="M22" s="409">
        <v>11</v>
      </c>
      <c r="N22" s="410">
        <v>11</v>
      </c>
      <c r="O22" s="408">
        <v>11</v>
      </c>
      <c r="P22" s="409">
        <v>11</v>
      </c>
      <c r="Q22" s="410">
        <v>11</v>
      </c>
      <c r="R22" s="411">
        <f>AVERAGE(F22:Q22)</f>
        <v>11</v>
      </c>
      <c r="S22" s="403"/>
    </row>
    <row r="23" spans="1:21" ht="16.5" customHeight="1">
      <c r="A23" s="596"/>
      <c r="B23" s="404" t="s">
        <v>308</v>
      </c>
      <c r="C23" s="405">
        <v>718.0844673430978</v>
      </c>
      <c r="D23" s="443"/>
      <c r="E23" s="407">
        <v>60</v>
      </c>
      <c r="F23" s="523">
        <v>151</v>
      </c>
      <c r="G23" s="524">
        <v>147</v>
      </c>
      <c r="H23" s="525">
        <v>143</v>
      </c>
      <c r="I23" s="523">
        <v>139</v>
      </c>
      <c r="J23" s="524">
        <v>135</v>
      </c>
      <c r="K23" s="525">
        <v>131</v>
      </c>
      <c r="L23" s="408">
        <v>127</v>
      </c>
      <c r="M23" s="409">
        <v>123</v>
      </c>
      <c r="N23" s="410">
        <v>119</v>
      </c>
      <c r="O23" s="408">
        <v>115</v>
      </c>
      <c r="P23" s="409">
        <v>111</v>
      </c>
      <c r="Q23" s="410">
        <v>107</v>
      </c>
      <c r="R23" s="411">
        <f>AVERAGE(F23:Q23)</f>
        <v>129</v>
      </c>
      <c r="S23" s="403"/>
    </row>
    <row r="24" spans="1:21" ht="16.5" customHeight="1" thickBot="1">
      <c r="A24" s="430"/>
      <c r="B24" s="431" t="s">
        <v>357</v>
      </c>
      <c r="C24" s="432"/>
      <c r="D24" s="433"/>
      <c r="E24" s="434">
        <f t="shared" ref="E24:R24" si="11">SUM(E21:E23)</f>
        <v>75</v>
      </c>
      <c r="F24" s="826">
        <f t="shared" si="11"/>
        <v>165</v>
      </c>
      <c r="G24" s="464">
        <f t="shared" si="11"/>
        <v>161</v>
      </c>
      <c r="H24" s="827">
        <f t="shared" si="11"/>
        <v>157</v>
      </c>
      <c r="I24" s="826">
        <f t="shared" si="11"/>
        <v>153</v>
      </c>
      <c r="J24" s="464">
        <f t="shared" si="11"/>
        <v>149</v>
      </c>
      <c r="K24" s="827">
        <f t="shared" si="11"/>
        <v>145</v>
      </c>
      <c r="L24" s="444">
        <f t="shared" si="11"/>
        <v>141</v>
      </c>
      <c r="M24" s="445">
        <f t="shared" si="11"/>
        <v>137</v>
      </c>
      <c r="N24" s="446">
        <f t="shared" si="11"/>
        <v>133</v>
      </c>
      <c r="O24" s="444">
        <f t="shared" si="11"/>
        <v>129</v>
      </c>
      <c r="P24" s="445">
        <f t="shared" si="11"/>
        <v>125</v>
      </c>
      <c r="Q24" s="446">
        <f t="shared" si="11"/>
        <v>121</v>
      </c>
      <c r="R24" s="435">
        <f t="shared" si="11"/>
        <v>143</v>
      </c>
      <c r="S24" s="403"/>
    </row>
    <row r="25" spans="1:21" ht="16.5" customHeight="1" thickBot="1">
      <c r="A25" s="5315" t="s">
        <v>361</v>
      </c>
      <c r="B25" s="5316"/>
      <c r="C25" s="315"/>
      <c r="D25" s="391"/>
      <c r="E25" s="436">
        <f>E24+E20</f>
        <v>142</v>
      </c>
      <c r="F25" s="220">
        <f t="shared" ref="F25:Q25" si="12">F20+F24</f>
        <v>235</v>
      </c>
      <c r="G25" s="221">
        <f t="shared" si="12"/>
        <v>231</v>
      </c>
      <c r="H25" s="222">
        <f t="shared" si="12"/>
        <v>227</v>
      </c>
      <c r="I25" s="220">
        <f t="shared" si="12"/>
        <v>223</v>
      </c>
      <c r="J25" s="221">
        <f t="shared" si="12"/>
        <v>219</v>
      </c>
      <c r="K25" s="222">
        <f t="shared" si="12"/>
        <v>215</v>
      </c>
      <c r="L25" s="266">
        <f t="shared" si="12"/>
        <v>206</v>
      </c>
      <c r="M25" s="267">
        <f t="shared" si="12"/>
        <v>202</v>
      </c>
      <c r="N25" s="237">
        <f t="shared" si="12"/>
        <v>198</v>
      </c>
      <c r="O25" s="266">
        <f t="shared" si="12"/>
        <v>194</v>
      </c>
      <c r="P25" s="267">
        <f t="shared" si="12"/>
        <v>190</v>
      </c>
      <c r="Q25" s="237">
        <f t="shared" si="12"/>
        <v>186</v>
      </c>
      <c r="R25" s="437">
        <f>AVERAGE(F25:Q25)</f>
        <v>210.5</v>
      </c>
      <c r="S25" s="447"/>
    </row>
    <row r="26" spans="1:21" s="229" customFormat="1" ht="16.5" customHeight="1">
      <c r="A26" s="450"/>
      <c r="B26" s="451"/>
      <c r="C26" s="450"/>
      <c r="D26" s="450"/>
      <c r="E26" s="452"/>
      <c r="F26" s="453"/>
      <c r="G26" s="453"/>
      <c r="H26" s="453"/>
      <c r="I26" s="453"/>
      <c r="J26" s="453"/>
      <c r="K26" s="453"/>
      <c r="L26" s="224"/>
      <c r="M26" s="224"/>
      <c r="N26" s="224"/>
      <c r="O26" s="224"/>
      <c r="P26" s="224"/>
      <c r="Q26" s="224"/>
      <c r="R26" s="453"/>
      <c r="S26" s="447"/>
      <c r="T26" s="230"/>
      <c r="U26" s="230"/>
    </row>
    <row r="27" spans="1:21" ht="16.5" customHeight="1" thickBot="1">
      <c r="A27" s="1234" t="s">
        <v>840</v>
      </c>
      <c r="B27" s="224"/>
      <c r="C27" s="470"/>
      <c r="D27" s="470"/>
      <c r="E27" s="515"/>
      <c r="F27" s="1156"/>
      <c r="G27" s="1156"/>
      <c r="H27" s="1156"/>
      <c r="I27" s="1156"/>
      <c r="J27" s="1156"/>
      <c r="K27" s="1156"/>
      <c r="L27" s="1156"/>
      <c r="M27" s="1156"/>
      <c r="N27" s="1156"/>
      <c r="O27" s="1156"/>
      <c r="P27" s="1156"/>
      <c r="Q27" s="1156"/>
      <c r="R27" s="471"/>
    </row>
    <row r="28" spans="1:21" ht="16.5" customHeight="1" thickBot="1">
      <c r="A28" s="391" t="s">
        <v>112</v>
      </c>
      <c r="B28" s="391" t="s">
        <v>124</v>
      </c>
      <c r="C28" s="455" t="s">
        <v>309</v>
      </c>
      <c r="D28" s="315"/>
      <c r="E28" s="391"/>
      <c r="F28" s="393" t="s">
        <v>430</v>
      </c>
      <c r="G28" s="315" t="s">
        <v>557</v>
      </c>
      <c r="H28" s="316" t="s">
        <v>558</v>
      </c>
      <c r="I28" s="393" t="s">
        <v>431</v>
      </c>
      <c r="J28" s="315" t="s">
        <v>559</v>
      </c>
      <c r="K28" s="316" t="s">
        <v>560</v>
      </c>
      <c r="L28" s="393" t="s">
        <v>561</v>
      </c>
      <c r="M28" s="315" t="s">
        <v>562</v>
      </c>
      <c r="N28" s="316" t="s">
        <v>563</v>
      </c>
      <c r="O28" s="393" t="s">
        <v>564</v>
      </c>
      <c r="P28" s="315" t="s">
        <v>565</v>
      </c>
      <c r="Q28" s="316" t="s">
        <v>566</v>
      </c>
      <c r="R28" s="394" t="s">
        <v>433</v>
      </c>
    </row>
    <row r="29" spans="1:21" ht="16.5" customHeight="1">
      <c r="A29" s="406" t="s">
        <v>838</v>
      </c>
      <c r="B29" s="406" t="s">
        <v>812</v>
      </c>
      <c r="C29" s="405" t="e">
        <f>SUM(#REF!)/'1-1.Assumption'!$F$29</f>
        <v>#REF!</v>
      </c>
      <c r="D29" s="1152"/>
      <c r="E29" s="1151"/>
      <c r="F29" s="523">
        <f>F41-F51</f>
        <v>20</v>
      </c>
      <c r="G29" s="524">
        <f t="shared" ref="G29:Q29" si="13">G41-F51-G51</f>
        <v>20</v>
      </c>
      <c r="H29" s="525">
        <f t="shared" si="13"/>
        <v>20</v>
      </c>
      <c r="I29" s="831">
        <f t="shared" si="13"/>
        <v>20</v>
      </c>
      <c r="J29" s="524">
        <f t="shared" si="13"/>
        <v>20</v>
      </c>
      <c r="K29" s="525">
        <f t="shared" si="13"/>
        <v>20</v>
      </c>
      <c r="L29" s="408">
        <f t="shared" si="13"/>
        <v>20</v>
      </c>
      <c r="M29" s="409">
        <f t="shared" si="13"/>
        <v>20</v>
      </c>
      <c r="N29" s="410">
        <f t="shared" si="13"/>
        <v>20</v>
      </c>
      <c r="O29" s="408">
        <f t="shared" si="13"/>
        <v>20</v>
      </c>
      <c r="P29" s="409">
        <f t="shared" si="13"/>
        <v>20</v>
      </c>
      <c r="Q29" s="410">
        <f t="shared" si="13"/>
        <v>20</v>
      </c>
      <c r="R29" s="411">
        <f>AVERAGE(F29:Q29)</f>
        <v>20</v>
      </c>
    </row>
    <row r="30" spans="1:21" ht="16.5" customHeight="1">
      <c r="A30" s="406"/>
      <c r="B30" s="406" t="s">
        <v>801</v>
      </c>
      <c r="C30" s="405" t="e">
        <f>SUM(#REF!)/'1-1.Assumption'!$F$29</f>
        <v>#REF!</v>
      </c>
      <c r="D30" s="456"/>
      <c r="E30" s="456"/>
      <c r="F30" s="523">
        <f>F42-F52</f>
        <v>92</v>
      </c>
      <c r="G30" s="524">
        <f>G42-F52-G52</f>
        <v>88</v>
      </c>
      <c r="H30" s="525">
        <f>H42-F52-G52-H52</f>
        <v>92</v>
      </c>
      <c r="I30" s="831">
        <f>I42-G52-H52-I52-F52</f>
        <v>96</v>
      </c>
      <c r="J30" s="524">
        <f>J42-H52-I52-J52-G52-F52</f>
        <v>96</v>
      </c>
      <c r="K30" s="525">
        <f>K42-I52-J52-K52-H52-G52-F52</f>
        <v>98</v>
      </c>
      <c r="L30" s="408">
        <f>L42-J52-K52-L52-I52-H52-G52-F52</f>
        <v>96</v>
      </c>
      <c r="M30" s="409">
        <f>M42-K52-L52-M52-J52-I52-H52-G52-F52</f>
        <v>96</v>
      </c>
      <c r="N30" s="410">
        <f>N42-L52-M52-N52-K52-J52-I52-H52-G52-F52</f>
        <v>94</v>
      </c>
      <c r="O30" s="408">
        <f>O42-M52-N52-O52-L52-K52-J52-I52-H52-G52-F52</f>
        <v>90</v>
      </c>
      <c r="P30" s="409">
        <f>P42-N52-O52-P52-M52-L52-K52-J52-I52-H52-G52-F52</f>
        <v>86</v>
      </c>
      <c r="Q30" s="410">
        <f>Q42-O52-P52-Q52-N52-M52-L52-K52-J52-I52-H52-G52-F52</f>
        <v>84</v>
      </c>
      <c r="R30" s="411">
        <f>AVERAGE(F30:Q30)</f>
        <v>92.333333333333329</v>
      </c>
    </row>
    <row r="31" spans="1:21" ht="16.5" customHeight="1">
      <c r="A31" s="406"/>
      <c r="B31" s="406" t="s">
        <v>800</v>
      </c>
      <c r="C31" s="405" t="e">
        <f>SUM(#REF!)/'1-1.Assumption'!$F$29</f>
        <v>#REF!</v>
      </c>
      <c r="D31" s="456"/>
      <c r="E31" s="456"/>
      <c r="F31" s="523">
        <f>F43-F53</f>
        <v>218</v>
      </c>
      <c r="G31" s="524">
        <f>G43-F53-G53</f>
        <v>189</v>
      </c>
      <c r="H31" s="525">
        <f>H43-F53-G53-H53</f>
        <v>199</v>
      </c>
      <c r="I31" s="831">
        <f>I43-G53-H53-I53-F53</f>
        <v>211</v>
      </c>
      <c r="J31" s="524">
        <f>J43-H53-I53-J53-G53-F53</f>
        <v>207</v>
      </c>
      <c r="K31" s="525">
        <f>K43-I53-J53-K53-H53-G53-F53</f>
        <v>207</v>
      </c>
      <c r="L31" s="408">
        <f>L43-J53-K53-L53-I53-H53-G53-F53</f>
        <v>205</v>
      </c>
      <c r="M31" s="409">
        <f>M43-K53-L53-M53-J53-I53-H53-G53-F53</f>
        <v>204</v>
      </c>
      <c r="N31" s="410">
        <f>N43-L53-M53-N53-K53-J53-I53-H53-G53-F53</f>
        <v>201</v>
      </c>
      <c r="O31" s="408">
        <f>O43-M53-N53-O53-L53-K53-J53-I53-H53-G53-F53</f>
        <v>178</v>
      </c>
      <c r="P31" s="409">
        <f>P43-N53-O53-P53-M53-L53-K53-J53-I53-H53-G53-F53</f>
        <v>145</v>
      </c>
      <c r="Q31" s="410">
        <f>Q43-O53-P53-Q53-N53-M53-L53-K53-J53-I53-H53-G53-F53</f>
        <v>108</v>
      </c>
      <c r="R31" s="411">
        <f>AVERAGE(F31:Q31)</f>
        <v>189.33333333333334</v>
      </c>
    </row>
    <row r="32" spans="1:21" ht="16.5" customHeight="1">
      <c r="A32" s="406"/>
      <c r="B32" s="406" t="s">
        <v>799</v>
      </c>
      <c r="C32" s="405" t="e">
        <f>SUM(#REF!)/'1-1.Assumption'!$F$29</f>
        <v>#REF!</v>
      </c>
      <c r="D32" s="456"/>
      <c r="E32" s="456"/>
      <c r="F32" s="523">
        <f>F44-F54</f>
        <v>220</v>
      </c>
      <c r="G32" s="524">
        <f>G44-F54-G54</f>
        <v>279</v>
      </c>
      <c r="H32" s="525">
        <f>H44-F54-G54-H54</f>
        <v>304</v>
      </c>
      <c r="I32" s="831">
        <f>I44-G54-H54-I54-F54</f>
        <v>330</v>
      </c>
      <c r="J32" s="524">
        <f>J44-H54-I54-J54-G54-F54</f>
        <v>326</v>
      </c>
      <c r="K32" s="525">
        <f>K44-I54-J54-K54-H54-G54-F54</f>
        <v>328</v>
      </c>
      <c r="L32" s="408">
        <f>L44-J54-K54-L54-I54-H54-G54-F54</f>
        <v>324</v>
      </c>
      <c r="M32" s="409">
        <f>M44-K54-L54-M54-J54-I54-H54-G54-F54</f>
        <v>327</v>
      </c>
      <c r="N32" s="410">
        <f>N44-L54-M54-N54-K54-J54-I54-H54-G54-F54</f>
        <v>313</v>
      </c>
      <c r="O32" s="408">
        <f>O44-M54-N54-O54-L54-K54-J54-I54-H54-G54-F54</f>
        <v>309</v>
      </c>
      <c r="P32" s="409">
        <f>P44-N54-O54-P54-M54-L54-K54-J54-I54-H54-G54-F54</f>
        <v>292</v>
      </c>
      <c r="Q32" s="410">
        <f>Q44-O54-P54-Q54-N54-M54-L54-K54-J54-I54-H54-G54-F54</f>
        <v>267</v>
      </c>
      <c r="R32" s="411">
        <f>AVERAGE(F32:Q32)</f>
        <v>301.58333333333331</v>
      </c>
    </row>
    <row r="33" spans="1:22" ht="16.5" customHeight="1">
      <c r="A33" s="458"/>
      <c r="B33" s="458" t="s">
        <v>93</v>
      </c>
      <c r="C33" s="405" t="e">
        <f>SUM(#REF!)/'1-1.Assumption'!$F$29</f>
        <v>#REF!</v>
      </c>
      <c r="D33" s="456"/>
      <c r="E33" s="459"/>
      <c r="F33" s="523">
        <f>F45-F55</f>
        <v>55</v>
      </c>
      <c r="G33" s="524">
        <f>G45-F55-G55</f>
        <v>57</v>
      </c>
      <c r="H33" s="525">
        <f>H45-F55-G55-H55</f>
        <v>65</v>
      </c>
      <c r="I33" s="831">
        <f>I45-G55-H55-I55-F55</f>
        <v>67</v>
      </c>
      <c r="J33" s="524">
        <f>J45-H55-I55-J55-G55-F55</f>
        <v>66</v>
      </c>
      <c r="K33" s="525">
        <f>K45-I55-J55-K55-H55-G55-F55</f>
        <v>55</v>
      </c>
      <c r="L33" s="408">
        <f>L45-J55-K55-L55-I55-H55-G55-F55</f>
        <v>45</v>
      </c>
      <c r="M33" s="409">
        <f>M45-K55-L55-M55-J55-I55-H55-G55-F55</f>
        <v>36</v>
      </c>
      <c r="N33" s="410">
        <f>N45-L55-M55-N55-K55-J55-I55-H55-G55-F55</f>
        <v>35</v>
      </c>
      <c r="O33" s="408">
        <f>O45-M55-N55-O55-L55-K55-J55-I55-H55-G55-F55</f>
        <v>36</v>
      </c>
      <c r="P33" s="409">
        <f>P45-N55-O55-P55-M55-L55-K55-J55-I55-H55-G55-F55</f>
        <v>35</v>
      </c>
      <c r="Q33" s="410">
        <f>Q45-O55-P55-Q55-N55-M55-L55-K55-J55-I55-H55-G55-F55</f>
        <v>31</v>
      </c>
      <c r="R33" s="411">
        <f>AVERAGE(F33:Q33)</f>
        <v>48.583333333333336</v>
      </c>
    </row>
    <row r="34" spans="1:22" ht="16.5" customHeight="1" thickBot="1">
      <c r="A34" s="463"/>
      <c r="B34" s="463" t="s">
        <v>354</v>
      </c>
      <c r="C34" s="464"/>
      <c r="D34" s="464"/>
      <c r="E34" s="465"/>
      <c r="F34" s="1157">
        <f t="shared" ref="F34:R34" si="14">SUM(F29:F33)</f>
        <v>605</v>
      </c>
      <c r="G34" s="1158">
        <f t="shared" si="14"/>
        <v>633</v>
      </c>
      <c r="H34" s="1159">
        <f t="shared" si="14"/>
        <v>680</v>
      </c>
      <c r="I34" s="1157">
        <f t="shared" si="14"/>
        <v>724</v>
      </c>
      <c r="J34" s="1158">
        <f t="shared" si="14"/>
        <v>715</v>
      </c>
      <c r="K34" s="1159">
        <f t="shared" si="14"/>
        <v>708</v>
      </c>
      <c r="L34" s="1160">
        <f t="shared" si="14"/>
        <v>690</v>
      </c>
      <c r="M34" s="1161">
        <f t="shared" si="14"/>
        <v>683</v>
      </c>
      <c r="N34" s="1162">
        <f t="shared" si="14"/>
        <v>663</v>
      </c>
      <c r="O34" s="1160">
        <f t="shared" si="14"/>
        <v>633</v>
      </c>
      <c r="P34" s="1161">
        <f t="shared" si="14"/>
        <v>578</v>
      </c>
      <c r="Q34" s="1162">
        <f t="shared" si="14"/>
        <v>510</v>
      </c>
      <c r="R34" s="435">
        <f t="shared" si="14"/>
        <v>651.83333333333337</v>
      </c>
    </row>
    <row r="35" spans="1:22" ht="16.5" customHeight="1" thickBot="1">
      <c r="A35" s="603"/>
      <c r="B35" s="604"/>
      <c r="C35" s="603"/>
      <c r="D35" s="603"/>
      <c r="E35" s="605"/>
      <c r="F35" s="606"/>
      <c r="G35" s="606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8"/>
      <c r="S35" s="447"/>
    </row>
    <row r="36" spans="1:22" s="229" customFormat="1" ht="24" customHeight="1" thickBot="1">
      <c r="A36" s="5317" t="s">
        <v>482</v>
      </c>
      <c r="B36" s="5318"/>
      <c r="C36" s="5318"/>
      <c r="D36" s="5318"/>
      <c r="E36" s="448"/>
      <c r="F36" s="828">
        <f t="shared" ref="F36:Q36" si="15">F13+F25+F34</f>
        <v>855</v>
      </c>
      <c r="G36" s="829">
        <f t="shared" si="15"/>
        <v>879</v>
      </c>
      <c r="H36" s="830">
        <f t="shared" si="15"/>
        <v>922</v>
      </c>
      <c r="I36" s="828">
        <f t="shared" si="15"/>
        <v>962</v>
      </c>
      <c r="J36" s="829">
        <f t="shared" si="15"/>
        <v>949</v>
      </c>
      <c r="K36" s="830">
        <f t="shared" si="15"/>
        <v>938</v>
      </c>
      <c r="L36" s="828">
        <f t="shared" si="15"/>
        <v>911</v>
      </c>
      <c r="M36" s="829">
        <f t="shared" si="15"/>
        <v>900</v>
      </c>
      <c r="N36" s="830">
        <f t="shared" si="15"/>
        <v>876</v>
      </c>
      <c r="O36" s="828">
        <f t="shared" si="15"/>
        <v>842</v>
      </c>
      <c r="P36" s="829">
        <f t="shared" si="15"/>
        <v>783</v>
      </c>
      <c r="Q36" s="1185">
        <f t="shared" si="15"/>
        <v>711</v>
      </c>
      <c r="R36" s="449">
        <f>AVERAGE(F36:Q36)</f>
        <v>877.33333333333337</v>
      </c>
      <c r="S36" s="403"/>
      <c r="T36" s="230"/>
      <c r="U36" s="230"/>
      <c r="V36" s="105"/>
    </row>
    <row r="37" spans="1:22" s="229" customFormat="1" ht="16.5" customHeight="1">
      <c r="A37" s="450"/>
      <c r="B37" s="451"/>
      <c r="C37" s="450"/>
      <c r="D37" s="450"/>
      <c r="E37" s="452"/>
      <c r="F37" s="590"/>
      <c r="G37" s="590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453"/>
      <c r="S37" s="403"/>
      <c r="T37" s="230"/>
      <c r="U37" s="230"/>
    </row>
    <row r="38" spans="1:22" ht="16.5" customHeight="1" thickBot="1">
      <c r="A38" s="1234" t="s">
        <v>828</v>
      </c>
      <c r="B38" s="224"/>
      <c r="C38" s="454"/>
      <c r="D38" s="454"/>
      <c r="E38" s="229"/>
      <c r="F38" s="235"/>
      <c r="G38" s="235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08" t="s">
        <v>351</v>
      </c>
      <c r="S38" s="403"/>
    </row>
    <row r="39" spans="1:22" ht="19.5" customHeight="1" thickBot="1">
      <c r="A39" s="391" t="s">
        <v>112</v>
      </c>
      <c r="B39" s="391" t="s">
        <v>124</v>
      </c>
      <c r="C39" s="455" t="s">
        <v>309</v>
      </c>
      <c r="D39" s="315"/>
      <c r="E39" s="391"/>
      <c r="F39" s="393" t="s">
        <v>430</v>
      </c>
      <c r="G39" s="315" t="s">
        <v>557</v>
      </c>
      <c r="H39" s="316" t="s">
        <v>558</v>
      </c>
      <c r="I39" s="393" t="s">
        <v>431</v>
      </c>
      <c r="J39" s="315" t="s">
        <v>559</v>
      </c>
      <c r="K39" s="316" t="s">
        <v>560</v>
      </c>
      <c r="L39" s="393" t="s">
        <v>561</v>
      </c>
      <c r="M39" s="315" t="s">
        <v>562</v>
      </c>
      <c r="N39" s="316" t="s">
        <v>563</v>
      </c>
      <c r="O39" s="393" t="s">
        <v>564</v>
      </c>
      <c r="P39" s="315" t="s">
        <v>565</v>
      </c>
      <c r="Q39" s="316" t="s">
        <v>566</v>
      </c>
      <c r="R39" s="394" t="s">
        <v>433</v>
      </c>
      <c r="S39" s="403"/>
    </row>
    <row r="40" spans="1:22" ht="16.5" customHeight="1">
      <c r="A40" s="1169" t="s">
        <v>837</v>
      </c>
      <c r="B40" s="1169" t="s">
        <v>308</v>
      </c>
      <c r="C40" s="794"/>
      <c r="D40" s="1168"/>
      <c r="E40" s="1167"/>
      <c r="F40" s="1177">
        <v>155</v>
      </c>
      <c r="G40" s="1178" t="e">
        <f>#REF!</f>
        <v>#REF!</v>
      </c>
      <c r="H40" s="1179" t="e">
        <f>#REF!</f>
        <v>#REF!</v>
      </c>
      <c r="I40" s="1180" t="e">
        <f>#REF!</f>
        <v>#REF!</v>
      </c>
      <c r="J40" s="1178" t="e">
        <f>#REF!</f>
        <v>#REF!</v>
      </c>
      <c r="K40" s="1179" t="e">
        <f>#REF!</f>
        <v>#REF!</v>
      </c>
      <c r="L40" s="1177" t="e">
        <f>#REF!</f>
        <v>#REF!</v>
      </c>
      <c r="M40" s="1178" t="e">
        <f>#REF!</f>
        <v>#REF!</v>
      </c>
      <c r="N40" s="1179" t="e">
        <f>#REF!</f>
        <v>#REF!</v>
      </c>
      <c r="O40" s="1177" t="e">
        <f>#REF!</f>
        <v>#REF!</v>
      </c>
      <c r="P40" s="1178" t="e">
        <f>#REF!</f>
        <v>#REF!</v>
      </c>
      <c r="Q40" s="1179" t="e">
        <f>#REF!</f>
        <v>#REF!</v>
      </c>
      <c r="R40" s="1170" t="e">
        <f t="shared" ref="R40:R45" si="16">AVERAGE(F40:Q40)</f>
        <v>#REF!</v>
      </c>
    </row>
    <row r="41" spans="1:22" ht="19.5" customHeight="1">
      <c r="A41" s="406" t="s">
        <v>838</v>
      </c>
      <c r="B41" s="406" t="s">
        <v>812</v>
      </c>
      <c r="C41" s="405" t="e">
        <f>C29</f>
        <v>#REF!</v>
      </c>
      <c r="D41" s="1152"/>
      <c r="E41" s="1151"/>
      <c r="F41" s="523">
        <v>20</v>
      </c>
      <c r="G41" s="524">
        <f t="shared" ref="G41:Q41" si="17">F29</f>
        <v>20</v>
      </c>
      <c r="H41" s="525">
        <f t="shared" si="17"/>
        <v>20</v>
      </c>
      <c r="I41" s="831">
        <f t="shared" si="17"/>
        <v>20</v>
      </c>
      <c r="J41" s="524">
        <f t="shared" si="17"/>
        <v>20</v>
      </c>
      <c r="K41" s="525">
        <f t="shared" si="17"/>
        <v>20</v>
      </c>
      <c r="L41" s="408">
        <f t="shared" si="17"/>
        <v>20</v>
      </c>
      <c r="M41" s="409">
        <f t="shared" si="17"/>
        <v>20</v>
      </c>
      <c r="N41" s="410">
        <f t="shared" si="17"/>
        <v>20</v>
      </c>
      <c r="O41" s="408">
        <f t="shared" si="17"/>
        <v>20</v>
      </c>
      <c r="P41" s="409">
        <f t="shared" si="17"/>
        <v>20</v>
      </c>
      <c r="Q41" s="410">
        <f t="shared" si="17"/>
        <v>20</v>
      </c>
      <c r="R41" s="411">
        <f t="shared" si="16"/>
        <v>20</v>
      </c>
      <c r="S41" s="403"/>
    </row>
    <row r="42" spans="1:22" ht="16.5" customHeight="1">
      <c r="A42" s="406"/>
      <c r="B42" s="406" t="s">
        <v>801</v>
      </c>
      <c r="C42" s="405" t="e">
        <f>C30</f>
        <v>#REF!</v>
      </c>
      <c r="D42" s="456"/>
      <c r="E42" s="456"/>
      <c r="F42" s="523">
        <v>92</v>
      </c>
      <c r="G42" s="524">
        <v>88</v>
      </c>
      <c r="H42" s="525">
        <v>92</v>
      </c>
      <c r="I42" s="831">
        <v>96</v>
      </c>
      <c r="J42" s="524">
        <v>96</v>
      </c>
      <c r="K42" s="525">
        <v>98</v>
      </c>
      <c r="L42" s="408">
        <v>96</v>
      </c>
      <c r="M42" s="409">
        <v>98</v>
      </c>
      <c r="N42" s="410">
        <v>98</v>
      </c>
      <c r="O42" s="408">
        <v>96</v>
      </c>
      <c r="P42" s="409">
        <v>94</v>
      </c>
      <c r="Q42" s="410">
        <v>94</v>
      </c>
      <c r="R42" s="411">
        <f t="shared" si="16"/>
        <v>94.833333333333329</v>
      </c>
      <c r="S42" s="447"/>
      <c r="T42" s="457"/>
    </row>
    <row r="43" spans="1:22" ht="16.5" customHeight="1">
      <c r="A43" s="406"/>
      <c r="B43" s="406" t="s">
        <v>800</v>
      </c>
      <c r="C43" s="405" t="e">
        <f>C31</f>
        <v>#REF!</v>
      </c>
      <c r="D43" s="456"/>
      <c r="E43" s="456"/>
      <c r="F43" s="523">
        <v>260</v>
      </c>
      <c r="G43" s="524">
        <v>276</v>
      </c>
      <c r="H43" s="525">
        <v>288</v>
      </c>
      <c r="I43" s="831">
        <v>302</v>
      </c>
      <c r="J43" s="524">
        <v>300</v>
      </c>
      <c r="K43" s="525">
        <v>302</v>
      </c>
      <c r="L43" s="408">
        <v>302</v>
      </c>
      <c r="M43" s="409">
        <v>303</v>
      </c>
      <c r="N43" s="410">
        <v>302</v>
      </c>
      <c r="O43" s="408">
        <v>304</v>
      </c>
      <c r="P43" s="409">
        <v>301</v>
      </c>
      <c r="Q43" s="410">
        <v>294</v>
      </c>
      <c r="R43" s="411">
        <f t="shared" si="16"/>
        <v>294.5</v>
      </c>
      <c r="S43" s="447"/>
    </row>
    <row r="44" spans="1:22" ht="16.5" customHeight="1">
      <c r="A44" s="406"/>
      <c r="B44" s="406" t="s">
        <v>799</v>
      </c>
      <c r="C44" s="405" t="e">
        <f>C32</f>
        <v>#REF!</v>
      </c>
      <c r="D44" s="456"/>
      <c r="E44" s="456"/>
      <c r="F44" s="523">
        <v>276</v>
      </c>
      <c r="G44" s="524">
        <v>370</v>
      </c>
      <c r="H44" s="525">
        <v>397</v>
      </c>
      <c r="I44" s="831">
        <v>425</v>
      </c>
      <c r="J44" s="524">
        <v>423</v>
      </c>
      <c r="K44" s="525">
        <v>427</v>
      </c>
      <c r="L44" s="408">
        <v>425</v>
      </c>
      <c r="M44" s="409">
        <v>430</v>
      </c>
      <c r="N44" s="410">
        <v>426</v>
      </c>
      <c r="O44" s="408">
        <v>432</v>
      </c>
      <c r="P44" s="409">
        <v>425</v>
      </c>
      <c r="Q44" s="410">
        <v>410</v>
      </c>
      <c r="R44" s="411">
        <f t="shared" si="16"/>
        <v>405.5</v>
      </c>
      <c r="S44" s="447"/>
    </row>
    <row r="45" spans="1:22" ht="16.5" customHeight="1">
      <c r="A45" s="458"/>
      <c r="B45" s="458" t="s">
        <v>93</v>
      </c>
      <c r="C45" s="405" t="e">
        <f>C33</f>
        <v>#REF!</v>
      </c>
      <c r="D45" s="456"/>
      <c r="E45" s="459"/>
      <c r="F45" s="460">
        <v>78</v>
      </c>
      <c r="G45" s="461">
        <v>80</v>
      </c>
      <c r="H45" s="462">
        <v>88</v>
      </c>
      <c r="I45" s="460">
        <v>96</v>
      </c>
      <c r="J45" s="461">
        <v>95</v>
      </c>
      <c r="K45" s="462">
        <v>96</v>
      </c>
      <c r="L45" s="460">
        <v>96</v>
      </c>
      <c r="M45" s="461">
        <v>97</v>
      </c>
      <c r="N45" s="462">
        <v>96</v>
      </c>
      <c r="O45" s="460">
        <v>97</v>
      </c>
      <c r="P45" s="461">
        <v>96</v>
      </c>
      <c r="Q45" s="462">
        <v>92</v>
      </c>
      <c r="R45" s="411">
        <f t="shared" si="16"/>
        <v>92.25</v>
      </c>
      <c r="S45" s="447"/>
    </row>
    <row r="46" spans="1:22" ht="16.5" customHeight="1" thickBot="1">
      <c r="A46" s="463"/>
      <c r="B46" s="463" t="s">
        <v>354</v>
      </c>
      <c r="C46" s="464"/>
      <c r="D46" s="464"/>
      <c r="E46" s="465"/>
      <c r="F46" s="832">
        <f t="shared" ref="F46:Q46" si="18">SUM(F41:F45)</f>
        <v>726</v>
      </c>
      <c r="G46" s="833">
        <f t="shared" si="18"/>
        <v>834</v>
      </c>
      <c r="H46" s="834">
        <f t="shared" si="18"/>
        <v>885</v>
      </c>
      <c r="I46" s="832">
        <f t="shared" si="18"/>
        <v>939</v>
      </c>
      <c r="J46" s="833">
        <f t="shared" si="18"/>
        <v>934</v>
      </c>
      <c r="K46" s="834">
        <f t="shared" si="18"/>
        <v>943</v>
      </c>
      <c r="L46" s="466">
        <f t="shared" si="18"/>
        <v>939</v>
      </c>
      <c r="M46" s="467">
        <f t="shared" si="18"/>
        <v>948</v>
      </c>
      <c r="N46" s="468">
        <f t="shared" si="18"/>
        <v>942</v>
      </c>
      <c r="O46" s="466">
        <f t="shared" si="18"/>
        <v>949</v>
      </c>
      <c r="P46" s="467">
        <f t="shared" si="18"/>
        <v>936</v>
      </c>
      <c r="Q46" s="468">
        <f t="shared" si="18"/>
        <v>910</v>
      </c>
      <c r="R46" s="435">
        <f>SUM(R42:R45)</f>
        <v>887.08333333333326</v>
      </c>
      <c r="S46" s="447"/>
    </row>
    <row r="47" spans="1:22" ht="16.5" customHeight="1">
      <c r="A47" s="1235"/>
      <c r="B47" s="389"/>
      <c r="C47" s="470">
        <v>0.03</v>
      </c>
      <c r="D47" s="470"/>
      <c r="E47" s="515"/>
      <c r="F47" s="1156" t="e">
        <f>'2. S Plan'!#REF!/F46</f>
        <v>#REF!</v>
      </c>
      <c r="G47" s="1156" t="e">
        <f>'2. S Plan'!#REF!/G46</f>
        <v>#REF!</v>
      </c>
      <c r="H47" s="1156" t="e">
        <f>'2. S Plan'!#REF!/H46</f>
        <v>#REF!</v>
      </c>
      <c r="I47" s="1156" t="e">
        <f>'2. S Plan'!#REF!/I46</f>
        <v>#REF!</v>
      </c>
      <c r="J47" s="1156" t="e">
        <f>'2. S Plan'!#REF!/J46</f>
        <v>#REF!</v>
      </c>
      <c r="K47" s="1156" t="e">
        <f>'2. S Plan'!#REF!/K46</f>
        <v>#REF!</v>
      </c>
      <c r="L47" s="1156" t="e">
        <f>'2. S Plan'!#REF!/L46</f>
        <v>#REF!</v>
      </c>
      <c r="M47" s="1156" t="e">
        <f>'2. S Plan'!#REF!/M46</f>
        <v>#REF!</v>
      </c>
      <c r="N47" s="1156" t="e">
        <f>'2. S Plan'!#REF!/N46</f>
        <v>#REF!</v>
      </c>
      <c r="O47" s="1156" t="e">
        <f>'2. S Plan'!#REF!/O46</f>
        <v>#REF!</v>
      </c>
      <c r="P47" s="1156" t="e">
        <f>'2. S Plan'!#REF!/P46</f>
        <v>#REF!</v>
      </c>
      <c r="Q47" s="1156" t="e">
        <f>'2. S Plan'!#REF!/Q46</f>
        <v>#REF!</v>
      </c>
      <c r="R47" s="471"/>
    </row>
    <row r="48" spans="1:22" ht="16.5" customHeight="1" thickBot="1">
      <c r="A48" s="1234" t="s">
        <v>830</v>
      </c>
      <c r="B48" s="224"/>
      <c r="C48" s="454"/>
      <c r="D48" s="470"/>
      <c r="E48" s="515"/>
      <c r="F48" s="1156"/>
      <c r="G48" s="1156"/>
      <c r="H48" s="1156"/>
      <c r="I48" s="1156"/>
      <c r="J48" s="1156"/>
      <c r="K48" s="1156"/>
      <c r="L48" s="1156"/>
      <c r="M48" s="1156"/>
      <c r="N48" s="1156"/>
      <c r="O48" s="1156"/>
      <c r="P48" s="1156"/>
      <c r="Q48" s="1156"/>
      <c r="R48" s="471"/>
    </row>
    <row r="49" spans="1:19" ht="16.5" customHeight="1" thickBot="1">
      <c r="A49" s="391" t="s">
        <v>112</v>
      </c>
      <c r="B49" s="391" t="s">
        <v>124</v>
      </c>
      <c r="C49" s="455" t="s">
        <v>309</v>
      </c>
      <c r="D49" s="315"/>
      <c r="E49" s="391"/>
      <c r="F49" s="393" t="s">
        <v>430</v>
      </c>
      <c r="G49" s="315" t="s">
        <v>557</v>
      </c>
      <c r="H49" s="316" t="s">
        <v>558</v>
      </c>
      <c r="I49" s="393" t="s">
        <v>431</v>
      </c>
      <c r="J49" s="315" t="s">
        <v>559</v>
      </c>
      <c r="K49" s="316" t="s">
        <v>560</v>
      </c>
      <c r="L49" s="393" t="s">
        <v>561</v>
      </c>
      <c r="M49" s="315" t="s">
        <v>562</v>
      </c>
      <c r="N49" s="316" t="s">
        <v>563</v>
      </c>
      <c r="O49" s="393" t="s">
        <v>564</v>
      </c>
      <c r="P49" s="315" t="s">
        <v>565</v>
      </c>
      <c r="Q49" s="316" t="s">
        <v>566</v>
      </c>
      <c r="R49" s="394" t="s">
        <v>15</v>
      </c>
    </row>
    <row r="50" spans="1:19" ht="16.5" customHeight="1">
      <c r="A50" s="1169" t="s">
        <v>837</v>
      </c>
      <c r="B50" s="1169" t="s">
        <v>308</v>
      </c>
      <c r="C50" s="794"/>
      <c r="D50" s="1168"/>
      <c r="E50" s="1167"/>
      <c r="F50" s="1181">
        <v>4</v>
      </c>
      <c r="G50" s="1182">
        <f>F50</f>
        <v>4</v>
      </c>
      <c r="H50" s="1183">
        <f>G50</f>
        <v>4</v>
      </c>
      <c r="I50" s="1184">
        <f>H50</f>
        <v>4</v>
      </c>
      <c r="J50" s="1182">
        <f>I50</f>
        <v>4</v>
      </c>
      <c r="K50" s="1183">
        <f>J50</f>
        <v>4</v>
      </c>
      <c r="L50" s="1181">
        <v>4</v>
      </c>
      <c r="M50" s="1182">
        <v>4</v>
      </c>
      <c r="N50" s="1183">
        <f>M50</f>
        <v>4</v>
      </c>
      <c r="O50" s="1181">
        <f>N50</f>
        <v>4</v>
      </c>
      <c r="P50" s="1182">
        <f>O50</f>
        <v>4</v>
      </c>
      <c r="Q50" s="1183">
        <f>P50</f>
        <v>4</v>
      </c>
      <c r="R50" s="1170">
        <f t="shared" ref="R50:R55" si="19">SUM(F50:Q50)</f>
        <v>48</v>
      </c>
    </row>
    <row r="51" spans="1:19" ht="16.5" customHeight="1">
      <c r="A51" s="406" t="s">
        <v>838</v>
      </c>
      <c r="B51" s="406" t="s">
        <v>812</v>
      </c>
      <c r="C51" s="405" t="e">
        <f>C41</f>
        <v>#REF!</v>
      </c>
      <c r="D51" s="1152"/>
      <c r="E51" s="1151"/>
      <c r="F51" s="1171">
        <v>0</v>
      </c>
      <c r="G51" s="1172">
        <v>0</v>
      </c>
      <c r="H51" s="1173">
        <v>0</v>
      </c>
      <c r="I51" s="1174">
        <v>0</v>
      </c>
      <c r="J51" s="1172">
        <v>0</v>
      </c>
      <c r="K51" s="1173">
        <v>0</v>
      </c>
      <c r="L51" s="1164">
        <v>0</v>
      </c>
      <c r="M51" s="1165">
        <v>0</v>
      </c>
      <c r="N51" s="1163">
        <v>0</v>
      </c>
      <c r="O51" s="1164">
        <v>0</v>
      </c>
      <c r="P51" s="1165">
        <v>0</v>
      </c>
      <c r="Q51" s="1163">
        <v>0</v>
      </c>
      <c r="R51" s="411">
        <f t="shared" si="19"/>
        <v>0</v>
      </c>
    </row>
    <row r="52" spans="1:19" ht="16.5" customHeight="1">
      <c r="A52" s="406"/>
      <c r="B52" s="406" t="s">
        <v>801</v>
      </c>
      <c r="C52" s="405" t="e">
        <f>C42</f>
        <v>#REF!</v>
      </c>
      <c r="D52" s="456"/>
      <c r="E52" s="456"/>
      <c r="F52" s="1171">
        <v>0</v>
      </c>
      <c r="G52" s="1172">
        <v>0</v>
      </c>
      <c r="H52" s="1173">
        <v>0</v>
      </c>
      <c r="I52" s="1174">
        <v>0</v>
      </c>
      <c r="J52" s="1172">
        <v>0</v>
      </c>
      <c r="K52" s="1173">
        <v>0</v>
      </c>
      <c r="L52" s="1164">
        <v>0</v>
      </c>
      <c r="M52" s="1165">
        <v>2</v>
      </c>
      <c r="N52" s="1163">
        <v>2</v>
      </c>
      <c r="O52" s="1164">
        <v>2</v>
      </c>
      <c r="P52" s="1165">
        <v>2</v>
      </c>
      <c r="Q52" s="1163">
        <v>2</v>
      </c>
      <c r="R52" s="411">
        <f t="shared" si="19"/>
        <v>10</v>
      </c>
    </row>
    <row r="53" spans="1:19" ht="16.5" customHeight="1">
      <c r="A53" s="406"/>
      <c r="B53" s="406" t="s">
        <v>800</v>
      </c>
      <c r="C53" s="405" t="e">
        <f>C43</f>
        <v>#REF!</v>
      </c>
      <c r="D53" s="456"/>
      <c r="E53" s="456"/>
      <c r="F53" s="1171">
        <v>42</v>
      </c>
      <c r="G53" s="1172">
        <v>45</v>
      </c>
      <c r="H53" s="1173">
        <v>2</v>
      </c>
      <c r="I53" s="1174">
        <v>2</v>
      </c>
      <c r="J53" s="1172">
        <v>2</v>
      </c>
      <c r="K53" s="1173">
        <v>2</v>
      </c>
      <c r="L53" s="1164">
        <v>2</v>
      </c>
      <c r="M53" s="1165">
        <v>2</v>
      </c>
      <c r="N53" s="1163">
        <v>2</v>
      </c>
      <c r="O53" s="1164">
        <v>25</v>
      </c>
      <c r="P53" s="1165">
        <v>30</v>
      </c>
      <c r="Q53" s="1163">
        <v>30</v>
      </c>
      <c r="R53" s="411">
        <f t="shared" si="19"/>
        <v>186</v>
      </c>
    </row>
    <row r="54" spans="1:19" ht="16.5" customHeight="1">
      <c r="A54" s="406"/>
      <c r="B54" s="406" t="s">
        <v>799</v>
      </c>
      <c r="C54" s="405" t="e">
        <f>C44</f>
        <v>#REF!</v>
      </c>
      <c r="D54" s="456"/>
      <c r="E54" s="456"/>
      <c r="F54" s="1171">
        <v>56</v>
      </c>
      <c r="G54" s="1172">
        <v>35</v>
      </c>
      <c r="H54" s="1173">
        <v>2</v>
      </c>
      <c r="I54" s="1174">
        <v>2</v>
      </c>
      <c r="J54" s="1172">
        <v>2</v>
      </c>
      <c r="K54" s="1173">
        <v>2</v>
      </c>
      <c r="L54" s="1164">
        <v>2</v>
      </c>
      <c r="M54" s="1165">
        <v>2</v>
      </c>
      <c r="N54" s="1163">
        <v>10</v>
      </c>
      <c r="O54" s="1164">
        <v>10</v>
      </c>
      <c r="P54" s="1165">
        <v>10</v>
      </c>
      <c r="Q54" s="1163">
        <v>10</v>
      </c>
      <c r="R54" s="411">
        <f t="shared" si="19"/>
        <v>143</v>
      </c>
    </row>
    <row r="55" spans="1:19" ht="16.5" customHeight="1">
      <c r="A55" s="458"/>
      <c r="B55" s="458" t="s">
        <v>93</v>
      </c>
      <c r="C55" s="405" t="e">
        <f>C45</f>
        <v>#REF!</v>
      </c>
      <c r="D55" s="456"/>
      <c r="E55" s="459"/>
      <c r="F55" s="1175">
        <v>23</v>
      </c>
      <c r="G55" s="1176">
        <v>0</v>
      </c>
      <c r="H55" s="1166"/>
      <c r="I55" s="1175">
        <v>6</v>
      </c>
      <c r="J55" s="1176"/>
      <c r="K55" s="1166">
        <v>12</v>
      </c>
      <c r="L55" s="1175">
        <v>10</v>
      </c>
      <c r="M55" s="1176">
        <v>10</v>
      </c>
      <c r="N55" s="1166"/>
      <c r="O55" s="1175"/>
      <c r="P55" s="1176"/>
      <c r="Q55" s="1166"/>
      <c r="R55" s="411">
        <f t="shared" si="19"/>
        <v>61</v>
      </c>
    </row>
    <row r="56" spans="1:19" ht="16.5" customHeight="1" thickBot="1">
      <c r="A56" s="463"/>
      <c r="B56" s="463" t="s">
        <v>354</v>
      </c>
      <c r="C56" s="464"/>
      <c r="D56" s="464"/>
      <c r="E56" s="465"/>
      <c r="F56" s="832">
        <f t="shared" ref="F56:R56" si="20">SUM(F50:F55)</f>
        <v>125</v>
      </c>
      <c r="G56" s="833">
        <f t="shared" si="20"/>
        <v>84</v>
      </c>
      <c r="H56" s="834">
        <f t="shared" si="20"/>
        <v>8</v>
      </c>
      <c r="I56" s="832">
        <f t="shared" si="20"/>
        <v>14</v>
      </c>
      <c r="J56" s="833">
        <f t="shared" si="20"/>
        <v>8</v>
      </c>
      <c r="K56" s="834">
        <f t="shared" si="20"/>
        <v>20</v>
      </c>
      <c r="L56" s="466">
        <f t="shared" si="20"/>
        <v>18</v>
      </c>
      <c r="M56" s="467">
        <f t="shared" si="20"/>
        <v>20</v>
      </c>
      <c r="N56" s="468">
        <f t="shared" si="20"/>
        <v>18</v>
      </c>
      <c r="O56" s="466">
        <f t="shared" si="20"/>
        <v>41</v>
      </c>
      <c r="P56" s="467">
        <f t="shared" si="20"/>
        <v>46</v>
      </c>
      <c r="Q56" s="468">
        <f t="shared" si="20"/>
        <v>46</v>
      </c>
      <c r="R56" s="435">
        <f t="shared" si="20"/>
        <v>448</v>
      </c>
    </row>
    <row r="57" spans="1:19" ht="16.5" customHeight="1">
      <c r="A57" s="1235"/>
      <c r="B57" s="389"/>
      <c r="C57" s="470"/>
      <c r="D57" s="470"/>
      <c r="E57" s="515"/>
      <c r="F57" s="1232"/>
      <c r="G57" s="1232"/>
      <c r="H57" s="1232"/>
      <c r="I57" s="1232"/>
      <c r="J57" s="1232"/>
      <c r="K57" s="1232"/>
      <c r="L57" s="1232"/>
      <c r="M57" s="1232"/>
      <c r="N57" s="1232"/>
      <c r="Q57" s="1233" t="s">
        <v>836</v>
      </c>
      <c r="R57" s="240">
        <f>R56+147</f>
        <v>595</v>
      </c>
    </row>
    <row r="58" spans="1:19" ht="16.5" customHeight="1" thickBot="1">
      <c r="A58" s="109" t="s">
        <v>850</v>
      </c>
      <c r="B58" s="389"/>
      <c r="C58" s="389"/>
      <c r="D58" s="389"/>
      <c r="E58" s="515"/>
      <c r="F58" s="592"/>
      <c r="G58" s="592"/>
      <c r="H58" s="592"/>
      <c r="I58" s="592"/>
      <c r="J58" s="592"/>
      <c r="K58" s="592"/>
      <c r="L58" s="1155"/>
      <c r="M58" s="1155"/>
      <c r="N58" s="1155"/>
      <c r="O58" s="1155"/>
      <c r="P58" s="1155"/>
      <c r="Q58" s="1155"/>
      <c r="R58" s="473" t="s">
        <v>87</v>
      </c>
    </row>
    <row r="59" spans="1:19" ht="19.5" customHeight="1" thickBot="1">
      <c r="A59" s="55" t="s">
        <v>112</v>
      </c>
      <c r="B59" s="391" t="s">
        <v>124</v>
      </c>
      <c r="C59" s="315" t="s">
        <v>104</v>
      </c>
      <c r="D59" s="315" t="s">
        <v>758</v>
      </c>
      <c r="E59" s="392" t="s">
        <v>352</v>
      </c>
      <c r="F59" s="393" t="s">
        <v>430</v>
      </c>
      <c r="G59" s="315" t="s">
        <v>557</v>
      </c>
      <c r="H59" s="316" t="s">
        <v>558</v>
      </c>
      <c r="I59" s="393" t="s">
        <v>431</v>
      </c>
      <c r="J59" s="315" t="s">
        <v>559</v>
      </c>
      <c r="K59" s="316" t="s">
        <v>560</v>
      </c>
      <c r="L59" s="377" t="s">
        <v>561</v>
      </c>
      <c r="M59" s="376" t="s">
        <v>562</v>
      </c>
      <c r="N59" s="724" t="s">
        <v>563</v>
      </c>
      <c r="O59" s="377" t="s">
        <v>564</v>
      </c>
      <c r="P59" s="376" t="s">
        <v>565</v>
      </c>
      <c r="Q59" s="724" t="s">
        <v>566</v>
      </c>
      <c r="R59" s="394" t="s">
        <v>15</v>
      </c>
    </row>
    <row r="60" spans="1:19" ht="16.5" customHeight="1">
      <c r="A60" s="5312" t="s">
        <v>312</v>
      </c>
      <c r="B60" s="395" t="str">
        <f>B5</f>
        <v>CEO&amp;Director</v>
      </c>
      <c r="C60" s="811">
        <f>+C5</f>
        <v>11992.666666666666</v>
      </c>
      <c r="D60" s="395">
        <v>1200</v>
      </c>
      <c r="E60" s="398">
        <f>E5</f>
        <v>6</v>
      </c>
      <c r="F60" s="787">
        <f t="shared" ref="F60:Q60" si="21">($C60-$D$60)*F5</f>
        <v>64756</v>
      </c>
      <c r="G60" s="788">
        <f t="shared" si="21"/>
        <v>64756</v>
      </c>
      <c r="H60" s="789">
        <f t="shared" si="21"/>
        <v>64756</v>
      </c>
      <c r="I60" s="787">
        <f t="shared" si="21"/>
        <v>64756</v>
      </c>
      <c r="J60" s="788">
        <f t="shared" si="21"/>
        <v>64756</v>
      </c>
      <c r="K60" s="789">
        <f t="shared" si="21"/>
        <v>64756</v>
      </c>
      <c r="L60" s="399">
        <f t="shared" si="21"/>
        <v>64756</v>
      </c>
      <c r="M60" s="400">
        <f t="shared" si="21"/>
        <v>64756</v>
      </c>
      <c r="N60" s="401">
        <f t="shared" si="21"/>
        <v>64756</v>
      </c>
      <c r="O60" s="399">
        <f t="shared" si="21"/>
        <v>64756</v>
      </c>
      <c r="P60" s="400">
        <f t="shared" si="21"/>
        <v>64756</v>
      </c>
      <c r="Q60" s="401">
        <f t="shared" si="21"/>
        <v>64756</v>
      </c>
      <c r="R60" s="402">
        <f t="shared" ref="R60:R69" si="22">SUM(F60:Q60)</f>
        <v>777072</v>
      </c>
      <c r="S60" s="599"/>
    </row>
    <row r="61" spans="1:19" ht="16.5" customHeight="1">
      <c r="A61" s="5313"/>
      <c r="B61" s="404" t="str">
        <f>B6</f>
        <v>G,S Manager</v>
      </c>
      <c r="C61" s="812">
        <f>+C6</f>
        <v>10138</v>
      </c>
      <c r="D61" s="404">
        <v>400</v>
      </c>
      <c r="E61" s="407">
        <f>E6</f>
        <v>1</v>
      </c>
      <c r="F61" s="523">
        <f t="shared" ref="F61:Q61" si="23">($C61-$D$61)*F6</f>
        <v>9738</v>
      </c>
      <c r="G61" s="524">
        <f t="shared" si="23"/>
        <v>9738</v>
      </c>
      <c r="H61" s="525">
        <f t="shared" si="23"/>
        <v>9738</v>
      </c>
      <c r="I61" s="523">
        <f t="shared" si="23"/>
        <v>9738</v>
      </c>
      <c r="J61" s="524">
        <f t="shared" si="23"/>
        <v>9738</v>
      </c>
      <c r="K61" s="525">
        <f t="shared" si="23"/>
        <v>9738</v>
      </c>
      <c r="L61" s="408">
        <f t="shared" si="23"/>
        <v>9738</v>
      </c>
      <c r="M61" s="409">
        <f t="shared" si="23"/>
        <v>9738</v>
      </c>
      <c r="N61" s="410">
        <f t="shared" si="23"/>
        <v>9738</v>
      </c>
      <c r="O61" s="408">
        <f t="shared" si="23"/>
        <v>9738</v>
      </c>
      <c r="P61" s="409">
        <f t="shared" si="23"/>
        <v>9738</v>
      </c>
      <c r="Q61" s="410">
        <f t="shared" si="23"/>
        <v>9738</v>
      </c>
      <c r="R61" s="411">
        <f t="shared" si="22"/>
        <v>116856</v>
      </c>
      <c r="S61" s="599"/>
    </row>
    <row r="62" spans="1:19" ht="16.5" customHeight="1">
      <c r="A62" s="5313"/>
      <c r="B62" s="404" t="str">
        <f>B7</f>
        <v>Manager</v>
      </c>
      <c r="C62" s="812">
        <f>+C7</f>
        <v>6668.5</v>
      </c>
      <c r="D62" s="213">
        <v>250</v>
      </c>
      <c r="E62" s="407">
        <f>E7</f>
        <v>2</v>
      </c>
      <c r="F62" s="523">
        <f t="shared" ref="F62:Q62" si="24">($C62-$D$62)*F7</f>
        <v>12837</v>
      </c>
      <c r="G62" s="524">
        <f t="shared" si="24"/>
        <v>12837</v>
      </c>
      <c r="H62" s="525">
        <f t="shared" si="24"/>
        <v>12837</v>
      </c>
      <c r="I62" s="523">
        <f t="shared" si="24"/>
        <v>12837</v>
      </c>
      <c r="J62" s="524">
        <f t="shared" si="24"/>
        <v>12837</v>
      </c>
      <c r="K62" s="525">
        <f t="shared" si="24"/>
        <v>12837</v>
      </c>
      <c r="L62" s="408">
        <f t="shared" si="24"/>
        <v>12837</v>
      </c>
      <c r="M62" s="409">
        <f t="shared" si="24"/>
        <v>12837</v>
      </c>
      <c r="N62" s="410">
        <f t="shared" si="24"/>
        <v>12837</v>
      </c>
      <c r="O62" s="408">
        <f t="shared" si="24"/>
        <v>12837</v>
      </c>
      <c r="P62" s="409">
        <f t="shared" si="24"/>
        <v>12837</v>
      </c>
      <c r="Q62" s="410">
        <f t="shared" si="24"/>
        <v>12837</v>
      </c>
      <c r="R62" s="411">
        <f t="shared" si="22"/>
        <v>154044</v>
      </c>
      <c r="S62" s="599"/>
    </row>
    <row r="63" spans="1:19" ht="16.5" customHeight="1">
      <c r="A63" s="413"/>
      <c r="B63" s="414" t="s">
        <v>354</v>
      </c>
      <c r="C63" s="813"/>
      <c r="D63" s="814"/>
      <c r="E63" s="417">
        <f t="shared" ref="E63:Q63" si="25">SUM(E60:E62)</f>
        <v>9</v>
      </c>
      <c r="F63" s="820">
        <f t="shared" si="25"/>
        <v>87331</v>
      </c>
      <c r="G63" s="821">
        <f t="shared" si="25"/>
        <v>87331</v>
      </c>
      <c r="H63" s="822">
        <f t="shared" si="25"/>
        <v>87331</v>
      </c>
      <c r="I63" s="820">
        <f t="shared" si="25"/>
        <v>87331</v>
      </c>
      <c r="J63" s="821">
        <f t="shared" si="25"/>
        <v>87331</v>
      </c>
      <c r="K63" s="822">
        <f t="shared" si="25"/>
        <v>87331</v>
      </c>
      <c r="L63" s="418">
        <f t="shared" si="25"/>
        <v>87331</v>
      </c>
      <c r="M63" s="232">
        <f t="shared" si="25"/>
        <v>87331</v>
      </c>
      <c r="N63" s="419">
        <f t="shared" si="25"/>
        <v>87331</v>
      </c>
      <c r="O63" s="418">
        <f t="shared" si="25"/>
        <v>87331</v>
      </c>
      <c r="P63" s="232">
        <f t="shared" si="25"/>
        <v>87331</v>
      </c>
      <c r="Q63" s="419">
        <f t="shared" si="25"/>
        <v>87331</v>
      </c>
      <c r="R63" s="420">
        <f t="shared" si="22"/>
        <v>1047972</v>
      </c>
      <c r="S63" s="403"/>
    </row>
    <row r="64" spans="1:19" ht="16.5" customHeight="1">
      <c r="A64" s="5314" t="s">
        <v>355</v>
      </c>
      <c r="B64" s="421" t="str">
        <f>B9</f>
        <v>Director</v>
      </c>
      <c r="C64" s="812">
        <f>+C9</f>
        <v>10931</v>
      </c>
      <c r="D64" s="815">
        <v>618.93605013333331</v>
      </c>
      <c r="E64" s="424">
        <f>E9</f>
        <v>2</v>
      </c>
      <c r="F64" s="825">
        <f t="shared" ref="F64:Q64" si="26">($C64-$D64)*F9</f>
        <v>20624.127899733332</v>
      </c>
      <c r="G64" s="823">
        <f t="shared" si="26"/>
        <v>20624.127899733332</v>
      </c>
      <c r="H64" s="824">
        <f t="shared" si="26"/>
        <v>20624.127899733332</v>
      </c>
      <c r="I64" s="825">
        <f t="shared" si="26"/>
        <v>20624.127899733332</v>
      </c>
      <c r="J64" s="823">
        <f t="shared" si="26"/>
        <v>20624.127899733332</v>
      </c>
      <c r="K64" s="824">
        <f t="shared" si="26"/>
        <v>20624.127899733332</v>
      </c>
      <c r="L64" s="425">
        <f t="shared" si="26"/>
        <v>20624.127899733332</v>
      </c>
      <c r="M64" s="426">
        <f t="shared" si="26"/>
        <v>20624.127899733332</v>
      </c>
      <c r="N64" s="427">
        <f t="shared" si="26"/>
        <v>20624.127899733332</v>
      </c>
      <c r="O64" s="425">
        <f t="shared" si="26"/>
        <v>20624.127899733332</v>
      </c>
      <c r="P64" s="426">
        <f t="shared" si="26"/>
        <v>20624.127899733332</v>
      </c>
      <c r="Q64" s="427">
        <f t="shared" si="26"/>
        <v>20624.127899733332</v>
      </c>
      <c r="R64" s="428">
        <f t="shared" si="22"/>
        <v>247489.53479680003</v>
      </c>
      <c r="S64" s="403">
        <v>8177</v>
      </c>
    </row>
    <row r="65" spans="1:20" ht="16.5" customHeight="1">
      <c r="A65" s="5313"/>
      <c r="B65" s="404" t="str">
        <f>B10</f>
        <v>G,S Manager</v>
      </c>
      <c r="C65" s="812">
        <f>+C10</f>
        <v>11077.093073430839</v>
      </c>
      <c r="D65" s="816">
        <v>450</v>
      </c>
      <c r="E65" s="407">
        <f>E10</f>
        <v>2</v>
      </c>
      <c r="F65" s="523">
        <f t="shared" ref="F65:Q65" si="27">($C65-$D$65)*F10</f>
        <v>21254.186146861677</v>
      </c>
      <c r="G65" s="524">
        <f t="shared" si="27"/>
        <v>21254.186146861677</v>
      </c>
      <c r="H65" s="819">
        <f t="shared" si="27"/>
        <v>21254.186146861677</v>
      </c>
      <c r="I65" s="523">
        <f t="shared" si="27"/>
        <v>21254.186146861677</v>
      </c>
      <c r="J65" s="524">
        <f t="shared" si="27"/>
        <v>21254.186146861677</v>
      </c>
      <c r="K65" s="819">
        <f t="shared" si="27"/>
        <v>21254.186146861677</v>
      </c>
      <c r="L65" s="408">
        <f t="shared" si="27"/>
        <v>21254.186146861677</v>
      </c>
      <c r="M65" s="409">
        <f t="shared" si="27"/>
        <v>21254.186146861677</v>
      </c>
      <c r="N65" s="474">
        <f t="shared" si="27"/>
        <v>21254.186146861677</v>
      </c>
      <c r="O65" s="408">
        <f t="shared" si="27"/>
        <v>21254.186146861677</v>
      </c>
      <c r="P65" s="409">
        <f t="shared" si="27"/>
        <v>21254.186146861677</v>
      </c>
      <c r="Q65" s="474">
        <f t="shared" si="27"/>
        <v>21254.186146861677</v>
      </c>
      <c r="R65" s="411">
        <f t="shared" si="22"/>
        <v>255050.23376234007</v>
      </c>
      <c r="S65" s="403"/>
    </row>
    <row r="66" spans="1:20" ht="16.5" customHeight="1">
      <c r="A66" s="5313"/>
      <c r="B66" s="404" t="str">
        <f>B11</f>
        <v>Manager</v>
      </c>
      <c r="C66" s="812">
        <f>+C11</f>
        <v>3753.5</v>
      </c>
      <c r="D66" s="816">
        <v>456.63249999999999</v>
      </c>
      <c r="E66" s="407">
        <f>E11</f>
        <v>2</v>
      </c>
      <c r="F66" s="523">
        <f t="shared" ref="F66:Q66" si="28">($C66-$D$66)*F11</f>
        <v>6593.7349999999997</v>
      </c>
      <c r="G66" s="524">
        <f t="shared" si="28"/>
        <v>6593.7349999999997</v>
      </c>
      <c r="H66" s="525">
        <f t="shared" si="28"/>
        <v>6593.7349999999997</v>
      </c>
      <c r="I66" s="523">
        <f t="shared" si="28"/>
        <v>6593.7349999999997</v>
      </c>
      <c r="J66" s="524">
        <f t="shared" si="28"/>
        <v>6593.7349999999997</v>
      </c>
      <c r="K66" s="525">
        <f t="shared" si="28"/>
        <v>6593.7349999999997</v>
      </c>
      <c r="L66" s="408">
        <f t="shared" si="28"/>
        <v>6593.7349999999997</v>
      </c>
      <c r="M66" s="780">
        <f t="shared" si="28"/>
        <v>6593.7349999999997</v>
      </c>
      <c r="N66" s="781">
        <f t="shared" si="28"/>
        <v>6593.7349999999997</v>
      </c>
      <c r="O66" s="782">
        <f t="shared" si="28"/>
        <v>6593.7349999999997</v>
      </c>
      <c r="P66" s="780">
        <f t="shared" si="28"/>
        <v>6593.7349999999997</v>
      </c>
      <c r="Q66" s="781">
        <f t="shared" si="28"/>
        <v>6593.7349999999997</v>
      </c>
      <c r="R66" s="411">
        <f t="shared" si="22"/>
        <v>79124.819999999992</v>
      </c>
      <c r="S66" s="403">
        <v>3847</v>
      </c>
    </row>
    <row r="67" spans="1:20" ht="16.5" customHeight="1" thickBot="1">
      <c r="A67" s="597"/>
      <c r="B67" s="431" t="s">
        <v>357</v>
      </c>
      <c r="C67" s="432"/>
      <c r="D67" s="433"/>
      <c r="E67" s="434">
        <f>E66+E64+E65</f>
        <v>6</v>
      </c>
      <c r="F67" s="832">
        <f t="shared" ref="F67:Q67" si="29">SUM(F64:F66)</f>
        <v>48472.049046595013</v>
      </c>
      <c r="G67" s="833">
        <f t="shared" si="29"/>
        <v>48472.049046595013</v>
      </c>
      <c r="H67" s="834">
        <f t="shared" si="29"/>
        <v>48472.049046595013</v>
      </c>
      <c r="I67" s="832">
        <f t="shared" si="29"/>
        <v>48472.049046595013</v>
      </c>
      <c r="J67" s="833">
        <f t="shared" si="29"/>
        <v>48472.049046595013</v>
      </c>
      <c r="K67" s="834">
        <f t="shared" si="29"/>
        <v>48472.049046595013</v>
      </c>
      <c r="L67" s="466">
        <f t="shared" si="29"/>
        <v>48472.049046595013</v>
      </c>
      <c r="M67" s="431">
        <f t="shared" si="29"/>
        <v>48472.049046595013</v>
      </c>
      <c r="N67" s="468">
        <f t="shared" si="29"/>
        <v>48472.049046595013</v>
      </c>
      <c r="O67" s="466">
        <f t="shared" si="29"/>
        <v>48472.049046595013</v>
      </c>
      <c r="P67" s="467">
        <f t="shared" si="29"/>
        <v>48472.049046595013</v>
      </c>
      <c r="Q67" s="468">
        <f t="shared" si="29"/>
        <v>48472.049046595013</v>
      </c>
      <c r="R67" s="435">
        <f t="shared" si="22"/>
        <v>581664.5885591401</v>
      </c>
      <c r="S67" s="403"/>
    </row>
    <row r="68" spans="1:20" ht="16.5" customHeight="1" thickBot="1">
      <c r="A68" s="5315" t="s">
        <v>508</v>
      </c>
      <c r="B68" s="5328"/>
      <c r="C68" s="5328"/>
      <c r="D68" s="5328"/>
      <c r="E68" s="600"/>
      <c r="F68" s="220"/>
      <c r="G68" s="221"/>
      <c r="H68" s="222"/>
      <c r="I68" s="220"/>
      <c r="J68" s="221"/>
      <c r="K68" s="222"/>
      <c r="L68" s="266"/>
      <c r="M68" s="245"/>
      <c r="N68" s="237"/>
      <c r="O68" s="266"/>
      <c r="P68" s="267"/>
      <c r="Q68" s="237">
        <v>120000</v>
      </c>
      <c r="R68" s="437">
        <f t="shared" si="22"/>
        <v>120000</v>
      </c>
      <c r="S68" s="403"/>
    </row>
    <row r="69" spans="1:20" ht="16.5" customHeight="1" thickBot="1">
      <c r="A69" s="5315" t="s">
        <v>15</v>
      </c>
      <c r="B69" s="5328"/>
      <c r="C69" s="5328"/>
      <c r="D69" s="5331"/>
      <c r="E69" s="436">
        <f>E67+E63</f>
        <v>15</v>
      </c>
      <c r="F69" s="220">
        <f t="shared" ref="F69:Q69" si="30">F63+F67+F68</f>
        <v>135803.049046595</v>
      </c>
      <c r="G69" s="221">
        <f t="shared" si="30"/>
        <v>135803.049046595</v>
      </c>
      <c r="H69" s="222">
        <f t="shared" si="30"/>
        <v>135803.049046595</v>
      </c>
      <c r="I69" s="220">
        <f t="shared" si="30"/>
        <v>135803.049046595</v>
      </c>
      <c r="J69" s="221">
        <f t="shared" si="30"/>
        <v>135803.049046595</v>
      </c>
      <c r="K69" s="222">
        <f t="shared" si="30"/>
        <v>135803.049046595</v>
      </c>
      <c r="L69" s="266">
        <f t="shared" si="30"/>
        <v>135803.049046595</v>
      </c>
      <c r="M69" s="267">
        <f t="shared" si="30"/>
        <v>135803.049046595</v>
      </c>
      <c r="N69" s="237">
        <f t="shared" si="30"/>
        <v>135803.049046595</v>
      </c>
      <c r="O69" s="266">
        <f t="shared" si="30"/>
        <v>135803.049046595</v>
      </c>
      <c r="P69" s="267">
        <f t="shared" si="30"/>
        <v>135803.049046595</v>
      </c>
      <c r="Q69" s="237">
        <f t="shared" si="30"/>
        <v>255803.049046595</v>
      </c>
      <c r="R69" s="437">
        <f t="shared" si="22"/>
        <v>1749636.5885591405</v>
      </c>
      <c r="S69" s="403"/>
    </row>
    <row r="70" spans="1:20" ht="16.5" customHeight="1">
      <c r="A70" s="609"/>
      <c r="B70" s="609"/>
      <c r="C70" s="609"/>
      <c r="D70" s="609"/>
      <c r="E70" s="610"/>
      <c r="F70" s="481"/>
      <c r="G70" s="611"/>
      <c r="H70" s="612"/>
      <c r="I70" s="612"/>
      <c r="J70" s="612"/>
      <c r="K70" s="612"/>
      <c r="L70" s="612"/>
      <c r="M70" s="612"/>
      <c r="N70" s="612"/>
      <c r="O70" s="612"/>
      <c r="P70" s="612"/>
      <c r="Q70" s="612"/>
      <c r="R70" s="613" t="b">
        <f>R69=R67+R63+R68</f>
        <v>1</v>
      </c>
      <c r="S70" s="403"/>
    </row>
    <row r="71" spans="1:20" ht="16.5" customHeight="1" thickBot="1">
      <c r="A71" s="109" t="s">
        <v>841</v>
      </c>
      <c r="B71" s="389"/>
      <c r="C71" s="389"/>
      <c r="D71" s="389"/>
      <c r="E71" s="515"/>
      <c r="G71" s="594"/>
      <c r="K71" s="472"/>
      <c r="R71" s="473" t="s">
        <v>87</v>
      </c>
      <c r="S71" s="403"/>
    </row>
    <row r="72" spans="1:20" ht="16.5" customHeight="1" thickBot="1">
      <c r="A72" s="55" t="s">
        <v>112</v>
      </c>
      <c r="B72" s="391" t="s">
        <v>124</v>
      </c>
      <c r="C72" s="315" t="s">
        <v>104</v>
      </c>
      <c r="D72" s="315" t="s">
        <v>757</v>
      </c>
      <c r="E72" s="392" t="s">
        <v>352</v>
      </c>
      <c r="F72" s="393" t="s">
        <v>430</v>
      </c>
      <c r="G72" s="315" t="s">
        <v>557</v>
      </c>
      <c r="H72" s="316" t="s">
        <v>558</v>
      </c>
      <c r="I72" s="393" t="s">
        <v>431</v>
      </c>
      <c r="J72" s="315" t="s">
        <v>559</v>
      </c>
      <c r="K72" s="316" t="s">
        <v>560</v>
      </c>
      <c r="L72" s="393" t="s">
        <v>561</v>
      </c>
      <c r="M72" s="315" t="s">
        <v>562</v>
      </c>
      <c r="N72" s="316" t="s">
        <v>563</v>
      </c>
      <c r="O72" s="393" t="s">
        <v>564</v>
      </c>
      <c r="P72" s="315" t="s">
        <v>565</v>
      </c>
      <c r="Q72" s="316" t="s">
        <v>566</v>
      </c>
      <c r="R72" s="394" t="s">
        <v>15</v>
      </c>
      <c r="S72" s="403"/>
    </row>
    <row r="73" spans="1:20" ht="16.5" customHeight="1">
      <c r="A73" s="598" t="s">
        <v>359</v>
      </c>
      <c r="B73" s="395" t="str">
        <f>B17</f>
        <v>S.manger and above</v>
      </c>
      <c r="C73" s="396">
        <f>C17</f>
        <v>2548.1415472077442</v>
      </c>
      <c r="D73" s="438">
        <f>+'Sub-L plan'!R15+'Sub-L plan'!T15</f>
        <v>312.60000000000002</v>
      </c>
      <c r="E73" s="398">
        <f>+E17</f>
        <v>6</v>
      </c>
      <c r="F73" s="787">
        <f t="shared" ref="F73:Q73" si="31">$C73*F17+$D73*F17</f>
        <v>17164.449283246464</v>
      </c>
      <c r="G73" s="788">
        <f t="shared" si="31"/>
        <v>17164.449283246464</v>
      </c>
      <c r="H73" s="789">
        <f t="shared" si="31"/>
        <v>17164.449283246464</v>
      </c>
      <c r="I73" s="787">
        <f t="shared" si="31"/>
        <v>17164.449283246464</v>
      </c>
      <c r="J73" s="788">
        <f t="shared" si="31"/>
        <v>17164.449283246464</v>
      </c>
      <c r="K73" s="789">
        <f t="shared" si="31"/>
        <v>17164.449283246464</v>
      </c>
      <c r="L73" s="399">
        <f t="shared" si="31"/>
        <v>17164.449283246464</v>
      </c>
      <c r="M73" s="400">
        <f t="shared" si="31"/>
        <v>17164.449283246464</v>
      </c>
      <c r="N73" s="401">
        <f t="shared" si="31"/>
        <v>17164.449283246464</v>
      </c>
      <c r="O73" s="399">
        <f t="shared" si="31"/>
        <v>17164.449283246464</v>
      </c>
      <c r="P73" s="400">
        <f t="shared" si="31"/>
        <v>17164.449283246464</v>
      </c>
      <c r="Q73" s="401">
        <f t="shared" si="31"/>
        <v>17164.449283246464</v>
      </c>
      <c r="R73" s="402">
        <f>SUM(F73:Q73)</f>
        <v>205973.39139895761</v>
      </c>
      <c r="S73" s="403">
        <v>13060</v>
      </c>
    </row>
    <row r="74" spans="1:20" ht="16.5" customHeight="1">
      <c r="A74" s="596"/>
      <c r="B74" s="404" t="s">
        <v>307</v>
      </c>
      <c r="C74" s="405">
        <f t="shared" ref="C74:C79" si="32">C18</f>
        <v>1462.3855278862443</v>
      </c>
      <c r="D74" s="439">
        <f>+'Sub-L plan'!R16+'Sub-L plan'!T16</f>
        <v>217.26285714285714</v>
      </c>
      <c r="E74" s="407">
        <f>+E18</f>
        <v>8</v>
      </c>
      <c r="F74" s="523">
        <f t="shared" ref="F74:Q74" si="33">$C74*F18+$D74*F18</f>
        <v>15116.835465261913</v>
      </c>
      <c r="G74" s="524">
        <f t="shared" si="33"/>
        <v>15116.835465261913</v>
      </c>
      <c r="H74" s="525">
        <f t="shared" si="33"/>
        <v>15116.835465261913</v>
      </c>
      <c r="I74" s="523">
        <f t="shared" si="33"/>
        <v>15116.835465261913</v>
      </c>
      <c r="J74" s="524">
        <f t="shared" si="33"/>
        <v>15116.835465261913</v>
      </c>
      <c r="K74" s="525">
        <f t="shared" si="33"/>
        <v>15116.835465261913</v>
      </c>
      <c r="L74" s="408">
        <f t="shared" si="33"/>
        <v>15116.835465261913</v>
      </c>
      <c r="M74" s="409">
        <f t="shared" si="33"/>
        <v>15116.835465261913</v>
      </c>
      <c r="N74" s="410">
        <f t="shared" si="33"/>
        <v>15116.835465261913</v>
      </c>
      <c r="O74" s="408">
        <f t="shared" si="33"/>
        <v>15116.835465261913</v>
      </c>
      <c r="P74" s="409">
        <f t="shared" si="33"/>
        <v>15116.835465261913</v>
      </c>
      <c r="Q74" s="410">
        <f t="shared" si="33"/>
        <v>15116.835465261913</v>
      </c>
      <c r="R74" s="411">
        <f>SUM(F74:Q74)</f>
        <v>181402.02558314297</v>
      </c>
      <c r="S74" s="403">
        <v>8862</v>
      </c>
    </row>
    <row r="75" spans="1:20" ht="16.5" customHeight="1">
      <c r="A75" s="596"/>
      <c r="B75" s="404" t="s">
        <v>362</v>
      </c>
      <c r="C75" s="405">
        <f t="shared" si="32"/>
        <v>664.03231782688022</v>
      </c>
      <c r="D75" s="440">
        <f>+'Sub-L plan'!R17+'Sub-L plan'!T17</f>
        <v>92.940561620754721</v>
      </c>
      <c r="E75" s="407">
        <f>+E19</f>
        <v>53</v>
      </c>
      <c r="F75" s="523">
        <f t="shared" ref="F75:Q75" si="34">$C75*F19+$D75*F19</f>
        <v>41633.508369619922</v>
      </c>
      <c r="G75" s="792">
        <f t="shared" si="34"/>
        <v>41633.508369619922</v>
      </c>
      <c r="H75" s="525">
        <f t="shared" si="34"/>
        <v>41633.508369619922</v>
      </c>
      <c r="I75" s="523">
        <f t="shared" si="34"/>
        <v>41633.508369619922</v>
      </c>
      <c r="J75" s="524">
        <f t="shared" si="34"/>
        <v>41633.508369619922</v>
      </c>
      <c r="K75" s="525">
        <f t="shared" si="34"/>
        <v>41633.508369619922</v>
      </c>
      <c r="L75" s="408">
        <f t="shared" si="34"/>
        <v>37848.643972381746</v>
      </c>
      <c r="M75" s="409">
        <f t="shared" si="34"/>
        <v>37848.643972381746</v>
      </c>
      <c r="N75" s="410">
        <f t="shared" si="34"/>
        <v>37848.643972381746</v>
      </c>
      <c r="O75" s="408">
        <f t="shared" si="34"/>
        <v>37848.643972381746</v>
      </c>
      <c r="P75" s="409">
        <f t="shared" si="34"/>
        <v>37848.643972381746</v>
      </c>
      <c r="Q75" s="410">
        <f t="shared" si="34"/>
        <v>37848.643972381746</v>
      </c>
      <c r="R75" s="411">
        <f>SUM(F75:Q75)</f>
        <v>476892.91405200993</v>
      </c>
      <c r="S75" s="403">
        <v>5395</v>
      </c>
    </row>
    <row r="76" spans="1:20" ht="16.5" customHeight="1">
      <c r="A76" s="413"/>
      <c r="B76" s="414" t="s">
        <v>354</v>
      </c>
      <c r="C76" s="415">
        <f t="shared" si="32"/>
        <v>0</v>
      </c>
      <c r="D76" s="758">
        <f>D20</f>
        <v>0</v>
      </c>
      <c r="E76" s="417">
        <f t="shared" ref="E76:R76" si="35">SUM(E73:E75)</f>
        <v>67</v>
      </c>
      <c r="F76" s="835">
        <f t="shared" si="35"/>
        <v>73914.793118128291</v>
      </c>
      <c r="G76" s="836">
        <f t="shared" si="35"/>
        <v>73914.793118128291</v>
      </c>
      <c r="H76" s="837">
        <f t="shared" si="35"/>
        <v>73914.793118128291</v>
      </c>
      <c r="I76" s="835">
        <f t="shared" si="35"/>
        <v>73914.793118128291</v>
      </c>
      <c r="J76" s="836">
        <f t="shared" si="35"/>
        <v>73914.793118128291</v>
      </c>
      <c r="K76" s="837">
        <f t="shared" si="35"/>
        <v>73914.793118128291</v>
      </c>
      <c r="L76" s="760">
        <f t="shared" si="35"/>
        <v>70129.928720890122</v>
      </c>
      <c r="M76" s="761">
        <f t="shared" si="35"/>
        <v>70129.928720890122</v>
      </c>
      <c r="N76" s="762">
        <f t="shared" si="35"/>
        <v>70129.928720890122</v>
      </c>
      <c r="O76" s="760">
        <f t="shared" si="35"/>
        <v>70129.928720890122</v>
      </c>
      <c r="P76" s="761">
        <f t="shared" si="35"/>
        <v>70129.928720890122</v>
      </c>
      <c r="Q76" s="762">
        <f t="shared" si="35"/>
        <v>70129.928720890122</v>
      </c>
      <c r="R76" s="420">
        <f t="shared" si="35"/>
        <v>864268.33103411051</v>
      </c>
      <c r="S76" s="599"/>
      <c r="T76" s="236"/>
    </row>
    <row r="77" spans="1:20" ht="16.5" customHeight="1">
      <c r="A77" s="441" t="s">
        <v>360</v>
      </c>
      <c r="B77" s="421" t="str">
        <f>B21</f>
        <v>S.manger and above</v>
      </c>
      <c r="C77" s="422">
        <f t="shared" si="32"/>
        <v>1853.4521445607761</v>
      </c>
      <c r="D77" s="759">
        <f>+'Sub-L plan'!R18+'Sub-L plan'!T18</f>
        <v>167.19378</v>
      </c>
      <c r="E77" s="424">
        <f>+E21</f>
        <v>6</v>
      </c>
      <c r="F77" s="825">
        <f t="shared" ref="F77:Q77" si="36">$C77*F21+$D77*F21</f>
        <v>6061.937773682328</v>
      </c>
      <c r="G77" s="823">
        <f t="shared" si="36"/>
        <v>6061.937773682328</v>
      </c>
      <c r="H77" s="824">
        <f t="shared" si="36"/>
        <v>6061.937773682328</v>
      </c>
      <c r="I77" s="825">
        <f t="shared" si="36"/>
        <v>6061.937773682328</v>
      </c>
      <c r="J77" s="823">
        <f t="shared" si="36"/>
        <v>6061.937773682328</v>
      </c>
      <c r="K77" s="824">
        <f t="shared" si="36"/>
        <v>6061.937773682328</v>
      </c>
      <c r="L77" s="425">
        <f t="shared" si="36"/>
        <v>6061.937773682328</v>
      </c>
      <c r="M77" s="426">
        <f t="shared" si="36"/>
        <v>6061.937773682328</v>
      </c>
      <c r="N77" s="427">
        <f t="shared" si="36"/>
        <v>6061.937773682328</v>
      </c>
      <c r="O77" s="425">
        <f t="shared" si="36"/>
        <v>6061.937773682328</v>
      </c>
      <c r="P77" s="426">
        <f t="shared" si="36"/>
        <v>6061.937773682328</v>
      </c>
      <c r="Q77" s="427">
        <f t="shared" si="36"/>
        <v>6061.937773682328</v>
      </c>
      <c r="R77" s="428">
        <f>SUM(F77:Q77)</f>
        <v>72743.253284187944</v>
      </c>
      <c r="S77" s="403"/>
      <c r="T77" s="120"/>
    </row>
    <row r="78" spans="1:20" ht="16.5" customHeight="1">
      <c r="A78" s="596"/>
      <c r="B78" s="404" t="s">
        <v>307</v>
      </c>
      <c r="C78" s="405">
        <f t="shared" si="32"/>
        <v>1389.3012371876198</v>
      </c>
      <c r="D78" s="439">
        <f>+'Sub-L plan'!R19+'Sub-L plan'!T19</f>
        <v>189.66003777777777</v>
      </c>
      <c r="E78" s="407">
        <f>+E22</f>
        <v>9</v>
      </c>
      <c r="F78" s="793">
        <f t="shared" ref="F78:Q78" si="37">$C78*F22+$D78*F22</f>
        <v>17368.574024619375</v>
      </c>
      <c r="G78" s="524">
        <f t="shared" si="37"/>
        <v>17368.574024619375</v>
      </c>
      <c r="H78" s="838">
        <f t="shared" si="37"/>
        <v>17368.574024619375</v>
      </c>
      <c r="I78" s="523">
        <f t="shared" si="37"/>
        <v>17368.574024619375</v>
      </c>
      <c r="J78" s="524">
        <f t="shared" si="37"/>
        <v>17368.574024619375</v>
      </c>
      <c r="K78" s="525">
        <f t="shared" si="37"/>
        <v>17368.574024619375</v>
      </c>
      <c r="L78" s="408">
        <f t="shared" si="37"/>
        <v>17368.574024619375</v>
      </c>
      <c r="M78" s="409">
        <f t="shared" si="37"/>
        <v>17368.574024619375</v>
      </c>
      <c r="N78" s="410">
        <f t="shared" si="37"/>
        <v>17368.574024619375</v>
      </c>
      <c r="O78" s="408">
        <f t="shared" si="37"/>
        <v>17368.574024619375</v>
      </c>
      <c r="P78" s="409">
        <f t="shared" si="37"/>
        <v>17368.574024619375</v>
      </c>
      <c r="Q78" s="410">
        <f t="shared" si="37"/>
        <v>17368.574024619375</v>
      </c>
      <c r="R78" s="411">
        <f>SUM(F78:Q78)</f>
        <v>208422.88829543244</v>
      </c>
      <c r="S78" s="403"/>
    </row>
    <row r="79" spans="1:20" ht="16.5" customHeight="1">
      <c r="A79" s="596"/>
      <c r="B79" s="404" t="s">
        <v>308</v>
      </c>
      <c r="C79" s="405">
        <f t="shared" si="32"/>
        <v>718.0844673430978</v>
      </c>
      <c r="D79" s="439">
        <f>+'Sub-L plan'!R20+'Sub-L plan'!T20</f>
        <v>110.12230619916363</v>
      </c>
      <c r="E79" s="407">
        <f>+E23</f>
        <v>60</v>
      </c>
      <c r="F79" s="793">
        <f t="shared" ref="F79:Q79" si="38">$C79*F23+$D79*F23</f>
        <v>125059.22280488147</v>
      </c>
      <c r="G79" s="524">
        <f t="shared" si="38"/>
        <v>121746.39571071243</v>
      </c>
      <c r="H79" s="838">
        <f t="shared" si="38"/>
        <v>118433.56861654337</v>
      </c>
      <c r="I79" s="523">
        <f t="shared" si="38"/>
        <v>115120.74152237434</v>
      </c>
      <c r="J79" s="524">
        <f t="shared" si="38"/>
        <v>111807.9144282053</v>
      </c>
      <c r="K79" s="525">
        <f t="shared" si="38"/>
        <v>108495.08733403625</v>
      </c>
      <c r="L79" s="408">
        <f t="shared" si="38"/>
        <v>105182.2602398672</v>
      </c>
      <c r="M79" s="409">
        <f t="shared" si="38"/>
        <v>101869.43314569816</v>
      </c>
      <c r="N79" s="410">
        <f t="shared" si="38"/>
        <v>98556.606051529103</v>
      </c>
      <c r="O79" s="408">
        <f t="shared" si="38"/>
        <v>95243.778957360075</v>
      </c>
      <c r="P79" s="409">
        <f t="shared" si="38"/>
        <v>91930.951863191018</v>
      </c>
      <c r="Q79" s="410">
        <f t="shared" si="38"/>
        <v>88618.124769021975</v>
      </c>
      <c r="R79" s="411">
        <f>SUM(F79:Q79)</f>
        <v>1282064.0854434206</v>
      </c>
      <c r="S79" s="403">
        <v>3847</v>
      </c>
    </row>
    <row r="80" spans="1:20" ht="23.25" customHeight="1" thickBot="1">
      <c r="A80" s="597"/>
      <c r="B80" s="431" t="s">
        <v>357</v>
      </c>
      <c r="C80" s="432"/>
      <c r="D80" s="433"/>
      <c r="E80" s="475">
        <f t="shared" ref="E80:R80" si="39">SUM(E77:E79)</f>
        <v>75</v>
      </c>
      <c r="F80" s="839">
        <f t="shared" si="39"/>
        <v>148489.73460318317</v>
      </c>
      <c r="G80" s="833">
        <f t="shared" si="39"/>
        <v>145176.90750901413</v>
      </c>
      <c r="H80" s="840">
        <f t="shared" si="39"/>
        <v>141864.08041484508</v>
      </c>
      <c r="I80" s="832">
        <f t="shared" si="39"/>
        <v>138551.25332067604</v>
      </c>
      <c r="J80" s="833">
        <f t="shared" si="39"/>
        <v>135238.426226507</v>
      </c>
      <c r="K80" s="834">
        <f t="shared" si="39"/>
        <v>131925.59913233796</v>
      </c>
      <c r="L80" s="466">
        <f t="shared" si="39"/>
        <v>128612.77203816891</v>
      </c>
      <c r="M80" s="467">
        <f t="shared" si="39"/>
        <v>125299.94494399987</v>
      </c>
      <c r="N80" s="468">
        <f t="shared" si="39"/>
        <v>121987.1178498308</v>
      </c>
      <c r="O80" s="466">
        <f t="shared" si="39"/>
        <v>118674.29075566179</v>
      </c>
      <c r="P80" s="467">
        <f t="shared" si="39"/>
        <v>115361.46366149271</v>
      </c>
      <c r="Q80" s="468">
        <f t="shared" si="39"/>
        <v>112048.63656732367</v>
      </c>
      <c r="R80" s="435">
        <f t="shared" si="39"/>
        <v>1563230.2270230409</v>
      </c>
      <c r="S80" s="403"/>
    </row>
    <row r="81" spans="1:22" ht="16.5" customHeight="1" thickBot="1">
      <c r="A81" s="5315" t="s">
        <v>470</v>
      </c>
      <c r="B81" s="5328"/>
      <c r="C81" s="5328"/>
      <c r="D81" s="5328"/>
      <c r="E81" s="618"/>
      <c r="F81" s="797"/>
      <c r="G81" s="221"/>
      <c r="H81" s="512"/>
      <c r="I81" s="220"/>
      <c r="J81" s="221"/>
      <c r="K81" s="222"/>
      <c r="L81" s="266"/>
      <c r="M81" s="267"/>
      <c r="N81" s="237"/>
      <c r="O81" s="266"/>
      <c r="P81" s="267"/>
      <c r="Q81" s="237"/>
      <c r="R81" s="437">
        <f>SUM(F81:Q81)</f>
        <v>0</v>
      </c>
      <c r="S81" s="403"/>
    </row>
    <row r="82" spans="1:22" s="478" customFormat="1" ht="16.5" customHeight="1" thickBot="1">
      <c r="A82" s="5315" t="s">
        <v>15</v>
      </c>
      <c r="B82" s="5328"/>
      <c r="C82" s="5328"/>
      <c r="D82" s="5328"/>
      <c r="E82" s="600"/>
      <c r="F82" s="797">
        <f t="shared" ref="F82:R82" si="40">F76+F80+F81</f>
        <v>222404.52772131146</v>
      </c>
      <c r="G82" s="221">
        <f t="shared" si="40"/>
        <v>219091.70062714242</v>
      </c>
      <c r="H82" s="512">
        <f t="shared" si="40"/>
        <v>215778.87353297338</v>
      </c>
      <c r="I82" s="220">
        <f t="shared" si="40"/>
        <v>212466.04643880433</v>
      </c>
      <c r="J82" s="221">
        <f t="shared" si="40"/>
        <v>209153.21934463529</v>
      </c>
      <c r="K82" s="222">
        <f t="shared" si="40"/>
        <v>205840.39225046625</v>
      </c>
      <c r="L82" s="266">
        <f t="shared" si="40"/>
        <v>198742.70075905905</v>
      </c>
      <c r="M82" s="267">
        <f t="shared" si="40"/>
        <v>195429.87366489001</v>
      </c>
      <c r="N82" s="237">
        <f t="shared" si="40"/>
        <v>192117.04657072091</v>
      </c>
      <c r="O82" s="266">
        <f t="shared" si="40"/>
        <v>188804.21947655192</v>
      </c>
      <c r="P82" s="267">
        <f t="shared" si="40"/>
        <v>185491.39238238282</v>
      </c>
      <c r="Q82" s="237">
        <f t="shared" si="40"/>
        <v>182178.56528821378</v>
      </c>
      <c r="R82" s="437">
        <f t="shared" si="40"/>
        <v>2427498.5580571513</v>
      </c>
      <c r="S82" s="715"/>
      <c r="T82" s="477"/>
      <c r="U82" s="477"/>
    </row>
    <row r="83" spans="1:22" s="478" customFormat="1" ht="16.5" customHeight="1">
      <c r="A83" s="450"/>
      <c r="B83" s="450"/>
      <c r="C83" s="450"/>
      <c r="D83" s="450"/>
      <c r="E83" s="614"/>
      <c r="F83" s="590"/>
      <c r="G83" s="590"/>
      <c r="H83" s="590"/>
      <c r="I83" s="590"/>
      <c r="J83" s="590"/>
      <c r="K83" s="590"/>
      <c r="L83" s="590"/>
      <c r="M83" s="590"/>
      <c r="N83" s="590"/>
      <c r="O83" s="590"/>
      <c r="P83" s="590"/>
      <c r="Q83" s="590"/>
      <c r="R83" s="224" t="b">
        <f>R82=R81+R80+R76</f>
        <v>1</v>
      </c>
      <c r="S83" s="476"/>
      <c r="T83" s="477"/>
      <c r="U83" s="477"/>
    </row>
    <row r="84" spans="1:22" ht="18.75" customHeight="1" thickBot="1">
      <c r="A84" s="109" t="s">
        <v>842</v>
      </c>
      <c r="B84" s="785"/>
      <c r="C84" s="253"/>
      <c r="D84" s="253"/>
      <c r="E84" s="786"/>
      <c r="F84" s="590"/>
      <c r="G84" s="590"/>
      <c r="H84" s="590"/>
      <c r="I84" s="590"/>
      <c r="J84" s="590"/>
      <c r="K84" s="590"/>
      <c r="L84" s="224"/>
      <c r="M84" s="224"/>
      <c r="N84" s="224"/>
      <c r="O84" s="224"/>
      <c r="P84" s="224"/>
      <c r="Q84" s="224"/>
      <c r="R84" s="224"/>
    </row>
    <row r="85" spans="1:22" ht="18.75" customHeight="1" thickBot="1">
      <c r="A85" s="55" t="s">
        <v>112</v>
      </c>
      <c r="B85" s="391" t="s">
        <v>124</v>
      </c>
      <c r="C85" s="482" t="s">
        <v>432</v>
      </c>
      <c r="D85" s="482" t="s">
        <v>847</v>
      </c>
      <c r="E85" s="484"/>
      <c r="F85" s="393" t="str">
        <f>F4</f>
        <v>Jan.25</v>
      </c>
      <c r="G85" s="315" t="str">
        <f t="shared" ref="G85:Q85" si="41">G4</f>
        <v>Feb.25</v>
      </c>
      <c r="H85" s="316" t="str">
        <f t="shared" si="41"/>
        <v>Mar.25</v>
      </c>
      <c r="I85" s="393" t="str">
        <f t="shared" si="41"/>
        <v>Apr.25</v>
      </c>
      <c r="J85" s="315" t="str">
        <f t="shared" si="41"/>
        <v>May.25</v>
      </c>
      <c r="K85" s="316" t="str">
        <f t="shared" si="41"/>
        <v>Jun.25</v>
      </c>
      <c r="L85" s="393" t="str">
        <f t="shared" si="41"/>
        <v>Jul.25</v>
      </c>
      <c r="M85" s="315" t="str">
        <f t="shared" si="41"/>
        <v>Aug.25</v>
      </c>
      <c r="N85" s="316" t="str">
        <f t="shared" si="41"/>
        <v>Sep.25</v>
      </c>
      <c r="O85" s="393" t="str">
        <f t="shared" si="41"/>
        <v>Oct.25</v>
      </c>
      <c r="P85" s="315" t="str">
        <f t="shared" si="41"/>
        <v>Nov.25</v>
      </c>
      <c r="Q85" s="316" t="str">
        <f t="shared" si="41"/>
        <v>Dec.25</v>
      </c>
      <c r="R85" s="485" t="s">
        <v>15</v>
      </c>
      <c r="T85" s="230"/>
      <c r="U85" s="230"/>
    </row>
    <row r="86" spans="1:22" ht="16.5" customHeight="1">
      <c r="A86" s="406" t="s">
        <v>838</v>
      </c>
      <c r="B86" s="406" t="s">
        <v>812</v>
      </c>
      <c r="C86" s="1244">
        <v>241</v>
      </c>
      <c r="D86" s="1244">
        <v>152</v>
      </c>
      <c r="E86" s="484"/>
      <c r="F86" s="523">
        <f t="shared" ref="F86:Q86" si="42">($C$86+$D$86)*F29</f>
        <v>7860</v>
      </c>
      <c r="G86" s="524">
        <f t="shared" si="42"/>
        <v>7860</v>
      </c>
      <c r="H86" s="525">
        <f t="shared" si="42"/>
        <v>7860</v>
      </c>
      <c r="I86" s="831">
        <f t="shared" si="42"/>
        <v>7860</v>
      </c>
      <c r="J86" s="524">
        <f t="shared" si="42"/>
        <v>7860</v>
      </c>
      <c r="K86" s="525">
        <f t="shared" si="42"/>
        <v>7860</v>
      </c>
      <c r="L86" s="408">
        <f t="shared" si="42"/>
        <v>7860</v>
      </c>
      <c r="M86" s="409">
        <f t="shared" si="42"/>
        <v>7860</v>
      </c>
      <c r="N86" s="410">
        <f t="shared" si="42"/>
        <v>7860</v>
      </c>
      <c r="O86" s="408">
        <f t="shared" si="42"/>
        <v>7860</v>
      </c>
      <c r="P86" s="409">
        <f t="shared" si="42"/>
        <v>7860</v>
      </c>
      <c r="Q86" s="410">
        <f t="shared" si="42"/>
        <v>7860</v>
      </c>
      <c r="R86" s="402">
        <f>SUM(F86:Q86)</f>
        <v>94320</v>
      </c>
    </row>
    <row r="87" spans="1:22" ht="16.5" customHeight="1">
      <c r="A87" s="406"/>
      <c r="B87" s="406" t="s">
        <v>801</v>
      </c>
      <c r="C87" s="456">
        <v>241</v>
      </c>
      <c r="D87" s="456">
        <v>152</v>
      </c>
      <c r="E87" s="456"/>
      <c r="F87" s="523">
        <f t="shared" ref="F87:Q87" si="43">($C$87+$D$87)*F30</f>
        <v>36156</v>
      </c>
      <c r="G87" s="524">
        <f t="shared" si="43"/>
        <v>34584</v>
      </c>
      <c r="H87" s="525">
        <f t="shared" si="43"/>
        <v>36156</v>
      </c>
      <c r="I87" s="831">
        <f t="shared" si="43"/>
        <v>37728</v>
      </c>
      <c r="J87" s="524">
        <f t="shared" si="43"/>
        <v>37728</v>
      </c>
      <c r="K87" s="525">
        <f t="shared" si="43"/>
        <v>38514</v>
      </c>
      <c r="L87" s="408">
        <f t="shared" si="43"/>
        <v>37728</v>
      </c>
      <c r="M87" s="409">
        <f t="shared" si="43"/>
        <v>37728</v>
      </c>
      <c r="N87" s="410">
        <f t="shared" si="43"/>
        <v>36942</v>
      </c>
      <c r="O87" s="408">
        <f t="shared" si="43"/>
        <v>35370</v>
      </c>
      <c r="P87" s="409">
        <f t="shared" si="43"/>
        <v>33798</v>
      </c>
      <c r="Q87" s="410">
        <f t="shared" si="43"/>
        <v>33012</v>
      </c>
      <c r="R87" s="411">
        <f>SUM(F87:Q87)</f>
        <v>435444</v>
      </c>
    </row>
    <row r="88" spans="1:22" ht="16.5" customHeight="1">
      <c r="A88" s="406"/>
      <c r="B88" s="406" t="s">
        <v>800</v>
      </c>
      <c r="C88" s="456">
        <v>241</v>
      </c>
      <c r="D88" s="456">
        <v>152</v>
      </c>
      <c r="E88" s="456"/>
      <c r="F88" s="523">
        <f t="shared" ref="F88:Q88" si="44">($C$88+$D$88)*F31</f>
        <v>85674</v>
      </c>
      <c r="G88" s="524">
        <f t="shared" si="44"/>
        <v>74277</v>
      </c>
      <c r="H88" s="525">
        <f t="shared" si="44"/>
        <v>78207</v>
      </c>
      <c r="I88" s="831">
        <f t="shared" si="44"/>
        <v>82923</v>
      </c>
      <c r="J88" s="524">
        <f t="shared" si="44"/>
        <v>81351</v>
      </c>
      <c r="K88" s="525">
        <f t="shared" si="44"/>
        <v>81351</v>
      </c>
      <c r="L88" s="408">
        <f t="shared" si="44"/>
        <v>80565</v>
      </c>
      <c r="M88" s="409">
        <f t="shared" si="44"/>
        <v>80172</v>
      </c>
      <c r="N88" s="410">
        <f t="shared" si="44"/>
        <v>78993</v>
      </c>
      <c r="O88" s="408">
        <f t="shared" si="44"/>
        <v>69954</v>
      </c>
      <c r="P88" s="409">
        <f t="shared" si="44"/>
        <v>56985</v>
      </c>
      <c r="Q88" s="410">
        <f t="shared" si="44"/>
        <v>42444</v>
      </c>
      <c r="R88" s="411">
        <f>SUM(F88:Q88)</f>
        <v>892896</v>
      </c>
    </row>
    <row r="89" spans="1:22" ht="16.5" customHeight="1">
      <c r="A89" s="406"/>
      <c r="B89" s="406" t="s">
        <v>799</v>
      </c>
      <c r="C89" s="456">
        <v>241</v>
      </c>
      <c r="D89" s="456">
        <v>152</v>
      </c>
      <c r="E89" s="456"/>
      <c r="F89" s="523">
        <f t="shared" ref="F89:Q89" si="45">($C$89+$D$89)*F32</f>
        <v>86460</v>
      </c>
      <c r="G89" s="524">
        <f t="shared" si="45"/>
        <v>109647</v>
      </c>
      <c r="H89" s="525">
        <f t="shared" si="45"/>
        <v>119472</v>
      </c>
      <c r="I89" s="831">
        <f t="shared" si="45"/>
        <v>129690</v>
      </c>
      <c r="J89" s="524">
        <f t="shared" si="45"/>
        <v>128118</v>
      </c>
      <c r="K89" s="525">
        <f t="shared" si="45"/>
        <v>128904</v>
      </c>
      <c r="L89" s="408">
        <f t="shared" si="45"/>
        <v>127332</v>
      </c>
      <c r="M89" s="409">
        <f t="shared" si="45"/>
        <v>128511</v>
      </c>
      <c r="N89" s="410">
        <f t="shared" si="45"/>
        <v>123009</v>
      </c>
      <c r="O89" s="408">
        <f t="shared" si="45"/>
        <v>121437</v>
      </c>
      <c r="P89" s="409">
        <f t="shared" si="45"/>
        <v>114756</v>
      </c>
      <c r="Q89" s="410">
        <f t="shared" si="45"/>
        <v>104931</v>
      </c>
      <c r="R89" s="411">
        <f>SUM(F89:Q89)</f>
        <v>1422267</v>
      </c>
    </row>
    <row r="90" spans="1:22" ht="16.5" customHeight="1" thickBot="1">
      <c r="A90" s="458"/>
      <c r="B90" s="458" t="s">
        <v>93</v>
      </c>
      <c r="C90" s="456">
        <v>241</v>
      </c>
      <c r="D90" s="456">
        <v>152</v>
      </c>
      <c r="E90" s="459"/>
      <c r="F90" s="1236">
        <f t="shared" ref="F90:Q90" si="46">($C$90+$D$90)*F33</f>
        <v>21615</v>
      </c>
      <c r="G90" s="1237">
        <f t="shared" si="46"/>
        <v>22401</v>
      </c>
      <c r="H90" s="1238">
        <f t="shared" si="46"/>
        <v>25545</v>
      </c>
      <c r="I90" s="1236">
        <f t="shared" si="46"/>
        <v>26331</v>
      </c>
      <c r="J90" s="1237">
        <f t="shared" si="46"/>
        <v>25938</v>
      </c>
      <c r="K90" s="1238">
        <f t="shared" si="46"/>
        <v>21615</v>
      </c>
      <c r="L90" s="1236">
        <f t="shared" si="46"/>
        <v>17685</v>
      </c>
      <c r="M90" s="1237">
        <f t="shared" si="46"/>
        <v>14148</v>
      </c>
      <c r="N90" s="1238">
        <f t="shared" si="46"/>
        <v>13755</v>
      </c>
      <c r="O90" s="1236">
        <f t="shared" si="46"/>
        <v>14148</v>
      </c>
      <c r="P90" s="1237">
        <f t="shared" si="46"/>
        <v>13755</v>
      </c>
      <c r="Q90" s="1238">
        <f t="shared" si="46"/>
        <v>12183</v>
      </c>
      <c r="R90" s="1245">
        <f>SUM(F90:Q90)</f>
        <v>229119</v>
      </c>
    </row>
    <row r="91" spans="1:22" ht="16.5" customHeight="1" thickBot="1">
      <c r="A91" s="5315" t="s">
        <v>846</v>
      </c>
      <c r="B91" s="5328"/>
      <c r="C91" s="5328"/>
      <c r="D91" s="5328"/>
      <c r="E91" s="618"/>
      <c r="F91" s="797"/>
      <c r="G91" s="221"/>
      <c r="H91" s="512"/>
      <c r="I91" s="220"/>
      <c r="J91" s="221"/>
      <c r="K91" s="222"/>
      <c r="L91" s="266"/>
      <c r="M91" s="267"/>
      <c r="N91" s="237"/>
      <c r="O91" s="266"/>
      <c r="P91" s="267"/>
      <c r="Q91" s="237"/>
      <c r="R91" s="411"/>
    </row>
    <row r="92" spans="1:22" ht="16.5" customHeight="1" thickBot="1">
      <c r="A92" s="5328" t="s">
        <v>15</v>
      </c>
      <c r="B92" s="5328"/>
      <c r="C92" s="5328"/>
      <c r="D92" s="5328"/>
      <c r="E92" s="600"/>
      <c r="F92" s="832">
        <f t="shared" ref="F92:R92" si="47">SUM(F85:F90)</f>
        <v>237765</v>
      </c>
      <c r="G92" s="833">
        <f t="shared" si="47"/>
        <v>248769</v>
      </c>
      <c r="H92" s="834">
        <f t="shared" si="47"/>
        <v>267240</v>
      </c>
      <c r="I92" s="832">
        <f t="shared" si="47"/>
        <v>284532</v>
      </c>
      <c r="J92" s="833">
        <f t="shared" si="47"/>
        <v>280995</v>
      </c>
      <c r="K92" s="834">
        <f t="shared" si="47"/>
        <v>278244</v>
      </c>
      <c r="L92" s="466">
        <f t="shared" si="47"/>
        <v>271170</v>
      </c>
      <c r="M92" s="467">
        <f t="shared" si="47"/>
        <v>268419</v>
      </c>
      <c r="N92" s="468">
        <f t="shared" si="47"/>
        <v>260559</v>
      </c>
      <c r="O92" s="466">
        <f t="shared" si="47"/>
        <v>248769</v>
      </c>
      <c r="P92" s="467">
        <f t="shared" si="47"/>
        <v>227154</v>
      </c>
      <c r="Q92" s="468">
        <f t="shared" si="47"/>
        <v>200430</v>
      </c>
      <c r="R92" s="437">
        <f t="shared" si="47"/>
        <v>3074046</v>
      </c>
    </row>
    <row r="93" spans="1:22" s="229" customFormat="1" ht="16.5" customHeight="1" thickBot="1">
      <c r="A93" s="450"/>
      <c r="B93" s="615"/>
      <c r="C93" s="616"/>
      <c r="D93" s="593"/>
      <c r="E93" s="595"/>
      <c r="F93" s="590"/>
      <c r="G93" s="590"/>
      <c r="H93" s="590"/>
      <c r="I93" s="224"/>
      <c r="J93" s="224"/>
      <c r="K93" s="224"/>
      <c r="L93" s="224"/>
      <c r="M93" s="224"/>
      <c r="N93" s="224"/>
      <c r="O93" s="224"/>
      <c r="P93" s="224"/>
      <c r="Q93" s="224"/>
      <c r="R93" s="103" t="b">
        <f>R92=SUM(F92:Q92)</f>
        <v>1</v>
      </c>
      <c r="S93" s="403"/>
      <c r="T93" s="230"/>
      <c r="U93" s="230"/>
    </row>
    <row r="94" spans="1:22" s="229" customFormat="1" ht="24" customHeight="1" thickBot="1">
      <c r="A94" s="5317" t="s">
        <v>848</v>
      </c>
      <c r="B94" s="5318"/>
      <c r="C94" s="5318"/>
      <c r="D94" s="5318"/>
      <c r="E94" s="5319"/>
      <c r="F94" s="828">
        <f t="shared" ref="F94:Q94" si="48">F69+F82+F92</f>
        <v>595972.57676790643</v>
      </c>
      <c r="G94" s="829">
        <f t="shared" si="48"/>
        <v>603663.74967373745</v>
      </c>
      <c r="H94" s="830">
        <f t="shared" si="48"/>
        <v>618821.92257956835</v>
      </c>
      <c r="I94" s="828">
        <f t="shared" si="48"/>
        <v>632801.09548539936</v>
      </c>
      <c r="J94" s="829">
        <f t="shared" si="48"/>
        <v>625951.26839123026</v>
      </c>
      <c r="K94" s="830">
        <f t="shared" si="48"/>
        <v>619887.44129706128</v>
      </c>
      <c r="L94" s="828">
        <f t="shared" si="48"/>
        <v>605715.74980565405</v>
      </c>
      <c r="M94" s="829">
        <f t="shared" si="48"/>
        <v>599651.92271148507</v>
      </c>
      <c r="N94" s="830">
        <f t="shared" si="48"/>
        <v>588479.09561731596</v>
      </c>
      <c r="O94" s="828">
        <f t="shared" si="48"/>
        <v>573376.26852314686</v>
      </c>
      <c r="P94" s="829">
        <f t="shared" si="48"/>
        <v>548448.44142897776</v>
      </c>
      <c r="Q94" s="829">
        <f t="shared" si="48"/>
        <v>638411.61433480878</v>
      </c>
      <c r="R94" s="449">
        <f>SUM(F94:Q94)</f>
        <v>7251181.1466162913</v>
      </c>
      <c r="S94" s="403"/>
      <c r="T94" s="230"/>
      <c r="U94" s="230"/>
      <c r="V94" s="105"/>
    </row>
    <row r="95" spans="1:22" ht="16.5" customHeight="1">
      <c r="A95" s="469"/>
      <c r="B95" s="389"/>
      <c r="C95" s="389"/>
      <c r="D95" s="389"/>
      <c r="E95" s="515"/>
      <c r="F95" s="535"/>
      <c r="G95" s="535"/>
      <c r="H95" s="535"/>
      <c r="I95" s="535"/>
      <c r="J95" s="535"/>
      <c r="K95" s="617"/>
      <c r="L95" s="107"/>
      <c r="M95" s="107"/>
      <c r="N95" s="107"/>
      <c r="O95" s="107"/>
      <c r="P95" s="107"/>
      <c r="Q95" s="107"/>
      <c r="S95" s="102"/>
      <c r="V95" s="107"/>
    </row>
    <row r="96" spans="1:22" ht="16.5" customHeight="1" thickBot="1">
      <c r="A96" s="109" t="s">
        <v>839</v>
      </c>
      <c r="B96" s="389"/>
      <c r="C96" s="389"/>
      <c r="D96" s="389"/>
      <c r="E96" s="389"/>
      <c r="F96" s="592"/>
      <c r="G96" s="592"/>
      <c r="H96" s="528"/>
      <c r="I96" s="528"/>
      <c r="J96" s="528"/>
      <c r="K96" s="529"/>
      <c r="L96" s="528"/>
      <c r="M96" s="528"/>
      <c r="N96" s="528"/>
      <c r="O96" s="528"/>
      <c r="P96" s="528"/>
      <c r="Q96" s="528"/>
      <c r="R96" s="108" t="s">
        <v>87</v>
      </c>
    </row>
    <row r="97" spans="1:22" ht="16.5" customHeight="1" thickBot="1">
      <c r="A97" s="393" t="s">
        <v>112</v>
      </c>
      <c r="B97" s="5333" t="s">
        <v>109</v>
      </c>
      <c r="C97" s="5334"/>
      <c r="D97" s="391" t="s">
        <v>756</v>
      </c>
      <c r="E97" s="316" t="s">
        <v>29</v>
      </c>
      <c r="F97" s="393" t="str">
        <f t="shared" ref="F97:Q97" si="49">F116</f>
        <v>Jan.25</v>
      </c>
      <c r="G97" s="315" t="str">
        <f t="shared" si="49"/>
        <v>Feb.25</v>
      </c>
      <c r="H97" s="316" t="str">
        <f t="shared" si="49"/>
        <v>Mar.25</v>
      </c>
      <c r="I97" s="393" t="str">
        <f t="shared" si="49"/>
        <v>Apr.25</v>
      </c>
      <c r="J97" s="315" t="str">
        <f t="shared" si="49"/>
        <v>May.25</v>
      </c>
      <c r="K97" s="316" t="str">
        <f t="shared" si="49"/>
        <v>Jun.25</v>
      </c>
      <c r="L97" s="393" t="str">
        <f t="shared" si="49"/>
        <v>Jul.25</v>
      </c>
      <c r="M97" s="315" t="str">
        <f t="shared" si="49"/>
        <v>Aug.25</v>
      </c>
      <c r="N97" s="316" t="str">
        <f t="shared" si="49"/>
        <v>Sep.25</v>
      </c>
      <c r="O97" s="393" t="str">
        <f t="shared" si="49"/>
        <v>Oct.25</v>
      </c>
      <c r="P97" s="315" t="str">
        <f t="shared" si="49"/>
        <v>Nov.25</v>
      </c>
      <c r="Q97" s="316" t="str">
        <f t="shared" si="49"/>
        <v>Dec.25</v>
      </c>
      <c r="R97" s="316" t="s">
        <v>472</v>
      </c>
    </row>
    <row r="98" spans="1:22" ht="16.5" customHeight="1">
      <c r="A98" s="716" t="s">
        <v>843</v>
      </c>
      <c r="B98" s="5329" t="s">
        <v>851</v>
      </c>
      <c r="C98" s="5330"/>
      <c r="D98" s="725">
        <v>3</v>
      </c>
      <c r="E98" s="522">
        <f>65000/24000</f>
        <v>2.7083333333333335</v>
      </c>
      <c r="F98" s="861">
        <f t="shared" ref="F98:Q98" si="50">SUM(F13)*F$117*$E$98*$D$98</f>
        <v>2437.5</v>
      </c>
      <c r="G98" s="843">
        <f t="shared" si="50"/>
        <v>2803.125</v>
      </c>
      <c r="H98" s="862">
        <f t="shared" si="50"/>
        <v>3168.75</v>
      </c>
      <c r="I98" s="861">
        <f t="shared" si="50"/>
        <v>2925</v>
      </c>
      <c r="J98" s="843">
        <f t="shared" si="50"/>
        <v>3046.875</v>
      </c>
      <c r="K98" s="863">
        <f t="shared" si="50"/>
        <v>3046.875</v>
      </c>
      <c r="L98" s="530">
        <f t="shared" si="50"/>
        <v>3290.625</v>
      </c>
      <c r="M98" s="531">
        <f t="shared" si="50"/>
        <v>3168.75</v>
      </c>
      <c r="N98" s="532">
        <f t="shared" si="50"/>
        <v>2803.125</v>
      </c>
      <c r="O98" s="530">
        <f t="shared" si="50"/>
        <v>3168.75</v>
      </c>
      <c r="P98" s="531">
        <f t="shared" si="50"/>
        <v>3046.875</v>
      </c>
      <c r="Q98" s="532">
        <f t="shared" si="50"/>
        <v>3168.75</v>
      </c>
      <c r="R98" s="723">
        <f>SUM(F98:Q98)</f>
        <v>36075</v>
      </c>
    </row>
    <row r="99" spans="1:22" ht="16.5" customHeight="1">
      <c r="A99" s="716"/>
      <c r="B99" s="5329" t="s">
        <v>844</v>
      </c>
      <c r="C99" s="5330"/>
      <c r="D99" s="725">
        <v>2</v>
      </c>
      <c r="E99" s="522">
        <v>0.8</v>
      </c>
      <c r="F99" s="861">
        <f t="shared" ref="F99:Q99" si="51">SUM(F25)*F$117*$E$99*$D$99</f>
        <v>7520</v>
      </c>
      <c r="G99" s="843">
        <f t="shared" si="51"/>
        <v>8500.8000000000011</v>
      </c>
      <c r="H99" s="862">
        <f t="shared" si="51"/>
        <v>9443.2000000000007</v>
      </c>
      <c r="I99" s="861">
        <f t="shared" si="51"/>
        <v>8563.2000000000007</v>
      </c>
      <c r="J99" s="843">
        <f t="shared" si="51"/>
        <v>8760</v>
      </c>
      <c r="K99" s="862">
        <f t="shared" si="51"/>
        <v>8600</v>
      </c>
      <c r="L99" s="530">
        <f t="shared" si="51"/>
        <v>8899.2000000000007</v>
      </c>
      <c r="M99" s="531">
        <f t="shared" si="51"/>
        <v>8403.2000000000007</v>
      </c>
      <c r="N99" s="532">
        <f t="shared" si="51"/>
        <v>7286.4000000000005</v>
      </c>
      <c r="O99" s="530">
        <f t="shared" si="51"/>
        <v>8070.4000000000005</v>
      </c>
      <c r="P99" s="531">
        <f t="shared" si="51"/>
        <v>7600</v>
      </c>
      <c r="Q99" s="532">
        <f t="shared" si="51"/>
        <v>7737.6</v>
      </c>
      <c r="R99" s="723">
        <f>SUM(F99:Q99)</f>
        <v>99383.999999999985</v>
      </c>
    </row>
    <row r="100" spans="1:22" ht="16.5" customHeight="1" thickBot="1">
      <c r="A100" s="1243"/>
      <c r="B100" s="1239" t="s">
        <v>845</v>
      </c>
      <c r="C100" s="52"/>
      <c r="D100" s="725">
        <v>2</v>
      </c>
      <c r="E100" s="522">
        <v>0.8</v>
      </c>
      <c r="F100" s="861">
        <f t="shared" ref="F100:Q100" si="52">SUM(F34)*F$117*$E$100*$D$100</f>
        <v>19360</v>
      </c>
      <c r="G100" s="843">
        <f t="shared" si="52"/>
        <v>23294.400000000001</v>
      </c>
      <c r="H100" s="862">
        <f t="shared" si="52"/>
        <v>28288</v>
      </c>
      <c r="I100" s="1240">
        <f t="shared" si="52"/>
        <v>27801.600000000002</v>
      </c>
      <c r="J100" s="843">
        <f t="shared" si="52"/>
        <v>28600</v>
      </c>
      <c r="K100" s="862">
        <f t="shared" si="52"/>
        <v>28320</v>
      </c>
      <c r="L100" s="530">
        <f t="shared" si="52"/>
        <v>29808</v>
      </c>
      <c r="M100" s="531">
        <f t="shared" si="52"/>
        <v>28412.800000000003</v>
      </c>
      <c r="N100" s="532">
        <f t="shared" si="52"/>
        <v>24398.400000000001</v>
      </c>
      <c r="O100" s="530">
        <f t="shared" si="52"/>
        <v>26332.800000000003</v>
      </c>
      <c r="P100" s="531">
        <f t="shared" si="52"/>
        <v>23120</v>
      </c>
      <c r="Q100" s="532">
        <f t="shared" si="52"/>
        <v>21216</v>
      </c>
      <c r="R100" s="723">
        <f>SUM(F100:Q100)</f>
        <v>308952</v>
      </c>
    </row>
    <row r="101" spans="1:22" ht="16.5" customHeight="1" thickBot="1">
      <c r="A101" s="5320" t="s">
        <v>138</v>
      </c>
      <c r="B101" s="5321"/>
      <c r="C101" s="5321"/>
      <c r="D101" s="5321"/>
      <c r="E101" s="5322"/>
      <c r="F101" s="223">
        <f t="shared" ref="F101:R101" si="53">SUM(F98:F100)</f>
        <v>29317.5</v>
      </c>
      <c r="G101" s="223">
        <f t="shared" si="53"/>
        <v>34598.325000000004</v>
      </c>
      <c r="H101" s="223">
        <f t="shared" si="53"/>
        <v>40899.949999999997</v>
      </c>
      <c r="I101" s="223">
        <f t="shared" si="53"/>
        <v>39289.800000000003</v>
      </c>
      <c r="J101" s="223">
        <f t="shared" si="53"/>
        <v>40406.875</v>
      </c>
      <c r="K101" s="1241">
        <f t="shared" si="53"/>
        <v>39966.875</v>
      </c>
      <c r="L101" s="1242">
        <f t="shared" si="53"/>
        <v>41997.824999999997</v>
      </c>
      <c r="M101" s="1242">
        <f t="shared" si="53"/>
        <v>39984.75</v>
      </c>
      <c r="N101" s="1242">
        <f t="shared" si="53"/>
        <v>34487.925000000003</v>
      </c>
      <c r="O101" s="1242">
        <f t="shared" si="53"/>
        <v>37571.950000000004</v>
      </c>
      <c r="P101" s="1242">
        <f t="shared" si="53"/>
        <v>33766.875</v>
      </c>
      <c r="Q101" s="1242">
        <f t="shared" si="53"/>
        <v>32122.35</v>
      </c>
      <c r="R101" s="1242">
        <f t="shared" si="53"/>
        <v>444411</v>
      </c>
    </row>
    <row r="102" spans="1:22" ht="18.75" customHeight="1">
      <c r="D102" s="106"/>
      <c r="E102" s="106"/>
      <c r="F102" s="713"/>
      <c r="G102" s="713"/>
      <c r="H102" s="228"/>
      <c r="I102" s="472"/>
      <c r="R102" s="1246" t="b">
        <f>R101=SUM(F101:Q101)</f>
        <v>1</v>
      </c>
      <c r="S102" s="471" t="s">
        <v>820</v>
      </c>
    </row>
    <row r="103" spans="1:22" ht="18.75" customHeight="1">
      <c r="E103" s="106"/>
      <c r="F103" s="713"/>
      <c r="G103" s="713"/>
      <c r="H103" s="713"/>
      <c r="I103" s="528"/>
      <c r="J103" s="528"/>
      <c r="K103" s="528"/>
      <c r="L103" s="528"/>
      <c r="M103" s="528"/>
      <c r="N103" s="528"/>
      <c r="O103" s="528"/>
      <c r="P103" s="5332" t="s">
        <v>371</v>
      </c>
      <c r="Q103" s="5332"/>
      <c r="R103" s="534">
        <f>R101+R94</f>
        <v>7695592.1466162913</v>
      </c>
      <c r="S103" s="1153">
        <v>10726969</v>
      </c>
    </row>
    <row r="104" spans="1:22" ht="16.5" hidden="1" customHeight="1" thickBot="1">
      <c r="A104" s="109" t="s">
        <v>849</v>
      </c>
      <c r="B104" s="479"/>
      <c r="C104" s="479"/>
      <c r="D104" s="479"/>
      <c r="E104" s="479"/>
      <c r="F104" s="535"/>
      <c r="G104" s="535"/>
      <c r="H104" s="535"/>
      <c r="I104" s="535"/>
      <c r="J104" s="535"/>
      <c r="K104" s="535"/>
      <c r="L104" s="480"/>
      <c r="M104" s="480"/>
      <c r="N104" s="480"/>
      <c r="O104" s="480"/>
      <c r="P104" s="480"/>
      <c r="Q104" s="480"/>
      <c r="R104" s="108" t="s">
        <v>87</v>
      </c>
      <c r="T104" s="230"/>
      <c r="U104" s="230"/>
    </row>
    <row r="105" spans="1:22" ht="16.5" hidden="1" customHeight="1" thickBot="1">
      <c r="A105" s="5323" t="s">
        <v>137</v>
      </c>
      <c r="B105" s="5324"/>
      <c r="C105" s="482" t="s">
        <v>126</v>
      </c>
      <c r="D105" s="483"/>
      <c r="E105" s="484" t="s">
        <v>29</v>
      </c>
      <c r="F105" s="393" t="str">
        <f t="shared" ref="F105:Q105" si="54">F72</f>
        <v>Jan.25</v>
      </c>
      <c r="G105" s="315" t="str">
        <f t="shared" si="54"/>
        <v>Feb.25</v>
      </c>
      <c r="H105" s="316" t="str">
        <f t="shared" si="54"/>
        <v>Mar.25</v>
      </c>
      <c r="I105" s="393" t="str">
        <f t="shared" si="54"/>
        <v>Apr.25</v>
      </c>
      <c r="J105" s="315" t="str">
        <f t="shared" si="54"/>
        <v>May.25</v>
      </c>
      <c r="K105" s="316" t="str">
        <f t="shared" si="54"/>
        <v>Jun.25</v>
      </c>
      <c r="L105" s="393" t="str">
        <f t="shared" si="54"/>
        <v>Jul.25</v>
      </c>
      <c r="M105" s="315" t="str">
        <f t="shared" si="54"/>
        <v>Aug.25</v>
      </c>
      <c r="N105" s="316" t="str">
        <f t="shared" si="54"/>
        <v>Sep.25</v>
      </c>
      <c r="O105" s="393" t="str">
        <f t="shared" si="54"/>
        <v>Oct.25</v>
      </c>
      <c r="P105" s="315" t="str">
        <f t="shared" si="54"/>
        <v>Nov.25</v>
      </c>
      <c r="Q105" s="316" t="str">
        <f t="shared" si="54"/>
        <v>Dec.25</v>
      </c>
      <c r="R105" s="485" t="s">
        <v>15</v>
      </c>
      <c r="T105" s="230"/>
      <c r="U105" s="230"/>
    </row>
    <row r="106" spans="1:22" ht="16.5" hidden="1" customHeight="1">
      <c r="A106" s="5325" t="s">
        <v>310</v>
      </c>
      <c r="B106" s="486" t="s">
        <v>851</v>
      </c>
      <c r="C106" s="487"/>
      <c r="D106" s="488"/>
      <c r="E106" s="489"/>
      <c r="F106" s="841">
        <f t="shared" ref="F106:P106" si="55">F67</f>
        <v>48472.049046595013</v>
      </c>
      <c r="G106" s="788">
        <f t="shared" si="55"/>
        <v>48472.049046595013</v>
      </c>
      <c r="H106" s="841">
        <f t="shared" si="55"/>
        <v>48472.049046595013</v>
      </c>
      <c r="I106" s="787">
        <f t="shared" si="55"/>
        <v>48472.049046595013</v>
      </c>
      <c r="J106" s="818">
        <f t="shared" si="55"/>
        <v>48472.049046595013</v>
      </c>
      <c r="K106" s="842">
        <f t="shared" si="55"/>
        <v>48472.049046595013</v>
      </c>
      <c r="L106" s="707">
        <f t="shared" si="55"/>
        <v>48472.049046595013</v>
      </c>
      <c r="M106" s="707">
        <f t="shared" si="55"/>
        <v>48472.049046595013</v>
      </c>
      <c r="N106" s="709">
        <f t="shared" si="55"/>
        <v>48472.049046595013</v>
      </c>
      <c r="O106" s="399">
        <f t="shared" si="55"/>
        <v>48472.049046595013</v>
      </c>
      <c r="P106" s="707">
        <f t="shared" si="55"/>
        <v>48472.049046595013</v>
      </c>
      <c r="Q106" s="708">
        <f>Q67+Q68</f>
        <v>168472.049046595</v>
      </c>
      <c r="R106" s="490">
        <f>SUM(F106:Q106)</f>
        <v>701664.5885591401</v>
      </c>
      <c r="T106" s="230"/>
      <c r="U106" s="230"/>
    </row>
    <row r="107" spans="1:22" ht="16.5" hidden="1" customHeight="1">
      <c r="A107" s="5326"/>
      <c r="B107" s="491" t="s">
        <v>311</v>
      </c>
      <c r="C107" s="492"/>
      <c r="D107" s="493"/>
      <c r="E107" s="494"/>
      <c r="F107" s="843">
        <f t="shared" ref="F107:Q107" si="56">F80+F92</f>
        <v>386254.73460318317</v>
      </c>
      <c r="G107" s="843">
        <f t="shared" si="56"/>
        <v>393945.90750901413</v>
      </c>
      <c r="H107" s="843">
        <f t="shared" si="56"/>
        <v>409104.08041484508</v>
      </c>
      <c r="I107" s="523">
        <f t="shared" si="56"/>
        <v>423083.25332067604</v>
      </c>
      <c r="J107" s="792">
        <f t="shared" si="56"/>
        <v>416233.426226507</v>
      </c>
      <c r="K107" s="844">
        <f t="shared" si="56"/>
        <v>410169.59913233796</v>
      </c>
      <c r="L107" s="495">
        <f t="shared" si="56"/>
        <v>399782.77203816891</v>
      </c>
      <c r="M107" s="495">
        <f t="shared" si="56"/>
        <v>393718.94494399987</v>
      </c>
      <c r="N107" s="121">
        <f t="shared" si="56"/>
        <v>382546.11784983077</v>
      </c>
      <c r="O107" s="408">
        <f t="shared" si="56"/>
        <v>367443.29075566179</v>
      </c>
      <c r="P107" s="495">
        <f t="shared" si="56"/>
        <v>342515.46366149269</v>
      </c>
      <c r="Q107" s="496">
        <f t="shared" si="56"/>
        <v>312478.6365673237</v>
      </c>
      <c r="R107" s="497">
        <f>SUM(F107:Q107)</f>
        <v>4637276.2270230399</v>
      </c>
      <c r="T107" s="230"/>
      <c r="U107" s="230"/>
    </row>
    <row r="108" spans="1:22" ht="16.5" hidden="1" customHeight="1">
      <c r="A108" s="5327"/>
      <c r="B108" s="498" t="s">
        <v>363</v>
      </c>
      <c r="C108" s="499"/>
      <c r="D108" s="500"/>
      <c r="E108" s="501"/>
      <c r="F108" s="845">
        <f t="shared" ref="F108:R108" si="57">SUM(F106:F107)</f>
        <v>434726.78364977817</v>
      </c>
      <c r="G108" s="845">
        <f t="shared" si="57"/>
        <v>442417.95655560913</v>
      </c>
      <c r="H108" s="845">
        <f t="shared" si="57"/>
        <v>457576.12946144008</v>
      </c>
      <c r="I108" s="846">
        <f t="shared" si="57"/>
        <v>471555.30236727104</v>
      </c>
      <c r="J108" s="845">
        <f t="shared" si="57"/>
        <v>464705.475273102</v>
      </c>
      <c r="K108" s="847">
        <f t="shared" si="57"/>
        <v>458641.64817893296</v>
      </c>
      <c r="L108" s="502">
        <f t="shared" si="57"/>
        <v>448254.82108476391</v>
      </c>
      <c r="M108" s="502">
        <f t="shared" si="57"/>
        <v>442190.99399059487</v>
      </c>
      <c r="N108" s="503">
        <f t="shared" si="57"/>
        <v>431018.16689642577</v>
      </c>
      <c r="O108" s="504">
        <f t="shared" si="57"/>
        <v>415915.33980225679</v>
      </c>
      <c r="P108" s="502">
        <f t="shared" si="57"/>
        <v>390987.51270808768</v>
      </c>
      <c r="Q108" s="503">
        <f t="shared" si="57"/>
        <v>480950.6856139187</v>
      </c>
      <c r="R108" s="428">
        <f t="shared" si="57"/>
        <v>5338940.8155821804</v>
      </c>
      <c r="S108" s="505"/>
      <c r="T108" s="230"/>
      <c r="U108" s="230"/>
    </row>
    <row r="109" spans="1:22" ht="16.5" hidden="1" customHeight="1">
      <c r="A109" s="5338" t="s">
        <v>364</v>
      </c>
      <c r="B109" s="506" t="s">
        <v>851</v>
      </c>
      <c r="C109" s="507"/>
      <c r="D109" s="508"/>
      <c r="E109" s="509"/>
      <c r="F109" s="848">
        <f t="shared" ref="F109:Q109" si="58">F63</f>
        <v>87331</v>
      </c>
      <c r="G109" s="849">
        <f t="shared" si="58"/>
        <v>87331</v>
      </c>
      <c r="H109" s="848">
        <f t="shared" si="58"/>
        <v>87331</v>
      </c>
      <c r="I109" s="825">
        <f t="shared" si="58"/>
        <v>87331</v>
      </c>
      <c r="J109" s="850">
        <f t="shared" si="58"/>
        <v>87331</v>
      </c>
      <c r="K109" s="851">
        <f t="shared" si="58"/>
        <v>87331</v>
      </c>
      <c r="L109" s="710">
        <f t="shared" si="58"/>
        <v>87331</v>
      </c>
      <c r="M109" s="710">
        <f t="shared" si="58"/>
        <v>87331</v>
      </c>
      <c r="N109" s="712">
        <f t="shared" si="58"/>
        <v>87331</v>
      </c>
      <c r="O109" s="425">
        <f t="shared" si="58"/>
        <v>87331</v>
      </c>
      <c r="P109" s="710">
        <f t="shared" si="58"/>
        <v>87331</v>
      </c>
      <c r="Q109" s="711">
        <f t="shared" si="58"/>
        <v>87331</v>
      </c>
      <c r="R109" s="510">
        <f>SUM(F109:Q109)</f>
        <v>1047972</v>
      </c>
      <c r="T109" s="230"/>
      <c r="U109" s="230"/>
    </row>
    <row r="110" spans="1:22" ht="16.5" hidden="1" customHeight="1">
      <c r="A110" s="5326"/>
      <c r="B110" s="491" t="s">
        <v>311</v>
      </c>
      <c r="C110" s="492"/>
      <c r="D110" s="493"/>
      <c r="E110" s="494"/>
      <c r="F110" s="852">
        <f t="shared" ref="F110:Q110" si="59">+F76</f>
        <v>73914.793118128291</v>
      </c>
      <c r="G110" s="461">
        <f t="shared" si="59"/>
        <v>73914.793118128291</v>
      </c>
      <c r="H110" s="853">
        <f t="shared" si="59"/>
        <v>73914.793118128291</v>
      </c>
      <c r="I110" s="523">
        <f t="shared" si="59"/>
        <v>73914.793118128291</v>
      </c>
      <c r="J110" s="792">
        <f t="shared" si="59"/>
        <v>73914.793118128291</v>
      </c>
      <c r="K110" s="844">
        <f t="shared" si="59"/>
        <v>73914.793118128291</v>
      </c>
      <c r="L110" s="495">
        <f t="shared" si="59"/>
        <v>70129.928720890122</v>
      </c>
      <c r="M110" s="495">
        <f t="shared" si="59"/>
        <v>70129.928720890122</v>
      </c>
      <c r="N110" s="121">
        <f t="shared" si="59"/>
        <v>70129.928720890122</v>
      </c>
      <c r="O110" s="408">
        <f t="shared" si="59"/>
        <v>70129.928720890122</v>
      </c>
      <c r="P110" s="495">
        <f t="shared" si="59"/>
        <v>70129.928720890122</v>
      </c>
      <c r="Q110" s="496">
        <f t="shared" si="59"/>
        <v>70129.928720890122</v>
      </c>
      <c r="R110" s="511">
        <f>SUM(F110:Q110)</f>
        <v>864268.33103411039</v>
      </c>
    </row>
    <row r="111" spans="1:22" ht="16.5" hidden="1" customHeight="1" thickBot="1">
      <c r="A111" s="5327"/>
      <c r="B111" s="717" t="s">
        <v>363</v>
      </c>
      <c r="C111" s="718"/>
      <c r="D111" s="719"/>
      <c r="E111" s="533"/>
      <c r="F111" s="854">
        <f t="shared" ref="F111:R111" si="60">SUM(F109:F110)</f>
        <v>161245.79311812829</v>
      </c>
      <c r="G111" s="854">
        <f t="shared" si="60"/>
        <v>161245.79311812829</v>
      </c>
      <c r="H111" s="855">
        <f t="shared" si="60"/>
        <v>161245.79311812829</v>
      </c>
      <c r="I111" s="820">
        <f t="shared" si="60"/>
        <v>161245.79311812829</v>
      </c>
      <c r="J111" s="856">
        <f t="shared" si="60"/>
        <v>161245.79311812829</v>
      </c>
      <c r="K111" s="857">
        <f t="shared" si="60"/>
        <v>161245.79311812829</v>
      </c>
      <c r="L111" s="720">
        <f t="shared" si="60"/>
        <v>157460.92872089014</v>
      </c>
      <c r="M111" s="720">
        <f t="shared" si="60"/>
        <v>157460.92872089014</v>
      </c>
      <c r="N111" s="722">
        <f t="shared" si="60"/>
        <v>157460.92872089014</v>
      </c>
      <c r="O111" s="418">
        <f t="shared" si="60"/>
        <v>157460.92872089014</v>
      </c>
      <c r="P111" s="720">
        <f t="shared" si="60"/>
        <v>157460.92872089014</v>
      </c>
      <c r="Q111" s="721">
        <f t="shared" si="60"/>
        <v>157460.92872089014</v>
      </c>
      <c r="R111" s="420">
        <f t="shared" si="60"/>
        <v>1912240.3310341104</v>
      </c>
      <c r="V111" s="107"/>
    </row>
    <row r="112" spans="1:22" ht="16.5" hidden="1" customHeight="1" thickBot="1">
      <c r="A112" s="5323" t="s">
        <v>365</v>
      </c>
      <c r="B112" s="5339"/>
      <c r="C112" s="5339"/>
      <c r="D112" s="5339"/>
      <c r="E112" s="5340"/>
      <c r="F112" s="512">
        <f t="shared" ref="F112:R112" si="61">F111+F108</f>
        <v>595972.57676790643</v>
      </c>
      <c r="G112" s="512">
        <f t="shared" si="61"/>
        <v>603663.74967373745</v>
      </c>
      <c r="H112" s="512">
        <f t="shared" si="61"/>
        <v>618821.92257956835</v>
      </c>
      <c r="I112" s="220">
        <f t="shared" si="61"/>
        <v>632801.09548539936</v>
      </c>
      <c r="J112" s="512">
        <f t="shared" si="61"/>
        <v>625951.26839123026</v>
      </c>
      <c r="K112" s="514">
        <f t="shared" si="61"/>
        <v>619887.44129706128</v>
      </c>
      <c r="L112" s="512">
        <f t="shared" si="61"/>
        <v>605715.74980565405</v>
      </c>
      <c r="M112" s="512">
        <f t="shared" si="61"/>
        <v>599651.92271148507</v>
      </c>
      <c r="N112" s="513">
        <f t="shared" si="61"/>
        <v>588479.09561731596</v>
      </c>
      <c r="O112" s="220">
        <f t="shared" si="61"/>
        <v>573376.26852314686</v>
      </c>
      <c r="P112" s="512">
        <f t="shared" si="61"/>
        <v>548448.44142897776</v>
      </c>
      <c r="Q112" s="514">
        <f t="shared" si="61"/>
        <v>638411.6143348089</v>
      </c>
      <c r="R112" s="437">
        <f t="shared" si="61"/>
        <v>7251181.1466162913</v>
      </c>
      <c r="S112" s="102">
        <f>9500000-R112</f>
        <v>2248818.8533837087</v>
      </c>
      <c r="V112" s="107"/>
    </row>
    <row r="113" spans="1:22" hidden="1">
      <c r="C113" s="528"/>
      <c r="R113" s="1247" t="b">
        <f>R112=SUM(F112:Q112)</f>
        <v>1</v>
      </c>
    </row>
    <row r="114" spans="1:22">
      <c r="C114" s="528"/>
    </row>
    <row r="115" spans="1:22" ht="16.5" customHeight="1" thickBot="1">
      <c r="A115" s="109" t="s">
        <v>827</v>
      </c>
      <c r="B115" s="389"/>
      <c r="C115" s="389"/>
      <c r="D115" s="389"/>
      <c r="E115" s="389"/>
      <c r="F115" s="591"/>
      <c r="G115" s="591"/>
      <c r="H115" s="591"/>
      <c r="I115" s="516"/>
      <c r="J115" s="591"/>
      <c r="K115" s="516"/>
      <c r="L115" s="389"/>
      <c r="M115" s="389"/>
      <c r="N115" s="389"/>
      <c r="O115" s="389"/>
      <c r="P115" s="389"/>
      <c r="Q115" s="389"/>
      <c r="R115" s="108" t="s">
        <v>366</v>
      </c>
    </row>
    <row r="116" spans="1:22" ht="16.5" customHeight="1" thickBot="1">
      <c r="A116" s="5323" t="s">
        <v>137</v>
      </c>
      <c r="B116" s="5324"/>
      <c r="C116" s="517" t="s">
        <v>367</v>
      </c>
      <c r="D116" s="132"/>
      <c r="E116" s="316" t="s">
        <v>29</v>
      </c>
      <c r="F116" s="393" t="str">
        <f t="shared" ref="F116:Q116" si="62">F105</f>
        <v>Jan.25</v>
      </c>
      <c r="G116" s="315" t="str">
        <f t="shared" si="62"/>
        <v>Feb.25</v>
      </c>
      <c r="H116" s="391" t="str">
        <f t="shared" si="62"/>
        <v>Mar.25</v>
      </c>
      <c r="I116" s="393" t="str">
        <f t="shared" si="62"/>
        <v>Apr.25</v>
      </c>
      <c r="J116" s="315" t="str">
        <f t="shared" si="62"/>
        <v>May.25</v>
      </c>
      <c r="K116" s="316" t="str">
        <f t="shared" si="62"/>
        <v>Jun.25</v>
      </c>
      <c r="L116" s="393" t="str">
        <f t="shared" si="62"/>
        <v>Jul.25</v>
      </c>
      <c r="M116" s="315" t="str">
        <f t="shared" si="62"/>
        <v>Aug.25</v>
      </c>
      <c r="N116" s="316" t="str">
        <f t="shared" si="62"/>
        <v>Sep.25</v>
      </c>
      <c r="O116" s="393" t="str">
        <f t="shared" si="62"/>
        <v>Oct.25</v>
      </c>
      <c r="P116" s="315" t="str">
        <f t="shared" si="62"/>
        <v>Nov.25</v>
      </c>
      <c r="Q116" s="316" t="str">
        <f t="shared" si="62"/>
        <v>Dec.25</v>
      </c>
      <c r="R116" s="394" t="s">
        <v>15</v>
      </c>
    </row>
    <row r="117" spans="1:22" ht="16.5" customHeight="1">
      <c r="A117" s="5335" t="s">
        <v>368</v>
      </c>
      <c r="B117" s="486" t="s">
        <v>369</v>
      </c>
      <c r="C117" s="487"/>
      <c r="D117" s="488"/>
      <c r="E117" s="489"/>
      <c r="F117" s="518">
        <v>20</v>
      </c>
      <c r="G117" s="519">
        <v>23</v>
      </c>
      <c r="H117" s="858">
        <v>26</v>
      </c>
      <c r="I117" s="518">
        <v>24</v>
      </c>
      <c r="J117" s="519">
        <v>25</v>
      </c>
      <c r="K117" s="520">
        <v>25</v>
      </c>
      <c r="L117" s="518">
        <v>27</v>
      </c>
      <c r="M117" s="519">
        <v>26</v>
      </c>
      <c r="N117" s="520">
        <v>23</v>
      </c>
      <c r="O117" s="518">
        <v>26</v>
      </c>
      <c r="P117" s="519">
        <v>25</v>
      </c>
      <c r="Q117" s="520">
        <v>26</v>
      </c>
      <c r="R117" s="521">
        <f>SUM(F117:Q117)</f>
        <v>296</v>
      </c>
      <c r="V117" s="107"/>
    </row>
    <row r="118" spans="1:22" ht="16.5" customHeight="1" thickBot="1">
      <c r="A118" s="5336"/>
      <c r="B118" s="491" t="s">
        <v>370</v>
      </c>
      <c r="C118" s="492"/>
      <c r="D118" s="493"/>
      <c r="E118" s="522"/>
      <c r="F118" s="523"/>
      <c r="G118" s="524"/>
      <c r="H118" s="859"/>
      <c r="I118" s="523"/>
      <c r="J118" s="524"/>
      <c r="K118" s="525"/>
      <c r="L118" s="523"/>
      <c r="M118" s="524"/>
      <c r="N118" s="525"/>
      <c r="O118" s="523"/>
      <c r="P118" s="524"/>
      <c r="Q118" s="525"/>
      <c r="R118" s="511">
        <f>SUM(F118:Q118)</f>
        <v>0</v>
      </c>
      <c r="V118" s="107"/>
    </row>
    <row r="119" spans="1:22" ht="16.5" customHeight="1" thickBot="1">
      <c r="A119" s="5337"/>
      <c r="B119" s="513" t="s">
        <v>122</v>
      </c>
      <c r="C119" s="517"/>
      <c r="D119" s="132"/>
      <c r="E119" s="133"/>
      <c r="F119" s="220">
        <f>F117+F118</f>
        <v>20</v>
      </c>
      <c r="G119" s="221">
        <f t="shared" ref="G119:Q119" si="63">G117+G118</f>
        <v>23</v>
      </c>
      <c r="H119" s="860">
        <f t="shared" si="63"/>
        <v>26</v>
      </c>
      <c r="I119" s="220">
        <f t="shared" si="63"/>
        <v>24</v>
      </c>
      <c r="J119" s="221">
        <f t="shared" si="63"/>
        <v>25</v>
      </c>
      <c r="K119" s="222">
        <f t="shared" si="63"/>
        <v>25</v>
      </c>
      <c r="L119" s="220">
        <f>L117+L118</f>
        <v>27</v>
      </c>
      <c r="M119" s="221">
        <f>M117+M118</f>
        <v>26</v>
      </c>
      <c r="N119" s="222">
        <f t="shared" si="63"/>
        <v>23</v>
      </c>
      <c r="O119" s="220">
        <f t="shared" si="63"/>
        <v>26</v>
      </c>
      <c r="P119" s="221">
        <f t="shared" si="63"/>
        <v>25</v>
      </c>
      <c r="Q119" s="222">
        <f t="shared" si="63"/>
        <v>26</v>
      </c>
      <c r="R119" s="437">
        <f>SUM(F119:Q119)</f>
        <v>296</v>
      </c>
      <c r="V119" s="107"/>
    </row>
    <row r="120" spans="1:22" ht="16.5" customHeight="1">
      <c r="A120" s="526"/>
      <c r="B120" s="527"/>
      <c r="C120" s="527"/>
      <c r="D120" s="527"/>
      <c r="E120" s="527"/>
      <c r="F120" s="601"/>
      <c r="G120" s="601"/>
      <c r="H120" s="480"/>
      <c r="I120" s="480"/>
      <c r="J120" s="106"/>
      <c r="K120" s="481"/>
      <c r="L120" s="480"/>
      <c r="M120" s="480"/>
      <c r="N120" s="480"/>
      <c r="O120" s="480"/>
      <c r="P120" s="480"/>
      <c r="Q120" s="480"/>
      <c r="R120" s="106"/>
    </row>
    <row r="121" spans="1:22">
      <c r="C121" s="528"/>
    </row>
  </sheetData>
  <mergeCells count="25">
    <mergeCell ref="P103:Q103"/>
    <mergeCell ref="B97:C97"/>
    <mergeCell ref="A117:A119"/>
    <mergeCell ref="B98:C98"/>
    <mergeCell ref="A109:A111"/>
    <mergeCell ref="A112:E112"/>
    <mergeCell ref="A116:B116"/>
    <mergeCell ref="A60:A62"/>
    <mergeCell ref="A94:E94"/>
    <mergeCell ref="A101:E101"/>
    <mergeCell ref="A105:B105"/>
    <mergeCell ref="A106:A108"/>
    <mergeCell ref="A64:A66"/>
    <mergeCell ref="A68:D68"/>
    <mergeCell ref="A91:D91"/>
    <mergeCell ref="A92:D92"/>
    <mergeCell ref="B99:C99"/>
    <mergeCell ref="A69:D69"/>
    <mergeCell ref="A81:D81"/>
    <mergeCell ref="A82:D82"/>
    <mergeCell ref="A5:A7"/>
    <mergeCell ref="A9:A11"/>
    <mergeCell ref="A13:B13"/>
    <mergeCell ref="A25:B25"/>
    <mergeCell ref="A36:D36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20"/>
  <sheetViews>
    <sheetView showGridLines="0" topLeftCell="A91" zoomScale="80" zoomScaleNormal="80" workbookViewId="0">
      <selection activeCell="Q96" sqref="Q96"/>
    </sheetView>
  </sheetViews>
  <sheetFormatPr defaultColWidth="9" defaultRowHeight="13.5"/>
  <cols>
    <col min="1" max="1" width="22.125" style="104" customWidth="1"/>
    <col min="2" max="3" width="12.125" style="105" customWidth="1"/>
    <col min="4" max="5" width="12.125" style="472" customWidth="1"/>
    <col min="6" max="15" width="12.125" style="105" customWidth="1"/>
    <col min="16" max="17" width="16.125" style="105" customWidth="1"/>
    <col min="18" max="18" width="12" style="236" customWidth="1"/>
    <col min="19" max="19" width="10.125" style="107" customWidth="1"/>
    <col min="20" max="20" width="13.625" style="107" customWidth="1"/>
    <col min="21" max="16384" width="9" style="105"/>
  </cols>
  <sheetData>
    <row r="1" spans="1:21" s="107" customFormat="1" ht="19.5" customHeight="1">
      <c r="A1" s="110" t="s">
        <v>936</v>
      </c>
      <c r="B1" s="103"/>
      <c r="C1" s="103"/>
      <c r="D1" s="535"/>
      <c r="E1" s="535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236"/>
      <c r="U1" s="105"/>
    </row>
    <row r="2" spans="1:21" s="1252" customFormat="1" ht="19.5" customHeight="1">
      <c r="A2" s="1253"/>
      <c r="B2" s="1248"/>
      <c r="C2" s="1248"/>
      <c r="D2" s="1249"/>
      <c r="E2" s="1249"/>
      <c r="F2" s="1250"/>
      <c r="G2" s="1250"/>
      <c r="H2" s="1250"/>
      <c r="I2" s="1250"/>
      <c r="J2" s="1250"/>
      <c r="K2" s="1250"/>
      <c r="L2" s="1250"/>
      <c r="M2" s="1250"/>
      <c r="N2" s="1250"/>
      <c r="O2" s="1250"/>
      <c r="P2" s="1250"/>
      <c r="Q2" s="1250"/>
      <c r="R2" s="1251"/>
      <c r="U2" s="1248"/>
    </row>
    <row r="3" spans="1:21" s="1252" customFormat="1" ht="19.5" customHeight="1">
      <c r="A3" s="1254" t="s">
        <v>907</v>
      </c>
      <c r="B3" s="1248"/>
      <c r="C3" s="1248"/>
      <c r="D3" s="1249"/>
      <c r="E3" s="1249"/>
      <c r="F3" s="1250"/>
      <c r="G3" s="1250"/>
      <c r="H3" s="1250"/>
      <c r="I3" s="1250"/>
      <c r="J3" s="1250"/>
      <c r="K3" s="1250"/>
      <c r="L3" s="1250"/>
      <c r="M3" s="1250"/>
      <c r="N3" s="1250"/>
      <c r="O3" s="1250"/>
      <c r="P3" s="1250"/>
      <c r="Q3" s="1250"/>
      <c r="R3" s="1251"/>
      <c r="U3" s="1248"/>
    </row>
    <row r="4" spans="1:21" s="1252" customFormat="1" ht="19.5" customHeight="1">
      <c r="A4" s="1254" t="s">
        <v>908</v>
      </c>
      <c r="B4" s="1248"/>
      <c r="C4" s="1248"/>
      <c r="D4" s="1249"/>
      <c r="E4" s="1249"/>
      <c r="F4" s="1250"/>
      <c r="G4" s="1250"/>
      <c r="H4" s="1250"/>
      <c r="I4" s="1250"/>
      <c r="J4" s="1250"/>
      <c r="K4" s="1250"/>
      <c r="L4" s="1250"/>
      <c r="M4" s="1250"/>
      <c r="N4" s="1250"/>
      <c r="O4" s="1250"/>
      <c r="P4" s="1250"/>
      <c r="Q4" s="1250"/>
      <c r="R4" s="1251"/>
      <c r="U4" s="1248"/>
    </row>
    <row r="5" spans="1:21" s="1252" customFormat="1" ht="19.5" customHeight="1">
      <c r="A5" s="1254" t="s">
        <v>909</v>
      </c>
      <c r="B5" s="1248"/>
      <c r="C5" s="1248"/>
      <c r="D5" s="1249"/>
      <c r="E5" s="1249"/>
      <c r="F5" s="1250"/>
      <c r="G5" s="1250"/>
      <c r="H5" s="1250"/>
      <c r="I5" s="1250"/>
      <c r="J5" s="1250"/>
      <c r="K5" s="1250"/>
      <c r="L5" s="1250"/>
      <c r="M5" s="1250"/>
      <c r="N5" s="1250"/>
      <c r="O5" s="1250"/>
      <c r="P5" s="1250"/>
      <c r="Q5" s="1250"/>
      <c r="R5" s="1251"/>
      <c r="U5" s="1248"/>
    </row>
    <row r="6" spans="1:21" s="1252" customFormat="1" ht="19.5" customHeight="1">
      <c r="A6" s="1254" t="s">
        <v>910</v>
      </c>
      <c r="B6" s="1248"/>
      <c r="C6" s="1248"/>
      <c r="D6" s="1249"/>
      <c r="E6" s="1249"/>
      <c r="F6" s="1250"/>
      <c r="G6" s="1250"/>
      <c r="H6" s="1250"/>
      <c r="I6" s="1250"/>
      <c r="J6" s="1250"/>
      <c r="K6" s="1250"/>
      <c r="L6" s="1250"/>
      <c r="M6" s="1250"/>
      <c r="N6" s="1250"/>
      <c r="O6" s="1250"/>
      <c r="P6" s="1250"/>
      <c r="Q6" s="1250"/>
      <c r="R6" s="1251"/>
      <c r="U6" s="1248"/>
    </row>
    <row r="7" spans="1:21" s="1252" customFormat="1" ht="19.5" customHeight="1">
      <c r="A7" s="1254" t="s">
        <v>911</v>
      </c>
      <c r="B7" s="1248"/>
      <c r="C7" s="1248"/>
      <c r="D7" s="1249"/>
      <c r="E7" s="1249"/>
      <c r="F7" s="1250"/>
      <c r="G7" s="1250"/>
      <c r="H7" s="1250"/>
      <c r="I7" s="1250"/>
      <c r="J7" s="1250"/>
      <c r="K7" s="1250"/>
      <c r="L7" s="1250"/>
      <c r="M7" s="1250"/>
      <c r="N7" s="1250"/>
      <c r="O7" s="1250"/>
      <c r="P7" s="1250"/>
      <c r="Q7" s="1250"/>
      <c r="R7" s="1251"/>
      <c r="U7" s="1248"/>
    </row>
    <row r="8" spans="1:21" s="1252" customFormat="1" ht="19.5" customHeight="1">
      <c r="A8" s="1254" t="s">
        <v>912</v>
      </c>
      <c r="B8" s="1248"/>
      <c r="C8" s="1248"/>
      <c r="D8" s="1249"/>
      <c r="E8" s="1249"/>
      <c r="F8" s="1250"/>
      <c r="G8" s="1250"/>
      <c r="H8" s="1250"/>
      <c r="I8" s="1250"/>
      <c r="J8" s="1250"/>
      <c r="K8" s="1250"/>
      <c r="L8" s="1250"/>
      <c r="M8" s="1250"/>
      <c r="N8" s="1250"/>
      <c r="O8" s="1250"/>
      <c r="P8" s="1250"/>
      <c r="Q8" s="1250"/>
      <c r="R8" s="1251"/>
      <c r="U8" s="1248"/>
    </row>
    <row r="9" spans="1:21" s="107" customFormat="1" ht="19.5" customHeight="1">
      <c r="A9" s="104"/>
      <c r="B9" s="105"/>
      <c r="C9" s="105"/>
      <c r="U9" s="105"/>
    </row>
    <row r="10" spans="1:21" s="107" customFormat="1" ht="19.5" customHeight="1" thickBot="1">
      <c r="A10" s="103" t="s">
        <v>921</v>
      </c>
      <c r="B10" s="389"/>
      <c r="C10" s="389"/>
      <c r="D10" s="591"/>
      <c r="E10" s="591"/>
      <c r="F10" s="591"/>
      <c r="G10" s="516"/>
      <c r="H10" s="591"/>
      <c r="I10" s="516"/>
      <c r="J10" s="389"/>
      <c r="K10" s="389"/>
      <c r="L10" s="389"/>
      <c r="M10" s="389"/>
      <c r="N10" s="389"/>
      <c r="O10" s="389"/>
      <c r="P10" s="108" t="s">
        <v>366</v>
      </c>
      <c r="Q10" s="105"/>
      <c r="R10" s="236"/>
      <c r="U10" s="105"/>
    </row>
    <row r="11" spans="1:21" s="107" customFormat="1" ht="19.5" customHeight="1" thickBot="1">
      <c r="A11" s="5323" t="s">
        <v>137</v>
      </c>
      <c r="B11" s="5324"/>
      <c r="C11" s="517" t="s">
        <v>367</v>
      </c>
      <c r="D11" s="393" t="s">
        <v>430</v>
      </c>
      <c r="E11" s="315" t="s">
        <v>557</v>
      </c>
      <c r="F11" s="316" t="s">
        <v>558</v>
      </c>
      <c r="G11" s="393" t="s">
        <v>431</v>
      </c>
      <c r="H11" s="315" t="s">
        <v>559</v>
      </c>
      <c r="I11" s="316" t="s">
        <v>560</v>
      </c>
      <c r="J11" s="393" t="s">
        <v>561</v>
      </c>
      <c r="K11" s="315" t="s">
        <v>562</v>
      </c>
      <c r="L11" s="316" t="s">
        <v>563</v>
      </c>
      <c r="M11" s="393" t="s">
        <v>564</v>
      </c>
      <c r="N11" s="315" t="s">
        <v>565</v>
      </c>
      <c r="O11" s="316" t="s">
        <v>566</v>
      </c>
      <c r="P11" s="394" t="s">
        <v>15</v>
      </c>
      <c r="Q11" s="105"/>
      <c r="R11" s="236"/>
      <c r="U11" s="105"/>
    </row>
    <row r="12" spans="1:21" s="107" customFormat="1" ht="19.5" customHeight="1">
      <c r="A12" s="5341" t="s">
        <v>368</v>
      </c>
      <c r="B12" s="798" t="s">
        <v>369</v>
      </c>
      <c r="C12" s="487"/>
      <c r="D12" s="1478">
        <v>20</v>
      </c>
      <c r="E12" s="1479">
        <v>23</v>
      </c>
      <c r="F12" s="1480">
        <v>26</v>
      </c>
      <c r="G12" s="1478">
        <v>24</v>
      </c>
      <c r="H12" s="1479">
        <v>25</v>
      </c>
      <c r="I12" s="1481">
        <v>25</v>
      </c>
      <c r="J12" s="1478">
        <v>27</v>
      </c>
      <c r="K12" s="1479">
        <v>26</v>
      </c>
      <c r="L12" s="1481">
        <v>23</v>
      </c>
      <c r="M12" s="1478">
        <v>26</v>
      </c>
      <c r="N12" s="1479">
        <v>25</v>
      </c>
      <c r="O12" s="1481">
        <v>26</v>
      </c>
      <c r="P12" s="1482">
        <f>SUM(D12:O12)</f>
        <v>296</v>
      </c>
      <c r="Q12" s="105"/>
      <c r="R12" s="236"/>
      <c r="U12" s="105"/>
    </row>
    <row r="13" spans="1:21" s="107" customFormat="1" ht="19.5" customHeight="1" thickBot="1">
      <c r="A13" s="5342"/>
      <c r="B13" s="795" t="s">
        <v>370</v>
      </c>
      <c r="C13" s="492"/>
      <c r="D13" s="1488">
        <f t="shared" ref="D13:N13" si="0">D76</f>
        <v>2.801816946855777</v>
      </c>
      <c r="E13" s="1489">
        <f t="shared" si="0"/>
        <v>1.0235864555321099</v>
      </c>
      <c r="F13" s="1490">
        <f t="shared" si="0"/>
        <v>3.9300379900811553</v>
      </c>
      <c r="G13" s="1488">
        <f t="shared" si="0"/>
        <v>6.4990369525267591</v>
      </c>
      <c r="H13" s="1489">
        <f t="shared" si="0"/>
        <v>5.9334763551153378</v>
      </c>
      <c r="I13" s="1491">
        <f t="shared" si="0"/>
        <v>3.9413149255185904</v>
      </c>
      <c r="J13" s="1488">
        <f t="shared" si="0"/>
        <v>2.1759272365071869</v>
      </c>
      <c r="K13" s="1489">
        <f t="shared" si="0"/>
        <v>2.6105846519222538</v>
      </c>
      <c r="L13" s="1491">
        <f t="shared" si="0"/>
        <v>6.4533683304810943</v>
      </c>
      <c r="M13" s="1488">
        <f>M76</f>
        <v>5.5618662408557586</v>
      </c>
      <c r="N13" s="1489">
        <f t="shared" si="0"/>
        <v>3.95096696095663</v>
      </c>
      <c r="O13" s="1491">
        <v>0</v>
      </c>
      <c r="P13" s="1492">
        <f>SUM(D13:O13)</f>
        <v>44.881983046352644</v>
      </c>
      <c r="Q13" s="105"/>
      <c r="R13" s="236"/>
      <c r="U13" s="105"/>
    </row>
    <row r="14" spans="1:21" s="107" customFormat="1" ht="19.5" customHeight="1" thickBot="1">
      <c r="A14" s="5343"/>
      <c r="B14" s="513" t="s">
        <v>122</v>
      </c>
      <c r="C14" s="517"/>
      <c r="D14" s="1483">
        <f t="shared" ref="D14:O14" si="1">D12+D13</f>
        <v>22.801816946855777</v>
      </c>
      <c r="E14" s="1484">
        <f t="shared" si="1"/>
        <v>24.023586455532111</v>
      </c>
      <c r="F14" s="1485">
        <f t="shared" si="1"/>
        <v>29.930037990081154</v>
      </c>
      <c r="G14" s="1483">
        <f t="shared" si="1"/>
        <v>30.499036952526758</v>
      </c>
      <c r="H14" s="1484">
        <f t="shared" si="1"/>
        <v>30.933476355115339</v>
      </c>
      <c r="I14" s="1486">
        <f t="shared" si="1"/>
        <v>28.94131492551859</v>
      </c>
      <c r="J14" s="1483">
        <f t="shared" si="1"/>
        <v>29.175927236507185</v>
      </c>
      <c r="K14" s="1484">
        <f t="shared" si="1"/>
        <v>28.610584651922252</v>
      </c>
      <c r="L14" s="1486">
        <f t="shared" si="1"/>
        <v>29.453368330481094</v>
      </c>
      <c r="M14" s="1483">
        <f t="shared" si="1"/>
        <v>31.561866240855757</v>
      </c>
      <c r="N14" s="1484">
        <f t="shared" si="1"/>
        <v>28.950966960956631</v>
      </c>
      <c r="O14" s="1486">
        <f t="shared" si="1"/>
        <v>26</v>
      </c>
      <c r="P14" s="1487">
        <f>SUM(D14:O14)</f>
        <v>340.88198304635267</v>
      </c>
      <c r="Q14" s="105"/>
      <c r="R14" s="236"/>
      <c r="U14" s="105"/>
    </row>
    <row r="15" spans="1:21" s="107" customFormat="1" ht="19.5" hidden="1" customHeight="1">
      <c r="A15" s="526"/>
      <c r="B15" s="527"/>
      <c r="C15" s="1494" t="s">
        <v>960</v>
      </c>
      <c r="D15" s="1495" t="e">
        <f>'3. P PLAN'!#REF!</f>
        <v>#REF!</v>
      </c>
      <c r="E15" s="1495" t="e">
        <f>'3. P PLAN'!#REF!</f>
        <v>#REF!</v>
      </c>
      <c r="F15" s="1495" t="e">
        <f>'3. P PLAN'!#REF!</f>
        <v>#REF!</v>
      </c>
      <c r="G15" s="1495" t="e">
        <f>'3. P PLAN'!#REF!</f>
        <v>#REF!</v>
      </c>
      <c r="H15" s="1495" t="e">
        <f>'3. P PLAN'!#REF!</f>
        <v>#REF!</v>
      </c>
      <c r="I15" s="1495" t="e">
        <f>'3. P PLAN'!#REF!</f>
        <v>#REF!</v>
      </c>
      <c r="J15" s="1495" t="e">
        <f>'3. P PLAN'!#REF!</f>
        <v>#REF!</v>
      </c>
      <c r="K15" s="1495" t="e">
        <f>'3. P PLAN'!#REF!</f>
        <v>#REF!</v>
      </c>
      <c r="L15" s="1495" t="e">
        <f>'3. P PLAN'!#REF!</f>
        <v>#REF!</v>
      </c>
      <c r="M15" s="1495" t="e">
        <f>'3. P PLAN'!#REF!</f>
        <v>#REF!</v>
      </c>
      <c r="N15" s="1495" t="e">
        <f>'3. P PLAN'!#REF!</f>
        <v>#REF!</v>
      </c>
      <c r="O15" s="1495" t="e">
        <f>'3. P PLAN'!#REF!</f>
        <v>#REF!</v>
      </c>
      <c r="P15" s="106"/>
      <c r="Q15" s="105"/>
      <c r="R15" s="236"/>
      <c r="U15" s="105"/>
    </row>
    <row r="16" spans="1:21" s="107" customFormat="1" ht="19.5" hidden="1" customHeight="1">
      <c r="A16" s="104"/>
      <c r="B16" s="105"/>
      <c r="C16" s="1417" t="s">
        <v>1070</v>
      </c>
      <c r="D16" s="1493" t="e">
        <f>'2. S Plan'!#REF!</f>
        <v>#REF!</v>
      </c>
      <c r="E16" s="1493" t="e">
        <f>'2. S Plan'!#REF!</f>
        <v>#REF!</v>
      </c>
      <c r="F16" s="1493" t="e">
        <f>'2. S Plan'!#REF!</f>
        <v>#REF!</v>
      </c>
      <c r="G16" s="1493" t="e">
        <f>'2. S Plan'!#REF!</f>
        <v>#REF!</v>
      </c>
      <c r="H16" s="1493" t="e">
        <f>'2. S Plan'!#REF!</f>
        <v>#REF!</v>
      </c>
      <c r="I16" s="1493" t="e">
        <f>'2. S Plan'!#REF!</f>
        <v>#REF!</v>
      </c>
      <c r="J16" s="1493" t="e">
        <f>'2. S Plan'!#REF!</f>
        <v>#REF!</v>
      </c>
      <c r="K16" s="1493" t="e">
        <f>'2. S Plan'!#REF!</f>
        <v>#REF!</v>
      </c>
      <c r="L16" s="1493" t="e">
        <f>'2. S Plan'!#REF!</f>
        <v>#REF!</v>
      </c>
      <c r="M16" s="1493" t="e">
        <f>'2. S Plan'!#REF!</f>
        <v>#REF!</v>
      </c>
      <c r="N16" s="1493" t="e">
        <f>'2. S Plan'!#REF!</f>
        <v>#REF!</v>
      </c>
      <c r="O16" s="1493" t="e">
        <f>'2. S Plan'!#REF!</f>
        <v>#REF!</v>
      </c>
      <c r="P16" s="105"/>
      <c r="Q16" s="105"/>
      <c r="R16" s="236"/>
      <c r="U16" s="105"/>
    </row>
    <row r="17" spans="1:21" s="107" customFormat="1" ht="19.5" hidden="1" customHeight="1">
      <c r="A17" s="104"/>
      <c r="B17" s="105"/>
      <c r="C17" s="1418" t="s">
        <v>1071</v>
      </c>
      <c r="D17" s="1493" t="e">
        <f>D15/D27</f>
        <v>#REF!</v>
      </c>
      <c r="E17" s="1493" t="e">
        <f t="shared" ref="E17:O17" si="2">E15/E27</f>
        <v>#REF!</v>
      </c>
      <c r="F17" s="1493" t="e">
        <f t="shared" si="2"/>
        <v>#REF!</v>
      </c>
      <c r="G17" s="1493" t="e">
        <f t="shared" si="2"/>
        <v>#REF!</v>
      </c>
      <c r="H17" s="1493" t="e">
        <f t="shared" si="2"/>
        <v>#REF!</v>
      </c>
      <c r="I17" s="1493" t="e">
        <f t="shared" si="2"/>
        <v>#REF!</v>
      </c>
      <c r="J17" s="1493" t="e">
        <f t="shared" si="2"/>
        <v>#REF!</v>
      </c>
      <c r="K17" s="1493" t="e">
        <f t="shared" si="2"/>
        <v>#REF!</v>
      </c>
      <c r="L17" s="1493" t="e">
        <f t="shared" si="2"/>
        <v>#REF!</v>
      </c>
      <c r="M17" s="1493" t="e">
        <f t="shared" si="2"/>
        <v>#REF!</v>
      </c>
      <c r="N17" s="1493" t="e">
        <f t="shared" si="2"/>
        <v>#REF!</v>
      </c>
      <c r="O17" s="1493" t="e">
        <f t="shared" si="2"/>
        <v>#REF!</v>
      </c>
      <c r="P17" s="105"/>
      <c r="Q17" s="105"/>
      <c r="R17" s="236"/>
      <c r="U17" s="105"/>
    </row>
    <row r="18" spans="1:21" s="107" customFormat="1" ht="19.5" hidden="1" customHeight="1">
      <c r="A18" s="104"/>
      <c r="B18" s="105"/>
      <c r="C18" s="1418" t="s">
        <v>1072</v>
      </c>
      <c r="D18" s="1493" t="e">
        <f>D16/D27</f>
        <v>#REF!</v>
      </c>
      <c r="E18" s="1493" t="e">
        <f t="shared" ref="E18:O18" si="3">E16/E27</f>
        <v>#REF!</v>
      </c>
      <c r="F18" s="1493" t="e">
        <f t="shared" si="3"/>
        <v>#REF!</v>
      </c>
      <c r="G18" s="1493" t="e">
        <f t="shared" si="3"/>
        <v>#REF!</v>
      </c>
      <c r="H18" s="1493" t="e">
        <f t="shared" si="3"/>
        <v>#REF!</v>
      </c>
      <c r="I18" s="1493" t="e">
        <f t="shared" si="3"/>
        <v>#REF!</v>
      </c>
      <c r="J18" s="1493" t="e">
        <f t="shared" si="3"/>
        <v>#REF!</v>
      </c>
      <c r="K18" s="1493" t="e">
        <f t="shared" si="3"/>
        <v>#REF!</v>
      </c>
      <c r="L18" s="1493" t="e">
        <f t="shared" si="3"/>
        <v>#REF!</v>
      </c>
      <c r="M18" s="1493" t="e">
        <f t="shared" si="3"/>
        <v>#REF!</v>
      </c>
      <c r="N18" s="1493" t="e">
        <f t="shared" si="3"/>
        <v>#REF!</v>
      </c>
      <c r="O18" s="1493" t="e">
        <f t="shared" si="3"/>
        <v>#REF!</v>
      </c>
      <c r="P18" s="105"/>
      <c r="Q18" s="105"/>
      <c r="R18" s="236"/>
      <c r="U18" s="105"/>
    </row>
    <row r="19" spans="1:21" s="107" customFormat="1" ht="19.5" customHeight="1">
      <c r="A19" s="104"/>
      <c r="B19" s="105"/>
      <c r="C19" s="105"/>
      <c r="D19" s="535"/>
      <c r="E19" s="535"/>
      <c r="F19" s="535"/>
      <c r="G19" s="535"/>
      <c r="H19" s="535"/>
      <c r="I19" s="535"/>
      <c r="J19" s="535"/>
      <c r="K19" s="535"/>
      <c r="L19" s="535"/>
      <c r="M19" s="535"/>
      <c r="N19" s="535"/>
      <c r="O19" s="535"/>
      <c r="P19" s="105"/>
      <c r="Q19" s="105"/>
      <c r="R19" s="236"/>
      <c r="U19" s="105"/>
    </row>
    <row r="20" spans="1:21" s="107" customFormat="1" ht="19.5" customHeight="1" thickBot="1">
      <c r="A20" s="1336" t="s">
        <v>929</v>
      </c>
      <c r="B20" s="105" t="str">
        <f>" * 년말 기준 생산직 인원  : "&amp;ROUND(O27,0)&amp;"명 예상"</f>
        <v xml:space="preserve"> * 년말 기준 생산직 인원  : 637명 예상</v>
      </c>
      <c r="C20" s="105"/>
      <c r="D20" s="472"/>
      <c r="E20" s="472"/>
      <c r="F20" s="105"/>
      <c r="G20" s="106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236"/>
      <c r="U20" s="105"/>
    </row>
    <row r="21" spans="1:21" s="107" customFormat="1" ht="19.5" customHeight="1" thickBot="1">
      <c r="A21" s="55" t="s">
        <v>112</v>
      </c>
      <c r="B21" s="391" t="s">
        <v>124</v>
      </c>
      <c r="C21" s="392" t="s">
        <v>309</v>
      </c>
      <c r="D21" s="51" t="s">
        <v>430</v>
      </c>
      <c r="E21" s="315" t="s">
        <v>557</v>
      </c>
      <c r="F21" s="391" t="s">
        <v>558</v>
      </c>
      <c r="G21" s="393" t="s">
        <v>431</v>
      </c>
      <c r="H21" s="315" t="s">
        <v>559</v>
      </c>
      <c r="I21" s="316" t="s">
        <v>560</v>
      </c>
      <c r="J21" s="51" t="s">
        <v>561</v>
      </c>
      <c r="K21" s="315" t="s">
        <v>562</v>
      </c>
      <c r="L21" s="391" t="s">
        <v>563</v>
      </c>
      <c r="M21" s="393" t="s">
        <v>564</v>
      </c>
      <c r="N21" s="315" t="s">
        <v>565</v>
      </c>
      <c r="O21" s="316" t="s">
        <v>566</v>
      </c>
      <c r="P21" s="394" t="s">
        <v>433</v>
      </c>
      <c r="Q21" s="105"/>
      <c r="R21" s="236"/>
      <c r="U21" s="105"/>
    </row>
    <row r="22" spans="1:21" s="107" customFormat="1" ht="19.5" customHeight="1">
      <c r="A22" s="1297" t="s">
        <v>838</v>
      </c>
      <c r="B22" s="406" t="s">
        <v>812</v>
      </c>
      <c r="C22" s="1302"/>
      <c r="D22" s="1296">
        <v>11</v>
      </c>
      <c r="E22" s="1284">
        <f>D22</f>
        <v>11</v>
      </c>
      <c r="F22" s="1411">
        <f t="shared" ref="F22:O22" si="4">E22</f>
        <v>11</v>
      </c>
      <c r="G22" s="1286">
        <f t="shared" si="4"/>
        <v>11</v>
      </c>
      <c r="H22" s="1284">
        <f t="shared" si="4"/>
        <v>11</v>
      </c>
      <c r="I22" s="1285">
        <f t="shared" si="4"/>
        <v>11</v>
      </c>
      <c r="J22" s="1412">
        <f t="shared" si="4"/>
        <v>11</v>
      </c>
      <c r="K22" s="1288">
        <f t="shared" si="4"/>
        <v>11</v>
      </c>
      <c r="L22" s="1414">
        <f t="shared" si="4"/>
        <v>11</v>
      </c>
      <c r="M22" s="1287">
        <f t="shared" si="4"/>
        <v>11</v>
      </c>
      <c r="N22" s="1288">
        <f t="shared" si="4"/>
        <v>11</v>
      </c>
      <c r="O22" s="1289">
        <f t="shared" si="4"/>
        <v>11</v>
      </c>
      <c r="P22" s="411">
        <f>AVERAGE(D22:O22)</f>
        <v>11</v>
      </c>
      <c r="Q22" s="105"/>
      <c r="R22" s="236"/>
      <c r="U22" s="105"/>
    </row>
    <row r="23" spans="1:21" s="107" customFormat="1" ht="19.5" customHeight="1">
      <c r="A23" s="1297"/>
      <c r="B23" s="406" t="s">
        <v>801</v>
      </c>
      <c r="C23" s="1302"/>
      <c r="D23" s="1296">
        <v>88</v>
      </c>
      <c r="E23" s="1284">
        <f t="shared" ref="E23:O23" si="5">D23-D23*$C$30+E31</f>
        <v>96.811576098271914</v>
      </c>
      <c r="F23" s="1411">
        <f t="shared" si="5"/>
        <v>96.703101100711351</v>
      </c>
      <c r="G23" s="1413">
        <f t="shared" si="5"/>
        <v>96.605952401563584</v>
      </c>
      <c r="H23" s="1284">
        <f t="shared" si="5"/>
        <v>96.518947377748447</v>
      </c>
      <c r="I23" s="1285">
        <f t="shared" si="5"/>
        <v>97.441026888483222</v>
      </c>
      <c r="J23" s="1296">
        <f t="shared" si="5"/>
        <v>97.266828474039258</v>
      </c>
      <c r="K23" s="1284">
        <f t="shared" si="5"/>
        <v>97.110818796810292</v>
      </c>
      <c r="L23" s="1411">
        <f t="shared" si="5"/>
        <v>96.971098699662605</v>
      </c>
      <c r="M23" s="1413">
        <f t="shared" si="5"/>
        <v>96.845967323880643</v>
      </c>
      <c r="N23" s="1284">
        <f t="shared" si="5"/>
        <v>96.733901404054251</v>
      </c>
      <c r="O23" s="1285">
        <f t="shared" si="5"/>
        <v>96.633536724867653</v>
      </c>
      <c r="P23" s="411">
        <f>AVERAGE(D23:O23)</f>
        <v>96.136896274174418</v>
      </c>
      <c r="Q23" s="105"/>
      <c r="R23" s="102">
        <f>P86</f>
        <v>0</v>
      </c>
      <c r="S23" s="120" t="e">
        <f>#REF!</f>
        <v>#REF!</v>
      </c>
      <c r="T23" s="120" t="e">
        <f>S23-R23</f>
        <v>#REF!</v>
      </c>
      <c r="U23" s="105"/>
    </row>
    <row r="24" spans="1:21" s="107" customFormat="1" ht="19.5" customHeight="1">
      <c r="A24" s="1297"/>
      <c r="B24" s="406" t="s">
        <v>800</v>
      </c>
      <c r="C24" s="1302"/>
      <c r="D24" s="1296">
        <v>280</v>
      </c>
      <c r="E24" s="1284">
        <f t="shared" ref="E24:O24" si="6">D24-D24*$C$30+E32</f>
        <v>260.76410576722878</v>
      </c>
      <c r="F24" s="1411">
        <f>E24-E24*$C$30+F32</f>
        <v>233.53670642467929</v>
      </c>
      <c r="G24" s="1413">
        <f>F24-F24*$C$30+G32</f>
        <v>209.15222625145907</v>
      </c>
      <c r="H24" s="1284">
        <f t="shared" si="6"/>
        <v>197.31382494704377</v>
      </c>
      <c r="I24" s="1285">
        <f>H24-H24*$C$30+I32</f>
        <v>186.71151738698913</v>
      </c>
      <c r="J24" s="1296">
        <f t="shared" si="6"/>
        <v>187.21623819282402</v>
      </c>
      <c r="K24" s="1284">
        <f t="shared" si="6"/>
        <v>186.6682591268858</v>
      </c>
      <c r="L24" s="1411">
        <f t="shared" si="6"/>
        <v>187.17749669671025</v>
      </c>
      <c r="M24" s="1413">
        <f t="shared" si="6"/>
        <v>186.63356278178205</v>
      </c>
      <c r="N24" s="1284">
        <f t="shared" si="6"/>
        <v>187.1464231325912</v>
      </c>
      <c r="O24" s="1285">
        <f t="shared" si="6"/>
        <v>186.60573372992735</v>
      </c>
      <c r="P24" s="411">
        <f>AVERAGE(D24:O24)</f>
        <v>207.41050786984337</v>
      </c>
      <c r="Q24" s="105"/>
      <c r="R24" s="102">
        <f>P87</f>
        <v>99</v>
      </c>
      <c r="S24" s="120" t="e">
        <f>#REF!</f>
        <v>#REF!</v>
      </c>
      <c r="T24" s="120" t="e">
        <f>S24-R24</f>
        <v>#REF!</v>
      </c>
      <c r="U24" s="105"/>
    </row>
    <row r="25" spans="1:21" s="107" customFormat="1" ht="19.5" customHeight="1">
      <c r="A25" s="1297"/>
      <c r="B25" s="406" t="s">
        <v>799</v>
      </c>
      <c r="C25" s="1302"/>
      <c r="D25" s="1296">
        <v>301</v>
      </c>
      <c r="E25" s="1284">
        <f t="shared" ref="E25:O25" si="7">D25-D25*$C$30+E33</f>
        <v>309.57141369977097</v>
      </c>
      <c r="F25" s="1411">
        <f t="shared" si="7"/>
        <v>277.24785259828542</v>
      </c>
      <c r="G25" s="1413">
        <f t="shared" si="7"/>
        <v>258.29932083104825</v>
      </c>
      <c r="H25" s="1284">
        <f t="shared" si="7"/>
        <v>256.32927931600125</v>
      </c>
      <c r="I25" s="1285">
        <f t="shared" si="7"/>
        <v>253.56493753441168</v>
      </c>
      <c r="J25" s="1296">
        <f t="shared" si="7"/>
        <v>253.0892314812142</v>
      </c>
      <c r="K25" s="1284">
        <f t="shared" si="7"/>
        <v>253.66319575607804</v>
      </c>
      <c r="L25" s="1411">
        <f t="shared" si="7"/>
        <v>254.17723017796578</v>
      </c>
      <c r="M25" s="1413">
        <f t="shared" si="7"/>
        <v>253.63759225703097</v>
      </c>
      <c r="N25" s="1284">
        <f t="shared" si="7"/>
        <v>254.15430004031205</v>
      </c>
      <c r="O25" s="1285">
        <f t="shared" si="7"/>
        <v>253.61705634466006</v>
      </c>
      <c r="P25" s="411">
        <f>AVERAGE(D25:O25)</f>
        <v>264.86261750306488</v>
      </c>
      <c r="Q25" s="105"/>
      <c r="R25" s="102">
        <f>P88</f>
        <v>115</v>
      </c>
      <c r="S25" s="120" t="e">
        <f>#REF!</f>
        <v>#REF!</v>
      </c>
      <c r="T25" s="120" t="e">
        <f>S25-R25</f>
        <v>#REF!</v>
      </c>
      <c r="U25" s="105"/>
    </row>
    <row r="26" spans="1:21" s="107" customFormat="1" ht="19.5" customHeight="1">
      <c r="A26" s="1298"/>
      <c r="B26" s="458" t="s">
        <v>93</v>
      </c>
      <c r="C26" s="1302"/>
      <c r="D26" s="1290">
        <v>92</v>
      </c>
      <c r="E26" s="1284">
        <f t="shared" ref="E26:O26" si="8">D26-D26*$C$30+E34</f>
        <v>92.393920466375178</v>
      </c>
      <c r="F26" s="1411">
        <f t="shared" si="8"/>
        <v>87.746710157425113</v>
      </c>
      <c r="G26" s="1413">
        <f t="shared" si="8"/>
        <v>88.584733238010443</v>
      </c>
      <c r="H26" s="1284">
        <f t="shared" si="8"/>
        <v>89.335255053779292</v>
      </c>
      <c r="I26" s="1285">
        <f t="shared" si="8"/>
        <v>89.007411953743826</v>
      </c>
      <c r="J26" s="1296">
        <f t="shared" si="8"/>
        <v>88.713800232985434</v>
      </c>
      <c r="K26" s="1284">
        <f t="shared" si="8"/>
        <v>89.450845659418462</v>
      </c>
      <c r="L26" s="1411">
        <f t="shared" si="8"/>
        <v>89.110933292523114</v>
      </c>
      <c r="M26" s="1413">
        <f t="shared" si="8"/>
        <v>89.80651250422406</v>
      </c>
      <c r="N26" s="1284">
        <f t="shared" si="8"/>
        <v>89.429463572125712</v>
      </c>
      <c r="O26" s="1285">
        <f t="shared" si="8"/>
        <v>89.091783792525248</v>
      </c>
      <c r="P26" s="411">
        <f>AVERAGE(D26:O26)</f>
        <v>89.555947493594672</v>
      </c>
      <c r="Q26" s="105"/>
      <c r="R26" s="236"/>
      <c r="U26" s="105"/>
    </row>
    <row r="27" spans="1:21" s="107" customFormat="1" ht="19.5" customHeight="1" thickBot="1">
      <c r="A27" s="1299"/>
      <c r="B27" s="463" t="s">
        <v>354</v>
      </c>
      <c r="C27" s="827"/>
      <c r="D27" s="840">
        <f t="shared" ref="D27:O27" si="9">SUM(D22:D26)</f>
        <v>772</v>
      </c>
      <c r="E27" s="833">
        <f>SUM(E22:E26)</f>
        <v>770.5410160316469</v>
      </c>
      <c r="F27" s="1373">
        <f t="shared" si="9"/>
        <v>706.23437028110118</v>
      </c>
      <c r="G27" s="832">
        <f t="shared" si="9"/>
        <v>663.6422327220813</v>
      </c>
      <c r="H27" s="833">
        <f t="shared" si="9"/>
        <v>650.49730669457279</v>
      </c>
      <c r="I27" s="834">
        <f t="shared" si="9"/>
        <v>637.72489376362785</v>
      </c>
      <c r="J27" s="431">
        <f t="shared" si="9"/>
        <v>637.28609838106297</v>
      </c>
      <c r="K27" s="467">
        <f t="shared" si="9"/>
        <v>637.89311933919271</v>
      </c>
      <c r="L27" s="1374">
        <f t="shared" si="9"/>
        <v>638.43675886686174</v>
      </c>
      <c r="M27" s="466">
        <f t="shared" si="9"/>
        <v>637.92363486691772</v>
      </c>
      <c r="N27" s="467">
        <f t="shared" si="9"/>
        <v>638.46408814908318</v>
      </c>
      <c r="O27" s="468">
        <f t="shared" si="9"/>
        <v>636.94811059198025</v>
      </c>
      <c r="P27" s="435">
        <f>SUM(P23:P26)</f>
        <v>657.96596914067732</v>
      </c>
      <c r="Q27" s="105"/>
      <c r="R27" s="236"/>
      <c r="U27" s="105"/>
    </row>
    <row r="28" spans="1:21" s="107" customFormat="1" ht="19.5" customHeight="1" thickBot="1">
      <c r="A28" s="104"/>
      <c r="B28" s="105"/>
      <c r="C28" s="105"/>
      <c r="D28" s="472"/>
      <c r="E28" s="53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236"/>
      <c r="U28" s="105"/>
    </row>
    <row r="29" spans="1:21" s="107" customFormat="1" ht="19.5" customHeight="1" thickBot="1">
      <c r="A29" s="108" t="s">
        <v>958</v>
      </c>
      <c r="B29" s="1294" t="s">
        <v>809</v>
      </c>
      <c r="C29" s="1295" t="s">
        <v>927</v>
      </c>
      <c r="D29" s="393" t="s">
        <v>430</v>
      </c>
      <c r="E29" s="315" t="s">
        <v>557</v>
      </c>
      <c r="F29" s="316" t="s">
        <v>558</v>
      </c>
      <c r="G29" s="51" t="s">
        <v>431</v>
      </c>
      <c r="H29" s="315" t="s">
        <v>559</v>
      </c>
      <c r="I29" s="316" t="s">
        <v>560</v>
      </c>
      <c r="J29" s="393" t="s">
        <v>561</v>
      </c>
      <c r="K29" s="315" t="s">
        <v>562</v>
      </c>
      <c r="L29" s="316" t="s">
        <v>563</v>
      </c>
      <c r="M29" s="51" t="s">
        <v>564</v>
      </c>
      <c r="N29" s="315" t="s">
        <v>565</v>
      </c>
      <c r="O29" s="391" t="s">
        <v>566</v>
      </c>
      <c r="P29" s="394" t="s">
        <v>433</v>
      </c>
      <c r="Q29" s="105"/>
      <c r="R29" s="236"/>
      <c r="U29" s="105"/>
    </row>
    <row r="30" spans="1:21" s="107" customFormat="1" ht="19.5" customHeight="1" thickBot="1">
      <c r="B30" s="1393" t="s">
        <v>923</v>
      </c>
      <c r="C30" s="1397">
        <f>L98</f>
        <v>0.1044139079741828</v>
      </c>
      <c r="D30" s="1381">
        <f>_xlfn.CEILING.MATH(C36*$C30,1)</f>
        <v>87</v>
      </c>
      <c r="E30" s="1382">
        <f t="shared" ref="E30:O30" si="10">(D36-D22)*$C30</f>
        <v>79.45898396835311</v>
      </c>
      <c r="F30" s="1384">
        <f>(E36-E22)*$C30+53</f>
        <v>132.30664575054567</v>
      </c>
      <c r="G30" s="1385">
        <f t="shared" si="10"/>
        <v>67.058200436388148</v>
      </c>
      <c r="H30" s="1382">
        <f t="shared" si="10"/>
        <v>63.188808906334302</v>
      </c>
      <c r="I30" s="1384">
        <f t="shared" si="10"/>
        <v>62.333783366770142</v>
      </c>
      <c r="J30" s="1381">
        <f t="shared" si="10"/>
        <v>61.46362047723543</v>
      </c>
      <c r="K30" s="1382">
        <f t="shared" si="10"/>
        <v>61.832867683287155</v>
      </c>
      <c r="L30" s="1384">
        <f t="shared" si="10"/>
        <v>62.267974253520656</v>
      </c>
      <c r="M30" s="1385">
        <f t="shared" si="10"/>
        <v>62.657649646370835</v>
      </c>
      <c r="N30" s="1382">
        <f t="shared" si="10"/>
        <v>62.902223600637967</v>
      </c>
      <c r="O30" s="1383">
        <f t="shared" si="10"/>
        <v>63.225674540525546</v>
      </c>
      <c r="P30" s="1410">
        <f>SUM(D30:O30)</f>
        <v>865.69643262996897</v>
      </c>
      <c r="Q30" s="105"/>
      <c r="R30" s="236"/>
      <c r="U30" s="105"/>
    </row>
    <row r="31" spans="1:21" s="107" customFormat="1" ht="19.5" customHeight="1">
      <c r="A31" s="105"/>
      <c r="B31" s="1400" t="s">
        <v>926</v>
      </c>
      <c r="C31" s="790" t="s">
        <v>801</v>
      </c>
      <c r="D31" s="1408"/>
      <c r="E31" s="1401">
        <v>18</v>
      </c>
      <c r="F31" s="1404">
        <v>10</v>
      </c>
      <c r="G31" s="1405">
        <v>10</v>
      </c>
      <c r="H31" s="1403">
        <v>10</v>
      </c>
      <c r="I31" s="1404">
        <v>11</v>
      </c>
      <c r="J31" s="1402">
        <v>10</v>
      </c>
      <c r="K31" s="1403">
        <v>10</v>
      </c>
      <c r="L31" s="1404">
        <v>10</v>
      </c>
      <c r="M31" s="1405">
        <v>10</v>
      </c>
      <c r="N31" s="1403">
        <v>10</v>
      </c>
      <c r="O31" s="1401">
        <v>10</v>
      </c>
      <c r="P31" s="1406"/>
      <c r="Q31" s="105"/>
      <c r="R31" s="236"/>
      <c r="U31" s="105"/>
    </row>
    <row r="32" spans="1:21" s="107" customFormat="1" ht="19.5" customHeight="1">
      <c r="A32" s="105"/>
      <c r="B32" s="1375" t="s">
        <v>983</v>
      </c>
      <c r="C32" s="791" t="s">
        <v>800</v>
      </c>
      <c r="D32" s="1386">
        <v>20</v>
      </c>
      <c r="E32" s="1376">
        <v>10</v>
      </c>
      <c r="F32" s="1379">
        <v>0</v>
      </c>
      <c r="G32" s="1380">
        <v>0</v>
      </c>
      <c r="H32" s="1378">
        <v>10</v>
      </c>
      <c r="I32" s="1379">
        <v>10</v>
      </c>
      <c r="J32" s="1377">
        <v>20</v>
      </c>
      <c r="K32" s="1378">
        <v>19</v>
      </c>
      <c r="L32" s="1379">
        <v>20</v>
      </c>
      <c r="M32" s="1380">
        <v>19</v>
      </c>
      <c r="N32" s="1378">
        <v>20</v>
      </c>
      <c r="O32" s="1376">
        <v>19</v>
      </c>
      <c r="P32" s="1395"/>
      <c r="Q32" s="105"/>
      <c r="R32" s="236"/>
      <c r="U32" s="106"/>
    </row>
    <row r="33" spans="1:21" s="107" customFormat="1" ht="19.5" customHeight="1">
      <c r="A33" s="105"/>
      <c r="B33" s="1375"/>
      <c r="C33" s="791" t="s">
        <v>799</v>
      </c>
      <c r="D33" s="1386">
        <v>15</v>
      </c>
      <c r="E33" s="1376">
        <v>40</v>
      </c>
      <c r="F33" s="1379"/>
      <c r="G33" s="1380">
        <v>10</v>
      </c>
      <c r="H33" s="1378">
        <v>25</v>
      </c>
      <c r="I33" s="1379">
        <v>24</v>
      </c>
      <c r="J33" s="1377">
        <v>26</v>
      </c>
      <c r="K33" s="1378">
        <v>27</v>
      </c>
      <c r="L33" s="1379">
        <v>27</v>
      </c>
      <c r="M33" s="1380">
        <v>26</v>
      </c>
      <c r="N33" s="1378">
        <v>27</v>
      </c>
      <c r="O33" s="1376">
        <v>26</v>
      </c>
      <c r="P33" s="1395"/>
      <c r="Q33" s="105"/>
      <c r="R33" s="236"/>
      <c r="U33" s="105"/>
    </row>
    <row r="34" spans="1:21" s="107" customFormat="1" ht="19.5" customHeight="1" thickBot="1">
      <c r="A34" s="105"/>
      <c r="B34" s="1375"/>
      <c r="C34" s="1398" t="s">
        <v>93</v>
      </c>
      <c r="D34" s="1387"/>
      <c r="E34" s="1388">
        <v>10</v>
      </c>
      <c r="F34" s="1391">
        <v>5</v>
      </c>
      <c r="G34" s="1392">
        <v>10</v>
      </c>
      <c r="H34" s="1390">
        <v>10</v>
      </c>
      <c r="I34" s="1391">
        <v>9</v>
      </c>
      <c r="J34" s="1389">
        <v>9</v>
      </c>
      <c r="K34" s="1390">
        <v>10</v>
      </c>
      <c r="L34" s="1391">
        <v>9</v>
      </c>
      <c r="M34" s="1392">
        <v>10</v>
      </c>
      <c r="N34" s="1390">
        <v>9</v>
      </c>
      <c r="O34" s="1388">
        <v>9</v>
      </c>
      <c r="P34" s="1395"/>
      <c r="Q34" s="105"/>
      <c r="R34" s="236"/>
      <c r="U34" s="105"/>
    </row>
    <row r="35" spans="1:21" s="107" customFormat="1" ht="19.5" customHeight="1" thickBot="1">
      <c r="A35" s="105"/>
      <c r="B35" s="1394"/>
      <c r="C35" s="1407" t="s">
        <v>15</v>
      </c>
      <c r="D35" s="1389">
        <f>SUM(D31:D34)</f>
        <v>35</v>
      </c>
      <c r="E35" s="1392">
        <f>SUM(E31:E34)</f>
        <v>78</v>
      </c>
      <c r="F35" s="1399">
        <f t="shared" ref="F35:O35" si="11">SUM(F31:F34)</f>
        <v>15</v>
      </c>
      <c r="G35" s="1392">
        <f t="shared" si="11"/>
        <v>30</v>
      </c>
      <c r="H35" s="1392">
        <f t="shared" si="11"/>
        <v>55</v>
      </c>
      <c r="I35" s="1399">
        <f t="shared" si="11"/>
        <v>54</v>
      </c>
      <c r="J35" s="1389">
        <f t="shared" si="11"/>
        <v>65</v>
      </c>
      <c r="K35" s="1392">
        <f t="shared" si="11"/>
        <v>66</v>
      </c>
      <c r="L35" s="1399">
        <f t="shared" si="11"/>
        <v>66</v>
      </c>
      <c r="M35" s="1392">
        <f t="shared" si="11"/>
        <v>65</v>
      </c>
      <c r="N35" s="1392">
        <f t="shared" si="11"/>
        <v>66</v>
      </c>
      <c r="O35" s="1392">
        <f t="shared" si="11"/>
        <v>64</v>
      </c>
      <c r="P35" s="1409"/>
      <c r="Q35" s="105"/>
      <c r="R35" s="236"/>
      <c r="U35" s="105"/>
    </row>
    <row r="36" spans="1:21" s="107" customFormat="1" ht="19.5" customHeight="1" thickBot="1">
      <c r="A36" s="105"/>
      <c r="B36" s="1303" t="s">
        <v>925</v>
      </c>
      <c r="C36" s="1304">
        <v>824</v>
      </c>
      <c r="D36" s="1308">
        <f>D27</f>
        <v>772</v>
      </c>
      <c r="E36" s="1306">
        <f t="shared" ref="E36:O36" si="12">D36-E30+SUM(E31:E34)</f>
        <v>770.5410160316469</v>
      </c>
      <c r="F36" s="1309">
        <f t="shared" si="12"/>
        <v>653.23437028110129</v>
      </c>
      <c r="G36" s="1305">
        <f t="shared" si="12"/>
        <v>616.17616984471317</v>
      </c>
      <c r="H36" s="1306">
        <f t="shared" si="12"/>
        <v>607.98736093837886</v>
      </c>
      <c r="I36" s="1309">
        <f t="shared" si="12"/>
        <v>599.65357757160871</v>
      </c>
      <c r="J36" s="1308">
        <f>I36-J30+SUM(J31:J34)</f>
        <v>603.18995709437331</v>
      </c>
      <c r="K36" s="1306">
        <f t="shared" si="12"/>
        <v>607.35708941108612</v>
      </c>
      <c r="L36" s="1309">
        <f t="shared" si="12"/>
        <v>611.08911515756552</v>
      </c>
      <c r="M36" s="1305">
        <f t="shared" si="12"/>
        <v>613.43146551119469</v>
      </c>
      <c r="N36" s="1306">
        <f t="shared" si="12"/>
        <v>616.52924191055672</v>
      </c>
      <c r="O36" s="1307">
        <f t="shared" si="12"/>
        <v>617.30356737003115</v>
      </c>
      <c r="P36" s="1396"/>
      <c r="Q36" s="105"/>
      <c r="R36" s="236"/>
      <c r="U36" s="105"/>
    </row>
    <row r="37" spans="1:21" s="107" customFormat="1" ht="19.5" customHeight="1">
      <c r="A37" s="105"/>
      <c r="B37" s="105"/>
      <c r="C37" s="105"/>
      <c r="D37" s="1187" t="s">
        <v>922</v>
      </c>
      <c r="E37" s="105"/>
      <c r="G37" s="1415">
        <f>L98</f>
        <v>0.1044139079741828</v>
      </c>
      <c r="H37" s="105"/>
      <c r="I37" s="105"/>
      <c r="J37" s="105"/>
      <c r="K37" s="105"/>
      <c r="L37" s="105"/>
      <c r="M37" s="105"/>
      <c r="N37" s="105"/>
      <c r="O37" s="105"/>
      <c r="P37" s="106">
        <f>D36-O36</f>
        <v>154.69643262996885</v>
      </c>
      <c r="Q37" s="105"/>
      <c r="R37" s="236"/>
      <c r="U37" s="105"/>
    </row>
    <row r="38" spans="1:21" s="107" customFormat="1" ht="19.5" customHeight="1">
      <c r="A38" s="105"/>
      <c r="B38" s="105"/>
      <c r="C38" s="105"/>
      <c r="D38" s="105" t="s">
        <v>928</v>
      </c>
      <c r="E38" s="472"/>
      <c r="F38" s="472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236"/>
      <c r="U38" s="105"/>
    </row>
    <row r="39" spans="1:21" s="107" customFormat="1" ht="19.5" customHeight="1">
      <c r="A39" s="1253" t="s">
        <v>930</v>
      </c>
      <c r="C39" s="105"/>
      <c r="D39" s="472"/>
      <c r="E39" s="472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Q39" s="105"/>
      <c r="R39" s="236"/>
      <c r="U39" s="105"/>
    </row>
    <row r="40" spans="1:21" s="107" customFormat="1" ht="19.5" customHeight="1">
      <c r="A40" s="1253" t="s">
        <v>937</v>
      </c>
      <c r="C40" s="105"/>
      <c r="D40" s="472"/>
      <c r="E40" s="472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8"/>
      <c r="Q40" s="105"/>
      <c r="R40" s="236"/>
      <c r="U40" s="105"/>
    </row>
    <row r="41" spans="1:21" s="107" customFormat="1" ht="19.5" customHeight="1" thickBot="1">
      <c r="A41" s="105" t="s">
        <v>938</v>
      </c>
      <c r="C41" s="105"/>
      <c r="D41" s="472"/>
      <c r="E41" s="472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8" t="s">
        <v>351</v>
      </c>
      <c r="Q41" s="105"/>
      <c r="R41" s="236"/>
      <c r="U41" s="105"/>
    </row>
    <row r="42" spans="1:21" s="107" customFormat="1" ht="19.5" customHeight="1" thickBot="1">
      <c r="A42" s="55" t="s">
        <v>112</v>
      </c>
      <c r="B42" s="391" t="s">
        <v>124</v>
      </c>
      <c r="C42" s="392" t="s">
        <v>309</v>
      </c>
      <c r="D42" s="51" t="s">
        <v>430</v>
      </c>
      <c r="E42" s="315" t="s">
        <v>557</v>
      </c>
      <c r="F42" s="391" t="s">
        <v>558</v>
      </c>
      <c r="G42" s="393" t="s">
        <v>431</v>
      </c>
      <c r="H42" s="315" t="s">
        <v>559</v>
      </c>
      <c r="I42" s="316" t="s">
        <v>560</v>
      </c>
      <c r="J42" s="51" t="s">
        <v>561</v>
      </c>
      <c r="K42" s="315" t="s">
        <v>562</v>
      </c>
      <c r="L42" s="391" t="s">
        <v>563</v>
      </c>
      <c r="M42" s="393" t="s">
        <v>564</v>
      </c>
      <c r="N42" s="315" t="s">
        <v>565</v>
      </c>
      <c r="O42" s="316" t="s">
        <v>566</v>
      </c>
      <c r="P42" s="394" t="s">
        <v>433</v>
      </c>
      <c r="Q42" s="105"/>
      <c r="R42" s="236"/>
      <c r="U42" s="105"/>
    </row>
    <row r="43" spans="1:21" s="107" customFormat="1" ht="19.5" customHeight="1">
      <c r="A43" s="1297" t="s">
        <v>838</v>
      </c>
      <c r="B43" s="406" t="s">
        <v>812</v>
      </c>
      <c r="C43" s="1302"/>
      <c r="D43" s="1437">
        <v>11</v>
      </c>
      <c r="E43" s="1438">
        <v>11</v>
      </c>
      <c r="F43" s="1439">
        <v>11</v>
      </c>
      <c r="G43" s="1470">
        <v>11</v>
      </c>
      <c r="H43" s="1420">
        <v>11</v>
      </c>
      <c r="I43" s="1471">
        <v>11</v>
      </c>
      <c r="J43" s="1441">
        <v>11</v>
      </c>
      <c r="K43" s="1442">
        <v>11</v>
      </c>
      <c r="L43" s="1443">
        <v>11</v>
      </c>
      <c r="M43" s="1472">
        <v>11</v>
      </c>
      <c r="N43" s="1424">
        <v>11</v>
      </c>
      <c r="O43" s="1425">
        <v>11</v>
      </c>
      <c r="P43" s="1426">
        <f>AVERAGE(D43:O43)</f>
        <v>11</v>
      </c>
      <c r="Q43" s="105"/>
      <c r="R43" s="236"/>
      <c r="U43" s="105"/>
    </row>
    <row r="44" spans="1:21" s="107" customFormat="1" ht="19.5" customHeight="1">
      <c r="A44" s="1297"/>
      <c r="B44" s="406" t="s">
        <v>801</v>
      </c>
      <c r="C44" s="1302"/>
      <c r="D44" s="1419">
        <v>81.145196636349581</v>
      </c>
      <c r="E44" s="1473">
        <v>82.936728278739011</v>
      </c>
      <c r="F44" s="1474">
        <v>90.023779631291347</v>
      </c>
      <c r="G44" s="1473">
        <v>92.220063676650412</v>
      </c>
      <c r="H44" s="1473">
        <v>89.643438255295194</v>
      </c>
      <c r="I44" s="1470">
        <v>84.393215880502879</v>
      </c>
      <c r="J44" s="1419">
        <v>80.831555154831051</v>
      </c>
      <c r="K44" s="1473">
        <v>84.104358775807242</v>
      </c>
      <c r="L44" s="1474">
        <v>96.844379600650655</v>
      </c>
      <c r="M44" s="1473">
        <v>92.276823666069959</v>
      </c>
      <c r="N44" s="1473">
        <v>89.406499181072419</v>
      </c>
      <c r="O44" s="1473">
        <v>83.679868902940228</v>
      </c>
      <c r="P44" s="1426">
        <f>AVERAGE(D44:O44)</f>
        <v>87.292158970016658</v>
      </c>
      <c r="Q44" s="105"/>
      <c r="R44" s="236"/>
      <c r="U44" s="105"/>
    </row>
    <row r="45" spans="1:21" s="107" customFormat="1" ht="19.5" customHeight="1">
      <c r="A45" s="1297"/>
      <c r="B45" s="406" t="s">
        <v>800</v>
      </c>
      <c r="C45" s="1302"/>
      <c r="D45" s="1419">
        <v>331.08716080027534</v>
      </c>
      <c r="E45" s="1473">
        <v>307.45201678323872</v>
      </c>
      <c r="F45" s="1474">
        <v>293.4363405694138</v>
      </c>
      <c r="G45" s="1473">
        <v>305.07234307322705</v>
      </c>
      <c r="H45" s="1473">
        <v>288.32773820132945</v>
      </c>
      <c r="I45" s="1470">
        <v>260.09306585519823</v>
      </c>
      <c r="J45" s="1419">
        <v>237.86007472561562</v>
      </c>
      <c r="K45" s="1473">
        <v>256.88458947295499</v>
      </c>
      <c r="L45" s="1474">
        <v>301.94508930145389</v>
      </c>
      <c r="M45" s="1473">
        <v>286.65220230460341</v>
      </c>
      <c r="N45" s="1473">
        <v>267.9345458178301</v>
      </c>
      <c r="O45" s="1473">
        <v>250.81018995909415</v>
      </c>
      <c r="P45" s="1426">
        <f>AVERAGE(D45:O45)</f>
        <v>282.29627973868622</v>
      </c>
      <c r="Q45" s="105"/>
      <c r="R45" s="236"/>
      <c r="U45" s="105"/>
    </row>
    <row r="46" spans="1:21" s="107" customFormat="1" ht="19.5" customHeight="1">
      <c r="A46" s="1297"/>
      <c r="B46" s="406" t="s">
        <v>799</v>
      </c>
      <c r="C46" s="1302"/>
      <c r="D46" s="1419">
        <v>389.73279012687135</v>
      </c>
      <c r="E46" s="1473">
        <v>349.87343976037079</v>
      </c>
      <c r="F46" s="1474">
        <v>364.20043068102473</v>
      </c>
      <c r="G46" s="1473">
        <v>380.03061485095333</v>
      </c>
      <c r="H46" s="1473">
        <v>365.35338732484024</v>
      </c>
      <c r="I46" s="1470">
        <v>325.83149628320189</v>
      </c>
      <c r="J46" s="1419">
        <v>309.08917208603214</v>
      </c>
      <c r="K46" s="1473">
        <v>310.35807053677951</v>
      </c>
      <c r="L46" s="1474">
        <v>390.69399938888938</v>
      </c>
      <c r="M46" s="1473">
        <v>362.10424435437267</v>
      </c>
      <c r="N46" s="1473">
        <v>346.11526594369116</v>
      </c>
      <c r="O46" s="1473">
        <v>314.37209232570706</v>
      </c>
      <c r="P46" s="1426">
        <f>AVERAGE(D46:O46)</f>
        <v>350.64625030522785</v>
      </c>
      <c r="Q46" s="105"/>
      <c r="R46" s="236"/>
      <c r="U46" s="105"/>
    </row>
    <row r="47" spans="1:21" s="107" customFormat="1" ht="19.5" customHeight="1">
      <c r="A47" s="1298"/>
      <c r="B47" s="458" t="s">
        <v>93</v>
      </c>
      <c r="C47" s="1302"/>
      <c r="D47" s="1419">
        <v>78</v>
      </c>
      <c r="E47" s="1473">
        <v>57</v>
      </c>
      <c r="F47" s="1474">
        <v>65</v>
      </c>
      <c r="G47" s="1473">
        <v>73</v>
      </c>
      <c r="H47" s="1473">
        <v>66</v>
      </c>
      <c r="I47" s="1470">
        <v>67</v>
      </c>
      <c r="J47" s="1419">
        <v>55</v>
      </c>
      <c r="K47" s="1473">
        <v>46</v>
      </c>
      <c r="L47" s="1474">
        <v>35</v>
      </c>
      <c r="M47" s="1473">
        <v>36</v>
      </c>
      <c r="N47" s="1473">
        <v>35</v>
      </c>
      <c r="O47" s="1473">
        <v>31</v>
      </c>
      <c r="P47" s="1426">
        <f>AVERAGE(D47:O47)</f>
        <v>53.666666666666664</v>
      </c>
      <c r="Q47" s="105"/>
      <c r="R47" s="236"/>
      <c r="U47" s="105"/>
    </row>
    <row r="48" spans="1:21" s="107" customFormat="1" ht="19.5" customHeight="1" thickBot="1">
      <c r="A48" s="1299"/>
      <c r="B48" s="463" t="s">
        <v>354</v>
      </c>
      <c r="C48" s="827"/>
      <c r="D48" s="1430">
        <f>SUM(D43:D47)</f>
        <v>890.9651475634962</v>
      </c>
      <c r="E48" s="1431">
        <f>SUM(E43:E47)</f>
        <v>808.26218482234844</v>
      </c>
      <c r="F48" s="1432">
        <f t="shared" ref="F48:O48" si="13">SUM(F43:F47)</f>
        <v>823.66055088172993</v>
      </c>
      <c r="G48" s="1475">
        <f t="shared" si="13"/>
        <v>861.32302160083077</v>
      </c>
      <c r="H48" s="1431">
        <f t="shared" si="13"/>
        <v>820.32456378146492</v>
      </c>
      <c r="I48" s="1476">
        <f t="shared" si="13"/>
        <v>748.31777801890303</v>
      </c>
      <c r="J48" s="1433">
        <f t="shared" si="13"/>
        <v>693.78080196647875</v>
      </c>
      <c r="K48" s="1434">
        <f t="shared" si="13"/>
        <v>708.34701878554165</v>
      </c>
      <c r="L48" s="1435">
        <f t="shared" si="13"/>
        <v>835.48346829099387</v>
      </c>
      <c r="M48" s="1477">
        <f t="shared" si="13"/>
        <v>788.03327032504603</v>
      </c>
      <c r="N48" s="1434">
        <f t="shared" si="13"/>
        <v>749.45631094259375</v>
      </c>
      <c r="O48" s="1435">
        <f t="shared" si="13"/>
        <v>690.86215118774146</v>
      </c>
      <c r="P48" s="1436">
        <f>SUM(P44:P47)</f>
        <v>773.90135568059736</v>
      </c>
      <c r="Q48" s="105"/>
      <c r="R48" s="236"/>
      <c r="U48" s="105"/>
    </row>
    <row r="49" spans="1:21" s="107" customFormat="1" ht="19.5" customHeight="1">
      <c r="B49" s="105"/>
      <c r="C49" s="105"/>
      <c r="D49" s="1291" t="s">
        <v>920</v>
      </c>
      <c r="E49" s="472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236"/>
      <c r="U49" s="105"/>
    </row>
    <row r="50" spans="1:21" s="107" customFormat="1" ht="19.5" customHeight="1">
      <c r="A50" s="1291"/>
      <c r="B50" s="105"/>
      <c r="C50" s="105"/>
      <c r="E50" s="472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236"/>
      <c r="U50" s="105"/>
    </row>
    <row r="51" spans="1:21" s="107" customFormat="1" ht="19.5" customHeight="1" thickBot="1">
      <c r="A51" s="1253" t="s">
        <v>931</v>
      </c>
      <c r="B51" s="105" t="s">
        <v>932</v>
      </c>
      <c r="C51" s="105"/>
      <c r="D51" s="535"/>
      <c r="E51" s="535"/>
      <c r="F51" s="535"/>
      <c r="G51" s="535"/>
      <c r="H51" s="535"/>
      <c r="I51" s="535"/>
      <c r="J51" s="535"/>
      <c r="K51" s="535"/>
      <c r="L51" s="535"/>
      <c r="M51" s="535"/>
      <c r="N51" s="535"/>
      <c r="O51" s="535"/>
      <c r="P51" s="108" t="s">
        <v>351</v>
      </c>
      <c r="Q51" s="105"/>
      <c r="R51" s="236"/>
      <c r="U51" s="105"/>
    </row>
    <row r="52" spans="1:21" s="107" customFormat="1" ht="19.5" customHeight="1" thickBot="1">
      <c r="A52" s="391" t="s">
        <v>112</v>
      </c>
      <c r="B52" s="391" t="s">
        <v>124</v>
      </c>
      <c r="C52" s="455" t="s">
        <v>309</v>
      </c>
      <c r="D52" s="393" t="s">
        <v>430</v>
      </c>
      <c r="E52" s="315" t="s">
        <v>557</v>
      </c>
      <c r="F52" s="316" t="s">
        <v>558</v>
      </c>
      <c r="G52" s="393" t="s">
        <v>431</v>
      </c>
      <c r="H52" s="315" t="s">
        <v>559</v>
      </c>
      <c r="I52" s="316" t="s">
        <v>560</v>
      </c>
      <c r="J52" s="393" t="s">
        <v>561</v>
      </c>
      <c r="K52" s="315" t="s">
        <v>562</v>
      </c>
      <c r="L52" s="316" t="s">
        <v>563</v>
      </c>
      <c r="M52" s="393" t="s">
        <v>564</v>
      </c>
      <c r="N52" s="315" t="s">
        <v>565</v>
      </c>
      <c r="O52" s="316" t="s">
        <v>566</v>
      </c>
      <c r="P52" s="394" t="s">
        <v>433</v>
      </c>
      <c r="Q52" s="105"/>
      <c r="R52" s="236"/>
      <c r="U52" s="105"/>
    </row>
    <row r="53" spans="1:21" s="107" customFormat="1" ht="19.5" customHeight="1">
      <c r="A53" s="406" t="s">
        <v>838</v>
      </c>
      <c r="B53" s="406" t="s">
        <v>812</v>
      </c>
      <c r="C53" s="405"/>
      <c r="D53" s="1419">
        <f t="shared" ref="D53:O53" si="14">D43-D22</f>
        <v>0</v>
      </c>
      <c r="E53" s="1420">
        <f t="shared" si="14"/>
        <v>0</v>
      </c>
      <c r="F53" s="1421">
        <f t="shared" si="14"/>
        <v>0</v>
      </c>
      <c r="G53" s="1422">
        <f t="shared" si="14"/>
        <v>0</v>
      </c>
      <c r="H53" s="1420">
        <f t="shared" si="14"/>
        <v>0</v>
      </c>
      <c r="I53" s="1421">
        <f t="shared" si="14"/>
        <v>0</v>
      </c>
      <c r="J53" s="1423">
        <f t="shared" si="14"/>
        <v>0</v>
      </c>
      <c r="K53" s="1424">
        <f t="shared" si="14"/>
        <v>0</v>
      </c>
      <c r="L53" s="1425">
        <f t="shared" si="14"/>
        <v>0</v>
      </c>
      <c r="M53" s="1423">
        <f t="shared" si="14"/>
        <v>0</v>
      </c>
      <c r="N53" s="1424">
        <f t="shared" si="14"/>
        <v>0</v>
      </c>
      <c r="O53" s="1425">
        <f t="shared" si="14"/>
        <v>0</v>
      </c>
      <c r="P53" s="1426">
        <f>AVERAGE(D53:O53)</f>
        <v>0</v>
      </c>
      <c r="Q53" s="105"/>
      <c r="R53" s="236"/>
      <c r="U53" s="105"/>
    </row>
    <row r="54" spans="1:21" s="107" customFormat="1" ht="19.5" customHeight="1">
      <c r="A54" s="406"/>
      <c r="B54" s="406" t="s">
        <v>801</v>
      </c>
      <c r="C54" s="405"/>
      <c r="D54" s="1419">
        <f t="shared" ref="D54:O54" si="15">D44-D23</f>
        <v>-6.8548033636504186</v>
      </c>
      <c r="E54" s="1420">
        <f t="shared" si="15"/>
        <v>-13.874847819532903</v>
      </c>
      <c r="F54" s="1421">
        <f t="shared" si="15"/>
        <v>-6.6793214694200032</v>
      </c>
      <c r="G54" s="1422">
        <f t="shared" si="15"/>
        <v>-4.3858887249131726</v>
      </c>
      <c r="H54" s="1420">
        <f t="shared" si="15"/>
        <v>-6.8755091224532521</v>
      </c>
      <c r="I54" s="1421">
        <f t="shared" si="15"/>
        <v>-13.047811007980343</v>
      </c>
      <c r="J54" s="1423">
        <f t="shared" si="15"/>
        <v>-16.435273319208207</v>
      </c>
      <c r="K54" s="1424">
        <f t="shared" si="15"/>
        <v>-13.006460021003051</v>
      </c>
      <c r="L54" s="1425">
        <f t="shared" si="15"/>
        <v>-0.12671909901195022</v>
      </c>
      <c r="M54" s="1423">
        <f t="shared" si="15"/>
        <v>-4.5691436578106845</v>
      </c>
      <c r="N54" s="1424">
        <f t="shared" si="15"/>
        <v>-7.3274022229818314</v>
      </c>
      <c r="O54" s="1425">
        <f t="shared" si="15"/>
        <v>-12.953667821927425</v>
      </c>
      <c r="P54" s="1426">
        <f>AVERAGE(D54:O54)</f>
        <v>-8.8447373041577695</v>
      </c>
      <c r="Q54" s="105"/>
      <c r="R54" s="236"/>
      <c r="U54" s="105"/>
    </row>
    <row r="55" spans="1:21" s="107" customFormat="1" ht="19.5" customHeight="1">
      <c r="A55" s="406"/>
      <c r="B55" s="406" t="s">
        <v>800</v>
      </c>
      <c r="C55" s="405"/>
      <c r="D55" s="1419">
        <f t="shared" ref="D55:O55" si="16">D45-D24</f>
        <v>51.087160800275342</v>
      </c>
      <c r="E55" s="1420">
        <f t="shared" si="16"/>
        <v>46.687911016009934</v>
      </c>
      <c r="F55" s="1421">
        <f t="shared" si="16"/>
        <v>59.899634144734506</v>
      </c>
      <c r="G55" s="1422">
        <f t="shared" si="16"/>
        <v>95.920116821767976</v>
      </c>
      <c r="H55" s="1420">
        <f t="shared" si="16"/>
        <v>91.013913254285683</v>
      </c>
      <c r="I55" s="1421">
        <f t="shared" si="16"/>
        <v>73.381548468209104</v>
      </c>
      <c r="J55" s="1423">
        <f t="shared" si="16"/>
        <v>50.643836532791596</v>
      </c>
      <c r="K55" s="1424">
        <f t="shared" si="16"/>
        <v>70.216330346069185</v>
      </c>
      <c r="L55" s="1425">
        <f t="shared" si="16"/>
        <v>114.76759260474364</v>
      </c>
      <c r="M55" s="1423">
        <f t="shared" si="16"/>
        <v>100.01863952282136</v>
      </c>
      <c r="N55" s="1424">
        <f t="shared" si="16"/>
        <v>80.788122685238903</v>
      </c>
      <c r="O55" s="1425">
        <f t="shared" si="16"/>
        <v>64.204456229166794</v>
      </c>
      <c r="P55" s="1426">
        <f>AVERAGE(D55:O55)</f>
        <v>74.885771868842838</v>
      </c>
      <c r="Q55" s="105"/>
      <c r="R55" s="236"/>
      <c r="U55" s="105"/>
    </row>
    <row r="56" spans="1:21" s="107" customFormat="1" ht="19.5" customHeight="1">
      <c r="A56" s="406"/>
      <c r="B56" s="406" t="s">
        <v>799</v>
      </c>
      <c r="C56" s="405"/>
      <c r="D56" s="1419">
        <f t="shared" ref="D56:O56" si="17">D46-D25</f>
        <v>88.73279012687135</v>
      </c>
      <c r="E56" s="1420">
        <f t="shared" si="17"/>
        <v>40.302026060599815</v>
      </c>
      <c r="F56" s="1421">
        <f t="shared" si="17"/>
        <v>86.952578082739308</v>
      </c>
      <c r="G56" s="1422">
        <f t="shared" si="17"/>
        <v>121.73129401990508</v>
      </c>
      <c r="H56" s="1420">
        <f t="shared" si="17"/>
        <v>109.02410800883899</v>
      </c>
      <c r="I56" s="1421">
        <f t="shared" si="17"/>
        <v>72.266558748790203</v>
      </c>
      <c r="J56" s="1423">
        <f t="shared" si="17"/>
        <v>55.999940604817937</v>
      </c>
      <c r="K56" s="1424">
        <f t="shared" si="17"/>
        <v>56.694874780701468</v>
      </c>
      <c r="L56" s="1425">
        <f t="shared" si="17"/>
        <v>136.5167692109236</v>
      </c>
      <c r="M56" s="1423">
        <f>M46-M25</f>
        <v>108.46665209734169</v>
      </c>
      <c r="N56" s="1424">
        <f t="shared" si="17"/>
        <v>91.960965903379105</v>
      </c>
      <c r="O56" s="1425">
        <f t="shared" si="17"/>
        <v>60.755035981047001</v>
      </c>
      <c r="P56" s="1426">
        <f>AVERAGE(D56:O56)</f>
        <v>85.78363280216297</v>
      </c>
      <c r="Q56" s="105"/>
      <c r="R56" s="236"/>
      <c r="U56" s="105"/>
    </row>
    <row r="57" spans="1:21" s="107" customFormat="1" ht="19.5" customHeight="1">
      <c r="A57" s="458"/>
      <c r="B57" s="458" t="s">
        <v>93</v>
      </c>
      <c r="C57" s="405"/>
      <c r="D57" s="1419">
        <f t="shared" ref="D57:O57" si="18">D47-D26</f>
        <v>-14</v>
      </c>
      <c r="E57" s="1427">
        <f t="shared" si="18"/>
        <v>-35.393920466375178</v>
      </c>
      <c r="F57" s="1428">
        <f t="shared" si="18"/>
        <v>-22.746710157425113</v>
      </c>
      <c r="G57" s="1429">
        <f t="shared" si="18"/>
        <v>-15.584733238010443</v>
      </c>
      <c r="H57" s="1427">
        <f t="shared" si="18"/>
        <v>-23.335255053779292</v>
      </c>
      <c r="I57" s="1428">
        <f t="shared" si="18"/>
        <v>-22.007411953743826</v>
      </c>
      <c r="J57" s="1429">
        <f t="shared" si="18"/>
        <v>-33.713800232985434</v>
      </c>
      <c r="K57" s="1427">
        <f t="shared" si="18"/>
        <v>-43.450845659418462</v>
      </c>
      <c r="L57" s="1428">
        <f t="shared" si="18"/>
        <v>-54.110933292523114</v>
      </c>
      <c r="M57" s="1429">
        <f t="shared" si="18"/>
        <v>-53.80651250422406</v>
      </c>
      <c r="N57" s="1427">
        <f t="shared" si="18"/>
        <v>-54.429463572125712</v>
      </c>
      <c r="O57" s="1428">
        <f t="shared" si="18"/>
        <v>-58.091783792525248</v>
      </c>
      <c r="P57" s="1426">
        <f>AVERAGE(D57:O57)</f>
        <v>-35.889280826927987</v>
      </c>
      <c r="Q57" s="105"/>
      <c r="R57" s="236"/>
      <c r="U57" s="105"/>
    </row>
    <row r="58" spans="1:21" s="107" customFormat="1" ht="19.5" customHeight="1" thickBot="1">
      <c r="A58" s="463"/>
      <c r="B58" s="463" t="s">
        <v>354</v>
      </c>
      <c r="C58" s="464"/>
      <c r="D58" s="1430">
        <f>SUM(D53:D57)</f>
        <v>118.96514756349626</v>
      </c>
      <c r="E58" s="1431">
        <f>SUM(E53:E57)</f>
        <v>37.721168790701668</v>
      </c>
      <c r="F58" s="1432">
        <f t="shared" ref="F58:O58" si="19">SUM(F53:F57)</f>
        <v>117.42618060062871</v>
      </c>
      <c r="G58" s="1430">
        <f t="shared" si="19"/>
        <v>197.68078887874944</v>
      </c>
      <c r="H58" s="1431">
        <f t="shared" si="19"/>
        <v>169.82725708689213</v>
      </c>
      <c r="I58" s="1432">
        <f t="shared" si="19"/>
        <v>110.59288425527512</v>
      </c>
      <c r="J58" s="1433">
        <f t="shared" si="19"/>
        <v>56.494703585415891</v>
      </c>
      <c r="K58" s="1434">
        <f t="shared" si="19"/>
        <v>70.453899446349141</v>
      </c>
      <c r="L58" s="1435">
        <f t="shared" si="19"/>
        <v>197.04670942413219</v>
      </c>
      <c r="M58" s="1433">
        <f t="shared" si="19"/>
        <v>150.10963545812831</v>
      </c>
      <c r="N58" s="1434">
        <f t="shared" si="19"/>
        <v>110.99222279351045</v>
      </c>
      <c r="O58" s="1435">
        <f t="shared" si="19"/>
        <v>53.914040595761122</v>
      </c>
      <c r="P58" s="1436">
        <f>SUM(P54:P57)</f>
        <v>115.93538653992003</v>
      </c>
      <c r="Q58" s="105"/>
      <c r="R58" s="236"/>
      <c r="U58" s="105"/>
    </row>
    <row r="59" spans="1:21" s="107" customFormat="1" ht="19.5" customHeight="1">
      <c r="A59" s="104"/>
      <c r="B59" s="105"/>
      <c r="C59" s="105"/>
      <c r="D59" s="472"/>
      <c r="E59" s="472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236"/>
      <c r="U59" s="105"/>
    </row>
    <row r="60" spans="1:21" s="107" customFormat="1" ht="19.5" customHeight="1" thickBot="1">
      <c r="A60" s="122" t="s">
        <v>935</v>
      </c>
      <c r="B60" s="105"/>
      <c r="C60" s="105"/>
      <c r="D60" s="472"/>
      <c r="E60" s="472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8" t="s">
        <v>933</v>
      </c>
      <c r="Q60" s="105"/>
      <c r="R60" s="236"/>
      <c r="U60" s="105"/>
    </row>
    <row r="61" spans="1:21" s="107" customFormat="1" ht="19.5" customHeight="1" thickBot="1">
      <c r="A61" s="391" t="s">
        <v>112</v>
      </c>
      <c r="B61" s="391" t="s">
        <v>124</v>
      </c>
      <c r="C61" s="455" t="s">
        <v>309</v>
      </c>
      <c r="D61" s="393" t="s">
        <v>430</v>
      </c>
      <c r="E61" s="315" t="s">
        <v>557</v>
      </c>
      <c r="F61" s="316" t="s">
        <v>558</v>
      </c>
      <c r="G61" s="393" t="s">
        <v>431</v>
      </c>
      <c r="H61" s="315" t="s">
        <v>559</v>
      </c>
      <c r="I61" s="316" t="s">
        <v>560</v>
      </c>
      <c r="J61" s="393" t="s">
        <v>561</v>
      </c>
      <c r="K61" s="315" t="s">
        <v>562</v>
      </c>
      <c r="L61" s="316" t="s">
        <v>563</v>
      </c>
      <c r="M61" s="393" t="s">
        <v>564</v>
      </c>
      <c r="N61" s="315" t="s">
        <v>565</v>
      </c>
      <c r="O61" s="316" t="s">
        <v>566</v>
      </c>
      <c r="P61" s="394" t="s">
        <v>433</v>
      </c>
      <c r="Q61" s="105"/>
      <c r="R61" s="236"/>
      <c r="U61" s="105"/>
    </row>
    <row r="62" spans="1:21" s="107" customFormat="1" ht="19.5" customHeight="1">
      <c r="A62" s="406" t="s">
        <v>838</v>
      </c>
      <c r="B62" s="406" t="s">
        <v>812</v>
      </c>
      <c r="C62" s="429"/>
      <c r="D62" s="1437"/>
      <c r="E62" s="1438"/>
      <c r="F62" s="1439"/>
      <c r="G62" s="1440"/>
      <c r="H62" s="1438"/>
      <c r="I62" s="1439"/>
      <c r="J62" s="1441"/>
      <c r="K62" s="1442"/>
      <c r="L62" s="1443"/>
      <c r="M62" s="1441"/>
      <c r="N62" s="1442"/>
      <c r="O62" s="1443"/>
      <c r="P62" s="1426">
        <f>IFERROR(AVERAGE(D62:O62),0)</f>
        <v>0</v>
      </c>
      <c r="Q62" s="105"/>
      <c r="R62" s="236"/>
      <c r="U62" s="105"/>
    </row>
    <row r="63" spans="1:21" s="107" customFormat="1" ht="19.5" customHeight="1">
      <c r="A63" s="406"/>
      <c r="B63" s="406" t="s">
        <v>801</v>
      </c>
      <c r="C63" s="429"/>
      <c r="D63" s="1419">
        <f>D54*10*D$12</f>
        <v>-1370.9606727300838</v>
      </c>
      <c r="E63" s="1420">
        <f t="shared" ref="E63:O63" si="20">E54*10*E$12</f>
        <v>-3191.2149984925677</v>
      </c>
      <c r="F63" s="1421">
        <f t="shared" si="20"/>
        <v>-1736.6235820492009</v>
      </c>
      <c r="G63" s="1422">
        <f t="shared" si="20"/>
        <v>-1052.6132939791614</v>
      </c>
      <c r="H63" s="1420">
        <f t="shared" si="20"/>
        <v>-1718.8772806133129</v>
      </c>
      <c r="I63" s="1421">
        <f t="shared" si="20"/>
        <v>-3261.9527519950857</v>
      </c>
      <c r="J63" s="1423">
        <f t="shared" si="20"/>
        <v>-4437.5237961862158</v>
      </c>
      <c r="K63" s="1424">
        <f t="shared" si="20"/>
        <v>-3381.679605460793</v>
      </c>
      <c r="L63" s="1425">
        <f t="shared" si="20"/>
        <v>-29.145392772748551</v>
      </c>
      <c r="M63" s="1423">
        <f t="shared" si="20"/>
        <v>-1187.977351030778</v>
      </c>
      <c r="N63" s="1424">
        <f t="shared" si="20"/>
        <v>-1831.8505557454578</v>
      </c>
      <c r="O63" s="1425">
        <f t="shared" si="20"/>
        <v>-3367.9536337011305</v>
      </c>
      <c r="P63" s="1426">
        <f>AVERAGE(D63:O63)</f>
        <v>-2214.0310762297113</v>
      </c>
      <c r="Q63" s="105"/>
      <c r="R63" s="236"/>
      <c r="U63" s="105"/>
    </row>
    <row r="64" spans="1:21" s="107" customFormat="1" ht="19.5" customHeight="1">
      <c r="A64" s="406"/>
      <c r="B64" s="406" t="s">
        <v>800</v>
      </c>
      <c r="C64" s="429"/>
      <c r="D64" s="1419">
        <f>D55*10*D$12</f>
        <v>10217.432160055068</v>
      </c>
      <c r="E64" s="1420">
        <f t="shared" ref="E64:O64" si="21">E55*10*E$12</f>
        <v>10738.219533682284</v>
      </c>
      <c r="F64" s="1421">
        <f t="shared" si="21"/>
        <v>15573.90487763097</v>
      </c>
      <c r="G64" s="1422">
        <f t="shared" si="21"/>
        <v>23020.828037224313</v>
      </c>
      <c r="H64" s="1420">
        <f t="shared" si="21"/>
        <v>22753.478313571421</v>
      </c>
      <c r="I64" s="1421">
        <f t="shared" si="21"/>
        <v>18345.387117052276</v>
      </c>
      <c r="J64" s="1423">
        <f t="shared" si="21"/>
        <v>13673.83586385373</v>
      </c>
      <c r="K64" s="1424">
        <f t="shared" si="21"/>
        <v>18256.245889977989</v>
      </c>
      <c r="L64" s="1425">
        <f t="shared" si="21"/>
        <v>26396.546299091038</v>
      </c>
      <c r="M64" s="1423">
        <f t="shared" si="21"/>
        <v>26004.846275933553</v>
      </c>
      <c r="N64" s="1424">
        <f t="shared" si="21"/>
        <v>20197.030671309727</v>
      </c>
      <c r="O64" s="1425">
        <f t="shared" si="21"/>
        <v>16693.158619583366</v>
      </c>
      <c r="P64" s="1426">
        <f>AVERAGE(D64:O64)</f>
        <v>18489.242804913814</v>
      </c>
      <c r="Q64" s="105"/>
      <c r="R64" s="236"/>
      <c r="U64" s="105"/>
    </row>
    <row r="65" spans="1:21" s="107" customFormat="1" ht="19.5" customHeight="1">
      <c r="A65" s="406"/>
      <c r="B65" s="406" t="s">
        <v>799</v>
      </c>
      <c r="C65" s="429"/>
      <c r="D65" s="1419">
        <f>D56*10*D$12</f>
        <v>17746.55802537427</v>
      </c>
      <c r="E65" s="1420">
        <f t="shared" ref="E65:O65" si="22">E56*10*E$12</f>
        <v>9269.465993937958</v>
      </c>
      <c r="F65" s="1421">
        <f t="shared" si="22"/>
        <v>22607.670301512218</v>
      </c>
      <c r="G65" s="1422">
        <f t="shared" si="22"/>
        <v>29215.510564777222</v>
      </c>
      <c r="H65" s="1420">
        <f t="shared" si="22"/>
        <v>27256.027002209747</v>
      </c>
      <c r="I65" s="1421">
        <f t="shared" si="22"/>
        <v>18066.639687197552</v>
      </c>
      <c r="J65" s="1423">
        <f t="shared" si="22"/>
        <v>15119.983963300843</v>
      </c>
      <c r="K65" s="1424">
        <f t="shared" si="22"/>
        <v>14740.667442982382</v>
      </c>
      <c r="L65" s="1425">
        <f t="shared" si="22"/>
        <v>31398.856918512429</v>
      </c>
      <c r="M65" s="1423">
        <f t="shared" si="22"/>
        <v>28201.329545308839</v>
      </c>
      <c r="N65" s="1424">
        <f t="shared" si="22"/>
        <v>22990.241475844778</v>
      </c>
      <c r="O65" s="1425">
        <f t="shared" si="22"/>
        <v>15796.309355072221</v>
      </c>
      <c r="P65" s="1426">
        <f>AVERAGE(D65:O65)</f>
        <v>21034.105023002539</v>
      </c>
      <c r="Q65" s="105"/>
      <c r="R65" s="236"/>
      <c r="U65" s="105"/>
    </row>
    <row r="66" spans="1:21" s="107" customFormat="1" ht="19.5" customHeight="1" thickBot="1">
      <c r="A66" s="458"/>
      <c r="B66" s="458" t="s">
        <v>93</v>
      </c>
      <c r="C66" s="429"/>
      <c r="D66" s="1444">
        <f>D57*10*D$12</f>
        <v>-2800</v>
      </c>
      <c r="E66" s="1445">
        <f t="shared" ref="E66:O66" si="23">E57*10*E$12</f>
        <v>-8140.6017072662908</v>
      </c>
      <c r="F66" s="1446">
        <f t="shared" si="23"/>
        <v>-5914.144640930529</v>
      </c>
      <c r="G66" s="1447">
        <f t="shared" si="23"/>
        <v>-3740.3359771225064</v>
      </c>
      <c r="H66" s="1445">
        <f t="shared" si="23"/>
        <v>-5833.8137634448231</v>
      </c>
      <c r="I66" s="1446">
        <f t="shared" si="23"/>
        <v>-5501.8529884359568</v>
      </c>
      <c r="J66" s="1447">
        <f t="shared" si="23"/>
        <v>-9102.7260629060656</v>
      </c>
      <c r="K66" s="1445">
        <f t="shared" si="23"/>
        <v>-11297.2198714488</v>
      </c>
      <c r="L66" s="1446">
        <f t="shared" si="23"/>
        <v>-12445.514657280315</v>
      </c>
      <c r="M66" s="1447">
        <f t="shared" si="23"/>
        <v>-13989.693251098257</v>
      </c>
      <c r="N66" s="1445">
        <f t="shared" si="23"/>
        <v>-13607.365893031429</v>
      </c>
      <c r="O66" s="1446">
        <f t="shared" si="23"/>
        <v>-15103.863786056563</v>
      </c>
      <c r="P66" s="1426">
        <f>AVERAGE(D66:O66)</f>
        <v>-8956.4277165851272</v>
      </c>
      <c r="Q66" s="105"/>
      <c r="R66" s="236"/>
      <c r="U66" s="105"/>
    </row>
    <row r="67" spans="1:21" s="107" customFormat="1" ht="19.5" customHeight="1" thickBot="1">
      <c r="A67" s="463"/>
      <c r="B67" s="463" t="s">
        <v>354</v>
      </c>
      <c r="C67" s="464"/>
      <c r="D67" s="1448">
        <f>SUM(D62:D66)</f>
        <v>23793.029512699257</v>
      </c>
      <c r="E67" s="1448">
        <f>SUM(E62:E66)</f>
        <v>8675.8688218613861</v>
      </c>
      <c r="F67" s="1449">
        <f t="shared" ref="F67:O67" si="24">SUM(F62:F66)</f>
        <v>30530.806956163462</v>
      </c>
      <c r="G67" s="1450">
        <f t="shared" si="24"/>
        <v>47443.389330899867</v>
      </c>
      <c r="H67" s="1448">
        <f t="shared" si="24"/>
        <v>42456.814271723037</v>
      </c>
      <c r="I67" s="1449">
        <f t="shared" si="24"/>
        <v>27648.221063818786</v>
      </c>
      <c r="J67" s="1451">
        <f t="shared" si="24"/>
        <v>15253.569968062289</v>
      </c>
      <c r="K67" s="1452">
        <f t="shared" si="24"/>
        <v>18318.013856050777</v>
      </c>
      <c r="L67" s="1453">
        <f t="shared" si="24"/>
        <v>45320.743167550405</v>
      </c>
      <c r="M67" s="1451">
        <f t="shared" si="24"/>
        <v>39028.505219113358</v>
      </c>
      <c r="N67" s="1452">
        <f t="shared" si="24"/>
        <v>27748.055698377619</v>
      </c>
      <c r="O67" s="1453">
        <f t="shared" si="24"/>
        <v>14017.650554897891</v>
      </c>
      <c r="P67" s="1436">
        <f>SUM(P63:P66)</f>
        <v>28352.889035101511</v>
      </c>
      <c r="Q67" s="105"/>
      <c r="R67" s="236"/>
      <c r="U67" s="105"/>
    </row>
    <row r="68" spans="1:21" s="107" customFormat="1" ht="19.5" customHeight="1">
      <c r="A68" s="104"/>
      <c r="B68" s="105"/>
      <c r="C68" s="105"/>
      <c r="D68" s="472"/>
      <c r="E68" s="472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236"/>
      <c r="U68" s="105"/>
    </row>
    <row r="69" spans="1:21" s="107" customFormat="1" ht="19.5" customHeight="1" thickBot="1">
      <c r="A69" s="122" t="s">
        <v>956</v>
      </c>
      <c r="B69" s="105"/>
      <c r="C69" s="105"/>
      <c r="D69" s="472"/>
      <c r="E69" s="472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8" t="s">
        <v>934</v>
      </c>
      <c r="Q69" s="105"/>
      <c r="R69" s="236"/>
      <c r="U69" s="105"/>
    </row>
    <row r="70" spans="1:21" s="107" customFormat="1" ht="19.5" customHeight="1" thickBot="1">
      <c r="A70" s="55" t="s">
        <v>112</v>
      </c>
      <c r="B70" s="391" t="s">
        <v>124</v>
      </c>
      <c r="C70" s="455" t="s">
        <v>309</v>
      </c>
      <c r="D70" s="393" t="s">
        <v>430</v>
      </c>
      <c r="E70" s="315" t="s">
        <v>557</v>
      </c>
      <c r="F70" s="316" t="s">
        <v>558</v>
      </c>
      <c r="G70" s="393" t="s">
        <v>431</v>
      </c>
      <c r="H70" s="315" t="s">
        <v>559</v>
      </c>
      <c r="I70" s="316" t="s">
        <v>560</v>
      </c>
      <c r="J70" s="393" t="s">
        <v>561</v>
      </c>
      <c r="K70" s="315" t="s">
        <v>562</v>
      </c>
      <c r="L70" s="316" t="s">
        <v>563</v>
      </c>
      <c r="M70" s="393" t="s">
        <v>564</v>
      </c>
      <c r="N70" s="315" t="s">
        <v>565</v>
      </c>
      <c r="O70" s="316" t="s">
        <v>566</v>
      </c>
      <c r="P70" s="394" t="s">
        <v>433</v>
      </c>
      <c r="Q70" s="105"/>
      <c r="R70" s="236"/>
      <c r="U70" s="105"/>
    </row>
    <row r="71" spans="1:21" s="107" customFormat="1" ht="19.5" customHeight="1">
      <c r="A71" s="406" t="s">
        <v>838</v>
      </c>
      <c r="B71" s="406" t="s">
        <v>812</v>
      </c>
      <c r="C71" s="405"/>
      <c r="D71" s="1454">
        <f t="shared" ref="D71:O71" si="25">D62/D22/11</f>
        <v>0</v>
      </c>
      <c r="E71" s="1454">
        <f t="shared" si="25"/>
        <v>0</v>
      </c>
      <c r="F71" s="1455">
        <f t="shared" si="25"/>
        <v>0</v>
      </c>
      <c r="G71" s="1456">
        <f t="shared" si="25"/>
        <v>0</v>
      </c>
      <c r="H71" s="1454">
        <f t="shared" si="25"/>
        <v>0</v>
      </c>
      <c r="I71" s="1455">
        <f t="shared" si="25"/>
        <v>0</v>
      </c>
      <c r="J71" s="1457">
        <f t="shared" si="25"/>
        <v>0</v>
      </c>
      <c r="K71" s="1458">
        <f t="shared" si="25"/>
        <v>0</v>
      </c>
      <c r="L71" s="1459">
        <f t="shared" si="25"/>
        <v>0</v>
      </c>
      <c r="M71" s="1457">
        <f t="shared" si="25"/>
        <v>0</v>
      </c>
      <c r="N71" s="1458">
        <f t="shared" si="25"/>
        <v>0</v>
      </c>
      <c r="O71" s="1459">
        <f t="shared" si="25"/>
        <v>0</v>
      </c>
      <c r="P71" s="1460">
        <f>AVERAGE(D71:O71)</f>
        <v>0</v>
      </c>
      <c r="Q71" s="105"/>
      <c r="R71" s="236"/>
      <c r="U71" s="105"/>
    </row>
    <row r="72" spans="1:21" s="107" customFormat="1" ht="19.5" customHeight="1">
      <c r="A72" s="406"/>
      <c r="B72" s="406" t="s">
        <v>801</v>
      </c>
      <c r="C72" s="405"/>
      <c r="D72" s="1454">
        <f t="shared" ref="D72:O72" si="26">D63/D23/11</f>
        <v>-1.4162816867046322</v>
      </c>
      <c r="E72" s="1454">
        <f t="shared" si="26"/>
        <v>-2.9966504637206679</v>
      </c>
      <c r="F72" s="1455">
        <f t="shared" si="26"/>
        <v>-1.6325729919556899</v>
      </c>
      <c r="G72" s="1456">
        <f t="shared" si="26"/>
        <v>-0.99054059564263897</v>
      </c>
      <c r="H72" s="1454">
        <f t="shared" si="26"/>
        <v>-1.6189730121411507</v>
      </c>
      <c r="I72" s="1455">
        <f t="shared" si="26"/>
        <v>-3.0432885278565283</v>
      </c>
      <c r="J72" s="1457">
        <f t="shared" si="26"/>
        <v>-4.147470011386444</v>
      </c>
      <c r="K72" s="1458">
        <f t="shared" si="26"/>
        <v>-3.1657175017903527</v>
      </c>
      <c r="L72" s="1459">
        <f t="shared" si="26"/>
        <v>-2.7323410755251944E-2</v>
      </c>
      <c r="M72" s="1457">
        <f t="shared" si="26"/>
        <v>-1.1151516577001288</v>
      </c>
      <c r="N72" s="1458">
        <f t="shared" si="26"/>
        <v>-1.7215460793681268</v>
      </c>
      <c r="O72" s="1459">
        <f t="shared" si="26"/>
        <v>-3.1684404135541429</v>
      </c>
      <c r="P72" s="1460">
        <f>AVERAGE(D72:O72)</f>
        <v>-2.0869963627146464</v>
      </c>
      <c r="Q72" s="105"/>
      <c r="R72" s="236"/>
      <c r="U72" s="105"/>
    </row>
    <row r="73" spans="1:21" s="107" customFormat="1" ht="19.5" customHeight="1">
      <c r="A73" s="406"/>
      <c r="B73" s="406" t="s">
        <v>800</v>
      </c>
      <c r="C73" s="405"/>
      <c r="D73" s="1454">
        <f t="shared" ref="D73:O73" si="27">D64/D24/11</f>
        <v>3.3173481039139832</v>
      </c>
      <c r="E73" s="1454">
        <f t="shared" si="27"/>
        <v>3.743620207685737</v>
      </c>
      <c r="F73" s="1455">
        <f t="shared" si="27"/>
        <v>6.0624711036023706</v>
      </c>
      <c r="G73" s="1456">
        <f t="shared" si="27"/>
        <v>10.006121313394216</v>
      </c>
      <c r="H73" s="1454">
        <f t="shared" si="27"/>
        <v>10.483289901564923</v>
      </c>
      <c r="I73" s="1455">
        <f t="shared" si="27"/>
        <v>8.9322955997935001</v>
      </c>
      <c r="J73" s="1457">
        <f t="shared" si="27"/>
        <v>6.6397872301159904</v>
      </c>
      <c r="K73" s="1458">
        <f t="shared" si="27"/>
        <v>8.890952993473789</v>
      </c>
      <c r="L73" s="1459">
        <f t="shared" si="27"/>
        <v>12.820376752224565</v>
      </c>
      <c r="M73" s="1457">
        <f t="shared" si="27"/>
        <v>12.666944245928221</v>
      </c>
      <c r="N73" s="1458">
        <f t="shared" si="27"/>
        <v>9.8110007482800832</v>
      </c>
      <c r="O73" s="1459">
        <f t="shared" si="27"/>
        <v>8.1324396853953491</v>
      </c>
      <c r="P73" s="1460">
        <f>AVERAGE(D73:O73)</f>
        <v>8.4588873237810613</v>
      </c>
      <c r="Q73" s="105"/>
      <c r="R73" s="236"/>
      <c r="U73" s="105"/>
    </row>
    <row r="74" spans="1:21" s="107" customFormat="1" ht="19.5" customHeight="1">
      <c r="A74" s="406"/>
      <c r="B74" s="406" t="s">
        <v>799</v>
      </c>
      <c r="C74" s="405"/>
      <c r="D74" s="1454">
        <f t="shared" ref="D74:O74" si="28">D65/D25/11</f>
        <v>5.3598785941933764</v>
      </c>
      <c r="E74" s="1454">
        <f t="shared" si="28"/>
        <v>2.7220818506804396</v>
      </c>
      <c r="F74" s="1455">
        <f t="shared" si="28"/>
        <v>7.4130159545756547</v>
      </c>
      <c r="G74" s="1456">
        <f t="shared" si="28"/>
        <v>10.282471890919451</v>
      </c>
      <c r="H74" s="1454">
        <f t="shared" si="28"/>
        <v>9.6665532832473637</v>
      </c>
      <c r="I74" s="1455">
        <f t="shared" si="28"/>
        <v>6.4773221633702267</v>
      </c>
      <c r="J74" s="1457">
        <f t="shared" si="28"/>
        <v>5.4310647221896522</v>
      </c>
      <c r="K74" s="1458">
        <f t="shared" si="28"/>
        <v>5.2828344791625241</v>
      </c>
      <c r="L74" s="1459">
        <f t="shared" si="28"/>
        <v>11.230122918752427</v>
      </c>
      <c r="M74" s="1457">
        <f t="shared" si="28"/>
        <v>10.107954458082283</v>
      </c>
      <c r="N74" s="1458">
        <f t="shared" si="28"/>
        <v>8.2234373056762031</v>
      </c>
      <c r="O74" s="1459">
        <f t="shared" si="28"/>
        <v>5.6621906424024289</v>
      </c>
      <c r="P74" s="1460">
        <f>AVERAGE(D74:O74)</f>
        <v>7.3215773552710033</v>
      </c>
      <c r="Q74" s="105"/>
      <c r="R74" s="236"/>
      <c r="U74" s="105"/>
    </row>
    <row r="75" spans="1:21" s="107" customFormat="1" ht="19.5" customHeight="1" thickBot="1">
      <c r="A75" s="458"/>
      <c r="B75" s="458" t="s">
        <v>93</v>
      </c>
      <c r="C75" s="405"/>
      <c r="D75" s="1454">
        <f t="shared" ref="D75:O75" si="29">D66/D26/11</f>
        <v>-2.766798418972332</v>
      </c>
      <c r="E75" s="1454">
        <f t="shared" si="29"/>
        <v>-8.0097770169834845</v>
      </c>
      <c r="F75" s="1461">
        <f t="shared" si="29"/>
        <v>-6.1272896937933856</v>
      </c>
      <c r="G75" s="1462">
        <f t="shared" si="29"/>
        <v>-3.8384779289358524</v>
      </c>
      <c r="H75" s="1463">
        <f t="shared" si="29"/>
        <v>-5.9365891489137814</v>
      </c>
      <c r="I75" s="1461">
        <f t="shared" si="29"/>
        <v>-5.6194022780272492</v>
      </c>
      <c r="J75" s="1462">
        <f t="shared" si="29"/>
        <v>-9.3279799647855821</v>
      </c>
      <c r="K75" s="1463">
        <f t="shared" si="29"/>
        <v>-11.48138936800974</v>
      </c>
      <c r="L75" s="1461">
        <f t="shared" si="29"/>
        <v>-12.696651034672207</v>
      </c>
      <c r="M75" s="1462">
        <f t="shared" si="29"/>
        <v>-14.161448430530783</v>
      </c>
      <c r="N75" s="1463">
        <f t="shared" si="29"/>
        <v>-13.83250232743684</v>
      </c>
      <c r="O75" s="1461">
        <f t="shared" si="29"/>
        <v>-15.411954588346031</v>
      </c>
      <c r="P75" s="1460">
        <f>AVERAGE(D75:O75)</f>
        <v>-9.1008550166172739</v>
      </c>
      <c r="Q75" s="105"/>
      <c r="R75" s="236"/>
      <c r="U75" s="105"/>
    </row>
    <row r="76" spans="1:21" s="107" customFormat="1" ht="19.5" customHeight="1" thickBot="1">
      <c r="A76" s="1334"/>
      <c r="B76" s="1335" t="s">
        <v>924</v>
      </c>
      <c r="C76" s="1335"/>
      <c r="D76" s="1464">
        <f t="shared" ref="D76:O76" si="30">D67/D27/11</f>
        <v>2.801816946855777</v>
      </c>
      <c r="E76" s="1464">
        <f t="shared" si="30"/>
        <v>1.0235864555321099</v>
      </c>
      <c r="F76" s="1465">
        <f t="shared" si="30"/>
        <v>3.9300379900811553</v>
      </c>
      <c r="G76" s="1466">
        <f t="shared" si="30"/>
        <v>6.4990369525267591</v>
      </c>
      <c r="H76" s="1464">
        <f t="shared" si="30"/>
        <v>5.9334763551153378</v>
      </c>
      <c r="I76" s="1467">
        <f t="shared" si="30"/>
        <v>3.9413149255185904</v>
      </c>
      <c r="J76" s="1468">
        <f t="shared" si="30"/>
        <v>2.1759272365071869</v>
      </c>
      <c r="K76" s="1464">
        <f t="shared" si="30"/>
        <v>2.6105846519222538</v>
      </c>
      <c r="L76" s="1465">
        <f t="shared" si="30"/>
        <v>6.4533683304810943</v>
      </c>
      <c r="M76" s="1466">
        <f t="shared" si="30"/>
        <v>5.5618662408557586</v>
      </c>
      <c r="N76" s="1464">
        <f t="shared" si="30"/>
        <v>3.95096696095663</v>
      </c>
      <c r="O76" s="1467">
        <f t="shared" si="30"/>
        <v>2.0006839606490328</v>
      </c>
      <c r="P76" s="1469"/>
      <c r="Q76" s="105"/>
      <c r="R76" s="236"/>
      <c r="U76" s="105"/>
    </row>
    <row r="77" spans="1:21" s="107" customFormat="1" ht="19.5" customHeight="1">
      <c r="A77" s="104"/>
      <c r="B77" s="105"/>
      <c r="C77" s="105"/>
      <c r="D77" s="472"/>
      <c r="E77" s="472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236"/>
      <c r="U77" s="105"/>
    </row>
    <row r="78" spans="1:21" s="107" customFormat="1" ht="19.5" customHeight="1">
      <c r="A78" s="104"/>
      <c r="B78" s="105"/>
      <c r="C78" s="105"/>
      <c r="D78" s="472"/>
      <c r="E78" s="472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236"/>
      <c r="U78" s="105"/>
    </row>
    <row r="79" spans="1:21" s="107" customFormat="1" ht="19.5" customHeight="1">
      <c r="A79" s="104"/>
      <c r="B79" s="105"/>
      <c r="C79" s="105"/>
      <c r="D79" s="472"/>
      <c r="E79" s="472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236"/>
      <c r="U79" s="105"/>
    </row>
    <row r="80" spans="1:21" s="107" customFormat="1" ht="19.5" customHeight="1" thickBot="1">
      <c r="A80" s="104"/>
      <c r="B80" s="105"/>
      <c r="C80" s="105"/>
      <c r="D80" s="472"/>
      <c r="E80" s="472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236"/>
      <c r="U80" s="105"/>
    </row>
    <row r="81" spans="1:21" s="107" customFormat="1" ht="19.5" customHeight="1" thickBot="1">
      <c r="A81" s="1364" t="s">
        <v>964</v>
      </c>
      <c r="B81" s="1365"/>
      <c r="C81" s="1366"/>
      <c r="D81" s="1367"/>
      <c r="E81" s="1367"/>
      <c r="F81" s="1366"/>
      <c r="G81" s="1366"/>
      <c r="H81" s="1366"/>
      <c r="I81" s="1366"/>
      <c r="J81" s="1366"/>
      <c r="K81" s="1366"/>
      <c r="L81" s="1366"/>
      <c r="M81" s="1366"/>
      <c r="N81" s="1366"/>
      <c r="O81" s="1366"/>
      <c r="P81" s="1366"/>
      <c r="Q81" s="105"/>
      <c r="R81" s="236"/>
      <c r="U81" s="105"/>
    </row>
    <row r="82" spans="1:21" s="107" customFormat="1" ht="19.5" customHeight="1">
      <c r="A82" s="104"/>
      <c r="D82" s="472"/>
      <c r="E82" s="472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236"/>
      <c r="U82" s="105"/>
    </row>
    <row r="83" spans="1:21" s="107" customFormat="1" ht="19.5" customHeight="1" thickBot="1">
      <c r="A83" s="1333" t="s">
        <v>939</v>
      </c>
      <c r="B83" s="224"/>
      <c r="C83" s="454"/>
      <c r="D83" s="1156"/>
      <c r="E83" s="1156"/>
      <c r="F83" s="1156"/>
      <c r="G83" s="1156"/>
      <c r="H83" s="1156"/>
      <c r="I83" s="1156"/>
      <c r="J83" s="1156"/>
      <c r="K83" s="1156"/>
      <c r="L83" s="1156"/>
      <c r="M83" s="1156"/>
      <c r="N83" s="1156"/>
      <c r="O83" s="1156"/>
      <c r="P83" s="108" t="s">
        <v>351</v>
      </c>
      <c r="Q83" s="105"/>
      <c r="R83" s="236"/>
      <c r="U83" s="105"/>
    </row>
    <row r="84" spans="1:21" s="107" customFormat="1" ht="19.5" customHeight="1" thickBot="1">
      <c r="A84" s="55" t="s">
        <v>112</v>
      </c>
      <c r="B84" s="391" t="s">
        <v>124</v>
      </c>
      <c r="C84" s="392"/>
      <c r="D84" s="51" t="s">
        <v>430</v>
      </c>
      <c r="E84" s="315" t="s">
        <v>557</v>
      </c>
      <c r="F84" s="316" t="s">
        <v>558</v>
      </c>
      <c r="G84" s="393" t="s">
        <v>431</v>
      </c>
      <c r="H84" s="315" t="s">
        <v>559</v>
      </c>
      <c r="I84" s="316" t="s">
        <v>560</v>
      </c>
      <c r="J84" s="393" t="s">
        <v>561</v>
      </c>
      <c r="K84" s="315" t="s">
        <v>562</v>
      </c>
      <c r="L84" s="316" t="s">
        <v>563</v>
      </c>
      <c r="M84" s="393" t="s">
        <v>564</v>
      </c>
      <c r="N84" s="315" t="s">
        <v>565</v>
      </c>
      <c r="O84" s="316" t="s">
        <v>566</v>
      </c>
      <c r="P84" s="394" t="s">
        <v>15</v>
      </c>
      <c r="Q84" s="105"/>
      <c r="R84" s="236"/>
      <c r="U84" s="105"/>
    </row>
    <row r="85" spans="1:21" s="107" customFormat="1" ht="19.5" customHeight="1">
      <c r="A85" s="1297" t="s">
        <v>838</v>
      </c>
      <c r="B85" s="406" t="s">
        <v>812</v>
      </c>
      <c r="C85" s="1302"/>
      <c r="D85" s="1301">
        <v>0</v>
      </c>
      <c r="E85" s="1172">
        <v>0</v>
      </c>
      <c r="F85" s="1173">
        <v>0</v>
      </c>
      <c r="G85" s="1174">
        <v>0</v>
      </c>
      <c r="H85" s="1172">
        <v>0</v>
      </c>
      <c r="I85" s="1173">
        <v>0</v>
      </c>
      <c r="J85" s="1164">
        <v>0</v>
      </c>
      <c r="K85" s="1165">
        <v>0</v>
      </c>
      <c r="L85" s="1163">
        <v>0</v>
      </c>
      <c r="M85" s="1164">
        <v>0</v>
      </c>
      <c r="N85" s="1165">
        <v>0</v>
      </c>
      <c r="O85" s="1163">
        <v>0</v>
      </c>
      <c r="P85" s="411">
        <f>SUM(D85:O85)</f>
        <v>0</v>
      </c>
      <c r="Q85" s="105"/>
      <c r="R85" s="236"/>
      <c r="U85" s="105"/>
    </row>
    <row r="86" spans="1:21" s="107" customFormat="1" ht="19.5" customHeight="1">
      <c r="A86" s="1297"/>
      <c r="B86" s="406" t="s">
        <v>801</v>
      </c>
      <c r="C86" s="1302"/>
      <c r="D86" s="1301">
        <v>0</v>
      </c>
      <c r="E86" s="1172">
        <v>0</v>
      </c>
      <c r="F86" s="1173">
        <v>0</v>
      </c>
      <c r="G86" s="1174">
        <v>0</v>
      </c>
      <c r="H86" s="1172">
        <v>0</v>
      </c>
      <c r="I86" s="1173">
        <v>0</v>
      </c>
      <c r="J86" s="1164">
        <v>0</v>
      </c>
      <c r="K86" s="1165"/>
      <c r="L86" s="1163"/>
      <c r="M86" s="1164"/>
      <c r="N86" s="1165"/>
      <c r="O86" s="1163"/>
      <c r="P86" s="411">
        <f>SUM(D86:O86)</f>
        <v>0</v>
      </c>
      <c r="Q86" s="105"/>
      <c r="R86" s="236"/>
      <c r="U86" s="105"/>
    </row>
    <row r="87" spans="1:21" s="107" customFormat="1" ht="19.5" customHeight="1">
      <c r="A87" s="1297"/>
      <c r="B87" s="406" t="s">
        <v>800</v>
      </c>
      <c r="C87" s="1302"/>
      <c r="D87" s="1301">
        <v>42</v>
      </c>
      <c r="E87" s="1172">
        <v>45</v>
      </c>
      <c r="F87" s="1173">
        <v>2</v>
      </c>
      <c r="G87" s="1174">
        <v>2</v>
      </c>
      <c r="H87" s="1172">
        <v>2</v>
      </c>
      <c r="I87" s="1173">
        <v>2</v>
      </c>
      <c r="J87" s="1164">
        <v>2</v>
      </c>
      <c r="K87" s="1165">
        <v>2</v>
      </c>
      <c r="L87" s="1163"/>
      <c r="M87" s="1164"/>
      <c r="N87" s="1165"/>
      <c r="O87" s="1163"/>
      <c r="P87" s="411">
        <f>SUM(D87:O87)</f>
        <v>99</v>
      </c>
      <c r="Q87" s="105"/>
      <c r="R87" s="236"/>
      <c r="U87" s="105"/>
    </row>
    <row r="88" spans="1:21" s="107" customFormat="1" ht="19.5" customHeight="1">
      <c r="A88" s="1297"/>
      <c r="B88" s="406" t="s">
        <v>799</v>
      </c>
      <c r="C88" s="1302"/>
      <c r="D88" s="1301">
        <v>56</v>
      </c>
      <c r="E88" s="1172">
        <v>35</v>
      </c>
      <c r="F88" s="1173">
        <v>2</v>
      </c>
      <c r="G88" s="1174">
        <v>2</v>
      </c>
      <c r="H88" s="1172"/>
      <c r="I88" s="1173"/>
      <c r="J88" s="1164">
        <v>20</v>
      </c>
      <c r="K88" s="1165"/>
      <c r="L88" s="1163"/>
      <c r="M88" s="1164"/>
      <c r="N88" s="1165"/>
      <c r="O88" s="1163"/>
      <c r="P88" s="411">
        <f>SUM(D88:O88)</f>
        <v>115</v>
      </c>
      <c r="Q88" s="105"/>
      <c r="R88" s="236"/>
      <c r="U88" s="105"/>
    </row>
    <row r="89" spans="1:21" s="107" customFormat="1" ht="19.5" customHeight="1">
      <c r="A89" s="1298"/>
      <c r="B89" s="458" t="s">
        <v>93</v>
      </c>
      <c r="C89" s="1302"/>
      <c r="D89" s="1175">
        <v>23</v>
      </c>
      <c r="E89" s="1176">
        <v>0</v>
      </c>
      <c r="F89" s="1166"/>
      <c r="G89" s="1175">
        <v>6</v>
      </c>
      <c r="H89" s="1176"/>
      <c r="I89" s="1166">
        <v>12</v>
      </c>
      <c r="J89" s="1175">
        <v>10</v>
      </c>
      <c r="K89" s="1176">
        <v>10</v>
      </c>
      <c r="L89" s="1166"/>
      <c r="M89" s="1175"/>
      <c r="N89" s="1176"/>
      <c r="O89" s="1166"/>
      <c r="P89" s="411">
        <f>SUM(D89:O89)</f>
        <v>61</v>
      </c>
      <c r="Q89" s="105"/>
      <c r="R89" s="236"/>
      <c r="U89" s="105"/>
    </row>
    <row r="90" spans="1:21" s="107" customFormat="1" ht="19.5" customHeight="1" thickBot="1">
      <c r="A90" s="1299"/>
      <c r="B90" s="463" t="s">
        <v>354</v>
      </c>
      <c r="C90" s="827"/>
      <c r="D90" s="840">
        <f t="shared" ref="D90:O90" si="31">SUM(D85:D89)</f>
        <v>121</v>
      </c>
      <c r="E90" s="833">
        <f t="shared" si="31"/>
        <v>80</v>
      </c>
      <c r="F90" s="834">
        <f t="shared" si="31"/>
        <v>4</v>
      </c>
      <c r="G90" s="832">
        <f t="shared" si="31"/>
        <v>10</v>
      </c>
      <c r="H90" s="833">
        <f t="shared" si="31"/>
        <v>2</v>
      </c>
      <c r="I90" s="834">
        <f t="shared" si="31"/>
        <v>14</v>
      </c>
      <c r="J90" s="466">
        <f t="shared" si="31"/>
        <v>32</v>
      </c>
      <c r="K90" s="467">
        <f t="shared" si="31"/>
        <v>12</v>
      </c>
      <c r="L90" s="468">
        <f t="shared" si="31"/>
        <v>0</v>
      </c>
      <c r="M90" s="466">
        <f t="shared" si="31"/>
        <v>0</v>
      </c>
      <c r="N90" s="467">
        <f t="shared" si="31"/>
        <v>0</v>
      </c>
      <c r="O90" s="468">
        <f t="shared" si="31"/>
        <v>0</v>
      </c>
      <c r="P90" s="435">
        <f>SUM(P85:P89)</f>
        <v>275</v>
      </c>
      <c r="Q90" s="105"/>
      <c r="R90" s="236"/>
      <c r="U90" s="105"/>
    </row>
    <row r="91" spans="1:21" s="107" customFormat="1" ht="19.5" customHeight="1">
      <c r="A91" s="1235"/>
      <c r="B91" s="389"/>
      <c r="C91" s="470"/>
      <c r="D91" s="1232" t="s">
        <v>919</v>
      </c>
      <c r="E91" s="1232"/>
      <c r="F91" s="1232"/>
      <c r="G91" s="1232"/>
      <c r="H91" s="1232"/>
      <c r="I91" s="1232"/>
      <c r="J91" s="1232"/>
      <c r="K91" s="1232"/>
      <c r="L91" s="1232"/>
      <c r="M91" s="105"/>
      <c r="N91" s="105"/>
      <c r="O91" s="1233" t="s">
        <v>1069</v>
      </c>
      <c r="P91" s="240">
        <f>P90+141</f>
        <v>416</v>
      </c>
      <c r="Q91" s="105"/>
      <c r="R91" s="236"/>
      <c r="U91" s="105"/>
    </row>
    <row r="92" spans="1:21" s="229" customFormat="1" ht="15.75" customHeight="1">
      <c r="B92" s="614"/>
      <c r="C92" s="128"/>
      <c r="D92" s="453"/>
      <c r="E92" s="453"/>
      <c r="F92" s="453"/>
      <c r="G92" s="453"/>
      <c r="H92" s="453"/>
      <c r="I92" s="453"/>
      <c r="J92" s="224"/>
      <c r="K92" s="224"/>
      <c r="L92" s="224"/>
      <c r="M92" s="224"/>
      <c r="N92" s="224"/>
      <c r="O92" s="224"/>
      <c r="P92" s="453"/>
      <c r="Q92" s="1246"/>
      <c r="R92" s="447"/>
      <c r="S92" s="230"/>
      <c r="T92" s="230"/>
    </row>
    <row r="93" spans="1:21" s="229" customFormat="1" ht="15.75" customHeight="1">
      <c r="A93" s="614"/>
      <c r="B93" s="614"/>
      <c r="C93" s="128"/>
      <c r="D93" s="453"/>
      <c r="E93" s="453"/>
      <c r="F93" s="453"/>
      <c r="G93" s="453"/>
      <c r="H93" s="453"/>
      <c r="I93" s="453"/>
      <c r="J93" s="224"/>
      <c r="K93" s="224"/>
      <c r="L93" s="224"/>
      <c r="M93" s="224"/>
      <c r="N93" s="224"/>
      <c r="O93" s="224"/>
      <c r="P93" s="453"/>
      <c r="Q93" s="1246"/>
      <c r="R93" s="447"/>
      <c r="S93" s="230"/>
      <c r="T93" s="230"/>
    </row>
    <row r="94" spans="1:21" s="229" customFormat="1" ht="15.75" customHeight="1" thickBot="1">
      <c r="A94" s="614" t="s">
        <v>945</v>
      </c>
      <c r="B94" s="614"/>
      <c r="C94" s="128"/>
      <c r="D94" s="453"/>
      <c r="E94" s="453"/>
      <c r="F94" s="453"/>
      <c r="G94" s="453"/>
      <c r="H94" s="453"/>
      <c r="I94" s="453"/>
      <c r="J94" s="224"/>
      <c r="K94" s="224" t="s">
        <v>966</v>
      </c>
      <c r="L94" s="224"/>
      <c r="M94" s="108" t="s">
        <v>351</v>
      </c>
      <c r="N94" s="1247"/>
      <c r="O94" s="1247"/>
      <c r="P94" s="453"/>
      <c r="Q94" s="1246"/>
      <c r="R94" s="447"/>
      <c r="S94" s="230"/>
      <c r="T94" s="230"/>
    </row>
    <row r="95" spans="1:21" s="107" customFormat="1" ht="16.5" customHeight="1">
      <c r="A95" s="1323" t="s">
        <v>109</v>
      </c>
      <c r="B95" s="1324" t="s">
        <v>946</v>
      </c>
      <c r="C95" s="1324" t="s">
        <v>947</v>
      </c>
      <c r="D95" s="1324" t="s">
        <v>569</v>
      </c>
      <c r="E95" s="1324" t="s">
        <v>570</v>
      </c>
      <c r="F95" s="1324" t="s">
        <v>515</v>
      </c>
      <c r="G95" s="1324" t="s">
        <v>516</v>
      </c>
      <c r="H95" s="1324" t="s">
        <v>571</v>
      </c>
      <c r="I95" s="1324" t="s">
        <v>623</v>
      </c>
      <c r="J95" s="1324" t="s">
        <v>517</v>
      </c>
      <c r="K95" s="1324" t="s">
        <v>518</v>
      </c>
      <c r="L95" s="1325" t="s">
        <v>15</v>
      </c>
      <c r="M95" s="1326" t="s">
        <v>835</v>
      </c>
      <c r="N95" s="1316"/>
      <c r="Q95" s="1300"/>
      <c r="R95" s="236"/>
      <c r="U95" s="105"/>
    </row>
    <row r="96" spans="1:21" s="107" customFormat="1" ht="16.5" customHeight="1">
      <c r="A96" s="5344" t="s">
        <v>948</v>
      </c>
      <c r="B96" s="1313" t="s">
        <v>965</v>
      </c>
      <c r="C96" s="1314">
        <v>940</v>
      </c>
      <c r="D96" s="1314">
        <v>1129</v>
      </c>
      <c r="E96" s="1314">
        <v>1202</v>
      </c>
      <c r="F96" s="1314">
        <v>1112</v>
      </c>
      <c r="G96" s="1314">
        <v>1161</v>
      </c>
      <c r="H96" s="1314">
        <v>1028</v>
      </c>
      <c r="I96" s="1314">
        <v>1078</v>
      </c>
      <c r="J96" s="1314">
        <v>1026</v>
      </c>
      <c r="K96" s="1314">
        <v>930</v>
      </c>
      <c r="L96" s="1315">
        <f>SUM(C96:K96)</f>
        <v>9606</v>
      </c>
      <c r="M96" s="1327">
        <f>AVERAGE(C96:K96)</f>
        <v>1067.3333333333333</v>
      </c>
      <c r="N96" s="1317"/>
      <c r="Q96" s="1246"/>
      <c r="R96" s="236"/>
      <c r="U96" s="105"/>
    </row>
    <row r="97" spans="1:21" s="107" customFormat="1" ht="16.5" customHeight="1">
      <c r="A97" s="5345"/>
      <c r="B97" s="1312" t="s">
        <v>949</v>
      </c>
      <c r="C97" s="1314">
        <v>31</v>
      </c>
      <c r="D97" s="1314">
        <v>160</v>
      </c>
      <c r="E97" s="1314">
        <v>188</v>
      </c>
      <c r="F97" s="1314">
        <v>100</v>
      </c>
      <c r="G97" s="1314">
        <v>163</v>
      </c>
      <c r="H97" s="1314">
        <v>103</v>
      </c>
      <c r="I97" s="1314">
        <v>126</v>
      </c>
      <c r="J97" s="1314">
        <v>91</v>
      </c>
      <c r="K97" s="1314">
        <v>41</v>
      </c>
      <c r="L97" s="1315">
        <f>SUM(C97:K97)</f>
        <v>1003</v>
      </c>
      <c r="M97" s="1327">
        <f>AVERAGE(C97:K97)</f>
        <v>111.44444444444444</v>
      </c>
      <c r="N97" s="1317"/>
      <c r="Q97" s="1246"/>
      <c r="R97" s="236"/>
      <c r="U97" s="105"/>
    </row>
    <row r="98" spans="1:21" s="107" customFormat="1" ht="16.5" customHeight="1" thickBot="1">
      <c r="A98" s="1328"/>
      <c r="B98" s="1329" t="s">
        <v>955</v>
      </c>
      <c r="C98" s="1330">
        <f t="shared" ref="C98:L98" si="32">C97/C96</f>
        <v>3.2978723404255318E-2</v>
      </c>
      <c r="D98" s="1330">
        <f t="shared" si="32"/>
        <v>0.141718334809566</v>
      </c>
      <c r="E98" s="1330">
        <f t="shared" si="32"/>
        <v>0.15640599001663893</v>
      </c>
      <c r="F98" s="1330">
        <f t="shared" si="32"/>
        <v>8.9928057553956831E-2</v>
      </c>
      <c r="G98" s="1330">
        <f t="shared" si="32"/>
        <v>0.14039621016365203</v>
      </c>
      <c r="H98" s="1330">
        <f t="shared" si="32"/>
        <v>0.10019455252918288</v>
      </c>
      <c r="I98" s="1330">
        <f t="shared" si="32"/>
        <v>0.11688311688311688</v>
      </c>
      <c r="J98" s="1330">
        <f t="shared" si="32"/>
        <v>8.8693957115009742E-2</v>
      </c>
      <c r="K98" s="1330">
        <f t="shared" si="32"/>
        <v>4.4086021505376341E-2</v>
      </c>
      <c r="L98" s="1332">
        <f t="shared" si="32"/>
        <v>0.1044139079741828</v>
      </c>
      <c r="M98" s="1331"/>
      <c r="N98" s="1318"/>
      <c r="Q98" s="1246"/>
      <c r="R98" s="236"/>
      <c r="U98" s="105"/>
    </row>
    <row r="99" spans="1:21" s="107" customFormat="1" ht="126.6" hidden="1" customHeight="1">
      <c r="A99" s="1320"/>
      <c r="B99" s="1320" t="s">
        <v>950</v>
      </c>
      <c r="C99" s="1320"/>
      <c r="D99" s="1321" t="s">
        <v>951</v>
      </c>
      <c r="E99" s="1321" t="s">
        <v>952</v>
      </c>
      <c r="F99" s="1321" t="s">
        <v>952</v>
      </c>
      <c r="G99" s="1321" t="s">
        <v>953</v>
      </c>
      <c r="H99" s="1321" t="s">
        <v>953</v>
      </c>
      <c r="I99" s="1321" t="s">
        <v>953</v>
      </c>
      <c r="J99" s="1321" t="s">
        <v>954</v>
      </c>
      <c r="K99" s="1321" t="s">
        <v>954</v>
      </c>
      <c r="L99" s="1320"/>
      <c r="M99" s="1322"/>
      <c r="N99" s="1319"/>
      <c r="Q99" s="1246"/>
      <c r="R99" s="236"/>
      <c r="U99" s="105"/>
    </row>
    <row r="100" spans="1:21" s="107" customFormat="1" ht="16.5" hidden="1" customHeight="1">
      <c r="A100" s="1310"/>
      <c r="B100" s="1310"/>
      <c r="C100" s="1310"/>
      <c r="D100" s="1310"/>
      <c r="E100" s="1310"/>
      <c r="F100" s="1310"/>
      <c r="G100" s="1310"/>
      <c r="H100" s="1310"/>
      <c r="I100" s="1310"/>
      <c r="J100" s="1310"/>
      <c r="K100" s="1310"/>
      <c r="L100" s="1310"/>
      <c r="M100" s="1310"/>
      <c r="N100" s="1310"/>
      <c r="Q100" s="1246"/>
      <c r="R100" s="236"/>
      <c r="U100" s="105"/>
    </row>
    <row r="101" spans="1:21" hidden="1">
      <c r="A101" s="105"/>
      <c r="D101" s="105"/>
      <c r="E101" s="105"/>
    </row>
    <row r="102" spans="1:21" s="107" customFormat="1" ht="19.149999999999999" hidden="1" customHeight="1" thickBot="1">
      <c r="A102" s="103" t="s">
        <v>957</v>
      </c>
      <c r="B102" s="105"/>
      <c r="C102" s="105"/>
      <c r="D102" s="472"/>
      <c r="E102" s="472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236"/>
      <c r="U102" s="105"/>
    </row>
    <row r="103" spans="1:21" s="107" customFormat="1" ht="19.5" hidden="1" customHeight="1" thickBot="1">
      <c r="A103" s="54" t="s">
        <v>137</v>
      </c>
      <c r="B103" s="53"/>
      <c r="C103" s="517"/>
      <c r="D103" s="393" t="s">
        <v>430</v>
      </c>
      <c r="E103" s="315" t="s">
        <v>557</v>
      </c>
      <c r="F103" s="316" t="s">
        <v>558</v>
      </c>
      <c r="G103" s="393" t="s">
        <v>431</v>
      </c>
      <c r="H103" s="315" t="s">
        <v>559</v>
      </c>
      <c r="I103" s="316" t="s">
        <v>560</v>
      </c>
      <c r="J103" s="393" t="s">
        <v>561</v>
      </c>
      <c r="K103" s="315" t="s">
        <v>562</v>
      </c>
      <c r="L103" s="316" t="s">
        <v>563</v>
      </c>
      <c r="M103" s="393" t="s">
        <v>564</v>
      </c>
      <c r="N103" s="315" t="s">
        <v>565</v>
      </c>
      <c r="O103" s="316" t="s">
        <v>566</v>
      </c>
      <c r="P103" s="394" t="s">
        <v>15</v>
      </c>
      <c r="Q103" s="105"/>
      <c r="R103" s="236"/>
      <c r="U103" s="105"/>
    </row>
    <row r="104" spans="1:21" s="107" customFormat="1" ht="19.5" hidden="1" customHeight="1" thickBot="1">
      <c r="A104" s="1260" t="s">
        <v>917</v>
      </c>
      <c r="B104" s="1261"/>
      <c r="C104" s="1262"/>
      <c r="D104" s="1263"/>
      <c r="E104" s="1264"/>
      <c r="F104" s="1265"/>
      <c r="G104" s="1263"/>
      <c r="H104" s="1264"/>
      <c r="I104" s="1266"/>
      <c r="J104" s="1263"/>
      <c r="K104" s="1264"/>
      <c r="L104" s="1266"/>
      <c r="M104" s="1263"/>
      <c r="N104" s="1264"/>
      <c r="O104" s="1266"/>
      <c r="P104" s="485"/>
      <c r="Q104" s="105"/>
      <c r="R104" s="236"/>
      <c r="U104" s="105"/>
    </row>
    <row r="105" spans="1:21" s="107" customFormat="1" ht="19.5" hidden="1" customHeight="1">
      <c r="A105" s="50" t="s">
        <v>368</v>
      </c>
      <c r="B105" s="798" t="s">
        <v>914</v>
      </c>
      <c r="C105" s="487"/>
      <c r="D105" s="518"/>
      <c r="E105" s="519"/>
      <c r="F105" s="858"/>
      <c r="G105" s="518"/>
      <c r="H105" s="519"/>
      <c r="I105" s="520"/>
      <c r="J105" s="518"/>
      <c r="K105" s="519"/>
      <c r="L105" s="520"/>
      <c r="M105" s="518"/>
      <c r="N105" s="519"/>
      <c r="O105" s="520"/>
      <c r="P105" s="521">
        <f>SUM(D105:O105)</f>
        <v>0</v>
      </c>
      <c r="Q105" s="105"/>
      <c r="R105" s="236"/>
      <c r="U105" s="105"/>
    </row>
    <row r="106" spans="1:21" s="107" customFormat="1" ht="19.5" hidden="1" customHeight="1">
      <c r="A106" s="49"/>
      <c r="B106" s="1154"/>
      <c r="C106" s="1271"/>
      <c r="D106" s="1272"/>
      <c r="E106" s="1273"/>
      <c r="F106" s="1274"/>
      <c r="G106" s="1272"/>
      <c r="H106" s="1273"/>
      <c r="I106" s="1275"/>
      <c r="J106" s="1272"/>
      <c r="K106" s="1273"/>
      <c r="L106" s="1275"/>
      <c r="M106" s="1272"/>
      <c r="N106" s="1273"/>
      <c r="O106" s="1275"/>
      <c r="P106" s="1276"/>
      <c r="Q106" s="105"/>
      <c r="R106" s="236"/>
      <c r="U106" s="105"/>
    </row>
    <row r="107" spans="1:21" s="107" customFormat="1" ht="19.5" hidden="1" customHeight="1">
      <c r="A107" s="49"/>
      <c r="B107" s="796" t="s">
        <v>915</v>
      </c>
      <c r="C107" s="507"/>
      <c r="D107" s="1277"/>
      <c r="E107" s="1278"/>
      <c r="F107" s="1279"/>
      <c r="G107" s="1277"/>
      <c r="H107" s="1278"/>
      <c r="I107" s="1280"/>
      <c r="J107" s="1277"/>
      <c r="K107" s="1278"/>
      <c r="L107" s="1280"/>
      <c r="M107" s="1277"/>
      <c r="N107" s="1278"/>
      <c r="O107" s="1280"/>
      <c r="P107" s="1281"/>
      <c r="Q107" s="105"/>
      <c r="R107" s="236"/>
      <c r="U107" s="105"/>
    </row>
    <row r="108" spans="1:21" s="107" customFormat="1" ht="19.5" hidden="1" customHeight="1">
      <c r="A108" s="49"/>
      <c r="B108" s="1154"/>
      <c r="C108" s="1271"/>
      <c r="D108" s="1272"/>
      <c r="E108" s="1273"/>
      <c r="F108" s="1274"/>
      <c r="G108" s="1272"/>
      <c r="H108" s="1273"/>
      <c r="I108" s="1275"/>
      <c r="J108" s="1272"/>
      <c r="K108" s="1273"/>
      <c r="L108" s="1275"/>
      <c r="M108" s="1272"/>
      <c r="N108" s="1273"/>
      <c r="O108" s="1275"/>
      <c r="P108" s="1276"/>
      <c r="Q108" s="105"/>
      <c r="R108" s="236"/>
      <c r="U108" s="105"/>
    </row>
    <row r="109" spans="1:21" s="107" customFormat="1" ht="19.5" hidden="1" customHeight="1">
      <c r="A109" s="49"/>
      <c r="B109" s="1282" t="s">
        <v>916</v>
      </c>
      <c r="C109" s="492"/>
      <c r="D109" s="1255"/>
      <c r="E109" s="1256"/>
      <c r="F109" s="1257"/>
      <c r="G109" s="1255"/>
      <c r="H109" s="1256"/>
      <c r="I109" s="1258"/>
      <c r="J109" s="1255"/>
      <c r="K109" s="1256"/>
      <c r="L109" s="1258"/>
      <c r="M109" s="1255"/>
      <c r="N109" s="1256"/>
      <c r="O109" s="1258"/>
      <c r="P109" s="1259"/>
      <c r="Q109" s="105"/>
      <c r="R109" s="236"/>
      <c r="U109" s="105"/>
    </row>
    <row r="110" spans="1:21" s="107" customFormat="1" ht="19.5" hidden="1" customHeight="1" thickBot="1">
      <c r="A110" s="49"/>
      <c r="B110" s="1283"/>
      <c r="C110" s="492"/>
      <c r="D110" s="523"/>
      <c r="E110" s="524"/>
      <c r="F110" s="859"/>
      <c r="G110" s="523"/>
      <c r="H110" s="524"/>
      <c r="I110" s="525"/>
      <c r="J110" s="523"/>
      <c r="K110" s="524"/>
      <c r="L110" s="525"/>
      <c r="M110" s="523"/>
      <c r="N110" s="524"/>
      <c r="O110" s="525"/>
      <c r="P110" s="511">
        <f>SUM(D110:O110)</f>
        <v>0</v>
      </c>
      <c r="Q110" s="105"/>
      <c r="R110" s="236"/>
      <c r="U110" s="105"/>
    </row>
    <row r="111" spans="1:21" s="107" customFormat="1" ht="19.5" hidden="1" customHeight="1" thickBot="1">
      <c r="A111" s="48"/>
      <c r="B111" s="513" t="s">
        <v>122</v>
      </c>
      <c r="C111" s="517"/>
      <c r="D111" s="220">
        <f t="shared" ref="D111:O111" si="33">D105+D110</f>
        <v>0</v>
      </c>
      <c r="E111" s="221">
        <f t="shared" si="33"/>
        <v>0</v>
      </c>
      <c r="F111" s="860">
        <f t="shared" si="33"/>
        <v>0</v>
      </c>
      <c r="G111" s="220">
        <f t="shared" si="33"/>
        <v>0</v>
      </c>
      <c r="H111" s="221">
        <f t="shared" si="33"/>
        <v>0</v>
      </c>
      <c r="I111" s="222">
        <f t="shared" si="33"/>
        <v>0</v>
      </c>
      <c r="J111" s="220">
        <f t="shared" si="33"/>
        <v>0</v>
      </c>
      <c r="K111" s="221">
        <f t="shared" si="33"/>
        <v>0</v>
      </c>
      <c r="L111" s="222">
        <f t="shared" si="33"/>
        <v>0</v>
      </c>
      <c r="M111" s="220">
        <f t="shared" si="33"/>
        <v>0</v>
      </c>
      <c r="N111" s="221">
        <f t="shared" si="33"/>
        <v>0</v>
      </c>
      <c r="O111" s="222">
        <f t="shared" si="33"/>
        <v>0</v>
      </c>
      <c r="P111" s="437">
        <f>SUM(D111:O111)</f>
        <v>0</v>
      </c>
      <c r="Q111" s="105"/>
      <c r="R111" s="236"/>
      <c r="U111" s="105"/>
    </row>
    <row r="112" spans="1:21" s="107" customFormat="1" ht="19.149999999999999" hidden="1" customHeight="1" thickBot="1">
      <c r="A112" s="54" t="s">
        <v>918</v>
      </c>
      <c r="B112" s="53"/>
      <c r="C112" s="517"/>
      <c r="D112" s="1267"/>
      <c r="E112" s="1268"/>
      <c r="F112" s="1269"/>
      <c r="G112" s="1267"/>
      <c r="H112" s="1268"/>
      <c r="I112" s="1270"/>
      <c r="J112" s="1267"/>
      <c r="K112" s="1268"/>
      <c r="L112" s="1270"/>
      <c r="M112" s="1267"/>
      <c r="N112" s="1268"/>
      <c r="O112" s="1270"/>
      <c r="P112" s="394"/>
      <c r="Q112" s="105"/>
      <c r="R112" s="236"/>
      <c r="U112" s="105"/>
    </row>
    <row r="114" spans="1:16" ht="14.25" thickBot="1">
      <c r="A114" s="1292" t="s">
        <v>963</v>
      </c>
      <c r="P114" s="108" t="s">
        <v>87</v>
      </c>
    </row>
    <row r="115" spans="1:16" ht="14.25" thickBot="1">
      <c r="A115" s="1293" t="s">
        <v>809</v>
      </c>
      <c r="B115" s="376" t="s">
        <v>430</v>
      </c>
      <c r="C115" s="376" t="s">
        <v>557</v>
      </c>
      <c r="D115" s="376" t="s">
        <v>558</v>
      </c>
      <c r="E115" s="376" t="s">
        <v>431</v>
      </c>
      <c r="F115" s="376" t="s">
        <v>559</v>
      </c>
      <c r="G115" s="376" t="s">
        <v>560</v>
      </c>
      <c r="H115" s="376" t="s">
        <v>561</v>
      </c>
      <c r="I115" s="376" t="s">
        <v>562</v>
      </c>
      <c r="J115" s="376" t="s">
        <v>563</v>
      </c>
      <c r="K115" s="376" t="s">
        <v>564</v>
      </c>
      <c r="L115" s="376" t="s">
        <v>565</v>
      </c>
      <c r="M115" s="1355" t="s">
        <v>566</v>
      </c>
      <c r="N115" s="1360" t="s">
        <v>15</v>
      </c>
      <c r="O115" s="1353" t="s">
        <v>835</v>
      </c>
      <c r="P115" s="1354" t="s">
        <v>913</v>
      </c>
    </row>
    <row r="116" spans="1:16" ht="14.25" thickBot="1">
      <c r="A116" s="1350" t="s">
        <v>810</v>
      </c>
      <c r="B116" s="1351" t="e">
        <f>'2. S Plan'!#REF!</f>
        <v>#REF!</v>
      </c>
      <c r="C116" s="1351" t="e">
        <f>'2. S Plan'!#REF!</f>
        <v>#REF!</v>
      </c>
      <c r="D116" s="1351" t="e">
        <f>'2. S Plan'!#REF!</f>
        <v>#REF!</v>
      </c>
      <c r="E116" s="1351" t="e">
        <f>'2. S Plan'!#REF!</f>
        <v>#REF!</v>
      </c>
      <c r="F116" s="1351" t="e">
        <f>'2. S Plan'!#REF!</f>
        <v>#REF!</v>
      </c>
      <c r="G116" s="1351" t="e">
        <f>'2. S Plan'!#REF!</f>
        <v>#REF!</v>
      </c>
      <c r="H116" s="1351" t="e">
        <f>'2. S Plan'!#REF!</f>
        <v>#REF!</v>
      </c>
      <c r="I116" s="1351" t="e">
        <f>'2. S Plan'!#REF!</f>
        <v>#REF!</v>
      </c>
      <c r="J116" s="1351" t="e">
        <f>'2. S Plan'!#REF!</f>
        <v>#REF!</v>
      </c>
      <c r="K116" s="1351" t="e">
        <f>'2. S Plan'!#REF!</f>
        <v>#REF!</v>
      </c>
      <c r="L116" s="1351" t="e">
        <f>'2. S Plan'!#REF!</f>
        <v>#REF!</v>
      </c>
      <c r="M116" s="1356" t="e">
        <f>'2. S Plan'!#REF!</f>
        <v>#REF!</v>
      </c>
      <c r="N116" s="1361" t="e">
        <f>SUM(B116:M116)</f>
        <v>#REF!</v>
      </c>
      <c r="O116" s="1351" t="e">
        <f>AVERAGE(B116:M116)</f>
        <v>#REF!</v>
      </c>
      <c r="P116" s="1352" t="e">
        <f>_xlfn.STDEV.P(B116:M116)</f>
        <v>#REF!</v>
      </c>
    </row>
    <row r="117" spans="1:16" ht="14.25" thickBot="1">
      <c r="A117" s="1346" t="s">
        <v>959</v>
      </c>
      <c r="B117" s="1347" t="e">
        <f t="shared" ref="B117:N117" si="34">B116/D27</f>
        <v>#REF!</v>
      </c>
      <c r="C117" s="1347" t="e">
        <f t="shared" si="34"/>
        <v>#REF!</v>
      </c>
      <c r="D117" s="1347" t="e">
        <f t="shared" si="34"/>
        <v>#REF!</v>
      </c>
      <c r="E117" s="1347" t="e">
        <f t="shared" si="34"/>
        <v>#REF!</v>
      </c>
      <c r="F117" s="1347" t="e">
        <f t="shared" si="34"/>
        <v>#REF!</v>
      </c>
      <c r="G117" s="1347" t="e">
        <f t="shared" si="34"/>
        <v>#REF!</v>
      </c>
      <c r="H117" s="1347" t="e">
        <f t="shared" si="34"/>
        <v>#REF!</v>
      </c>
      <c r="I117" s="1347" t="e">
        <f t="shared" si="34"/>
        <v>#REF!</v>
      </c>
      <c r="J117" s="1347" t="e">
        <f t="shared" si="34"/>
        <v>#REF!</v>
      </c>
      <c r="K117" s="1347" t="e">
        <f t="shared" si="34"/>
        <v>#REF!</v>
      </c>
      <c r="L117" s="1347" t="e">
        <f t="shared" si="34"/>
        <v>#REF!</v>
      </c>
      <c r="M117" s="1357" t="e">
        <f t="shared" si="34"/>
        <v>#REF!</v>
      </c>
      <c r="N117" s="1362" t="e">
        <f t="shared" si="34"/>
        <v>#REF!</v>
      </c>
      <c r="O117" s="1348"/>
      <c r="P117" s="1349"/>
    </row>
    <row r="118" spans="1:16">
      <c r="A118" s="1342" t="s">
        <v>960</v>
      </c>
      <c r="B118" s="1343" t="e">
        <f>'3. P PLAN'!#REF!</f>
        <v>#REF!</v>
      </c>
      <c r="C118" s="1343" t="e">
        <f>'3. P PLAN'!#REF!</f>
        <v>#REF!</v>
      </c>
      <c r="D118" s="1343" t="e">
        <f>'3. P PLAN'!#REF!</f>
        <v>#REF!</v>
      </c>
      <c r="E118" s="1343" t="e">
        <f>'3. P PLAN'!#REF!</f>
        <v>#REF!</v>
      </c>
      <c r="F118" s="1343" t="e">
        <f>'3. P PLAN'!#REF!</f>
        <v>#REF!</v>
      </c>
      <c r="G118" s="1343" t="e">
        <f>'3. P PLAN'!#REF!</f>
        <v>#REF!</v>
      </c>
      <c r="H118" s="1343" t="e">
        <f>'3. P PLAN'!#REF!</f>
        <v>#REF!</v>
      </c>
      <c r="I118" s="1343" t="e">
        <f>'3. P PLAN'!#REF!</f>
        <v>#REF!</v>
      </c>
      <c r="J118" s="1343" t="e">
        <f>'3. P PLAN'!#REF!</f>
        <v>#REF!</v>
      </c>
      <c r="K118" s="1343" t="e">
        <f>'3. P PLAN'!#REF!</f>
        <v>#REF!</v>
      </c>
      <c r="L118" s="1343" t="e">
        <f>'3. P PLAN'!#REF!</f>
        <v>#REF!</v>
      </c>
      <c r="M118" s="1358" t="e">
        <f>'3. P PLAN'!#REF!</f>
        <v>#REF!</v>
      </c>
      <c r="N118" s="1363" t="e">
        <f>SUM(B118:M118)</f>
        <v>#REF!</v>
      </c>
      <c r="O118" s="1344" t="e">
        <f>AVERAGE(B118:M118)</f>
        <v>#REF!</v>
      </c>
      <c r="P118" s="1345" t="e">
        <f>_xlfn.STDEV.P(B118:M118)</f>
        <v>#REF!</v>
      </c>
    </row>
    <row r="119" spans="1:16" ht="14.25" thickBot="1">
      <c r="A119" s="1341" t="s">
        <v>961</v>
      </c>
      <c r="B119" s="1338" t="e">
        <f t="shared" ref="B119:M119" si="35">B116/B118</f>
        <v>#REF!</v>
      </c>
      <c r="C119" s="1338" t="e">
        <f t="shared" si="35"/>
        <v>#REF!</v>
      </c>
      <c r="D119" s="1338" t="e">
        <f t="shared" si="35"/>
        <v>#REF!</v>
      </c>
      <c r="E119" s="1338" t="e">
        <f t="shared" si="35"/>
        <v>#REF!</v>
      </c>
      <c r="F119" s="1338" t="e">
        <f t="shared" si="35"/>
        <v>#REF!</v>
      </c>
      <c r="G119" s="1338" t="e">
        <f t="shared" si="35"/>
        <v>#REF!</v>
      </c>
      <c r="H119" s="1338" t="e">
        <f t="shared" si="35"/>
        <v>#REF!</v>
      </c>
      <c r="I119" s="1338" t="e">
        <f t="shared" si="35"/>
        <v>#REF!</v>
      </c>
      <c r="J119" s="1338" t="e">
        <f t="shared" si="35"/>
        <v>#REF!</v>
      </c>
      <c r="K119" s="1338" t="e">
        <f t="shared" si="35"/>
        <v>#REF!</v>
      </c>
      <c r="L119" s="1338" t="e">
        <f t="shared" si="35"/>
        <v>#REF!</v>
      </c>
      <c r="M119" s="1359" t="e">
        <f t="shared" si="35"/>
        <v>#REF!</v>
      </c>
      <c r="N119" s="1337"/>
      <c r="O119" s="1339" t="e">
        <f>AVERAGE(B119:M119)</f>
        <v>#REF!</v>
      </c>
      <c r="P119" s="1340" t="e">
        <f>_xlfn.STDEV.P(B119:M119)</f>
        <v>#REF!</v>
      </c>
    </row>
    <row r="120" spans="1:16">
      <c r="A120" s="105"/>
      <c r="C120" s="472"/>
      <c r="E120" s="105"/>
      <c r="K120" s="105" t="s">
        <v>962</v>
      </c>
    </row>
  </sheetData>
  <mergeCells count="3">
    <mergeCell ref="A11:B11"/>
    <mergeCell ref="A12:A14"/>
    <mergeCell ref="A96:A97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F158"/>
  <sheetViews>
    <sheetView showGridLines="0" tabSelected="1" topLeftCell="A43" zoomScale="70" zoomScaleNormal="70" workbookViewId="0">
      <selection activeCell="G28" sqref="G28"/>
    </sheetView>
  </sheetViews>
  <sheetFormatPr defaultColWidth="9" defaultRowHeight="13.5"/>
  <cols>
    <col min="1" max="1" width="22.125" style="1537" customWidth="1"/>
    <col min="2" max="2" width="22.125" style="9" customWidth="1"/>
    <col min="3" max="4" width="15" style="9" bestFit="1" customWidth="1"/>
    <col min="5" max="5" width="13.75" style="9" bestFit="1" customWidth="1"/>
    <col min="6" max="17" width="16.125" style="1544" customWidth="1"/>
    <col min="18" max="18" width="22.25" style="1544" customWidth="1"/>
    <col min="19" max="30" width="12.125" style="1544" hidden="1" customWidth="1"/>
    <col min="31" max="31" width="16.125" style="1544" hidden="1" customWidth="1" collapsed="1"/>
    <col min="32" max="43" width="12.125" style="1544" hidden="1" customWidth="1"/>
    <col min="44" max="44" width="16.125" style="1544" hidden="1" customWidth="1" collapsed="1"/>
    <col min="45" max="52" width="12.125" style="1544" hidden="1" customWidth="1"/>
    <col min="53" max="56" width="12.125" style="9" hidden="1" customWidth="1"/>
    <col min="57" max="57" width="16.125" style="9" hidden="1" customWidth="1" collapsed="1"/>
    <col min="58" max="58" width="13.875" style="9" bestFit="1" customWidth="1"/>
    <col min="59" max="16384" width="9" style="9"/>
  </cols>
  <sheetData>
    <row r="1" spans="1:57" ht="18" customHeight="1">
      <c r="A1" s="1538" t="s">
        <v>39</v>
      </c>
      <c r="B1" s="1539"/>
      <c r="C1" s="1539"/>
      <c r="D1" s="1539"/>
      <c r="E1" s="1539"/>
      <c r="F1" s="1542"/>
      <c r="G1" s="1542"/>
      <c r="H1" s="1542"/>
      <c r="I1" s="1542"/>
      <c r="J1" s="1542"/>
      <c r="K1" s="1542"/>
      <c r="L1" s="1542"/>
      <c r="M1" s="1542"/>
      <c r="N1" s="1542"/>
      <c r="O1" s="1542"/>
      <c r="P1" s="1542"/>
      <c r="Q1" s="1542"/>
      <c r="R1" s="1542"/>
      <c r="S1" s="1542"/>
      <c r="T1" s="1542"/>
      <c r="U1" s="1542"/>
      <c r="V1" s="1542"/>
      <c r="W1" s="1542"/>
      <c r="X1" s="1542"/>
      <c r="Y1" s="1542"/>
      <c r="Z1" s="1542"/>
      <c r="AA1" s="1542"/>
      <c r="AB1" s="1542"/>
      <c r="AC1" s="1542"/>
      <c r="AD1" s="1542"/>
      <c r="AE1" s="1542"/>
      <c r="AF1" s="1542"/>
      <c r="AG1" s="1542"/>
      <c r="AH1" s="1542"/>
      <c r="AI1" s="1542"/>
      <c r="AJ1" s="1542"/>
      <c r="AK1" s="1542"/>
      <c r="AL1" s="1542"/>
      <c r="AM1" s="1542"/>
      <c r="AN1" s="1542"/>
      <c r="AO1" s="1542"/>
      <c r="AP1" s="1542"/>
      <c r="AQ1" s="1542"/>
      <c r="AR1" s="1542"/>
      <c r="AS1" s="1542"/>
      <c r="AT1" s="1542"/>
      <c r="AU1" s="1542"/>
      <c r="AV1" s="1542"/>
      <c r="AW1" s="1542"/>
      <c r="AX1" s="1542"/>
      <c r="AY1" s="1542"/>
      <c r="AZ1" s="1542"/>
      <c r="BA1" s="1541"/>
      <c r="BB1" s="1541"/>
      <c r="BC1" s="1541"/>
      <c r="BD1" s="1541"/>
      <c r="BE1" s="1541"/>
    </row>
    <row r="2" spans="1:57" ht="18" customHeight="1"/>
    <row r="3" spans="1:57" ht="18" customHeight="1" thickBot="1">
      <c r="A3" s="1547" t="s">
        <v>373</v>
      </c>
      <c r="B3" s="1520"/>
      <c r="C3" s="1520"/>
      <c r="D3" s="2262"/>
      <c r="E3" s="1520"/>
      <c r="R3" s="1808" t="s">
        <v>351</v>
      </c>
      <c r="AE3" s="1808" t="s">
        <v>351</v>
      </c>
      <c r="AR3" s="1808" t="s">
        <v>351</v>
      </c>
      <c r="BE3" s="1546" t="s">
        <v>351</v>
      </c>
    </row>
    <row r="4" spans="1:57" ht="18" customHeight="1" thickBot="1">
      <c r="A4" s="89" t="s">
        <v>112</v>
      </c>
      <c r="B4" s="72" t="s">
        <v>124</v>
      </c>
      <c r="C4" s="81"/>
      <c r="D4" s="81"/>
      <c r="E4" s="1699" t="s">
        <v>352</v>
      </c>
      <c r="F4" s="1876" t="str">
        <f>'2. S Plan'!L4</f>
        <v>Jan.26</v>
      </c>
      <c r="G4" s="1877" t="str">
        <f>'2. S Plan'!M4</f>
        <v>Feb.26</v>
      </c>
      <c r="H4" s="1878" t="str">
        <f>'2. S Plan'!N4</f>
        <v>Mar.26</v>
      </c>
      <c r="I4" s="1876" t="str">
        <f>'2. S Plan'!O4</f>
        <v>Apr.26</v>
      </c>
      <c r="J4" s="1877" t="str">
        <f>'2. S Plan'!P4</f>
        <v>May.26</v>
      </c>
      <c r="K4" s="1878" t="str">
        <f>'2. S Plan'!Q4</f>
        <v>Jun.26</v>
      </c>
      <c r="L4" s="1876" t="str">
        <f>'2. S Plan'!R4</f>
        <v>Jul.26</v>
      </c>
      <c r="M4" s="1877" t="str">
        <f>'2. S Plan'!S4</f>
        <v>Aug.26</v>
      </c>
      <c r="N4" s="1878" t="str">
        <f>'2. S Plan'!T4</f>
        <v>Sep.26</v>
      </c>
      <c r="O4" s="1876" t="str">
        <f>'2. S Plan'!U4</f>
        <v>Oct.26</v>
      </c>
      <c r="P4" s="1877" t="str">
        <f>'2. S Plan'!V4</f>
        <v>Nov.26</v>
      </c>
      <c r="Q4" s="1878" t="str">
        <f>'2. S Plan'!W4</f>
        <v>Dec.26</v>
      </c>
      <c r="R4" s="2598" t="str">
        <f>'2. S Plan'!X4</f>
        <v>2026
Total</v>
      </c>
      <c r="S4" s="1876" t="e">
        <f>'2. S Plan'!#REF!</f>
        <v>#REF!</v>
      </c>
      <c r="T4" s="1877" t="e">
        <f>'2. S Plan'!#REF!</f>
        <v>#REF!</v>
      </c>
      <c r="U4" s="1878" t="e">
        <f>'2. S Plan'!#REF!</f>
        <v>#REF!</v>
      </c>
      <c r="V4" s="1876" t="e">
        <f>'2. S Plan'!#REF!</f>
        <v>#REF!</v>
      </c>
      <c r="W4" s="1877" t="e">
        <f>'2. S Plan'!#REF!</f>
        <v>#REF!</v>
      </c>
      <c r="X4" s="1878" t="e">
        <f>'2. S Plan'!#REF!</f>
        <v>#REF!</v>
      </c>
      <c r="Y4" s="1876" t="e">
        <f>'2. S Plan'!#REF!</f>
        <v>#REF!</v>
      </c>
      <c r="Z4" s="1877" t="e">
        <f>'2. S Plan'!#REF!</f>
        <v>#REF!</v>
      </c>
      <c r="AA4" s="1878" t="e">
        <f>'2. S Plan'!#REF!</f>
        <v>#REF!</v>
      </c>
      <c r="AB4" s="1876" t="e">
        <f>'2. S Plan'!#REF!</f>
        <v>#REF!</v>
      </c>
      <c r="AC4" s="1877" t="e">
        <f>'2. S Plan'!#REF!</f>
        <v>#REF!</v>
      </c>
      <c r="AD4" s="1878" t="e">
        <f>'2. S Plan'!#REF!</f>
        <v>#REF!</v>
      </c>
      <c r="AE4" s="2598" t="e">
        <f>'2. S Plan'!#REF!</f>
        <v>#REF!</v>
      </c>
      <c r="AF4" s="1876" t="e">
        <f>'2. S Plan'!#REF!</f>
        <v>#REF!</v>
      </c>
      <c r="AG4" s="1877" t="e">
        <f>'2. S Plan'!#REF!</f>
        <v>#REF!</v>
      </c>
      <c r="AH4" s="1878" t="e">
        <f>'2. S Plan'!#REF!</f>
        <v>#REF!</v>
      </c>
      <c r="AI4" s="1876" t="e">
        <f>'2. S Plan'!#REF!</f>
        <v>#REF!</v>
      </c>
      <c r="AJ4" s="1877" t="e">
        <f>'2. S Plan'!#REF!</f>
        <v>#REF!</v>
      </c>
      <c r="AK4" s="1878" t="e">
        <f>'2. S Plan'!#REF!</f>
        <v>#REF!</v>
      </c>
      <c r="AL4" s="1876" t="e">
        <f>'2. S Plan'!#REF!</f>
        <v>#REF!</v>
      </c>
      <c r="AM4" s="1877" t="e">
        <f>'2. S Plan'!#REF!</f>
        <v>#REF!</v>
      </c>
      <c r="AN4" s="1878" t="e">
        <f>'2. S Plan'!#REF!</f>
        <v>#REF!</v>
      </c>
      <c r="AO4" s="1876" t="e">
        <f>'2. S Plan'!#REF!</f>
        <v>#REF!</v>
      </c>
      <c r="AP4" s="1877" t="e">
        <f>'2. S Plan'!#REF!</f>
        <v>#REF!</v>
      </c>
      <c r="AQ4" s="1878" t="e">
        <f>'2. S Plan'!#REF!</f>
        <v>#REF!</v>
      </c>
      <c r="AR4" s="2598" t="e">
        <f>'2. S Plan'!#REF!</f>
        <v>#REF!</v>
      </c>
      <c r="AS4" s="1876" t="e">
        <f>'2. S Plan'!#REF!</f>
        <v>#REF!</v>
      </c>
      <c r="AT4" s="1877" t="e">
        <f>'2. S Plan'!#REF!</f>
        <v>#REF!</v>
      </c>
      <c r="AU4" s="1878" t="e">
        <f>'2. S Plan'!#REF!</f>
        <v>#REF!</v>
      </c>
      <c r="AV4" s="1876" t="e">
        <f>'2. S Plan'!#REF!</f>
        <v>#REF!</v>
      </c>
      <c r="AW4" s="1877" t="e">
        <f>'2. S Plan'!#REF!</f>
        <v>#REF!</v>
      </c>
      <c r="AX4" s="1878" t="e">
        <f>'2. S Plan'!#REF!</f>
        <v>#REF!</v>
      </c>
      <c r="AY4" s="1876" t="e">
        <f>'2. S Plan'!#REF!</f>
        <v>#REF!</v>
      </c>
      <c r="AZ4" s="1877" t="e">
        <f>'2. S Plan'!#REF!</f>
        <v>#REF!</v>
      </c>
      <c r="BA4" s="1549" t="e">
        <f>'2. S Plan'!#REF!</f>
        <v>#REF!</v>
      </c>
      <c r="BB4" s="1548" t="e">
        <f>'2. S Plan'!#REF!</f>
        <v>#REF!</v>
      </c>
      <c r="BC4" s="81" t="e">
        <f>'2. S Plan'!#REF!</f>
        <v>#REF!</v>
      </c>
      <c r="BD4" s="1549" t="e">
        <f>'2. S Plan'!#REF!</f>
        <v>#REF!</v>
      </c>
      <c r="BE4" s="1550" t="e">
        <f>'2. S Plan'!#REF!</f>
        <v>#REF!</v>
      </c>
    </row>
    <row r="5" spans="1:57" ht="18" customHeight="1">
      <c r="A5" s="5375" t="s">
        <v>312</v>
      </c>
      <c r="B5" s="1690" t="s">
        <v>823</v>
      </c>
      <c r="C5" s="2272"/>
      <c r="D5" s="1690"/>
      <c r="E5" s="1656">
        <v>5</v>
      </c>
      <c r="F5" s="2263">
        <v>5</v>
      </c>
      <c r="G5" s="1726">
        <f>F5</f>
        <v>5</v>
      </c>
      <c r="H5" s="1727">
        <f>G5</f>
        <v>5</v>
      </c>
      <c r="I5" s="2263">
        <f t="shared" ref="I5:Q6" si="0">H5</f>
        <v>5</v>
      </c>
      <c r="J5" s="1726">
        <f t="shared" si="0"/>
        <v>5</v>
      </c>
      <c r="K5" s="1727">
        <f t="shared" si="0"/>
        <v>5</v>
      </c>
      <c r="L5" s="2263">
        <f t="shared" si="0"/>
        <v>5</v>
      </c>
      <c r="M5" s="1726">
        <f t="shared" si="0"/>
        <v>5</v>
      </c>
      <c r="N5" s="1727">
        <f t="shared" si="0"/>
        <v>5</v>
      </c>
      <c r="O5" s="2263">
        <f t="shared" si="0"/>
        <v>5</v>
      </c>
      <c r="P5" s="1726">
        <f t="shared" si="0"/>
        <v>5</v>
      </c>
      <c r="Q5" s="1727">
        <f t="shared" si="0"/>
        <v>5</v>
      </c>
      <c r="R5" s="2606">
        <f>AVERAGE(F5:Q5)</f>
        <v>5</v>
      </c>
      <c r="S5" s="2263">
        <v>6</v>
      </c>
      <c r="T5" s="1726">
        <f>S5</f>
        <v>6</v>
      </c>
      <c r="U5" s="1727">
        <v>5</v>
      </c>
      <c r="V5" s="2263">
        <f t="shared" ref="V5:V7" si="1">U5</f>
        <v>5</v>
      </c>
      <c r="W5" s="1726">
        <f t="shared" ref="W5:W7" si="2">V5</f>
        <v>5</v>
      </c>
      <c r="X5" s="1727">
        <f t="shared" ref="X5:X7" si="3">W5</f>
        <v>5</v>
      </c>
      <c r="Y5" s="2263">
        <f t="shared" ref="Y5:Y7" si="4">X5</f>
        <v>5</v>
      </c>
      <c r="Z5" s="1726">
        <f t="shared" ref="Z5:Z7" si="5">Y5</f>
        <v>5</v>
      </c>
      <c r="AA5" s="1727">
        <f t="shared" ref="AA5:AA7" si="6">Z5</f>
        <v>5</v>
      </c>
      <c r="AB5" s="2263">
        <f t="shared" ref="AB5:AB7" si="7">AA5</f>
        <v>5</v>
      </c>
      <c r="AC5" s="1726">
        <f t="shared" ref="AC5:AC7" si="8">AB5</f>
        <v>5</v>
      </c>
      <c r="AD5" s="1727">
        <f t="shared" ref="AD5" si="9">AC5</f>
        <v>5</v>
      </c>
      <c r="AE5" s="2606">
        <f>AVERAGE(S5:AD5)</f>
        <v>5.166666666666667</v>
      </c>
      <c r="AF5" s="2263">
        <v>6</v>
      </c>
      <c r="AG5" s="1726">
        <f>AF5</f>
        <v>6</v>
      </c>
      <c r="AH5" s="1727">
        <v>5</v>
      </c>
      <c r="AI5" s="2263">
        <f t="shared" ref="AI5:AI7" si="10">AH5</f>
        <v>5</v>
      </c>
      <c r="AJ5" s="1726">
        <f t="shared" ref="AJ5:AJ7" si="11">AI5</f>
        <v>5</v>
      </c>
      <c r="AK5" s="1727">
        <f t="shared" ref="AK5:AK7" si="12">AJ5</f>
        <v>5</v>
      </c>
      <c r="AL5" s="2263">
        <f t="shared" ref="AL5:AL7" si="13">AK5</f>
        <v>5</v>
      </c>
      <c r="AM5" s="1726">
        <f t="shared" ref="AM5:AM7" si="14">AL5</f>
        <v>5</v>
      </c>
      <c r="AN5" s="1727">
        <f t="shared" ref="AN5:AN7" si="15">AM5</f>
        <v>5</v>
      </c>
      <c r="AO5" s="2263">
        <f t="shared" ref="AO5:AO7" si="16">AN5</f>
        <v>5</v>
      </c>
      <c r="AP5" s="1726">
        <f t="shared" ref="AP5:AP7" si="17">AO5</f>
        <v>5</v>
      </c>
      <c r="AQ5" s="1727">
        <f t="shared" ref="AQ5" si="18">AP5</f>
        <v>5</v>
      </c>
      <c r="AR5" s="2606">
        <f>AVERAGE(AF5:AQ5)</f>
        <v>5.166666666666667</v>
      </c>
      <c r="AS5" s="2263">
        <v>6</v>
      </c>
      <c r="AT5" s="1726">
        <f>AS5</f>
        <v>6</v>
      </c>
      <c r="AU5" s="1727">
        <v>5</v>
      </c>
      <c r="AV5" s="2263">
        <f t="shared" ref="AV5:AV7" si="19">AU5</f>
        <v>5</v>
      </c>
      <c r="AW5" s="1726">
        <f t="shared" ref="AW5:AW7" si="20">AV5</f>
        <v>5</v>
      </c>
      <c r="AX5" s="1727">
        <f t="shared" ref="AX5:AX7" si="21">AW5</f>
        <v>5</v>
      </c>
      <c r="AY5" s="2263">
        <f t="shared" ref="AY5:AY7" si="22">AX5</f>
        <v>5</v>
      </c>
      <c r="AZ5" s="1726">
        <f t="shared" ref="AZ5:AZ7" si="23">AY5</f>
        <v>5</v>
      </c>
      <c r="BA5" s="1727">
        <f t="shared" ref="BA5:BA7" si="24">AZ5</f>
        <v>5</v>
      </c>
      <c r="BB5" s="2263">
        <f t="shared" ref="BB5:BB7" si="25">BA5</f>
        <v>5</v>
      </c>
      <c r="BC5" s="1726">
        <f t="shared" ref="BC5:BC7" si="26">BB5</f>
        <v>5</v>
      </c>
      <c r="BD5" s="1727">
        <f t="shared" ref="BD5" si="27">BC5</f>
        <v>5</v>
      </c>
      <c r="BE5" s="1554">
        <f>AVERAGE(AS5:BD5)</f>
        <v>5.166666666666667</v>
      </c>
    </row>
    <row r="6" spans="1:57" ht="18" customHeight="1">
      <c r="A6" s="5376"/>
      <c r="B6" s="2114" t="s">
        <v>434</v>
      </c>
      <c r="C6" s="2272"/>
      <c r="D6" s="2114"/>
      <c r="E6" s="1662">
        <v>2</v>
      </c>
      <c r="F6" s="1781">
        <v>2</v>
      </c>
      <c r="G6" s="1657">
        <f>F6</f>
        <v>2</v>
      </c>
      <c r="H6" s="1658">
        <f t="shared" ref="H6" si="28">G6</f>
        <v>2</v>
      </c>
      <c r="I6" s="1789">
        <f t="shared" si="0"/>
        <v>2</v>
      </c>
      <c r="J6" s="1657">
        <f t="shared" si="0"/>
        <v>2</v>
      </c>
      <c r="K6" s="1658">
        <f t="shared" si="0"/>
        <v>2</v>
      </c>
      <c r="L6" s="1789">
        <f t="shared" si="0"/>
        <v>2</v>
      </c>
      <c r="M6" s="1657">
        <f t="shared" si="0"/>
        <v>2</v>
      </c>
      <c r="N6" s="1658">
        <f t="shared" si="0"/>
        <v>2</v>
      </c>
      <c r="O6" s="1789">
        <f t="shared" si="0"/>
        <v>2</v>
      </c>
      <c r="P6" s="1657">
        <f t="shared" si="0"/>
        <v>2</v>
      </c>
      <c r="Q6" s="1658">
        <f t="shared" si="0"/>
        <v>2</v>
      </c>
      <c r="R6" s="2200">
        <f t="shared" ref="R6:R13" si="29">AVERAGE(F6:Q6)</f>
        <v>2</v>
      </c>
      <c r="S6" s="1781">
        <v>1</v>
      </c>
      <c r="T6" s="1657">
        <f>S6</f>
        <v>1</v>
      </c>
      <c r="U6" s="1658">
        <f t="shared" ref="U6" si="30">T6</f>
        <v>1</v>
      </c>
      <c r="V6" s="1781">
        <f t="shared" si="1"/>
        <v>1</v>
      </c>
      <c r="W6" s="1657">
        <f t="shared" si="2"/>
        <v>1</v>
      </c>
      <c r="X6" s="1658">
        <f t="shared" si="3"/>
        <v>1</v>
      </c>
      <c r="Y6" s="1781">
        <f t="shared" si="4"/>
        <v>1</v>
      </c>
      <c r="Z6" s="1657">
        <f t="shared" si="5"/>
        <v>1</v>
      </c>
      <c r="AA6" s="1658">
        <f t="shared" si="6"/>
        <v>1</v>
      </c>
      <c r="AB6" s="1781">
        <f t="shared" si="7"/>
        <v>1</v>
      </c>
      <c r="AC6" s="1657">
        <f t="shared" si="8"/>
        <v>1</v>
      </c>
      <c r="AD6" s="1658">
        <f>AC6</f>
        <v>1</v>
      </c>
      <c r="AE6" s="2200">
        <f t="shared" ref="AE6:AE13" si="31">AVERAGE(S6:AD6)</f>
        <v>1</v>
      </c>
      <c r="AF6" s="1781">
        <v>1</v>
      </c>
      <c r="AG6" s="1657">
        <f>AF6</f>
        <v>1</v>
      </c>
      <c r="AH6" s="1658">
        <f t="shared" ref="AH6" si="32">AG6</f>
        <v>1</v>
      </c>
      <c r="AI6" s="1781">
        <f t="shared" si="10"/>
        <v>1</v>
      </c>
      <c r="AJ6" s="1657">
        <f t="shared" si="11"/>
        <v>1</v>
      </c>
      <c r="AK6" s="1658">
        <f t="shared" si="12"/>
        <v>1</v>
      </c>
      <c r="AL6" s="1781">
        <f t="shared" si="13"/>
        <v>1</v>
      </c>
      <c r="AM6" s="1657">
        <f t="shared" si="14"/>
        <v>1</v>
      </c>
      <c r="AN6" s="1658">
        <f t="shared" si="15"/>
        <v>1</v>
      </c>
      <c r="AO6" s="1781">
        <f t="shared" si="16"/>
        <v>1</v>
      </c>
      <c r="AP6" s="1657">
        <f t="shared" si="17"/>
        <v>1</v>
      </c>
      <c r="AQ6" s="1658">
        <f>AP6</f>
        <v>1</v>
      </c>
      <c r="AR6" s="2200">
        <f t="shared" ref="AR6:AR13" si="33">AVERAGE(AF6:AQ6)</f>
        <v>1</v>
      </c>
      <c r="AS6" s="1781">
        <v>1</v>
      </c>
      <c r="AT6" s="1657">
        <f>AS6</f>
        <v>1</v>
      </c>
      <c r="AU6" s="1658">
        <f t="shared" ref="AU6" si="34">AT6</f>
        <v>1</v>
      </c>
      <c r="AV6" s="1781">
        <f t="shared" si="19"/>
        <v>1</v>
      </c>
      <c r="AW6" s="1657">
        <f t="shared" si="20"/>
        <v>1</v>
      </c>
      <c r="AX6" s="1658">
        <f t="shared" si="21"/>
        <v>1</v>
      </c>
      <c r="AY6" s="1781">
        <f t="shared" si="22"/>
        <v>1</v>
      </c>
      <c r="AZ6" s="1657">
        <f t="shared" si="23"/>
        <v>1</v>
      </c>
      <c r="BA6" s="1658">
        <f t="shared" si="24"/>
        <v>1</v>
      </c>
      <c r="BB6" s="1781">
        <f t="shared" si="25"/>
        <v>1</v>
      </c>
      <c r="BC6" s="1657">
        <f t="shared" si="26"/>
        <v>1</v>
      </c>
      <c r="BD6" s="1658">
        <f>BC6</f>
        <v>1</v>
      </c>
      <c r="BE6" s="1566">
        <f t="shared" ref="BE6:BE13" si="35">AVERAGE(AS6:BD6)</f>
        <v>1</v>
      </c>
    </row>
    <row r="7" spans="1:57" ht="18" customHeight="1">
      <c r="A7" s="5376"/>
      <c r="B7" s="1673" t="s">
        <v>307</v>
      </c>
      <c r="C7" s="2272"/>
      <c r="D7" s="1673"/>
      <c r="E7" s="1662">
        <v>2</v>
      </c>
      <c r="F7" s="1781">
        <v>3</v>
      </c>
      <c r="G7" s="1657">
        <f>3</f>
        <v>3</v>
      </c>
      <c r="H7" s="1739">
        <f>3</f>
        <v>3</v>
      </c>
      <c r="I7" s="1789">
        <f>3</f>
        <v>3</v>
      </c>
      <c r="J7" s="1657">
        <f>3</f>
        <v>3</v>
      </c>
      <c r="K7" s="1739">
        <f>3</f>
        <v>3</v>
      </c>
      <c r="L7" s="1789">
        <f>3</f>
        <v>3</v>
      </c>
      <c r="M7" s="1657">
        <f>3</f>
        <v>3</v>
      </c>
      <c r="N7" s="1739">
        <f>3</f>
        <v>3</v>
      </c>
      <c r="O7" s="1789">
        <f>3</f>
        <v>3</v>
      </c>
      <c r="P7" s="1657">
        <f>3</f>
        <v>3</v>
      </c>
      <c r="Q7" s="1657">
        <f>3</f>
        <v>3</v>
      </c>
      <c r="R7" s="2200">
        <f t="shared" si="29"/>
        <v>3</v>
      </c>
      <c r="S7" s="1781">
        <v>3</v>
      </c>
      <c r="T7" s="1657">
        <v>3</v>
      </c>
      <c r="U7" s="1658">
        <v>3</v>
      </c>
      <c r="V7" s="1781">
        <f t="shared" si="1"/>
        <v>3</v>
      </c>
      <c r="W7" s="1657">
        <f t="shared" si="2"/>
        <v>3</v>
      </c>
      <c r="X7" s="1658">
        <f t="shared" si="3"/>
        <v>3</v>
      </c>
      <c r="Y7" s="1781">
        <f t="shared" si="4"/>
        <v>3</v>
      </c>
      <c r="Z7" s="1657">
        <f t="shared" si="5"/>
        <v>3</v>
      </c>
      <c r="AA7" s="1658">
        <f t="shared" si="6"/>
        <v>3</v>
      </c>
      <c r="AB7" s="1781">
        <f t="shared" si="7"/>
        <v>3</v>
      </c>
      <c r="AC7" s="1657">
        <f t="shared" si="8"/>
        <v>3</v>
      </c>
      <c r="AD7" s="1658">
        <f>AC7</f>
        <v>3</v>
      </c>
      <c r="AE7" s="2200">
        <f t="shared" si="31"/>
        <v>3</v>
      </c>
      <c r="AF7" s="1781">
        <v>3</v>
      </c>
      <c r="AG7" s="1657">
        <v>3</v>
      </c>
      <c r="AH7" s="1658">
        <v>3</v>
      </c>
      <c r="AI7" s="1781">
        <f t="shared" si="10"/>
        <v>3</v>
      </c>
      <c r="AJ7" s="1657">
        <f t="shared" si="11"/>
        <v>3</v>
      </c>
      <c r="AK7" s="1658">
        <f t="shared" si="12"/>
        <v>3</v>
      </c>
      <c r="AL7" s="1781">
        <f t="shared" si="13"/>
        <v>3</v>
      </c>
      <c r="AM7" s="1657">
        <f t="shared" si="14"/>
        <v>3</v>
      </c>
      <c r="AN7" s="1658">
        <f t="shared" si="15"/>
        <v>3</v>
      </c>
      <c r="AO7" s="1781">
        <f t="shared" si="16"/>
        <v>3</v>
      </c>
      <c r="AP7" s="1657">
        <f t="shared" si="17"/>
        <v>3</v>
      </c>
      <c r="AQ7" s="1658">
        <f>AP7</f>
        <v>3</v>
      </c>
      <c r="AR7" s="2200">
        <f t="shared" si="33"/>
        <v>3</v>
      </c>
      <c r="AS7" s="1781">
        <v>3</v>
      </c>
      <c r="AT7" s="1657">
        <v>3</v>
      </c>
      <c r="AU7" s="1658">
        <v>3</v>
      </c>
      <c r="AV7" s="1781">
        <f t="shared" si="19"/>
        <v>3</v>
      </c>
      <c r="AW7" s="1657">
        <f t="shared" si="20"/>
        <v>3</v>
      </c>
      <c r="AX7" s="1658">
        <f t="shared" si="21"/>
        <v>3</v>
      </c>
      <c r="AY7" s="1781">
        <f t="shared" si="22"/>
        <v>3</v>
      </c>
      <c r="AZ7" s="1657">
        <f t="shared" si="23"/>
        <v>3</v>
      </c>
      <c r="BA7" s="1658">
        <f t="shared" si="24"/>
        <v>3</v>
      </c>
      <c r="BB7" s="1781">
        <f t="shared" si="25"/>
        <v>3</v>
      </c>
      <c r="BC7" s="1657">
        <f t="shared" si="26"/>
        <v>3</v>
      </c>
      <c r="BD7" s="1658">
        <f>BC7</f>
        <v>3</v>
      </c>
      <c r="BE7" s="1566">
        <f t="shared" si="35"/>
        <v>3</v>
      </c>
    </row>
    <row r="8" spans="1:57" ht="18" customHeight="1">
      <c r="A8" s="2264"/>
      <c r="B8" s="1747" t="s">
        <v>354</v>
      </c>
      <c r="C8" s="2265"/>
      <c r="D8" s="2266"/>
      <c r="E8" s="2267">
        <f t="shared" ref="E8" si="36">SUM(E5:E7)</f>
        <v>9</v>
      </c>
      <c r="F8" s="1829">
        <f>SUM(F5:F7)</f>
        <v>10</v>
      </c>
      <c r="G8" s="1753">
        <f>SUM(G5:G7)</f>
        <v>10</v>
      </c>
      <c r="H8" s="1754">
        <f>SUM(H5:H7)</f>
        <v>10</v>
      </c>
      <c r="I8" s="1829">
        <f t="shared" ref="I8:Q8" si="37">SUM(I5:I7)</f>
        <v>10</v>
      </c>
      <c r="J8" s="1753">
        <f t="shared" si="37"/>
        <v>10</v>
      </c>
      <c r="K8" s="1754">
        <f t="shared" si="37"/>
        <v>10</v>
      </c>
      <c r="L8" s="1829">
        <f t="shared" si="37"/>
        <v>10</v>
      </c>
      <c r="M8" s="1753">
        <f t="shared" si="37"/>
        <v>10</v>
      </c>
      <c r="N8" s="1754">
        <f t="shared" si="37"/>
        <v>10</v>
      </c>
      <c r="O8" s="1829">
        <f t="shared" si="37"/>
        <v>10</v>
      </c>
      <c r="P8" s="1753">
        <f t="shared" si="37"/>
        <v>10</v>
      </c>
      <c r="Q8" s="1754">
        <f t="shared" si="37"/>
        <v>10</v>
      </c>
      <c r="R8" s="2223">
        <f t="shared" si="29"/>
        <v>10</v>
      </c>
      <c r="S8" s="1829">
        <f>SUM(S5:S7)</f>
        <v>10</v>
      </c>
      <c r="T8" s="1753">
        <f>SUM(T5:T7)</f>
        <v>10</v>
      </c>
      <c r="U8" s="1754">
        <f>SUM(U5:U7)</f>
        <v>9</v>
      </c>
      <c r="V8" s="1829">
        <f t="shared" ref="V8:AD8" si="38">SUM(V5:V7)</f>
        <v>9</v>
      </c>
      <c r="W8" s="1753">
        <f t="shared" si="38"/>
        <v>9</v>
      </c>
      <c r="X8" s="1754">
        <f t="shared" si="38"/>
        <v>9</v>
      </c>
      <c r="Y8" s="1829">
        <f t="shared" si="38"/>
        <v>9</v>
      </c>
      <c r="Z8" s="1753">
        <f t="shared" si="38"/>
        <v>9</v>
      </c>
      <c r="AA8" s="1754">
        <f t="shared" si="38"/>
        <v>9</v>
      </c>
      <c r="AB8" s="1829">
        <f t="shared" si="38"/>
        <v>9</v>
      </c>
      <c r="AC8" s="1753">
        <f t="shared" si="38"/>
        <v>9</v>
      </c>
      <c r="AD8" s="1754">
        <f t="shared" si="38"/>
        <v>9</v>
      </c>
      <c r="AE8" s="2223">
        <f t="shared" si="31"/>
        <v>9.1666666666666661</v>
      </c>
      <c r="AF8" s="1829">
        <f>SUM(AF5:AF7)</f>
        <v>10</v>
      </c>
      <c r="AG8" s="1753">
        <f>SUM(AG5:AG7)</f>
        <v>10</v>
      </c>
      <c r="AH8" s="1754">
        <f>SUM(AH5:AH7)</f>
        <v>9</v>
      </c>
      <c r="AI8" s="1829">
        <f t="shared" ref="AI8:AQ8" si="39">SUM(AI5:AI7)</f>
        <v>9</v>
      </c>
      <c r="AJ8" s="1753">
        <f t="shared" si="39"/>
        <v>9</v>
      </c>
      <c r="AK8" s="1754">
        <f t="shared" si="39"/>
        <v>9</v>
      </c>
      <c r="AL8" s="1829">
        <f t="shared" si="39"/>
        <v>9</v>
      </c>
      <c r="AM8" s="1753">
        <f t="shared" si="39"/>
        <v>9</v>
      </c>
      <c r="AN8" s="1754">
        <f t="shared" si="39"/>
        <v>9</v>
      </c>
      <c r="AO8" s="1829">
        <f t="shared" si="39"/>
        <v>9</v>
      </c>
      <c r="AP8" s="1753">
        <f t="shared" si="39"/>
        <v>9</v>
      </c>
      <c r="AQ8" s="1754">
        <f t="shared" si="39"/>
        <v>9</v>
      </c>
      <c r="AR8" s="2223">
        <f t="shared" si="33"/>
        <v>9.1666666666666661</v>
      </c>
      <c r="AS8" s="1829">
        <f>SUM(AS5:AS7)</f>
        <v>10</v>
      </c>
      <c r="AT8" s="1753">
        <f>SUM(AT5:AT7)</f>
        <v>10</v>
      </c>
      <c r="AU8" s="1754">
        <f>SUM(AU5:AU7)</f>
        <v>9</v>
      </c>
      <c r="AV8" s="1829">
        <f t="shared" ref="AV8:BD8" si="40">SUM(AV5:AV7)</f>
        <v>9</v>
      </c>
      <c r="AW8" s="1753">
        <f t="shared" si="40"/>
        <v>9</v>
      </c>
      <c r="AX8" s="1754">
        <f t="shared" si="40"/>
        <v>9</v>
      </c>
      <c r="AY8" s="1829">
        <f t="shared" si="40"/>
        <v>9</v>
      </c>
      <c r="AZ8" s="1753">
        <f t="shared" si="40"/>
        <v>9</v>
      </c>
      <c r="BA8" s="1754">
        <f t="shared" si="40"/>
        <v>9</v>
      </c>
      <c r="BB8" s="1829">
        <f t="shared" si="40"/>
        <v>9</v>
      </c>
      <c r="BC8" s="1753">
        <f t="shared" si="40"/>
        <v>9</v>
      </c>
      <c r="BD8" s="1754">
        <f t="shared" si="40"/>
        <v>9</v>
      </c>
      <c r="BE8" s="1576">
        <f t="shared" si="35"/>
        <v>9.1666666666666661</v>
      </c>
    </row>
    <row r="9" spans="1:57" ht="18" customHeight="1">
      <c r="A9" s="5377" t="s">
        <v>355</v>
      </c>
      <c r="B9" s="2268" t="s">
        <v>356</v>
      </c>
      <c r="C9" s="2269"/>
      <c r="D9" s="2270"/>
      <c r="E9" s="2271">
        <v>1</v>
      </c>
      <c r="F9" s="1761">
        <v>1</v>
      </c>
      <c r="G9" s="1761">
        <f t="shared" ref="G9:Q9" si="41">F9</f>
        <v>1</v>
      </c>
      <c r="H9" s="1762">
        <f t="shared" si="41"/>
        <v>1</v>
      </c>
      <c r="I9" s="2203">
        <f t="shared" si="41"/>
        <v>1</v>
      </c>
      <c r="J9" s="1761">
        <f t="shared" si="41"/>
        <v>1</v>
      </c>
      <c r="K9" s="1762">
        <f t="shared" si="41"/>
        <v>1</v>
      </c>
      <c r="L9" s="2203">
        <f t="shared" si="41"/>
        <v>1</v>
      </c>
      <c r="M9" s="1761">
        <f t="shared" si="41"/>
        <v>1</v>
      </c>
      <c r="N9" s="1762">
        <f t="shared" si="41"/>
        <v>1</v>
      </c>
      <c r="O9" s="2203">
        <f t="shared" si="41"/>
        <v>1</v>
      </c>
      <c r="P9" s="1761">
        <f t="shared" si="41"/>
        <v>1</v>
      </c>
      <c r="Q9" s="1762">
        <f t="shared" si="41"/>
        <v>1</v>
      </c>
      <c r="R9" s="2204">
        <f t="shared" si="29"/>
        <v>1</v>
      </c>
      <c r="S9" s="1761">
        <v>2</v>
      </c>
      <c r="T9" s="1761">
        <v>2</v>
      </c>
      <c r="U9" s="1762">
        <v>2</v>
      </c>
      <c r="V9" s="2203">
        <f t="shared" ref="V9" si="42">U9</f>
        <v>2</v>
      </c>
      <c r="W9" s="1761">
        <f t="shared" ref="W9" si="43">V9</f>
        <v>2</v>
      </c>
      <c r="X9" s="1762">
        <f t="shared" ref="X9" si="44">W9</f>
        <v>2</v>
      </c>
      <c r="Y9" s="2203">
        <f t="shared" ref="Y9" si="45">X9</f>
        <v>2</v>
      </c>
      <c r="Z9" s="1761">
        <f t="shared" ref="Z9" si="46">Y9</f>
        <v>2</v>
      </c>
      <c r="AA9" s="1762">
        <f t="shared" ref="AA9" si="47">Z9</f>
        <v>2</v>
      </c>
      <c r="AB9" s="2203">
        <f t="shared" ref="AB9" si="48">AA9</f>
        <v>2</v>
      </c>
      <c r="AC9" s="1761">
        <f t="shared" ref="AC9" si="49">AB9</f>
        <v>2</v>
      </c>
      <c r="AD9" s="1762">
        <f t="shared" ref="AD9" si="50">AC9</f>
        <v>2</v>
      </c>
      <c r="AE9" s="2204">
        <f t="shared" si="31"/>
        <v>2</v>
      </c>
      <c r="AF9" s="1761">
        <v>2</v>
      </c>
      <c r="AG9" s="1761">
        <v>2</v>
      </c>
      <c r="AH9" s="1762">
        <v>2</v>
      </c>
      <c r="AI9" s="2203">
        <f t="shared" ref="AI9" si="51">AH9</f>
        <v>2</v>
      </c>
      <c r="AJ9" s="1761">
        <f t="shared" ref="AJ9" si="52">AI9</f>
        <v>2</v>
      </c>
      <c r="AK9" s="1762">
        <f t="shared" ref="AK9" si="53">AJ9</f>
        <v>2</v>
      </c>
      <c r="AL9" s="2203">
        <f t="shared" ref="AL9" si="54">AK9</f>
        <v>2</v>
      </c>
      <c r="AM9" s="1761">
        <f t="shared" ref="AM9" si="55">AL9</f>
        <v>2</v>
      </c>
      <c r="AN9" s="1762">
        <f t="shared" ref="AN9" si="56">AM9</f>
        <v>2</v>
      </c>
      <c r="AO9" s="2203">
        <f t="shared" ref="AO9" si="57">AN9</f>
        <v>2</v>
      </c>
      <c r="AP9" s="1761">
        <f t="shared" ref="AP9" si="58">AO9</f>
        <v>2</v>
      </c>
      <c r="AQ9" s="1762">
        <f t="shared" ref="AQ9" si="59">AP9</f>
        <v>2</v>
      </c>
      <c r="AR9" s="2204">
        <f t="shared" si="33"/>
        <v>2</v>
      </c>
      <c r="AS9" s="1761">
        <v>2</v>
      </c>
      <c r="AT9" s="1761">
        <v>2</v>
      </c>
      <c r="AU9" s="1762">
        <v>2</v>
      </c>
      <c r="AV9" s="2203">
        <f t="shared" ref="AV9" si="60">AU9</f>
        <v>2</v>
      </c>
      <c r="AW9" s="1761">
        <f t="shared" ref="AW9" si="61">AV9</f>
        <v>2</v>
      </c>
      <c r="AX9" s="1762">
        <f t="shared" ref="AX9" si="62">AW9</f>
        <v>2</v>
      </c>
      <c r="AY9" s="2203">
        <f t="shared" ref="AY9" si="63">AX9</f>
        <v>2</v>
      </c>
      <c r="AZ9" s="1761">
        <f t="shared" ref="AZ9" si="64">AY9</f>
        <v>2</v>
      </c>
      <c r="BA9" s="1762">
        <f t="shared" ref="BA9" si="65">AZ9</f>
        <v>2</v>
      </c>
      <c r="BB9" s="2203">
        <f t="shared" ref="BB9" si="66">BA9</f>
        <v>2</v>
      </c>
      <c r="BC9" s="1761">
        <f t="shared" ref="BC9" si="67">BB9</f>
        <v>2</v>
      </c>
      <c r="BD9" s="1762">
        <f t="shared" ref="BD9" si="68">BC9</f>
        <v>2</v>
      </c>
      <c r="BE9" s="1598">
        <f t="shared" si="35"/>
        <v>2</v>
      </c>
    </row>
    <row r="10" spans="1:57" ht="18" customHeight="1">
      <c r="A10" s="5376"/>
      <c r="B10" s="2114" t="str">
        <f>B6</f>
        <v>G,S Manager</v>
      </c>
      <c r="C10" s="2272"/>
      <c r="D10" s="2273"/>
      <c r="E10" s="1662">
        <v>3</v>
      </c>
      <c r="F10" s="1781">
        <v>3</v>
      </c>
      <c r="G10" s="1657">
        <v>3</v>
      </c>
      <c r="H10" s="1658">
        <v>3</v>
      </c>
      <c r="I10" s="1781">
        <v>3</v>
      </c>
      <c r="J10" s="1657">
        <v>3</v>
      </c>
      <c r="K10" s="1658">
        <v>3</v>
      </c>
      <c r="L10" s="1781">
        <v>3</v>
      </c>
      <c r="M10" s="1657">
        <v>3</v>
      </c>
      <c r="N10" s="1658">
        <v>3</v>
      </c>
      <c r="O10" s="1781">
        <v>3</v>
      </c>
      <c r="P10" s="1657">
        <v>3</v>
      </c>
      <c r="Q10" s="1658">
        <v>3</v>
      </c>
      <c r="R10" s="2200">
        <f t="shared" si="29"/>
        <v>3</v>
      </c>
      <c r="S10" s="1781">
        <v>1</v>
      </c>
      <c r="T10" s="1657">
        <v>2</v>
      </c>
      <c r="U10" s="1658">
        <v>2</v>
      </c>
      <c r="V10" s="1781">
        <f>+U10</f>
        <v>2</v>
      </c>
      <c r="W10" s="1657">
        <f>+V10</f>
        <v>2</v>
      </c>
      <c r="X10" s="1658">
        <f t="shared" ref="X10" si="69">+W10</f>
        <v>2</v>
      </c>
      <c r="Y10" s="1781">
        <f t="shared" ref="Y10" si="70">+X10</f>
        <v>2</v>
      </c>
      <c r="Z10" s="1657">
        <f t="shared" ref="Z10" si="71">+Y10</f>
        <v>2</v>
      </c>
      <c r="AA10" s="1658">
        <f t="shared" ref="AA10" si="72">+Z10</f>
        <v>2</v>
      </c>
      <c r="AB10" s="1781">
        <f t="shared" ref="AB10" si="73">+AA10</f>
        <v>2</v>
      </c>
      <c r="AC10" s="1657">
        <f t="shared" ref="AC10" si="74">+AB10</f>
        <v>2</v>
      </c>
      <c r="AD10" s="1658">
        <f t="shared" ref="AD10" si="75">+AC10</f>
        <v>2</v>
      </c>
      <c r="AE10" s="2200">
        <f t="shared" si="31"/>
        <v>1.9166666666666667</v>
      </c>
      <c r="AF10" s="1781">
        <v>1</v>
      </c>
      <c r="AG10" s="1657">
        <v>2</v>
      </c>
      <c r="AH10" s="1658">
        <v>2</v>
      </c>
      <c r="AI10" s="1781">
        <f>+AH10</f>
        <v>2</v>
      </c>
      <c r="AJ10" s="1657">
        <f>+AI10</f>
        <v>2</v>
      </c>
      <c r="AK10" s="1658">
        <f t="shared" ref="AK10" si="76">+AJ10</f>
        <v>2</v>
      </c>
      <c r="AL10" s="1781">
        <f t="shared" ref="AL10" si="77">+AK10</f>
        <v>2</v>
      </c>
      <c r="AM10" s="1657">
        <f t="shared" ref="AM10" si="78">+AL10</f>
        <v>2</v>
      </c>
      <c r="AN10" s="1658">
        <f t="shared" ref="AN10" si="79">+AM10</f>
        <v>2</v>
      </c>
      <c r="AO10" s="1781">
        <f t="shared" ref="AO10" si="80">+AN10</f>
        <v>2</v>
      </c>
      <c r="AP10" s="1657">
        <f t="shared" ref="AP10" si="81">+AO10</f>
        <v>2</v>
      </c>
      <c r="AQ10" s="1658">
        <f t="shared" ref="AQ10" si="82">+AP10</f>
        <v>2</v>
      </c>
      <c r="AR10" s="2200">
        <f t="shared" si="33"/>
        <v>1.9166666666666667</v>
      </c>
      <c r="AS10" s="1781">
        <v>1</v>
      </c>
      <c r="AT10" s="1657">
        <v>2</v>
      </c>
      <c r="AU10" s="1658">
        <v>2</v>
      </c>
      <c r="AV10" s="1781">
        <f>+AU10</f>
        <v>2</v>
      </c>
      <c r="AW10" s="1657">
        <f>+AV10</f>
        <v>2</v>
      </c>
      <c r="AX10" s="1658">
        <f t="shared" ref="AX10" si="83">+AW10</f>
        <v>2</v>
      </c>
      <c r="AY10" s="1781">
        <f t="shared" ref="AY10" si="84">+AX10</f>
        <v>2</v>
      </c>
      <c r="AZ10" s="1657">
        <f t="shared" ref="AZ10" si="85">+AY10</f>
        <v>2</v>
      </c>
      <c r="BA10" s="1658">
        <f t="shared" ref="BA10" si="86">+AZ10</f>
        <v>2</v>
      </c>
      <c r="BB10" s="1781">
        <f t="shared" ref="BB10" si="87">+BA10</f>
        <v>2</v>
      </c>
      <c r="BC10" s="1657">
        <f t="shared" ref="BC10" si="88">+BB10</f>
        <v>2</v>
      </c>
      <c r="BD10" s="1658">
        <f t="shared" ref="BD10" si="89">+BC10</f>
        <v>2</v>
      </c>
      <c r="BE10" s="1566">
        <f t="shared" si="35"/>
        <v>1.9166666666666667</v>
      </c>
    </row>
    <row r="11" spans="1:57" ht="18" customHeight="1">
      <c r="A11" s="5376"/>
      <c r="B11" s="2114" t="str">
        <f>B7</f>
        <v>Manager</v>
      </c>
      <c r="C11" s="2273"/>
      <c r="D11" s="2273"/>
      <c r="E11" s="1662">
        <v>2</v>
      </c>
      <c r="F11" s="1781">
        <v>2</v>
      </c>
      <c r="G11" s="1657">
        <f>F11</f>
        <v>2</v>
      </c>
      <c r="H11" s="1658">
        <f t="shared" ref="H11:Q11" si="90">G11</f>
        <v>2</v>
      </c>
      <c r="I11" s="1781">
        <f t="shared" si="90"/>
        <v>2</v>
      </c>
      <c r="J11" s="1657">
        <f t="shared" si="90"/>
        <v>2</v>
      </c>
      <c r="K11" s="1658">
        <f t="shared" si="90"/>
        <v>2</v>
      </c>
      <c r="L11" s="1781">
        <f t="shared" si="90"/>
        <v>2</v>
      </c>
      <c r="M11" s="1657">
        <f t="shared" si="90"/>
        <v>2</v>
      </c>
      <c r="N11" s="1658">
        <f t="shared" si="90"/>
        <v>2</v>
      </c>
      <c r="O11" s="1781">
        <f t="shared" si="90"/>
        <v>2</v>
      </c>
      <c r="P11" s="1657">
        <f t="shared" si="90"/>
        <v>2</v>
      </c>
      <c r="Q11" s="1658">
        <f t="shared" si="90"/>
        <v>2</v>
      </c>
      <c r="R11" s="2200">
        <f t="shared" ref="R11:AD11" si="91">Q11</f>
        <v>2</v>
      </c>
      <c r="S11" s="1781">
        <f t="shared" si="91"/>
        <v>2</v>
      </c>
      <c r="T11" s="1657">
        <f t="shared" si="91"/>
        <v>2</v>
      </c>
      <c r="U11" s="1658">
        <f t="shared" si="91"/>
        <v>2</v>
      </c>
      <c r="V11" s="1781">
        <f t="shared" si="91"/>
        <v>2</v>
      </c>
      <c r="W11" s="1657">
        <f t="shared" si="91"/>
        <v>2</v>
      </c>
      <c r="X11" s="1658">
        <f t="shared" si="91"/>
        <v>2</v>
      </c>
      <c r="Y11" s="1781">
        <f t="shared" si="91"/>
        <v>2</v>
      </c>
      <c r="Z11" s="1657">
        <f t="shared" si="91"/>
        <v>2</v>
      </c>
      <c r="AA11" s="1658">
        <f t="shared" si="91"/>
        <v>2</v>
      </c>
      <c r="AB11" s="1781">
        <f t="shared" si="91"/>
        <v>2</v>
      </c>
      <c r="AC11" s="1657">
        <f t="shared" si="91"/>
        <v>2</v>
      </c>
      <c r="AD11" s="1658">
        <f t="shared" si="91"/>
        <v>2</v>
      </c>
      <c r="AE11" s="2200">
        <f t="shared" si="31"/>
        <v>2</v>
      </c>
      <c r="AF11" s="1781">
        <f>AD11</f>
        <v>2</v>
      </c>
      <c r="AG11" s="1657">
        <f>AF11</f>
        <v>2</v>
      </c>
      <c r="AH11" s="1658">
        <f t="shared" ref="AH11:AQ11" si="92">AG11</f>
        <v>2</v>
      </c>
      <c r="AI11" s="1781">
        <f t="shared" si="92"/>
        <v>2</v>
      </c>
      <c r="AJ11" s="1657">
        <f t="shared" si="92"/>
        <v>2</v>
      </c>
      <c r="AK11" s="1658">
        <f t="shared" si="92"/>
        <v>2</v>
      </c>
      <c r="AL11" s="1781">
        <f t="shared" si="92"/>
        <v>2</v>
      </c>
      <c r="AM11" s="1657">
        <f t="shared" si="92"/>
        <v>2</v>
      </c>
      <c r="AN11" s="1658">
        <f t="shared" si="92"/>
        <v>2</v>
      </c>
      <c r="AO11" s="1781">
        <f t="shared" si="92"/>
        <v>2</v>
      </c>
      <c r="AP11" s="1657">
        <f t="shared" si="92"/>
        <v>2</v>
      </c>
      <c r="AQ11" s="1658">
        <f t="shared" si="92"/>
        <v>2</v>
      </c>
      <c r="AR11" s="2200">
        <f t="shared" si="33"/>
        <v>2</v>
      </c>
      <c r="AS11" s="1781">
        <f>AQ11</f>
        <v>2</v>
      </c>
      <c r="AT11" s="1657">
        <f>AS11</f>
        <v>2</v>
      </c>
      <c r="AU11" s="1658">
        <f t="shared" ref="AU11:BD11" si="93">AT11</f>
        <v>2</v>
      </c>
      <c r="AV11" s="1781">
        <f t="shared" si="93"/>
        <v>2</v>
      </c>
      <c r="AW11" s="1657">
        <f t="shared" si="93"/>
        <v>2</v>
      </c>
      <c r="AX11" s="1658">
        <f t="shared" si="93"/>
        <v>2</v>
      </c>
      <c r="AY11" s="1781">
        <f t="shared" si="93"/>
        <v>2</v>
      </c>
      <c r="AZ11" s="1657">
        <f t="shared" si="93"/>
        <v>2</v>
      </c>
      <c r="BA11" s="1658">
        <f t="shared" si="93"/>
        <v>2</v>
      </c>
      <c r="BB11" s="1781">
        <f t="shared" si="93"/>
        <v>2</v>
      </c>
      <c r="BC11" s="1657">
        <f t="shared" si="93"/>
        <v>2</v>
      </c>
      <c r="BD11" s="1658">
        <f t="shared" si="93"/>
        <v>2</v>
      </c>
      <c r="BE11" s="1566">
        <f t="shared" si="35"/>
        <v>2</v>
      </c>
    </row>
    <row r="12" spans="1:57" ht="18" customHeight="1" thickBot="1">
      <c r="A12" s="2274"/>
      <c r="B12" s="2275" t="s">
        <v>357</v>
      </c>
      <c r="C12" s="2276"/>
      <c r="D12" s="2277"/>
      <c r="E12" s="1644">
        <f>E11+E9+E10</f>
        <v>6</v>
      </c>
      <c r="F12" s="2280">
        <f>SUM(F9:F11)</f>
        <v>6</v>
      </c>
      <c r="G12" s="2281">
        <f>SUM(G9:G11)</f>
        <v>6</v>
      </c>
      <c r="H12" s="2282">
        <f>SUM(H9:H11)</f>
        <v>6</v>
      </c>
      <c r="I12" s="2280">
        <f t="shared" ref="I12:Q12" si="94">SUM(I9:I11)</f>
        <v>6</v>
      </c>
      <c r="J12" s="2281">
        <f t="shared" si="94"/>
        <v>6</v>
      </c>
      <c r="K12" s="2282">
        <f t="shared" si="94"/>
        <v>6</v>
      </c>
      <c r="L12" s="2280">
        <f t="shared" si="94"/>
        <v>6</v>
      </c>
      <c r="M12" s="2281">
        <f t="shared" si="94"/>
        <v>6</v>
      </c>
      <c r="N12" s="2282">
        <f t="shared" si="94"/>
        <v>6</v>
      </c>
      <c r="O12" s="2280">
        <f t="shared" si="94"/>
        <v>6</v>
      </c>
      <c r="P12" s="2281">
        <f t="shared" si="94"/>
        <v>6</v>
      </c>
      <c r="Q12" s="2282">
        <f t="shared" si="94"/>
        <v>6</v>
      </c>
      <c r="R12" s="2254">
        <f t="shared" si="29"/>
        <v>6</v>
      </c>
      <c r="S12" s="2280">
        <f>SUM(S9:S11)</f>
        <v>5</v>
      </c>
      <c r="T12" s="2281">
        <f>SUM(T9:T11)</f>
        <v>6</v>
      </c>
      <c r="U12" s="2282">
        <f>SUM(U9:U11)</f>
        <v>6</v>
      </c>
      <c r="V12" s="2280">
        <f t="shared" ref="V12:AD12" si="95">SUM(V9:V11)</f>
        <v>6</v>
      </c>
      <c r="W12" s="2281">
        <f t="shared" si="95"/>
        <v>6</v>
      </c>
      <c r="X12" s="2282">
        <f t="shared" si="95"/>
        <v>6</v>
      </c>
      <c r="Y12" s="2280">
        <f t="shared" si="95"/>
        <v>6</v>
      </c>
      <c r="Z12" s="2281">
        <f t="shared" si="95"/>
        <v>6</v>
      </c>
      <c r="AA12" s="2282">
        <f t="shared" si="95"/>
        <v>6</v>
      </c>
      <c r="AB12" s="2280">
        <f t="shared" si="95"/>
        <v>6</v>
      </c>
      <c r="AC12" s="2281">
        <f t="shared" si="95"/>
        <v>6</v>
      </c>
      <c r="AD12" s="2282">
        <f t="shared" si="95"/>
        <v>6</v>
      </c>
      <c r="AE12" s="2254">
        <f t="shared" si="31"/>
        <v>5.916666666666667</v>
      </c>
      <c r="AF12" s="2280">
        <f>SUM(AF9:AF11)</f>
        <v>5</v>
      </c>
      <c r="AG12" s="2281">
        <f>SUM(AG9:AG11)</f>
        <v>6</v>
      </c>
      <c r="AH12" s="2282">
        <f>SUM(AH9:AH11)</f>
        <v>6</v>
      </c>
      <c r="AI12" s="2280">
        <f t="shared" ref="AI12:AQ12" si="96">SUM(AI9:AI11)</f>
        <v>6</v>
      </c>
      <c r="AJ12" s="2281">
        <f t="shared" si="96"/>
        <v>6</v>
      </c>
      <c r="AK12" s="2282">
        <f t="shared" si="96"/>
        <v>6</v>
      </c>
      <c r="AL12" s="2280">
        <f t="shared" si="96"/>
        <v>6</v>
      </c>
      <c r="AM12" s="2281">
        <f t="shared" si="96"/>
        <v>6</v>
      </c>
      <c r="AN12" s="2282">
        <f t="shared" si="96"/>
        <v>6</v>
      </c>
      <c r="AO12" s="2280">
        <f t="shared" si="96"/>
        <v>6</v>
      </c>
      <c r="AP12" s="2281">
        <f t="shared" si="96"/>
        <v>6</v>
      </c>
      <c r="AQ12" s="2282">
        <f t="shared" si="96"/>
        <v>6</v>
      </c>
      <c r="AR12" s="2254">
        <f t="shared" si="33"/>
        <v>5.916666666666667</v>
      </c>
      <c r="AS12" s="2280">
        <f>SUM(AS9:AS11)</f>
        <v>5</v>
      </c>
      <c r="AT12" s="2281">
        <f>SUM(AT9:AT11)</f>
        <v>6</v>
      </c>
      <c r="AU12" s="2282">
        <f>SUM(AU9:AU11)</f>
        <v>6</v>
      </c>
      <c r="AV12" s="2280">
        <f t="shared" ref="AV12:BD12" si="97">SUM(AV9:AV11)</f>
        <v>6</v>
      </c>
      <c r="AW12" s="2281">
        <f t="shared" si="97"/>
        <v>6</v>
      </c>
      <c r="AX12" s="2282">
        <f t="shared" si="97"/>
        <v>6</v>
      </c>
      <c r="AY12" s="2280">
        <f t="shared" si="97"/>
        <v>6</v>
      </c>
      <c r="AZ12" s="2281">
        <f t="shared" si="97"/>
        <v>6</v>
      </c>
      <c r="BA12" s="2282">
        <f t="shared" si="97"/>
        <v>6</v>
      </c>
      <c r="BB12" s="2280">
        <f t="shared" si="97"/>
        <v>6</v>
      </c>
      <c r="BC12" s="2281">
        <f t="shared" si="97"/>
        <v>6</v>
      </c>
      <c r="BD12" s="2282">
        <f t="shared" si="97"/>
        <v>6</v>
      </c>
      <c r="BE12" s="1797">
        <f t="shared" si="35"/>
        <v>5.916666666666667</v>
      </c>
    </row>
    <row r="13" spans="1:57" ht="18" customHeight="1" thickBot="1">
      <c r="A13" s="5151" t="s">
        <v>358</v>
      </c>
      <c r="B13" s="5143"/>
      <c r="C13" s="81"/>
      <c r="D13" s="72"/>
      <c r="E13" s="2283">
        <f>E12+E8</f>
        <v>15</v>
      </c>
      <c r="F13" s="1850">
        <f>F8+F12</f>
        <v>16</v>
      </c>
      <c r="G13" s="1799">
        <f>G8+G12</f>
        <v>16</v>
      </c>
      <c r="H13" s="1800">
        <f>H8+H12</f>
        <v>16</v>
      </c>
      <c r="I13" s="1850">
        <f t="shared" ref="I13:Q13" si="98">I8+I12</f>
        <v>16</v>
      </c>
      <c r="J13" s="1799">
        <f t="shared" si="98"/>
        <v>16</v>
      </c>
      <c r="K13" s="1800">
        <f t="shared" si="98"/>
        <v>16</v>
      </c>
      <c r="L13" s="1850">
        <f t="shared" si="98"/>
        <v>16</v>
      </c>
      <c r="M13" s="1799">
        <f t="shared" si="98"/>
        <v>16</v>
      </c>
      <c r="N13" s="1800">
        <f t="shared" si="98"/>
        <v>16</v>
      </c>
      <c r="O13" s="1850">
        <f t="shared" si="98"/>
        <v>16</v>
      </c>
      <c r="P13" s="1799">
        <f t="shared" si="98"/>
        <v>16</v>
      </c>
      <c r="Q13" s="1800">
        <f t="shared" si="98"/>
        <v>16</v>
      </c>
      <c r="R13" s="2259">
        <f t="shared" si="29"/>
        <v>16</v>
      </c>
      <c r="S13" s="1850">
        <f>S8+S12</f>
        <v>15</v>
      </c>
      <c r="T13" s="1799">
        <f>T8+T12</f>
        <v>16</v>
      </c>
      <c r="U13" s="1800">
        <f>U8+U12</f>
        <v>15</v>
      </c>
      <c r="V13" s="1850">
        <f t="shared" ref="V13:AD13" si="99">V8+V12</f>
        <v>15</v>
      </c>
      <c r="W13" s="1799">
        <f t="shared" si="99"/>
        <v>15</v>
      </c>
      <c r="X13" s="1800">
        <f t="shared" si="99"/>
        <v>15</v>
      </c>
      <c r="Y13" s="1850">
        <f t="shared" si="99"/>
        <v>15</v>
      </c>
      <c r="Z13" s="1799">
        <f t="shared" si="99"/>
        <v>15</v>
      </c>
      <c r="AA13" s="1800">
        <f t="shared" si="99"/>
        <v>15</v>
      </c>
      <c r="AB13" s="1850">
        <f t="shared" si="99"/>
        <v>15</v>
      </c>
      <c r="AC13" s="1799">
        <f t="shared" si="99"/>
        <v>15</v>
      </c>
      <c r="AD13" s="1800">
        <f t="shared" si="99"/>
        <v>15</v>
      </c>
      <c r="AE13" s="2259">
        <f t="shared" si="31"/>
        <v>15.083333333333334</v>
      </c>
      <c r="AF13" s="1850">
        <f>AF8+AF12</f>
        <v>15</v>
      </c>
      <c r="AG13" s="1799">
        <f>AG8+AG12</f>
        <v>16</v>
      </c>
      <c r="AH13" s="1800">
        <f>AH8+AH12</f>
        <v>15</v>
      </c>
      <c r="AI13" s="1850">
        <f t="shared" ref="AI13:AQ13" si="100">AI8+AI12</f>
        <v>15</v>
      </c>
      <c r="AJ13" s="1799">
        <f t="shared" si="100"/>
        <v>15</v>
      </c>
      <c r="AK13" s="1800">
        <f t="shared" si="100"/>
        <v>15</v>
      </c>
      <c r="AL13" s="1850">
        <f t="shared" si="100"/>
        <v>15</v>
      </c>
      <c r="AM13" s="1799">
        <f t="shared" si="100"/>
        <v>15</v>
      </c>
      <c r="AN13" s="1800">
        <f t="shared" si="100"/>
        <v>15</v>
      </c>
      <c r="AO13" s="1850">
        <f t="shared" si="100"/>
        <v>15</v>
      </c>
      <c r="AP13" s="1799">
        <f t="shared" si="100"/>
        <v>15</v>
      </c>
      <c r="AQ13" s="1800">
        <f t="shared" si="100"/>
        <v>15</v>
      </c>
      <c r="AR13" s="2259">
        <f t="shared" si="33"/>
        <v>15.083333333333334</v>
      </c>
      <c r="AS13" s="1850">
        <f>AS8+AS12</f>
        <v>15</v>
      </c>
      <c r="AT13" s="1799">
        <f>AT8+AT12</f>
        <v>16</v>
      </c>
      <c r="AU13" s="1800">
        <f>AU8+AU12</f>
        <v>15</v>
      </c>
      <c r="AV13" s="1850">
        <f t="shared" ref="AV13:BD13" si="101">AV8+AV12</f>
        <v>15</v>
      </c>
      <c r="AW13" s="1799">
        <f t="shared" si="101"/>
        <v>15</v>
      </c>
      <c r="AX13" s="1800">
        <f t="shared" si="101"/>
        <v>15</v>
      </c>
      <c r="AY13" s="1850">
        <f t="shared" si="101"/>
        <v>15</v>
      </c>
      <c r="AZ13" s="1799">
        <f t="shared" si="101"/>
        <v>15</v>
      </c>
      <c r="BA13" s="1800">
        <f t="shared" si="101"/>
        <v>15</v>
      </c>
      <c r="BB13" s="1850">
        <f t="shared" si="101"/>
        <v>15</v>
      </c>
      <c r="BC13" s="1799">
        <f t="shared" si="101"/>
        <v>15</v>
      </c>
      <c r="BD13" s="1800">
        <f t="shared" si="101"/>
        <v>15</v>
      </c>
      <c r="BE13" s="1692">
        <f t="shared" si="35"/>
        <v>15.083333333333334</v>
      </c>
    </row>
    <row r="14" spans="1:57" ht="18" customHeight="1">
      <c r="A14" s="2284"/>
      <c r="B14" s="2285"/>
      <c r="C14" s="2284"/>
      <c r="D14" s="2284"/>
      <c r="E14" s="2286"/>
      <c r="G14" s="2287"/>
      <c r="H14" s="2287"/>
      <c r="I14" s="2287"/>
      <c r="J14" s="2287"/>
      <c r="K14" s="2287"/>
      <c r="L14" s="2287"/>
      <c r="M14" s="2287"/>
      <c r="N14" s="2287"/>
      <c r="O14" s="2287"/>
      <c r="P14" s="2287"/>
      <c r="Q14" s="2287"/>
      <c r="R14" s="2287"/>
      <c r="S14" s="2287"/>
      <c r="T14" s="2287"/>
      <c r="U14" s="2287"/>
      <c r="V14" s="2287"/>
      <c r="W14" s="2287"/>
      <c r="X14" s="2287"/>
      <c r="Y14" s="2287"/>
      <c r="Z14" s="2287"/>
      <c r="AA14" s="2287"/>
      <c r="AB14" s="2287"/>
      <c r="AC14" s="2287"/>
      <c r="AD14" s="2287"/>
      <c r="AE14" s="2287"/>
      <c r="AF14" s="2287"/>
      <c r="AG14" s="2287"/>
      <c r="AH14" s="2287"/>
      <c r="AI14" s="2287"/>
      <c r="AJ14" s="2287"/>
      <c r="AK14" s="2287"/>
      <c r="AL14" s="2287"/>
      <c r="AM14" s="2287"/>
      <c r="AN14" s="2287"/>
      <c r="AO14" s="2287"/>
      <c r="AP14" s="2287"/>
      <c r="AQ14" s="2287"/>
      <c r="AR14" s="2287"/>
      <c r="AS14" s="2287"/>
      <c r="AT14" s="2287"/>
      <c r="AU14" s="2287"/>
      <c r="AV14" s="2287"/>
      <c r="AW14" s="2287"/>
      <c r="AX14" s="2287"/>
      <c r="AY14" s="2287"/>
      <c r="AZ14" s="2287"/>
      <c r="BA14" s="2287"/>
      <c r="BB14" s="2287"/>
      <c r="BC14" s="2287"/>
      <c r="BD14" s="2287"/>
      <c r="BE14" s="2288"/>
    </row>
    <row r="15" spans="1:57" ht="18" customHeight="1" thickBot="1">
      <c r="A15" s="1547" t="s">
        <v>372</v>
      </c>
      <c r="B15" s="1520"/>
      <c r="C15" s="3495"/>
      <c r="D15" s="2262">
        <v>1.05</v>
      </c>
      <c r="E15" s="3261"/>
      <c r="N15" s="1544" t="s">
        <v>1089</v>
      </c>
      <c r="R15" s="1808" t="s">
        <v>351</v>
      </c>
      <c r="AA15" s="1544" t="s">
        <v>1089</v>
      </c>
      <c r="AE15" s="1808" t="s">
        <v>351</v>
      </c>
      <c r="AN15" s="1544" t="s">
        <v>1089</v>
      </c>
      <c r="AR15" s="1808" t="s">
        <v>351</v>
      </c>
      <c r="BA15" s="9" t="s">
        <v>1089</v>
      </c>
      <c r="BE15" s="1546" t="s">
        <v>351</v>
      </c>
    </row>
    <row r="16" spans="1:57" ht="18" customHeight="1" thickBot="1">
      <c r="A16" s="89" t="s">
        <v>112</v>
      </c>
      <c r="B16" s="72" t="s">
        <v>124</v>
      </c>
      <c r="C16" s="81"/>
      <c r="D16" s="81"/>
      <c r="E16" s="1699" t="s">
        <v>352</v>
      </c>
      <c r="F16" s="1876" t="str">
        <f>F4</f>
        <v>Jan.26</v>
      </c>
      <c r="G16" s="1877" t="str">
        <f t="shared" ref="G16:Q16" si="102">G4</f>
        <v>Feb.26</v>
      </c>
      <c r="H16" s="1878" t="str">
        <f t="shared" si="102"/>
        <v>Mar.26</v>
      </c>
      <c r="I16" s="1876" t="str">
        <f t="shared" si="102"/>
        <v>Apr.26</v>
      </c>
      <c r="J16" s="1877" t="str">
        <f t="shared" si="102"/>
        <v>May.26</v>
      </c>
      <c r="K16" s="1878" t="str">
        <f t="shared" si="102"/>
        <v>Jun.26</v>
      </c>
      <c r="L16" s="1876" t="str">
        <f t="shared" si="102"/>
        <v>Jul.26</v>
      </c>
      <c r="M16" s="1877" t="str">
        <f t="shared" si="102"/>
        <v>Aug.26</v>
      </c>
      <c r="N16" s="1878" t="str">
        <f t="shared" si="102"/>
        <v>Sep.26</v>
      </c>
      <c r="O16" s="1876" t="str">
        <f t="shared" si="102"/>
        <v>Oct.26</v>
      </c>
      <c r="P16" s="1877" t="str">
        <f t="shared" si="102"/>
        <v>Nov.26</v>
      </c>
      <c r="Q16" s="1878" t="str">
        <f t="shared" si="102"/>
        <v>Dec.26</v>
      </c>
      <c r="R16" s="2598" t="s">
        <v>433</v>
      </c>
      <c r="S16" s="1876" t="s">
        <v>430</v>
      </c>
      <c r="T16" s="1877" t="s">
        <v>557</v>
      </c>
      <c r="U16" s="1878" t="s">
        <v>558</v>
      </c>
      <c r="V16" s="1876" t="s">
        <v>431</v>
      </c>
      <c r="W16" s="1877" t="s">
        <v>559</v>
      </c>
      <c r="X16" s="1878" t="s">
        <v>560</v>
      </c>
      <c r="Y16" s="1876" t="s">
        <v>561</v>
      </c>
      <c r="Z16" s="1877" t="s">
        <v>562</v>
      </c>
      <c r="AA16" s="1878" t="s">
        <v>563</v>
      </c>
      <c r="AB16" s="1876" t="s">
        <v>564</v>
      </c>
      <c r="AC16" s="1877" t="s">
        <v>565</v>
      </c>
      <c r="AD16" s="1878" t="s">
        <v>566</v>
      </c>
      <c r="AE16" s="2598" t="s">
        <v>433</v>
      </c>
      <c r="AF16" s="1876" t="s">
        <v>430</v>
      </c>
      <c r="AG16" s="1877" t="s">
        <v>557</v>
      </c>
      <c r="AH16" s="1878" t="s">
        <v>558</v>
      </c>
      <c r="AI16" s="1876" t="s">
        <v>431</v>
      </c>
      <c r="AJ16" s="1877" t="s">
        <v>559</v>
      </c>
      <c r="AK16" s="1878" t="s">
        <v>560</v>
      </c>
      <c r="AL16" s="1876" t="s">
        <v>561</v>
      </c>
      <c r="AM16" s="1877" t="s">
        <v>562</v>
      </c>
      <c r="AN16" s="1878" t="s">
        <v>563</v>
      </c>
      <c r="AO16" s="1876" t="s">
        <v>564</v>
      </c>
      <c r="AP16" s="1877" t="s">
        <v>565</v>
      </c>
      <c r="AQ16" s="1878" t="s">
        <v>566</v>
      </c>
      <c r="AR16" s="2598" t="s">
        <v>433</v>
      </c>
      <c r="AS16" s="1876" t="s">
        <v>430</v>
      </c>
      <c r="AT16" s="1877" t="s">
        <v>557</v>
      </c>
      <c r="AU16" s="1878" t="s">
        <v>558</v>
      </c>
      <c r="AV16" s="1876" t="s">
        <v>431</v>
      </c>
      <c r="AW16" s="1877" t="s">
        <v>559</v>
      </c>
      <c r="AX16" s="1878" t="s">
        <v>560</v>
      </c>
      <c r="AY16" s="1876" t="s">
        <v>561</v>
      </c>
      <c r="AZ16" s="1877" t="s">
        <v>562</v>
      </c>
      <c r="BA16" s="1549" t="s">
        <v>563</v>
      </c>
      <c r="BB16" s="1548" t="s">
        <v>564</v>
      </c>
      <c r="BC16" s="81" t="s">
        <v>565</v>
      </c>
      <c r="BD16" s="1549" t="s">
        <v>566</v>
      </c>
      <c r="BE16" s="1550" t="s">
        <v>433</v>
      </c>
    </row>
    <row r="17" spans="1:57" ht="18" customHeight="1">
      <c r="A17" s="41" t="s">
        <v>359</v>
      </c>
      <c r="B17" s="2289" t="s">
        <v>400</v>
      </c>
      <c r="C17" s="2272"/>
      <c r="D17" s="1816"/>
      <c r="E17" s="1656">
        <v>5</v>
      </c>
      <c r="F17" s="2263">
        <v>5</v>
      </c>
      <c r="G17" s="1726">
        <f>F17</f>
        <v>5</v>
      </c>
      <c r="H17" s="1658">
        <f t="shared" ref="H17:P18" si="103">G17</f>
        <v>5</v>
      </c>
      <c r="I17" s="1818">
        <f t="shared" si="103"/>
        <v>5</v>
      </c>
      <c r="J17" s="1726">
        <f t="shared" si="103"/>
        <v>5</v>
      </c>
      <c r="K17" s="1658">
        <f t="shared" si="103"/>
        <v>5</v>
      </c>
      <c r="L17" s="1818">
        <f t="shared" si="103"/>
        <v>5</v>
      </c>
      <c r="M17" s="1726">
        <f t="shared" si="103"/>
        <v>5</v>
      </c>
      <c r="N17" s="1658">
        <f t="shared" si="103"/>
        <v>5</v>
      </c>
      <c r="O17" s="1818">
        <f t="shared" si="103"/>
        <v>5</v>
      </c>
      <c r="P17" s="1726">
        <f t="shared" si="103"/>
        <v>5</v>
      </c>
      <c r="Q17" s="1726">
        <f>P17</f>
        <v>5</v>
      </c>
      <c r="R17" s="2606">
        <f>AVERAGE(F17:Q17)</f>
        <v>5</v>
      </c>
      <c r="S17" s="2263">
        <v>6</v>
      </c>
      <c r="T17" s="1726">
        <f>S17</f>
        <v>6</v>
      </c>
      <c r="U17" s="1727">
        <f>T17</f>
        <v>6</v>
      </c>
      <c r="V17" s="2263">
        <f t="shared" ref="V17:V18" si="104">U17</f>
        <v>6</v>
      </c>
      <c r="W17" s="1726">
        <f t="shared" ref="W17:W19" si="105">V17</f>
        <v>6</v>
      </c>
      <c r="X17" s="1727">
        <f t="shared" ref="X17:X19" si="106">W17</f>
        <v>6</v>
      </c>
      <c r="Y17" s="2263">
        <f t="shared" ref="Y17:Y19" si="107">X17</f>
        <v>6</v>
      </c>
      <c r="Z17" s="1726">
        <f t="shared" ref="Z17:Z19" si="108">Y17</f>
        <v>6</v>
      </c>
      <c r="AA17" s="1727">
        <f t="shared" ref="AA17:AA19" si="109">Z17</f>
        <v>6</v>
      </c>
      <c r="AB17" s="2263">
        <f t="shared" ref="AB17:AB19" si="110">AA17</f>
        <v>6</v>
      </c>
      <c r="AC17" s="1726">
        <f t="shared" ref="AC17:AC19" si="111">AB17</f>
        <v>6</v>
      </c>
      <c r="AD17" s="1727">
        <f t="shared" ref="AD17:AD19" si="112">AC17</f>
        <v>6</v>
      </c>
      <c r="AE17" s="2606">
        <f>AVERAGE(S17:AD17)</f>
        <v>6</v>
      </c>
      <c r="AF17" s="2263">
        <v>6</v>
      </c>
      <c r="AG17" s="1726">
        <f>AF17</f>
        <v>6</v>
      </c>
      <c r="AH17" s="1727">
        <f>AG17</f>
        <v>6</v>
      </c>
      <c r="AI17" s="2263">
        <f t="shared" ref="AI17:AI18" si="113">AH17</f>
        <v>6</v>
      </c>
      <c r="AJ17" s="1726">
        <f t="shared" ref="AJ17:AJ19" si="114">AI17</f>
        <v>6</v>
      </c>
      <c r="AK17" s="1727">
        <f t="shared" ref="AK17:AK19" si="115">AJ17</f>
        <v>6</v>
      </c>
      <c r="AL17" s="2263">
        <f t="shared" ref="AL17:AL19" si="116">AK17</f>
        <v>6</v>
      </c>
      <c r="AM17" s="1726">
        <f t="shared" ref="AM17:AM19" si="117">AL17</f>
        <v>6</v>
      </c>
      <c r="AN17" s="1727">
        <f t="shared" ref="AN17:AN19" si="118">AM17</f>
        <v>6</v>
      </c>
      <c r="AO17" s="2263">
        <f t="shared" ref="AO17:AO19" si="119">AN17</f>
        <v>6</v>
      </c>
      <c r="AP17" s="1726">
        <f t="shared" ref="AP17:AP19" si="120">AO17</f>
        <v>6</v>
      </c>
      <c r="AQ17" s="1727">
        <f t="shared" ref="AQ17:AQ19" si="121">AP17</f>
        <v>6</v>
      </c>
      <c r="AR17" s="2606">
        <f>AVERAGE(AF17:AQ17)</f>
        <v>6</v>
      </c>
      <c r="AS17" s="2263">
        <v>6</v>
      </c>
      <c r="AT17" s="1726">
        <f>AS17</f>
        <v>6</v>
      </c>
      <c r="AU17" s="1727">
        <f>AT17</f>
        <v>6</v>
      </c>
      <c r="AV17" s="2263">
        <f t="shared" ref="AV17:AV18" si="122">AU17</f>
        <v>6</v>
      </c>
      <c r="AW17" s="1726">
        <f t="shared" ref="AW17:AW19" si="123">AV17</f>
        <v>6</v>
      </c>
      <c r="AX17" s="1727">
        <f t="shared" ref="AX17:AX19" si="124">AW17</f>
        <v>6</v>
      </c>
      <c r="AY17" s="2263">
        <f t="shared" ref="AY17:AY19" si="125">AX17</f>
        <v>6</v>
      </c>
      <c r="AZ17" s="1726">
        <f t="shared" ref="AZ17:AZ19" si="126">AY17</f>
        <v>6</v>
      </c>
      <c r="BA17" s="1727">
        <f t="shared" ref="BA17:BA19" si="127">AZ17</f>
        <v>6</v>
      </c>
      <c r="BB17" s="2263">
        <f t="shared" ref="BB17:BB19" si="128">BA17</f>
        <v>6</v>
      </c>
      <c r="BC17" s="1726">
        <f t="shared" ref="BC17:BC19" si="129">BB17</f>
        <v>6</v>
      </c>
      <c r="BD17" s="1727">
        <f t="shared" ref="BD17:BD19" si="130">BC17</f>
        <v>6</v>
      </c>
      <c r="BE17" s="1554">
        <f>AVERAGE(AS17:BD17)</f>
        <v>6</v>
      </c>
    </row>
    <row r="18" spans="1:57" ht="18" customHeight="1">
      <c r="A18" s="2290"/>
      <c r="B18" s="13" t="s">
        <v>307</v>
      </c>
      <c r="C18" s="2272"/>
      <c r="D18" s="1822"/>
      <c r="E18" s="1662">
        <v>7</v>
      </c>
      <c r="F18" s="1781">
        <v>7</v>
      </c>
      <c r="G18" s="1657">
        <f>F18</f>
        <v>7</v>
      </c>
      <c r="H18" s="1658">
        <f t="shared" si="103"/>
        <v>7</v>
      </c>
      <c r="I18" s="1789">
        <f t="shared" si="103"/>
        <v>7</v>
      </c>
      <c r="J18" s="1657">
        <f t="shared" si="103"/>
        <v>7</v>
      </c>
      <c r="K18" s="1658">
        <f t="shared" si="103"/>
        <v>7</v>
      </c>
      <c r="L18" s="1789">
        <f t="shared" si="103"/>
        <v>7</v>
      </c>
      <c r="M18" s="1657">
        <f t="shared" si="103"/>
        <v>7</v>
      </c>
      <c r="N18" s="1658">
        <f t="shared" si="103"/>
        <v>7</v>
      </c>
      <c r="O18" s="1789">
        <f t="shared" si="103"/>
        <v>7</v>
      </c>
      <c r="P18" s="1657">
        <f t="shared" si="103"/>
        <v>7</v>
      </c>
      <c r="Q18" s="1657">
        <f t="shared" ref="Q18" si="131">P18</f>
        <v>7</v>
      </c>
      <c r="R18" s="2200">
        <f t="shared" ref="R18:R19" si="132">AVERAGE(F18:Q18)</f>
        <v>7</v>
      </c>
      <c r="S18" s="1781">
        <v>11</v>
      </c>
      <c r="T18" s="1657">
        <v>10</v>
      </c>
      <c r="U18" s="1658">
        <f t="shared" ref="U18" si="133">T18</f>
        <v>10</v>
      </c>
      <c r="V18" s="1781">
        <f t="shared" si="104"/>
        <v>10</v>
      </c>
      <c r="W18" s="1657">
        <f t="shared" si="105"/>
        <v>10</v>
      </c>
      <c r="X18" s="1658">
        <f t="shared" si="106"/>
        <v>10</v>
      </c>
      <c r="Y18" s="1781">
        <f t="shared" si="107"/>
        <v>10</v>
      </c>
      <c r="Z18" s="1657">
        <f t="shared" si="108"/>
        <v>10</v>
      </c>
      <c r="AA18" s="1658">
        <f t="shared" si="109"/>
        <v>10</v>
      </c>
      <c r="AB18" s="1789">
        <f t="shared" si="110"/>
        <v>10</v>
      </c>
      <c r="AC18" s="1657">
        <f t="shared" si="111"/>
        <v>10</v>
      </c>
      <c r="AD18" s="1658">
        <f t="shared" si="112"/>
        <v>10</v>
      </c>
      <c r="AE18" s="2200">
        <f t="shared" ref="AE18:AE19" si="134">AVERAGE(S18:AD18)</f>
        <v>10.083333333333334</v>
      </c>
      <c r="AF18" s="1781">
        <v>11</v>
      </c>
      <c r="AG18" s="1657">
        <v>10</v>
      </c>
      <c r="AH18" s="1658">
        <f t="shared" ref="AH18" si="135">AG18</f>
        <v>10</v>
      </c>
      <c r="AI18" s="1781">
        <f t="shared" si="113"/>
        <v>10</v>
      </c>
      <c r="AJ18" s="1657">
        <f t="shared" si="114"/>
        <v>10</v>
      </c>
      <c r="AK18" s="1658">
        <f t="shared" si="115"/>
        <v>10</v>
      </c>
      <c r="AL18" s="1781">
        <f t="shared" si="116"/>
        <v>10</v>
      </c>
      <c r="AM18" s="1657">
        <f t="shared" si="117"/>
        <v>10</v>
      </c>
      <c r="AN18" s="1658">
        <f t="shared" si="118"/>
        <v>10</v>
      </c>
      <c r="AO18" s="1789">
        <f t="shared" si="119"/>
        <v>10</v>
      </c>
      <c r="AP18" s="1657">
        <f t="shared" si="120"/>
        <v>10</v>
      </c>
      <c r="AQ18" s="1658">
        <f t="shared" si="121"/>
        <v>10</v>
      </c>
      <c r="AR18" s="2200">
        <f t="shared" ref="AR18:AR19" si="136">AVERAGE(AF18:AQ18)</f>
        <v>10.083333333333334</v>
      </c>
      <c r="AS18" s="1781">
        <v>11</v>
      </c>
      <c r="AT18" s="1657">
        <v>10</v>
      </c>
      <c r="AU18" s="1658">
        <f t="shared" ref="AU18" si="137">AT18</f>
        <v>10</v>
      </c>
      <c r="AV18" s="1781">
        <f t="shared" si="122"/>
        <v>10</v>
      </c>
      <c r="AW18" s="1657">
        <f t="shared" si="123"/>
        <v>10</v>
      </c>
      <c r="AX18" s="1658">
        <f t="shared" si="124"/>
        <v>10</v>
      </c>
      <c r="AY18" s="1781">
        <f t="shared" si="125"/>
        <v>10</v>
      </c>
      <c r="AZ18" s="1657">
        <f t="shared" si="126"/>
        <v>10</v>
      </c>
      <c r="BA18" s="1658">
        <f t="shared" si="127"/>
        <v>10</v>
      </c>
      <c r="BB18" s="1789">
        <f t="shared" si="128"/>
        <v>10</v>
      </c>
      <c r="BC18" s="1657">
        <f t="shared" si="129"/>
        <v>10</v>
      </c>
      <c r="BD18" s="1658">
        <f t="shared" si="130"/>
        <v>10</v>
      </c>
      <c r="BE18" s="1566">
        <f t="shared" ref="BE18:BE19" si="138">AVERAGE(AS18:BD18)</f>
        <v>10.083333333333334</v>
      </c>
    </row>
    <row r="19" spans="1:57" ht="18" customHeight="1">
      <c r="A19" s="2290"/>
      <c r="B19" s="13" t="s">
        <v>353</v>
      </c>
      <c r="C19" s="2273"/>
      <c r="D19" s="1821"/>
      <c r="E19" s="1662">
        <v>61</v>
      </c>
      <c r="F19" s="1781">
        <v>61</v>
      </c>
      <c r="G19" s="1657">
        <f>61</f>
        <v>61</v>
      </c>
      <c r="H19" s="1739">
        <f>61</f>
        <v>61</v>
      </c>
      <c r="I19" s="1789">
        <f>61</f>
        <v>61</v>
      </c>
      <c r="J19" s="1657">
        <f>61</f>
        <v>61</v>
      </c>
      <c r="K19" s="1739">
        <f>61</f>
        <v>61</v>
      </c>
      <c r="L19" s="1789">
        <f>61</f>
        <v>61</v>
      </c>
      <c r="M19" s="1657">
        <f>61</f>
        <v>61</v>
      </c>
      <c r="N19" s="1739">
        <f>61</f>
        <v>61</v>
      </c>
      <c r="O19" s="1789">
        <f>61</f>
        <v>61</v>
      </c>
      <c r="P19" s="1657">
        <f>61</f>
        <v>61</v>
      </c>
      <c r="Q19" s="1657">
        <f>61</f>
        <v>61</v>
      </c>
      <c r="R19" s="2200">
        <f t="shared" si="132"/>
        <v>61</v>
      </c>
      <c r="S19" s="1781">
        <v>82</v>
      </c>
      <c r="T19" s="1657">
        <f>S19</f>
        <v>82</v>
      </c>
      <c r="U19" s="1658">
        <v>81</v>
      </c>
      <c r="V19" s="1781">
        <v>83</v>
      </c>
      <c r="W19" s="1657">
        <f t="shared" si="105"/>
        <v>83</v>
      </c>
      <c r="X19" s="1658">
        <f t="shared" si="106"/>
        <v>83</v>
      </c>
      <c r="Y19" s="1781">
        <f t="shared" si="107"/>
        <v>83</v>
      </c>
      <c r="Z19" s="1657">
        <f t="shared" si="108"/>
        <v>83</v>
      </c>
      <c r="AA19" s="1658">
        <f t="shared" si="109"/>
        <v>83</v>
      </c>
      <c r="AB19" s="1789">
        <f t="shared" si="110"/>
        <v>83</v>
      </c>
      <c r="AC19" s="1657">
        <f t="shared" si="111"/>
        <v>83</v>
      </c>
      <c r="AD19" s="1658">
        <f t="shared" si="112"/>
        <v>83</v>
      </c>
      <c r="AE19" s="2200">
        <f t="shared" si="134"/>
        <v>82.666666666666671</v>
      </c>
      <c r="AF19" s="1781">
        <v>82</v>
      </c>
      <c r="AG19" s="1657">
        <f>AF19</f>
        <v>82</v>
      </c>
      <c r="AH19" s="1658">
        <v>81</v>
      </c>
      <c r="AI19" s="1781">
        <v>83</v>
      </c>
      <c r="AJ19" s="1657">
        <f t="shared" si="114"/>
        <v>83</v>
      </c>
      <c r="AK19" s="1658">
        <f t="shared" si="115"/>
        <v>83</v>
      </c>
      <c r="AL19" s="1781">
        <f t="shared" si="116"/>
        <v>83</v>
      </c>
      <c r="AM19" s="1657">
        <f t="shared" si="117"/>
        <v>83</v>
      </c>
      <c r="AN19" s="1658">
        <f t="shared" si="118"/>
        <v>83</v>
      </c>
      <c r="AO19" s="1789">
        <f t="shared" si="119"/>
        <v>83</v>
      </c>
      <c r="AP19" s="1657">
        <f t="shared" si="120"/>
        <v>83</v>
      </c>
      <c r="AQ19" s="1658">
        <f t="shared" si="121"/>
        <v>83</v>
      </c>
      <c r="AR19" s="2200">
        <f t="shared" si="136"/>
        <v>82.666666666666671</v>
      </c>
      <c r="AS19" s="1781">
        <v>82</v>
      </c>
      <c r="AT19" s="1657">
        <f>AS19</f>
        <v>82</v>
      </c>
      <c r="AU19" s="1658">
        <v>81</v>
      </c>
      <c r="AV19" s="1781">
        <v>83</v>
      </c>
      <c r="AW19" s="1657">
        <f t="shared" si="123"/>
        <v>83</v>
      </c>
      <c r="AX19" s="1658">
        <f t="shared" si="124"/>
        <v>83</v>
      </c>
      <c r="AY19" s="1781">
        <f t="shared" si="125"/>
        <v>83</v>
      </c>
      <c r="AZ19" s="1657">
        <f t="shared" si="126"/>
        <v>83</v>
      </c>
      <c r="BA19" s="1658">
        <f t="shared" si="127"/>
        <v>83</v>
      </c>
      <c r="BB19" s="1789">
        <f t="shared" si="128"/>
        <v>83</v>
      </c>
      <c r="BC19" s="1657">
        <f t="shared" si="129"/>
        <v>83</v>
      </c>
      <c r="BD19" s="1658">
        <f t="shared" si="130"/>
        <v>83</v>
      </c>
      <c r="BE19" s="1566">
        <f t="shared" si="138"/>
        <v>82.666666666666671</v>
      </c>
    </row>
    <row r="20" spans="1:57" ht="18" customHeight="1">
      <c r="A20" s="2264"/>
      <c r="B20" s="1747" t="s">
        <v>354</v>
      </c>
      <c r="C20" s="2265"/>
      <c r="D20" s="2266"/>
      <c r="E20" s="2267">
        <f t="shared" ref="E20" si="139">SUM(E17:E19)</f>
        <v>73</v>
      </c>
      <c r="F20" s="1829">
        <f t="shared" ref="F20:P20" si="140">SUM(F17:F19)</f>
        <v>73</v>
      </c>
      <c r="G20" s="1753">
        <f t="shared" si="140"/>
        <v>73</v>
      </c>
      <c r="H20" s="1754">
        <f t="shared" si="140"/>
        <v>73</v>
      </c>
      <c r="I20" s="1829">
        <f t="shared" si="140"/>
        <v>73</v>
      </c>
      <c r="J20" s="1753">
        <f t="shared" si="140"/>
        <v>73</v>
      </c>
      <c r="K20" s="1754">
        <f t="shared" si="140"/>
        <v>73</v>
      </c>
      <c r="L20" s="1829">
        <f t="shared" si="140"/>
        <v>73</v>
      </c>
      <c r="M20" s="1753">
        <f t="shared" si="140"/>
        <v>73</v>
      </c>
      <c r="N20" s="1754">
        <f t="shared" si="140"/>
        <v>73</v>
      </c>
      <c r="O20" s="1830">
        <f t="shared" si="140"/>
        <v>73</v>
      </c>
      <c r="P20" s="1753">
        <f t="shared" si="140"/>
        <v>73</v>
      </c>
      <c r="Q20" s="1754">
        <f>SUM(Q17:Q19)</f>
        <v>73</v>
      </c>
      <c r="R20" s="2223">
        <f>SUM(R17:R19)</f>
        <v>73</v>
      </c>
      <c r="S20" s="1829">
        <f t="shared" ref="S20:AC20" si="141">SUM(S17:S19)</f>
        <v>99</v>
      </c>
      <c r="T20" s="1753">
        <f t="shared" si="141"/>
        <v>98</v>
      </c>
      <c r="U20" s="1754">
        <f t="shared" si="141"/>
        <v>97</v>
      </c>
      <c r="V20" s="1829">
        <f t="shared" si="141"/>
        <v>99</v>
      </c>
      <c r="W20" s="1753">
        <f t="shared" si="141"/>
        <v>99</v>
      </c>
      <c r="X20" s="1754">
        <f t="shared" si="141"/>
        <v>99</v>
      </c>
      <c r="Y20" s="1829">
        <f t="shared" si="141"/>
        <v>99</v>
      </c>
      <c r="Z20" s="1753">
        <f t="shared" si="141"/>
        <v>99</v>
      </c>
      <c r="AA20" s="1754">
        <f t="shared" si="141"/>
        <v>99</v>
      </c>
      <c r="AB20" s="1830">
        <f t="shared" si="141"/>
        <v>99</v>
      </c>
      <c r="AC20" s="1753">
        <f t="shared" si="141"/>
        <v>99</v>
      </c>
      <c r="AD20" s="1754">
        <f>SUM(AD17:AD19)</f>
        <v>99</v>
      </c>
      <c r="AE20" s="2223">
        <f>SUM(AE17:AE19)</f>
        <v>98.75</v>
      </c>
      <c r="AF20" s="1829">
        <f t="shared" ref="AF20:AP20" si="142">SUM(AF17:AF19)</f>
        <v>99</v>
      </c>
      <c r="AG20" s="1753">
        <f t="shared" si="142"/>
        <v>98</v>
      </c>
      <c r="AH20" s="1754">
        <f t="shared" si="142"/>
        <v>97</v>
      </c>
      <c r="AI20" s="1829">
        <f t="shared" si="142"/>
        <v>99</v>
      </c>
      <c r="AJ20" s="1753">
        <f t="shared" si="142"/>
        <v>99</v>
      </c>
      <c r="AK20" s="1754">
        <f t="shared" si="142"/>
        <v>99</v>
      </c>
      <c r="AL20" s="1829">
        <f t="shared" si="142"/>
        <v>99</v>
      </c>
      <c r="AM20" s="1753">
        <f t="shared" si="142"/>
        <v>99</v>
      </c>
      <c r="AN20" s="1754">
        <f t="shared" si="142"/>
        <v>99</v>
      </c>
      <c r="AO20" s="1830">
        <f t="shared" si="142"/>
        <v>99</v>
      </c>
      <c r="AP20" s="1753">
        <f t="shared" si="142"/>
        <v>99</v>
      </c>
      <c r="AQ20" s="1754">
        <f>SUM(AQ17:AQ19)</f>
        <v>99</v>
      </c>
      <c r="AR20" s="2223">
        <f>SUM(AR17:AR19)</f>
        <v>98.75</v>
      </c>
      <c r="AS20" s="1829">
        <f t="shared" ref="AS20:BC20" si="143">SUM(AS17:AS19)</f>
        <v>99</v>
      </c>
      <c r="AT20" s="1753">
        <f t="shared" si="143"/>
        <v>98</v>
      </c>
      <c r="AU20" s="1754">
        <f t="shared" si="143"/>
        <v>97</v>
      </c>
      <c r="AV20" s="1829">
        <f t="shared" si="143"/>
        <v>99</v>
      </c>
      <c r="AW20" s="1753">
        <f t="shared" si="143"/>
        <v>99</v>
      </c>
      <c r="AX20" s="1754">
        <f t="shared" si="143"/>
        <v>99</v>
      </c>
      <c r="AY20" s="1829">
        <f t="shared" si="143"/>
        <v>99</v>
      </c>
      <c r="AZ20" s="1753">
        <f t="shared" si="143"/>
        <v>99</v>
      </c>
      <c r="BA20" s="1754">
        <f t="shared" si="143"/>
        <v>99</v>
      </c>
      <c r="BB20" s="1830">
        <f t="shared" si="143"/>
        <v>99</v>
      </c>
      <c r="BC20" s="1753">
        <f t="shared" si="143"/>
        <v>99</v>
      </c>
      <c r="BD20" s="1754">
        <f>SUM(BD17:BD19)</f>
        <v>99</v>
      </c>
      <c r="BE20" s="1576">
        <f>SUM(BE17:BE19)</f>
        <v>98.75</v>
      </c>
    </row>
    <row r="21" spans="1:57" ht="18" customHeight="1">
      <c r="A21" s="1965" t="s">
        <v>360</v>
      </c>
      <c r="B21" s="2268" t="s">
        <v>400</v>
      </c>
      <c r="C21" s="2269"/>
      <c r="D21" s="3017"/>
      <c r="E21" s="2271">
        <v>5</v>
      </c>
      <c r="F21" s="2203">
        <f>E21</f>
        <v>5</v>
      </c>
      <c r="G21" s="3735">
        <f t="shared" ref="G21:Q21" si="144">F21</f>
        <v>5</v>
      </c>
      <c r="H21" s="3736">
        <f t="shared" si="144"/>
        <v>5</v>
      </c>
      <c r="I21" s="2291">
        <f t="shared" si="144"/>
        <v>5</v>
      </c>
      <c r="J21" s="3735">
        <f t="shared" si="144"/>
        <v>5</v>
      </c>
      <c r="K21" s="3736">
        <f t="shared" si="144"/>
        <v>5</v>
      </c>
      <c r="L21" s="2291">
        <f t="shared" si="144"/>
        <v>5</v>
      </c>
      <c r="M21" s="3735">
        <f t="shared" si="144"/>
        <v>5</v>
      </c>
      <c r="N21" s="3736">
        <f t="shared" si="144"/>
        <v>5</v>
      </c>
      <c r="O21" s="2291">
        <f t="shared" si="144"/>
        <v>5</v>
      </c>
      <c r="P21" s="3735">
        <f t="shared" si="144"/>
        <v>5</v>
      </c>
      <c r="Q21" s="3736">
        <f t="shared" si="144"/>
        <v>5</v>
      </c>
      <c r="R21" s="2200">
        <f t="shared" ref="R21:R23" si="145">AVERAGE(F21:Q21)</f>
        <v>5</v>
      </c>
      <c r="S21" s="2203">
        <v>3</v>
      </c>
      <c r="T21" s="1761">
        <f>S21</f>
        <v>3</v>
      </c>
      <c r="U21" s="1762">
        <f>T21</f>
        <v>3</v>
      </c>
      <c r="V21" s="2203">
        <f t="shared" ref="V21:V22" si="146">U21</f>
        <v>3</v>
      </c>
      <c r="W21" s="1761">
        <f t="shared" ref="W21:W23" si="147">V21</f>
        <v>3</v>
      </c>
      <c r="X21" s="1762">
        <f t="shared" ref="X21:X23" si="148">W21</f>
        <v>3</v>
      </c>
      <c r="Y21" s="2203">
        <f t="shared" ref="Y21:Y23" si="149">X21</f>
        <v>3</v>
      </c>
      <c r="Z21" s="1761">
        <f t="shared" ref="Z21:Z23" si="150">Y21</f>
        <v>3</v>
      </c>
      <c r="AA21" s="1762">
        <f t="shared" ref="AA21:AA23" si="151">Z21</f>
        <v>3</v>
      </c>
      <c r="AB21" s="2291">
        <f t="shared" ref="AB21:AB23" si="152">AA21</f>
        <v>3</v>
      </c>
      <c r="AC21" s="1761">
        <f t="shared" ref="AC21:AC23" si="153">AB21</f>
        <v>3</v>
      </c>
      <c r="AD21" s="1762">
        <f t="shared" ref="AD21:AD23" si="154">AC21</f>
        <v>3</v>
      </c>
      <c r="AE21" s="2200">
        <f t="shared" ref="AE21:AE23" si="155">AVERAGE(S21:AD21)</f>
        <v>3</v>
      </c>
      <c r="AF21" s="2203">
        <v>3</v>
      </c>
      <c r="AG21" s="1761">
        <f>AF21</f>
        <v>3</v>
      </c>
      <c r="AH21" s="1762">
        <f>AG21</f>
        <v>3</v>
      </c>
      <c r="AI21" s="2203">
        <f t="shared" ref="AI21:AI22" si="156">AH21</f>
        <v>3</v>
      </c>
      <c r="AJ21" s="1761">
        <f t="shared" ref="AJ21:AJ23" si="157">AI21</f>
        <v>3</v>
      </c>
      <c r="AK21" s="1762">
        <f t="shared" ref="AK21:AK23" si="158">AJ21</f>
        <v>3</v>
      </c>
      <c r="AL21" s="2203">
        <f t="shared" ref="AL21:AL23" si="159">AK21</f>
        <v>3</v>
      </c>
      <c r="AM21" s="1761">
        <f t="shared" ref="AM21:AM23" si="160">AL21</f>
        <v>3</v>
      </c>
      <c r="AN21" s="1762">
        <f t="shared" ref="AN21:AN23" si="161">AM21</f>
        <v>3</v>
      </c>
      <c r="AO21" s="2291">
        <f t="shared" ref="AO21:AO23" si="162">AN21</f>
        <v>3</v>
      </c>
      <c r="AP21" s="1761">
        <f t="shared" ref="AP21:AP23" si="163">AO21</f>
        <v>3</v>
      </c>
      <c r="AQ21" s="1762">
        <f t="shared" ref="AQ21:AQ23" si="164">AP21</f>
        <v>3</v>
      </c>
      <c r="AR21" s="2200">
        <f t="shared" ref="AR21:AR23" si="165">AVERAGE(AF21:AQ21)</f>
        <v>3</v>
      </c>
      <c r="AS21" s="2203">
        <v>3</v>
      </c>
      <c r="AT21" s="1761">
        <f>AS21</f>
        <v>3</v>
      </c>
      <c r="AU21" s="1762">
        <f>AT21</f>
        <v>3</v>
      </c>
      <c r="AV21" s="2203">
        <f t="shared" ref="AV21:AV22" si="166">AU21</f>
        <v>3</v>
      </c>
      <c r="AW21" s="1761">
        <f t="shared" ref="AW21:AW23" si="167">AV21</f>
        <v>3</v>
      </c>
      <c r="AX21" s="1762">
        <f t="shared" ref="AX21:AX23" si="168">AW21</f>
        <v>3</v>
      </c>
      <c r="AY21" s="2203">
        <f t="shared" ref="AY21:AY23" si="169">AX21</f>
        <v>3</v>
      </c>
      <c r="AZ21" s="1761">
        <f t="shared" ref="AZ21:AZ23" si="170">AY21</f>
        <v>3</v>
      </c>
      <c r="BA21" s="1762">
        <f t="shared" ref="BA21:BA23" si="171">AZ21</f>
        <v>3</v>
      </c>
      <c r="BB21" s="2291">
        <f t="shared" ref="BB21:BB23" si="172">BA21</f>
        <v>3</v>
      </c>
      <c r="BC21" s="1761">
        <f t="shared" ref="BC21:BC23" si="173">BB21</f>
        <v>3</v>
      </c>
      <c r="BD21" s="1762">
        <f t="shared" ref="BD21:BD23" si="174">BC21</f>
        <v>3</v>
      </c>
      <c r="BE21" s="1566">
        <f t="shared" ref="BE21:BE23" si="175">AVERAGE(AS21:BD21)</f>
        <v>3</v>
      </c>
    </row>
    <row r="22" spans="1:57" ht="18" customHeight="1">
      <c r="A22" s="2290"/>
      <c r="B22" s="13" t="s">
        <v>307</v>
      </c>
      <c r="C22" s="2272"/>
      <c r="D22" s="3018"/>
      <c r="E22" s="1662">
        <v>11</v>
      </c>
      <c r="F22" s="1781">
        <v>11</v>
      </c>
      <c r="G22" s="1657">
        <f>F22</f>
        <v>11</v>
      </c>
      <c r="H22" s="1658">
        <f t="shared" ref="H22:Q22" si="176">G22</f>
        <v>11</v>
      </c>
      <c r="I22" s="1789">
        <f t="shared" si="176"/>
        <v>11</v>
      </c>
      <c r="J22" s="1657">
        <f t="shared" si="176"/>
        <v>11</v>
      </c>
      <c r="K22" s="1658">
        <f t="shared" si="176"/>
        <v>11</v>
      </c>
      <c r="L22" s="1789">
        <f t="shared" si="176"/>
        <v>11</v>
      </c>
      <c r="M22" s="1657">
        <f t="shared" si="176"/>
        <v>11</v>
      </c>
      <c r="N22" s="1658">
        <f t="shared" si="176"/>
        <v>11</v>
      </c>
      <c r="O22" s="1789">
        <f t="shared" si="176"/>
        <v>11</v>
      </c>
      <c r="P22" s="1657">
        <f t="shared" si="176"/>
        <v>11</v>
      </c>
      <c r="Q22" s="1658">
        <f t="shared" si="176"/>
        <v>11</v>
      </c>
      <c r="R22" s="2200">
        <f t="shared" si="145"/>
        <v>11</v>
      </c>
      <c r="S22" s="1781">
        <f>R22</f>
        <v>11</v>
      </c>
      <c r="T22" s="1657">
        <f>S22</f>
        <v>11</v>
      </c>
      <c r="U22" s="1658">
        <f t="shared" ref="U22" si="177">T22</f>
        <v>11</v>
      </c>
      <c r="V22" s="1781">
        <f t="shared" si="146"/>
        <v>11</v>
      </c>
      <c r="W22" s="1657">
        <f t="shared" si="147"/>
        <v>11</v>
      </c>
      <c r="X22" s="1658">
        <f t="shared" si="148"/>
        <v>11</v>
      </c>
      <c r="Y22" s="1781">
        <f t="shared" si="149"/>
        <v>11</v>
      </c>
      <c r="Z22" s="1657">
        <f t="shared" si="150"/>
        <v>11</v>
      </c>
      <c r="AA22" s="1658">
        <f t="shared" si="151"/>
        <v>11</v>
      </c>
      <c r="AB22" s="1789">
        <f t="shared" si="152"/>
        <v>11</v>
      </c>
      <c r="AC22" s="1657">
        <f t="shared" si="153"/>
        <v>11</v>
      </c>
      <c r="AD22" s="1658">
        <f t="shared" si="154"/>
        <v>11</v>
      </c>
      <c r="AE22" s="2200">
        <f t="shared" si="155"/>
        <v>11</v>
      </c>
      <c r="AF22" s="1781">
        <f>AE22</f>
        <v>11</v>
      </c>
      <c r="AG22" s="1657">
        <f>AF22</f>
        <v>11</v>
      </c>
      <c r="AH22" s="1658">
        <f t="shared" ref="AH22" si="178">AG22</f>
        <v>11</v>
      </c>
      <c r="AI22" s="1781">
        <f t="shared" si="156"/>
        <v>11</v>
      </c>
      <c r="AJ22" s="1657">
        <f t="shared" si="157"/>
        <v>11</v>
      </c>
      <c r="AK22" s="1658">
        <f t="shared" si="158"/>
        <v>11</v>
      </c>
      <c r="AL22" s="1781">
        <f t="shared" si="159"/>
        <v>11</v>
      </c>
      <c r="AM22" s="1657">
        <f t="shared" si="160"/>
        <v>11</v>
      </c>
      <c r="AN22" s="1658">
        <f t="shared" si="161"/>
        <v>11</v>
      </c>
      <c r="AO22" s="1789">
        <f t="shared" si="162"/>
        <v>11</v>
      </c>
      <c r="AP22" s="1657">
        <f t="shared" si="163"/>
        <v>11</v>
      </c>
      <c r="AQ22" s="1658">
        <f t="shared" si="164"/>
        <v>11</v>
      </c>
      <c r="AR22" s="2200">
        <f t="shared" si="165"/>
        <v>11</v>
      </c>
      <c r="AS22" s="1781">
        <f>AR22</f>
        <v>11</v>
      </c>
      <c r="AT22" s="1657">
        <f>AS22</f>
        <v>11</v>
      </c>
      <c r="AU22" s="1658">
        <f t="shared" ref="AU22" si="179">AT22</f>
        <v>11</v>
      </c>
      <c r="AV22" s="1781">
        <f t="shared" si="166"/>
        <v>11</v>
      </c>
      <c r="AW22" s="1657">
        <f t="shared" si="167"/>
        <v>11</v>
      </c>
      <c r="AX22" s="1658">
        <f t="shared" si="168"/>
        <v>11</v>
      </c>
      <c r="AY22" s="1781">
        <f t="shared" si="169"/>
        <v>11</v>
      </c>
      <c r="AZ22" s="1657">
        <f t="shared" si="170"/>
        <v>11</v>
      </c>
      <c r="BA22" s="1658">
        <f t="shared" si="171"/>
        <v>11</v>
      </c>
      <c r="BB22" s="1789">
        <f t="shared" si="172"/>
        <v>11</v>
      </c>
      <c r="BC22" s="1657">
        <f t="shared" si="173"/>
        <v>11</v>
      </c>
      <c r="BD22" s="1658">
        <f t="shared" si="174"/>
        <v>11</v>
      </c>
      <c r="BE22" s="1566">
        <f t="shared" si="175"/>
        <v>11</v>
      </c>
    </row>
    <row r="23" spans="1:57" ht="18" customHeight="1">
      <c r="A23" s="2290"/>
      <c r="B23" s="13" t="s">
        <v>308</v>
      </c>
      <c r="C23" s="2273"/>
      <c r="D23" s="3018"/>
      <c r="E23" s="1662">
        <v>144</v>
      </c>
      <c r="F23" s="1825">
        <v>144</v>
      </c>
      <c r="G23" s="1738">
        <f>F23</f>
        <v>144</v>
      </c>
      <c r="H23" s="1739">
        <f t="shared" ref="H23:Q23" si="180">G23</f>
        <v>144</v>
      </c>
      <c r="I23" s="1826">
        <f t="shared" si="180"/>
        <v>144</v>
      </c>
      <c r="J23" s="1738">
        <f t="shared" si="180"/>
        <v>144</v>
      </c>
      <c r="K23" s="1739">
        <f t="shared" si="180"/>
        <v>144</v>
      </c>
      <c r="L23" s="1826">
        <f t="shared" si="180"/>
        <v>144</v>
      </c>
      <c r="M23" s="1738">
        <f t="shared" si="180"/>
        <v>144</v>
      </c>
      <c r="N23" s="1739">
        <f t="shared" si="180"/>
        <v>144</v>
      </c>
      <c r="O23" s="1826">
        <f t="shared" si="180"/>
        <v>144</v>
      </c>
      <c r="P23" s="1738">
        <f t="shared" si="180"/>
        <v>144</v>
      </c>
      <c r="Q23" s="1739">
        <f t="shared" si="180"/>
        <v>144</v>
      </c>
      <c r="R23" s="2200">
        <f t="shared" si="145"/>
        <v>144</v>
      </c>
      <c r="S23" s="1781">
        <v>163</v>
      </c>
      <c r="T23" s="1657">
        <v>158</v>
      </c>
      <c r="U23" s="1658">
        <v>154</v>
      </c>
      <c r="V23" s="1781">
        <v>162</v>
      </c>
      <c r="W23" s="1657">
        <f t="shared" si="147"/>
        <v>162</v>
      </c>
      <c r="X23" s="1739">
        <f t="shared" si="148"/>
        <v>162</v>
      </c>
      <c r="Y23" s="1789">
        <f t="shared" si="149"/>
        <v>162</v>
      </c>
      <c r="Z23" s="1657">
        <f t="shared" si="150"/>
        <v>162</v>
      </c>
      <c r="AA23" s="1658">
        <f t="shared" si="151"/>
        <v>162</v>
      </c>
      <c r="AB23" s="1789">
        <f t="shared" si="152"/>
        <v>162</v>
      </c>
      <c r="AC23" s="1657">
        <f t="shared" si="153"/>
        <v>162</v>
      </c>
      <c r="AD23" s="1657">
        <f t="shared" si="154"/>
        <v>162</v>
      </c>
      <c r="AE23" s="2200">
        <f t="shared" si="155"/>
        <v>161.08333333333334</v>
      </c>
      <c r="AF23" s="1781">
        <v>163</v>
      </c>
      <c r="AG23" s="1657">
        <v>158</v>
      </c>
      <c r="AH23" s="1658">
        <v>154</v>
      </c>
      <c r="AI23" s="1781">
        <v>162</v>
      </c>
      <c r="AJ23" s="1657">
        <f t="shared" si="157"/>
        <v>162</v>
      </c>
      <c r="AK23" s="1739">
        <f t="shared" si="158"/>
        <v>162</v>
      </c>
      <c r="AL23" s="1789">
        <f t="shared" si="159"/>
        <v>162</v>
      </c>
      <c r="AM23" s="1657">
        <f t="shared" si="160"/>
        <v>162</v>
      </c>
      <c r="AN23" s="1658">
        <f t="shared" si="161"/>
        <v>162</v>
      </c>
      <c r="AO23" s="1789">
        <f t="shared" si="162"/>
        <v>162</v>
      </c>
      <c r="AP23" s="1657">
        <f t="shared" si="163"/>
        <v>162</v>
      </c>
      <c r="AQ23" s="1657">
        <f t="shared" si="164"/>
        <v>162</v>
      </c>
      <c r="AR23" s="2200">
        <f t="shared" si="165"/>
        <v>161.08333333333334</v>
      </c>
      <c r="AS23" s="1781">
        <v>163</v>
      </c>
      <c r="AT23" s="1657">
        <v>158</v>
      </c>
      <c r="AU23" s="1658">
        <v>154</v>
      </c>
      <c r="AV23" s="1781">
        <v>162</v>
      </c>
      <c r="AW23" s="1657">
        <f t="shared" si="167"/>
        <v>162</v>
      </c>
      <c r="AX23" s="1739">
        <f t="shared" si="168"/>
        <v>162</v>
      </c>
      <c r="AY23" s="1789">
        <f t="shared" si="169"/>
        <v>162</v>
      </c>
      <c r="AZ23" s="1657">
        <f t="shared" si="170"/>
        <v>162</v>
      </c>
      <c r="BA23" s="1564">
        <f t="shared" si="171"/>
        <v>162</v>
      </c>
      <c r="BB23" s="1610">
        <f t="shared" si="172"/>
        <v>162</v>
      </c>
      <c r="BC23" s="1563">
        <f t="shared" si="173"/>
        <v>162</v>
      </c>
      <c r="BD23" s="1563">
        <f t="shared" si="174"/>
        <v>162</v>
      </c>
      <c r="BE23" s="1566">
        <f t="shared" si="175"/>
        <v>161.08333333333334</v>
      </c>
    </row>
    <row r="24" spans="1:57" ht="18" customHeight="1" thickBot="1">
      <c r="A24" s="2274"/>
      <c r="B24" s="2275" t="s">
        <v>357</v>
      </c>
      <c r="C24" s="2276"/>
      <c r="D24" s="2277"/>
      <c r="E24" s="1644">
        <f t="shared" ref="E24" si="181">SUM(E21:E23)</f>
        <v>160</v>
      </c>
      <c r="F24" s="2294">
        <f t="shared" ref="F24:R24" si="182">SUM(F21:F23)</f>
        <v>160</v>
      </c>
      <c r="G24" s="2295">
        <f t="shared" si="182"/>
        <v>160</v>
      </c>
      <c r="H24" s="2296">
        <f t="shared" si="182"/>
        <v>160</v>
      </c>
      <c r="I24" s="2294">
        <f t="shared" si="182"/>
        <v>160</v>
      </c>
      <c r="J24" s="2295">
        <f t="shared" si="182"/>
        <v>160</v>
      </c>
      <c r="K24" s="2296">
        <f t="shared" si="182"/>
        <v>160</v>
      </c>
      <c r="L24" s="2294">
        <f t="shared" si="182"/>
        <v>160</v>
      </c>
      <c r="M24" s="2295">
        <f t="shared" si="182"/>
        <v>160</v>
      </c>
      <c r="N24" s="2296">
        <f t="shared" si="182"/>
        <v>160</v>
      </c>
      <c r="O24" s="2297">
        <f t="shared" si="182"/>
        <v>160</v>
      </c>
      <c r="P24" s="2295">
        <f t="shared" si="182"/>
        <v>160</v>
      </c>
      <c r="Q24" s="2296">
        <f t="shared" si="182"/>
        <v>160</v>
      </c>
      <c r="R24" s="2254">
        <f t="shared" si="182"/>
        <v>160</v>
      </c>
      <c r="S24" s="2294">
        <f t="shared" ref="S24:AE24" si="183">SUM(S21:S23)</f>
        <v>177</v>
      </c>
      <c r="T24" s="2295">
        <f t="shared" si="183"/>
        <v>172</v>
      </c>
      <c r="U24" s="2296">
        <f t="shared" si="183"/>
        <v>168</v>
      </c>
      <c r="V24" s="2294">
        <f t="shared" si="183"/>
        <v>176</v>
      </c>
      <c r="W24" s="2295">
        <f t="shared" si="183"/>
        <v>176</v>
      </c>
      <c r="X24" s="2296">
        <f t="shared" si="183"/>
        <v>176</v>
      </c>
      <c r="Y24" s="2294">
        <f t="shared" si="183"/>
        <v>176</v>
      </c>
      <c r="Z24" s="2295">
        <f t="shared" si="183"/>
        <v>176</v>
      </c>
      <c r="AA24" s="2296">
        <f t="shared" si="183"/>
        <v>176</v>
      </c>
      <c r="AB24" s="2297">
        <f t="shared" si="183"/>
        <v>176</v>
      </c>
      <c r="AC24" s="2295">
        <f t="shared" si="183"/>
        <v>176</v>
      </c>
      <c r="AD24" s="2296">
        <f t="shared" si="183"/>
        <v>176</v>
      </c>
      <c r="AE24" s="2254">
        <f t="shared" si="183"/>
        <v>175.08333333333334</v>
      </c>
      <c r="AF24" s="2294">
        <f t="shared" ref="AF24:BE24" si="184">SUM(AF21:AF23)</f>
        <v>177</v>
      </c>
      <c r="AG24" s="2295">
        <f t="shared" si="184"/>
        <v>172</v>
      </c>
      <c r="AH24" s="2296">
        <f t="shared" si="184"/>
        <v>168</v>
      </c>
      <c r="AI24" s="2294">
        <f t="shared" si="184"/>
        <v>176</v>
      </c>
      <c r="AJ24" s="2295">
        <f t="shared" si="184"/>
        <v>176</v>
      </c>
      <c r="AK24" s="2296">
        <f t="shared" si="184"/>
        <v>176</v>
      </c>
      <c r="AL24" s="2294">
        <f t="shared" si="184"/>
        <v>176</v>
      </c>
      <c r="AM24" s="2295">
        <f t="shared" si="184"/>
        <v>176</v>
      </c>
      <c r="AN24" s="2296">
        <f t="shared" si="184"/>
        <v>176</v>
      </c>
      <c r="AO24" s="2297">
        <f t="shared" si="184"/>
        <v>176</v>
      </c>
      <c r="AP24" s="2295">
        <f t="shared" si="184"/>
        <v>176</v>
      </c>
      <c r="AQ24" s="2296">
        <f t="shared" si="184"/>
        <v>176</v>
      </c>
      <c r="AR24" s="2254">
        <f t="shared" si="184"/>
        <v>175.08333333333334</v>
      </c>
      <c r="AS24" s="2294">
        <f t="shared" si="184"/>
        <v>177</v>
      </c>
      <c r="AT24" s="2295">
        <f t="shared" si="184"/>
        <v>172</v>
      </c>
      <c r="AU24" s="2296">
        <f t="shared" si="184"/>
        <v>168</v>
      </c>
      <c r="AV24" s="2294">
        <f t="shared" si="184"/>
        <v>176</v>
      </c>
      <c r="AW24" s="2295">
        <f t="shared" si="184"/>
        <v>176</v>
      </c>
      <c r="AX24" s="2296">
        <f t="shared" si="184"/>
        <v>176</v>
      </c>
      <c r="AY24" s="2294">
        <f t="shared" si="184"/>
        <v>176</v>
      </c>
      <c r="AZ24" s="2295">
        <f t="shared" si="184"/>
        <v>176</v>
      </c>
      <c r="BA24" s="2296">
        <f t="shared" si="184"/>
        <v>176</v>
      </c>
      <c r="BB24" s="2297">
        <f t="shared" si="184"/>
        <v>176</v>
      </c>
      <c r="BC24" s="2295">
        <f t="shared" si="184"/>
        <v>176</v>
      </c>
      <c r="BD24" s="2296">
        <f t="shared" si="184"/>
        <v>176</v>
      </c>
      <c r="BE24" s="1797">
        <f t="shared" si="184"/>
        <v>175.08333333333334</v>
      </c>
    </row>
    <row r="25" spans="1:57" ht="18" customHeight="1" thickBot="1">
      <c r="A25" s="5151" t="s">
        <v>361</v>
      </c>
      <c r="B25" s="5143"/>
      <c r="C25" s="81"/>
      <c r="D25" s="72"/>
      <c r="E25" s="2283">
        <f>E24+E20</f>
        <v>233</v>
      </c>
      <c r="F25" s="1850">
        <f t="shared" ref="F25:Q25" si="185">F20+F24</f>
        <v>233</v>
      </c>
      <c r="G25" s="1799">
        <f t="shared" si="185"/>
        <v>233</v>
      </c>
      <c r="H25" s="1800">
        <f t="shared" si="185"/>
        <v>233</v>
      </c>
      <c r="I25" s="1850">
        <f t="shared" si="185"/>
        <v>233</v>
      </c>
      <c r="J25" s="1799">
        <f t="shared" si="185"/>
        <v>233</v>
      </c>
      <c r="K25" s="1800">
        <f t="shared" si="185"/>
        <v>233</v>
      </c>
      <c r="L25" s="1850">
        <f t="shared" si="185"/>
        <v>233</v>
      </c>
      <c r="M25" s="1799">
        <f t="shared" si="185"/>
        <v>233</v>
      </c>
      <c r="N25" s="1800">
        <f t="shared" si="185"/>
        <v>233</v>
      </c>
      <c r="O25" s="1850">
        <f t="shared" si="185"/>
        <v>233</v>
      </c>
      <c r="P25" s="1799">
        <f t="shared" si="185"/>
        <v>233</v>
      </c>
      <c r="Q25" s="1800">
        <f t="shared" si="185"/>
        <v>233</v>
      </c>
      <c r="R25" s="2259">
        <f t="shared" ref="R25" si="186">AVERAGE(F25:Q25)</f>
        <v>233</v>
      </c>
      <c r="S25" s="1850">
        <f t="shared" ref="S25:AD25" si="187">S20+S24</f>
        <v>276</v>
      </c>
      <c r="T25" s="1799">
        <f t="shared" si="187"/>
        <v>270</v>
      </c>
      <c r="U25" s="1800">
        <f t="shared" si="187"/>
        <v>265</v>
      </c>
      <c r="V25" s="1850">
        <f t="shared" si="187"/>
        <v>275</v>
      </c>
      <c r="W25" s="1799">
        <f t="shared" si="187"/>
        <v>275</v>
      </c>
      <c r="X25" s="1800">
        <f t="shared" si="187"/>
        <v>275</v>
      </c>
      <c r="Y25" s="1850">
        <f t="shared" si="187"/>
        <v>275</v>
      </c>
      <c r="Z25" s="1799">
        <f t="shared" si="187"/>
        <v>275</v>
      </c>
      <c r="AA25" s="1800">
        <f t="shared" si="187"/>
        <v>275</v>
      </c>
      <c r="AB25" s="1850">
        <f t="shared" si="187"/>
        <v>275</v>
      </c>
      <c r="AC25" s="1799">
        <f t="shared" si="187"/>
        <v>275</v>
      </c>
      <c r="AD25" s="1800">
        <f t="shared" si="187"/>
        <v>275</v>
      </c>
      <c r="AE25" s="2259">
        <f t="shared" ref="AE25" si="188">AVERAGE(S25:AD25)</f>
        <v>273.83333333333331</v>
      </c>
      <c r="AF25" s="1850">
        <f t="shared" ref="AF25:AQ25" si="189">AF20+AF24</f>
        <v>276</v>
      </c>
      <c r="AG25" s="1799">
        <f t="shared" si="189"/>
        <v>270</v>
      </c>
      <c r="AH25" s="1800">
        <f t="shared" si="189"/>
        <v>265</v>
      </c>
      <c r="AI25" s="1850">
        <f t="shared" si="189"/>
        <v>275</v>
      </c>
      <c r="AJ25" s="1799">
        <f t="shared" si="189"/>
        <v>275</v>
      </c>
      <c r="AK25" s="1800">
        <f t="shared" si="189"/>
        <v>275</v>
      </c>
      <c r="AL25" s="1850">
        <f t="shared" si="189"/>
        <v>275</v>
      </c>
      <c r="AM25" s="1799">
        <f t="shared" si="189"/>
        <v>275</v>
      </c>
      <c r="AN25" s="1800">
        <f t="shared" si="189"/>
        <v>275</v>
      </c>
      <c r="AO25" s="1850">
        <f t="shared" si="189"/>
        <v>275</v>
      </c>
      <c r="AP25" s="1799">
        <f t="shared" si="189"/>
        <v>275</v>
      </c>
      <c r="AQ25" s="1800">
        <f t="shared" si="189"/>
        <v>275</v>
      </c>
      <c r="AR25" s="2259">
        <f t="shared" ref="AR25" si="190">AVERAGE(AF25:AQ25)</f>
        <v>273.83333333333331</v>
      </c>
      <c r="AS25" s="1850">
        <f t="shared" ref="AS25:BD25" si="191">AS20+AS24</f>
        <v>276</v>
      </c>
      <c r="AT25" s="1799">
        <f t="shared" si="191"/>
        <v>270</v>
      </c>
      <c r="AU25" s="1800">
        <f t="shared" si="191"/>
        <v>265</v>
      </c>
      <c r="AV25" s="1850">
        <f t="shared" si="191"/>
        <v>275</v>
      </c>
      <c r="AW25" s="1799">
        <f t="shared" si="191"/>
        <v>275</v>
      </c>
      <c r="AX25" s="1800">
        <f t="shared" si="191"/>
        <v>275</v>
      </c>
      <c r="AY25" s="1850">
        <f t="shared" si="191"/>
        <v>275</v>
      </c>
      <c r="AZ25" s="1799">
        <f t="shared" si="191"/>
        <v>275</v>
      </c>
      <c r="BA25" s="1800">
        <f t="shared" si="191"/>
        <v>275</v>
      </c>
      <c r="BB25" s="1850">
        <f t="shared" si="191"/>
        <v>275</v>
      </c>
      <c r="BC25" s="1799">
        <f t="shared" si="191"/>
        <v>275</v>
      </c>
      <c r="BD25" s="1800">
        <f t="shared" si="191"/>
        <v>275</v>
      </c>
      <c r="BE25" s="1692">
        <f t="shared" ref="BE25" si="192">AVERAGE(AS25:BD25)</f>
        <v>273.83333333333331</v>
      </c>
    </row>
    <row r="26" spans="1:57" s="1631" customFormat="1" ht="18" customHeight="1">
      <c r="A26" s="1993"/>
      <c r="B26" s="2298"/>
      <c r="C26" s="1993"/>
      <c r="D26" s="1993"/>
      <c r="E26" s="2299"/>
      <c r="F26" s="1652"/>
      <c r="G26" s="1652"/>
      <c r="H26" s="1652"/>
      <c r="I26" s="1652"/>
      <c r="J26" s="1652"/>
      <c r="K26" s="1652"/>
      <c r="L26" s="4889"/>
      <c r="M26" s="4889"/>
      <c r="N26" s="4889"/>
      <c r="O26" s="4889"/>
      <c r="P26" s="4889"/>
      <c r="Q26" s="4889"/>
      <c r="R26" s="1652"/>
      <c r="S26" s="1652"/>
      <c r="T26" s="1652"/>
      <c r="U26" s="1652"/>
      <c r="V26" s="1652"/>
      <c r="W26" s="1652"/>
      <c r="X26" s="1652"/>
      <c r="Y26" s="1652"/>
      <c r="Z26" s="1652"/>
      <c r="AA26" s="1652"/>
      <c r="AB26" s="1652"/>
      <c r="AC26" s="1652"/>
      <c r="AD26" s="1652"/>
      <c r="AE26" s="1652"/>
      <c r="AF26" s="1652"/>
      <c r="AG26" s="1652"/>
      <c r="AH26" s="1652"/>
      <c r="AI26" s="1652"/>
      <c r="AJ26" s="1652"/>
      <c r="AK26" s="1652"/>
      <c r="AL26" s="1652"/>
      <c r="AM26" s="1652"/>
      <c r="AN26" s="1652"/>
      <c r="AO26" s="1652"/>
      <c r="AP26" s="1652"/>
      <c r="AQ26" s="1652"/>
      <c r="AR26" s="1652"/>
      <c r="AS26" s="1652"/>
      <c r="AT26" s="1652"/>
      <c r="AU26" s="1652"/>
      <c r="AV26" s="1652"/>
      <c r="AW26" s="1652"/>
      <c r="AX26" s="1652"/>
      <c r="AY26" s="1652"/>
      <c r="AZ26" s="1652"/>
      <c r="BA26" s="1652"/>
      <c r="BB26" s="1652"/>
      <c r="BC26" s="1652"/>
      <c r="BD26" s="1652"/>
      <c r="BE26" s="1555"/>
    </row>
    <row r="27" spans="1:57" ht="18" customHeight="1" thickBot="1">
      <c r="A27" s="2300" t="s">
        <v>840</v>
      </c>
      <c r="B27" s="1652"/>
      <c r="C27" s="2301"/>
      <c r="D27" s="2301"/>
      <c r="E27" s="2302"/>
      <c r="F27" s="3861"/>
      <c r="G27" s="3861"/>
      <c r="H27" s="3861"/>
      <c r="I27" s="3861"/>
      <c r="J27" s="3861"/>
      <c r="K27" s="3861"/>
      <c r="L27" s="2303"/>
      <c r="M27" s="2303"/>
      <c r="N27" s="2303"/>
      <c r="O27" s="2303"/>
      <c r="P27" s="2303"/>
      <c r="Q27" s="2303"/>
      <c r="R27" s="1650"/>
      <c r="S27" s="3861"/>
      <c r="T27" s="3861"/>
      <c r="U27" s="3861"/>
      <c r="V27" s="3861"/>
      <c r="W27" s="3861"/>
      <c r="X27" s="3861"/>
      <c r="Y27" s="3861"/>
      <c r="Z27" s="3861"/>
      <c r="AA27" s="3861"/>
      <c r="AB27" s="3861"/>
      <c r="AC27" s="3861"/>
      <c r="AD27" s="3861"/>
      <c r="AE27" s="1650"/>
      <c r="AF27" s="3861"/>
      <c r="AG27" s="3861"/>
      <c r="AH27" s="3861"/>
      <c r="AI27" s="3861"/>
      <c r="AJ27" s="3861"/>
      <c r="AK27" s="3861"/>
      <c r="AL27" s="3861"/>
      <c r="AM27" s="3861"/>
      <c r="AN27" s="3861"/>
      <c r="AO27" s="3861"/>
      <c r="AP27" s="3861"/>
      <c r="AQ27" s="3861"/>
      <c r="AR27" s="1650"/>
      <c r="AS27" s="3861"/>
      <c r="AT27" s="3861"/>
      <c r="AU27" s="3861"/>
      <c r="AV27" s="3861"/>
      <c r="AW27" s="3861"/>
      <c r="AX27" s="3861"/>
      <c r="AY27" s="3861"/>
      <c r="AZ27" s="3861"/>
      <c r="BA27" s="2303"/>
      <c r="BB27" s="2303"/>
      <c r="BC27" s="2303"/>
      <c r="BD27" s="2303"/>
      <c r="BE27" s="2260"/>
    </row>
    <row r="28" spans="1:57" ht="14.25" thickBot="1">
      <c r="A28" s="2304" t="s">
        <v>809</v>
      </c>
      <c r="B28" s="2106" t="s">
        <v>42</v>
      </c>
      <c r="C28" s="2106"/>
      <c r="D28" s="72"/>
      <c r="E28" s="3603" t="s">
        <v>927</v>
      </c>
      <c r="F28" s="1876" t="str">
        <f>F4</f>
        <v>Jan.26</v>
      </c>
      <c r="G28" s="1877" t="str">
        <f t="shared" ref="G28:Q28" si="193">G4</f>
        <v>Feb.26</v>
      </c>
      <c r="H28" s="1878" t="str">
        <f t="shared" si="193"/>
        <v>Mar.26</v>
      </c>
      <c r="I28" s="3740" t="str">
        <f t="shared" si="193"/>
        <v>Apr.26</v>
      </c>
      <c r="J28" s="1877" t="str">
        <f t="shared" si="193"/>
        <v>May.26</v>
      </c>
      <c r="K28" s="1878" t="str">
        <f t="shared" si="193"/>
        <v>Jun.26</v>
      </c>
      <c r="L28" s="1876" t="str">
        <f t="shared" si="193"/>
        <v>Jul.26</v>
      </c>
      <c r="M28" s="1877" t="str">
        <f t="shared" si="193"/>
        <v>Aug.26</v>
      </c>
      <c r="N28" s="1878" t="str">
        <f t="shared" si="193"/>
        <v>Sep.26</v>
      </c>
      <c r="O28" s="3740" t="str">
        <f t="shared" si="193"/>
        <v>Oct.26</v>
      </c>
      <c r="P28" s="1877" t="str">
        <f t="shared" si="193"/>
        <v>Nov.26</v>
      </c>
      <c r="Q28" s="33" t="str">
        <f t="shared" si="193"/>
        <v>Dec.26</v>
      </c>
      <c r="R28" s="2598" t="s">
        <v>15</v>
      </c>
      <c r="S28" s="1876" t="s">
        <v>430</v>
      </c>
      <c r="T28" s="1877" t="s">
        <v>557</v>
      </c>
      <c r="U28" s="1878" t="s">
        <v>558</v>
      </c>
      <c r="V28" s="3740" t="s">
        <v>431</v>
      </c>
      <c r="W28" s="1877" t="s">
        <v>559</v>
      </c>
      <c r="X28" s="1878" t="s">
        <v>560</v>
      </c>
      <c r="Y28" s="1876" t="s">
        <v>561</v>
      </c>
      <c r="Z28" s="1877" t="s">
        <v>562</v>
      </c>
      <c r="AA28" s="1878" t="s">
        <v>563</v>
      </c>
      <c r="AB28" s="3740" t="s">
        <v>564</v>
      </c>
      <c r="AC28" s="1877" t="s">
        <v>565</v>
      </c>
      <c r="AD28" s="33" t="s">
        <v>566</v>
      </c>
      <c r="AE28" s="2598" t="s">
        <v>15</v>
      </c>
      <c r="AF28" s="1876" t="s">
        <v>430</v>
      </c>
      <c r="AG28" s="1877" t="s">
        <v>557</v>
      </c>
      <c r="AH28" s="1878" t="s">
        <v>558</v>
      </c>
      <c r="AI28" s="3740" t="s">
        <v>431</v>
      </c>
      <c r="AJ28" s="1877" t="s">
        <v>559</v>
      </c>
      <c r="AK28" s="1878" t="s">
        <v>560</v>
      </c>
      <c r="AL28" s="1876" t="s">
        <v>561</v>
      </c>
      <c r="AM28" s="1877" t="s">
        <v>562</v>
      </c>
      <c r="AN28" s="1878" t="s">
        <v>563</v>
      </c>
      <c r="AO28" s="3740" t="s">
        <v>564</v>
      </c>
      <c r="AP28" s="1877" t="s">
        <v>565</v>
      </c>
      <c r="AQ28" s="33" t="s">
        <v>566</v>
      </c>
      <c r="AR28" s="2598" t="s">
        <v>15</v>
      </c>
      <c r="AS28" s="1876" t="s">
        <v>430</v>
      </c>
      <c r="AT28" s="1877" t="s">
        <v>557</v>
      </c>
      <c r="AU28" s="1878" t="s">
        <v>558</v>
      </c>
      <c r="AV28" s="3740" t="s">
        <v>431</v>
      </c>
      <c r="AW28" s="1877" t="s">
        <v>559</v>
      </c>
      <c r="AX28" s="1878" t="s">
        <v>560</v>
      </c>
      <c r="AY28" s="1876" t="s">
        <v>561</v>
      </c>
      <c r="AZ28" s="1877" t="s">
        <v>562</v>
      </c>
      <c r="BA28" s="1549" t="s">
        <v>563</v>
      </c>
      <c r="BB28" s="87" t="s">
        <v>564</v>
      </c>
      <c r="BC28" s="81" t="s">
        <v>565</v>
      </c>
      <c r="BD28" s="72" t="s">
        <v>566</v>
      </c>
      <c r="BE28" s="1550" t="s">
        <v>15</v>
      </c>
    </row>
    <row r="29" spans="1:57" ht="14.25" thickBot="1">
      <c r="A29" s="89" t="s">
        <v>997</v>
      </c>
      <c r="B29" s="2106"/>
      <c r="C29" s="2106"/>
      <c r="D29" s="72"/>
      <c r="E29" s="3603"/>
      <c r="F29" s="3862">
        <v>601.55826019821416</v>
      </c>
      <c r="G29" s="3863">
        <f>F36</f>
        <v>586.89576436448431</v>
      </c>
      <c r="H29" s="3864">
        <f t="shared" ref="H29" si="194">G36</f>
        <v>572.24216748153844</v>
      </c>
      <c r="I29" s="3865">
        <f t="shared" ref="I29" si="195">H36</f>
        <v>555.59654037514838</v>
      </c>
      <c r="J29" s="3863">
        <f t="shared" ref="J29" si="196">I36</f>
        <v>540.85363698182402</v>
      </c>
      <c r="K29" s="3864">
        <f t="shared" ref="K29" si="197">J36</f>
        <v>527.12802820681156</v>
      </c>
      <c r="L29" s="3862">
        <f t="shared" ref="L29" si="198">K36</f>
        <v>514.52232215940035</v>
      </c>
      <c r="M29" s="3863">
        <f t="shared" ref="M29" si="199">L36</f>
        <v>502.91958541925061</v>
      </c>
      <c r="N29" s="3864">
        <f t="shared" ref="N29" si="200">M36</f>
        <v>492.21509404141295</v>
      </c>
      <c r="O29" s="3865">
        <f t="shared" ref="O29" si="201">N36</f>
        <v>482.31505871728876</v>
      </c>
      <c r="P29" s="3863">
        <f t="shared" ref="P29" si="202">O36</f>
        <v>473.23989695449046</v>
      </c>
      <c r="Q29" s="3904">
        <f t="shared" ref="Q29" si="203">P36</f>
        <v>464.90348048089544</v>
      </c>
      <c r="R29" s="3905">
        <f>F29</f>
        <v>601.55826019821416</v>
      </c>
      <c r="S29" s="3862">
        <f>R36</f>
        <v>457.22867401386054</v>
      </c>
      <c r="T29" s="3863" t="e">
        <f>S36</f>
        <v>#REF!</v>
      </c>
      <c r="U29" s="3864" t="e">
        <f t="shared" ref="U29" si="204">T36</f>
        <v>#REF!</v>
      </c>
      <c r="V29" s="3865" t="e">
        <f t="shared" ref="V29" si="205">U36</f>
        <v>#REF!</v>
      </c>
      <c r="W29" s="3863" t="e">
        <f t="shared" ref="W29" si="206">V36</f>
        <v>#REF!</v>
      </c>
      <c r="X29" s="3864" t="e">
        <f t="shared" ref="X29" si="207">W36</f>
        <v>#REF!</v>
      </c>
      <c r="Y29" s="3862" t="e">
        <f t="shared" ref="Y29" si="208">X36</f>
        <v>#REF!</v>
      </c>
      <c r="Z29" s="3863" t="e">
        <f t="shared" ref="Z29" si="209">Y36</f>
        <v>#REF!</v>
      </c>
      <c r="AA29" s="3864" t="e">
        <f t="shared" ref="AA29" si="210">Z36</f>
        <v>#REF!</v>
      </c>
      <c r="AB29" s="3865" t="e">
        <f t="shared" ref="AB29" si="211">AA36</f>
        <v>#REF!</v>
      </c>
      <c r="AC29" s="3863" t="e">
        <f t="shared" ref="AC29" si="212">AB36</f>
        <v>#REF!</v>
      </c>
      <c r="AD29" s="3904" t="e">
        <f t="shared" ref="AD29" si="213">AC36</f>
        <v>#REF!</v>
      </c>
      <c r="AE29" s="3905">
        <f>S29</f>
        <v>457.22867401386054</v>
      </c>
      <c r="AF29" s="3862" t="e">
        <f>AE36</f>
        <v>#REF!</v>
      </c>
      <c r="AG29" s="3863" t="e">
        <f>AF36</f>
        <v>#REF!</v>
      </c>
      <c r="AH29" s="3864" t="e">
        <f t="shared" ref="AH29" si="214">AG36</f>
        <v>#REF!</v>
      </c>
      <c r="AI29" s="3865" t="e">
        <f t="shared" ref="AI29" si="215">AH36</f>
        <v>#REF!</v>
      </c>
      <c r="AJ29" s="3863" t="e">
        <f t="shared" ref="AJ29" si="216">AI36</f>
        <v>#REF!</v>
      </c>
      <c r="AK29" s="3864" t="e">
        <f t="shared" ref="AK29" si="217">AJ36</f>
        <v>#REF!</v>
      </c>
      <c r="AL29" s="3862" t="e">
        <f t="shared" ref="AL29" si="218">AK36</f>
        <v>#REF!</v>
      </c>
      <c r="AM29" s="3863" t="e">
        <f t="shared" ref="AM29" si="219">AL36</f>
        <v>#REF!</v>
      </c>
      <c r="AN29" s="3864" t="e">
        <f t="shared" ref="AN29" si="220">AM36</f>
        <v>#REF!</v>
      </c>
      <c r="AO29" s="3865" t="e">
        <f t="shared" ref="AO29" si="221">AN36</f>
        <v>#REF!</v>
      </c>
      <c r="AP29" s="3863" t="e">
        <f t="shared" ref="AP29" si="222">AO36</f>
        <v>#REF!</v>
      </c>
      <c r="AQ29" s="3904" t="e">
        <f t="shared" ref="AQ29" si="223">AP36</f>
        <v>#REF!</v>
      </c>
      <c r="AR29" s="3905" t="e">
        <f>AF29</f>
        <v>#REF!</v>
      </c>
      <c r="AS29" s="3862" t="e">
        <f>AR36</f>
        <v>#REF!</v>
      </c>
      <c r="AT29" s="3863" t="e">
        <f>AS36</f>
        <v>#REF!</v>
      </c>
      <c r="AU29" s="3864" t="e">
        <f t="shared" ref="AU29" si="224">AT36</f>
        <v>#REF!</v>
      </c>
      <c r="AV29" s="3865" t="e">
        <f t="shared" ref="AV29" si="225">AU36</f>
        <v>#REF!</v>
      </c>
      <c r="AW29" s="3863" t="e">
        <f t="shared" ref="AW29" si="226">AV36</f>
        <v>#REF!</v>
      </c>
      <c r="AX29" s="3864" t="e">
        <f t="shared" ref="AX29" si="227">AW36</f>
        <v>#REF!</v>
      </c>
      <c r="AY29" s="3862" t="e">
        <f t="shared" ref="AY29" si="228">AX36</f>
        <v>#REF!</v>
      </c>
      <c r="AZ29" s="3863" t="e">
        <f t="shared" ref="AZ29" si="229">AY36</f>
        <v>#REF!</v>
      </c>
      <c r="BA29" s="2306" t="e">
        <f t="shared" ref="BA29" si="230">AZ36</f>
        <v>#REF!</v>
      </c>
      <c r="BB29" s="2307" t="e">
        <f t="shared" ref="BB29" si="231">BA36</f>
        <v>#REF!</v>
      </c>
      <c r="BC29" s="2305" t="e">
        <f t="shared" ref="BC29" si="232">BB36</f>
        <v>#REF!</v>
      </c>
      <c r="BD29" s="2308" t="e">
        <f t="shared" ref="BD29" si="233">BC36</f>
        <v>#REF!</v>
      </c>
      <c r="BE29" s="3028" t="e">
        <f>AS29</f>
        <v>#REF!</v>
      </c>
    </row>
    <row r="30" spans="1:57">
      <c r="A30" s="1689" t="s">
        <v>999</v>
      </c>
      <c r="B30" s="2309" t="s">
        <v>1208</v>
      </c>
      <c r="C30" s="2310"/>
      <c r="D30" s="64"/>
      <c r="E30" s="4060">
        <f>'4-1. 인원계획'!C30</f>
        <v>0.1044139079741828</v>
      </c>
      <c r="F30" s="2312">
        <v>61.662495833729835</v>
      </c>
      <c r="G30" s="2312">
        <v>60.653596882945841</v>
      </c>
      <c r="H30" s="2313">
        <v>59.645627106390073</v>
      </c>
      <c r="I30" s="2314">
        <v>58.742903393324362</v>
      </c>
      <c r="J30" s="2312">
        <v>57.725608775012439</v>
      </c>
      <c r="K30" s="2313">
        <v>56.605706047411203</v>
      </c>
      <c r="L30" s="2311">
        <v>55.602736740149759</v>
      </c>
      <c r="M30" s="2312">
        <v>54.704491377837634</v>
      </c>
      <c r="N30" s="2313">
        <v>53.900035324124204</v>
      </c>
      <c r="O30" s="2314">
        <v>53.075161762798302</v>
      </c>
      <c r="P30" s="2312">
        <v>52.336416473595023</v>
      </c>
      <c r="Q30" s="2315">
        <v>51.674806467034976</v>
      </c>
      <c r="R30" s="4065">
        <f>SUM(F30:Q30)</f>
        <v>676.32958618435362</v>
      </c>
      <c r="S30" s="2312" t="e">
        <f>(R36-#REF!)*$E30</f>
        <v>#REF!</v>
      </c>
      <c r="T30" s="2312" t="e">
        <f>(S36-#REF!)*$E30</f>
        <v>#REF!</v>
      </c>
      <c r="U30" s="2313" t="e">
        <f>(T36-#REF!)*$E30</f>
        <v>#REF!</v>
      </c>
      <c r="V30" s="2314" t="e">
        <f>(U36-#REF!)*$E30</f>
        <v>#REF!</v>
      </c>
      <c r="W30" s="2312" t="e">
        <f>(V36-#REF!)*$E30</f>
        <v>#REF!</v>
      </c>
      <c r="X30" s="2313" t="e">
        <f>(W36-#REF!)*$E30</f>
        <v>#REF!</v>
      </c>
      <c r="Y30" s="2311" t="e">
        <f>(X36-#REF!)*$E30</f>
        <v>#REF!</v>
      </c>
      <c r="Z30" s="2312" t="e">
        <f>(Y36-#REF!)*$E30</f>
        <v>#REF!</v>
      </c>
      <c r="AA30" s="2313" t="e">
        <f>(Z36-#REF!)*$E30</f>
        <v>#REF!</v>
      </c>
      <c r="AB30" s="2314" t="e">
        <f>(AA36-#REF!)*$E30</f>
        <v>#REF!</v>
      </c>
      <c r="AC30" s="2312" t="e">
        <f>(AB36-#REF!)*$E30</f>
        <v>#REF!</v>
      </c>
      <c r="AD30" s="2315" t="e">
        <f>(AC36-#REF!)*$E30</f>
        <v>#REF!</v>
      </c>
      <c r="AE30" s="3906" t="e">
        <f>SUM(S30:AD30)</f>
        <v>#REF!</v>
      </c>
      <c r="AF30" s="2312" t="e">
        <f>(AE36-#REF!)*$E30</f>
        <v>#REF!</v>
      </c>
      <c r="AG30" s="2312" t="e">
        <f>(AF36-#REF!)*$E30</f>
        <v>#REF!</v>
      </c>
      <c r="AH30" s="2313" t="e">
        <f>(AG36-#REF!)*$E30</f>
        <v>#REF!</v>
      </c>
      <c r="AI30" s="2314" t="e">
        <f>(AH36-#REF!)*$E30</f>
        <v>#REF!</v>
      </c>
      <c r="AJ30" s="2312" t="e">
        <f>(AI36-#REF!)*$E30</f>
        <v>#REF!</v>
      </c>
      <c r="AK30" s="2313" t="e">
        <f>(AJ36-#REF!)*$E30</f>
        <v>#REF!</v>
      </c>
      <c r="AL30" s="2311" t="e">
        <f>(AK36-#REF!)*$E30</f>
        <v>#REF!</v>
      </c>
      <c r="AM30" s="2312" t="e">
        <f>(AL36-#REF!)*$E30</f>
        <v>#REF!</v>
      </c>
      <c r="AN30" s="2313" t="e">
        <f>(AM36-#REF!)*$E30</f>
        <v>#REF!</v>
      </c>
      <c r="AO30" s="2314" t="e">
        <f>(AN36-#REF!)*$E30</f>
        <v>#REF!</v>
      </c>
      <c r="AP30" s="2312" t="e">
        <f>(AO36-#REF!)*$E30</f>
        <v>#REF!</v>
      </c>
      <c r="AQ30" s="2315" t="e">
        <f>(AP36-#REF!)*$E30</f>
        <v>#REF!</v>
      </c>
      <c r="AR30" s="3906" t="e">
        <f>SUM(AF30:AQ30)</f>
        <v>#REF!</v>
      </c>
      <c r="AS30" s="2312" t="e">
        <f>(AR36-#REF!)*$E30</f>
        <v>#REF!</v>
      </c>
      <c r="AT30" s="2312" t="e">
        <f>(AS36-#REF!)*$E30</f>
        <v>#REF!</v>
      </c>
      <c r="AU30" s="2313" t="e">
        <f>(AT36-#REF!)*$E30</f>
        <v>#REF!</v>
      </c>
      <c r="AV30" s="2314" t="e">
        <f>(AU36-#REF!)*$E30</f>
        <v>#REF!</v>
      </c>
      <c r="AW30" s="2312" t="e">
        <f>(AV36-#REF!)*$E30</f>
        <v>#REF!</v>
      </c>
      <c r="AX30" s="2313" t="e">
        <f>(AW36-#REF!)*$E30</f>
        <v>#REF!</v>
      </c>
      <c r="AY30" s="2311" t="e">
        <f>(AX36-#REF!)*$E30</f>
        <v>#REF!</v>
      </c>
      <c r="AZ30" s="2312" t="e">
        <f>(AY36-#REF!)*$E30</f>
        <v>#REF!</v>
      </c>
      <c r="BA30" s="2313" t="e">
        <f>(AZ36-#REF!)*$E30</f>
        <v>#REF!</v>
      </c>
      <c r="BB30" s="2314" t="e">
        <f>(BA36-#REF!)*$E30</f>
        <v>#REF!</v>
      </c>
      <c r="BC30" s="2312" t="e">
        <f>(BB36-#REF!)*$E30</f>
        <v>#REF!</v>
      </c>
      <c r="BD30" s="2315" t="e">
        <f>(BC36-#REF!)*$E30</f>
        <v>#REF!</v>
      </c>
      <c r="BE30" s="2316" t="e">
        <f>SUM(AS30:BD30)</f>
        <v>#REF!</v>
      </c>
    </row>
    <row r="31" spans="1:57">
      <c r="A31" s="2317" t="s">
        <v>926</v>
      </c>
      <c r="B31" s="2269"/>
      <c r="C31" s="2269"/>
      <c r="D31" s="58"/>
      <c r="E31" s="4061" t="s">
        <v>801</v>
      </c>
      <c r="F31" s="3608">
        <v>8</v>
      </c>
      <c r="G31" s="3609">
        <v>8</v>
      </c>
      <c r="H31" s="3610">
        <v>7</v>
      </c>
      <c r="I31" s="3608">
        <v>8</v>
      </c>
      <c r="J31" s="3609">
        <v>8</v>
      </c>
      <c r="K31" s="3610">
        <v>8</v>
      </c>
      <c r="L31" s="3608">
        <v>8</v>
      </c>
      <c r="M31" s="3609">
        <v>8</v>
      </c>
      <c r="N31" s="3610">
        <v>8</v>
      </c>
      <c r="O31" s="3605">
        <v>8</v>
      </c>
      <c r="P31" s="2319">
        <v>8</v>
      </c>
      <c r="Q31" s="2319">
        <v>8</v>
      </c>
      <c r="R31" s="4066"/>
      <c r="S31" s="3608">
        <v>8</v>
      </c>
      <c r="T31" s="3609">
        <v>8</v>
      </c>
      <c r="U31" s="3610">
        <v>8</v>
      </c>
      <c r="V31" s="3608">
        <v>8</v>
      </c>
      <c r="W31" s="3609">
        <v>8</v>
      </c>
      <c r="X31" s="3610">
        <v>8</v>
      </c>
      <c r="Y31" s="3608">
        <v>8</v>
      </c>
      <c r="Z31" s="3609">
        <v>8</v>
      </c>
      <c r="AA31" s="3610">
        <v>8</v>
      </c>
      <c r="AB31" s="3605">
        <v>8</v>
      </c>
      <c r="AC31" s="2319">
        <v>8</v>
      </c>
      <c r="AD31" s="2319">
        <v>8</v>
      </c>
      <c r="AE31" s="3907"/>
      <c r="AF31" s="3608">
        <v>8</v>
      </c>
      <c r="AG31" s="3609">
        <v>8</v>
      </c>
      <c r="AH31" s="3610">
        <v>8</v>
      </c>
      <c r="AI31" s="3608">
        <v>8</v>
      </c>
      <c r="AJ31" s="3609">
        <v>8</v>
      </c>
      <c r="AK31" s="3610">
        <v>8</v>
      </c>
      <c r="AL31" s="3608">
        <v>8</v>
      </c>
      <c r="AM31" s="3609">
        <v>8</v>
      </c>
      <c r="AN31" s="3610">
        <v>8</v>
      </c>
      <c r="AO31" s="3605">
        <v>8</v>
      </c>
      <c r="AP31" s="2319">
        <v>8</v>
      </c>
      <c r="AQ31" s="2319">
        <v>8</v>
      </c>
      <c r="AR31" s="3907"/>
      <c r="AS31" s="3608">
        <v>8</v>
      </c>
      <c r="AT31" s="3609">
        <v>8</v>
      </c>
      <c r="AU31" s="3610">
        <v>8</v>
      </c>
      <c r="AV31" s="3608">
        <v>8</v>
      </c>
      <c r="AW31" s="3609">
        <v>8</v>
      </c>
      <c r="AX31" s="3610">
        <v>8</v>
      </c>
      <c r="AY31" s="3608">
        <v>8</v>
      </c>
      <c r="AZ31" s="3609">
        <v>8</v>
      </c>
      <c r="BA31" s="3610">
        <v>8</v>
      </c>
      <c r="BB31" s="3605">
        <v>8</v>
      </c>
      <c r="BC31" s="2319">
        <v>8</v>
      </c>
      <c r="BD31" s="2319">
        <v>8</v>
      </c>
      <c r="BE31" s="2320"/>
    </row>
    <row r="32" spans="1:57">
      <c r="A32" s="2321" t="s">
        <v>983</v>
      </c>
      <c r="B32" s="2272"/>
      <c r="C32" s="2272"/>
      <c r="D32" s="2292"/>
      <c r="E32" s="1662" t="s">
        <v>800</v>
      </c>
      <c r="F32" s="3611">
        <v>14</v>
      </c>
      <c r="G32" s="2322">
        <v>14</v>
      </c>
      <c r="H32" s="2323">
        <v>14</v>
      </c>
      <c r="I32" s="3611">
        <v>14</v>
      </c>
      <c r="J32" s="2322">
        <v>14</v>
      </c>
      <c r="K32" s="2323">
        <v>14</v>
      </c>
      <c r="L32" s="3611">
        <v>14</v>
      </c>
      <c r="M32" s="2322">
        <v>14</v>
      </c>
      <c r="N32" s="2323">
        <v>14</v>
      </c>
      <c r="O32" s="3606">
        <v>14</v>
      </c>
      <c r="P32" s="2322">
        <v>14</v>
      </c>
      <c r="Q32" s="2322">
        <v>14</v>
      </c>
      <c r="R32" s="4067"/>
      <c r="S32" s="3611">
        <v>25</v>
      </c>
      <c r="T32" s="2322">
        <v>25</v>
      </c>
      <c r="U32" s="2323">
        <v>25</v>
      </c>
      <c r="V32" s="3611">
        <v>25</v>
      </c>
      <c r="W32" s="2322">
        <v>25</v>
      </c>
      <c r="X32" s="2323">
        <v>25</v>
      </c>
      <c r="Y32" s="3611">
        <v>25</v>
      </c>
      <c r="Z32" s="2322">
        <v>25</v>
      </c>
      <c r="AA32" s="2323">
        <v>25</v>
      </c>
      <c r="AB32" s="3606">
        <v>25</v>
      </c>
      <c r="AC32" s="2322">
        <v>25</v>
      </c>
      <c r="AD32" s="2322">
        <v>25</v>
      </c>
      <c r="AE32" s="3908"/>
      <c r="AF32" s="3611">
        <v>25</v>
      </c>
      <c r="AG32" s="2322">
        <v>25</v>
      </c>
      <c r="AH32" s="2323">
        <v>25</v>
      </c>
      <c r="AI32" s="3611">
        <v>25</v>
      </c>
      <c r="AJ32" s="2322">
        <v>25</v>
      </c>
      <c r="AK32" s="2323">
        <v>25</v>
      </c>
      <c r="AL32" s="3611">
        <v>25</v>
      </c>
      <c r="AM32" s="2322">
        <v>25</v>
      </c>
      <c r="AN32" s="2323">
        <v>25</v>
      </c>
      <c r="AO32" s="3606">
        <v>25</v>
      </c>
      <c r="AP32" s="2322">
        <v>25</v>
      </c>
      <c r="AQ32" s="2322">
        <v>25</v>
      </c>
      <c r="AR32" s="3908"/>
      <c r="AS32" s="3611">
        <v>25</v>
      </c>
      <c r="AT32" s="2322">
        <v>25</v>
      </c>
      <c r="AU32" s="2323">
        <v>25</v>
      </c>
      <c r="AV32" s="3611">
        <v>25</v>
      </c>
      <c r="AW32" s="2322">
        <v>25</v>
      </c>
      <c r="AX32" s="2323">
        <v>25</v>
      </c>
      <c r="AY32" s="3611">
        <v>25</v>
      </c>
      <c r="AZ32" s="2322">
        <v>25</v>
      </c>
      <c r="BA32" s="2323">
        <v>25</v>
      </c>
      <c r="BB32" s="3606">
        <v>25</v>
      </c>
      <c r="BC32" s="2322">
        <v>25</v>
      </c>
      <c r="BD32" s="2322">
        <v>25</v>
      </c>
      <c r="BE32" s="2324"/>
    </row>
    <row r="33" spans="1:58">
      <c r="A33" s="2321"/>
      <c r="B33" s="2272"/>
      <c r="C33" s="2272"/>
      <c r="D33" s="2292"/>
      <c r="E33" s="1662" t="s">
        <v>799</v>
      </c>
      <c r="F33" s="3611">
        <v>18</v>
      </c>
      <c r="G33" s="2322">
        <v>17</v>
      </c>
      <c r="H33" s="2323">
        <v>15</v>
      </c>
      <c r="I33" s="3611">
        <v>15</v>
      </c>
      <c r="J33" s="2322">
        <v>15</v>
      </c>
      <c r="K33" s="2323">
        <v>15</v>
      </c>
      <c r="L33" s="3611">
        <v>15</v>
      </c>
      <c r="M33" s="2322">
        <v>15</v>
      </c>
      <c r="N33" s="2323">
        <v>15</v>
      </c>
      <c r="O33" s="3606">
        <v>15</v>
      </c>
      <c r="P33" s="2322">
        <v>15</v>
      </c>
      <c r="Q33" s="2322">
        <v>15</v>
      </c>
      <c r="R33" s="4067"/>
      <c r="S33" s="3611">
        <v>21</v>
      </c>
      <c r="T33" s="2322">
        <v>21</v>
      </c>
      <c r="U33" s="2323">
        <v>21</v>
      </c>
      <c r="V33" s="3611">
        <v>21</v>
      </c>
      <c r="W33" s="2322">
        <v>21</v>
      </c>
      <c r="X33" s="2323">
        <v>21</v>
      </c>
      <c r="Y33" s="3611">
        <v>21</v>
      </c>
      <c r="Z33" s="2322">
        <v>21</v>
      </c>
      <c r="AA33" s="2323">
        <v>21</v>
      </c>
      <c r="AB33" s="3606">
        <v>21</v>
      </c>
      <c r="AC33" s="2322">
        <v>21</v>
      </c>
      <c r="AD33" s="2322">
        <v>21</v>
      </c>
      <c r="AE33" s="3908"/>
      <c r="AF33" s="3611">
        <v>21</v>
      </c>
      <c r="AG33" s="2322">
        <v>21</v>
      </c>
      <c r="AH33" s="2323">
        <v>21</v>
      </c>
      <c r="AI33" s="3611">
        <v>21</v>
      </c>
      <c r="AJ33" s="2322">
        <v>21</v>
      </c>
      <c r="AK33" s="2323">
        <v>21</v>
      </c>
      <c r="AL33" s="3611">
        <v>21</v>
      </c>
      <c r="AM33" s="2322">
        <v>21</v>
      </c>
      <c r="AN33" s="2323">
        <v>21</v>
      </c>
      <c r="AO33" s="3606">
        <v>21</v>
      </c>
      <c r="AP33" s="2322">
        <v>21</v>
      </c>
      <c r="AQ33" s="2322">
        <v>21</v>
      </c>
      <c r="AR33" s="3908"/>
      <c r="AS33" s="3611">
        <v>21</v>
      </c>
      <c r="AT33" s="2322">
        <v>21</v>
      </c>
      <c r="AU33" s="2323">
        <v>21</v>
      </c>
      <c r="AV33" s="3611">
        <v>21</v>
      </c>
      <c r="AW33" s="2322">
        <v>21</v>
      </c>
      <c r="AX33" s="2323">
        <v>21</v>
      </c>
      <c r="AY33" s="3611">
        <v>21</v>
      </c>
      <c r="AZ33" s="2322">
        <v>21</v>
      </c>
      <c r="BA33" s="2323">
        <v>21</v>
      </c>
      <c r="BB33" s="3606">
        <v>21</v>
      </c>
      <c r="BC33" s="2322">
        <v>21</v>
      </c>
      <c r="BD33" s="2322">
        <v>21</v>
      </c>
      <c r="BE33" s="2324"/>
      <c r="BF33" s="1541"/>
    </row>
    <row r="34" spans="1:58">
      <c r="A34" s="2325"/>
      <c r="B34" s="2326"/>
      <c r="C34" s="2326"/>
      <c r="D34" s="2327"/>
      <c r="E34" s="4062" t="s">
        <v>93</v>
      </c>
      <c r="F34" s="3612">
        <v>7</v>
      </c>
      <c r="G34" s="2328">
        <v>7</v>
      </c>
      <c r="H34" s="2329">
        <v>7</v>
      </c>
      <c r="I34" s="3612">
        <v>7</v>
      </c>
      <c r="J34" s="2328">
        <v>7</v>
      </c>
      <c r="K34" s="2329">
        <v>7</v>
      </c>
      <c r="L34" s="3612">
        <v>7</v>
      </c>
      <c r="M34" s="2328">
        <v>7</v>
      </c>
      <c r="N34" s="2329">
        <v>7</v>
      </c>
      <c r="O34" s="3607">
        <v>7</v>
      </c>
      <c r="P34" s="2328">
        <v>7</v>
      </c>
      <c r="Q34" s="2328">
        <v>7</v>
      </c>
      <c r="R34" s="4068"/>
      <c r="S34" s="3612">
        <v>8</v>
      </c>
      <c r="T34" s="2328">
        <v>8</v>
      </c>
      <c r="U34" s="2329">
        <v>8</v>
      </c>
      <c r="V34" s="3612">
        <v>8</v>
      </c>
      <c r="W34" s="2328">
        <v>8</v>
      </c>
      <c r="X34" s="2329">
        <v>8</v>
      </c>
      <c r="Y34" s="3612">
        <v>8</v>
      </c>
      <c r="Z34" s="2328">
        <v>8</v>
      </c>
      <c r="AA34" s="2329">
        <v>8</v>
      </c>
      <c r="AB34" s="3607">
        <v>8</v>
      </c>
      <c r="AC34" s="2328">
        <v>8</v>
      </c>
      <c r="AD34" s="2328">
        <v>8</v>
      </c>
      <c r="AE34" s="3909"/>
      <c r="AF34" s="3612">
        <v>8</v>
      </c>
      <c r="AG34" s="2328">
        <v>8</v>
      </c>
      <c r="AH34" s="2329">
        <v>8</v>
      </c>
      <c r="AI34" s="3612">
        <v>8</v>
      </c>
      <c r="AJ34" s="2328">
        <v>8</v>
      </c>
      <c r="AK34" s="2329">
        <v>8</v>
      </c>
      <c r="AL34" s="3612">
        <v>8</v>
      </c>
      <c r="AM34" s="2328">
        <v>8</v>
      </c>
      <c r="AN34" s="2329">
        <v>8</v>
      </c>
      <c r="AO34" s="3607">
        <v>8</v>
      </c>
      <c r="AP34" s="2328">
        <v>8</v>
      </c>
      <c r="AQ34" s="2328">
        <v>8</v>
      </c>
      <c r="AR34" s="3909"/>
      <c r="AS34" s="3612">
        <v>8</v>
      </c>
      <c r="AT34" s="2328">
        <v>8</v>
      </c>
      <c r="AU34" s="2329">
        <v>8</v>
      </c>
      <c r="AV34" s="3612">
        <v>8</v>
      </c>
      <c r="AW34" s="2328">
        <v>8</v>
      </c>
      <c r="AX34" s="2329">
        <v>8</v>
      </c>
      <c r="AY34" s="3612">
        <v>8</v>
      </c>
      <c r="AZ34" s="2328">
        <v>8</v>
      </c>
      <c r="BA34" s="2329">
        <v>8</v>
      </c>
      <c r="BB34" s="3607">
        <v>8</v>
      </c>
      <c r="BC34" s="2328">
        <v>8</v>
      </c>
      <c r="BD34" s="2328">
        <v>8</v>
      </c>
      <c r="BE34" s="2330"/>
    </row>
    <row r="35" spans="1:58" ht="14.25" thickBot="1">
      <c r="A35" s="2331" t="s">
        <v>1000</v>
      </c>
      <c r="B35" s="2332" t="s">
        <v>1003</v>
      </c>
      <c r="C35" s="2332"/>
      <c r="D35" s="2333"/>
      <c r="E35" s="4063"/>
      <c r="F35" s="2334">
        <f t="shared" ref="F35:G35" si="234">SUM(F31:F34)</f>
        <v>47</v>
      </c>
      <c r="G35" s="2335">
        <f t="shared" si="234"/>
        <v>46</v>
      </c>
      <c r="H35" s="2336">
        <f>SUM(H31:H34)</f>
        <v>43</v>
      </c>
      <c r="I35" s="2335">
        <f t="shared" ref="I35:Q35" si="235">SUM(I31:I34)</f>
        <v>44</v>
      </c>
      <c r="J35" s="2335">
        <f t="shared" si="235"/>
        <v>44</v>
      </c>
      <c r="K35" s="2336">
        <f t="shared" si="235"/>
        <v>44</v>
      </c>
      <c r="L35" s="2334">
        <f t="shared" si="235"/>
        <v>44</v>
      </c>
      <c r="M35" s="2335">
        <f t="shared" si="235"/>
        <v>44</v>
      </c>
      <c r="N35" s="2336">
        <f t="shared" si="235"/>
        <v>44</v>
      </c>
      <c r="O35" s="2335">
        <f t="shared" si="235"/>
        <v>44</v>
      </c>
      <c r="P35" s="2335">
        <f t="shared" si="235"/>
        <v>44</v>
      </c>
      <c r="Q35" s="2335">
        <f t="shared" si="235"/>
        <v>44</v>
      </c>
      <c r="R35" s="4069">
        <f>SUM(F35:Q35)</f>
        <v>532</v>
      </c>
      <c r="S35" s="2334">
        <f t="shared" ref="S35:AD35" si="236">SUM(S31:S34)</f>
        <v>62</v>
      </c>
      <c r="T35" s="2335">
        <f t="shared" si="236"/>
        <v>62</v>
      </c>
      <c r="U35" s="2336">
        <f t="shared" si="236"/>
        <v>62</v>
      </c>
      <c r="V35" s="2335">
        <f t="shared" si="236"/>
        <v>62</v>
      </c>
      <c r="W35" s="2335">
        <f t="shared" si="236"/>
        <v>62</v>
      </c>
      <c r="X35" s="2336">
        <f t="shared" si="236"/>
        <v>62</v>
      </c>
      <c r="Y35" s="2334">
        <f t="shared" si="236"/>
        <v>62</v>
      </c>
      <c r="Z35" s="2335">
        <f t="shared" si="236"/>
        <v>62</v>
      </c>
      <c r="AA35" s="2336">
        <f t="shared" si="236"/>
        <v>62</v>
      </c>
      <c r="AB35" s="2335">
        <f t="shared" si="236"/>
        <v>62</v>
      </c>
      <c r="AC35" s="2335">
        <f t="shared" si="236"/>
        <v>62</v>
      </c>
      <c r="AD35" s="2335">
        <f t="shared" si="236"/>
        <v>62</v>
      </c>
      <c r="AE35" s="3910">
        <f>SUM(S35:AD35)</f>
        <v>744</v>
      </c>
      <c r="AF35" s="2334">
        <f t="shared" ref="AF35:AQ35" si="237">SUM(AF31:AF34)</f>
        <v>62</v>
      </c>
      <c r="AG35" s="2335">
        <f t="shared" si="237"/>
        <v>62</v>
      </c>
      <c r="AH35" s="2336">
        <f t="shared" si="237"/>
        <v>62</v>
      </c>
      <c r="AI35" s="2335">
        <f t="shared" si="237"/>
        <v>62</v>
      </c>
      <c r="AJ35" s="2335">
        <f t="shared" si="237"/>
        <v>62</v>
      </c>
      <c r="AK35" s="2336">
        <f t="shared" si="237"/>
        <v>62</v>
      </c>
      <c r="AL35" s="2334">
        <f t="shared" si="237"/>
        <v>62</v>
      </c>
      <c r="AM35" s="2335">
        <f t="shared" si="237"/>
        <v>62</v>
      </c>
      <c r="AN35" s="2336">
        <f t="shared" si="237"/>
        <v>62</v>
      </c>
      <c r="AO35" s="2335">
        <f t="shared" si="237"/>
        <v>62</v>
      </c>
      <c r="AP35" s="2335">
        <f t="shared" si="237"/>
        <v>62</v>
      </c>
      <c r="AQ35" s="2335">
        <f t="shared" si="237"/>
        <v>62</v>
      </c>
      <c r="AR35" s="3910">
        <f>SUM(AF35:AQ35)</f>
        <v>744</v>
      </c>
      <c r="AS35" s="2334">
        <f t="shared" ref="AS35:BD35" si="238">SUM(AS31:AS34)</f>
        <v>62</v>
      </c>
      <c r="AT35" s="2335">
        <f t="shared" si="238"/>
        <v>62</v>
      </c>
      <c r="AU35" s="2336">
        <f t="shared" si="238"/>
        <v>62</v>
      </c>
      <c r="AV35" s="2335">
        <f t="shared" si="238"/>
        <v>62</v>
      </c>
      <c r="AW35" s="2335">
        <f t="shared" si="238"/>
        <v>62</v>
      </c>
      <c r="AX35" s="2336">
        <f t="shared" si="238"/>
        <v>62</v>
      </c>
      <c r="AY35" s="2334">
        <f t="shared" si="238"/>
        <v>62</v>
      </c>
      <c r="AZ35" s="2335">
        <f t="shared" si="238"/>
        <v>62</v>
      </c>
      <c r="BA35" s="2336">
        <f t="shared" si="238"/>
        <v>62</v>
      </c>
      <c r="BB35" s="2335">
        <f t="shared" si="238"/>
        <v>62</v>
      </c>
      <c r="BC35" s="2335">
        <f t="shared" si="238"/>
        <v>62</v>
      </c>
      <c r="BD35" s="2335">
        <f t="shared" si="238"/>
        <v>62</v>
      </c>
      <c r="BE35" s="2337">
        <f>SUM(AS35:BD35)</f>
        <v>744</v>
      </c>
    </row>
    <row r="36" spans="1:58" ht="14.25" thickBot="1">
      <c r="A36" s="2338" t="s">
        <v>998</v>
      </c>
      <c r="B36" s="2339"/>
      <c r="C36" s="2339"/>
      <c r="D36" s="2340"/>
      <c r="E36" s="4064">
        <f>824-39</f>
        <v>785</v>
      </c>
      <c r="F36" s="2341">
        <f>F29-F30+SUM(F31:F34)</f>
        <v>586.89576436448431</v>
      </c>
      <c r="G36" s="2342">
        <f t="shared" ref="G36" si="239">F36-G30+SUM(G31:G34)</f>
        <v>572.24216748153844</v>
      </c>
      <c r="H36" s="2343">
        <f>G36-H30+SUM(H31:H34)</f>
        <v>555.59654037514838</v>
      </c>
      <c r="I36" s="1801">
        <f>H36-I30+SUM(I31:I34)</f>
        <v>540.85363698182402</v>
      </c>
      <c r="J36" s="1799">
        <f t="shared" ref="J36" si="240">I36-J30+SUM(J31:J34)</f>
        <v>527.12802820681156</v>
      </c>
      <c r="K36" s="1800">
        <f t="shared" ref="K36" si="241">J36-K30+SUM(K31:K34)</f>
        <v>514.52232215940035</v>
      </c>
      <c r="L36" s="1850">
        <f t="shared" ref="L36" si="242">K36-L30+SUM(L31:L34)</f>
        <v>502.91958541925061</v>
      </c>
      <c r="M36" s="1799">
        <f t="shared" ref="M36" si="243">L36-M30+SUM(M31:M34)</f>
        <v>492.21509404141295</v>
      </c>
      <c r="N36" s="1800">
        <f t="shared" ref="N36" si="244">M36-N30+SUM(N31:N34)</f>
        <v>482.31505871728876</v>
      </c>
      <c r="O36" s="1801">
        <f t="shared" ref="O36" si="245">N36-O30+SUM(O31:O34)</f>
        <v>473.23989695449046</v>
      </c>
      <c r="P36" s="1799">
        <f t="shared" ref="P36" si="246">O36-P30+SUM(P31:P34)</f>
        <v>464.90348048089544</v>
      </c>
      <c r="Q36" s="1851">
        <f t="shared" ref="Q36" si="247">P36-Q30+SUM(Q31:Q34)</f>
        <v>457.22867401386048</v>
      </c>
      <c r="R36" s="2259">
        <f>R29-R30+R35</f>
        <v>457.22867401386054</v>
      </c>
      <c r="S36" s="3866" t="e">
        <f>S29-S30+S35</f>
        <v>#REF!</v>
      </c>
      <c r="T36" s="3867" t="e">
        <f>S36-T30+SUM(T31:T34)</f>
        <v>#REF!</v>
      </c>
      <c r="U36" s="3868" t="e">
        <f t="shared" ref="U36" si="248">T36-U30+SUM(U31:U34)</f>
        <v>#REF!</v>
      </c>
      <c r="V36" s="3019" t="e">
        <f>U36-V30+SUM(V31:V34)</f>
        <v>#REF!</v>
      </c>
      <c r="W36" s="3020" t="e">
        <f t="shared" ref="W36" si="249">V36-W30+SUM(W31:W34)</f>
        <v>#REF!</v>
      </c>
      <c r="X36" s="3021" t="e">
        <f t="shared" ref="X36" si="250">W36-X30+SUM(X31:X34)</f>
        <v>#REF!</v>
      </c>
      <c r="Y36" s="3022" t="e">
        <f t="shared" ref="Y36" si="251">X36-Y30+SUM(Y31:Y34)</f>
        <v>#REF!</v>
      </c>
      <c r="Z36" s="3020" t="e">
        <f t="shared" ref="Z36" si="252">Y36-Z30+SUM(Z31:Z34)</f>
        <v>#REF!</v>
      </c>
      <c r="AA36" s="3021" t="e">
        <f t="shared" ref="AA36" si="253">Z36-AA30+SUM(AA31:AA34)</f>
        <v>#REF!</v>
      </c>
      <c r="AB36" s="3019" t="e">
        <f t="shared" ref="AB36" si="254">AA36-AB30+SUM(AB31:AB34)</f>
        <v>#REF!</v>
      </c>
      <c r="AC36" s="3020" t="e">
        <f t="shared" ref="AC36" si="255">AB36-AC30+SUM(AC31:AC34)</f>
        <v>#REF!</v>
      </c>
      <c r="AD36" s="3023" t="e">
        <f t="shared" ref="AD36" si="256">AC36-AD30+SUM(AD31:AD34)</f>
        <v>#REF!</v>
      </c>
      <c r="AE36" s="2259" t="e">
        <f>AE29-AE30+AE35</f>
        <v>#REF!</v>
      </c>
      <c r="AF36" s="3866" t="e">
        <f>AF29-AF30+AF35</f>
        <v>#REF!</v>
      </c>
      <c r="AG36" s="3867" t="e">
        <f>AF36-AG30+SUM(AG31:AG34)</f>
        <v>#REF!</v>
      </c>
      <c r="AH36" s="3868" t="e">
        <f t="shared" ref="AH36" si="257">AG36-AH30+SUM(AH31:AH34)</f>
        <v>#REF!</v>
      </c>
      <c r="AI36" s="3019" t="e">
        <f>AH36-AI30+SUM(AI31:AI34)</f>
        <v>#REF!</v>
      </c>
      <c r="AJ36" s="3020" t="e">
        <f t="shared" ref="AJ36" si="258">AI36-AJ30+SUM(AJ31:AJ34)</f>
        <v>#REF!</v>
      </c>
      <c r="AK36" s="3021" t="e">
        <f t="shared" ref="AK36" si="259">AJ36-AK30+SUM(AK31:AK34)</f>
        <v>#REF!</v>
      </c>
      <c r="AL36" s="3022" t="e">
        <f t="shared" ref="AL36" si="260">AK36-AL30+SUM(AL31:AL34)</f>
        <v>#REF!</v>
      </c>
      <c r="AM36" s="3020" t="e">
        <f t="shared" ref="AM36" si="261">AL36-AM30+SUM(AM31:AM34)</f>
        <v>#REF!</v>
      </c>
      <c r="AN36" s="3021" t="e">
        <f t="shared" ref="AN36" si="262">AM36-AN30+SUM(AN31:AN34)</f>
        <v>#REF!</v>
      </c>
      <c r="AO36" s="3019" t="e">
        <f t="shared" ref="AO36" si="263">AN36-AO30+SUM(AO31:AO34)</f>
        <v>#REF!</v>
      </c>
      <c r="AP36" s="3020" t="e">
        <f t="shared" ref="AP36" si="264">AO36-AP30+SUM(AP31:AP34)</f>
        <v>#REF!</v>
      </c>
      <c r="AQ36" s="3023" t="e">
        <f t="shared" ref="AQ36" si="265">AP36-AQ30+SUM(AQ31:AQ34)</f>
        <v>#REF!</v>
      </c>
      <c r="AR36" s="2259" t="e">
        <f>AR29-AR30+AR35</f>
        <v>#REF!</v>
      </c>
      <c r="AS36" s="3866" t="e">
        <f>AS29-AS30+AS35</f>
        <v>#REF!</v>
      </c>
      <c r="AT36" s="3867" t="e">
        <f>AS36-AT30+SUM(AT31:AT34)</f>
        <v>#REF!</v>
      </c>
      <c r="AU36" s="3868" t="e">
        <f t="shared" ref="AU36" si="266">AT36-AU30+SUM(AU31:AU34)</f>
        <v>#REF!</v>
      </c>
      <c r="AV36" s="3019" t="e">
        <f>AU36-AV30+SUM(AV31:AV34)</f>
        <v>#REF!</v>
      </c>
      <c r="AW36" s="3020" t="e">
        <f t="shared" ref="AW36" si="267">AV36-AW30+SUM(AW31:AW34)</f>
        <v>#REF!</v>
      </c>
      <c r="AX36" s="3021" t="e">
        <f t="shared" ref="AX36" si="268">AW36-AX30+SUM(AX31:AX34)</f>
        <v>#REF!</v>
      </c>
      <c r="AY36" s="3022" t="e">
        <f t="shared" ref="AY36" si="269">AX36-AY30+SUM(AY31:AY34)</f>
        <v>#REF!</v>
      </c>
      <c r="AZ36" s="3020" t="e">
        <f t="shared" ref="AZ36" si="270">AY36-AZ30+SUM(AZ31:AZ34)</f>
        <v>#REF!</v>
      </c>
      <c r="BA36" s="3021" t="e">
        <f t="shared" ref="BA36" si="271">AZ36-BA30+SUM(BA31:BA34)</f>
        <v>#REF!</v>
      </c>
      <c r="BB36" s="3019" t="e">
        <f t="shared" ref="BB36" si="272">BA36-BB30+SUM(BB31:BB34)</f>
        <v>#REF!</v>
      </c>
      <c r="BC36" s="3020" t="e">
        <f t="shared" ref="BC36" si="273">BB36-BC30+SUM(BC31:BC34)</f>
        <v>#REF!</v>
      </c>
      <c r="BD36" s="3023" t="e">
        <f t="shared" ref="BD36" si="274">BC36-BD30+SUM(BD31:BD34)</f>
        <v>#REF!</v>
      </c>
      <c r="BE36" s="1692" t="e">
        <f>BE29-BE30+BE35</f>
        <v>#REF!</v>
      </c>
    </row>
    <row r="37" spans="1:58" hidden="1">
      <c r="A37" s="9" t="s">
        <v>1004</v>
      </c>
      <c r="C37" s="2344">
        <f>E30</f>
        <v>0.1044139079741828</v>
      </c>
      <c r="F37" s="1544" t="s">
        <v>1197</v>
      </c>
      <c r="I37" s="1544" t="s">
        <v>1207</v>
      </c>
      <c r="O37" s="1544" t="s">
        <v>1219</v>
      </c>
      <c r="S37" s="1544" t="s">
        <v>1197</v>
      </c>
      <c r="V37" s="1544" t="s">
        <v>1207</v>
      </c>
      <c r="AB37" s="1544" t="s">
        <v>1219</v>
      </c>
      <c r="AF37" s="1544" t="s">
        <v>1197</v>
      </c>
      <c r="AI37" s="1544" t="s">
        <v>1207</v>
      </c>
      <c r="AO37" s="1544" t="s">
        <v>1219</v>
      </c>
      <c r="AS37" s="1544" t="s">
        <v>1197</v>
      </c>
      <c r="AV37" s="1544" t="s">
        <v>1207</v>
      </c>
      <c r="BB37" s="9" t="s">
        <v>1219</v>
      </c>
    </row>
    <row r="38" spans="1:58" hidden="1">
      <c r="A38" s="9" t="s">
        <v>1005</v>
      </c>
      <c r="C38" s="2344"/>
      <c r="F38" s="1544" t="s">
        <v>1198</v>
      </c>
      <c r="I38" s="1544" t="s">
        <v>1203</v>
      </c>
      <c r="S38" s="1544" t="s">
        <v>1198</v>
      </c>
      <c r="V38" s="1544" t="s">
        <v>1203</v>
      </c>
      <c r="AF38" s="1544" t="s">
        <v>1198</v>
      </c>
      <c r="AI38" s="1544" t="s">
        <v>1203</v>
      </c>
      <c r="AS38" s="1544" t="s">
        <v>1198</v>
      </c>
      <c r="AV38" s="1544" t="s">
        <v>1203</v>
      </c>
    </row>
    <row r="39" spans="1:58" ht="18" customHeight="1" thickBot="1">
      <c r="A39" s="2251"/>
      <c r="B39" s="2345"/>
      <c r="C39" s="2251"/>
      <c r="D39" s="2251"/>
      <c r="E39" s="2346"/>
      <c r="F39" s="2347"/>
      <c r="G39" s="2347"/>
      <c r="H39" s="2347"/>
      <c r="I39" s="2347" t="s">
        <v>246</v>
      </c>
      <c r="J39" s="2347"/>
      <c r="K39" s="2347"/>
      <c r="L39" s="2347"/>
      <c r="M39" s="2347"/>
      <c r="N39" s="2347"/>
      <c r="O39" s="2347"/>
      <c r="P39" s="2347"/>
      <c r="Q39" s="2347"/>
      <c r="R39" s="2347"/>
      <c r="S39" s="2347"/>
      <c r="T39" s="2347"/>
      <c r="U39" s="2347"/>
      <c r="V39" s="2347" t="s">
        <v>246</v>
      </c>
      <c r="W39" s="2347"/>
      <c r="X39" s="2347"/>
      <c r="Y39" s="2347"/>
      <c r="Z39" s="2347"/>
      <c r="AA39" s="2347"/>
      <c r="AB39" s="2347"/>
      <c r="AC39" s="2347"/>
      <c r="AD39" s="2347"/>
      <c r="AE39" s="2347"/>
      <c r="AF39" s="2347"/>
      <c r="AG39" s="2347"/>
      <c r="AH39" s="2347"/>
      <c r="AI39" s="2347" t="s">
        <v>246</v>
      </c>
      <c r="AJ39" s="2347"/>
      <c r="AK39" s="2347"/>
      <c r="AL39" s="2347"/>
      <c r="AM39" s="2347"/>
      <c r="AN39" s="2347"/>
      <c r="AO39" s="2347"/>
      <c r="AP39" s="2347"/>
      <c r="AQ39" s="2347"/>
      <c r="AR39" s="2347"/>
      <c r="AS39" s="2347"/>
      <c r="AT39" s="2347"/>
      <c r="AU39" s="2347"/>
      <c r="AV39" s="2347" t="s">
        <v>246</v>
      </c>
      <c r="AW39" s="2347"/>
      <c r="AX39" s="2347"/>
      <c r="AY39" s="2347"/>
      <c r="AZ39" s="2347"/>
      <c r="BA39" s="2347"/>
      <c r="BB39" s="2347"/>
      <c r="BC39" s="2347"/>
      <c r="BD39" s="2347"/>
      <c r="BE39" s="2252"/>
    </row>
    <row r="40" spans="1:58" s="1631" customFormat="1" ht="23.25" customHeight="1" thickBot="1">
      <c r="A40" s="5365" t="s">
        <v>482</v>
      </c>
      <c r="B40" s="5366"/>
      <c r="C40" s="5366"/>
      <c r="D40" s="5366"/>
      <c r="E40" s="2348">
        <v>890</v>
      </c>
      <c r="F40" s="3141">
        <f>F13+F25+F36</f>
        <v>835.89576436448431</v>
      </c>
      <c r="G40" s="3142">
        <f t="shared" ref="G40:Q40" si="275">G13+G25+G36</f>
        <v>821.24216748153844</v>
      </c>
      <c r="H40" s="3143">
        <f>H13+H25+H36</f>
        <v>804.59654037514838</v>
      </c>
      <c r="I40" s="3141">
        <f t="shared" si="275"/>
        <v>789.85363698182402</v>
      </c>
      <c r="J40" s="3142">
        <f t="shared" si="275"/>
        <v>776.12802820681156</v>
      </c>
      <c r="K40" s="3143">
        <f t="shared" si="275"/>
        <v>763.52232215940035</v>
      </c>
      <c r="L40" s="3141">
        <f t="shared" si="275"/>
        <v>751.91958541925055</v>
      </c>
      <c r="M40" s="3142">
        <f t="shared" si="275"/>
        <v>741.21509404141295</v>
      </c>
      <c r="N40" s="3143">
        <f t="shared" si="275"/>
        <v>731.31505871728882</v>
      </c>
      <c r="O40" s="3141">
        <f t="shared" si="275"/>
        <v>722.2398969544904</v>
      </c>
      <c r="P40" s="3142">
        <f t="shared" si="275"/>
        <v>713.9034804808955</v>
      </c>
      <c r="Q40" s="3142">
        <f t="shared" si="275"/>
        <v>706.22867401386043</v>
      </c>
      <c r="R40" s="3911">
        <f>AVERAGE(F40:Q40)</f>
        <v>763.17168743303375</v>
      </c>
      <c r="S40" s="3141" t="e">
        <f>S13+S25+S36</f>
        <v>#REF!</v>
      </c>
      <c r="T40" s="3142" t="e">
        <f t="shared" ref="T40:AD40" si="276">T13+T25+T36</f>
        <v>#REF!</v>
      </c>
      <c r="U40" s="3143" t="e">
        <f t="shared" si="276"/>
        <v>#REF!</v>
      </c>
      <c r="V40" s="3141" t="e">
        <f t="shared" si="276"/>
        <v>#REF!</v>
      </c>
      <c r="W40" s="3142" t="e">
        <f t="shared" si="276"/>
        <v>#REF!</v>
      </c>
      <c r="X40" s="3143" t="e">
        <f t="shared" si="276"/>
        <v>#REF!</v>
      </c>
      <c r="Y40" s="3141" t="e">
        <f t="shared" si="276"/>
        <v>#REF!</v>
      </c>
      <c r="Z40" s="3142" t="e">
        <f t="shared" si="276"/>
        <v>#REF!</v>
      </c>
      <c r="AA40" s="3143" t="e">
        <f t="shared" si="276"/>
        <v>#REF!</v>
      </c>
      <c r="AB40" s="3141" t="e">
        <f t="shared" si="276"/>
        <v>#REF!</v>
      </c>
      <c r="AC40" s="3142" t="e">
        <f t="shared" si="276"/>
        <v>#REF!</v>
      </c>
      <c r="AD40" s="3142" t="e">
        <f t="shared" si="276"/>
        <v>#REF!</v>
      </c>
      <c r="AE40" s="3911" t="e">
        <f>AVERAGE(S40:AD40)</f>
        <v>#REF!</v>
      </c>
      <c r="AF40" s="3141" t="e">
        <f>AF13+AF25+AF36</f>
        <v>#REF!</v>
      </c>
      <c r="AG40" s="3142" t="e">
        <f t="shared" ref="AG40:AQ40" si="277">AG13+AG25+AG36</f>
        <v>#REF!</v>
      </c>
      <c r="AH40" s="3143" t="e">
        <f t="shared" si="277"/>
        <v>#REF!</v>
      </c>
      <c r="AI40" s="3141" t="e">
        <f t="shared" si="277"/>
        <v>#REF!</v>
      </c>
      <c r="AJ40" s="3142" t="e">
        <f t="shared" si="277"/>
        <v>#REF!</v>
      </c>
      <c r="AK40" s="3143" t="e">
        <f t="shared" si="277"/>
        <v>#REF!</v>
      </c>
      <c r="AL40" s="3141" t="e">
        <f t="shared" si="277"/>
        <v>#REF!</v>
      </c>
      <c r="AM40" s="3142" t="e">
        <f t="shared" si="277"/>
        <v>#REF!</v>
      </c>
      <c r="AN40" s="3143" t="e">
        <f t="shared" si="277"/>
        <v>#REF!</v>
      </c>
      <c r="AO40" s="3141" t="e">
        <f t="shared" si="277"/>
        <v>#REF!</v>
      </c>
      <c r="AP40" s="3142" t="e">
        <f t="shared" si="277"/>
        <v>#REF!</v>
      </c>
      <c r="AQ40" s="3142" t="e">
        <f t="shared" si="277"/>
        <v>#REF!</v>
      </c>
      <c r="AR40" s="3911" t="e">
        <f>AVERAGE(AF40:AQ40)</f>
        <v>#REF!</v>
      </c>
      <c r="AS40" s="3141" t="e">
        <f>AS13+AS25+AS36</f>
        <v>#REF!</v>
      </c>
      <c r="AT40" s="3142" t="e">
        <f t="shared" ref="AT40:BD40" si="278">AT13+AT25+AT36</f>
        <v>#REF!</v>
      </c>
      <c r="AU40" s="3143" t="e">
        <f t="shared" si="278"/>
        <v>#REF!</v>
      </c>
      <c r="AV40" s="3141" t="e">
        <f t="shared" si="278"/>
        <v>#REF!</v>
      </c>
      <c r="AW40" s="3142" t="e">
        <f t="shared" si="278"/>
        <v>#REF!</v>
      </c>
      <c r="AX40" s="3143" t="e">
        <f t="shared" si="278"/>
        <v>#REF!</v>
      </c>
      <c r="AY40" s="3141" t="e">
        <f t="shared" si="278"/>
        <v>#REF!</v>
      </c>
      <c r="AZ40" s="3142" t="e">
        <f t="shared" si="278"/>
        <v>#REF!</v>
      </c>
      <c r="BA40" s="1684" t="e">
        <f t="shared" si="278"/>
        <v>#REF!</v>
      </c>
      <c r="BB40" s="1682" t="e">
        <f t="shared" si="278"/>
        <v>#REF!</v>
      </c>
      <c r="BC40" s="1683" t="e">
        <f t="shared" si="278"/>
        <v>#REF!</v>
      </c>
      <c r="BD40" s="1683" t="e">
        <f t="shared" si="278"/>
        <v>#REF!</v>
      </c>
      <c r="BE40" s="3029" t="e">
        <f>AVERAGE(AS40:BD40)</f>
        <v>#REF!</v>
      </c>
    </row>
    <row r="41" spans="1:58" s="1631" customFormat="1" ht="18" customHeight="1" thickBot="1">
      <c r="A41" s="1993"/>
      <c r="B41" s="2298"/>
      <c r="C41" s="1993"/>
      <c r="D41" s="1993"/>
      <c r="E41" s="2299"/>
      <c r="F41" s="1577"/>
      <c r="G41" s="1577"/>
      <c r="H41" s="4888"/>
      <c r="I41" s="4888"/>
      <c r="J41" s="4888"/>
      <c r="K41" s="4888"/>
      <c r="L41" s="4888"/>
      <c r="M41" s="1577"/>
      <c r="N41" s="1577"/>
      <c r="O41" s="1577"/>
      <c r="P41" s="1577"/>
      <c r="Q41" s="4329" t="s">
        <v>1390</v>
      </c>
      <c r="R41" s="4330">
        <f>E40-Q40</f>
        <v>183.77132598613957</v>
      </c>
      <c r="S41" s="1577"/>
      <c r="T41" s="1577"/>
      <c r="U41" s="1577"/>
      <c r="V41" s="1577"/>
      <c r="W41" s="1577"/>
      <c r="X41" s="1577"/>
      <c r="Y41" s="1577"/>
      <c r="Z41" s="1577"/>
      <c r="AA41" s="1577"/>
      <c r="AB41" s="1577"/>
      <c r="AC41" s="1577"/>
      <c r="AD41" s="1577"/>
      <c r="AE41" s="1652"/>
      <c r="AF41" s="1577"/>
      <c r="AG41" s="1577"/>
      <c r="AH41" s="1577"/>
      <c r="AI41" s="1577"/>
      <c r="AJ41" s="1577"/>
      <c r="AK41" s="1577"/>
      <c r="AL41" s="1577"/>
      <c r="AM41" s="1577"/>
      <c r="AN41" s="1577"/>
      <c r="AO41" s="1577"/>
      <c r="AP41" s="1577"/>
      <c r="AQ41" s="1577"/>
      <c r="AR41" s="1652"/>
      <c r="AS41" s="1577"/>
      <c r="AT41" s="1577"/>
      <c r="AU41" s="1577"/>
      <c r="AV41" s="1577"/>
      <c r="AW41" s="1577"/>
      <c r="AX41" s="1577"/>
      <c r="AY41" s="1577"/>
      <c r="AZ41" s="1577"/>
      <c r="BA41" s="2580"/>
      <c r="BB41" s="2580"/>
      <c r="BC41" s="2580"/>
      <c r="BD41" s="2580"/>
      <c r="BE41" s="1555"/>
    </row>
    <row r="42" spans="1:58" ht="18" customHeight="1" thickTop="1" thickBot="1">
      <c r="A42" s="1547" t="s">
        <v>988</v>
      </c>
      <c r="B42" s="1520"/>
      <c r="C42" s="3495"/>
      <c r="D42" s="1520"/>
      <c r="E42" s="2302"/>
      <c r="F42" s="4331" t="s">
        <v>1391</v>
      </c>
      <c r="G42" s="4332">
        <v>0.05</v>
      </c>
      <c r="H42" s="3861"/>
      <c r="I42" s="3861"/>
      <c r="J42" s="3861"/>
      <c r="K42" s="3861"/>
      <c r="L42" s="3861"/>
      <c r="M42" s="3861"/>
      <c r="N42" s="3861"/>
      <c r="O42" s="3861"/>
      <c r="P42" s="3861"/>
      <c r="Q42" s="3861"/>
      <c r="R42" s="1954" t="s">
        <v>87</v>
      </c>
      <c r="S42" s="3861"/>
      <c r="T42" s="3861"/>
      <c r="U42" s="3861"/>
      <c r="V42" s="3861"/>
      <c r="W42" s="3861"/>
      <c r="X42" s="3861"/>
      <c r="Y42" s="3861"/>
      <c r="Z42" s="3861"/>
      <c r="AA42" s="3861"/>
      <c r="AB42" s="3861"/>
      <c r="AC42" s="3861"/>
      <c r="AD42" s="3861"/>
      <c r="AE42" s="1954" t="s">
        <v>87</v>
      </c>
      <c r="AF42" s="3861"/>
      <c r="AG42" s="3861"/>
      <c r="AH42" s="3861"/>
      <c r="AI42" s="3861"/>
      <c r="AJ42" s="3861"/>
      <c r="AK42" s="3861"/>
      <c r="AL42" s="3861"/>
      <c r="AM42" s="3861"/>
      <c r="AN42" s="3861"/>
      <c r="AO42" s="3861"/>
      <c r="AP42" s="3861"/>
      <c r="AQ42" s="3861"/>
      <c r="AR42" s="1954" t="s">
        <v>87</v>
      </c>
      <c r="AS42" s="3861"/>
      <c r="AT42" s="3861"/>
      <c r="AU42" s="3861"/>
      <c r="AV42" s="3861"/>
      <c r="AW42" s="3861"/>
      <c r="AX42" s="3861"/>
      <c r="AY42" s="3861"/>
      <c r="AZ42" s="3861"/>
      <c r="BA42" s="2350"/>
      <c r="BB42" s="2350"/>
      <c r="BC42" s="2350"/>
      <c r="BD42" s="2350"/>
      <c r="BE42" s="1875" t="s">
        <v>87</v>
      </c>
    </row>
    <row r="43" spans="1:58" ht="18" customHeight="1" thickBot="1">
      <c r="A43" s="89" t="s">
        <v>112</v>
      </c>
      <c r="B43" s="72" t="s">
        <v>124</v>
      </c>
      <c r="C43" s="81" t="s">
        <v>104</v>
      </c>
      <c r="D43" s="81" t="s">
        <v>852</v>
      </c>
      <c r="E43" s="1699" t="s">
        <v>352</v>
      </c>
      <c r="F43" s="1876" t="str">
        <f>F28</f>
        <v>Jan.26</v>
      </c>
      <c r="G43" s="1877" t="str">
        <f t="shared" ref="G43:Q43" si="279">G28</f>
        <v>Feb.26</v>
      </c>
      <c r="H43" s="1878" t="str">
        <f t="shared" si="279"/>
        <v>Mar.26</v>
      </c>
      <c r="I43" s="1876" t="str">
        <f t="shared" si="279"/>
        <v>Apr.26</v>
      </c>
      <c r="J43" s="1877" t="str">
        <f t="shared" si="279"/>
        <v>May.26</v>
      </c>
      <c r="K43" s="1878" t="str">
        <f t="shared" si="279"/>
        <v>Jun.26</v>
      </c>
      <c r="L43" s="1876" t="str">
        <f t="shared" si="279"/>
        <v>Jul.26</v>
      </c>
      <c r="M43" s="1877" t="str">
        <f t="shared" si="279"/>
        <v>Aug.26</v>
      </c>
      <c r="N43" s="1878" t="str">
        <f t="shared" si="279"/>
        <v>Sep.26</v>
      </c>
      <c r="O43" s="1876" t="str">
        <f t="shared" si="279"/>
        <v>Oct.26</v>
      </c>
      <c r="P43" s="1877" t="str">
        <f t="shared" si="279"/>
        <v>Nov.26</v>
      </c>
      <c r="Q43" s="1878" t="str">
        <f t="shared" si="279"/>
        <v>Dec.26</v>
      </c>
      <c r="R43" s="2598" t="s">
        <v>15</v>
      </c>
      <c r="S43" s="1876" t="s">
        <v>430</v>
      </c>
      <c r="T43" s="1877" t="s">
        <v>557</v>
      </c>
      <c r="U43" s="1878" t="s">
        <v>558</v>
      </c>
      <c r="V43" s="1876" t="s">
        <v>431</v>
      </c>
      <c r="W43" s="1877" t="s">
        <v>559</v>
      </c>
      <c r="X43" s="1878" t="s">
        <v>560</v>
      </c>
      <c r="Y43" s="1876" t="s">
        <v>561</v>
      </c>
      <c r="Z43" s="1877" t="s">
        <v>562</v>
      </c>
      <c r="AA43" s="1878" t="s">
        <v>563</v>
      </c>
      <c r="AB43" s="1876" t="s">
        <v>564</v>
      </c>
      <c r="AC43" s="1877" t="s">
        <v>565</v>
      </c>
      <c r="AD43" s="1878" t="s">
        <v>566</v>
      </c>
      <c r="AE43" s="2598" t="s">
        <v>15</v>
      </c>
      <c r="AF43" s="1876" t="s">
        <v>430</v>
      </c>
      <c r="AG43" s="1877" t="s">
        <v>557</v>
      </c>
      <c r="AH43" s="1878" t="s">
        <v>558</v>
      </c>
      <c r="AI43" s="1876" t="s">
        <v>431</v>
      </c>
      <c r="AJ43" s="1877" t="s">
        <v>559</v>
      </c>
      <c r="AK43" s="1878" t="s">
        <v>560</v>
      </c>
      <c r="AL43" s="1876" t="s">
        <v>561</v>
      </c>
      <c r="AM43" s="1877" t="s">
        <v>562</v>
      </c>
      <c r="AN43" s="1878" t="s">
        <v>563</v>
      </c>
      <c r="AO43" s="1876" t="s">
        <v>564</v>
      </c>
      <c r="AP43" s="1877" t="s">
        <v>565</v>
      </c>
      <c r="AQ43" s="1878" t="s">
        <v>566</v>
      </c>
      <c r="AR43" s="2598" t="s">
        <v>15</v>
      </c>
      <c r="AS43" s="1876" t="s">
        <v>430</v>
      </c>
      <c r="AT43" s="1877" t="s">
        <v>557</v>
      </c>
      <c r="AU43" s="1878" t="s">
        <v>558</v>
      </c>
      <c r="AV43" s="1876" t="s">
        <v>431</v>
      </c>
      <c r="AW43" s="1877" t="s">
        <v>559</v>
      </c>
      <c r="AX43" s="1878" t="s">
        <v>560</v>
      </c>
      <c r="AY43" s="1876" t="s">
        <v>561</v>
      </c>
      <c r="AZ43" s="1877" t="s">
        <v>562</v>
      </c>
      <c r="BA43" s="1878" t="s">
        <v>563</v>
      </c>
      <c r="BB43" s="1876" t="s">
        <v>564</v>
      </c>
      <c r="BC43" s="1877" t="s">
        <v>565</v>
      </c>
      <c r="BD43" s="1878" t="s">
        <v>566</v>
      </c>
      <c r="BE43" s="1550" t="s">
        <v>15</v>
      </c>
    </row>
    <row r="44" spans="1:58" ht="18" customHeight="1">
      <c r="A44" s="5375" t="s">
        <v>312</v>
      </c>
      <c r="B44" s="1690" t="s">
        <v>823</v>
      </c>
      <c r="C44" s="2272">
        <f>54251/5</f>
        <v>10850.2</v>
      </c>
      <c r="D44" s="2272">
        <v>1200</v>
      </c>
      <c r="E44" s="1656">
        <v>5</v>
      </c>
      <c r="F44" s="4381">
        <f t="shared" ref="F44:Q44" si="280">($C44-$D44)*F5*(1+$G$42)</f>
        <v>50663.55</v>
      </c>
      <c r="G44" s="4382">
        <f>($C44-$D44)*G5*(1+$G$42)</f>
        <v>50663.55</v>
      </c>
      <c r="H44" s="4383">
        <f t="shared" si="280"/>
        <v>50663.55</v>
      </c>
      <c r="I44" s="4381">
        <f t="shared" si="280"/>
        <v>50663.55</v>
      </c>
      <c r="J44" s="4382">
        <f t="shared" si="280"/>
        <v>50663.55</v>
      </c>
      <c r="K44" s="4383">
        <f t="shared" si="280"/>
        <v>50663.55</v>
      </c>
      <c r="L44" s="4381">
        <f t="shared" si="280"/>
        <v>50663.55</v>
      </c>
      <c r="M44" s="4382">
        <f t="shared" si="280"/>
        <v>50663.55</v>
      </c>
      <c r="N44" s="4383">
        <f t="shared" si="280"/>
        <v>50663.55</v>
      </c>
      <c r="O44" s="4381">
        <f t="shared" si="280"/>
        <v>50663.55</v>
      </c>
      <c r="P44" s="4382">
        <f t="shared" si="280"/>
        <v>50663.55</v>
      </c>
      <c r="Q44" s="4383">
        <f t="shared" si="280"/>
        <v>50663.55</v>
      </c>
      <c r="R44" s="2606">
        <f>SUM(F44:Q44)</f>
        <v>607962.6</v>
      </c>
      <c r="S44" s="2263">
        <f t="shared" ref="S44:AD44" si="281">($C44-$D$44)*S5</f>
        <v>57901.200000000004</v>
      </c>
      <c r="T44" s="1726">
        <f t="shared" si="281"/>
        <v>57901.200000000004</v>
      </c>
      <c r="U44" s="1727">
        <f t="shared" si="281"/>
        <v>48251</v>
      </c>
      <c r="V44" s="2263">
        <f t="shared" si="281"/>
        <v>48251</v>
      </c>
      <c r="W44" s="1726">
        <f t="shared" si="281"/>
        <v>48251</v>
      </c>
      <c r="X44" s="1727">
        <f t="shared" si="281"/>
        <v>48251</v>
      </c>
      <c r="Y44" s="2263">
        <f t="shared" si="281"/>
        <v>48251</v>
      </c>
      <c r="Z44" s="1726">
        <f t="shared" si="281"/>
        <v>48251</v>
      </c>
      <c r="AA44" s="1727">
        <f t="shared" si="281"/>
        <v>48251</v>
      </c>
      <c r="AB44" s="2263">
        <f t="shared" si="281"/>
        <v>48251</v>
      </c>
      <c r="AC44" s="1726">
        <f t="shared" si="281"/>
        <v>48251</v>
      </c>
      <c r="AD44" s="1727">
        <f t="shared" si="281"/>
        <v>48251</v>
      </c>
      <c r="AE44" s="2606">
        <f>SUM(S44:AD44)</f>
        <v>598312.4</v>
      </c>
      <c r="AF44" s="2263">
        <f t="shared" ref="AF44:AQ44" si="282">($C44-$D$44)*AF5</f>
        <v>57901.200000000004</v>
      </c>
      <c r="AG44" s="1726">
        <f t="shared" si="282"/>
        <v>57901.200000000004</v>
      </c>
      <c r="AH44" s="1727">
        <f t="shared" si="282"/>
        <v>48251</v>
      </c>
      <c r="AI44" s="2263">
        <f t="shared" si="282"/>
        <v>48251</v>
      </c>
      <c r="AJ44" s="1726">
        <f t="shared" si="282"/>
        <v>48251</v>
      </c>
      <c r="AK44" s="1727">
        <f t="shared" si="282"/>
        <v>48251</v>
      </c>
      <c r="AL44" s="2263">
        <f t="shared" si="282"/>
        <v>48251</v>
      </c>
      <c r="AM44" s="1726">
        <f t="shared" si="282"/>
        <v>48251</v>
      </c>
      <c r="AN44" s="1727">
        <f t="shared" si="282"/>
        <v>48251</v>
      </c>
      <c r="AO44" s="2263">
        <f t="shared" si="282"/>
        <v>48251</v>
      </c>
      <c r="AP44" s="1726">
        <f t="shared" si="282"/>
        <v>48251</v>
      </c>
      <c r="AQ44" s="1727">
        <f t="shared" si="282"/>
        <v>48251</v>
      </c>
      <c r="AR44" s="2606">
        <f>SUM(AF44:AQ44)</f>
        <v>598312.4</v>
      </c>
      <c r="AS44" s="2263">
        <f t="shared" ref="AS44:BD44" si="283">($C44-$D$44)*AS5</f>
        <v>57901.200000000004</v>
      </c>
      <c r="AT44" s="1726">
        <f t="shared" si="283"/>
        <v>57901.200000000004</v>
      </c>
      <c r="AU44" s="1727">
        <f t="shared" si="283"/>
        <v>48251</v>
      </c>
      <c r="AV44" s="2263">
        <f t="shared" si="283"/>
        <v>48251</v>
      </c>
      <c r="AW44" s="1726">
        <f t="shared" si="283"/>
        <v>48251</v>
      </c>
      <c r="AX44" s="1727">
        <f t="shared" si="283"/>
        <v>48251</v>
      </c>
      <c r="AY44" s="2263">
        <f t="shared" si="283"/>
        <v>48251</v>
      </c>
      <c r="AZ44" s="1726">
        <f t="shared" si="283"/>
        <v>48251</v>
      </c>
      <c r="BA44" s="1727">
        <f t="shared" si="283"/>
        <v>48251</v>
      </c>
      <c r="BB44" s="2263">
        <f t="shared" si="283"/>
        <v>48251</v>
      </c>
      <c r="BC44" s="1726">
        <f t="shared" si="283"/>
        <v>48251</v>
      </c>
      <c r="BD44" s="1727">
        <f t="shared" si="283"/>
        <v>48251</v>
      </c>
      <c r="BE44" s="1554">
        <f>SUM(AS44:BD44)</f>
        <v>598312.4</v>
      </c>
    </row>
    <row r="45" spans="1:58" ht="18" customHeight="1">
      <c r="A45" s="5376"/>
      <c r="B45" s="2114" t="s">
        <v>434</v>
      </c>
      <c r="C45" s="2272">
        <f>17901/2</f>
        <v>8950.5</v>
      </c>
      <c r="D45" s="2272">
        <v>400</v>
      </c>
      <c r="E45" s="1662">
        <f>E6</f>
        <v>2</v>
      </c>
      <c r="F45" s="4385">
        <f t="shared" ref="F45:Q45" si="284">($C45-$D45)*F6*(1+$G$42)</f>
        <v>17956.05</v>
      </c>
      <c r="G45" s="4384">
        <f t="shared" si="284"/>
        <v>17956.05</v>
      </c>
      <c r="H45" s="4386">
        <f t="shared" si="284"/>
        <v>17956.05</v>
      </c>
      <c r="I45" s="4385">
        <f t="shared" si="284"/>
        <v>17956.05</v>
      </c>
      <c r="J45" s="4384">
        <f t="shared" si="284"/>
        <v>17956.05</v>
      </c>
      <c r="K45" s="4386">
        <f t="shared" si="284"/>
        <v>17956.05</v>
      </c>
      <c r="L45" s="4385">
        <f t="shared" si="284"/>
        <v>17956.05</v>
      </c>
      <c r="M45" s="4384">
        <f t="shared" si="284"/>
        <v>17956.05</v>
      </c>
      <c r="N45" s="4386">
        <f t="shared" si="284"/>
        <v>17956.05</v>
      </c>
      <c r="O45" s="4385">
        <f t="shared" si="284"/>
        <v>17956.05</v>
      </c>
      <c r="P45" s="4384">
        <f t="shared" si="284"/>
        <v>17956.05</v>
      </c>
      <c r="Q45" s="4386">
        <f t="shared" si="284"/>
        <v>17956.05</v>
      </c>
      <c r="R45" s="2200">
        <f t="shared" ref="R45:R50" si="285">SUM(F45:Q45)</f>
        <v>215472.59999999995</v>
      </c>
      <c r="S45" s="1781">
        <f t="shared" ref="S45:AD45" si="286">($C45-$D$45)*S6</f>
        <v>8550.5</v>
      </c>
      <c r="T45" s="1657">
        <f t="shared" si="286"/>
        <v>8550.5</v>
      </c>
      <c r="U45" s="1658">
        <f t="shared" si="286"/>
        <v>8550.5</v>
      </c>
      <c r="V45" s="1781">
        <f t="shared" si="286"/>
        <v>8550.5</v>
      </c>
      <c r="W45" s="1657">
        <f t="shared" si="286"/>
        <v>8550.5</v>
      </c>
      <c r="X45" s="1658">
        <f t="shared" si="286"/>
        <v>8550.5</v>
      </c>
      <c r="Y45" s="1781">
        <f t="shared" si="286"/>
        <v>8550.5</v>
      </c>
      <c r="Z45" s="1657">
        <f t="shared" si="286"/>
        <v>8550.5</v>
      </c>
      <c r="AA45" s="1658">
        <f t="shared" si="286"/>
        <v>8550.5</v>
      </c>
      <c r="AB45" s="1781">
        <f t="shared" si="286"/>
        <v>8550.5</v>
      </c>
      <c r="AC45" s="1657">
        <f t="shared" si="286"/>
        <v>8550.5</v>
      </c>
      <c r="AD45" s="1658">
        <f t="shared" si="286"/>
        <v>8550.5</v>
      </c>
      <c r="AE45" s="2200">
        <f t="shared" ref="AE45:AE50" si="287">SUM(S45:AD45)</f>
        <v>102606</v>
      </c>
      <c r="AF45" s="1781">
        <f t="shared" ref="AF45:AQ45" si="288">($C45-$D$45)*AF6</f>
        <v>8550.5</v>
      </c>
      <c r="AG45" s="1657">
        <f t="shared" si="288"/>
        <v>8550.5</v>
      </c>
      <c r="AH45" s="1658">
        <f t="shared" si="288"/>
        <v>8550.5</v>
      </c>
      <c r="AI45" s="1781">
        <f t="shared" si="288"/>
        <v>8550.5</v>
      </c>
      <c r="AJ45" s="1657">
        <f t="shared" si="288"/>
        <v>8550.5</v>
      </c>
      <c r="AK45" s="1658">
        <f t="shared" si="288"/>
        <v>8550.5</v>
      </c>
      <c r="AL45" s="1781">
        <f t="shared" si="288"/>
        <v>8550.5</v>
      </c>
      <c r="AM45" s="1657">
        <f t="shared" si="288"/>
        <v>8550.5</v>
      </c>
      <c r="AN45" s="1658">
        <f t="shared" si="288"/>
        <v>8550.5</v>
      </c>
      <c r="AO45" s="1781">
        <f t="shared" si="288"/>
        <v>8550.5</v>
      </c>
      <c r="AP45" s="1657">
        <f t="shared" si="288"/>
        <v>8550.5</v>
      </c>
      <c r="AQ45" s="1658">
        <f t="shared" si="288"/>
        <v>8550.5</v>
      </c>
      <c r="AR45" s="2200">
        <f t="shared" ref="AR45:AR50" si="289">SUM(AF45:AQ45)</f>
        <v>102606</v>
      </c>
      <c r="AS45" s="1781">
        <f t="shared" ref="AS45:BD45" si="290">($C45-$D$45)*AS6</f>
        <v>8550.5</v>
      </c>
      <c r="AT45" s="1657">
        <f t="shared" si="290"/>
        <v>8550.5</v>
      </c>
      <c r="AU45" s="1658">
        <f t="shared" si="290"/>
        <v>8550.5</v>
      </c>
      <c r="AV45" s="1781">
        <f t="shared" si="290"/>
        <v>8550.5</v>
      </c>
      <c r="AW45" s="1657">
        <f t="shared" si="290"/>
        <v>8550.5</v>
      </c>
      <c r="AX45" s="1658">
        <f t="shared" si="290"/>
        <v>8550.5</v>
      </c>
      <c r="AY45" s="1781">
        <f t="shared" si="290"/>
        <v>8550.5</v>
      </c>
      <c r="AZ45" s="1657">
        <f t="shared" si="290"/>
        <v>8550.5</v>
      </c>
      <c r="BA45" s="1658">
        <f t="shared" si="290"/>
        <v>8550.5</v>
      </c>
      <c r="BB45" s="1781">
        <f t="shared" si="290"/>
        <v>8550.5</v>
      </c>
      <c r="BC45" s="1657">
        <f t="shared" si="290"/>
        <v>8550.5</v>
      </c>
      <c r="BD45" s="1658">
        <f t="shared" si="290"/>
        <v>8550.5</v>
      </c>
      <c r="BE45" s="1566">
        <f t="shared" ref="BE45:BE50" si="291">SUM(AS45:BD45)</f>
        <v>102606</v>
      </c>
    </row>
    <row r="46" spans="1:58" ht="18" customHeight="1">
      <c r="A46" s="5376"/>
      <c r="B46" s="1673" t="s">
        <v>307</v>
      </c>
      <c r="C46" s="2273">
        <f>11345/2</f>
        <v>5672.5</v>
      </c>
      <c r="D46" s="2273">
        <v>250</v>
      </c>
      <c r="E46" s="1662">
        <f>E7</f>
        <v>2</v>
      </c>
      <c r="F46" s="4385">
        <f t="shared" ref="F46:Q46" si="292">($C46-$D46)*F7*(1+$G$42)</f>
        <v>17080.875</v>
      </c>
      <c r="G46" s="4384">
        <f t="shared" si="292"/>
        <v>17080.875</v>
      </c>
      <c r="H46" s="4386">
        <f t="shared" si="292"/>
        <v>17080.875</v>
      </c>
      <c r="I46" s="4385">
        <f t="shared" si="292"/>
        <v>17080.875</v>
      </c>
      <c r="J46" s="4384">
        <f t="shared" si="292"/>
        <v>17080.875</v>
      </c>
      <c r="K46" s="4386">
        <f t="shared" si="292"/>
        <v>17080.875</v>
      </c>
      <c r="L46" s="4385">
        <f t="shared" si="292"/>
        <v>17080.875</v>
      </c>
      <c r="M46" s="4384">
        <f t="shared" si="292"/>
        <v>17080.875</v>
      </c>
      <c r="N46" s="4386">
        <f t="shared" si="292"/>
        <v>17080.875</v>
      </c>
      <c r="O46" s="4385">
        <f t="shared" si="292"/>
        <v>17080.875</v>
      </c>
      <c r="P46" s="4384">
        <f t="shared" si="292"/>
        <v>17080.875</v>
      </c>
      <c r="Q46" s="4386">
        <f t="shared" si="292"/>
        <v>17080.875</v>
      </c>
      <c r="R46" s="2200">
        <f t="shared" si="285"/>
        <v>204970.5</v>
      </c>
      <c r="S46" s="1781">
        <f t="shared" ref="S46:AD46" si="293">($C46-$D$46)*S7</f>
        <v>16267.5</v>
      </c>
      <c r="T46" s="1657">
        <f t="shared" si="293"/>
        <v>16267.5</v>
      </c>
      <c r="U46" s="1658">
        <f t="shared" si="293"/>
        <v>16267.5</v>
      </c>
      <c r="V46" s="1781">
        <f t="shared" si="293"/>
        <v>16267.5</v>
      </c>
      <c r="W46" s="1657">
        <f t="shared" si="293"/>
        <v>16267.5</v>
      </c>
      <c r="X46" s="1658">
        <f t="shared" si="293"/>
        <v>16267.5</v>
      </c>
      <c r="Y46" s="1781">
        <f t="shared" si="293"/>
        <v>16267.5</v>
      </c>
      <c r="Z46" s="1657">
        <f t="shared" si="293"/>
        <v>16267.5</v>
      </c>
      <c r="AA46" s="1658">
        <f t="shared" si="293"/>
        <v>16267.5</v>
      </c>
      <c r="AB46" s="1781">
        <f t="shared" si="293"/>
        <v>16267.5</v>
      </c>
      <c r="AC46" s="1657">
        <f t="shared" si="293"/>
        <v>16267.5</v>
      </c>
      <c r="AD46" s="1658">
        <f t="shared" si="293"/>
        <v>16267.5</v>
      </c>
      <c r="AE46" s="2200">
        <f t="shared" si="287"/>
        <v>195210</v>
      </c>
      <c r="AF46" s="1781">
        <f t="shared" ref="AF46:AQ46" si="294">($C46-$D$46)*AF7</f>
        <v>16267.5</v>
      </c>
      <c r="AG46" s="1657">
        <f t="shared" si="294"/>
        <v>16267.5</v>
      </c>
      <c r="AH46" s="1658">
        <f t="shared" si="294"/>
        <v>16267.5</v>
      </c>
      <c r="AI46" s="1781">
        <f t="shared" si="294"/>
        <v>16267.5</v>
      </c>
      <c r="AJ46" s="1657">
        <f t="shared" si="294"/>
        <v>16267.5</v>
      </c>
      <c r="AK46" s="1658">
        <f t="shared" si="294"/>
        <v>16267.5</v>
      </c>
      <c r="AL46" s="1781">
        <f t="shared" si="294"/>
        <v>16267.5</v>
      </c>
      <c r="AM46" s="1657">
        <f t="shared" si="294"/>
        <v>16267.5</v>
      </c>
      <c r="AN46" s="1658">
        <f t="shared" si="294"/>
        <v>16267.5</v>
      </c>
      <c r="AO46" s="1781">
        <f t="shared" si="294"/>
        <v>16267.5</v>
      </c>
      <c r="AP46" s="1657">
        <f t="shared" si="294"/>
        <v>16267.5</v>
      </c>
      <c r="AQ46" s="1658">
        <f t="shared" si="294"/>
        <v>16267.5</v>
      </c>
      <c r="AR46" s="2200">
        <f t="shared" si="289"/>
        <v>195210</v>
      </c>
      <c r="AS46" s="1781">
        <f t="shared" ref="AS46:BD46" si="295">($C46-$D$46)*AS7</f>
        <v>16267.5</v>
      </c>
      <c r="AT46" s="1657">
        <f t="shared" si="295"/>
        <v>16267.5</v>
      </c>
      <c r="AU46" s="1658">
        <f t="shared" si="295"/>
        <v>16267.5</v>
      </c>
      <c r="AV46" s="1781">
        <f t="shared" si="295"/>
        <v>16267.5</v>
      </c>
      <c r="AW46" s="1657">
        <f t="shared" si="295"/>
        <v>16267.5</v>
      </c>
      <c r="AX46" s="1658">
        <f t="shared" si="295"/>
        <v>16267.5</v>
      </c>
      <c r="AY46" s="1781">
        <f t="shared" si="295"/>
        <v>16267.5</v>
      </c>
      <c r="AZ46" s="1657">
        <f t="shared" si="295"/>
        <v>16267.5</v>
      </c>
      <c r="BA46" s="1658">
        <f t="shared" si="295"/>
        <v>16267.5</v>
      </c>
      <c r="BB46" s="1781">
        <f t="shared" si="295"/>
        <v>16267.5</v>
      </c>
      <c r="BC46" s="1657">
        <f t="shared" si="295"/>
        <v>16267.5</v>
      </c>
      <c r="BD46" s="1658">
        <f t="shared" si="295"/>
        <v>16267.5</v>
      </c>
      <c r="BE46" s="1566">
        <f t="shared" si="291"/>
        <v>195210</v>
      </c>
    </row>
    <row r="47" spans="1:58" ht="18" customHeight="1" thickBot="1">
      <c r="A47" s="2264"/>
      <c r="B47" s="1747" t="s">
        <v>354</v>
      </c>
      <c r="C47" s="2265"/>
      <c r="D47" s="2265"/>
      <c r="E47" s="2267">
        <f>SUM(E44:E46)</f>
        <v>9</v>
      </c>
      <c r="F47" s="1829">
        <f>SUM(F44:F46)</f>
        <v>85700.475000000006</v>
      </c>
      <c r="G47" s="1753">
        <f t="shared" ref="G47:Q47" si="296">SUM(G44:G46)</f>
        <v>85700.475000000006</v>
      </c>
      <c r="H47" s="1754">
        <f t="shared" si="296"/>
        <v>85700.475000000006</v>
      </c>
      <c r="I47" s="1829">
        <f t="shared" si="296"/>
        <v>85700.475000000006</v>
      </c>
      <c r="J47" s="1753">
        <f t="shared" si="296"/>
        <v>85700.475000000006</v>
      </c>
      <c r="K47" s="1754">
        <f t="shared" si="296"/>
        <v>85700.475000000006</v>
      </c>
      <c r="L47" s="1829">
        <f t="shared" si="296"/>
        <v>85700.475000000006</v>
      </c>
      <c r="M47" s="1753">
        <f t="shared" si="296"/>
        <v>85700.475000000006</v>
      </c>
      <c r="N47" s="1754">
        <f t="shared" si="296"/>
        <v>85700.475000000006</v>
      </c>
      <c r="O47" s="1829">
        <f t="shared" si="296"/>
        <v>85700.475000000006</v>
      </c>
      <c r="P47" s="1753">
        <f t="shared" si="296"/>
        <v>85700.475000000006</v>
      </c>
      <c r="Q47" s="1754">
        <f t="shared" si="296"/>
        <v>85700.475000000006</v>
      </c>
      <c r="R47" s="2223">
        <f t="shared" si="285"/>
        <v>1028405.6999999998</v>
      </c>
      <c r="S47" s="1829">
        <f>SUM(S44:S46)</f>
        <v>82719.200000000012</v>
      </c>
      <c r="T47" s="1753">
        <f t="shared" ref="T47:AD47" si="297">SUM(T44:T46)</f>
        <v>82719.200000000012</v>
      </c>
      <c r="U47" s="1754">
        <f t="shared" si="297"/>
        <v>73069</v>
      </c>
      <c r="V47" s="1829">
        <f t="shared" si="297"/>
        <v>73069</v>
      </c>
      <c r="W47" s="1753">
        <f t="shared" si="297"/>
        <v>73069</v>
      </c>
      <c r="X47" s="1754">
        <f t="shared" si="297"/>
        <v>73069</v>
      </c>
      <c r="Y47" s="1829">
        <f t="shared" si="297"/>
        <v>73069</v>
      </c>
      <c r="Z47" s="1753">
        <f t="shared" si="297"/>
        <v>73069</v>
      </c>
      <c r="AA47" s="1754">
        <f t="shared" si="297"/>
        <v>73069</v>
      </c>
      <c r="AB47" s="1829">
        <f t="shared" si="297"/>
        <v>73069</v>
      </c>
      <c r="AC47" s="1753">
        <f t="shared" si="297"/>
        <v>73069</v>
      </c>
      <c r="AD47" s="1754">
        <f t="shared" si="297"/>
        <v>73069</v>
      </c>
      <c r="AE47" s="2223">
        <f t="shared" si="287"/>
        <v>896128.4</v>
      </c>
      <c r="AF47" s="1829">
        <f>SUM(AF44:AF46)</f>
        <v>82719.200000000012</v>
      </c>
      <c r="AG47" s="1753">
        <f t="shared" ref="AG47:AQ47" si="298">SUM(AG44:AG46)</f>
        <v>82719.200000000012</v>
      </c>
      <c r="AH47" s="1754">
        <f t="shared" si="298"/>
        <v>73069</v>
      </c>
      <c r="AI47" s="1829">
        <f t="shared" si="298"/>
        <v>73069</v>
      </c>
      <c r="AJ47" s="1753">
        <f t="shared" si="298"/>
        <v>73069</v>
      </c>
      <c r="AK47" s="1754">
        <f t="shared" si="298"/>
        <v>73069</v>
      </c>
      <c r="AL47" s="1829">
        <f t="shared" si="298"/>
        <v>73069</v>
      </c>
      <c r="AM47" s="1753">
        <f t="shared" si="298"/>
        <v>73069</v>
      </c>
      <c r="AN47" s="1754">
        <f t="shared" si="298"/>
        <v>73069</v>
      </c>
      <c r="AO47" s="1829">
        <f t="shared" si="298"/>
        <v>73069</v>
      </c>
      <c r="AP47" s="1753">
        <f t="shared" si="298"/>
        <v>73069</v>
      </c>
      <c r="AQ47" s="1754">
        <f t="shared" si="298"/>
        <v>73069</v>
      </c>
      <c r="AR47" s="2223">
        <f t="shared" si="289"/>
        <v>896128.4</v>
      </c>
      <c r="AS47" s="1829">
        <f>SUM(AS44:AS46)</f>
        <v>82719.200000000012</v>
      </c>
      <c r="AT47" s="1753">
        <f t="shared" ref="AT47:BD47" si="299">SUM(AT44:AT46)</f>
        <v>82719.200000000012</v>
      </c>
      <c r="AU47" s="1754">
        <f t="shared" si="299"/>
        <v>73069</v>
      </c>
      <c r="AV47" s="1829">
        <f t="shared" si="299"/>
        <v>73069</v>
      </c>
      <c r="AW47" s="1753">
        <f t="shared" si="299"/>
        <v>73069</v>
      </c>
      <c r="AX47" s="1754">
        <f t="shared" si="299"/>
        <v>73069</v>
      </c>
      <c r="AY47" s="1829">
        <f t="shared" si="299"/>
        <v>73069</v>
      </c>
      <c r="AZ47" s="1753">
        <f t="shared" si="299"/>
        <v>73069</v>
      </c>
      <c r="BA47" s="1754">
        <f t="shared" si="299"/>
        <v>73069</v>
      </c>
      <c r="BB47" s="1829">
        <f t="shared" si="299"/>
        <v>73069</v>
      </c>
      <c r="BC47" s="1753">
        <f t="shared" si="299"/>
        <v>73069</v>
      </c>
      <c r="BD47" s="1754">
        <f t="shared" si="299"/>
        <v>73069</v>
      </c>
      <c r="BE47" s="1576">
        <f t="shared" si="291"/>
        <v>896128.4</v>
      </c>
    </row>
    <row r="48" spans="1:58" ht="18" customHeight="1">
      <c r="A48" s="5377" t="s">
        <v>355</v>
      </c>
      <c r="B48" s="2268" t="s">
        <v>356</v>
      </c>
      <c r="C48" s="2269">
        <f>12586</f>
        <v>12586</v>
      </c>
      <c r="D48" s="2269">
        <v>618.93605013333331</v>
      </c>
      <c r="E48" s="2271">
        <f>E9</f>
        <v>1</v>
      </c>
      <c r="F48" s="4381">
        <f t="shared" ref="F48:Q48" si="300">($C48-$D48)*F9*(1+$G$42)</f>
        <v>12565.41714736</v>
      </c>
      <c r="G48" s="4430">
        <f t="shared" si="300"/>
        <v>12565.41714736</v>
      </c>
      <c r="H48" s="4431">
        <f t="shared" si="300"/>
        <v>12565.41714736</v>
      </c>
      <c r="I48" s="4406">
        <f t="shared" si="300"/>
        <v>12565.41714736</v>
      </c>
      <c r="J48" s="4430">
        <f t="shared" si="300"/>
        <v>12565.41714736</v>
      </c>
      <c r="K48" s="4431">
        <f t="shared" si="300"/>
        <v>12565.41714736</v>
      </c>
      <c r="L48" s="4406">
        <f t="shared" si="300"/>
        <v>12565.41714736</v>
      </c>
      <c r="M48" s="4430">
        <f t="shared" si="300"/>
        <v>12565.41714736</v>
      </c>
      <c r="N48" s="4431">
        <f t="shared" si="300"/>
        <v>12565.41714736</v>
      </c>
      <c r="O48" s="4406">
        <f t="shared" si="300"/>
        <v>12565.41714736</v>
      </c>
      <c r="P48" s="4430">
        <f t="shared" si="300"/>
        <v>12565.41714736</v>
      </c>
      <c r="Q48" s="4431">
        <f t="shared" si="300"/>
        <v>12565.41714736</v>
      </c>
      <c r="R48" s="2204">
        <f t="shared" si="285"/>
        <v>150785.00576832</v>
      </c>
      <c r="S48" s="2203">
        <f t="shared" ref="S48:AD48" si="301">($C48-$D48)*S9</f>
        <v>23934.127899733332</v>
      </c>
      <c r="T48" s="1761">
        <f t="shared" si="301"/>
        <v>23934.127899733332</v>
      </c>
      <c r="U48" s="1762">
        <f t="shared" si="301"/>
        <v>23934.127899733332</v>
      </c>
      <c r="V48" s="2203">
        <f t="shared" si="301"/>
        <v>23934.127899733332</v>
      </c>
      <c r="W48" s="1761">
        <f t="shared" si="301"/>
        <v>23934.127899733332</v>
      </c>
      <c r="X48" s="1762">
        <f t="shared" si="301"/>
        <v>23934.127899733332</v>
      </c>
      <c r="Y48" s="2203">
        <f t="shared" si="301"/>
        <v>23934.127899733332</v>
      </c>
      <c r="Z48" s="1761">
        <f t="shared" si="301"/>
        <v>23934.127899733332</v>
      </c>
      <c r="AA48" s="1762">
        <f t="shared" si="301"/>
        <v>23934.127899733332</v>
      </c>
      <c r="AB48" s="2203">
        <f t="shared" si="301"/>
        <v>23934.127899733332</v>
      </c>
      <c r="AC48" s="1761">
        <f t="shared" si="301"/>
        <v>23934.127899733332</v>
      </c>
      <c r="AD48" s="1762">
        <f t="shared" si="301"/>
        <v>23934.127899733332</v>
      </c>
      <c r="AE48" s="2204">
        <f t="shared" si="287"/>
        <v>287209.5347968</v>
      </c>
      <c r="AF48" s="2203">
        <f t="shared" ref="AF48:AQ48" si="302">($C48-$D48)*AF9</f>
        <v>23934.127899733332</v>
      </c>
      <c r="AG48" s="1761">
        <f t="shared" si="302"/>
        <v>23934.127899733332</v>
      </c>
      <c r="AH48" s="1762">
        <f t="shared" si="302"/>
        <v>23934.127899733332</v>
      </c>
      <c r="AI48" s="2203">
        <f t="shared" si="302"/>
        <v>23934.127899733332</v>
      </c>
      <c r="AJ48" s="1761">
        <f t="shared" si="302"/>
        <v>23934.127899733332</v>
      </c>
      <c r="AK48" s="1762">
        <f t="shared" si="302"/>
        <v>23934.127899733332</v>
      </c>
      <c r="AL48" s="2203">
        <f t="shared" si="302"/>
        <v>23934.127899733332</v>
      </c>
      <c r="AM48" s="1761">
        <f t="shared" si="302"/>
        <v>23934.127899733332</v>
      </c>
      <c r="AN48" s="1762">
        <f t="shared" si="302"/>
        <v>23934.127899733332</v>
      </c>
      <c r="AO48" s="2203">
        <f t="shared" si="302"/>
        <v>23934.127899733332</v>
      </c>
      <c r="AP48" s="1761">
        <f t="shared" si="302"/>
        <v>23934.127899733332</v>
      </c>
      <c r="AQ48" s="1762">
        <f t="shared" si="302"/>
        <v>23934.127899733332</v>
      </c>
      <c r="AR48" s="2204">
        <f t="shared" si="289"/>
        <v>287209.5347968</v>
      </c>
      <c r="AS48" s="2203">
        <f t="shared" ref="AS48:BD48" si="303">($C48-$D48)*AS9</f>
        <v>23934.127899733332</v>
      </c>
      <c r="AT48" s="1761">
        <f t="shared" si="303"/>
        <v>23934.127899733332</v>
      </c>
      <c r="AU48" s="1762">
        <f t="shared" si="303"/>
        <v>23934.127899733332</v>
      </c>
      <c r="AV48" s="2203">
        <f t="shared" si="303"/>
        <v>23934.127899733332</v>
      </c>
      <c r="AW48" s="1761">
        <f t="shared" si="303"/>
        <v>23934.127899733332</v>
      </c>
      <c r="AX48" s="1762">
        <f t="shared" si="303"/>
        <v>23934.127899733332</v>
      </c>
      <c r="AY48" s="2203">
        <f t="shared" si="303"/>
        <v>23934.127899733332</v>
      </c>
      <c r="AZ48" s="1761">
        <f t="shared" si="303"/>
        <v>23934.127899733332</v>
      </c>
      <c r="BA48" s="1762">
        <f t="shared" si="303"/>
        <v>23934.127899733332</v>
      </c>
      <c r="BB48" s="2203">
        <f t="shared" si="303"/>
        <v>23934.127899733332</v>
      </c>
      <c r="BC48" s="1761">
        <f t="shared" si="303"/>
        <v>23934.127899733332</v>
      </c>
      <c r="BD48" s="1762">
        <f t="shared" si="303"/>
        <v>23934.127899733332</v>
      </c>
      <c r="BE48" s="1598">
        <f t="shared" si="291"/>
        <v>287209.5347968</v>
      </c>
    </row>
    <row r="49" spans="1:57" ht="18" customHeight="1">
      <c r="A49" s="5376"/>
      <c r="B49" s="2114" t="str">
        <f>B45</f>
        <v>G,S Manager</v>
      </c>
      <c r="C49" s="2272">
        <f>(10515+8255+7455)/3</f>
        <v>8741.6666666666661</v>
      </c>
      <c r="D49" s="2272">
        <v>450</v>
      </c>
      <c r="E49" s="1662">
        <f>E10</f>
        <v>3</v>
      </c>
      <c r="F49" s="4385">
        <f t="shared" ref="F49:Q49" si="304">($C49-$D49)*F10*(1+$G$42)</f>
        <v>26118.75</v>
      </c>
      <c r="G49" s="4384">
        <f t="shared" si="304"/>
        <v>26118.75</v>
      </c>
      <c r="H49" s="4432">
        <f t="shared" si="304"/>
        <v>26118.75</v>
      </c>
      <c r="I49" s="4385">
        <f t="shared" si="304"/>
        <v>26118.75</v>
      </c>
      <c r="J49" s="4384">
        <f t="shared" si="304"/>
        <v>26118.75</v>
      </c>
      <c r="K49" s="4432">
        <f t="shared" si="304"/>
        <v>26118.75</v>
      </c>
      <c r="L49" s="4385">
        <f t="shared" si="304"/>
        <v>26118.75</v>
      </c>
      <c r="M49" s="4384">
        <f t="shared" si="304"/>
        <v>26118.75</v>
      </c>
      <c r="N49" s="4432">
        <f t="shared" si="304"/>
        <v>26118.75</v>
      </c>
      <c r="O49" s="4385">
        <f t="shared" si="304"/>
        <v>26118.75</v>
      </c>
      <c r="P49" s="4384">
        <f t="shared" si="304"/>
        <v>26118.75</v>
      </c>
      <c r="Q49" s="4432">
        <f t="shared" si="304"/>
        <v>26118.75</v>
      </c>
      <c r="R49" s="2200">
        <f t="shared" si="285"/>
        <v>313425</v>
      </c>
      <c r="S49" s="1781">
        <f t="shared" ref="S49:AD49" si="305">($C49-$D$49)*S10</f>
        <v>8291.6666666666661</v>
      </c>
      <c r="T49" s="1657">
        <f t="shared" si="305"/>
        <v>16583.333333333332</v>
      </c>
      <c r="U49" s="2351">
        <f t="shared" si="305"/>
        <v>16583.333333333332</v>
      </c>
      <c r="V49" s="1781">
        <f t="shared" si="305"/>
        <v>16583.333333333332</v>
      </c>
      <c r="W49" s="1657">
        <f t="shared" si="305"/>
        <v>16583.333333333332</v>
      </c>
      <c r="X49" s="2351">
        <f t="shared" si="305"/>
        <v>16583.333333333332</v>
      </c>
      <c r="Y49" s="1781">
        <f t="shared" si="305"/>
        <v>16583.333333333332</v>
      </c>
      <c r="Z49" s="1657">
        <f t="shared" si="305"/>
        <v>16583.333333333332</v>
      </c>
      <c r="AA49" s="2351">
        <f t="shared" si="305"/>
        <v>16583.333333333332</v>
      </c>
      <c r="AB49" s="1781">
        <f t="shared" si="305"/>
        <v>16583.333333333332</v>
      </c>
      <c r="AC49" s="1657">
        <f t="shared" si="305"/>
        <v>16583.333333333332</v>
      </c>
      <c r="AD49" s="2351">
        <f t="shared" si="305"/>
        <v>16583.333333333332</v>
      </c>
      <c r="AE49" s="2200">
        <f t="shared" si="287"/>
        <v>190708.33333333334</v>
      </c>
      <c r="AF49" s="1781">
        <f t="shared" ref="AF49:AQ49" si="306">($C49-$D$49)*AF10</f>
        <v>8291.6666666666661</v>
      </c>
      <c r="AG49" s="1657">
        <f t="shared" si="306"/>
        <v>16583.333333333332</v>
      </c>
      <c r="AH49" s="2351">
        <f t="shared" si="306"/>
        <v>16583.333333333332</v>
      </c>
      <c r="AI49" s="1781">
        <f t="shared" si="306"/>
        <v>16583.333333333332</v>
      </c>
      <c r="AJ49" s="1657">
        <f t="shared" si="306"/>
        <v>16583.333333333332</v>
      </c>
      <c r="AK49" s="2351">
        <f t="shared" si="306"/>
        <v>16583.333333333332</v>
      </c>
      <c r="AL49" s="1781">
        <f t="shared" si="306"/>
        <v>16583.333333333332</v>
      </c>
      <c r="AM49" s="1657">
        <f t="shared" si="306"/>
        <v>16583.333333333332</v>
      </c>
      <c r="AN49" s="2351">
        <f t="shared" si="306"/>
        <v>16583.333333333332</v>
      </c>
      <c r="AO49" s="1781">
        <f t="shared" si="306"/>
        <v>16583.333333333332</v>
      </c>
      <c r="AP49" s="1657">
        <f t="shared" si="306"/>
        <v>16583.333333333332</v>
      </c>
      <c r="AQ49" s="2351">
        <f t="shared" si="306"/>
        <v>16583.333333333332</v>
      </c>
      <c r="AR49" s="2200">
        <f t="shared" si="289"/>
        <v>190708.33333333334</v>
      </c>
      <c r="AS49" s="1781">
        <f t="shared" ref="AS49:BD49" si="307">($C49-$D$49)*AS10</f>
        <v>8291.6666666666661</v>
      </c>
      <c r="AT49" s="1657">
        <f t="shared" si="307"/>
        <v>16583.333333333332</v>
      </c>
      <c r="AU49" s="2351">
        <f t="shared" si="307"/>
        <v>16583.333333333332</v>
      </c>
      <c r="AV49" s="1781">
        <f t="shared" si="307"/>
        <v>16583.333333333332</v>
      </c>
      <c r="AW49" s="1657">
        <f t="shared" si="307"/>
        <v>16583.333333333332</v>
      </c>
      <c r="AX49" s="2351">
        <f t="shared" si="307"/>
        <v>16583.333333333332</v>
      </c>
      <c r="AY49" s="1781">
        <f t="shared" si="307"/>
        <v>16583.333333333332</v>
      </c>
      <c r="AZ49" s="1657">
        <f t="shared" si="307"/>
        <v>16583.333333333332</v>
      </c>
      <c r="BA49" s="2351">
        <f t="shared" si="307"/>
        <v>16583.333333333332</v>
      </c>
      <c r="BB49" s="1781">
        <f t="shared" si="307"/>
        <v>16583.333333333332</v>
      </c>
      <c r="BC49" s="1657">
        <f t="shared" si="307"/>
        <v>16583.333333333332</v>
      </c>
      <c r="BD49" s="2351">
        <f t="shared" si="307"/>
        <v>16583.333333333332</v>
      </c>
      <c r="BE49" s="1566">
        <f t="shared" si="291"/>
        <v>190708.33333333334</v>
      </c>
    </row>
    <row r="50" spans="1:57" ht="18" customHeight="1">
      <c r="A50" s="5376"/>
      <c r="B50" s="2114" t="str">
        <f>B46</f>
        <v>Manager</v>
      </c>
      <c r="C50" s="2273">
        <f>(4015+4315)/2</f>
        <v>4165</v>
      </c>
      <c r="D50" s="2273">
        <v>456.63249999999999</v>
      </c>
      <c r="E50" s="1662">
        <f>E11</f>
        <v>2</v>
      </c>
      <c r="F50" s="4385">
        <f t="shared" ref="F50:Q50" si="308">($C50-$D50)*F11*(1+$G$42)</f>
        <v>7787.5717500000001</v>
      </c>
      <c r="G50" s="4384">
        <f t="shared" si="308"/>
        <v>7787.5717500000001</v>
      </c>
      <c r="H50" s="4386">
        <f t="shared" si="308"/>
        <v>7787.5717500000001</v>
      </c>
      <c r="I50" s="4385">
        <f t="shared" si="308"/>
        <v>7787.5717500000001</v>
      </c>
      <c r="J50" s="4384">
        <f t="shared" si="308"/>
        <v>7787.5717500000001</v>
      </c>
      <c r="K50" s="4386">
        <f t="shared" si="308"/>
        <v>7787.5717500000001</v>
      </c>
      <c r="L50" s="4385">
        <f t="shared" si="308"/>
        <v>7787.5717500000001</v>
      </c>
      <c r="M50" s="4433">
        <f t="shared" si="308"/>
        <v>7787.5717500000001</v>
      </c>
      <c r="N50" s="4434">
        <f t="shared" si="308"/>
        <v>7787.5717500000001</v>
      </c>
      <c r="O50" s="4435">
        <f t="shared" si="308"/>
        <v>7787.5717500000001</v>
      </c>
      <c r="P50" s="4433">
        <f t="shared" si="308"/>
        <v>7787.5717500000001</v>
      </c>
      <c r="Q50" s="4434">
        <f t="shared" si="308"/>
        <v>7787.5717500000001</v>
      </c>
      <c r="R50" s="2200">
        <f t="shared" si="285"/>
        <v>93450.861000000019</v>
      </c>
      <c r="S50" s="1781">
        <f t="shared" ref="S50:AD50" si="309">($C50-$D$50)*S11</f>
        <v>7416.7349999999997</v>
      </c>
      <c r="T50" s="1657">
        <f t="shared" si="309"/>
        <v>7416.7349999999997</v>
      </c>
      <c r="U50" s="1658">
        <f t="shared" si="309"/>
        <v>7416.7349999999997</v>
      </c>
      <c r="V50" s="1781">
        <f t="shared" si="309"/>
        <v>7416.7349999999997</v>
      </c>
      <c r="W50" s="1657">
        <f t="shared" si="309"/>
        <v>7416.7349999999997</v>
      </c>
      <c r="X50" s="1658">
        <f t="shared" si="309"/>
        <v>7416.7349999999997</v>
      </c>
      <c r="Y50" s="1781">
        <f t="shared" si="309"/>
        <v>7416.7349999999997</v>
      </c>
      <c r="Z50" s="2352">
        <f t="shared" si="309"/>
        <v>7416.7349999999997</v>
      </c>
      <c r="AA50" s="2353">
        <f t="shared" si="309"/>
        <v>7416.7349999999997</v>
      </c>
      <c r="AB50" s="2354">
        <f t="shared" si="309"/>
        <v>7416.7349999999997</v>
      </c>
      <c r="AC50" s="2352">
        <f t="shared" si="309"/>
        <v>7416.7349999999997</v>
      </c>
      <c r="AD50" s="2353">
        <f t="shared" si="309"/>
        <v>7416.7349999999997</v>
      </c>
      <c r="AE50" s="2200">
        <f t="shared" si="287"/>
        <v>89000.819999999992</v>
      </c>
      <c r="AF50" s="1781">
        <f t="shared" ref="AF50:AQ50" si="310">($C50-$D$50)*AF11</f>
        <v>7416.7349999999997</v>
      </c>
      <c r="AG50" s="1657">
        <f t="shared" si="310"/>
        <v>7416.7349999999997</v>
      </c>
      <c r="AH50" s="1658">
        <f t="shared" si="310"/>
        <v>7416.7349999999997</v>
      </c>
      <c r="AI50" s="1781">
        <f t="shared" si="310"/>
        <v>7416.7349999999997</v>
      </c>
      <c r="AJ50" s="1657">
        <f t="shared" si="310"/>
        <v>7416.7349999999997</v>
      </c>
      <c r="AK50" s="1658">
        <f t="shared" si="310"/>
        <v>7416.7349999999997</v>
      </c>
      <c r="AL50" s="1781">
        <f t="shared" si="310"/>
        <v>7416.7349999999997</v>
      </c>
      <c r="AM50" s="2352">
        <f t="shared" si="310"/>
        <v>7416.7349999999997</v>
      </c>
      <c r="AN50" s="2353">
        <f t="shared" si="310"/>
        <v>7416.7349999999997</v>
      </c>
      <c r="AO50" s="2354">
        <f t="shared" si="310"/>
        <v>7416.7349999999997</v>
      </c>
      <c r="AP50" s="2352">
        <f t="shared" si="310"/>
        <v>7416.7349999999997</v>
      </c>
      <c r="AQ50" s="2353">
        <f t="shared" si="310"/>
        <v>7416.7349999999997</v>
      </c>
      <c r="AR50" s="2200">
        <f t="shared" si="289"/>
        <v>89000.819999999992</v>
      </c>
      <c r="AS50" s="1781">
        <f t="shared" ref="AS50:BD50" si="311">($C50-$D$50)*AS11</f>
        <v>7416.7349999999997</v>
      </c>
      <c r="AT50" s="1657">
        <f t="shared" si="311"/>
        <v>7416.7349999999997</v>
      </c>
      <c r="AU50" s="1658">
        <f t="shared" si="311"/>
        <v>7416.7349999999997</v>
      </c>
      <c r="AV50" s="1781">
        <f t="shared" si="311"/>
        <v>7416.7349999999997</v>
      </c>
      <c r="AW50" s="1657">
        <f t="shared" si="311"/>
        <v>7416.7349999999997</v>
      </c>
      <c r="AX50" s="1658">
        <f t="shared" si="311"/>
        <v>7416.7349999999997</v>
      </c>
      <c r="AY50" s="1781">
        <f t="shared" si="311"/>
        <v>7416.7349999999997</v>
      </c>
      <c r="AZ50" s="2352">
        <f t="shared" si="311"/>
        <v>7416.7349999999997</v>
      </c>
      <c r="BA50" s="2353">
        <f t="shared" si="311"/>
        <v>7416.7349999999997</v>
      </c>
      <c r="BB50" s="2354">
        <f t="shared" si="311"/>
        <v>7416.7349999999997</v>
      </c>
      <c r="BC50" s="2352">
        <f t="shared" si="311"/>
        <v>7416.7349999999997</v>
      </c>
      <c r="BD50" s="2353">
        <f t="shared" si="311"/>
        <v>7416.7349999999997</v>
      </c>
      <c r="BE50" s="1566">
        <f t="shared" si="291"/>
        <v>89000.819999999992</v>
      </c>
    </row>
    <row r="51" spans="1:57" ht="18" customHeight="1" thickBot="1">
      <c r="A51" s="2355"/>
      <c r="B51" s="2275" t="s">
        <v>357</v>
      </c>
      <c r="C51" s="2276"/>
      <c r="D51" s="2277"/>
      <c r="E51" s="2293">
        <f>E50+E48+E49</f>
        <v>6</v>
      </c>
      <c r="F51" s="1840">
        <f>SUM(F48:F50)</f>
        <v>46471.738897360003</v>
      </c>
      <c r="G51" s="1841">
        <f>SUM(G48:G50)</f>
        <v>46471.738897360003</v>
      </c>
      <c r="H51" s="1842">
        <f t="shared" ref="H51:Q51" si="312">SUM(H48:H50)</f>
        <v>46471.738897360003</v>
      </c>
      <c r="I51" s="1840">
        <f t="shared" si="312"/>
        <v>46471.738897360003</v>
      </c>
      <c r="J51" s="1841">
        <f t="shared" si="312"/>
        <v>46471.738897360003</v>
      </c>
      <c r="K51" s="1842">
        <f t="shared" si="312"/>
        <v>46471.738897360003</v>
      </c>
      <c r="L51" s="1840">
        <f t="shared" si="312"/>
        <v>46471.738897360003</v>
      </c>
      <c r="M51" s="2275">
        <f t="shared" si="312"/>
        <v>46471.738897360003</v>
      </c>
      <c r="N51" s="1842">
        <f t="shared" si="312"/>
        <v>46471.738897360003</v>
      </c>
      <c r="O51" s="1840">
        <f t="shared" si="312"/>
        <v>46471.738897360003</v>
      </c>
      <c r="P51" s="1841">
        <f t="shared" si="312"/>
        <v>46471.738897360003</v>
      </c>
      <c r="Q51" s="1842">
        <f t="shared" si="312"/>
        <v>46471.738897360003</v>
      </c>
      <c r="R51" s="2254">
        <f>SUM(F51:Q51)</f>
        <v>557660.86676831997</v>
      </c>
      <c r="S51" s="1840">
        <f>SUM(S48:S50)</f>
        <v>39642.5295664</v>
      </c>
      <c r="T51" s="1841">
        <f>SUM(T48:T50)</f>
        <v>47934.196233066665</v>
      </c>
      <c r="U51" s="1842">
        <f t="shared" ref="U51:AD51" si="313">SUM(U48:U50)</f>
        <v>47934.196233066665</v>
      </c>
      <c r="V51" s="1840">
        <f t="shared" si="313"/>
        <v>47934.196233066665</v>
      </c>
      <c r="W51" s="1841">
        <f t="shared" si="313"/>
        <v>47934.196233066665</v>
      </c>
      <c r="X51" s="1842">
        <f t="shared" si="313"/>
        <v>47934.196233066665</v>
      </c>
      <c r="Y51" s="1840">
        <f t="shared" si="313"/>
        <v>47934.196233066665</v>
      </c>
      <c r="Z51" s="2275">
        <f t="shared" si="313"/>
        <v>47934.196233066665</v>
      </c>
      <c r="AA51" s="1842">
        <f t="shared" si="313"/>
        <v>47934.196233066665</v>
      </c>
      <c r="AB51" s="1840">
        <f t="shared" si="313"/>
        <v>47934.196233066665</v>
      </c>
      <c r="AC51" s="1841">
        <f t="shared" si="313"/>
        <v>47934.196233066665</v>
      </c>
      <c r="AD51" s="1842">
        <f t="shared" si="313"/>
        <v>47934.196233066665</v>
      </c>
      <c r="AE51" s="2254">
        <f>SUM(S51:AD51)</f>
        <v>566918.68813013332</v>
      </c>
      <c r="AF51" s="1840">
        <f>SUM(AF48:AF50)</f>
        <v>39642.5295664</v>
      </c>
      <c r="AG51" s="1841">
        <f>SUM(AG48:AG50)</f>
        <v>47934.196233066665</v>
      </c>
      <c r="AH51" s="1842">
        <f t="shared" ref="AH51:AQ51" si="314">SUM(AH48:AH50)</f>
        <v>47934.196233066665</v>
      </c>
      <c r="AI51" s="1840">
        <f t="shared" si="314"/>
        <v>47934.196233066665</v>
      </c>
      <c r="AJ51" s="1841">
        <f t="shared" si="314"/>
        <v>47934.196233066665</v>
      </c>
      <c r="AK51" s="1842">
        <f t="shared" si="314"/>
        <v>47934.196233066665</v>
      </c>
      <c r="AL51" s="1840">
        <f t="shared" si="314"/>
        <v>47934.196233066665</v>
      </c>
      <c r="AM51" s="2275">
        <f t="shared" si="314"/>
        <v>47934.196233066665</v>
      </c>
      <c r="AN51" s="1842">
        <f t="shared" si="314"/>
        <v>47934.196233066665</v>
      </c>
      <c r="AO51" s="1840">
        <f t="shared" si="314"/>
        <v>47934.196233066665</v>
      </c>
      <c r="AP51" s="1841">
        <f t="shared" si="314"/>
        <v>47934.196233066665</v>
      </c>
      <c r="AQ51" s="1842">
        <f t="shared" si="314"/>
        <v>47934.196233066665</v>
      </c>
      <c r="AR51" s="2254">
        <f>SUM(AF51:AQ51)</f>
        <v>566918.68813013332</v>
      </c>
      <c r="AS51" s="1840">
        <f>SUM(AS48:AS50)</f>
        <v>39642.5295664</v>
      </c>
      <c r="AT51" s="1841">
        <f>SUM(AT48:AT50)</f>
        <v>47934.196233066665</v>
      </c>
      <c r="AU51" s="1842">
        <f t="shared" ref="AU51:BD51" si="315">SUM(AU48:AU50)</f>
        <v>47934.196233066665</v>
      </c>
      <c r="AV51" s="1840">
        <f t="shared" si="315"/>
        <v>47934.196233066665</v>
      </c>
      <c r="AW51" s="1841">
        <f t="shared" si="315"/>
        <v>47934.196233066665</v>
      </c>
      <c r="AX51" s="1842">
        <f t="shared" si="315"/>
        <v>47934.196233066665</v>
      </c>
      <c r="AY51" s="1840">
        <f t="shared" si="315"/>
        <v>47934.196233066665</v>
      </c>
      <c r="AZ51" s="2275">
        <f t="shared" si="315"/>
        <v>47934.196233066665</v>
      </c>
      <c r="BA51" s="1842">
        <f t="shared" si="315"/>
        <v>47934.196233066665</v>
      </c>
      <c r="BB51" s="1840">
        <f t="shared" si="315"/>
        <v>47934.196233066665</v>
      </c>
      <c r="BC51" s="1841">
        <f t="shared" si="315"/>
        <v>47934.196233066665</v>
      </c>
      <c r="BD51" s="1842">
        <f t="shared" si="315"/>
        <v>47934.196233066665</v>
      </c>
      <c r="BE51" s="1797">
        <f>SUM(AS51:BD51)</f>
        <v>566918.68813013332</v>
      </c>
    </row>
    <row r="52" spans="1:57" ht="18" customHeight="1" thickBot="1">
      <c r="A52" s="89"/>
      <c r="B52" s="88" t="s">
        <v>508</v>
      </c>
      <c r="C52" s="88"/>
      <c r="D52" s="88"/>
      <c r="E52" s="2225"/>
      <c r="F52" s="1850"/>
      <c r="G52" s="1799">
        <v>62337.005979444446</v>
      </c>
      <c r="H52" s="1800"/>
      <c r="I52" s="1850"/>
      <c r="J52" s="1799"/>
      <c r="K52" s="1800"/>
      <c r="L52" s="1850"/>
      <c r="M52" s="1801"/>
      <c r="N52" s="1800"/>
      <c r="O52" s="1850"/>
      <c r="P52" s="1799"/>
      <c r="Q52" s="1800"/>
      <c r="R52" s="2259">
        <f>SUM(F52:Q52)</f>
        <v>62337.005979444446</v>
      </c>
      <c r="S52" s="1850"/>
      <c r="T52" s="1799"/>
      <c r="U52" s="1800">
        <v>91537</v>
      </c>
      <c r="V52" s="1850"/>
      <c r="W52" s="1799"/>
      <c r="X52" s="1800"/>
      <c r="Y52" s="1850"/>
      <c r="Z52" s="1801"/>
      <c r="AA52" s="1800"/>
      <c r="AB52" s="1850"/>
      <c r="AC52" s="1799"/>
      <c r="AD52" s="1800"/>
      <c r="AE52" s="2259">
        <f>SUM(S52:AD52)</f>
        <v>91537</v>
      </c>
      <c r="AF52" s="1850"/>
      <c r="AG52" s="1799"/>
      <c r="AH52" s="1800">
        <v>91537</v>
      </c>
      <c r="AI52" s="1850"/>
      <c r="AJ52" s="1799"/>
      <c r="AK52" s="1800"/>
      <c r="AL52" s="1850"/>
      <c r="AM52" s="1801"/>
      <c r="AN52" s="1800"/>
      <c r="AO52" s="1850"/>
      <c r="AP52" s="1799"/>
      <c r="AQ52" s="1800"/>
      <c r="AR52" s="2259">
        <f>SUM(AF52:AQ52)</f>
        <v>91537</v>
      </c>
      <c r="AS52" s="1850"/>
      <c r="AT52" s="1799"/>
      <c r="AU52" s="1800">
        <v>91537</v>
      </c>
      <c r="AV52" s="1850"/>
      <c r="AW52" s="1799"/>
      <c r="AX52" s="1800"/>
      <c r="AY52" s="1850"/>
      <c r="AZ52" s="1801"/>
      <c r="BA52" s="1800"/>
      <c r="BB52" s="1850"/>
      <c r="BC52" s="1799"/>
      <c r="BD52" s="1800"/>
      <c r="BE52" s="1692">
        <f>SUM(AS52:BD52)</f>
        <v>91537</v>
      </c>
    </row>
    <row r="53" spans="1:57" ht="18" customHeight="1" thickBot="1">
      <c r="A53" s="5151" t="s">
        <v>15</v>
      </c>
      <c r="B53" s="5152"/>
      <c r="C53" s="5152"/>
      <c r="D53" s="5153"/>
      <c r="E53" s="2283">
        <f>E51+E47</f>
        <v>15</v>
      </c>
      <c r="F53" s="1850">
        <f t="shared" ref="F53:Q53" si="316">F47+F51+F52</f>
        <v>132172.21389736002</v>
      </c>
      <c r="G53" s="1799">
        <f t="shared" si="316"/>
        <v>194509.21987680448</v>
      </c>
      <c r="H53" s="1800">
        <f t="shared" si="316"/>
        <v>132172.21389736002</v>
      </c>
      <c r="I53" s="1850">
        <f t="shared" si="316"/>
        <v>132172.21389736002</v>
      </c>
      <c r="J53" s="1799">
        <f t="shared" si="316"/>
        <v>132172.21389736002</v>
      </c>
      <c r="K53" s="1800">
        <f t="shared" si="316"/>
        <v>132172.21389736002</v>
      </c>
      <c r="L53" s="1850">
        <f t="shared" si="316"/>
        <v>132172.21389736002</v>
      </c>
      <c r="M53" s="1799">
        <f t="shared" si="316"/>
        <v>132172.21389736002</v>
      </c>
      <c r="N53" s="1800">
        <f t="shared" si="316"/>
        <v>132172.21389736002</v>
      </c>
      <c r="O53" s="1850">
        <f t="shared" si="316"/>
        <v>132172.21389736002</v>
      </c>
      <c r="P53" s="1799">
        <f t="shared" si="316"/>
        <v>132172.21389736002</v>
      </c>
      <c r="Q53" s="1800">
        <f t="shared" si="316"/>
        <v>132172.21389736002</v>
      </c>
      <c r="R53" s="2259">
        <f>SUM(F53:Q53)</f>
        <v>1648403.5727477646</v>
      </c>
      <c r="S53" s="1850">
        <f>S47+S51+S52</f>
        <v>122361.72956640001</v>
      </c>
      <c r="T53" s="1799">
        <f t="shared" ref="T53:AD53" si="317">T47+T51+T52</f>
        <v>130653.39623306668</v>
      </c>
      <c r="U53" s="1800">
        <f t="shared" si="317"/>
        <v>212540.19623306667</v>
      </c>
      <c r="V53" s="1850">
        <f t="shared" si="317"/>
        <v>121003.19623306667</v>
      </c>
      <c r="W53" s="1799">
        <f t="shared" si="317"/>
        <v>121003.19623306667</v>
      </c>
      <c r="X53" s="1800">
        <f t="shared" si="317"/>
        <v>121003.19623306667</v>
      </c>
      <c r="Y53" s="1850">
        <f t="shared" si="317"/>
        <v>121003.19623306667</v>
      </c>
      <c r="Z53" s="1799">
        <f t="shared" si="317"/>
        <v>121003.19623306667</v>
      </c>
      <c r="AA53" s="1800">
        <f t="shared" si="317"/>
        <v>121003.19623306667</v>
      </c>
      <c r="AB53" s="1850">
        <f t="shared" si="317"/>
        <v>121003.19623306667</v>
      </c>
      <c r="AC53" s="1799">
        <f t="shared" si="317"/>
        <v>121003.19623306667</v>
      </c>
      <c r="AD53" s="1800">
        <f t="shared" si="317"/>
        <v>121003.19623306667</v>
      </c>
      <c r="AE53" s="2259">
        <f>SUM(S53:AD53)</f>
        <v>1554584.0881301339</v>
      </c>
      <c r="AF53" s="1850">
        <f>AF47+AF51+AF52</f>
        <v>122361.72956640001</v>
      </c>
      <c r="AG53" s="1799">
        <f t="shared" ref="AG53:AQ53" si="318">AG47+AG51+AG52</f>
        <v>130653.39623306668</v>
      </c>
      <c r="AH53" s="1800">
        <f t="shared" si="318"/>
        <v>212540.19623306667</v>
      </c>
      <c r="AI53" s="1850">
        <f t="shared" si="318"/>
        <v>121003.19623306667</v>
      </c>
      <c r="AJ53" s="1799">
        <f t="shared" si="318"/>
        <v>121003.19623306667</v>
      </c>
      <c r="AK53" s="1800">
        <f t="shared" si="318"/>
        <v>121003.19623306667</v>
      </c>
      <c r="AL53" s="1850">
        <f t="shared" si="318"/>
        <v>121003.19623306667</v>
      </c>
      <c r="AM53" s="1799">
        <f t="shared" si="318"/>
        <v>121003.19623306667</v>
      </c>
      <c r="AN53" s="1800">
        <f t="shared" si="318"/>
        <v>121003.19623306667</v>
      </c>
      <c r="AO53" s="1850">
        <f t="shared" si="318"/>
        <v>121003.19623306667</v>
      </c>
      <c r="AP53" s="1799">
        <f t="shared" si="318"/>
        <v>121003.19623306667</v>
      </c>
      <c r="AQ53" s="1800">
        <f t="shared" si="318"/>
        <v>121003.19623306667</v>
      </c>
      <c r="AR53" s="2259">
        <f>SUM(AF53:AQ53)</f>
        <v>1554584.0881301339</v>
      </c>
      <c r="AS53" s="1850">
        <f>AS47+AS51+AS52</f>
        <v>122361.72956640001</v>
      </c>
      <c r="AT53" s="1799">
        <f t="shared" ref="AT53:BD53" si="319">AT47+AT51+AT52</f>
        <v>130653.39623306668</v>
      </c>
      <c r="AU53" s="1800">
        <f t="shared" si="319"/>
        <v>212540.19623306667</v>
      </c>
      <c r="AV53" s="1850">
        <f t="shared" si="319"/>
        <v>121003.19623306667</v>
      </c>
      <c r="AW53" s="1799">
        <f t="shared" si="319"/>
        <v>121003.19623306667</v>
      </c>
      <c r="AX53" s="1800">
        <f t="shared" si="319"/>
        <v>121003.19623306667</v>
      </c>
      <c r="AY53" s="1850">
        <f t="shared" si="319"/>
        <v>121003.19623306667</v>
      </c>
      <c r="AZ53" s="1799">
        <f t="shared" si="319"/>
        <v>121003.19623306667</v>
      </c>
      <c r="BA53" s="1800">
        <f t="shared" si="319"/>
        <v>121003.19623306667</v>
      </c>
      <c r="BB53" s="1850">
        <f t="shared" si="319"/>
        <v>121003.19623306667</v>
      </c>
      <c r="BC53" s="1799">
        <f t="shared" si="319"/>
        <v>121003.19623306667</v>
      </c>
      <c r="BD53" s="1800">
        <f t="shared" si="319"/>
        <v>121003.19623306667</v>
      </c>
      <c r="BE53" s="1692">
        <f>SUM(AS53:BD53)</f>
        <v>1554584.0881301339</v>
      </c>
    </row>
    <row r="54" spans="1:57" ht="18" customHeight="1">
      <c r="A54" s="2284"/>
      <c r="B54" s="2284"/>
      <c r="C54" s="2284"/>
      <c r="D54" s="2284"/>
      <c r="F54" s="2486"/>
      <c r="G54" s="2287"/>
      <c r="H54" s="2287"/>
      <c r="I54" s="2287"/>
      <c r="J54" s="2287"/>
      <c r="K54" s="2287"/>
      <c r="L54" s="2287"/>
      <c r="M54" s="2287"/>
      <c r="N54" s="2287"/>
      <c r="O54" s="2287"/>
      <c r="P54" s="2287"/>
      <c r="Q54" s="2287"/>
      <c r="R54" s="1725" t="b">
        <f>R53=SUM(F53:Q53)</f>
        <v>1</v>
      </c>
      <c r="S54" s="2486"/>
      <c r="T54" s="2287"/>
      <c r="U54" s="2287"/>
      <c r="V54" s="2287"/>
      <c r="W54" s="2287"/>
      <c r="X54" s="2287"/>
      <c r="Y54" s="2287"/>
      <c r="Z54" s="2287"/>
      <c r="AA54" s="2287"/>
      <c r="AB54" s="2287"/>
      <c r="AC54" s="2287"/>
      <c r="AD54" s="2287"/>
      <c r="AE54" s="1725" t="b">
        <f>AE53=SUM(S53:AD53)</f>
        <v>1</v>
      </c>
      <c r="AF54" s="2486"/>
      <c r="AG54" s="2287"/>
      <c r="AH54" s="2287"/>
      <c r="AI54" s="2287"/>
      <c r="AJ54" s="2287"/>
      <c r="AK54" s="2287"/>
      <c r="AL54" s="2287"/>
      <c r="AM54" s="2287"/>
      <c r="AN54" s="2287"/>
      <c r="AO54" s="2287"/>
      <c r="AP54" s="2287"/>
      <c r="AQ54" s="2287"/>
      <c r="AR54" s="1725" t="b">
        <f>AR53=SUM(AF53:AQ53)</f>
        <v>1</v>
      </c>
      <c r="AS54" s="2486"/>
      <c r="AT54" s="2287"/>
      <c r="AU54" s="2287"/>
      <c r="AV54" s="2287"/>
      <c r="AW54" s="2287"/>
      <c r="AX54" s="2287"/>
      <c r="AY54" s="2287"/>
      <c r="AZ54" s="2287"/>
      <c r="BA54" s="2287"/>
      <c r="BB54" s="2287"/>
      <c r="BC54" s="2287"/>
      <c r="BD54" s="2287"/>
      <c r="BE54" s="2357" t="b">
        <f>BE53=SUM(AS53:BD53)</f>
        <v>1</v>
      </c>
    </row>
    <row r="55" spans="1:57" ht="18" customHeight="1" thickBot="1">
      <c r="A55" s="1547" t="s">
        <v>989</v>
      </c>
      <c r="B55" s="1520"/>
      <c r="C55" s="3495"/>
      <c r="D55" s="3495"/>
      <c r="E55" s="1545"/>
      <c r="F55" s="4331" t="s">
        <v>1391</v>
      </c>
      <c r="G55" s="4332">
        <v>0.06</v>
      </c>
      <c r="H55" s="1544" t="s">
        <v>1557</v>
      </c>
      <c r="R55" s="1954" t="s">
        <v>87</v>
      </c>
      <c r="T55" s="3556"/>
      <c r="AE55" s="1954" t="s">
        <v>87</v>
      </c>
      <c r="AG55" s="3556"/>
      <c r="AR55" s="1954" t="s">
        <v>87</v>
      </c>
      <c r="AT55" s="3556"/>
      <c r="BE55" s="1875" t="s">
        <v>87</v>
      </c>
    </row>
    <row r="56" spans="1:57" ht="18" customHeight="1" thickBot="1">
      <c r="A56" s="89" t="s">
        <v>112</v>
      </c>
      <c r="B56" s="72" t="s">
        <v>124</v>
      </c>
      <c r="C56" s="81" t="s">
        <v>104</v>
      </c>
      <c r="D56" s="81" t="s">
        <v>852</v>
      </c>
      <c r="E56" s="1699" t="s">
        <v>352</v>
      </c>
      <c r="F56" s="1876" t="str">
        <f>F4</f>
        <v>Jan.26</v>
      </c>
      <c r="G56" s="1877" t="str">
        <f t="shared" ref="G56:Q56" si="320">G4</f>
        <v>Feb.26</v>
      </c>
      <c r="H56" s="1878" t="str">
        <f t="shared" si="320"/>
        <v>Mar.26</v>
      </c>
      <c r="I56" s="1876" t="str">
        <f t="shared" si="320"/>
        <v>Apr.26</v>
      </c>
      <c r="J56" s="1877" t="str">
        <f t="shared" si="320"/>
        <v>May.26</v>
      </c>
      <c r="K56" s="1878" t="str">
        <f t="shared" si="320"/>
        <v>Jun.26</v>
      </c>
      <c r="L56" s="1876" t="str">
        <f t="shared" si="320"/>
        <v>Jul.26</v>
      </c>
      <c r="M56" s="1877" t="str">
        <f t="shared" si="320"/>
        <v>Aug.26</v>
      </c>
      <c r="N56" s="1878" t="str">
        <f t="shared" si="320"/>
        <v>Sep.26</v>
      </c>
      <c r="O56" s="1876" t="str">
        <f t="shared" si="320"/>
        <v>Oct.26</v>
      </c>
      <c r="P56" s="1877" t="str">
        <f t="shared" si="320"/>
        <v>Nov.26</v>
      </c>
      <c r="Q56" s="1878" t="str">
        <f t="shared" si="320"/>
        <v>Dec.26</v>
      </c>
      <c r="R56" s="2598" t="s">
        <v>15</v>
      </c>
      <c r="S56" s="1876" t="s">
        <v>430</v>
      </c>
      <c r="T56" s="1877" t="s">
        <v>557</v>
      </c>
      <c r="U56" s="1878" t="s">
        <v>558</v>
      </c>
      <c r="V56" s="1876" t="s">
        <v>431</v>
      </c>
      <c r="W56" s="1877" t="s">
        <v>559</v>
      </c>
      <c r="X56" s="1878" t="s">
        <v>560</v>
      </c>
      <c r="Y56" s="1876" t="s">
        <v>561</v>
      </c>
      <c r="Z56" s="1877" t="s">
        <v>562</v>
      </c>
      <c r="AA56" s="1878" t="s">
        <v>563</v>
      </c>
      <c r="AB56" s="1876" t="s">
        <v>564</v>
      </c>
      <c r="AC56" s="1877" t="s">
        <v>565</v>
      </c>
      <c r="AD56" s="1878" t="s">
        <v>566</v>
      </c>
      <c r="AE56" s="2598" t="s">
        <v>15</v>
      </c>
      <c r="AF56" s="1876" t="s">
        <v>430</v>
      </c>
      <c r="AG56" s="1877" t="s">
        <v>557</v>
      </c>
      <c r="AH56" s="1878" t="s">
        <v>558</v>
      </c>
      <c r="AI56" s="1876" t="s">
        <v>431</v>
      </c>
      <c r="AJ56" s="1877" t="s">
        <v>559</v>
      </c>
      <c r="AK56" s="1878" t="s">
        <v>560</v>
      </c>
      <c r="AL56" s="1876" t="s">
        <v>561</v>
      </c>
      <c r="AM56" s="1877" t="s">
        <v>562</v>
      </c>
      <c r="AN56" s="1878" t="s">
        <v>563</v>
      </c>
      <c r="AO56" s="1876" t="s">
        <v>564</v>
      </c>
      <c r="AP56" s="1877" t="s">
        <v>565</v>
      </c>
      <c r="AQ56" s="1878" t="s">
        <v>566</v>
      </c>
      <c r="AR56" s="2598" t="s">
        <v>15</v>
      </c>
      <c r="AS56" s="1876" t="s">
        <v>430</v>
      </c>
      <c r="AT56" s="1877" t="s">
        <v>557</v>
      </c>
      <c r="AU56" s="1878" t="s">
        <v>558</v>
      </c>
      <c r="AV56" s="1876" t="s">
        <v>431</v>
      </c>
      <c r="AW56" s="1877" t="s">
        <v>559</v>
      </c>
      <c r="AX56" s="1878" t="s">
        <v>560</v>
      </c>
      <c r="AY56" s="1876" t="s">
        <v>561</v>
      </c>
      <c r="AZ56" s="1877" t="s">
        <v>562</v>
      </c>
      <c r="BA56" s="1549" t="s">
        <v>563</v>
      </c>
      <c r="BB56" s="1548" t="s">
        <v>564</v>
      </c>
      <c r="BC56" s="81" t="s">
        <v>565</v>
      </c>
      <c r="BD56" s="1549" t="s">
        <v>566</v>
      </c>
      <c r="BE56" s="1550" t="s">
        <v>15</v>
      </c>
    </row>
    <row r="57" spans="1:57" ht="18" customHeight="1">
      <c r="A57" s="41" t="s">
        <v>359</v>
      </c>
      <c r="B57" s="2289" t="str">
        <f>B17</f>
        <v>S.manger and above</v>
      </c>
      <c r="C57" s="2272">
        <f>(49277119*(1+G55))/'1-1.Assumption'!$F$29</f>
        <v>1978.5509901515152</v>
      </c>
      <c r="D57" s="2272">
        <f>14325000/'1-1.Assumption'!F29</f>
        <v>542.61363636363637</v>
      </c>
      <c r="E57" s="1656">
        <f>+E17</f>
        <v>5</v>
      </c>
      <c r="F57" s="4381">
        <f t="shared" ref="F57:Q57" si="321">$C57*F17+$D57*F17*(1+$G$55)</f>
        <v>12768.607223484847</v>
      </c>
      <c r="G57" s="4382">
        <f t="shared" si="321"/>
        <v>12768.607223484847</v>
      </c>
      <c r="H57" s="4383">
        <f t="shared" si="321"/>
        <v>12768.607223484847</v>
      </c>
      <c r="I57" s="4381">
        <f t="shared" si="321"/>
        <v>12768.607223484847</v>
      </c>
      <c r="J57" s="4382">
        <f t="shared" si="321"/>
        <v>12768.607223484847</v>
      </c>
      <c r="K57" s="4383">
        <f t="shared" si="321"/>
        <v>12768.607223484847</v>
      </c>
      <c r="L57" s="4381">
        <f t="shared" si="321"/>
        <v>12768.607223484847</v>
      </c>
      <c r="M57" s="4382">
        <f t="shared" si="321"/>
        <v>12768.607223484847</v>
      </c>
      <c r="N57" s="4383">
        <f t="shared" si="321"/>
        <v>12768.607223484847</v>
      </c>
      <c r="O57" s="4381">
        <f t="shared" si="321"/>
        <v>12768.607223484847</v>
      </c>
      <c r="P57" s="4382">
        <f t="shared" si="321"/>
        <v>12768.607223484847</v>
      </c>
      <c r="Q57" s="4383">
        <f t="shared" si="321"/>
        <v>12768.607223484847</v>
      </c>
      <c r="R57" s="2606">
        <f>SUM(F57:Q57)</f>
        <v>153223.28668181814</v>
      </c>
      <c r="S57" s="2263">
        <f t="shared" ref="S57:AD57" si="322">$C57*S17+$D57*S17</f>
        <v>15126.987759090909</v>
      </c>
      <c r="T57" s="1726">
        <f t="shared" si="322"/>
        <v>15126.987759090909</v>
      </c>
      <c r="U57" s="1727">
        <f t="shared" si="322"/>
        <v>15126.987759090909</v>
      </c>
      <c r="V57" s="2263">
        <f t="shared" si="322"/>
        <v>15126.987759090909</v>
      </c>
      <c r="W57" s="1726">
        <f t="shared" si="322"/>
        <v>15126.987759090909</v>
      </c>
      <c r="X57" s="1727">
        <f t="shared" si="322"/>
        <v>15126.987759090909</v>
      </c>
      <c r="Y57" s="2263">
        <f t="shared" si="322"/>
        <v>15126.987759090909</v>
      </c>
      <c r="Z57" s="1726">
        <f t="shared" si="322"/>
        <v>15126.987759090909</v>
      </c>
      <c r="AA57" s="1727">
        <f t="shared" si="322"/>
        <v>15126.987759090909</v>
      </c>
      <c r="AB57" s="2263">
        <f t="shared" si="322"/>
        <v>15126.987759090909</v>
      </c>
      <c r="AC57" s="1726">
        <f t="shared" si="322"/>
        <v>15126.987759090909</v>
      </c>
      <c r="AD57" s="1727">
        <f t="shared" si="322"/>
        <v>15126.987759090909</v>
      </c>
      <c r="AE57" s="2606">
        <f>SUM(S57:AD57)</f>
        <v>181523.85310909085</v>
      </c>
      <c r="AF57" s="2263">
        <f t="shared" ref="AF57:AQ57" si="323">$C57*AF17+$D57*AF17</f>
        <v>15126.987759090909</v>
      </c>
      <c r="AG57" s="1726">
        <f t="shared" si="323"/>
        <v>15126.987759090909</v>
      </c>
      <c r="AH57" s="1727">
        <f t="shared" si="323"/>
        <v>15126.987759090909</v>
      </c>
      <c r="AI57" s="2263">
        <f t="shared" si="323"/>
        <v>15126.987759090909</v>
      </c>
      <c r="AJ57" s="1726">
        <f t="shared" si="323"/>
        <v>15126.987759090909</v>
      </c>
      <c r="AK57" s="1727">
        <f t="shared" si="323"/>
        <v>15126.987759090909</v>
      </c>
      <c r="AL57" s="2263">
        <f t="shared" si="323"/>
        <v>15126.987759090909</v>
      </c>
      <c r="AM57" s="1726">
        <f t="shared" si="323"/>
        <v>15126.987759090909</v>
      </c>
      <c r="AN57" s="1727">
        <f t="shared" si="323"/>
        <v>15126.987759090909</v>
      </c>
      <c r="AO57" s="2263">
        <f t="shared" si="323"/>
        <v>15126.987759090909</v>
      </c>
      <c r="AP57" s="1726">
        <f t="shared" si="323"/>
        <v>15126.987759090909</v>
      </c>
      <c r="AQ57" s="1727">
        <f t="shared" si="323"/>
        <v>15126.987759090909</v>
      </c>
      <c r="AR57" s="2606">
        <f>SUM(AF57:AQ57)</f>
        <v>181523.85310909085</v>
      </c>
      <c r="AS57" s="2263">
        <f t="shared" ref="AS57:BD57" si="324">$C57*AS17+$D57*AS17</f>
        <v>15126.987759090909</v>
      </c>
      <c r="AT57" s="1726">
        <f t="shared" si="324"/>
        <v>15126.987759090909</v>
      </c>
      <c r="AU57" s="1727">
        <f t="shared" si="324"/>
        <v>15126.987759090909</v>
      </c>
      <c r="AV57" s="2263">
        <f t="shared" si="324"/>
        <v>15126.987759090909</v>
      </c>
      <c r="AW57" s="1726">
        <f t="shared" si="324"/>
        <v>15126.987759090909</v>
      </c>
      <c r="AX57" s="1727">
        <f t="shared" si="324"/>
        <v>15126.987759090909</v>
      </c>
      <c r="AY57" s="2263">
        <f t="shared" si="324"/>
        <v>15126.987759090909</v>
      </c>
      <c r="AZ57" s="1726">
        <f t="shared" si="324"/>
        <v>15126.987759090909</v>
      </c>
      <c r="BA57" s="1727">
        <f t="shared" si="324"/>
        <v>15126.987759090909</v>
      </c>
      <c r="BB57" s="2263">
        <f t="shared" si="324"/>
        <v>15126.987759090909</v>
      </c>
      <c r="BC57" s="1726">
        <f t="shared" si="324"/>
        <v>15126.987759090909</v>
      </c>
      <c r="BD57" s="1727">
        <f t="shared" si="324"/>
        <v>15126.987759090909</v>
      </c>
      <c r="BE57" s="1554">
        <f>SUM(AS57:BD57)</f>
        <v>181523.85310909085</v>
      </c>
    </row>
    <row r="58" spans="1:57" ht="18" customHeight="1">
      <c r="A58" s="2290"/>
      <c r="B58" s="13" t="s">
        <v>307</v>
      </c>
      <c r="C58" s="2272">
        <f>(24150000*(1+G55))/'1-1.Assumption'!F29</f>
        <v>969.65909090909088</v>
      </c>
      <c r="D58" s="2272">
        <f>8500000/'1-1.Assumption'!F29</f>
        <v>321.969696969697</v>
      </c>
      <c r="E58" s="1662">
        <f>+E18</f>
        <v>7</v>
      </c>
      <c r="F58" s="4385">
        <f t="shared" ref="F58:Q58" si="325">$C58*F18+$D58*F18*(1+$G$55)</f>
        <v>9176.628787878788</v>
      </c>
      <c r="G58" s="4384">
        <f t="shared" si="325"/>
        <v>9176.628787878788</v>
      </c>
      <c r="H58" s="4386">
        <f t="shared" si="325"/>
        <v>9176.628787878788</v>
      </c>
      <c r="I58" s="4385">
        <f t="shared" si="325"/>
        <v>9176.628787878788</v>
      </c>
      <c r="J58" s="4384">
        <f t="shared" si="325"/>
        <v>9176.628787878788</v>
      </c>
      <c r="K58" s="4386">
        <f t="shared" si="325"/>
        <v>9176.628787878788</v>
      </c>
      <c r="L58" s="4385">
        <f t="shared" si="325"/>
        <v>9176.628787878788</v>
      </c>
      <c r="M58" s="4384">
        <f t="shared" si="325"/>
        <v>9176.628787878788</v>
      </c>
      <c r="N58" s="4386">
        <f t="shared" si="325"/>
        <v>9176.628787878788</v>
      </c>
      <c r="O58" s="4385">
        <f t="shared" si="325"/>
        <v>9176.628787878788</v>
      </c>
      <c r="P58" s="4384">
        <f t="shared" si="325"/>
        <v>9176.628787878788</v>
      </c>
      <c r="Q58" s="4386">
        <f t="shared" si="325"/>
        <v>9176.628787878788</v>
      </c>
      <c r="R58" s="2200">
        <f t="shared" ref="R58:R59" si="326">SUM(F58:Q58)</f>
        <v>110119.54545454543</v>
      </c>
      <c r="S58" s="1781">
        <f t="shared" ref="S58:AD58" si="327">$C58*S18+$D58*S18</f>
        <v>14207.916666666668</v>
      </c>
      <c r="T58" s="1657">
        <f t="shared" si="327"/>
        <v>12916.287878787878</v>
      </c>
      <c r="U58" s="1658">
        <f t="shared" si="327"/>
        <v>12916.287878787878</v>
      </c>
      <c r="V58" s="1781">
        <f t="shared" si="327"/>
        <v>12916.287878787878</v>
      </c>
      <c r="W58" s="1657">
        <f t="shared" si="327"/>
        <v>12916.287878787878</v>
      </c>
      <c r="X58" s="1658">
        <f t="shared" si="327"/>
        <v>12916.287878787878</v>
      </c>
      <c r="Y58" s="1781">
        <f t="shared" si="327"/>
        <v>12916.287878787878</v>
      </c>
      <c r="Z58" s="1657">
        <f t="shared" si="327"/>
        <v>12916.287878787878</v>
      </c>
      <c r="AA58" s="1658">
        <f t="shared" si="327"/>
        <v>12916.287878787878</v>
      </c>
      <c r="AB58" s="1781">
        <f t="shared" si="327"/>
        <v>12916.287878787878</v>
      </c>
      <c r="AC58" s="1657">
        <f t="shared" si="327"/>
        <v>12916.287878787878</v>
      </c>
      <c r="AD58" s="1658">
        <f t="shared" si="327"/>
        <v>12916.287878787878</v>
      </c>
      <c r="AE58" s="2200">
        <f t="shared" ref="AE58:AE59" si="328">SUM(S58:AD58)</f>
        <v>156287.08333333328</v>
      </c>
      <c r="AF58" s="1781">
        <f t="shared" ref="AF58:AQ58" si="329">$C58*AF18+$D58*AF18</f>
        <v>14207.916666666668</v>
      </c>
      <c r="AG58" s="1657">
        <f t="shared" si="329"/>
        <v>12916.287878787878</v>
      </c>
      <c r="AH58" s="1658">
        <f t="shared" si="329"/>
        <v>12916.287878787878</v>
      </c>
      <c r="AI58" s="1781">
        <f t="shared" si="329"/>
        <v>12916.287878787878</v>
      </c>
      <c r="AJ58" s="1657">
        <f t="shared" si="329"/>
        <v>12916.287878787878</v>
      </c>
      <c r="AK58" s="1658">
        <f t="shared" si="329"/>
        <v>12916.287878787878</v>
      </c>
      <c r="AL58" s="1781">
        <f t="shared" si="329"/>
        <v>12916.287878787878</v>
      </c>
      <c r="AM58" s="1657">
        <f t="shared" si="329"/>
        <v>12916.287878787878</v>
      </c>
      <c r="AN58" s="1658">
        <f t="shared" si="329"/>
        <v>12916.287878787878</v>
      </c>
      <c r="AO58" s="1781">
        <f t="shared" si="329"/>
        <v>12916.287878787878</v>
      </c>
      <c r="AP58" s="1657">
        <f t="shared" si="329"/>
        <v>12916.287878787878</v>
      </c>
      <c r="AQ58" s="1658">
        <f t="shared" si="329"/>
        <v>12916.287878787878</v>
      </c>
      <c r="AR58" s="2200">
        <f t="shared" ref="AR58:AR59" si="330">SUM(AF58:AQ58)</f>
        <v>156287.08333333328</v>
      </c>
      <c r="AS58" s="1781">
        <f t="shared" ref="AS58:BD58" si="331">$C58*AS18+$D58*AS18</f>
        <v>14207.916666666668</v>
      </c>
      <c r="AT58" s="1657">
        <f t="shared" si="331"/>
        <v>12916.287878787878</v>
      </c>
      <c r="AU58" s="1658">
        <f t="shared" si="331"/>
        <v>12916.287878787878</v>
      </c>
      <c r="AV58" s="1781">
        <f t="shared" si="331"/>
        <v>12916.287878787878</v>
      </c>
      <c r="AW58" s="1657">
        <f t="shared" si="331"/>
        <v>12916.287878787878</v>
      </c>
      <c r="AX58" s="1658">
        <f t="shared" si="331"/>
        <v>12916.287878787878</v>
      </c>
      <c r="AY58" s="1781">
        <f t="shared" si="331"/>
        <v>12916.287878787878</v>
      </c>
      <c r="AZ58" s="1657">
        <f t="shared" si="331"/>
        <v>12916.287878787878</v>
      </c>
      <c r="BA58" s="1658">
        <f t="shared" si="331"/>
        <v>12916.287878787878</v>
      </c>
      <c r="BB58" s="1781">
        <f t="shared" si="331"/>
        <v>12916.287878787878</v>
      </c>
      <c r="BC58" s="1657">
        <f t="shared" si="331"/>
        <v>12916.287878787878</v>
      </c>
      <c r="BD58" s="1658">
        <f t="shared" si="331"/>
        <v>12916.287878787878</v>
      </c>
      <c r="BE58" s="1566">
        <f t="shared" ref="BE58:BE59" si="332">SUM(AS58:BD58)</f>
        <v>156287.08333333328</v>
      </c>
    </row>
    <row r="59" spans="1:57" ht="18" customHeight="1">
      <c r="A59" s="2290"/>
      <c r="B59" s="13" t="s">
        <v>362</v>
      </c>
      <c r="C59" s="2273">
        <f>(14487110*(1+G55))/'1-1.Assumption'!F29</f>
        <v>581.67941666666673</v>
      </c>
      <c r="D59" s="2273">
        <f>4825000/'1-1.Assumption'!F29</f>
        <v>182.7651515151515</v>
      </c>
      <c r="E59" s="1662">
        <f>+E19</f>
        <v>61</v>
      </c>
      <c r="F59" s="4385">
        <f t="shared" ref="F59:Q59" si="333">$C59*F19+$D59*F19*(1+$G$55)</f>
        <v>47300.039113636369</v>
      </c>
      <c r="G59" s="4387">
        <f t="shared" si="333"/>
        <v>47300.039113636369</v>
      </c>
      <c r="H59" s="4386">
        <f t="shared" si="333"/>
        <v>47300.039113636369</v>
      </c>
      <c r="I59" s="4385">
        <f t="shared" si="333"/>
        <v>47300.039113636369</v>
      </c>
      <c r="J59" s="4384">
        <f t="shared" si="333"/>
        <v>47300.039113636369</v>
      </c>
      <c r="K59" s="4386">
        <f t="shared" si="333"/>
        <v>47300.039113636369</v>
      </c>
      <c r="L59" s="4385">
        <f t="shared" si="333"/>
        <v>47300.039113636369</v>
      </c>
      <c r="M59" s="4384">
        <f t="shared" si="333"/>
        <v>47300.039113636369</v>
      </c>
      <c r="N59" s="4386">
        <f t="shared" si="333"/>
        <v>47300.039113636369</v>
      </c>
      <c r="O59" s="4385">
        <f t="shared" si="333"/>
        <v>47300.039113636369</v>
      </c>
      <c r="P59" s="4384">
        <f t="shared" si="333"/>
        <v>47300.039113636369</v>
      </c>
      <c r="Q59" s="4386">
        <f t="shared" si="333"/>
        <v>47300.039113636369</v>
      </c>
      <c r="R59" s="2200">
        <f t="shared" si="326"/>
        <v>567600.46936363645</v>
      </c>
      <c r="S59" s="1781">
        <f t="shared" ref="S59:AD59" si="334">$C59*S19+$D59*S19</f>
        <v>62684.454590909096</v>
      </c>
      <c r="T59" s="1789">
        <f t="shared" si="334"/>
        <v>62684.454590909096</v>
      </c>
      <c r="U59" s="1658">
        <f t="shared" si="334"/>
        <v>61920.010022727278</v>
      </c>
      <c r="V59" s="1781">
        <f t="shared" si="334"/>
        <v>63448.899159090914</v>
      </c>
      <c r="W59" s="1657">
        <f t="shared" si="334"/>
        <v>63448.899159090914</v>
      </c>
      <c r="X59" s="1658">
        <f t="shared" si="334"/>
        <v>63448.899159090914</v>
      </c>
      <c r="Y59" s="1781">
        <f t="shared" si="334"/>
        <v>63448.899159090914</v>
      </c>
      <c r="Z59" s="1657">
        <f t="shared" si="334"/>
        <v>63448.899159090914</v>
      </c>
      <c r="AA59" s="1658">
        <f t="shared" si="334"/>
        <v>63448.899159090914</v>
      </c>
      <c r="AB59" s="1781">
        <f t="shared" si="334"/>
        <v>63448.899159090914</v>
      </c>
      <c r="AC59" s="1657">
        <f t="shared" si="334"/>
        <v>63448.899159090914</v>
      </c>
      <c r="AD59" s="1658">
        <f t="shared" si="334"/>
        <v>63448.899159090914</v>
      </c>
      <c r="AE59" s="2200">
        <f t="shared" si="328"/>
        <v>758329.01163636392</v>
      </c>
      <c r="AF59" s="1781">
        <f t="shared" ref="AF59:AQ59" si="335">$C59*AF19+$D59*AF19</f>
        <v>62684.454590909096</v>
      </c>
      <c r="AG59" s="1789">
        <f t="shared" si="335"/>
        <v>62684.454590909096</v>
      </c>
      <c r="AH59" s="1658">
        <f t="shared" si="335"/>
        <v>61920.010022727278</v>
      </c>
      <c r="AI59" s="1781">
        <f t="shared" si="335"/>
        <v>63448.899159090914</v>
      </c>
      <c r="AJ59" s="1657">
        <f t="shared" si="335"/>
        <v>63448.899159090914</v>
      </c>
      <c r="AK59" s="1658">
        <f t="shared" si="335"/>
        <v>63448.899159090914</v>
      </c>
      <c r="AL59" s="1781">
        <f t="shared" si="335"/>
        <v>63448.899159090914</v>
      </c>
      <c r="AM59" s="1657">
        <f t="shared" si="335"/>
        <v>63448.899159090914</v>
      </c>
      <c r="AN59" s="1658">
        <f t="shared" si="335"/>
        <v>63448.899159090914</v>
      </c>
      <c r="AO59" s="1781">
        <f t="shared" si="335"/>
        <v>63448.899159090914</v>
      </c>
      <c r="AP59" s="1657">
        <f t="shared" si="335"/>
        <v>63448.899159090914</v>
      </c>
      <c r="AQ59" s="1658">
        <f t="shared" si="335"/>
        <v>63448.899159090914</v>
      </c>
      <c r="AR59" s="2200">
        <f t="shared" si="330"/>
        <v>758329.01163636392</v>
      </c>
      <c r="AS59" s="1781">
        <f t="shared" ref="AS59:BD59" si="336">$C59*AS19+$D59*AS19</f>
        <v>62684.454590909096</v>
      </c>
      <c r="AT59" s="1789">
        <f t="shared" si="336"/>
        <v>62684.454590909096</v>
      </c>
      <c r="AU59" s="1658">
        <f t="shared" si="336"/>
        <v>61920.010022727278</v>
      </c>
      <c r="AV59" s="1781">
        <f t="shared" si="336"/>
        <v>63448.899159090914</v>
      </c>
      <c r="AW59" s="1657">
        <f t="shared" si="336"/>
        <v>63448.899159090914</v>
      </c>
      <c r="AX59" s="1658">
        <f t="shared" si="336"/>
        <v>63448.899159090914</v>
      </c>
      <c r="AY59" s="1781">
        <f t="shared" si="336"/>
        <v>63448.899159090914</v>
      </c>
      <c r="AZ59" s="1657">
        <f t="shared" si="336"/>
        <v>63448.899159090914</v>
      </c>
      <c r="BA59" s="1658">
        <f t="shared" si="336"/>
        <v>63448.899159090914</v>
      </c>
      <c r="BB59" s="1781">
        <f t="shared" si="336"/>
        <v>63448.899159090914</v>
      </c>
      <c r="BC59" s="1657">
        <f t="shared" si="336"/>
        <v>63448.899159090914</v>
      </c>
      <c r="BD59" s="1658">
        <f t="shared" si="336"/>
        <v>63448.899159090914</v>
      </c>
      <c r="BE59" s="1566">
        <f t="shared" si="332"/>
        <v>758329.01163636392</v>
      </c>
    </row>
    <row r="60" spans="1:57" ht="18" customHeight="1">
      <c r="A60" s="2264"/>
      <c r="B60" s="1747" t="s">
        <v>354</v>
      </c>
      <c r="C60" s="2265"/>
      <c r="D60" s="2265"/>
      <c r="E60" s="3430">
        <f>SUM(E57:E59)</f>
        <v>73</v>
      </c>
      <c r="F60" s="1829">
        <f>SUM(F57:F59)</f>
        <v>69245.275125</v>
      </c>
      <c r="G60" s="1753">
        <f t="shared" ref="G60:Q60" si="337">SUM(G57:G59)</f>
        <v>69245.275125</v>
      </c>
      <c r="H60" s="1754">
        <f t="shared" si="337"/>
        <v>69245.275125</v>
      </c>
      <c r="I60" s="1829">
        <f t="shared" si="337"/>
        <v>69245.275125</v>
      </c>
      <c r="J60" s="1753">
        <f t="shared" si="337"/>
        <v>69245.275125</v>
      </c>
      <c r="K60" s="1754">
        <f t="shared" si="337"/>
        <v>69245.275125</v>
      </c>
      <c r="L60" s="1829">
        <f t="shared" si="337"/>
        <v>69245.275125</v>
      </c>
      <c r="M60" s="1753">
        <f t="shared" si="337"/>
        <v>69245.275125</v>
      </c>
      <c r="N60" s="1754">
        <f t="shared" si="337"/>
        <v>69245.275125</v>
      </c>
      <c r="O60" s="1829">
        <f t="shared" si="337"/>
        <v>69245.275125</v>
      </c>
      <c r="P60" s="1753">
        <f t="shared" si="337"/>
        <v>69245.275125</v>
      </c>
      <c r="Q60" s="1754">
        <f t="shared" si="337"/>
        <v>69245.275125</v>
      </c>
      <c r="R60" s="2223">
        <f>SUM(R57:R59)</f>
        <v>830943.30150000006</v>
      </c>
      <c r="S60" s="2358">
        <f>SUM(S57:S59)</f>
        <v>92019.359016666669</v>
      </c>
      <c r="T60" s="2359">
        <f t="shared" ref="T60:AD60" si="338">SUM(T57:T59)</f>
        <v>90727.730228787885</v>
      </c>
      <c r="U60" s="2360">
        <f t="shared" si="338"/>
        <v>89963.285660606067</v>
      </c>
      <c r="V60" s="2358">
        <f t="shared" si="338"/>
        <v>91492.174796969703</v>
      </c>
      <c r="W60" s="2359">
        <f t="shared" si="338"/>
        <v>91492.174796969703</v>
      </c>
      <c r="X60" s="2360">
        <f t="shared" si="338"/>
        <v>91492.174796969703</v>
      </c>
      <c r="Y60" s="2358">
        <f t="shared" si="338"/>
        <v>91492.174796969703</v>
      </c>
      <c r="Z60" s="2359">
        <f t="shared" si="338"/>
        <v>91492.174796969703</v>
      </c>
      <c r="AA60" s="2360">
        <f t="shared" si="338"/>
        <v>91492.174796969703</v>
      </c>
      <c r="AB60" s="2358">
        <f t="shared" si="338"/>
        <v>91492.174796969703</v>
      </c>
      <c r="AC60" s="2359">
        <f t="shared" si="338"/>
        <v>91492.174796969703</v>
      </c>
      <c r="AD60" s="2360">
        <f t="shared" si="338"/>
        <v>91492.174796969703</v>
      </c>
      <c r="AE60" s="2223">
        <f>SUM(AE57:AE59)</f>
        <v>1096139.9480787881</v>
      </c>
      <c r="AF60" s="2358">
        <f>SUM(AF57:AF59)</f>
        <v>92019.359016666669</v>
      </c>
      <c r="AG60" s="2359">
        <f t="shared" ref="AG60:AQ60" si="339">SUM(AG57:AG59)</f>
        <v>90727.730228787885</v>
      </c>
      <c r="AH60" s="2360">
        <f t="shared" si="339"/>
        <v>89963.285660606067</v>
      </c>
      <c r="AI60" s="2358">
        <f t="shared" si="339"/>
        <v>91492.174796969703</v>
      </c>
      <c r="AJ60" s="2359">
        <f t="shared" si="339"/>
        <v>91492.174796969703</v>
      </c>
      <c r="AK60" s="2360">
        <f t="shared" si="339"/>
        <v>91492.174796969703</v>
      </c>
      <c r="AL60" s="2358">
        <f t="shared" si="339"/>
        <v>91492.174796969703</v>
      </c>
      <c r="AM60" s="2359">
        <f t="shared" si="339"/>
        <v>91492.174796969703</v>
      </c>
      <c r="AN60" s="2360">
        <f t="shared" si="339"/>
        <v>91492.174796969703</v>
      </c>
      <c r="AO60" s="2358">
        <f t="shared" si="339"/>
        <v>91492.174796969703</v>
      </c>
      <c r="AP60" s="2359">
        <f t="shared" si="339"/>
        <v>91492.174796969703</v>
      </c>
      <c r="AQ60" s="2360">
        <f t="shared" si="339"/>
        <v>91492.174796969703</v>
      </c>
      <c r="AR60" s="2223">
        <f>SUM(AR57:AR59)</f>
        <v>1096139.9480787881</v>
      </c>
      <c r="AS60" s="2358">
        <f>SUM(AS57:AS59)</f>
        <v>92019.359016666669</v>
      </c>
      <c r="AT60" s="2359">
        <f t="shared" ref="AT60:BD60" si="340">SUM(AT57:AT59)</f>
        <v>90727.730228787885</v>
      </c>
      <c r="AU60" s="2360">
        <f t="shared" si="340"/>
        <v>89963.285660606067</v>
      </c>
      <c r="AV60" s="2358">
        <f t="shared" si="340"/>
        <v>91492.174796969703</v>
      </c>
      <c r="AW60" s="2359">
        <f t="shared" si="340"/>
        <v>91492.174796969703</v>
      </c>
      <c r="AX60" s="2360">
        <f t="shared" si="340"/>
        <v>91492.174796969703</v>
      </c>
      <c r="AY60" s="2358">
        <f t="shared" si="340"/>
        <v>91492.174796969703</v>
      </c>
      <c r="AZ60" s="2359">
        <f t="shared" si="340"/>
        <v>91492.174796969703</v>
      </c>
      <c r="BA60" s="2360">
        <f t="shared" si="340"/>
        <v>91492.174796969703</v>
      </c>
      <c r="BB60" s="2358">
        <f t="shared" si="340"/>
        <v>91492.174796969703</v>
      </c>
      <c r="BC60" s="2359">
        <f t="shared" si="340"/>
        <v>91492.174796969703</v>
      </c>
      <c r="BD60" s="2360">
        <f t="shared" si="340"/>
        <v>91492.174796969703</v>
      </c>
      <c r="BE60" s="1576">
        <f>SUM(BE57:BE59)</f>
        <v>1096139.9480787881</v>
      </c>
    </row>
    <row r="61" spans="1:57" ht="18" customHeight="1">
      <c r="A61" s="1965" t="s">
        <v>360</v>
      </c>
      <c r="B61" s="2268" t="str">
        <f>B21</f>
        <v>S.manger and above</v>
      </c>
      <c r="C61" s="2269">
        <f>(48697600*(1+G55))/'1-1.Assumption'!F29</f>
        <v>1955.2824242424242</v>
      </c>
      <c r="D61" s="2269">
        <f>14600000/'1-1.Assumption'!F29</f>
        <v>553.030303030303</v>
      </c>
      <c r="E61" s="2271">
        <f>+E21</f>
        <v>5</v>
      </c>
      <c r="F61" s="4385">
        <f t="shared" ref="F61:Q61" si="341">$C61*F21+$D61*F21*(1+$G$55)</f>
        <v>12707.472727272727</v>
      </c>
      <c r="G61" s="4430">
        <f t="shared" si="341"/>
        <v>12707.472727272727</v>
      </c>
      <c r="H61" s="4431">
        <f t="shared" si="341"/>
        <v>12707.472727272727</v>
      </c>
      <c r="I61" s="4406">
        <f t="shared" si="341"/>
        <v>12707.472727272727</v>
      </c>
      <c r="J61" s="4430">
        <f t="shared" si="341"/>
        <v>12707.472727272727</v>
      </c>
      <c r="K61" s="4431">
        <f t="shared" si="341"/>
        <v>12707.472727272727</v>
      </c>
      <c r="L61" s="4406">
        <f t="shared" si="341"/>
        <v>12707.472727272727</v>
      </c>
      <c r="M61" s="4430">
        <f t="shared" si="341"/>
        <v>12707.472727272727</v>
      </c>
      <c r="N61" s="4431">
        <f t="shared" si="341"/>
        <v>12707.472727272727</v>
      </c>
      <c r="O61" s="4406">
        <f t="shared" si="341"/>
        <v>12707.472727272727</v>
      </c>
      <c r="P61" s="4430">
        <f t="shared" si="341"/>
        <v>12707.472727272727</v>
      </c>
      <c r="Q61" s="4431">
        <f t="shared" si="341"/>
        <v>12707.472727272727</v>
      </c>
      <c r="R61" s="2204">
        <f t="shared" ref="R61:R63" si="342">SUM(F61:Q61)</f>
        <v>152489.67272727273</v>
      </c>
      <c r="S61" s="2203">
        <f t="shared" ref="S61:AD61" si="343">$C61*S21+$D61*S21</f>
        <v>7524.9381818181819</v>
      </c>
      <c r="T61" s="1761">
        <f t="shared" si="343"/>
        <v>7524.9381818181819</v>
      </c>
      <c r="U61" s="1762">
        <f t="shared" si="343"/>
        <v>7524.9381818181819</v>
      </c>
      <c r="V61" s="2203">
        <f t="shared" si="343"/>
        <v>7524.9381818181819</v>
      </c>
      <c r="W61" s="1761">
        <f t="shared" si="343"/>
        <v>7524.9381818181819</v>
      </c>
      <c r="X61" s="1762">
        <f t="shared" si="343"/>
        <v>7524.9381818181819</v>
      </c>
      <c r="Y61" s="2203">
        <f t="shared" si="343"/>
        <v>7524.9381818181819</v>
      </c>
      <c r="Z61" s="1761">
        <f t="shared" si="343"/>
        <v>7524.9381818181819</v>
      </c>
      <c r="AA61" s="1762">
        <f t="shared" si="343"/>
        <v>7524.9381818181819</v>
      </c>
      <c r="AB61" s="2203">
        <f t="shared" si="343"/>
        <v>7524.9381818181819</v>
      </c>
      <c r="AC61" s="1761">
        <f t="shared" si="343"/>
        <v>7524.9381818181819</v>
      </c>
      <c r="AD61" s="1762">
        <f t="shared" si="343"/>
        <v>7524.9381818181819</v>
      </c>
      <c r="AE61" s="2204">
        <f t="shared" ref="AE61:AE63" si="344">SUM(S61:AD61)</f>
        <v>90299.258181818193</v>
      </c>
      <c r="AF61" s="2203">
        <f t="shared" ref="AF61:AQ61" si="345">$C61*AF21+$D61*AF21</f>
        <v>7524.9381818181819</v>
      </c>
      <c r="AG61" s="1761">
        <f t="shared" si="345"/>
        <v>7524.9381818181819</v>
      </c>
      <c r="AH61" s="1762">
        <f t="shared" si="345"/>
        <v>7524.9381818181819</v>
      </c>
      <c r="AI61" s="2203">
        <f t="shared" si="345"/>
        <v>7524.9381818181819</v>
      </c>
      <c r="AJ61" s="1761">
        <f t="shared" si="345"/>
        <v>7524.9381818181819</v>
      </c>
      <c r="AK61" s="1762">
        <f t="shared" si="345"/>
        <v>7524.9381818181819</v>
      </c>
      <c r="AL61" s="2203">
        <f t="shared" si="345"/>
        <v>7524.9381818181819</v>
      </c>
      <c r="AM61" s="1761">
        <f t="shared" si="345"/>
        <v>7524.9381818181819</v>
      </c>
      <c r="AN61" s="1762">
        <f t="shared" si="345"/>
        <v>7524.9381818181819</v>
      </c>
      <c r="AO61" s="2203">
        <f t="shared" si="345"/>
        <v>7524.9381818181819</v>
      </c>
      <c r="AP61" s="1761">
        <f t="shared" si="345"/>
        <v>7524.9381818181819</v>
      </c>
      <c r="AQ61" s="1762">
        <f t="shared" si="345"/>
        <v>7524.9381818181819</v>
      </c>
      <c r="AR61" s="2204">
        <f t="shared" ref="AR61:AR63" si="346">SUM(AF61:AQ61)</f>
        <v>90299.258181818193</v>
      </c>
      <c r="AS61" s="2203">
        <f t="shared" ref="AS61:BD61" si="347">$C61*AS21+$D61*AS21</f>
        <v>7524.9381818181819</v>
      </c>
      <c r="AT61" s="1761">
        <f t="shared" si="347"/>
        <v>7524.9381818181819</v>
      </c>
      <c r="AU61" s="1762">
        <f t="shared" si="347"/>
        <v>7524.9381818181819</v>
      </c>
      <c r="AV61" s="2203">
        <f t="shared" si="347"/>
        <v>7524.9381818181819</v>
      </c>
      <c r="AW61" s="1761">
        <f t="shared" si="347"/>
        <v>7524.9381818181819</v>
      </c>
      <c r="AX61" s="1762">
        <f t="shared" si="347"/>
        <v>7524.9381818181819</v>
      </c>
      <c r="AY61" s="2203">
        <f t="shared" si="347"/>
        <v>7524.9381818181819</v>
      </c>
      <c r="AZ61" s="1761">
        <f t="shared" si="347"/>
        <v>7524.9381818181819</v>
      </c>
      <c r="BA61" s="1762">
        <f t="shared" si="347"/>
        <v>7524.9381818181819</v>
      </c>
      <c r="BB61" s="2203">
        <f t="shared" si="347"/>
        <v>7524.9381818181819</v>
      </c>
      <c r="BC61" s="1761">
        <f t="shared" si="347"/>
        <v>7524.9381818181819</v>
      </c>
      <c r="BD61" s="1762">
        <f t="shared" si="347"/>
        <v>7524.9381818181819</v>
      </c>
      <c r="BE61" s="1598">
        <f t="shared" ref="BE61:BE63" si="348">SUM(AS61:BD61)</f>
        <v>90299.258181818193</v>
      </c>
    </row>
    <row r="62" spans="1:57" ht="18" customHeight="1">
      <c r="A62" s="2290"/>
      <c r="B62" s="13" t="s">
        <v>307</v>
      </c>
      <c r="C62" s="2272">
        <f>(20150000*(1+G55))/'1-1.Assumption'!F29</f>
        <v>809.05303030303025</v>
      </c>
      <c r="D62" s="2272">
        <f>10850000/'1-1.Assumption'!F29</f>
        <v>410.9848484848485</v>
      </c>
      <c r="E62" s="1662">
        <f>+E22</f>
        <v>11</v>
      </c>
      <c r="F62" s="4436">
        <f t="shared" ref="F62:Q62" si="349">$C62*F22+$D62*F22*(1+$G$55)</f>
        <v>13691.666666666666</v>
      </c>
      <c r="G62" s="4384">
        <f t="shared" si="349"/>
        <v>13691.666666666666</v>
      </c>
      <c r="H62" s="4434">
        <f t="shared" si="349"/>
        <v>13691.666666666666</v>
      </c>
      <c r="I62" s="4385">
        <f t="shared" si="349"/>
        <v>13691.666666666666</v>
      </c>
      <c r="J62" s="4384">
        <f t="shared" si="349"/>
        <v>13691.666666666666</v>
      </c>
      <c r="K62" s="4386">
        <f t="shared" si="349"/>
        <v>13691.666666666666</v>
      </c>
      <c r="L62" s="4385">
        <f t="shared" si="349"/>
        <v>13691.666666666666</v>
      </c>
      <c r="M62" s="4384">
        <f t="shared" si="349"/>
        <v>13691.666666666666</v>
      </c>
      <c r="N62" s="4386">
        <f t="shared" si="349"/>
        <v>13691.666666666666</v>
      </c>
      <c r="O62" s="4385">
        <f t="shared" si="349"/>
        <v>13691.666666666666</v>
      </c>
      <c r="P62" s="4384">
        <f t="shared" si="349"/>
        <v>13691.666666666666</v>
      </c>
      <c r="Q62" s="4386">
        <f t="shared" si="349"/>
        <v>13691.666666666666</v>
      </c>
      <c r="R62" s="2200">
        <f t="shared" si="342"/>
        <v>164300</v>
      </c>
      <c r="S62" s="3869">
        <f t="shared" ref="S62:AD62" si="350">$C62*S22+$D62*S22</f>
        <v>13420.416666666666</v>
      </c>
      <c r="T62" s="1657">
        <f t="shared" si="350"/>
        <v>13420.416666666666</v>
      </c>
      <c r="U62" s="2353">
        <f t="shared" si="350"/>
        <v>13420.416666666666</v>
      </c>
      <c r="V62" s="1781">
        <f t="shared" si="350"/>
        <v>13420.416666666666</v>
      </c>
      <c r="W62" s="1657">
        <f t="shared" si="350"/>
        <v>13420.416666666666</v>
      </c>
      <c r="X62" s="1658">
        <f t="shared" si="350"/>
        <v>13420.416666666666</v>
      </c>
      <c r="Y62" s="1781">
        <f t="shared" si="350"/>
        <v>13420.416666666666</v>
      </c>
      <c r="Z62" s="1657">
        <f t="shared" si="350"/>
        <v>13420.416666666666</v>
      </c>
      <c r="AA62" s="1658">
        <f t="shared" si="350"/>
        <v>13420.416666666666</v>
      </c>
      <c r="AB62" s="1781">
        <f t="shared" si="350"/>
        <v>13420.416666666666</v>
      </c>
      <c r="AC62" s="1657">
        <f t="shared" si="350"/>
        <v>13420.416666666666</v>
      </c>
      <c r="AD62" s="1658">
        <f t="shared" si="350"/>
        <v>13420.416666666666</v>
      </c>
      <c r="AE62" s="2200">
        <f t="shared" si="344"/>
        <v>161045</v>
      </c>
      <c r="AF62" s="3869">
        <f t="shared" ref="AF62:AQ62" si="351">$C62*AF22+$D62*AF22</f>
        <v>13420.416666666666</v>
      </c>
      <c r="AG62" s="1657">
        <f t="shared" si="351"/>
        <v>13420.416666666666</v>
      </c>
      <c r="AH62" s="2353">
        <f t="shared" si="351"/>
        <v>13420.416666666666</v>
      </c>
      <c r="AI62" s="1781">
        <f t="shared" si="351"/>
        <v>13420.416666666666</v>
      </c>
      <c r="AJ62" s="1657">
        <f t="shared" si="351"/>
        <v>13420.416666666666</v>
      </c>
      <c r="AK62" s="1658">
        <f t="shared" si="351"/>
        <v>13420.416666666666</v>
      </c>
      <c r="AL62" s="1781">
        <f t="shared" si="351"/>
        <v>13420.416666666666</v>
      </c>
      <c r="AM62" s="1657">
        <f t="shared" si="351"/>
        <v>13420.416666666666</v>
      </c>
      <c r="AN62" s="1658">
        <f t="shared" si="351"/>
        <v>13420.416666666666</v>
      </c>
      <c r="AO62" s="1781">
        <f t="shared" si="351"/>
        <v>13420.416666666666</v>
      </c>
      <c r="AP62" s="1657">
        <f t="shared" si="351"/>
        <v>13420.416666666666</v>
      </c>
      <c r="AQ62" s="1658">
        <f t="shared" si="351"/>
        <v>13420.416666666666</v>
      </c>
      <c r="AR62" s="2200">
        <f t="shared" si="346"/>
        <v>161045</v>
      </c>
      <c r="AS62" s="3869">
        <f t="shared" ref="AS62:BD62" si="352">$C62*AS22+$D62*AS22</f>
        <v>13420.416666666666</v>
      </c>
      <c r="AT62" s="1657">
        <f t="shared" si="352"/>
        <v>13420.416666666666</v>
      </c>
      <c r="AU62" s="2353">
        <f t="shared" si="352"/>
        <v>13420.416666666666</v>
      </c>
      <c r="AV62" s="1781">
        <f t="shared" si="352"/>
        <v>13420.416666666666</v>
      </c>
      <c r="AW62" s="1657">
        <f t="shared" si="352"/>
        <v>13420.416666666666</v>
      </c>
      <c r="AX62" s="1658">
        <f t="shared" si="352"/>
        <v>13420.416666666666</v>
      </c>
      <c r="AY62" s="1781">
        <f t="shared" si="352"/>
        <v>13420.416666666666</v>
      </c>
      <c r="AZ62" s="1657">
        <f t="shared" si="352"/>
        <v>13420.416666666666</v>
      </c>
      <c r="BA62" s="1658">
        <f t="shared" si="352"/>
        <v>13420.416666666666</v>
      </c>
      <c r="BB62" s="1781">
        <f t="shared" si="352"/>
        <v>13420.416666666666</v>
      </c>
      <c r="BC62" s="1657">
        <f t="shared" si="352"/>
        <v>13420.416666666666</v>
      </c>
      <c r="BD62" s="1658">
        <f t="shared" si="352"/>
        <v>13420.416666666666</v>
      </c>
      <c r="BE62" s="1566">
        <f t="shared" si="348"/>
        <v>161045</v>
      </c>
    </row>
    <row r="63" spans="1:57" ht="18" customHeight="1">
      <c r="A63" s="2290"/>
      <c r="B63" s="13" t="s">
        <v>308</v>
      </c>
      <c r="C63" s="2273">
        <f>(11747327*(1+G55))/'1-1.Assumption'!F29</f>
        <v>471.67297803030306</v>
      </c>
      <c r="D63" s="2273">
        <f>6500000/'1-1.Assumption'!F29</f>
        <v>246.21212121212122</v>
      </c>
      <c r="E63" s="1662">
        <f>+E23</f>
        <v>144</v>
      </c>
      <c r="F63" s="4436">
        <f t="shared" ref="F63:Q63" si="353">$C63*F23+$D63*F23*(1+$G$55)</f>
        <v>105502.72701818182</v>
      </c>
      <c r="G63" s="4384">
        <f t="shared" si="353"/>
        <v>105502.72701818182</v>
      </c>
      <c r="H63" s="4434">
        <f t="shared" si="353"/>
        <v>105502.72701818182</v>
      </c>
      <c r="I63" s="4385">
        <f t="shared" si="353"/>
        <v>105502.72701818182</v>
      </c>
      <c r="J63" s="4384">
        <f t="shared" si="353"/>
        <v>105502.72701818182</v>
      </c>
      <c r="K63" s="4386">
        <f t="shared" si="353"/>
        <v>105502.72701818182</v>
      </c>
      <c r="L63" s="4385">
        <f t="shared" si="353"/>
        <v>105502.72701818182</v>
      </c>
      <c r="M63" s="4384">
        <f t="shared" si="353"/>
        <v>105502.72701818182</v>
      </c>
      <c r="N63" s="4386">
        <f t="shared" si="353"/>
        <v>105502.72701818182</v>
      </c>
      <c r="O63" s="4385">
        <f t="shared" si="353"/>
        <v>105502.72701818182</v>
      </c>
      <c r="P63" s="4384">
        <f t="shared" si="353"/>
        <v>105502.72701818182</v>
      </c>
      <c r="Q63" s="4386">
        <f t="shared" si="353"/>
        <v>105502.72701818182</v>
      </c>
      <c r="R63" s="2200">
        <f t="shared" si="342"/>
        <v>1266032.7242181818</v>
      </c>
      <c r="S63" s="3869">
        <f t="shared" ref="S63:X63" si="354">$C63*S23+$D63*S23</f>
        <v>117015.27117651516</v>
      </c>
      <c r="T63" s="1657">
        <f t="shared" si="354"/>
        <v>113425.84568030304</v>
      </c>
      <c r="U63" s="2353">
        <f t="shared" si="354"/>
        <v>110554.30528333332</v>
      </c>
      <c r="V63" s="1781">
        <f t="shared" si="354"/>
        <v>116297.38607727273</v>
      </c>
      <c r="W63" s="1657">
        <f t="shared" si="354"/>
        <v>116297.38607727273</v>
      </c>
      <c r="X63" s="1658">
        <f t="shared" si="354"/>
        <v>116297.38607727273</v>
      </c>
      <c r="Y63" s="1781">
        <f t="shared" ref="Y63:AD63" si="355">($C63*Y23*1.05)+$D63*Y23</f>
        <v>120117.9371993182</v>
      </c>
      <c r="Z63" s="1657">
        <f t="shared" si="355"/>
        <v>120117.9371993182</v>
      </c>
      <c r="AA63" s="1658">
        <f t="shared" si="355"/>
        <v>120117.9371993182</v>
      </c>
      <c r="AB63" s="1781">
        <f t="shared" si="355"/>
        <v>120117.9371993182</v>
      </c>
      <c r="AC63" s="1657">
        <f t="shared" si="355"/>
        <v>120117.9371993182</v>
      </c>
      <c r="AD63" s="1658">
        <f t="shared" si="355"/>
        <v>120117.9371993182</v>
      </c>
      <c r="AE63" s="2200">
        <f t="shared" si="344"/>
        <v>1410595.2035678793</v>
      </c>
      <c r="AF63" s="3869">
        <f t="shared" ref="AF63:AK63" si="356">$C63*AF23+$D63*AF23</f>
        <v>117015.27117651516</v>
      </c>
      <c r="AG63" s="1657">
        <f t="shared" si="356"/>
        <v>113425.84568030304</v>
      </c>
      <c r="AH63" s="2353">
        <f t="shared" si="356"/>
        <v>110554.30528333332</v>
      </c>
      <c r="AI63" s="1781">
        <f t="shared" si="356"/>
        <v>116297.38607727273</v>
      </c>
      <c r="AJ63" s="1657">
        <f t="shared" si="356"/>
        <v>116297.38607727273</v>
      </c>
      <c r="AK63" s="1658">
        <f t="shared" si="356"/>
        <v>116297.38607727273</v>
      </c>
      <c r="AL63" s="1781">
        <f t="shared" ref="AL63:AQ63" si="357">($C63*AL23*1.05)+$D63*AL23</f>
        <v>120117.9371993182</v>
      </c>
      <c r="AM63" s="1657">
        <f t="shared" si="357"/>
        <v>120117.9371993182</v>
      </c>
      <c r="AN63" s="1658">
        <f t="shared" si="357"/>
        <v>120117.9371993182</v>
      </c>
      <c r="AO63" s="1781">
        <f t="shared" si="357"/>
        <v>120117.9371993182</v>
      </c>
      <c r="AP63" s="1657">
        <f t="shared" si="357"/>
        <v>120117.9371993182</v>
      </c>
      <c r="AQ63" s="1658">
        <f t="shared" si="357"/>
        <v>120117.9371993182</v>
      </c>
      <c r="AR63" s="2200">
        <f t="shared" si="346"/>
        <v>1410595.2035678793</v>
      </c>
      <c r="AS63" s="3869">
        <f t="shared" ref="AS63:AX63" si="358">$C63*AS23+$D63*AS23</f>
        <v>117015.27117651516</v>
      </c>
      <c r="AT63" s="1657">
        <f t="shared" si="358"/>
        <v>113425.84568030304</v>
      </c>
      <c r="AU63" s="2353">
        <f t="shared" si="358"/>
        <v>110554.30528333332</v>
      </c>
      <c r="AV63" s="1781">
        <f t="shared" si="358"/>
        <v>116297.38607727273</v>
      </c>
      <c r="AW63" s="1657">
        <f t="shared" si="358"/>
        <v>116297.38607727273</v>
      </c>
      <c r="AX63" s="1658">
        <f t="shared" si="358"/>
        <v>116297.38607727273</v>
      </c>
      <c r="AY63" s="1781">
        <f t="shared" ref="AY63:BD63" si="359">($C63*AY23*1.05)+$D63*AY23</f>
        <v>120117.9371993182</v>
      </c>
      <c r="AZ63" s="1657">
        <f t="shared" si="359"/>
        <v>120117.9371993182</v>
      </c>
      <c r="BA63" s="1658">
        <f t="shared" si="359"/>
        <v>120117.9371993182</v>
      </c>
      <c r="BB63" s="1781">
        <f t="shared" si="359"/>
        <v>120117.9371993182</v>
      </c>
      <c r="BC63" s="1657">
        <f t="shared" si="359"/>
        <v>120117.9371993182</v>
      </c>
      <c r="BD63" s="1658">
        <f t="shared" si="359"/>
        <v>120117.9371993182</v>
      </c>
      <c r="BE63" s="1566">
        <f t="shared" si="348"/>
        <v>1410595.2035678793</v>
      </c>
    </row>
    <row r="64" spans="1:57" ht="18" customHeight="1" thickBot="1">
      <c r="A64" s="2355"/>
      <c r="B64" s="2275" t="s">
        <v>357</v>
      </c>
      <c r="C64" s="2276"/>
      <c r="D64" s="2277"/>
      <c r="E64" s="1644">
        <f t="shared" ref="E64" si="360">SUM(E61:E63)</f>
        <v>160</v>
      </c>
      <c r="F64" s="3739">
        <f t="shared" ref="F64:R64" si="361">SUM(F61:F63)</f>
        <v>131901.86641212122</v>
      </c>
      <c r="G64" s="1841">
        <f t="shared" si="361"/>
        <v>131901.86641212122</v>
      </c>
      <c r="H64" s="2275">
        <f t="shared" si="361"/>
        <v>131901.86641212122</v>
      </c>
      <c r="I64" s="1840">
        <f t="shared" si="361"/>
        <v>131901.86641212122</v>
      </c>
      <c r="J64" s="1841">
        <f t="shared" si="361"/>
        <v>131901.86641212122</v>
      </c>
      <c r="K64" s="1842">
        <f t="shared" si="361"/>
        <v>131901.86641212122</v>
      </c>
      <c r="L64" s="1840">
        <f t="shared" si="361"/>
        <v>131901.86641212122</v>
      </c>
      <c r="M64" s="1841">
        <f t="shared" si="361"/>
        <v>131901.86641212122</v>
      </c>
      <c r="N64" s="1842">
        <f t="shared" si="361"/>
        <v>131901.86641212122</v>
      </c>
      <c r="O64" s="1840">
        <f t="shared" si="361"/>
        <v>131901.86641212122</v>
      </c>
      <c r="P64" s="1841">
        <f t="shared" si="361"/>
        <v>131901.86641212122</v>
      </c>
      <c r="Q64" s="1842">
        <f t="shared" si="361"/>
        <v>131901.86641212122</v>
      </c>
      <c r="R64" s="2254">
        <f t="shared" si="361"/>
        <v>1582822.3969454546</v>
      </c>
      <c r="S64" s="3739">
        <f t="shared" ref="S64:AE64" si="362">SUM(S61:S63)</f>
        <v>137960.62602500001</v>
      </c>
      <c r="T64" s="1841">
        <f t="shared" si="362"/>
        <v>134371.20052878789</v>
      </c>
      <c r="U64" s="2275">
        <f t="shared" si="362"/>
        <v>131499.66013181818</v>
      </c>
      <c r="V64" s="1840">
        <f t="shared" si="362"/>
        <v>137242.74092575759</v>
      </c>
      <c r="W64" s="1841">
        <f t="shared" si="362"/>
        <v>137242.74092575759</v>
      </c>
      <c r="X64" s="1842">
        <f t="shared" si="362"/>
        <v>137242.74092575759</v>
      </c>
      <c r="Y64" s="1840">
        <f t="shared" si="362"/>
        <v>141063.29204780306</v>
      </c>
      <c r="Z64" s="1841">
        <f t="shared" si="362"/>
        <v>141063.29204780306</v>
      </c>
      <c r="AA64" s="1842">
        <f t="shared" si="362"/>
        <v>141063.29204780306</v>
      </c>
      <c r="AB64" s="1840">
        <f t="shared" si="362"/>
        <v>141063.29204780306</v>
      </c>
      <c r="AC64" s="1841">
        <f t="shared" si="362"/>
        <v>141063.29204780306</v>
      </c>
      <c r="AD64" s="1842">
        <f t="shared" si="362"/>
        <v>141063.29204780306</v>
      </c>
      <c r="AE64" s="2254">
        <f t="shared" si="362"/>
        <v>1661939.4617496976</v>
      </c>
      <c r="AF64" s="3739">
        <f t="shared" ref="AF64:BE64" si="363">SUM(AF61:AF63)</f>
        <v>137960.62602500001</v>
      </c>
      <c r="AG64" s="1841">
        <f t="shared" si="363"/>
        <v>134371.20052878789</v>
      </c>
      <c r="AH64" s="2275">
        <f t="shared" si="363"/>
        <v>131499.66013181818</v>
      </c>
      <c r="AI64" s="1840">
        <f t="shared" si="363"/>
        <v>137242.74092575759</v>
      </c>
      <c r="AJ64" s="1841">
        <f t="shared" si="363"/>
        <v>137242.74092575759</v>
      </c>
      <c r="AK64" s="1842">
        <f t="shared" si="363"/>
        <v>137242.74092575759</v>
      </c>
      <c r="AL64" s="1840">
        <f t="shared" si="363"/>
        <v>141063.29204780306</v>
      </c>
      <c r="AM64" s="1841">
        <f t="shared" si="363"/>
        <v>141063.29204780306</v>
      </c>
      <c r="AN64" s="1842">
        <f t="shared" si="363"/>
        <v>141063.29204780306</v>
      </c>
      <c r="AO64" s="1840">
        <f t="shared" si="363"/>
        <v>141063.29204780306</v>
      </c>
      <c r="AP64" s="1841">
        <f t="shared" si="363"/>
        <v>141063.29204780306</v>
      </c>
      <c r="AQ64" s="1842">
        <f t="shared" si="363"/>
        <v>141063.29204780306</v>
      </c>
      <c r="AR64" s="2254">
        <f t="shared" si="363"/>
        <v>1661939.4617496976</v>
      </c>
      <c r="AS64" s="3739">
        <f t="shared" si="363"/>
        <v>137960.62602500001</v>
      </c>
      <c r="AT64" s="1841">
        <f t="shared" si="363"/>
        <v>134371.20052878789</v>
      </c>
      <c r="AU64" s="2275">
        <f t="shared" si="363"/>
        <v>131499.66013181818</v>
      </c>
      <c r="AV64" s="1840">
        <f t="shared" si="363"/>
        <v>137242.74092575759</v>
      </c>
      <c r="AW64" s="1841">
        <f t="shared" si="363"/>
        <v>137242.74092575759</v>
      </c>
      <c r="AX64" s="1842">
        <f t="shared" si="363"/>
        <v>137242.74092575759</v>
      </c>
      <c r="AY64" s="1840">
        <f t="shared" si="363"/>
        <v>141063.29204780306</v>
      </c>
      <c r="AZ64" s="1841">
        <f t="shared" si="363"/>
        <v>141063.29204780306</v>
      </c>
      <c r="BA64" s="1842">
        <f t="shared" si="363"/>
        <v>141063.29204780306</v>
      </c>
      <c r="BB64" s="1840">
        <f t="shared" si="363"/>
        <v>141063.29204780306</v>
      </c>
      <c r="BC64" s="1841">
        <f t="shared" si="363"/>
        <v>141063.29204780306</v>
      </c>
      <c r="BD64" s="1842">
        <f t="shared" si="363"/>
        <v>141063.29204780306</v>
      </c>
      <c r="BE64" s="1797">
        <f t="shared" si="363"/>
        <v>1661939.4617496976</v>
      </c>
    </row>
    <row r="65" spans="1:58" ht="18" customHeight="1" thickBot="1">
      <c r="A65" s="5151" t="s">
        <v>1412</v>
      </c>
      <c r="B65" s="5152"/>
      <c r="C65" s="5152"/>
      <c r="D65" s="5152"/>
      <c r="E65" s="1619"/>
      <c r="F65" s="1798"/>
      <c r="G65" s="1799"/>
      <c r="H65" s="1801"/>
      <c r="I65" s="1850"/>
      <c r="J65" s="1799"/>
      <c r="K65" s="1800"/>
      <c r="L65" s="1850"/>
      <c r="M65" s="1799"/>
      <c r="N65" s="1800"/>
      <c r="O65" s="1850"/>
      <c r="P65" s="1799"/>
      <c r="Q65" s="1800"/>
      <c r="R65" s="2259">
        <f>SUM(F65:Q65)</f>
        <v>0</v>
      </c>
      <c r="S65" s="1798"/>
      <c r="T65" s="1799"/>
      <c r="U65" s="1801"/>
      <c r="V65" s="1850"/>
      <c r="W65" s="1799"/>
      <c r="X65" s="1800"/>
      <c r="Y65" s="1850"/>
      <c r="Z65" s="1799"/>
      <c r="AA65" s="1800"/>
      <c r="AB65" s="1850"/>
      <c r="AC65" s="1799"/>
      <c r="AD65" s="1800"/>
      <c r="AE65" s="2259">
        <f>SUM(S65:AD65)</f>
        <v>0</v>
      </c>
      <c r="AF65" s="1798"/>
      <c r="AG65" s="1799"/>
      <c r="AH65" s="1801"/>
      <c r="AI65" s="1850"/>
      <c r="AJ65" s="1799"/>
      <c r="AK65" s="1800"/>
      <c r="AL65" s="1850"/>
      <c r="AM65" s="1799"/>
      <c r="AN65" s="1800"/>
      <c r="AO65" s="1850"/>
      <c r="AP65" s="1799"/>
      <c r="AQ65" s="1800"/>
      <c r="AR65" s="2259">
        <f>SUM(AF65:AQ65)</f>
        <v>0</v>
      </c>
      <c r="AS65" s="1798"/>
      <c r="AT65" s="1799"/>
      <c r="AU65" s="1801"/>
      <c r="AV65" s="1850"/>
      <c r="AW65" s="1799"/>
      <c r="AX65" s="1800"/>
      <c r="AY65" s="1850"/>
      <c r="AZ65" s="1799"/>
      <c r="BA65" s="1800"/>
      <c r="BB65" s="1850"/>
      <c r="BC65" s="1799"/>
      <c r="BD65" s="1800"/>
      <c r="BE65" s="1692">
        <f>SUM(AS65:BD65)</f>
        <v>0</v>
      </c>
    </row>
    <row r="66" spans="1:58" s="2364" customFormat="1" ht="18" customHeight="1" thickBot="1">
      <c r="A66" s="5151" t="s">
        <v>15</v>
      </c>
      <c r="B66" s="5152"/>
      <c r="C66" s="5152"/>
      <c r="D66" s="5152"/>
      <c r="E66" s="2363"/>
      <c r="F66" s="1798">
        <f>F60+F64+F65</f>
        <v>201147.14153712121</v>
      </c>
      <c r="G66" s="1799">
        <f t="shared" ref="G66:Q66" si="364">G60+G64+G65</f>
        <v>201147.14153712121</v>
      </c>
      <c r="H66" s="1801">
        <f t="shared" si="364"/>
        <v>201147.14153712121</v>
      </c>
      <c r="I66" s="1850">
        <f t="shared" si="364"/>
        <v>201147.14153712121</v>
      </c>
      <c r="J66" s="1799">
        <f t="shared" si="364"/>
        <v>201147.14153712121</v>
      </c>
      <c r="K66" s="1800">
        <f t="shared" si="364"/>
        <v>201147.14153712121</v>
      </c>
      <c r="L66" s="1850">
        <f t="shared" si="364"/>
        <v>201147.14153712121</v>
      </c>
      <c r="M66" s="1799">
        <f t="shared" si="364"/>
        <v>201147.14153712121</v>
      </c>
      <c r="N66" s="1800">
        <f t="shared" si="364"/>
        <v>201147.14153712121</v>
      </c>
      <c r="O66" s="1850">
        <f t="shared" si="364"/>
        <v>201147.14153712121</v>
      </c>
      <c r="P66" s="1799">
        <f t="shared" si="364"/>
        <v>201147.14153712121</v>
      </c>
      <c r="Q66" s="1800">
        <f t="shared" si="364"/>
        <v>201147.14153712121</v>
      </c>
      <c r="R66" s="2259">
        <f>R60+R65+R64</f>
        <v>2413765.6984454547</v>
      </c>
      <c r="S66" s="1798">
        <f>S60+S64+S65</f>
        <v>229979.98504166666</v>
      </c>
      <c r="T66" s="1799">
        <f t="shared" ref="T66:AD66" si="365">T60+T64+T65</f>
        <v>225098.93075757578</v>
      </c>
      <c r="U66" s="1801">
        <f t="shared" si="365"/>
        <v>221462.94579242426</v>
      </c>
      <c r="V66" s="1850">
        <f t="shared" si="365"/>
        <v>228734.91572272731</v>
      </c>
      <c r="W66" s="1799">
        <f t="shared" si="365"/>
        <v>228734.91572272731</v>
      </c>
      <c r="X66" s="1800">
        <f t="shared" si="365"/>
        <v>228734.91572272731</v>
      </c>
      <c r="Y66" s="1850">
        <f t="shared" si="365"/>
        <v>232555.46684477275</v>
      </c>
      <c r="Z66" s="1799">
        <f t="shared" si="365"/>
        <v>232555.46684477275</v>
      </c>
      <c r="AA66" s="1800">
        <f t="shared" si="365"/>
        <v>232555.46684477275</v>
      </c>
      <c r="AB66" s="1850">
        <f t="shared" si="365"/>
        <v>232555.46684477275</v>
      </c>
      <c r="AC66" s="1799">
        <f t="shared" si="365"/>
        <v>232555.46684477275</v>
      </c>
      <c r="AD66" s="1800">
        <f t="shared" si="365"/>
        <v>232555.46684477275</v>
      </c>
      <c r="AE66" s="2259">
        <f>AE60+AE65+AE64</f>
        <v>2758079.4098284859</v>
      </c>
      <c r="AF66" s="1798">
        <f>AF60+AF64+AF65</f>
        <v>229979.98504166666</v>
      </c>
      <c r="AG66" s="1799">
        <f t="shared" ref="AG66:AQ66" si="366">AG60+AG64+AG65</f>
        <v>225098.93075757578</v>
      </c>
      <c r="AH66" s="1801">
        <f t="shared" si="366"/>
        <v>221462.94579242426</v>
      </c>
      <c r="AI66" s="1850">
        <f t="shared" si="366"/>
        <v>228734.91572272731</v>
      </c>
      <c r="AJ66" s="1799">
        <f t="shared" si="366"/>
        <v>228734.91572272731</v>
      </c>
      <c r="AK66" s="1800">
        <f t="shared" si="366"/>
        <v>228734.91572272731</v>
      </c>
      <c r="AL66" s="1850">
        <f t="shared" si="366"/>
        <v>232555.46684477275</v>
      </c>
      <c r="AM66" s="1799">
        <f t="shared" si="366"/>
        <v>232555.46684477275</v>
      </c>
      <c r="AN66" s="1800">
        <f t="shared" si="366"/>
        <v>232555.46684477275</v>
      </c>
      <c r="AO66" s="1850">
        <f t="shared" si="366"/>
        <v>232555.46684477275</v>
      </c>
      <c r="AP66" s="1799">
        <f t="shared" si="366"/>
        <v>232555.46684477275</v>
      </c>
      <c r="AQ66" s="1800">
        <f t="shared" si="366"/>
        <v>232555.46684477275</v>
      </c>
      <c r="AR66" s="2259">
        <f>AR60+AR65+AR64</f>
        <v>2758079.4098284859</v>
      </c>
      <c r="AS66" s="1798">
        <f>AS60+AS64+AS65</f>
        <v>229979.98504166666</v>
      </c>
      <c r="AT66" s="1799">
        <f t="shared" ref="AT66:BD66" si="367">AT60+AT64+AT65</f>
        <v>225098.93075757578</v>
      </c>
      <c r="AU66" s="1801">
        <f t="shared" si="367"/>
        <v>221462.94579242426</v>
      </c>
      <c r="AV66" s="1850">
        <f t="shared" si="367"/>
        <v>228734.91572272731</v>
      </c>
      <c r="AW66" s="1799">
        <f t="shared" si="367"/>
        <v>228734.91572272731</v>
      </c>
      <c r="AX66" s="1800">
        <f t="shared" si="367"/>
        <v>228734.91572272731</v>
      </c>
      <c r="AY66" s="1850">
        <f t="shared" si="367"/>
        <v>232555.46684477275</v>
      </c>
      <c r="AZ66" s="1799">
        <f t="shared" si="367"/>
        <v>232555.46684477275</v>
      </c>
      <c r="BA66" s="1800">
        <f t="shared" si="367"/>
        <v>232555.46684477275</v>
      </c>
      <c r="BB66" s="1850">
        <f t="shared" si="367"/>
        <v>232555.46684477275</v>
      </c>
      <c r="BC66" s="1799">
        <f t="shared" si="367"/>
        <v>232555.46684477275</v>
      </c>
      <c r="BD66" s="1800">
        <f t="shared" si="367"/>
        <v>232555.46684477275</v>
      </c>
      <c r="BE66" s="1692">
        <f>BE60+BE65+BE64</f>
        <v>2758079.4098284859</v>
      </c>
      <c r="BF66" s="4934"/>
    </row>
    <row r="67" spans="1:58" s="2366" customFormat="1" ht="18" customHeight="1">
      <c r="A67" s="1993"/>
      <c r="B67" s="1993"/>
      <c r="C67" s="1993"/>
      <c r="D67" s="1993"/>
      <c r="E67" s="2365"/>
      <c r="F67" s="1652"/>
      <c r="G67" s="1652"/>
      <c r="H67" s="1652"/>
      <c r="I67" s="1652"/>
      <c r="J67" s="1652"/>
      <c r="K67" s="1652"/>
      <c r="L67" s="1652"/>
      <c r="M67" s="1652"/>
      <c r="N67" s="1652"/>
      <c r="O67" s="1652"/>
      <c r="P67" s="1652"/>
      <c r="Q67" s="1652"/>
      <c r="R67" s="5" t="b">
        <f>R66=SUM(F66:Q66)</f>
        <v>1</v>
      </c>
      <c r="S67" s="1652"/>
      <c r="T67" s="1652"/>
      <c r="U67" s="1652"/>
      <c r="V67" s="1652"/>
      <c r="W67" s="1652"/>
      <c r="X67" s="1652"/>
      <c r="Y67" s="1652"/>
      <c r="Z67" s="1652"/>
      <c r="AA67" s="1652"/>
      <c r="AB67" s="1652"/>
      <c r="AC67" s="1652"/>
      <c r="AD67" s="1652"/>
      <c r="AE67" s="5" t="b">
        <f>AE66=SUM(S66:AD66)</f>
        <v>1</v>
      </c>
      <c r="AF67" s="1652"/>
      <c r="AG67" s="1652"/>
      <c r="AH67" s="1652"/>
      <c r="AI67" s="1652"/>
      <c r="AJ67" s="1652"/>
      <c r="AK67" s="1652"/>
      <c r="AL67" s="1652"/>
      <c r="AM67" s="1652"/>
      <c r="AN67" s="1652"/>
      <c r="AO67" s="1652"/>
      <c r="AP67" s="1652"/>
      <c r="AQ67" s="1652"/>
      <c r="AR67" s="5" t="b">
        <f>AR66=SUM(AF66:AQ66)</f>
        <v>1</v>
      </c>
      <c r="AS67" s="1652"/>
      <c r="AT67" s="1652"/>
      <c r="AU67" s="1652"/>
      <c r="AV67" s="1652"/>
      <c r="AW67" s="1652"/>
      <c r="AX67" s="1652"/>
      <c r="AY67" s="1652"/>
      <c r="AZ67" s="1652"/>
      <c r="BA67" s="1652"/>
      <c r="BB67" s="1652"/>
      <c r="BC67" s="1652"/>
      <c r="BD67" s="1652"/>
      <c r="BE67" s="1626" t="b">
        <f>BE66=SUM(AS66:BD66)</f>
        <v>1</v>
      </c>
    </row>
    <row r="68" spans="1:58" ht="18" customHeight="1" thickBot="1">
      <c r="A68" s="1547" t="s">
        <v>990</v>
      </c>
      <c r="B68" s="2367"/>
      <c r="C68" s="1953"/>
      <c r="D68" s="1953"/>
      <c r="E68" s="2368"/>
      <c r="F68" s="4331" t="s">
        <v>1391</v>
      </c>
      <c r="G68" s="4332">
        <v>0.1</v>
      </c>
      <c r="H68" s="1652" t="s">
        <v>1556</v>
      </c>
      <c r="I68" s="1652"/>
      <c r="J68" s="1652"/>
      <c r="K68" s="1652"/>
      <c r="L68" s="1652"/>
      <c r="M68" s="1652"/>
      <c r="N68" s="1652"/>
      <c r="O68" s="1652"/>
      <c r="P68" s="1652"/>
      <c r="Q68" s="1652"/>
      <c r="R68" s="1652"/>
      <c r="S68" s="1652"/>
      <c r="T68" s="1652"/>
      <c r="U68" s="1652"/>
      <c r="V68" s="1652"/>
      <c r="W68" s="1652"/>
      <c r="X68" s="1652"/>
      <c r="Y68" s="1652"/>
      <c r="Z68" s="1652"/>
      <c r="AA68" s="1652"/>
      <c r="AB68" s="1652"/>
      <c r="AC68" s="1652"/>
      <c r="AD68" s="1652"/>
      <c r="AE68" s="1652"/>
      <c r="AF68" s="1652"/>
      <c r="AG68" s="1652"/>
      <c r="AH68" s="1652"/>
      <c r="AI68" s="1652"/>
      <c r="AJ68" s="1652"/>
      <c r="AK68" s="1652"/>
      <c r="AL68" s="1652"/>
      <c r="AM68" s="1652"/>
      <c r="AN68" s="1652"/>
      <c r="AO68" s="1652"/>
      <c r="AP68" s="1652"/>
      <c r="AQ68" s="1652"/>
      <c r="AR68" s="1652"/>
      <c r="AS68" s="1652"/>
      <c r="AT68" s="1652"/>
      <c r="AU68" s="1652"/>
      <c r="AV68" s="1652"/>
      <c r="AW68" s="1652"/>
      <c r="AX68" s="1652"/>
      <c r="AY68" s="1652"/>
      <c r="AZ68" s="1652"/>
      <c r="BA68" s="1652"/>
      <c r="BB68" s="1652"/>
      <c r="BC68" s="1652"/>
      <c r="BD68" s="1652"/>
      <c r="BE68" s="1652"/>
    </row>
    <row r="69" spans="1:58" ht="22.5" customHeight="1" thickBot="1">
      <c r="A69" s="89" t="s">
        <v>112</v>
      </c>
      <c r="B69" s="72" t="s">
        <v>124</v>
      </c>
      <c r="C69" s="79" t="s">
        <v>856</v>
      </c>
      <c r="D69" s="79" t="s">
        <v>852</v>
      </c>
      <c r="E69" s="2369" t="s">
        <v>1558</v>
      </c>
      <c r="F69" s="1876" t="str">
        <f t="shared" ref="F69:Q69" si="368">F4</f>
        <v>Jan.26</v>
      </c>
      <c r="G69" s="1877" t="str">
        <f t="shared" si="368"/>
        <v>Feb.26</v>
      </c>
      <c r="H69" s="33" t="str">
        <f t="shared" si="368"/>
        <v>Mar.26</v>
      </c>
      <c r="I69" s="1876" t="str">
        <f t="shared" si="368"/>
        <v>Apr.26</v>
      </c>
      <c r="J69" s="1877" t="str">
        <f t="shared" si="368"/>
        <v>May.26</v>
      </c>
      <c r="K69" s="1878" t="str">
        <f t="shared" si="368"/>
        <v>Jun.26</v>
      </c>
      <c r="L69" s="1876" t="str">
        <f t="shared" si="368"/>
        <v>Jul.26</v>
      </c>
      <c r="M69" s="1877" t="str">
        <f t="shared" si="368"/>
        <v>Aug.26</v>
      </c>
      <c r="N69" s="1878" t="str">
        <f t="shared" si="368"/>
        <v>Sep.26</v>
      </c>
      <c r="O69" s="1876" t="str">
        <f t="shared" si="368"/>
        <v>Oct.26</v>
      </c>
      <c r="P69" s="1877" t="str">
        <f t="shared" si="368"/>
        <v>Nov.26</v>
      </c>
      <c r="Q69" s="1878" t="str">
        <f t="shared" si="368"/>
        <v>Dec.26</v>
      </c>
      <c r="R69" s="3912" t="s">
        <v>15</v>
      </c>
      <c r="S69" s="1876" t="e">
        <f t="shared" ref="S69:AD69" si="369">S4</f>
        <v>#REF!</v>
      </c>
      <c r="T69" s="1877" t="e">
        <f t="shared" si="369"/>
        <v>#REF!</v>
      </c>
      <c r="U69" s="33" t="e">
        <f t="shared" si="369"/>
        <v>#REF!</v>
      </c>
      <c r="V69" s="1876" t="e">
        <f t="shared" si="369"/>
        <v>#REF!</v>
      </c>
      <c r="W69" s="1877" t="e">
        <f t="shared" si="369"/>
        <v>#REF!</v>
      </c>
      <c r="X69" s="1878" t="e">
        <f t="shared" si="369"/>
        <v>#REF!</v>
      </c>
      <c r="Y69" s="1876" t="e">
        <f t="shared" si="369"/>
        <v>#REF!</v>
      </c>
      <c r="Z69" s="1877" t="e">
        <f t="shared" si="369"/>
        <v>#REF!</v>
      </c>
      <c r="AA69" s="1878" t="e">
        <f t="shared" si="369"/>
        <v>#REF!</v>
      </c>
      <c r="AB69" s="1876" t="e">
        <f t="shared" si="369"/>
        <v>#REF!</v>
      </c>
      <c r="AC69" s="1877" t="e">
        <f t="shared" si="369"/>
        <v>#REF!</v>
      </c>
      <c r="AD69" s="1878" t="e">
        <f t="shared" si="369"/>
        <v>#REF!</v>
      </c>
      <c r="AE69" s="3912" t="s">
        <v>15</v>
      </c>
      <c r="AF69" s="1876" t="e">
        <f t="shared" ref="AF69:AQ69" si="370">AF4</f>
        <v>#REF!</v>
      </c>
      <c r="AG69" s="1877" t="e">
        <f t="shared" si="370"/>
        <v>#REF!</v>
      </c>
      <c r="AH69" s="33" t="e">
        <f t="shared" si="370"/>
        <v>#REF!</v>
      </c>
      <c r="AI69" s="1876" t="e">
        <f t="shared" si="370"/>
        <v>#REF!</v>
      </c>
      <c r="AJ69" s="1877" t="e">
        <f t="shared" si="370"/>
        <v>#REF!</v>
      </c>
      <c r="AK69" s="1878" t="e">
        <f t="shared" si="370"/>
        <v>#REF!</v>
      </c>
      <c r="AL69" s="1876" t="e">
        <f t="shared" si="370"/>
        <v>#REF!</v>
      </c>
      <c r="AM69" s="1877" t="e">
        <f t="shared" si="370"/>
        <v>#REF!</v>
      </c>
      <c r="AN69" s="1878" t="e">
        <f t="shared" si="370"/>
        <v>#REF!</v>
      </c>
      <c r="AO69" s="1876" t="e">
        <f t="shared" si="370"/>
        <v>#REF!</v>
      </c>
      <c r="AP69" s="1877" t="e">
        <f t="shared" si="370"/>
        <v>#REF!</v>
      </c>
      <c r="AQ69" s="1878" t="e">
        <f t="shared" si="370"/>
        <v>#REF!</v>
      </c>
      <c r="AR69" s="3912" t="s">
        <v>15</v>
      </c>
      <c r="AS69" s="1876" t="e">
        <f t="shared" ref="AS69:BD69" si="371">AS4</f>
        <v>#REF!</v>
      </c>
      <c r="AT69" s="1877" t="e">
        <f t="shared" si="371"/>
        <v>#REF!</v>
      </c>
      <c r="AU69" s="33" t="e">
        <f t="shared" si="371"/>
        <v>#REF!</v>
      </c>
      <c r="AV69" s="1876" t="e">
        <f t="shared" si="371"/>
        <v>#REF!</v>
      </c>
      <c r="AW69" s="1877" t="e">
        <f t="shared" si="371"/>
        <v>#REF!</v>
      </c>
      <c r="AX69" s="1878" t="e">
        <f t="shared" si="371"/>
        <v>#REF!</v>
      </c>
      <c r="AY69" s="1876" t="e">
        <f t="shared" si="371"/>
        <v>#REF!</v>
      </c>
      <c r="AZ69" s="1877" t="e">
        <f t="shared" si="371"/>
        <v>#REF!</v>
      </c>
      <c r="BA69" s="1549" t="e">
        <f t="shared" si="371"/>
        <v>#REF!</v>
      </c>
      <c r="BB69" s="1548" t="e">
        <f t="shared" si="371"/>
        <v>#REF!</v>
      </c>
      <c r="BC69" s="81" t="e">
        <f t="shared" si="371"/>
        <v>#REF!</v>
      </c>
      <c r="BD69" s="1549" t="e">
        <f t="shared" si="371"/>
        <v>#REF!</v>
      </c>
      <c r="BE69" s="2370" t="s">
        <v>15</v>
      </c>
    </row>
    <row r="70" spans="1:58" ht="30" customHeight="1">
      <c r="A70" s="67" t="s">
        <v>838</v>
      </c>
      <c r="B70" s="2114" t="s">
        <v>812</v>
      </c>
      <c r="C70" s="5090">
        <f>$C$75</f>
        <v>266</v>
      </c>
      <c r="D70" s="2371">
        <f>D71</f>
        <v>241.16282051282064</v>
      </c>
      <c r="E70" s="4935">
        <f>C70*($G$68+1)</f>
        <v>292.60000000000002</v>
      </c>
      <c r="F70" s="1781">
        <f>($C$70+$D$70)*F123</f>
        <v>5578.7910256410269</v>
      </c>
      <c r="G70" s="1657">
        <f>($C$70+$D$70)*G123</f>
        <v>5578.7910256410269</v>
      </c>
      <c r="H70" s="1844">
        <f t="shared" ref="H70:Q70" si="372">($E$70+$D$70)*H123</f>
        <v>5871.3910256410272</v>
      </c>
      <c r="I70" s="1659">
        <f t="shared" si="372"/>
        <v>5871.3910256410272</v>
      </c>
      <c r="J70" s="1657">
        <f t="shared" si="372"/>
        <v>5871.3910256410272</v>
      </c>
      <c r="K70" s="1658">
        <f t="shared" si="372"/>
        <v>5871.3910256410272</v>
      </c>
      <c r="L70" s="1781">
        <f t="shared" si="372"/>
        <v>5871.3910256410272</v>
      </c>
      <c r="M70" s="1657">
        <f t="shared" si="372"/>
        <v>5871.3910256410272</v>
      </c>
      <c r="N70" s="1658">
        <f t="shared" si="372"/>
        <v>5871.3910256410272</v>
      </c>
      <c r="O70" s="1781">
        <f t="shared" si="372"/>
        <v>5871.3910256410272</v>
      </c>
      <c r="P70" s="1657">
        <f t="shared" si="372"/>
        <v>5871.3910256410272</v>
      </c>
      <c r="Q70" s="1658">
        <f t="shared" si="372"/>
        <v>5871.3910256410272</v>
      </c>
      <c r="R70" s="2606">
        <f t="shared" ref="R70:R74" si="373">SUM(F70:Q70)</f>
        <v>69871.492307692344</v>
      </c>
      <c r="S70" s="1781" t="e">
        <f>($C$70+$D$70)*#REF!</f>
        <v>#REF!</v>
      </c>
      <c r="T70" s="1657" t="e">
        <f>($C$70+$D$70)*#REF!</f>
        <v>#REF!</v>
      </c>
      <c r="U70" s="1844" t="e">
        <f>($C$70+$D$70)*#REF!</f>
        <v>#REF!</v>
      </c>
      <c r="V70" s="1659" t="e">
        <f>($C$70+$D$70)*#REF!</f>
        <v>#REF!</v>
      </c>
      <c r="W70" s="1657" t="e">
        <f>($C$70+$D$70)*#REF!</f>
        <v>#REF!</v>
      </c>
      <c r="X70" s="1658" t="e">
        <f>($C$70+$D$70)*#REF!</f>
        <v>#REF!</v>
      </c>
      <c r="Y70" s="1781" t="e">
        <f>($C$70+$D$70)*#REF!</f>
        <v>#REF!</v>
      </c>
      <c r="Z70" s="1657" t="e">
        <f>($C$70+$D$70)*#REF!</f>
        <v>#REF!</v>
      </c>
      <c r="AA70" s="1658" t="e">
        <f>($C$70+$D$70)*#REF!</f>
        <v>#REF!</v>
      </c>
      <c r="AB70" s="1781" t="e">
        <f>($C$70+$D$70)*#REF!</f>
        <v>#REF!</v>
      </c>
      <c r="AC70" s="1657" t="e">
        <f>($C$70+$D$70)*#REF!</f>
        <v>#REF!</v>
      </c>
      <c r="AD70" s="1658" t="e">
        <f>($C$70+$D$70)*#REF!</f>
        <v>#REF!</v>
      </c>
      <c r="AE70" s="2606" t="e">
        <f t="shared" ref="AE70:AE74" si="374">SUM(S70:AD70)</f>
        <v>#REF!</v>
      </c>
      <c r="AF70" s="1781" t="e">
        <f>($C$70+$D$70)*#REF!</f>
        <v>#REF!</v>
      </c>
      <c r="AG70" s="1657" t="e">
        <f>($C$70+$D$70)*#REF!</f>
        <v>#REF!</v>
      </c>
      <c r="AH70" s="1844" t="e">
        <f>($C$70+$D$70)*#REF!</f>
        <v>#REF!</v>
      </c>
      <c r="AI70" s="1659" t="e">
        <f>($C$70+$D$70)*#REF!</f>
        <v>#REF!</v>
      </c>
      <c r="AJ70" s="1657" t="e">
        <f>($C$70+$D$70)*#REF!</f>
        <v>#REF!</v>
      </c>
      <c r="AK70" s="1658" t="e">
        <f>($C$70+$D$70)*#REF!</f>
        <v>#REF!</v>
      </c>
      <c r="AL70" s="1781" t="e">
        <f>($C$70+$D$70)*#REF!</f>
        <v>#REF!</v>
      </c>
      <c r="AM70" s="1657" t="e">
        <f>($C$70+$D$70)*#REF!</f>
        <v>#REF!</v>
      </c>
      <c r="AN70" s="1658" t="e">
        <f>($C$70+$D$70)*#REF!</f>
        <v>#REF!</v>
      </c>
      <c r="AO70" s="1781" t="e">
        <f>($C$70+$D$70)*#REF!</f>
        <v>#REF!</v>
      </c>
      <c r="AP70" s="1657" t="e">
        <f>($C$70+$D$70)*#REF!</f>
        <v>#REF!</v>
      </c>
      <c r="AQ70" s="1658" t="e">
        <f>($C$70+$D$70)*#REF!</f>
        <v>#REF!</v>
      </c>
      <c r="AR70" s="2606" t="e">
        <f t="shared" ref="AR70:AR74" si="375">SUM(AF70:AQ70)</f>
        <v>#REF!</v>
      </c>
      <c r="AS70" s="1781" t="e">
        <f>($C$70+$D$70)*#REF!</f>
        <v>#REF!</v>
      </c>
      <c r="AT70" s="1657" t="e">
        <f>($C$70+$D$70)*#REF!</f>
        <v>#REF!</v>
      </c>
      <c r="AU70" s="1844" t="e">
        <f>($C$70+$D$70)*#REF!</f>
        <v>#REF!</v>
      </c>
      <c r="AV70" s="1659" t="e">
        <f>($C$70+$D$70)*#REF!</f>
        <v>#REF!</v>
      </c>
      <c r="AW70" s="1657" t="e">
        <f>($C$70+$D$70)*#REF!</f>
        <v>#REF!</v>
      </c>
      <c r="AX70" s="1658" t="e">
        <f>($C$70+$D$70)*#REF!</f>
        <v>#REF!</v>
      </c>
      <c r="AY70" s="1781" t="e">
        <f>($C$70+$D$70)*#REF!</f>
        <v>#REF!</v>
      </c>
      <c r="AZ70" s="1657" t="e">
        <f>($C$70+$D$70)*#REF!</f>
        <v>#REF!</v>
      </c>
      <c r="BA70" s="1658" t="e">
        <f>($C$70+$D$70)*#REF!</f>
        <v>#REF!</v>
      </c>
      <c r="BB70" s="1781" t="e">
        <f>($C$70+$D$70)*#REF!</f>
        <v>#REF!</v>
      </c>
      <c r="BC70" s="1657" t="e">
        <f>($C$70+$D$70)*#REF!</f>
        <v>#REF!</v>
      </c>
      <c r="BD70" s="1658" t="e">
        <f>($C$70+$D$70)*#REF!</f>
        <v>#REF!</v>
      </c>
      <c r="BE70" s="1554" t="e">
        <f t="shared" ref="BE70:BE74" si="376">SUM(AS70:BD70)</f>
        <v>#REF!</v>
      </c>
    </row>
    <row r="71" spans="1:58" ht="30" customHeight="1">
      <c r="A71" s="2114"/>
      <c r="B71" s="2114" t="s">
        <v>801</v>
      </c>
      <c r="C71" s="2272">
        <f>$C$75</f>
        <v>266</v>
      </c>
      <c r="D71" s="2372">
        <f>D72</f>
        <v>241.16282051282064</v>
      </c>
      <c r="E71" s="2372">
        <f t="shared" ref="E71:E75" si="377">C71*($G$68+1)</f>
        <v>292.60000000000002</v>
      </c>
      <c r="F71" s="1781">
        <f>($C$71+$D$71)*F124</f>
        <v>38544.374358974368</v>
      </c>
      <c r="G71" s="1657">
        <f>($C$71+$D$71)*G124</f>
        <v>37429.610430102461</v>
      </c>
      <c r="H71" s="1844">
        <f t="shared" ref="H71:Q71" si="378">($E$71+$D$71)*H124</f>
        <v>38060.020047512793</v>
      </c>
      <c r="I71" s="1659">
        <f t="shared" si="378"/>
        <v>36879.637992847471</v>
      </c>
      <c r="J71" s="1657">
        <f t="shared" si="378"/>
        <v>35780.705044896546</v>
      </c>
      <c r="K71" s="1658">
        <f t="shared" si="378"/>
        <v>34771.436462733283</v>
      </c>
      <c r="L71" s="1781">
        <f t="shared" si="378"/>
        <v>33842.470039519772</v>
      </c>
      <c r="M71" s="1657">
        <f t="shared" si="378"/>
        <v>32985.421113021308</v>
      </c>
      <c r="N71" s="1658">
        <f t="shared" si="378"/>
        <v>32192.780496354142</v>
      </c>
      <c r="O71" s="1781">
        <f t="shared" si="378"/>
        <v>31466.182905485945</v>
      </c>
      <c r="P71" s="1657">
        <f t="shared" si="378"/>
        <v>30798.732529998597</v>
      </c>
      <c r="Q71" s="1658">
        <f t="shared" si="378"/>
        <v>30184.253577988406</v>
      </c>
      <c r="R71" s="2200">
        <f t="shared" si="373"/>
        <v>412935.62499943515</v>
      </c>
      <c r="S71" s="1781" t="e">
        <f>($C$71+$D$71)*#REF!</f>
        <v>#REF!</v>
      </c>
      <c r="T71" s="1657" t="e">
        <f>($C$71+$D$71)*#REF!</f>
        <v>#REF!</v>
      </c>
      <c r="U71" s="1844" t="e">
        <f>($C$71+$D$71)*#REF!</f>
        <v>#REF!</v>
      </c>
      <c r="V71" s="1659" t="e">
        <f>($C$71+$D$71)*#REF!</f>
        <v>#REF!</v>
      </c>
      <c r="W71" s="1657" t="e">
        <f>($C$71+$D$71)*#REF!</f>
        <v>#REF!</v>
      </c>
      <c r="X71" s="1658" t="e">
        <f>($C$71+$D$71)*#REF!</f>
        <v>#REF!</v>
      </c>
      <c r="Y71" s="1781" t="e">
        <f>($C$71+$D$71)*#REF!</f>
        <v>#REF!</v>
      </c>
      <c r="Z71" s="1657" t="e">
        <f>($C$71+$D$71)*#REF!</f>
        <v>#REF!</v>
      </c>
      <c r="AA71" s="1658" t="e">
        <f>($C$71+$D$71)*#REF!</f>
        <v>#REF!</v>
      </c>
      <c r="AB71" s="1781" t="e">
        <f>($C$71+$D$71)*#REF!</f>
        <v>#REF!</v>
      </c>
      <c r="AC71" s="1657" t="e">
        <f>($C$71+$D$71)*#REF!</f>
        <v>#REF!</v>
      </c>
      <c r="AD71" s="1658" t="e">
        <f>($C$71+$D$71)*#REF!</f>
        <v>#REF!</v>
      </c>
      <c r="AE71" s="2200" t="e">
        <f t="shared" si="374"/>
        <v>#REF!</v>
      </c>
      <c r="AF71" s="1781" t="e">
        <f>($C$71+$D$71)*#REF!</f>
        <v>#REF!</v>
      </c>
      <c r="AG71" s="1657" t="e">
        <f>($C$71+$D$71)*#REF!</f>
        <v>#REF!</v>
      </c>
      <c r="AH71" s="1844" t="e">
        <f>($C$71+$D$71)*#REF!</f>
        <v>#REF!</v>
      </c>
      <c r="AI71" s="1659" t="e">
        <f>($C$71+$D$71)*#REF!</f>
        <v>#REF!</v>
      </c>
      <c r="AJ71" s="1657" t="e">
        <f>($C$71+$D$71)*#REF!</f>
        <v>#REF!</v>
      </c>
      <c r="AK71" s="1658" t="e">
        <f>($C$71+$D$71)*#REF!</f>
        <v>#REF!</v>
      </c>
      <c r="AL71" s="1781" t="e">
        <f>($C$71+$D$71)*#REF!</f>
        <v>#REF!</v>
      </c>
      <c r="AM71" s="1657" t="e">
        <f>($C$71+$D$71)*#REF!</f>
        <v>#REF!</v>
      </c>
      <c r="AN71" s="1658" t="e">
        <f>($C$71+$D$71)*#REF!</f>
        <v>#REF!</v>
      </c>
      <c r="AO71" s="1781" t="e">
        <f>($C$71+$D$71)*#REF!</f>
        <v>#REF!</v>
      </c>
      <c r="AP71" s="1657" t="e">
        <f>($C$71+$D$71)*#REF!</f>
        <v>#REF!</v>
      </c>
      <c r="AQ71" s="1658" t="e">
        <f>($C$71+$D$71)*#REF!</f>
        <v>#REF!</v>
      </c>
      <c r="AR71" s="2200" t="e">
        <f t="shared" si="375"/>
        <v>#REF!</v>
      </c>
      <c r="AS71" s="1781" t="e">
        <f>($C$71+$D$71)*#REF!</f>
        <v>#REF!</v>
      </c>
      <c r="AT71" s="1657" t="e">
        <f>($C$71+$D$71)*#REF!</f>
        <v>#REF!</v>
      </c>
      <c r="AU71" s="1844" t="e">
        <f>($C$71+$D$71)*#REF!</f>
        <v>#REF!</v>
      </c>
      <c r="AV71" s="1659" t="e">
        <f>($C$71+$D$71)*#REF!</f>
        <v>#REF!</v>
      </c>
      <c r="AW71" s="1657" t="e">
        <f>($C$71+$D$71)*#REF!</f>
        <v>#REF!</v>
      </c>
      <c r="AX71" s="1658" t="e">
        <f>($C$71+$D$71)*#REF!</f>
        <v>#REF!</v>
      </c>
      <c r="AY71" s="1781" t="e">
        <f>($C$71+$D$71)*#REF!</f>
        <v>#REF!</v>
      </c>
      <c r="AZ71" s="1657" t="e">
        <f>($C$71+$D$71)*#REF!</f>
        <v>#REF!</v>
      </c>
      <c r="BA71" s="1658" t="e">
        <f>($C$71+$D$71)*#REF!</f>
        <v>#REF!</v>
      </c>
      <c r="BB71" s="1781" t="e">
        <f>($C$71+$D$71)*#REF!</f>
        <v>#REF!</v>
      </c>
      <c r="BC71" s="1657" t="e">
        <f>($C$71+$D$71)*#REF!</f>
        <v>#REF!</v>
      </c>
      <c r="BD71" s="1658" t="e">
        <f>($C$71+$D$71)*#REF!</f>
        <v>#REF!</v>
      </c>
      <c r="BE71" s="1566" t="e">
        <f t="shared" si="376"/>
        <v>#REF!</v>
      </c>
    </row>
    <row r="72" spans="1:58" ht="30" customHeight="1">
      <c r="A72" s="2114"/>
      <c r="B72" s="2114" t="s">
        <v>800</v>
      </c>
      <c r="C72" s="2272">
        <f>$C$75</f>
        <v>266</v>
      </c>
      <c r="D72" s="2372">
        <f>D73</f>
        <v>241.16282051282064</v>
      </c>
      <c r="E72" s="2372">
        <f t="shared" si="377"/>
        <v>292.60000000000002</v>
      </c>
      <c r="F72" s="1781">
        <f>($C$72+$D$72)*F125</f>
        <v>103968.37820512823</v>
      </c>
      <c r="G72" s="1657">
        <f>($C$72+$D$72)*G125</f>
        <v>101367.26237109378</v>
      </c>
      <c r="H72" s="1844">
        <f t="shared" ref="H72:Q72" si="379">($E$72+$D$72)*H125</f>
        <v>103574.15147838455</v>
      </c>
      <c r="I72" s="1659">
        <f t="shared" si="379"/>
        <v>100819.92668416546</v>
      </c>
      <c r="J72" s="1657">
        <f t="shared" si="379"/>
        <v>98255.74980561329</v>
      </c>
      <c r="K72" s="1658">
        <f t="shared" si="379"/>
        <v>95900.789780565683</v>
      </c>
      <c r="L72" s="1781">
        <f t="shared" si="379"/>
        <v>93733.201459734162</v>
      </c>
      <c r="M72" s="1657">
        <f t="shared" si="379"/>
        <v>91733.420631237736</v>
      </c>
      <c r="N72" s="1658">
        <f t="shared" si="379"/>
        <v>89883.925859014358</v>
      </c>
      <c r="O72" s="1781">
        <f t="shared" si="379"/>
        <v>88188.531480321893</v>
      </c>
      <c r="P72" s="1657">
        <f t="shared" si="379"/>
        <v>86631.147270851419</v>
      </c>
      <c r="Q72" s="1658">
        <f t="shared" si="379"/>
        <v>85197.363049494306</v>
      </c>
      <c r="R72" s="2200">
        <f t="shared" si="373"/>
        <v>1139253.8480756048</v>
      </c>
      <c r="S72" s="1781" t="e">
        <f>($C$72+$D$72)*#REF!</f>
        <v>#REF!</v>
      </c>
      <c r="T72" s="1657" t="e">
        <f>($C$72+$D$72)*#REF!</f>
        <v>#REF!</v>
      </c>
      <c r="U72" s="1844" t="e">
        <f>($C$72+$D$72)*#REF!</f>
        <v>#REF!</v>
      </c>
      <c r="V72" s="1659" t="e">
        <f>($C$72+$D$72)*#REF!</f>
        <v>#REF!</v>
      </c>
      <c r="W72" s="1657" t="e">
        <f>($C$72+$D$72)*#REF!</f>
        <v>#REF!</v>
      </c>
      <c r="X72" s="1658" t="e">
        <f>($C$72+$D$72)*#REF!</f>
        <v>#REF!</v>
      </c>
      <c r="Y72" s="1781" t="e">
        <f>($C$72+$D$72)*#REF!</f>
        <v>#REF!</v>
      </c>
      <c r="Z72" s="1657" t="e">
        <f>($C$72+$D$72)*#REF!</f>
        <v>#REF!</v>
      </c>
      <c r="AA72" s="1658" t="e">
        <f>($C$72+$D$72)*#REF!</f>
        <v>#REF!</v>
      </c>
      <c r="AB72" s="1781" t="e">
        <f>($C$72+$D$72)*#REF!</f>
        <v>#REF!</v>
      </c>
      <c r="AC72" s="1657" t="e">
        <f>($C$72+$D$72)*#REF!</f>
        <v>#REF!</v>
      </c>
      <c r="AD72" s="1658" t="e">
        <f>($C$72+$D$72)*#REF!</f>
        <v>#REF!</v>
      </c>
      <c r="AE72" s="2200" t="e">
        <f t="shared" si="374"/>
        <v>#REF!</v>
      </c>
      <c r="AF72" s="1781" t="e">
        <f>($C$72+$D$72)*#REF!</f>
        <v>#REF!</v>
      </c>
      <c r="AG72" s="1657" t="e">
        <f>($C$72+$D$72)*#REF!</f>
        <v>#REF!</v>
      </c>
      <c r="AH72" s="1844" t="e">
        <f>($C$72+$D$72)*#REF!</f>
        <v>#REF!</v>
      </c>
      <c r="AI72" s="1659" t="e">
        <f>($C$72+$D$72)*#REF!</f>
        <v>#REF!</v>
      </c>
      <c r="AJ72" s="1657" t="e">
        <f>($C$72+$D$72)*#REF!</f>
        <v>#REF!</v>
      </c>
      <c r="AK72" s="1658" t="e">
        <f>($C$72+$D$72)*#REF!</f>
        <v>#REF!</v>
      </c>
      <c r="AL72" s="1781" t="e">
        <f>($C$72+$D$72)*#REF!</f>
        <v>#REF!</v>
      </c>
      <c r="AM72" s="1657" t="e">
        <f>($C$72+$D$72)*#REF!</f>
        <v>#REF!</v>
      </c>
      <c r="AN72" s="1658" t="e">
        <f>($C$72+$D$72)*#REF!</f>
        <v>#REF!</v>
      </c>
      <c r="AO72" s="1781" t="e">
        <f>($C$72+$D$72)*#REF!</f>
        <v>#REF!</v>
      </c>
      <c r="AP72" s="1657" t="e">
        <f>($C$72+$D$72)*#REF!</f>
        <v>#REF!</v>
      </c>
      <c r="AQ72" s="1658" t="e">
        <f>($C$72+$D$72)*#REF!</f>
        <v>#REF!</v>
      </c>
      <c r="AR72" s="2200" t="e">
        <f t="shared" si="375"/>
        <v>#REF!</v>
      </c>
      <c r="AS72" s="1781" t="e">
        <f>($C$72+$D$72)*#REF!</f>
        <v>#REF!</v>
      </c>
      <c r="AT72" s="1657" t="e">
        <f>($C$72+$D$72)*#REF!</f>
        <v>#REF!</v>
      </c>
      <c r="AU72" s="1844" t="e">
        <f>($C$72+$D$72)*#REF!</f>
        <v>#REF!</v>
      </c>
      <c r="AV72" s="1659" t="e">
        <f>($C$72+$D$72)*#REF!</f>
        <v>#REF!</v>
      </c>
      <c r="AW72" s="1657" t="e">
        <f>($C$72+$D$72)*#REF!</f>
        <v>#REF!</v>
      </c>
      <c r="AX72" s="1658" t="e">
        <f>($C$72+$D$72)*#REF!</f>
        <v>#REF!</v>
      </c>
      <c r="AY72" s="1781" t="e">
        <f>($C$72+$D$72)*#REF!</f>
        <v>#REF!</v>
      </c>
      <c r="AZ72" s="1657" t="e">
        <f>($C$72+$D$72)*#REF!</f>
        <v>#REF!</v>
      </c>
      <c r="BA72" s="1658" t="e">
        <f>($C$72+$D$72)*#REF!</f>
        <v>#REF!</v>
      </c>
      <c r="BB72" s="1781" t="e">
        <f>($C$72+$D$72)*#REF!</f>
        <v>#REF!</v>
      </c>
      <c r="BC72" s="1657" t="e">
        <f>($C$72+$D$72)*#REF!</f>
        <v>#REF!</v>
      </c>
      <c r="BD72" s="1658" t="e">
        <f>($C$72+$D$72)*#REF!</f>
        <v>#REF!</v>
      </c>
      <c r="BE72" s="1566" t="e">
        <f t="shared" si="376"/>
        <v>#REF!</v>
      </c>
    </row>
    <row r="73" spans="1:58" ht="30" customHeight="1">
      <c r="A73" s="2114"/>
      <c r="B73" s="2114" t="s">
        <v>799</v>
      </c>
      <c r="C73" s="2272">
        <f>$C$75</f>
        <v>266</v>
      </c>
      <c r="D73" s="2372">
        <f>D74</f>
        <v>241.16282051282064</v>
      </c>
      <c r="E73" s="2372">
        <f t="shared" si="377"/>
        <v>292.60000000000002</v>
      </c>
      <c r="F73" s="1781">
        <f>($C$73+$D$73)*F126</f>
        <v>108532.84358974361</v>
      </c>
      <c r="G73" s="1657">
        <f>($C$73+$D$73)*G126</f>
        <v>105560.13977941855</v>
      </c>
      <c r="H73" s="1844">
        <f t="shared" ref="H73:Q73" si="380">($E$73+$D$73)*H126</f>
        <v>107542.69875917945</v>
      </c>
      <c r="I73" s="1659">
        <f t="shared" si="380"/>
        <v>104395.01328007191</v>
      </c>
      <c r="J73" s="1657">
        <f t="shared" si="380"/>
        <v>101464.52541886944</v>
      </c>
      <c r="K73" s="1658">
        <f t="shared" si="380"/>
        <v>98773.142533100763</v>
      </c>
      <c r="L73" s="1781">
        <f t="shared" si="380"/>
        <v>96295.898737864743</v>
      </c>
      <c r="M73" s="1657">
        <f t="shared" si="380"/>
        <v>94010.434933868804</v>
      </c>
      <c r="N73" s="1658">
        <f t="shared" si="380"/>
        <v>91896.726622756381</v>
      </c>
      <c r="O73" s="1781">
        <f t="shared" si="380"/>
        <v>89959.133047107855</v>
      </c>
      <c r="P73" s="1657">
        <f t="shared" si="380"/>
        <v>88179.265379141623</v>
      </c>
      <c r="Q73" s="1658">
        <f t="shared" si="380"/>
        <v>86540.654840447765</v>
      </c>
      <c r="R73" s="2200">
        <f t="shared" si="373"/>
        <v>1173150.476921571</v>
      </c>
      <c r="S73" s="1781" t="e">
        <f>($C$73+$D$73)*#REF!</f>
        <v>#REF!</v>
      </c>
      <c r="T73" s="1657" t="e">
        <f>($C$73+$D$73)*#REF!</f>
        <v>#REF!</v>
      </c>
      <c r="U73" s="1844" t="e">
        <f>($C$73+$D$73)*#REF!</f>
        <v>#REF!</v>
      </c>
      <c r="V73" s="1659" t="e">
        <f>($C$73+$D$73)*#REF!</f>
        <v>#REF!</v>
      </c>
      <c r="W73" s="1657" t="e">
        <f>($C$73+$D$73)*#REF!</f>
        <v>#REF!</v>
      </c>
      <c r="X73" s="1658" t="e">
        <f>($C$73+$D$73)*#REF!</f>
        <v>#REF!</v>
      </c>
      <c r="Y73" s="1781" t="e">
        <f>($C$73+$D$73)*#REF!</f>
        <v>#REF!</v>
      </c>
      <c r="Z73" s="1657" t="e">
        <f>($C$73+$D$73)*#REF!</f>
        <v>#REF!</v>
      </c>
      <c r="AA73" s="1658" t="e">
        <f>($C$73+$D$73)*#REF!</f>
        <v>#REF!</v>
      </c>
      <c r="AB73" s="1781" t="e">
        <f>($C$73+$D$73)*#REF!</f>
        <v>#REF!</v>
      </c>
      <c r="AC73" s="1657" t="e">
        <f>($C$73+$D$73)*#REF!</f>
        <v>#REF!</v>
      </c>
      <c r="AD73" s="1658" t="e">
        <f>($C$73+$D$73)*#REF!</f>
        <v>#REF!</v>
      </c>
      <c r="AE73" s="2200" t="e">
        <f t="shared" si="374"/>
        <v>#REF!</v>
      </c>
      <c r="AF73" s="1781" t="e">
        <f>($C$73+$D$73)*#REF!</f>
        <v>#REF!</v>
      </c>
      <c r="AG73" s="1657" t="e">
        <f>($C$73+$D$73)*#REF!</f>
        <v>#REF!</v>
      </c>
      <c r="AH73" s="1844" t="e">
        <f>($C$73+$D$73)*#REF!</f>
        <v>#REF!</v>
      </c>
      <c r="AI73" s="1659" t="e">
        <f>($C$73+$D$73)*#REF!</f>
        <v>#REF!</v>
      </c>
      <c r="AJ73" s="1657" t="e">
        <f>($C$73+$D$73)*#REF!</f>
        <v>#REF!</v>
      </c>
      <c r="AK73" s="1658" t="e">
        <f>($C$73+$D$73)*#REF!</f>
        <v>#REF!</v>
      </c>
      <c r="AL73" s="1781" t="e">
        <f>($C$73+$D$73)*#REF!</f>
        <v>#REF!</v>
      </c>
      <c r="AM73" s="1657" t="e">
        <f>($C$73+$D$73)*#REF!</f>
        <v>#REF!</v>
      </c>
      <c r="AN73" s="1658" t="e">
        <f>($C$73+$D$73)*#REF!</f>
        <v>#REF!</v>
      </c>
      <c r="AO73" s="1781" t="e">
        <f>($C$73+$D$73)*#REF!</f>
        <v>#REF!</v>
      </c>
      <c r="AP73" s="1657" t="e">
        <f>($C$73+$D$73)*#REF!</f>
        <v>#REF!</v>
      </c>
      <c r="AQ73" s="1658" t="e">
        <f>($C$73+$D$73)*#REF!</f>
        <v>#REF!</v>
      </c>
      <c r="AR73" s="2200" t="e">
        <f t="shared" si="375"/>
        <v>#REF!</v>
      </c>
      <c r="AS73" s="1781" t="e">
        <f>($C$73+$D$73)*#REF!</f>
        <v>#REF!</v>
      </c>
      <c r="AT73" s="1657" t="e">
        <f>($C$73+$D$73)*#REF!</f>
        <v>#REF!</v>
      </c>
      <c r="AU73" s="1844" t="e">
        <f>($C$73+$D$73)*#REF!</f>
        <v>#REF!</v>
      </c>
      <c r="AV73" s="1659" t="e">
        <f>($C$73+$D$73)*#REF!</f>
        <v>#REF!</v>
      </c>
      <c r="AW73" s="1657" t="e">
        <f>($C$73+$D$73)*#REF!</f>
        <v>#REF!</v>
      </c>
      <c r="AX73" s="1658" t="e">
        <f>($C$73+$D$73)*#REF!</f>
        <v>#REF!</v>
      </c>
      <c r="AY73" s="1781" t="e">
        <f>($C$73+$D$73)*#REF!</f>
        <v>#REF!</v>
      </c>
      <c r="AZ73" s="1657" t="e">
        <f>($C$73+$D$73)*#REF!</f>
        <v>#REF!</v>
      </c>
      <c r="BA73" s="1658" t="e">
        <f>($C$73+$D$73)*#REF!</f>
        <v>#REF!</v>
      </c>
      <c r="BB73" s="1781" t="e">
        <f>($C$73+$D$73)*#REF!</f>
        <v>#REF!</v>
      </c>
      <c r="BC73" s="1657" t="e">
        <f>($C$73+$D$73)*#REF!</f>
        <v>#REF!</v>
      </c>
      <c r="BD73" s="1658" t="e">
        <f>($C$73+$D$73)*#REF!</f>
        <v>#REF!</v>
      </c>
      <c r="BE73" s="1566" t="e">
        <f t="shared" si="376"/>
        <v>#REF!</v>
      </c>
    </row>
    <row r="74" spans="1:58" ht="30" customHeight="1" thickBot="1">
      <c r="A74" s="2114"/>
      <c r="B74" s="2114" t="s">
        <v>93</v>
      </c>
      <c r="C74" s="2272">
        <f>$C$75</f>
        <v>266</v>
      </c>
      <c r="D74" s="2372">
        <f>D75</f>
        <v>241.16282051282064</v>
      </c>
      <c r="E74" s="2373">
        <f t="shared" si="377"/>
        <v>292.60000000000002</v>
      </c>
      <c r="F74" s="3870">
        <f>($C$74+$D$74)*F127</f>
        <v>46658.979487179502</v>
      </c>
      <c r="G74" s="2352">
        <f>($C$74+$D$74)*G127</f>
        <v>45915.803534598228</v>
      </c>
      <c r="H74" s="3871">
        <f t="shared" ref="H74:Q74" si="381">($E$74+$D$74)*H127</f>
        <v>47435.543279538455</v>
      </c>
      <c r="I74" s="2354">
        <f t="shared" si="381"/>
        <v>46648.621909761569</v>
      </c>
      <c r="J74" s="2352">
        <f t="shared" si="381"/>
        <v>45915.999944460957</v>
      </c>
      <c r="K74" s="2353">
        <f t="shared" si="381"/>
        <v>45243.154223018784</v>
      </c>
      <c r="L74" s="3870">
        <f t="shared" si="381"/>
        <v>44623.843274209779</v>
      </c>
      <c r="M74" s="2352">
        <f t="shared" si="381"/>
        <v>44052.477323210798</v>
      </c>
      <c r="N74" s="2353">
        <f t="shared" si="381"/>
        <v>43524.050245432685</v>
      </c>
      <c r="O74" s="3870">
        <f t="shared" si="381"/>
        <v>43039.651851520553</v>
      </c>
      <c r="P74" s="2352">
        <f t="shared" si="381"/>
        <v>42594.684934528996</v>
      </c>
      <c r="Q74" s="2353">
        <f t="shared" si="381"/>
        <v>42185.032299855535</v>
      </c>
      <c r="R74" s="2200">
        <f t="shared" si="373"/>
        <v>537837.84230731579</v>
      </c>
      <c r="S74" s="3870" t="e">
        <f>($C$74+$D$74)*#REF!</f>
        <v>#REF!</v>
      </c>
      <c r="T74" s="2352" t="e">
        <f>($C$74+$D$74)*#REF!</f>
        <v>#REF!</v>
      </c>
      <c r="U74" s="3871" t="e">
        <f>($C$74+$D$74)*#REF!</f>
        <v>#REF!</v>
      </c>
      <c r="V74" s="2354" t="e">
        <f>($C$74+$D$74)*#REF!</f>
        <v>#REF!</v>
      </c>
      <c r="W74" s="2352" t="e">
        <f>($C$74+$D$74)*#REF!</f>
        <v>#REF!</v>
      </c>
      <c r="X74" s="2353" t="e">
        <f>($C$74+$D$74)*#REF!</f>
        <v>#REF!</v>
      </c>
      <c r="Y74" s="3870" t="e">
        <f>($C$74+$D$74)*#REF!</f>
        <v>#REF!</v>
      </c>
      <c r="Z74" s="2352" t="e">
        <f>($C$74+$D$74)*#REF!</f>
        <v>#REF!</v>
      </c>
      <c r="AA74" s="2353" t="e">
        <f>($C$74+$D$74)*#REF!</f>
        <v>#REF!</v>
      </c>
      <c r="AB74" s="3870" t="e">
        <f>($C$74+$D$74)*#REF!</f>
        <v>#REF!</v>
      </c>
      <c r="AC74" s="2352" t="e">
        <f>($C$74+$D$74)*#REF!</f>
        <v>#REF!</v>
      </c>
      <c r="AD74" s="2353" t="e">
        <f>($C$74+$D$74)*#REF!</f>
        <v>#REF!</v>
      </c>
      <c r="AE74" s="2200" t="e">
        <f t="shared" si="374"/>
        <v>#REF!</v>
      </c>
      <c r="AF74" s="3870" t="e">
        <f>($C$74+$D$74)*#REF!</f>
        <v>#REF!</v>
      </c>
      <c r="AG74" s="2352" t="e">
        <f>($C$74+$D$74)*#REF!</f>
        <v>#REF!</v>
      </c>
      <c r="AH74" s="3871" t="e">
        <f>($C$74+$D$74)*#REF!</f>
        <v>#REF!</v>
      </c>
      <c r="AI74" s="2354" t="e">
        <f>($C$74+$D$74)*#REF!</f>
        <v>#REF!</v>
      </c>
      <c r="AJ74" s="2352" t="e">
        <f>($C$74+$D$74)*#REF!</f>
        <v>#REF!</v>
      </c>
      <c r="AK74" s="2353" t="e">
        <f>($C$74+$D$74)*#REF!</f>
        <v>#REF!</v>
      </c>
      <c r="AL74" s="3870" t="e">
        <f>($C$74+$D$74)*#REF!</f>
        <v>#REF!</v>
      </c>
      <c r="AM74" s="2352" t="e">
        <f>($C$74+$D$74)*#REF!</f>
        <v>#REF!</v>
      </c>
      <c r="AN74" s="2353" t="e">
        <f>($C$74+$D$74)*#REF!</f>
        <v>#REF!</v>
      </c>
      <c r="AO74" s="3870" t="e">
        <f>($C$74+$D$74)*#REF!</f>
        <v>#REF!</v>
      </c>
      <c r="AP74" s="2352" t="e">
        <f>($C$74+$D$74)*#REF!</f>
        <v>#REF!</v>
      </c>
      <c r="AQ74" s="2353" t="e">
        <f>($C$74+$D$74)*#REF!</f>
        <v>#REF!</v>
      </c>
      <c r="AR74" s="2200" t="e">
        <f t="shared" si="375"/>
        <v>#REF!</v>
      </c>
      <c r="AS74" s="3870" t="e">
        <f>($C$74+$D$74)*#REF!</f>
        <v>#REF!</v>
      </c>
      <c r="AT74" s="2352" t="e">
        <f>($C$74+$D$74)*#REF!</f>
        <v>#REF!</v>
      </c>
      <c r="AU74" s="3871" t="e">
        <f>($C$74+$D$74)*#REF!</f>
        <v>#REF!</v>
      </c>
      <c r="AV74" s="2354" t="e">
        <f>($C$74+$D$74)*#REF!</f>
        <v>#REF!</v>
      </c>
      <c r="AW74" s="2352" t="e">
        <f>($C$74+$D$74)*#REF!</f>
        <v>#REF!</v>
      </c>
      <c r="AX74" s="2353" t="e">
        <f>($C$74+$D$74)*#REF!</f>
        <v>#REF!</v>
      </c>
      <c r="AY74" s="3870" t="e">
        <f>($C$74+$D$74)*#REF!</f>
        <v>#REF!</v>
      </c>
      <c r="AZ74" s="2352" t="e">
        <f>($C$74+$D$74)*#REF!</f>
        <v>#REF!</v>
      </c>
      <c r="BA74" s="2361" t="e">
        <f>($C$74+$D$74)*#REF!</f>
        <v>#REF!</v>
      </c>
      <c r="BB74" s="2374" t="e">
        <f>($C$74+$D$74)*#REF!</f>
        <v>#REF!</v>
      </c>
      <c r="BC74" s="2375" t="e">
        <f>($C$74+$D$74)*#REF!</f>
        <v>#REF!</v>
      </c>
      <c r="BD74" s="2361" t="e">
        <f>($C$74+$D$74)*#REF!</f>
        <v>#REF!</v>
      </c>
      <c r="BE74" s="1566" t="e">
        <f t="shared" si="376"/>
        <v>#REF!</v>
      </c>
    </row>
    <row r="75" spans="1:58" ht="22.5" customHeight="1" thickBot="1">
      <c r="A75" s="45" t="s">
        <v>838</v>
      </c>
      <c r="B75" s="1694"/>
      <c r="C75" s="5091">
        <v>266</v>
      </c>
      <c r="D75" s="2371">
        <f>AVERAGE(F118:Q118)-E75</f>
        <v>241.16282051282064</v>
      </c>
      <c r="E75" s="2376">
        <f t="shared" si="377"/>
        <v>292.60000000000002</v>
      </c>
      <c r="F75" s="4437">
        <f>SUM(F70:F74)</f>
        <v>303283.3666666667</v>
      </c>
      <c r="G75" s="4438">
        <f t="shared" ref="G75:Q75" si="382">SUM(G70:G74)</f>
        <v>295851.607140854</v>
      </c>
      <c r="H75" s="4439">
        <f t="shared" si="382"/>
        <v>302483.8045902563</v>
      </c>
      <c r="I75" s="4440">
        <f t="shared" si="382"/>
        <v>294614.59089248744</v>
      </c>
      <c r="J75" s="4438">
        <f t="shared" si="382"/>
        <v>287288.37123948126</v>
      </c>
      <c r="K75" s="4441">
        <f t="shared" si="382"/>
        <v>280559.91402505955</v>
      </c>
      <c r="L75" s="4442">
        <f t="shared" si="382"/>
        <v>274366.80453696946</v>
      </c>
      <c r="M75" s="4438">
        <f t="shared" si="382"/>
        <v>268653.14502697968</v>
      </c>
      <c r="N75" s="4441">
        <f t="shared" si="382"/>
        <v>263368.87424919859</v>
      </c>
      <c r="O75" s="4442">
        <f t="shared" si="382"/>
        <v>258524.89031007726</v>
      </c>
      <c r="P75" s="4438">
        <f t="shared" si="382"/>
        <v>254075.22114016168</v>
      </c>
      <c r="Q75" s="4441">
        <f t="shared" si="382"/>
        <v>249978.69479342707</v>
      </c>
      <c r="R75" s="2259">
        <f>SUM(F75:Q75)</f>
        <v>3333049.2846116186</v>
      </c>
      <c r="S75" s="3872">
        <v>216244</v>
      </c>
      <c r="T75" s="3873">
        <v>347545</v>
      </c>
      <c r="U75" s="3874" t="e">
        <f t="shared" ref="U75:AD75" si="383">U36*U118</f>
        <v>#REF!</v>
      </c>
      <c r="V75" s="3875" t="e">
        <f t="shared" si="383"/>
        <v>#REF!</v>
      </c>
      <c r="W75" s="3873" t="e">
        <f t="shared" si="383"/>
        <v>#REF!</v>
      </c>
      <c r="X75" s="3913" t="e">
        <f t="shared" si="383"/>
        <v>#REF!</v>
      </c>
      <c r="Y75" s="3914" t="e">
        <f t="shared" si="383"/>
        <v>#REF!</v>
      </c>
      <c r="Z75" s="3873" t="e">
        <f t="shared" si="383"/>
        <v>#REF!</v>
      </c>
      <c r="AA75" s="3913" t="e">
        <f t="shared" si="383"/>
        <v>#REF!</v>
      </c>
      <c r="AB75" s="3914" t="e">
        <f t="shared" si="383"/>
        <v>#REF!</v>
      </c>
      <c r="AC75" s="3873" t="e">
        <f t="shared" si="383"/>
        <v>#REF!</v>
      </c>
      <c r="AD75" s="3913" t="e">
        <f t="shared" si="383"/>
        <v>#REF!</v>
      </c>
      <c r="AE75" s="2259" t="e">
        <f>SUM(S75:AD75)</f>
        <v>#REF!</v>
      </c>
      <c r="AF75" s="3872">
        <v>216244</v>
      </c>
      <c r="AG75" s="3873">
        <v>347545</v>
      </c>
      <c r="AH75" s="3874" t="e">
        <f t="shared" ref="AH75:AQ75" si="384">AH36*AH118</f>
        <v>#REF!</v>
      </c>
      <c r="AI75" s="3875" t="e">
        <f t="shared" si="384"/>
        <v>#REF!</v>
      </c>
      <c r="AJ75" s="3873" t="e">
        <f t="shared" si="384"/>
        <v>#REF!</v>
      </c>
      <c r="AK75" s="3913" t="e">
        <f t="shared" si="384"/>
        <v>#REF!</v>
      </c>
      <c r="AL75" s="3914" t="e">
        <f t="shared" si="384"/>
        <v>#REF!</v>
      </c>
      <c r="AM75" s="3873" t="e">
        <f t="shared" si="384"/>
        <v>#REF!</v>
      </c>
      <c r="AN75" s="3913" t="e">
        <f t="shared" si="384"/>
        <v>#REF!</v>
      </c>
      <c r="AO75" s="3914" t="e">
        <f t="shared" si="384"/>
        <v>#REF!</v>
      </c>
      <c r="AP75" s="3873" t="e">
        <f t="shared" si="384"/>
        <v>#REF!</v>
      </c>
      <c r="AQ75" s="3913" t="e">
        <f t="shared" si="384"/>
        <v>#REF!</v>
      </c>
      <c r="AR75" s="2259" t="e">
        <f>SUM(AF75:AQ75)</f>
        <v>#REF!</v>
      </c>
      <c r="AS75" s="3872">
        <v>216244</v>
      </c>
      <c r="AT75" s="3873">
        <v>347545</v>
      </c>
      <c r="AU75" s="3874" t="e">
        <f t="shared" ref="AU75:BD75" si="385">AU36*AU118</f>
        <v>#REF!</v>
      </c>
      <c r="AV75" s="3875" t="e">
        <f t="shared" si="385"/>
        <v>#REF!</v>
      </c>
      <c r="AW75" s="3873" t="e">
        <f t="shared" si="385"/>
        <v>#REF!</v>
      </c>
      <c r="AX75" s="3913" t="e">
        <f t="shared" si="385"/>
        <v>#REF!</v>
      </c>
      <c r="AY75" s="3914" t="e">
        <f t="shared" si="385"/>
        <v>#REF!</v>
      </c>
      <c r="AZ75" s="3873" t="e">
        <f t="shared" si="385"/>
        <v>#REF!</v>
      </c>
      <c r="BA75" s="2378" t="e">
        <f t="shared" si="385"/>
        <v>#REF!</v>
      </c>
      <c r="BB75" s="2379" t="e">
        <f t="shared" si="385"/>
        <v>#REF!</v>
      </c>
      <c r="BC75" s="2377" t="e">
        <f t="shared" si="385"/>
        <v>#REF!</v>
      </c>
      <c r="BD75" s="2378" t="e">
        <f t="shared" si="385"/>
        <v>#REF!</v>
      </c>
      <c r="BE75" s="1692" t="e">
        <f>SUM(AS75:BD75)</f>
        <v>#REF!</v>
      </c>
    </row>
    <row r="76" spans="1:58" ht="18" customHeight="1" thickBot="1">
      <c r="A76" s="5151" t="s">
        <v>1586</v>
      </c>
      <c r="B76" s="5152"/>
      <c r="C76" s="5357"/>
      <c r="D76" s="5152"/>
      <c r="E76" s="2380"/>
      <c r="F76" s="1798">
        <v>16302.25</v>
      </c>
      <c r="G76" s="1799">
        <v>16302.25</v>
      </c>
      <c r="H76" s="2411">
        <v>16302.25</v>
      </c>
      <c r="I76" s="1850">
        <v>16302.25</v>
      </c>
      <c r="J76" s="1799">
        <v>16302.25</v>
      </c>
      <c r="K76" s="1800">
        <v>16302.25</v>
      </c>
      <c r="L76" s="1850">
        <v>16302.25</v>
      </c>
      <c r="M76" s="1799">
        <v>16302.25</v>
      </c>
      <c r="N76" s="1800">
        <v>16302.25</v>
      </c>
      <c r="O76" s="1850">
        <v>16302.25</v>
      </c>
      <c r="P76" s="1799">
        <v>16302.25</v>
      </c>
      <c r="Q76" s="1800">
        <v>16302.25</v>
      </c>
      <c r="R76" s="2258">
        <f t="shared" ref="R76" si="386">SUM(F76:Q76)</f>
        <v>195627</v>
      </c>
      <c r="S76" s="1798">
        <v>22249</v>
      </c>
      <c r="T76" s="1799">
        <v>20000</v>
      </c>
      <c r="U76" s="2411">
        <v>20000</v>
      </c>
      <c r="V76" s="1850">
        <v>20000</v>
      </c>
      <c r="W76" s="1799">
        <v>20000</v>
      </c>
      <c r="X76" s="1800">
        <v>20000</v>
      </c>
      <c r="Y76" s="1850">
        <v>20000</v>
      </c>
      <c r="Z76" s="1799">
        <v>20000</v>
      </c>
      <c r="AA76" s="1800">
        <v>20000</v>
      </c>
      <c r="AB76" s="1850">
        <v>20000</v>
      </c>
      <c r="AC76" s="1799">
        <v>20000</v>
      </c>
      <c r="AD76" s="1800">
        <v>20000</v>
      </c>
      <c r="AE76" s="2258">
        <f t="shared" ref="AE76" si="387">SUM(S76:AD76)</f>
        <v>242249</v>
      </c>
      <c r="AF76" s="1798">
        <v>22249</v>
      </c>
      <c r="AG76" s="1799">
        <v>20000</v>
      </c>
      <c r="AH76" s="2411">
        <v>20000</v>
      </c>
      <c r="AI76" s="1850">
        <v>20000</v>
      </c>
      <c r="AJ76" s="1799">
        <v>20000</v>
      </c>
      <c r="AK76" s="1800">
        <v>20000</v>
      </c>
      <c r="AL76" s="1850">
        <v>20000</v>
      </c>
      <c r="AM76" s="1799">
        <v>20000</v>
      </c>
      <c r="AN76" s="1800">
        <v>20000</v>
      </c>
      <c r="AO76" s="1850">
        <v>20000</v>
      </c>
      <c r="AP76" s="1799">
        <v>20000</v>
      </c>
      <c r="AQ76" s="1800">
        <v>20000</v>
      </c>
      <c r="AR76" s="2258">
        <f t="shared" ref="AR76" si="388">SUM(AF76:AQ76)</f>
        <v>242249</v>
      </c>
      <c r="AS76" s="1798">
        <v>22249</v>
      </c>
      <c r="AT76" s="1799">
        <v>20000</v>
      </c>
      <c r="AU76" s="2411">
        <v>20000</v>
      </c>
      <c r="AV76" s="1850">
        <v>20000</v>
      </c>
      <c r="AW76" s="1799">
        <v>20000</v>
      </c>
      <c r="AX76" s="1800">
        <v>20000</v>
      </c>
      <c r="AY76" s="1850">
        <v>20000</v>
      </c>
      <c r="AZ76" s="1799">
        <v>20000</v>
      </c>
      <c r="BA76" s="1800">
        <v>20000</v>
      </c>
      <c r="BB76" s="1850">
        <v>20000</v>
      </c>
      <c r="BC76" s="1799">
        <v>20000</v>
      </c>
      <c r="BD76" s="1800">
        <v>20000</v>
      </c>
      <c r="BE76" s="1648">
        <f t="shared" ref="BE76" si="389">SUM(AS76:BD76)</f>
        <v>242249</v>
      </c>
    </row>
    <row r="77" spans="1:58" ht="18" customHeight="1" thickBot="1">
      <c r="A77" s="5152" t="s">
        <v>15</v>
      </c>
      <c r="B77" s="5152"/>
      <c r="C77" s="5152"/>
      <c r="D77" s="5152"/>
      <c r="E77" s="2363"/>
      <c r="F77" s="1840">
        <f>F76+F75</f>
        <v>319585.6166666667</v>
      </c>
      <c r="G77" s="1841">
        <f t="shared" ref="G77:Q77" si="390">G76+G75</f>
        <v>312153.857140854</v>
      </c>
      <c r="H77" s="3876">
        <f t="shared" si="390"/>
        <v>318786.0545902563</v>
      </c>
      <c r="I77" s="1840">
        <f t="shared" si="390"/>
        <v>310916.84089248744</v>
      </c>
      <c r="J77" s="1841">
        <f t="shared" si="390"/>
        <v>303590.62123948126</v>
      </c>
      <c r="K77" s="1842">
        <f t="shared" si="390"/>
        <v>296862.16402505955</v>
      </c>
      <c r="L77" s="1840">
        <f t="shared" si="390"/>
        <v>290669.05453696946</v>
      </c>
      <c r="M77" s="1841">
        <f t="shared" si="390"/>
        <v>284955.39502697968</v>
      </c>
      <c r="N77" s="1842">
        <f t="shared" si="390"/>
        <v>279671.12424919859</v>
      </c>
      <c r="O77" s="1840">
        <f t="shared" si="390"/>
        <v>274827.14031007723</v>
      </c>
      <c r="P77" s="1841">
        <f t="shared" si="390"/>
        <v>270377.47114016168</v>
      </c>
      <c r="Q77" s="1842">
        <f t="shared" si="390"/>
        <v>266280.94479342707</v>
      </c>
      <c r="R77" s="2259">
        <f t="shared" ref="R77" si="391">R76+R75</f>
        <v>3528676.2846116186</v>
      </c>
      <c r="S77" s="1840">
        <f>S76+S75</f>
        <v>238493</v>
      </c>
      <c r="T77" s="1841">
        <f t="shared" ref="T77:AE77" si="392">T76+T75</f>
        <v>367545</v>
      </c>
      <c r="U77" s="3876" t="e">
        <f t="shared" si="392"/>
        <v>#REF!</v>
      </c>
      <c r="V77" s="1840" t="e">
        <f t="shared" si="392"/>
        <v>#REF!</v>
      </c>
      <c r="W77" s="1841" t="e">
        <f t="shared" si="392"/>
        <v>#REF!</v>
      </c>
      <c r="X77" s="1842" t="e">
        <f t="shared" si="392"/>
        <v>#REF!</v>
      </c>
      <c r="Y77" s="1840" t="e">
        <f t="shared" si="392"/>
        <v>#REF!</v>
      </c>
      <c r="Z77" s="1841" t="e">
        <f t="shared" si="392"/>
        <v>#REF!</v>
      </c>
      <c r="AA77" s="1842" t="e">
        <f t="shared" si="392"/>
        <v>#REF!</v>
      </c>
      <c r="AB77" s="1840" t="e">
        <f t="shared" si="392"/>
        <v>#REF!</v>
      </c>
      <c r="AC77" s="1841" t="e">
        <f t="shared" si="392"/>
        <v>#REF!</v>
      </c>
      <c r="AD77" s="1842" t="e">
        <f t="shared" si="392"/>
        <v>#REF!</v>
      </c>
      <c r="AE77" s="2259" t="e">
        <f t="shared" si="392"/>
        <v>#REF!</v>
      </c>
      <c r="AF77" s="1840">
        <f>AF76+AF75</f>
        <v>238493</v>
      </c>
      <c r="AG77" s="1841">
        <f t="shared" ref="AG77:AR77" si="393">AG76+AG75</f>
        <v>367545</v>
      </c>
      <c r="AH77" s="3876" t="e">
        <f t="shared" si="393"/>
        <v>#REF!</v>
      </c>
      <c r="AI77" s="1840" t="e">
        <f t="shared" si="393"/>
        <v>#REF!</v>
      </c>
      <c r="AJ77" s="1841" t="e">
        <f t="shared" si="393"/>
        <v>#REF!</v>
      </c>
      <c r="AK77" s="1842" t="e">
        <f t="shared" si="393"/>
        <v>#REF!</v>
      </c>
      <c r="AL77" s="1840" t="e">
        <f t="shared" si="393"/>
        <v>#REF!</v>
      </c>
      <c r="AM77" s="1841" t="e">
        <f t="shared" si="393"/>
        <v>#REF!</v>
      </c>
      <c r="AN77" s="1842" t="e">
        <f t="shared" si="393"/>
        <v>#REF!</v>
      </c>
      <c r="AO77" s="1840" t="e">
        <f t="shared" si="393"/>
        <v>#REF!</v>
      </c>
      <c r="AP77" s="1841" t="e">
        <f t="shared" si="393"/>
        <v>#REF!</v>
      </c>
      <c r="AQ77" s="1842" t="e">
        <f t="shared" si="393"/>
        <v>#REF!</v>
      </c>
      <c r="AR77" s="2259" t="e">
        <f t="shared" si="393"/>
        <v>#REF!</v>
      </c>
      <c r="AS77" s="1840">
        <f>AS76+AS75</f>
        <v>238493</v>
      </c>
      <c r="AT77" s="1841">
        <f t="shared" ref="AT77:BE77" si="394">AT76+AT75</f>
        <v>367545</v>
      </c>
      <c r="AU77" s="3876" t="e">
        <f t="shared" si="394"/>
        <v>#REF!</v>
      </c>
      <c r="AV77" s="1840" t="e">
        <f t="shared" si="394"/>
        <v>#REF!</v>
      </c>
      <c r="AW77" s="1841" t="e">
        <f t="shared" si="394"/>
        <v>#REF!</v>
      </c>
      <c r="AX77" s="1842" t="e">
        <f t="shared" si="394"/>
        <v>#REF!</v>
      </c>
      <c r="AY77" s="1840" t="e">
        <f t="shared" si="394"/>
        <v>#REF!</v>
      </c>
      <c r="AZ77" s="1841" t="e">
        <f t="shared" si="394"/>
        <v>#REF!</v>
      </c>
      <c r="BA77" s="1842" t="e">
        <f t="shared" si="394"/>
        <v>#REF!</v>
      </c>
      <c r="BB77" s="1840" t="e">
        <f t="shared" si="394"/>
        <v>#REF!</v>
      </c>
      <c r="BC77" s="1841" t="e">
        <f t="shared" si="394"/>
        <v>#REF!</v>
      </c>
      <c r="BD77" s="1842" t="e">
        <f t="shared" si="394"/>
        <v>#REF!</v>
      </c>
      <c r="BE77" s="1692" t="e">
        <f t="shared" si="394"/>
        <v>#REF!</v>
      </c>
    </row>
    <row r="78" spans="1:58" s="1631" customFormat="1" ht="18" customHeight="1" thickBot="1">
      <c r="A78" s="1993"/>
      <c r="B78" s="2381"/>
      <c r="C78" s="2382"/>
      <c r="D78" s="2383"/>
      <c r="E78" s="2384"/>
      <c r="F78" s="1652"/>
      <c r="G78" s="1652"/>
      <c r="H78" s="1652"/>
      <c r="I78" s="1652"/>
      <c r="J78" s="1652"/>
      <c r="K78" s="1652"/>
      <c r="L78" s="1652"/>
      <c r="M78" s="1652"/>
      <c r="N78" s="1652"/>
      <c r="O78" s="1652"/>
      <c r="P78" s="1652"/>
      <c r="Q78" s="1652"/>
      <c r="R78" s="1544" t="b">
        <f>R77=SUM(F77:Q77)</f>
        <v>1</v>
      </c>
      <c r="S78" s="1652"/>
      <c r="T78" s="1652"/>
      <c r="U78" s="1652"/>
      <c r="V78" s="1652"/>
      <c r="W78" s="1652"/>
      <c r="X78" s="1652"/>
      <c r="Y78" s="1652"/>
      <c r="Z78" s="1652"/>
      <c r="AA78" s="1652"/>
      <c r="AB78" s="1652"/>
      <c r="AC78" s="1652"/>
      <c r="AD78" s="1652"/>
      <c r="AE78" s="1544" t="e">
        <f>AE77=SUM(S77:AD77)</f>
        <v>#REF!</v>
      </c>
      <c r="AF78" s="1652"/>
      <c r="AG78" s="1652"/>
      <c r="AH78" s="1652"/>
      <c r="AI78" s="1652"/>
      <c r="AJ78" s="1652"/>
      <c r="AK78" s="1652"/>
      <c r="AL78" s="1652"/>
      <c r="AM78" s="1652"/>
      <c r="AN78" s="1652"/>
      <c r="AO78" s="1652"/>
      <c r="AP78" s="1652"/>
      <c r="AQ78" s="1652"/>
      <c r="AR78" s="1544" t="e">
        <f>AR77=SUM(AF77:AQ77)</f>
        <v>#REF!</v>
      </c>
      <c r="AS78" s="1652"/>
      <c r="AT78" s="1652"/>
      <c r="AU78" s="1652"/>
      <c r="AV78" s="1652"/>
      <c r="AW78" s="1652"/>
      <c r="AX78" s="1652"/>
      <c r="AY78" s="1652"/>
      <c r="AZ78" s="1652"/>
      <c r="BA78" s="1652"/>
      <c r="BB78" s="1652"/>
      <c r="BC78" s="1652"/>
      <c r="BD78" s="1652"/>
      <c r="BE78" s="9" t="e">
        <f>BE77=SUM(AS77:BD77)</f>
        <v>#REF!</v>
      </c>
    </row>
    <row r="79" spans="1:58" s="1631" customFormat="1" ht="18" customHeight="1" thickBot="1">
      <c r="A79" s="5365" t="s">
        <v>848</v>
      </c>
      <c r="B79" s="5366"/>
      <c r="C79" s="5366"/>
      <c r="D79" s="5366"/>
      <c r="E79" s="5367"/>
      <c r="F79" s="1850">
        <f t="shared" ref="F79:Q79" si="395">F53+F66+F77</f>
        <v>652904.97210114799</v>
      </c>
      <c r="G79" s="1799">
        <f t="shared" si="395"/>
        <v>707810.21855477965</v>
      </c>
      <c r="H79" s="1800">
        <f t="shared" si="395"/>
        <v>652105.41002473747</v>
      </c>
      <c r="I79" s="1850">
        <f t="shared" si="395"/>
        <v>644236.19632696873</v>
      </c>
      <c r="J79" s="1799">
        <f t="shared" si="395"/>
        <v>636909.97667396255</v>
      </c>
      <c r="K79" s="1800">
        <f t="shared" si="395"/>
        <v>630181.51945954072</v>
      </c>
      <c r="L79" s="1850">
        <f t="shared" si="395"/>
        <v>623988.40997145069</v>
      </c>
      <c r="M79" s="1799">
        <f t="shared" si="395"/>
        <v>618274.75046146091</v>
      </c>
      <c r="N79" s="1800">
        <f t="shared" si="395"/>
        <v>612990.47968367976</v>
      </c>
      <c r="O79" s="1850">
        <f t="shared" si="395"/>
        <v>608146.49574455852</v>
      </c>
      <c r="P79" s="1799">
        <f t="shared" si="395"/>
        <v>603696.82657464291</v>
      </c>
      <c r="Q79" s="1799">
        <f t="shared" si="395"/>
        <v>599600.3002279083</v>
      </c>
      <c r="R79" s="3576">
        <f>SUM(F79:Q79)</f>
        <v>7590845.5558048384</v>
      </c>
      <c r="S79" s="1850">
        <v>575569.01815999998</v>
      </c>
      <c r="T79" s="1799">
        <v>708945.95163999998</v>
      </c>
      <c r="U79" s="1800" t="e">
        <f t="shared" ref="U79:AD79" si="396">U53+U66+U77</f>
        <v>#REF!</v>
      </c>
      <c r="V79" s="1850" t="e">
        <f t="shared" si="396"/>
        <v>#REF!</v>
      </c>
      <c r="W79" s="1799" t="e">
        <f t="shared" si="396"/>
        <v>#REF!</v>
      </c>
      <c r="X79" s="1800" t="e">
        <f t="shared" si="396"/>
        <v>#REF!</v>
      </c>
      <c r="Y79" s="1850" t="e">
        <f t="shared" si="396"/>
        <v>#REF!</v>
      </c>
      <c r="Z79" s="1799" t="e">
        <f t="shared" si="396"/>
        <v>#REF!</v>
      </c>
      <c r="AA79" s="1800" t="e">
        <f t="shared" si="396"/>
        <v>#REF!</v>
      </c>
      <c r="AB79" s="1850" t="e">
        <f t="shared" si="396"/>
        <v>#REF!</v>
      </c>
      <c r="AC79" s="1799" t="e">
        <f t="shared" si="396"/>
        <v>#REF!</v>
      </c>
      <c r="AD79" s="1799" t="e">
        <f t="shared" si="396"/>
        <v>#REF!</v>
      </c>
      <c r="AE79" s="3576" t="e">
        <f>SUM(S79:AD79)</f>
        <v>#REF!</v>
      </c>
      <c r="AF79" s="1850">
        <v>575569.01815999998</v>
      </c>
      <c r="AG79" s="1799">
        <v>708945.95163999998</v>
      </c>
      <c r="AH79" s="1800" t="e">
        <f t="shared" ref="AH79:AQ79" si="397">AH53+AH66+AH77</f>
        <v>#REF!</v>
      </c>
      <c r="AI79" s="1850" t="e">
        <f t="shared" si="397"/>
        <v>#REF!</v>
      </c>
      <c r="AJ79" s="1799" t="e">
        <f t="shared" si="397"/>
        <v>#REF!</v>
      </c>
      <c r="AK79" s="1800" t="e">
        <f t="shared" si="397"/>
        <v>#REF!</v>
      </c>
      <c r="AL79" s="1850" t="e">
        <f t="shared" si="397"/>
        <v>#REF!</v>
      </c>
      <c r="AM79" s="1799" t="e">
        <f t="shared" si="397"/>
        <v>#REF!</v>
      </c>
      <c r="AN79" s="1800" t="e">
        <f t="shared" si="397"/>
        <v>#REF!</v>
      </c>
      <c r="AO79" s="1850" t="e">
        <f t="shared" si="397"/>
        <v>#REF!</v>
      </c>
      <c r="AP79" s="1799" t="e">
        <f t="shared" si="397"/>
        <v>#REF!</v>
      </c>
      <c r="AQ79" s="1799" t="e">
        <f t="shared" si="397"/>
        <v>#REF!</v>
      </c>
      <c r="AR79" s="3576" t="e">
        <f>SUM(AF79:AQ79)</f>
        <v>#REF!</v>
      </c>
      <c r="AS79" s="1850">
        <v>575569.01815999998</v>
      </c>
      <c r="AT79" s="1799">
        <v>708945.95163999998</v>
      </c>
      <c r="AU79" s="1800" t="e">
        <f t="shared" ref="AU79:BD79" si="398">AU53+AU66+AU77</f>
        <v>#REF!</v>
      </c>
      <c r="AV79" s="1850" t="e">
        <f t="shared" si="398"/>
        <v>#REF!</v>
      </c>
      <c r="AW79" s="1799" t="e">
        <f t="shared" si="398"/>
        <v>#REF!</v>
      </c>
      <c r="AX79" s="1800" t="e">
        <f t="shared" si="398"/>
        <v>#REF!</v>
      </c>
      <c r="AY79" s="1850" t="e">
        <f t="shared" si="398"/>
        <v>#REF!</v>
      </c>
      <c r="AZ79" s="1799" t="e">
        <f t="shared" si="398"/>
        <v>#REF!</v>
      </c>
      <c r="BA79" s="1619" t="e">
        <f t="shared" si="398"/>
        <v>#REF!</v>
      </c>
      <c r="BB79" s="1617" t="e">
        <f t="shared" si="398"/>
        <v>#REF!</v>
      </c>
      <c r="BC79" s="1618" t="e">
        <f t="shared" si="398"/>
        <v>#REF!</v>
      </c>
      <c r="BD79" s="1618" t="e">
        <f t="shared" si="398"/>
        <v>#REF!</v>
      </c>
      <c r="BE79" s="1622" t="e">
        <f>SUM(AS79:BD79)</f>
        <v>#REF!</v>
      </c>
    </row>
    <row r="80" spans="1:58" s="1650" customFormat="1" ht="18" customHeight="1">
      <c r="A80" s="2385"/>
      <c r="B80" s="2385"/>
      <c r="C80" s="2385"/>
      <c r="D80" s="2385"/>
      <c r="E80" s="2385"/>
      <c r="F80" s="2386"/>
      <c r="G80" s="1542"/>
      <c r="H80" s="1542"/>
      <c r="I80" s="2386"/>
      <c r="J80" s="2386"/>
      <c r="K80" s="2386"/>
      <c r="L80" s="2386"/>
      <c r="M80" s="2386"/>
      <c r="N80" s="2386"/>
      <c r="O80" s="2386"/>
      <c r="P80" s="2386"/>
      <c r="Q80" s="2386"/>
      <c r="R80" s="1544" t="b">
        <f>R79=SUM(F79:Q79)</f>
        <v>1</v>
      </c>
      <c r="S80" s="2386"/>
      <c r="T80" s="2386"/>
      <c r="U80" s="2386"/>
      <c r="V80" s="2386"/>
      <c r="W80" s="2386"/>
      <c r="X80" s="2386"/>
      <c r="Y80" s="2386"/>
      <c r="Z80" s="2386"/>
      <c r="AA80" s="2386"/>
      <c r="AB80" s="2386"/>
      <c r="AC80" s="2386"/>
      <c r="AD80" s="2386"/>
      <c r="AE80" s="1544" t="e">
        <f>AE79=SUM(S79:AD79)</f>
        <v>#REF!</v>
      </c>
      <c r="AF80" s="2386"/>
      <c r="AG80" s="2386"/>
      <c r="AH80" s="2386"/>
      <c r="AI80" s="2386"/>
      <c r="AJ80" s="2386"/>
      <c r="AK80" s="2386"/>
      <c r="AL80" s="2386"/>
      <c r="AM80" s="2386"/>
      <c r="AN80" s="2386"/>
      <c r="AO80" s="2386"/>
      <c r="AP80" s="2386"/>
      <c r="AQ80" s="2386"/>
      <c r="AR80" s="1544" t="e">
        <f>AR79=SUM(AF79:AQ79)</f>
        <v>#REF!</v>
      </c>
      <c r="AS80" s="2386"/>
      <c r="AT80" s="2386"/>
      <c r="AU80" s="2386"/>
      <c r="AV80" s="2386"/>
      <c r="AW80" s="2386"/>
      <c r="AX80" s="2386"/>
      <c r="AY80" s="2386"/>
      <c r="AZ80" s="2386"/>
      <c r="BA80" s="2386"/>
      <c r="BB80" s="2386"/>
      <c r="BC80" s="2386"/>
      <c r="BD80" s="2386"/>
      <c r="BE80" s="9" t="e">
        <f>BE79=SUM(AS79:BD79)</f>
        <v>#REF!</v>
      </c>
    </row>
    <row r="81" spans="1:57" ht="18" customHeight="1" thickBot="1">
      <c r="A81" s="1547" t="s">
        <v>854</v>
      </c>
      <c r="B81" s="2387"/>
      <c r="C81" s="2387"/>
      <c r="D81" s="2387"/>
      <c r="E81" s="2387"/>
      <c r="F81" s="1542"/>
      <c r="I81" s="1542"/>
      <c r="J81" s="1542"/>
      <c r="K81" s="1542"/>
      <c r="L81" s="2486"/>
      <c r="M81" s="2486"/>
      <c r="N81" s="2486"/>
      <c r="O81" s="2486"/>
      <c r="P81" s="2486"/>
      <c r="Q81" s="2486"/>
      <c r="R81" s="1808" t="s">
        <v>87</v>
      </c>
      <c r="S81" s="1542"/>
      <c r="T81" s="1542"/>
      <c r="U81" s="1542"/>
      <c r="V81" s="1542"/>
      <c r="W81" s="1542"/>
      <c r="X81" s="1542"/>
      <c r="Y81" s="2486"/>
      <c r="Z81" s="2486"/>
      <c r="AA81" s="2486"/>
      <c r="AB81" s="2486"/>
      <c r="AC81" s="2486"/>
      <c r="AD81" s="2486"/>
      <c r="AE81" s="1808" t="s">
        <v>87</v>
      </c>
      <c r="AF81" s="1542"/>
      <c r="AG81" s="1542"/>
      <c r="AH81" s="1542"/>
      <c r="AI81" s="1542"/>
      <c r="AJ81" s="1542"/>
      <c r="AK81" s="1542"/>
      <c r="AL81" s="2486"/>
      <c r="AM81" s="2486"/>
      <c r="AN81" s="2486"/>
      <c r="AO81" s="2486"/>
      <c r="AP81" s="2486"/>
      <c r="AQ81" s="2486"/>
      <c r="AR81" s="1808" t="s">
        <v>87</v>
      </c>
      <c r="AS81" s="1542"/>
      <c r="AT81" s="1542"/>
      <c r="AU81" s="1542"/>
      <c r="AV81" s="1542"/>
      <c r="AW81" s="1542"/>
      <c r="AX81" s="1542"/>
      <c r="AY81" s="2486"/>
      <c r="AZ81" s="2486"/>
      <c r="BA81" s="2388"/>
      <c r="BB81" s="2388"/>
      <c r="BC81" s="2388"/>
      <c r="BD81" s="2388"/>
      <c r="BE81" s="1546" t="s">
        <v>87</v>
      </c>
    </row>
    <row r="82" spans="1:57" ht="18" customHeight="1" thickBot="1">
      <c r="A82" s="5352" t="s">
        <v>137</v>
      </c>
      <c r="B82" s="5353"/>
      <c r="C82" s="79" t="s">
        <v>126</v>
      </c>
      <c r="D82" s="64"/>
      <c r="E82" s="2369" t="s">
        <v>29</v>
      </c>
      <c r="F82" s="1876" t="str">
        <f t="shared" ref="F82:Q82" si="399">F4</f>
        <v>Jan.26</v>
      </c>
      <c r="G82" s="1877" t="str">
        <f t="shared" si="399"/>
        <v>Feb.26</v>
      </c>
      <c r="H82" s="1878" t="str">
        <f t="shared" si="399"/>
        <v>Mar.26</v>
      </c>
      <c r="I82" s="1876" t="str">
        <f t="shared" si="399"/>
        <v>Apr.26</v>
      </c>
      <c r="J82" s="1877" t="str">
        <f t="shared" si="399"/>
        <v>May.26</v>
      </c>
      <c r="K82" s="1878" t="str">
        <f t="shared" si="399"/>
        <v>Jun.26</v>
      </c>
      <c r="L82" s="1876" t="str">
        <f t="shared" si="399"/>
        <v>Jul.26</v>
      </c>
      <c r="M82" s="1877" t="str">
        <f t="shared" si="399"/>
        <v>Aug.26</v>
      </c>
      <c r="N82" s="1878" t="str">
        <f t="shared" si="399"/>
        <v>Sep.26</v>
      </c>
      <c r="O82" s="1876" t="str">
        <f t="shared" si="399"/>
        <v>Oct.26</v>
      </c>
      <c r="P82" s="1877" t="str">
        <f t="shared" si="399"/>
        <v>Nov.26</v>
      </c>
      <c r="Q82" s="1878" t="str">
        <f t="shared" si="399"/>
        <v>Dec.26</v>
      </c>
      <c r="R82" s="3912" t="s">
        <v>15</v>
      </c>
      <c r="S82" s="1876" t="e">
        <f t="shared" ref="S82:AD82" si="400">S4</f>
        <v>#REF!</v>
      </c>
      <c r="T82" s="1877" t="e">
        <f t="shared" si="400"/>
        <v>#REF!</v>
      </c>
      <c r="U82" s="1878" t="e">
        <f t="shared" si="400"/>
        <v>#REF!</v>
      </c>
      <c r="V82" s="1876" t="e">
        <f t="shared" si="400"/>
        <v>#REF!</v>
      </c>
      <c r="W82" s="1877" t="e">
        <f t="shared" si="400"/>
        <v>#REF!</v>
      </c>
      <c r="X82" s="1878" t="e">
        <f t="shared" si="400"/>
        <v>#REF!</v>
      </c>
      <c r="Y82" s="1876" t="e">
        <f t="shared" si="400"/>
        <v>#REF!</v>
      </c>
      <c r="Z82" s="1877" t="e">
        <f t="shared" si="400"/>
        <v>#REF!</v>
      </c>
      <c r="AA82" s="1878" t="e">
        <f t="shared" si="400"/>
        <v>#REF!</v>
      </c>
      <c r="AB82" s="1876" t="e">
        <f t="shared" si="400"/>
        <v>#REF!</v>
      </c>
      <c r="AC82" s="1877" t="e">
        <f t="shared" si="400"/>
        <v>#REF!</v>
      </c>
      <c r="AD82" s="1878" t="e">
        <f t="shared" si="400"/>
        <v>#REF!</v>
      </c>
      <c r="AE82" s="3912" t="s">
        <v>15</v>
      </c>
      <c r="AF82" s="1876" t="e">
        <f t="shared" ref="AF82:AQ82" si="401">AF4</f>
        <v>#REF!</v>
      </c>
      <c r="AG82" s="1877" t="e">
        <f t="shared" si="401"/>
        <v>#REF!</v>
      </c>
      <c r="AH82" s="1878" t="e">
        <f t="shared" si="401"/>
        <v>#REF!</v>
      </c>
      <c r="AI82" s="1876" t="e">
        <f t="shared" si="401"/>
        <v>#REF!</v>
      </c>
      <c r="AJ82" s="1877" t="e">
        <f t="shared" si="401"/>
        <v>#REF!</v>
      </c>
      <c r="AK82" s="1878" t="e">
        <f t="shared" si="401"/>
        <v>#REF!</v>
      </c>
      <c r="AL82" s="1876" t="e">
        <f t="shared" si="401"/>
        <v>#REF!</v>
      </c>
      <c r="AM82" s="1877" t="e">
        <f t="shared" si="401"/>
        <v>#REF!</v>
      </c>
      <c r="AN82" s="1878" t="e">
        <f t="shared" si="401"/>
        <v>#REF!</v>
      </c>
      <c r="AO82" s="1876" t="e">
        <f t="shared" si="401"/>
        <v>#REF!</v>
      </c>
      <c r="AP82" s="1877" t="e">
        <f t="shared" si="401"/>
        <v>#REF!</v>
      </c>
      <c r="AQ82" s="1878" t="e">
        <f t="shared" si="401"/>
        <v>#REF!</v>
      </c>
      <c r="AR82" s="3912" t="s">
        <v>15</v>
      </c>
      <c r="AS82" s="1876" t="e">
        <f t="shared" ref="AS82:BD82" si="402">AS4</f>
        <v>#REF!</v>
      </c>
      <c r="AT82" s="1877" t="e">
        <f t="shared" si="402"/>
        <v>#REF!</v>
      </c>
      <c r="AU82" s="1878" t="e">
        <f t="shared" si="402"/>
        <v>#REF!</v>
      </c>
      <c r="AV82" s="1876" t="e">
        <f t="shared" si="402"/>
        <v>#REF!</v>
      </c>
      <c r="AW82" s="1877" t="e">
        <f t="shared" si="402"/>
        <v>#REF!</v>
      </c>
      <c r="AX82" s="1878" t="e">
        <f t="shared" si="402"/>
        <v>#REF!</v>
      </c>
      <c r="AY82" s="1876" t="e">
        <f t="shared" si="402"/>
        <v>#REF!</v>
      </c>
      <c r="AZ82" s="1877" t="e">
        <f t="shared" si="402"/>
        <v>#REF!</v>
      </c>
      <c r="BA82" s="1878" t="e">
        <f t="shared" si="402"/>
        <v>#REF!</v>
      </c>
      <c r="BB82" s="1876" t="e">
        <f t="shared" si="402"/>
        <v>#REF!</v>
      </c>
      <c r="BC82" s="1877" t="e">
        <f t="shared" si="402"/>
        <v>#REF!</v>
      </c>
      <c r="BD82" s="1878" t="e">
        <f t="shared" si="402"/>
        <v>#REF!</v>
      </c>
      <c r="BE82" s="2370" t="s">
        <v>15</v>
      </c>
    </row>
    <row r="83" spans="1:57" ht="18" customHeight="1">
      <c r="A83" s="5368" t="s">
        <v>310</v>
      </c>
      <c r="B83" s="2389" t="s">
        <v>851</v>
      </c>
      <c r="C83" s="2390"/>
      <c r="D83" s="56"/>
      <c r="E83" s="2391"/>
      <c r="F83" s="4443">
        <f>F51+(F52*0.3)</f>
        <v>46471.738897360003</v>
      </c>
      <c r="G83" s="4382">
        <f>G51+(G52/15*9)</f>
        <v>83873.942485026666</v>
      </c>
      <c r="H83" s="4443">
        <f t="shared" ref="H83:J83" si="403">H51</f>
        <v>46471.738897360003</v>
      </c>
      <c r="I83" s="4381">
        <f t="shared" si="403"/>
        <v>46471.738897360003</v>
      </c>
      <c r="J83" s="4444">
        <f t="shared" si="403"/>
        <v>46471.738897360003</v>
      </c>
      <c r="K83" s="4445">
        <f>K51+(K52*0.3)</f>
        <v>46471.738897360003</v>
      </c>
      <c r="L83" s="4444">
        <f t="shared" ref="L83:P83" si="404">L51</f>
        <v>46471.738897360003</v>
      </c>
      <c r="M83" s="4444">
        <f t="shared" si="404"/>
        <v>46471.738897360003</v>
      </c>
      <c r="N83" s="4443">
        <f t="shared" si="404"/>
        <v>46471.738897360003</v>
      </c>
      <c r="O83" s="4381">
        <f t="shared" si="404"/>
        <v>46471.738897360003</v>
      </c>
      <c r="P83" s="4444">
        <f t="shared" si="404"/>
        <v>46471.738897360003</v>
      </c>
      <c r="Q83" s="4445">
        <f>Q51+Q52</f>
        <v>46471.738897360003</v>
      </c>
      <c r="R83" s="3915">
        <f t="shared" ref="R83:R85" si="405">SUM(F83:Q83)</f>
        <v>595063.07035598671</v>
      </c>
      <c r="S83" s="1725">
        <f>S51+(S52*0.3)</f>
        <v>39642.5295664</v>
      </c>
      <c r="T83" s="1726">
        <f t="shared" ref="T83:W83" si="406">T51</f>
        <v>47934.196233066665</v>
      </c>
      <c r="U83" s="1725">
        <f t="shared" si="406"/>
        <v>47934.196233066665</v>
      </c>
      <c r="V83" s="2263">
        <f t="shared" si="406"/>
        <v>47934.196233066665</v>
      </c>
      <c r="W83" s="1818">
        <f t="shared" si="406"/>
        <v>47934.196233066665</v>
      </c>
      <c r="X83" s="2392">
        <f>X51+(X52*0.3)</f>
        <v>47934.196233066665</v>
      </c>
      <c r="Y83" s="1818">
        <f t="shared" ref="Y83:AC83" si="407">Y51</f>
        <v>47934.196233066665</v>
      </c>
      <c r="Z83" s="1818">
        <f t="shared" si="407"/>
        <v>47934.196233066665</v>
      </c>
      <c r="AA83" s="1725">
        <f t="shared" si="407"/>
        <v>47934.196233066665</v>
      </c>
      <c r="AB83" s="2263">
        <f t="shared" si="407"/>
        <v>47934.196233066665</v>
      </c>
      <c r="AC83" s="1818">
        <f t="shared" si="407"/>
        <v>47934.196233066665</v>
      </c>
      <c r="AD83" s="2392">
        <f>AD51+AD52</f>
        <v>47934.196233066665</v>
      </c>
      <c r="AE83" s="3915">
        <f t="shared" ref="AE83:AE85" si="408">SUM(S83:AD83)</f>
        <v>566918.68813013332</v>
      </c>
      <c r="AF83" s="1725">
        <f>AF51+(AF52*0.3)</f>
        <v>39642.5295664</v>
      </c>
      <c r="AG83" s="1726">
        <f t="shared" ref="AG83:AJ83" si="409">AG51</f>
        <v>47934.196233066665</v>
      </c>
      <c r="AH83" s="1725">
        <f t="shared" si="409"/>
        <v>47934.196233066665</v>
      </c>
      <c r="AI83" s="2263">
        <f t="shared" si="409"/>
        <v>47934.196233066665</v>
      </c>
      <c r="AJ83" s="1818">
        <f t="shared" si="409"/>
        <v>47934.196233066665</v>
      </c>
      <c r="AK83" s="2392">
        <f>AK51+(AK52*0.3)</f>
        <v>47934.196233066665</v>
      </c>
      <c r="AL83" s="1818">
        <f t="shared" ref="AL83:AP83" si="410">AL51</f>
        <v>47934.196233066665</v>
      </c>
      <c r="AM83" s="1818">
        <f t="shared" si="410"/>
        <v>47934.196233066665</v>
      </c>
      <c r="AN83" s="1725">
        <f t="shared" si="410"/>
        <v>47934.196233066665</v>
      </c>
      <c r="AO83" s="2263">
        <f t="shared" si="410"/>
        <v>47934.196233066665</v>
      </c>
      <c r="AP83" s="1818">
        <f t="shared" si="410"/>
        <v>47934.196233066665</v>
      </c>
      <c r="AQ83" s="2392">
        <f>AQ51+AQ52</f>
        <v>47934.196233066665</v>
      </c>
      <c r="AR83" s="3915">
        <f t="shared" ref="AR83:AR85" si="411">SUM(AF83:AQ83)</f>
        <v>566918.68813013332</v>
      </c>
      <c r="AS83" s="1725">
        <f>AS51+(AS52*0.3)</f>
        <v>39642.5295664</v>
      </c>
      <c r="AT83" s="1726">
        <f t="shared" ref="AT83:AW83" si="412">AT51</f>
        <v>47934.196233066665</v>
      </c>
      <c r="AU83" s="1725">
        <f t="shared" si="412"/>
        <v>47934.196233066665</v>
      </c>
      <c r="AV83" s="2263">
        <f t="shared" si="412"/>
        <v>47934.196233066665</v>
      </c>
      <c r="AW83" s="1818">
        <f t="shared" si="412"/>
        <v>47934.196233066665</v>
      </c>
      <c r="AX83" s="2392">
        <f>AX51+(AX52*0.3)</f>
        <v>47934.196233066665</v>
      </c>
      <c r="AY83" s="1818">
        <f t="shared" ref="AY83:BC83" si="413">AY51</f>
        <v>47934.196233066665</v>
      </c>
      <c r="AZ83" s="1818">
        <f t="shared" si="413"/>
        <v>47934.196233066665</v>
      </c>
      <c r="BA83" s="1725">
        <f t="shared" si="413"/>
        <v>47934.196233066665</v>
      </c>
      <c r="BB83" s="2263">
        <f t="shared" si="413"/>
        <v>47934.196233066665</v>
      </c>
      <c r="BC83" s="1818">
        <f t="shared" si="413"/>
        <v>47934.196233066665</v>
      </c>
      <c r="BD83" s="2392">
        <f>BD51+BD52</f>
        <v>47934.196233066665</v>
      </c>
      <c r="BE83" s="2393">
        <f t="shared" ref="BE83:BE85" si="414">SUM(AS83:BD83)</f>
        <v>566918.68813013332</v>
      </c>
    </row>
    <row r="84" spans="1:57" ht="18" customHeight="1">
      <c r="A84" s="5369"/>
      <c r="B84" s="2394" t="s">
        <v>311</v>
      </c>
      <c r="C84" s="1786"/>
      <c r="D84" s="67"/>
      <c r="E84" s="2395"/>
      <c r="F84" s="4433">
        <f>F64</f>
        <v>131901.86641212122</v>
      </c>
      <c r="G84" s="4433">
        <f>G64</f>
        <v>131901.86641212122</v>
      </c>
      <c r="H84" s="4387">
        <f t="shared" ref="H84:Q84" si="415">H64</f>
        <v>131901.86641212122</v>
      </c>
      <c r="I84" s="4385">
        <f t="shared" si="415"/>
        <v>131901.86641212122</v>
      </c>
      <c r="J84" s="4387">
        <f t="shared" si="415"/>
        <v>131901.86641212122</v>
      </c>
      <c r="K84" s="4446">
        <f t="shared" si="415"/>
        <v>131901.86641212122</v>
      </c>
      <c r="L84" s="4387">
        <f t="shared" si="415"/>
        <v>131901.86641212122</v>
      </c>
      <c r="M84" s="4387">
        <f t="shared" si="415"/>
        <v>131901.86641212122</v>
      </c>
      <c r="N84" s="4447">
        <f t="shared" si="415"/>
        <v>131901.86641212122</v>
      </c>
      <c r="O84" s="4385">
        <f t="shared" si="415"/>
        <v>131901.86641212122</v>
      </c>
      <c r="P84" s="4387">
        <f t="shared" si="415"/>
        <v>131901.86641212122</v>
      </c>
      <c r="Q84" s="4446">
        <f t="shared" si="415"/>
        <v>131901.86641212122</v>
      </c>
      <c r="R84" s="3916">
        <f t="shared" si="405"/>
        <v>1582822.3969454551</v>
      </c>
      <c r="S84" s="3877">
        <f>S64</f>
        <v>137960.62602500001</v>
      </c>
      <c r="T84" s="3877">
        <f>T64</f>
        <v>134371.20052878789</v>
      </c>
      <c r="U84" s="3555">
        <f t="shared" ref="U84:AD84" si="416">U64</f>
        <v>131499.66013181818</v>
      </c>
      <c r="V84" s="1781">
        <f t="shared" si="416"/>
        <v>137242.74092575759</v>
      </c>
      <c r="W84" s="1789">
        <f t="shared" si="416"/>
        <v>137242.74092575759</v>
      </c>
      <c r="X84" s="2199">
        <f t="shared" si="416"/>
        <v>137242.74092575759</v>
      </c>
      <c r="Y84" s="1789">
        <f t="shared" si="416"/>
        <v>141063.29204780306</v>
      </c>
      <c r="Z84" s="1789">
        <f t="shared" si="416"/>
        <v>141063.29204780306</v>
      </c>
      <c r="AA84" s="5">
        <f t="shared" si="416"/>
        <v>141063.29204780306</v>
      </c>
      <c r="AB84" s="1781">
        <f t="shared" si="416"/>
        <v>141063.29204780306</v>
      </c>
      <c r="AC84" s="1789">
        <f t="shared" si="416"/>
        <v>141063.29204780306</v>
      </c>
      <c r="AD84" s="2199">
        <f t="shared" si="416"/>
        <v>141063.29204780306</v>
      </c>
      <c r="AE84" s="3916">
        <f t="shared" si="408"/>
        <v>1661939.4617496971</v>
      </c>
      <c r="AF84" s="3877">
        <f>AF64</f>
        <v>137960.62602500001</v>
      </c>
      <c r="AG84" s="3877">
        <f>AG64</f>
        <v>134371.20052878789</v>
      </c>
      <c r="AH84" s="3555">
        <f t="shared" ref="AH84:AQ84" si="417">AH64</f>
        <v>131499.66013181818</v>
      </c>
      <c r="AI84" s="1781">
        <f t="shared" si="417"/>
        <v>137242.74092575759</v>
      </c>
      <c r="AJ84" s="1789">
        <f t="shared" si="417"/>
        <v>137242.74092575759</v>
      </c>
      <c r="AK84" s="2199">
        <f t="shared" si="417"/>
        <v>137242.74092575759</v>
      </c>
      <c r="AL84" s="1789">
        <f t="shared" si="417"/>
        <v>141063.29204780306</v>
      </c>
      <c r="AM84" s="1789">
        <f t="shared" si="417"/>
        <v>141063.29204780306</v>
      </c>
      <c r="AN84" s="5">
        <f t="shared" si="417"/>
        <v>141063.29204780306</v>
      </c>
      <c r="AO84" s="1781">
        <f t="shared" si="417"/>
        <v>141063.29204780306</v>
      </c>
      <c r="AP84" s="1789">
        <f t="shared" si="417"/>
        <v>141063.29204780306</v>
      </c>
      <c r="AQ84" s="2199">
        <f t="shared" si="417"/>
        <v>141063.29204780306</v>
      </c>
      <c r="AR84" s="3916">
        <f t="shared" si="411"/>
        <v>1661939.4617496971</v>
      </c>
      <c r="AS84" s="3877">
        <f>AS64</f>
        <v>137960.62602500001</v>
      </c>
      <c r="AT84" s="3877">
        <f>AT64</f>
        <v>134371.20052878789</v>
      </c>
      <c r="AU84" s="3555">
        <f t="shared" ref="AU84:BD84" si="418">AU64</f>
        <v>131499.66013181818</v>
      </c>
      <c r="AV84" s="1781">
        <f t="shared" si="418"/>
        <v>137242.74092575759</v>
      </c>
      <c r="AW84" s="1789">
        <f t="shared" si="418"/>
        <v>137242.74092575759</v>
      </c>
      <c r="AX84" s="2199">
        <f t="shared" si="418"/>
        <v>137242.74092575759</v>
      </c>
      <c r="AY84" s="1789">
        <f t="shared" si="418"/>
        <v>141063.29204780306</v>
      </c>
      <c r="AZ84" s="1789">
        <f t="shared" si="418"/>
        <v>141063.29204780306</v>
      </c>
      <c r="BA84" s="5">
        <f t="shared" si="418"/>
        <v>141063.29204780306</v>
      </c>
      <c r="BB84" s="1781">
        <f t="shared" si="418"/>
        <v>141063.29204780306</v>
      </c>
      <c r="BC84" s="1789">
        <f t="shared" si="418"/>
        <v>141063.29204780306</v>
      </c>
      <c r="BD84" s="2199">
        <f t="shared" si="418"/>
        <v>141063.29204780306</v>
      </c>
      <c r="BE84" s="2396">
        <f t="shared" si="414"/>
        <v>1661939.4617496971</v>
      </c>
    </row>
    <row r="85" spans="1:57" ht="18" customHeight="1">
      <c r="A85" s="5369"/>
      <c r="B85" s="2394" t="s">
        <v>855</v>
      </c>
      <c r="C85" s="1786"/>
      <c r="D85" s="67"/>
      <c r="E85" s="2395"/>
      <c r="F85" s="4387">
        <f>F77</f>
        <v>319585.6166666667</v>
      </c>
      <c r="G85" s="4387">
        <f t="shared" ref="G85:P85" si="419">G77</f>
        <v>312153.857140854</v>
      </c>
      <c r="H85" s="4387">
        <f t="shared" si="419"/>
        <v>318786.0545902563</v>
      </c>
      <c r="I85" s="4385">
        <f t="shared" si="419"/>
        <v>310916.84089248744</v>
      </c>
      <c r="J85" s="4387">
        <f t="shared" si="419"/>
        <v>303590.62123948126</v>
      </c>
      <c r="K85" s="4446">
        <f t="shared" si="419"/>
        <v>296862.16402505955</v>
      </c>
      <c r="L85" s="4387">
        <f t="shared" si="419"/>
        <v>290669.05453696946</v>
      </c>
      <c r="M85" s="4387">
        <f t="shared" si="419"/>
        <v>284955.39502697968</v>
      </c>
      <c r="N85" s="4447">
        <f t="shared" si="419"/>
        <v>279671.12424919859</v>
      </c>
      <c r="O85" s="4385">
        <f t="shared" si="419"/>
        <v>274827.14031007723</v>
      </c>
      <c r="P85" s="4387">
        <f t="shared" si="419"/>
        <v>270377.47114016168</v>
      </c>
      <c r="Q85" s="4447">
        <f>Q77</f>
        <v>266280.94479342707</v>
      </c>
      <c r="R85" s="3916">
        <f t="shared" si="405"/>
        <v>3528676.2846116181</v>
      </c>
      <c r="S85" s="3555">
        <f>S77</f>
        <v>238493</v>
      </c>
      <c r="T85" s="3555">
        <f t="shared" ref="T85:AC85" si="420">T77</f>
        <v>367545</v>
      </c>
      <c r="U85" s="3555" t="e">
        <f t="shared" si="420"/>
        <v>#REF!</v>
      </c>
      <c r="V85" s="1781" t="e">
        <f t="shared" si="420"/>
        <v>#REF!</v>
      </c>
      <c r="W85" s="1789" t="e">
        <f t="shared" si="420"/>
        <v>#REF!</v>
      </c>
      <c r="X85" s="2199" t="e">
        <f t="shared" si="420"/>
        <v>#REF!</v>
      </c>
      <c r="Y85" s="1789" t="e">
        <f t="shared" si="420"/>
        <v>#REF!</v>
      </c>
      <c r="Z85" s="1789" t="e">
        <f t="shared" si="420"/>
        <v>#REF!</v>
      </c>
      <c r="AA85" s="5" t="e">
        <f t="shared" si="420"/>
        <v>#REF!</v>
      </c>
      <c r="AB85" s="1781" t="e">
        <f t="shared" si="420"/>
        <v>#REF!</v>
      </c>
      <c r="AC85" s="1789" t="e">
        <f t="shared" si="420"/>
        <v>#REF!</v>
      </c>
      <c r="AD85" s="5" t="e">
        <f>AD77</f>
        <v>#REF!</v>
      </c>
      <c r="AE85" s="3916" t="e">
        <f t="shared" si="408"/>
        <v>#REF!</v>
      </c>
      <c r="AF85" s="3555">
        <f>AF77</f>
        <v>238493</v>
      </c>
      <c r="AG85" s="3555">
        <f t="shared" ref="AG85:AP85" si="421">AG77</f>
        <v>367545</v>
      </c>
      <c r="AH85" s="3555" t="e">
        <f t="shared" si="421"/>
        <v>#REF!</v>
      </c>
      <c r="AI85" s="1781" t="e">
        <f t="shared" si="421"/>
        <v>#REF!</v>
      </c>
      <c r="AJ85" s="1789" t="e">
        <f t="shared" si="421"/>
        <v>#REF!</v>
      </c>
      <c r="AK85" s="2199" t="e">
        <f t="shared" si="421"/>
        <v>#REF!</v>
      </c>
      <c r="AL85" s="1789" t="e">
        <f t="shared" si="421"/>
        <v>#REF!</v>
      </c>
      <c r="AM85" s="1789" t="e">
        <f t="shared" si="421"/>
        <v>#REF!</v>
      </c>
      <c r="AN85" s="5" t="e">
        <f t="shared" si="421"/>
        <v>#REF!</v>
      </c>
      <c r="AO85" s="1781" t="e">
        <f t="shared" si="421"/>
        <v>#REF!</v>
      </c>
      <c r="AP85" s="1789" t="e">
        <f t="shared" si="421"/>
        <v>#REF!</v>
      </c>
      <c r="AQ85" s="5" t="e">
        <f>AQ77</f>
        <v>#REF!</v>
      </c>
      <c r="AR85" s="3916" t="e">
        <f t="shared" si="411"/>
        <v>#REF!</v>
      </c>
      <c r="AS85" s="3555">
        <f>AS77</f>
        <v>238493</v>
      </c>
      <c r="AT85" s="3555">
        <f t="shared" ref="AT85:BC85" si="422">AT77</f>
        <v>367545</v>
      </c>
      <c r="AU85" s="3555" t="e">
        <f t="shared" si="422"/>
        <v>#REF!</v>
      </c>
      <c r="AV85" s="1781" t="e">
        <f t="shared" si="422"/>
        <v>#REF!</v>
      </c>
      <c r="AW85" s="1789" t="e">
        <f t="shared" si="422"/>
        <v>#REF!</v>
      </c>
      <c r="AX85" s="2199" t="e">
        <f t="shared" si="422"/>
        <v>#REF!</v>
      </c>
      <c r="AY85" s="1789" t="e">
        <f t="shared" si="422"/>
        <v>#REF!</v>
      </c>
      <c r="AZ85" s="1789" t="e">
        <f t="shared" si="422"/>
        <v>#REF!</v>
      </c>
      <c r="BA85" s="5" t="e">
        <f t="shared" si="422"/>
        <v>#REF!</v>
      </c>
      <c r="BB85" s="1781" t="e">
        <f t="shared" si="422"/>
        <v>#REF!</v>
      </c>
      <c r="BC85" s="1789" t="e">
        <f t="shared" si="422"/>
        <v>#REF!</v>
      </c>
      <c r="BD85" s="5" t="e">
        <f>BD77</f>
        <v>#REF!</v>
      </c>
      <c r="BE85" s="2396" t="e">
        <f t="shared" si="414"/>
        <v>#REF!</v>
      </c>
    </row>
    <row r="86" spans="1:57" ht="18" customHeight="1">
      <c r="A86" s="5370"/>
      <c r="B86" s="2397" t="s">
        <v>363</v>
      </c>
      <c r="C86" s="2398"/>
      <c r="D86" s="2399"/>
      <c r="E86" s="20"/>
      <c r="F86" s="2400">
        <f>SUM(F83:F85)</f>
        <v>497959.22197614791</v>
      </c>
      <c r="G86" s="2400">
        <f t="shared" ref="G86:Q86" si="423">SUM(G83:G85)</f>
        <v>527929.66603800189</v>
      </c>
      <c r="H86" s="2400">
        <f t="shared" si="423"/>
        <v>497159.65989973751</v>
      </c>
      <c r="I86" s="2401">
        <f t="shared" si="423"/>
        <v>489290.44620196865</v>
      </c>
      <c r="J86" s="2400">
        <f t="shared" si="423"/>
        <v>481964.22654896247</v>
      </c>
      <c r="K86" s="2402">
        <f t="shared" si="423"/>
        <v>475235.76933454076</v>
      </c>
      <c r="L86" s="2400">
        <f t="shared" si="423"/>
        <v>469042.65984645067</v>
      </c>
      <c r="M86" s="2400">
        <f t="shared" si="423"/>
        <v>463329.00033646089</v>
      </c>
      <c r="N86" s="2403">
        <f t="shared" si="423"/>
        <v>458044.7295586798</v>
      </c>
      <c r="O86" s="2401">
        <f t="shared" si="423"/>
        <v>453200.74561955844</v>
      </c>
      <c r="P86" s="2400">
        <f t="shared" si="423"/>
        <v>448751.07644964289</v>
      </c>
      <c r="Q86" s="2403">
        <f t="shared" si="423"/>
        <v>444654.55010290828</v>
      </c>
      <c r="R86" s="2204">
        <f>SUM(R83:R85)</f>
        <v>5706561.7519130595</v>
      </c>
      <c r="S86" s="2400">
        <f>SUM(S83:S85)</f>
        <v>416096.15559139999</v>
      </c>
      <c r="T86" s="2400">
        <f t="shared" ref="T86:AD86" si="424">SUM(T83:T85)</f>
        <v>549850.39676185453</v>
      </c>
      <c r="U86" s="2400" t="e">
        <f t="shared" si="424"/>
        <v>#REF!</v>
      </c>
      <c r="V86" s="2401" t="e">
        <f t="shared" si="424"/>
        <v>#REF!</v>
      </c>
      <c r="W86" s="2400" t="e">
        <f t="shared" si="424"/>
        <v>#REF!</v>
      </c>
      <c r="X86" s="2402" t="e">
        <f t="shared" si="424"/>
        <v>#REF!</v>
      </c>
      <c r="Y86" s="2400" t="e">
        <f t="shared" si="424"/>
        <v>#REF!</v>
      </c>
      <c r="Z86" s="2400" t="e">
        <f t="shared" si="424"/>
        <v>#REF!</v>
      </c>
      <c r="AA86" s="2403" t="e">
        <f t="shared" si="424"/>
        <v>#REF!</v>
      </c>
      <c r="AB86" s="2401" t="e">
        <f t="shared" si="424"/>
        <v>#REF!</v>
      </c>
      <c r="AC86" s="2400" t="e">
        <f t="shared" si="424"/>
        <v>#REF!</v>
      </c>
      <c r="AD86" s="2403" t="e">
        <f t="shared" si="424"/>
        <v>#REF!</v>
      </c>
      <c r="AE86" s="2204" t="e">
        <f>SUM(AE83:AE85)</f>
        <v>#REF!</v>
      </c>
      <c r="AF86" s="2400">
        <f>SUM(AF83:AF85)</f>
        <v>416096.15559139999</v>
      </c>
      <c r="AG86" s="2400">
        <f t="shared" ref="AG86:AQ86" si="425">SUM(AG83:AG85)</f>
        <v>549850.39676185453</v>
      </c>
      <c r="AH86" s="2400" t="e">
        <f t="shared" si="425"/>
        <v>#REF!</v>
      </c>
      <c r="AI86" s="2401" t="e">
        <f t="shared" si="425"/>
        <v>#REF!</v>
      </c>
      <c r="AJ86" s="2400" t="e">
        <f t="shared" si="425"/>
        <v>#REF!</v>
      </c>
      <c r="AK86" s="2402" t="e">
        <f t="shared" si="425"/>
        <v>#REF!</v>
      </c>
      <c r="AL86" s="2400" t="e">
        <f t="shared" si="425"/>
        <v>#REF!</v>
      </c>
      <c r="AM86" s="2400" t="e">
        <f t="shared" si="425"/>
        <v>#REF!</v>
      </c>
      <c r="AN86" s="2403" t="e">
        <f t="shared" si="425"/>
        <v>#REF!</v>
      </c>
      <c r="AO86" s="2401" t="e">
        <f t="shared" si="425"/>
        <v>#REF!</v>
      </c>
      <c r="AP86" s="2400" t="e">
        <f t="shared" si="425"/>
        <v>#REF!</v>
      </c>
      <c r="AQ86" s="2403" t="e">
        <f t="shared" si="425"/>
        <v>#REF!</v>
      </c>
      <c r="AR86" s="2204" t="e">
        <f>SUM(AR83:AR85)</f>
        <v>#REF!</v>
      </c>
      <c r="AS86" s="2400">
        <f>SUM(AS83:AS85)</f>
        <v>416096.15559139999</v>
      </c>
      <c r="AT86" s="2400">
        <f t="shared" ref="AT86:BD86" si="426">SUM(AT83:AT85)</f>
        <v>549850.39676185453</v>
      </c>
      <c r="AU86" s="2400" t="e">
        <f t="shared" si="426"/>
        <v>#REF!</v>
      </c>
      <c r="AV86" s="2401" t="e">
        <f t="shared" si="426"/>
        <v>#REF!</v>
      </c>
      <c r="AW86" s="2400" t="e">
        <f t="shared" si="426"/>
        <v>#REF!</v>
      </c>
      <c r="AX86" s="2402" t="e">
        <f t="shared" si="426"/>
        <v>#REF!</v>
      </c>
      <c r="AY86" s="2400" t="e">
        <f t="shared" si="426"/>
        <v>#REF!</v>
      </c>
      <c r="AZ86" s="2400" t="e">
        <f t="shared" si="426"/>
        <v>#REF!</v>
      </c>
      <c r="BA86" s="2403" t="e">
        <f t="shared" si="426"/>
        <v>#REF!</v>
      </c>
      <c r="BB86" s="2401" t="e">
        <f t="shared" si="426"/>
        <v>#REF!</v>
      </c>
      <c r="BC86" s="2400" t="e">
        <f t="shared" si="426"/>
        <v>#REF!</v>
      </c>
      <c r="BD86" s="2403" t="e">
        <f t="shared" si="426"/>
        <v>#REF!</v>
      </c>
      <c r="BE86" s="1598" t="e">
        <f>SUM(BE83:BE85)</f>
        <v>#REF!</v>
      </c>
    </row>
    <row r="87" spans="1:57" ht="18" customHeight="1">
      <c r="A87" s="5371" t="s">
        <v>364</v>
      </c>
      <c r="B87" s="26" t="s">
        <v>851</v>
      </c>
      <c r="C87" s="2404"/>
      <c r="D87" s="66"/>
      <c r="E87" s="2405"/>
      <c r="F87" s="4448">
        <f>F47+(F52*0.7)</f>
        <v>85700.475000000006</v>
      </c>
      <c r="G87" s="4430">
        <f>G47+(G52/15*6)</f>
        <v>110635.27739177778</v>
      </c>
      <c r="H87" s="4448">
        <f t="shared" ref="H87:J87" si="427">H47</f>
        <v>85700.475000000006</v>
      </c>
      <c r="I87" s="4406">
        <f t="shared" si="427"/>
        <v>85700.475000000006</v>
      </c>
      <c r="J87" s="4410">
        <f t="shared" si="427"/>
        <v>85700.475000000006</v>
      </c>
      <c r="K87" s="4449">
        <f>K47</f>
        <v>85700.475000000006</v>
      </c>
      <c r="L87" s="4410">
        <f t="shared" ref="L87:Q87" si="428">L47</f>
        <v>85700.475000000006</v>
      </c>
      <c r="M87" s="4410">
        <f t="shared" si="428"/>
        <v>85700.475000000006</v>
      </c>
      <c r="N87" s="4448">
        <f t="shared" si="428"/>
        <v>85700.475000000006</v>
      </c>
      <c r="O87" s="4406">
        <f t="shared" si="428"/>
        <v>85700.475000000006</v>
      </c>
      <c r="P87" s="4410">
        <f t="shared" si="428"/>
        <v>85700.475000000006</v>
      </c>
      <c r="Q87" s="4449">
        <f t="shared" si="428"/>
        <v>85700.475000000006</v>
      </c>
      <c r="R87" s="3917">
        <f t="shared" ref="R87:R88" si="429">SUM(F87:Q87)</f>
        <v>1053340.5023917777</v>
      </c>
      <c r="S87" s="3878">
        <f>S47+(S52*0.7)</f>
        <v>82719.200000000012</v>
      </c>
      <c r="T87" s="3879">
        <f t="shared" ref="T87:W87" si="430">T47</f>
        <v>82719.200000000012</v>
      </c>
      <c r="U87" s="3878">
        <f t="shared" si="430"/>
        <v>73069</v>
      </c>
      <c r="V87" s="2203">
        <f t="shared" si="430"/>
        <v>73069</v>
      </c>
      <c r="W87" s="2291">
        <f t="shared" si="430"/>
        <v>73069</v>
      </c>
      <c r="X87" s="2215">
        <f>X47</f>
        <v>73069</v>
      </c>
      <c r="Y87" s="2291">
        <f t="shared" ref="Y87:AD87" si="431">Y47</f>
        <v>73069</v>
      </c>
      <c r="Z87" s="2291">
        <f t="shared" si="431"/>
        <v>73069</v>
      </c>
      <c r="AA87" s="1760">
        <f t="shared" si="431"/>
        <v>73069</v>
      </c>
      <c r="AB87" s="2203">
        <f t="shared" si="431"/>
        <v>73069</v>
      </c>
      <c r="AC87" s="2291">
        <f t="shared" si="431"/>
        <v>73069</v>
      </c>
      <c r="AD87" s="2215">
        <f t="shared" si="431"/>
        <v>73069</v>
      </c>
      <c r="AE87" s="3917">
        <f t="shared" ref="AE87:AE88" si="432">SUM(S87:AD87)</f>
        <v>896128.4</v>
      </c>
      <c r="AF87" s="3878">
        <f>AF47+(AF52*0.7)</f>
        <v>82719.200000000012</v>
      </c>
      <c r="AG87" s="3879">
        <f t="shared" ref="AG87:AJ87" si="433">AG47</f>
        <v>82719.200000000012</v>
      </c>
      <c r="AH87" s="3878">
        <f t="shared" si="433"/>
        <v>73069</v>
      </c>
      <c r="AI87" s="2203">
        <f t="shared" si="433"/>
        <v>73069</v>
      </c>
      <c r="AJ87" s="2291">
        <f t="shared" si="433"/>
        <v>73069</v>
      </c>
      <c r="AK87" s="2215">
        <f>AK47</f>
        <v>73069</v>
      </c>
      <c r="AL87" s="2291">
        <f t="shared" ref="AL87:AQ87" si="434">AL47</f>
        <v>73069</v>
      </c>
      <c r="AM87" s="2291">
        <f t="shared" si="434"/>
        <v>73069</v>
      </c>
      <c r="AN87" s="1760">
        <f t="shared" si="434"/>
        <v>73069</v>
      </c>
      <c r="AO87" s="2203">
        <f t="shared" si="434"/>
        <v>73069</v>
      </c>
      <c r="AP87" s="2291">
        <f t="shared" si="434"/>
        <v>73069</v>
      </c>
      <c r="AQ87" s="2215">
        <f t="shared" si="434"/>
        <v>73069</v>
      </c>
      <c r="AR87" s="3917">
        <f t="shared" ref="AR87:AR88" si="435">SUM(AF87:AQ87)</f>
        <v>896128.4</v>
      </c>
      <c r="AS87" s="3878">
        <f>AS47+(AS52*0.7)</f>
        <v>82719.200000000012</v>
      </c>
      <c r="AT87" s="3879">
        <f t="shared" ref="AT87:AW87" si="436">AT47</f>
        <v>82719.200000000012</v>
      </c>
      <c r="AU87" s="3878">
        <f t="shared" si="436"/>
        <v>73069</v>
      </c>
      <c r="AV87" s="2203">
        <f t="shared" si="436"/>
        <v>73069</v>
      </c>
      <c r="AW87" s="2291">
        <f t="shared" si="436"/>
        <v>73069</v>
      </c>
      <c r="AX87" s="2215">
        <f>AX47</f>
        <v>73069</v>
      </c>
      <c r="AY87" s="2291">
        <f t="shared" ref="AY87:BD87" si="437">AY47</f>
        <v>73069</v>
      </c>
      <c r="AZ87" s="2291">
        <f t="shared" si="437"/>
        <v>73069</v>
      </c>
      <c r="BA87" s="1760">
        <f t="shared" si="437"/>
        <v>73069</v>
      </c>
      <c r="BB87" s="2203">
        <f t="shared" si="437"/>
        <v>73069</v>
      </c>
      <c r="BC87" s="2291">
        <f t="shared" si="437"/>
        <v>73069</v>
      </c>
      <c r="BD87" s="2215">
        <f t="shared" si="437"/>
        <v>73069</v>
      </c>
      <c r="BE87" s="2318">
        <f t="shared" ref="BE87:BE88" si="438">SUM(AS87:BD87)</f>
        <v>896128.4</v>
      </c>
    </row>
    <row r="88" spans="1:57" ht="18" customHeight="1">
      <c r="A88" s="5372"/>
      <c r="B88" s="31" t="s">
        <v>311</v>
      </c>
      <c r="C88" s="1786"/>
      <c r="D88" s="67"/>
      <c r="E88" s="2395"/>
      <c r="F88" s="4450">
        <f>+F60</f>
        <v>69245.275125</v>
      </c>
      <c r="G88" s="4451">
        <f>+G60</f>
        <v>69245.275125</v>
      </c>
      <c r="H88" s="4452">
        <f t="shared" ref="H88:P88" si="439">+H60</f>
        <v>69245.275125</v>
      </c>
      <c r="I88" s="4385">
        <f t="shared" si="439"/>
        <v>69245.275125</v>
      </c>
      <c r="J88" s="4387">
        <f t="shared" si="439"/>
        <v>69245.275125</v>
      </c>
      <c r="K88" s="4446">
        <f t="shared" si="439"/>
        <v>69245.275125</v>
      </c>
      <c r="L88" s="4387">
        <f t="shared" si="439"/>
        <v>69245.275125</v>
      </c>
      <c r="M88" s="4387">
        <f t="shared" si="439"/>
        <v>69245.275125</v>
      </c>
      <c r="N88" s="4447">
        <f t="shared" si="439"/>
        <v>69245.275125</v>
      </c>
      <c r="O88" s="4385">
        <f t="shared" si="439"/>
        <v>69245.275125</v>
      </c>
      <c r="P88" s="4387">
        <f t="shared" si="439"/>
        <v>69245.275125</v>
      </c>
      <c r="Q88" s="4446">
        <f>+Q60+Q65</f>
        <v>69245.275125</v>
      </c>
      <c r="R88" s="3918">
        <f t="shared" si="429"/>
        <v>830943.30150000018</v>
      </c>
      <c r="S88" s="3880">
        <f>+S60</f>
        <v>92019.359016666669</v>
      </c>
      <c r="T88" s="3881">
        <f>+T60</f>
        <v>90727.730228787885</v>
      </c>
      <c r="U88" s="3882">
        <f t="shared" ref="U88:AC88" si="440">+U60</f>
        <v>89963.285660606067</v>
      </c>
      <c r="V88" s="1781">
        <f t="shared" si="440"/>
        <v>91492.174796969703</v>
      </c>
      <c r="W88" s="1789">
        <f t="shared" si="440"/>
        <v>91492.174796969703</v>
      </c>
      <c r="X88" s="2199">
        <f t="shared" si="440"/>
        <v>91492.174796969703</v>
      </c>
      <c r="Y88" s="1789">
        <f t="shared" si="440"/>
        <v>91492.174796969703</v>
      </c>
      <c r="Z88" s="1789">
        <f t="shared" si="440"/>
        <v>91492.174796969703</v>
      </c>
      <c r="AA88" s="5">
        <f t="shared" si="440"/>
        <v>91492.174796969703</v>
      </c>
      <c r="AB88" s="1781">
        <f t="shared" si="440"/>
        <v>91492.174796969703</v>
      </c>
      <c r="AC88" s="1789">
        <f t="shared" si="440"/>
        <v>91492.174796969703</v>
      </c>
      <c r="AD88" s="2199">
        <f>+AD60+AD65</f>
        <v>91492.174796969703</v>
      </c>
      <c r="AE88" s="3918">
        <f t="shared" si="432"/>
        <v>1096139.9480787881</v>
      </c>
      <c r="AF88" s="3880">
        <f>+AF60</f>
        <v>92019.359016666669</v>
      </c>
      <c r="AG88" s="3881">
        <f>+AG60</f>
        <v>90727.730228787885</v>
      </c>
      <c r="AH88" s="3882">
        <f t="shared" ref="AH88:AP88" si="441">+AH60</f>
        <v>89963.285660606067</v>
      </c>
      <c r="AI88" s="1781">
        <f t="shared" si="441"/>
        <v>91492.174796969703</v>
      </c>
      <c r="AJ88" s="1789">
        <f t="shared" si="441"/>
        <v>91492.174796969703</v>
      </c>
      <c r="AK88" s="2199">
        <f t="shared" si="441"/>
        <v>91492.174796969703</v>
      </c>
      <c r="AL88" s="1789">
        <f t="shared" si="441"/>
        <v>91492.174796969703</v>
      </c>
      <c r="AM88" s="1789">
        <f t="shared" si="441"/>
        <v>91492.174796969703</v>
      </c>
      <c r="AN88" s="5">
        <f t="shared" si="441"/>
        <v>91492.174796969703</v>
      </c>
      <c r="AO88" s="1781">
        <f t="shared" si="441"/>
        <v>91492.174796969703</v>
      </c>
      <c r="AP88" s="1789">
        <f t="shared" si="441"/>
        <v>91492.174796969703</v>
      </c>
      <c r="AQ88" s="2199">
        <f>+AQ60+AQ65</f>
        <v>91492.174796969703</v>
      </c>
      <c r="AR88" s="3918">
        <f t="shared" si="435"/>
        <v>1096139.9480787881</v>
      </c>
      <c r="AS88" s="3880">
        <f>+AS60</f>
        <v>92019.359016666669</v>
      </c>
      <c r="AT88" s="3881">
        <f>+AT60</f>
        <v>90727.730228787885</v>
      </c>
      <c r="AU88" s="3882">
        <f t="shared" ref="AU88:BC88" si="442">+AU60</f>
        <v>89963.285660606067</v>
      </c>
      <c r="AV88" s="1781">
        <f t="shared" si="442"/>
        <v>91492.174796969703</v>
      </c>
      <c r="AW88" s="1789">
        <f t="shared" si="442"/>
        <v>91492.174796969703</v>
      </c>
      <c r="AX88" s="2199">
        <f t="shared" si="442"/>
        <v>91492.174796969703</v>
      </c>
      <c r="AY88" s="1789">
        <f t="shared" si="442"/>
        <v>91492.174796969703</v>
      </c>
      <c r="AZ88" s="1789">
        <f t="shared" si="442"/>
        <v>91492.174796969703</v>
      </c>
      <c r="BA88" s="5">
        <f t="shared" si="442"/>
        <v>91492.174796969703</v>
      </c>
      <c r="BB88" s="1781">
        <f t="shared" si="442"/>
        <v>91492.174796969703</v>
      </c>
      <c r="BC88" s="1789">
        <f t="shared" si="442"/>
        <v>91492.174796969703</v>
      </c>
      <c r="BD88" s="2199">
        <f>+BD60+BD65</f>
        <v>91492.174796969703</v>
      </c>
      <c r="BE88" s="1669">
        <f t="shared" si="438"/>
        <v>1096139.9480787881</v>
      </c>
    </row>
    <row r="89" spans="1:57" ht="18" customHeight="1" thickBot="1">
      <c r="A89" s="5370"/>
      <c r="B89" s="2406" t="s">
        <v>363</v>
      </c>
      <c r="C89" s="2407"/>
      <c r="D89" s="2408"/>
      <c r="E89" s="2409"/>
      <c r="F89" s="2">
        <f>SUM(F87:F88)</f>
        <v>154945.75012500002</v>
      </c>
      <c r="G89" s="2">
        <f t="shared" ref="G89:Q89" si="443">SUM(G87:G88)</f>
        <v>179880.55251677777</v>
      </c>
      <c r="H89" s="3883">
        <f t="shared" si="443"/>
        <v>154945.75012500002</v>
      </c>
      <c r="I89" s="1829">
        <f t="shared" si="443"/>
        <v>154945.75012500002</v>
      </c>
      <c r="J89" s="1830">
        <f t="shared" si="443"/>
        <v>154945.75012500002</v>
      </c>
      <c r="K89" s="2222">
        <f t="shared" si="443"/>
        <v>154945.75012500002</v>
      </c>
      <c r="L89" s="1830">
        <f t="shared" si="443"/>
        <v>154945.75012500002</v>
      </c>
      <c r="M89" s="1830">
        <f t="shared" si="443"/>
        <v>154945.75012500002</v>
      </c>
      <c r="N89" s="1752">
        <f t="shared" si="443"/>
        <v>154945.75012500002</v>
      </c>
      <c r="O89" s="1829">
        <f t="shared" si="443"/>
        <v>154945.75012500002</v>
      </c>
      <c r="P89" s="1830">
        <f t="shared" si="443"/>
        <v>154945.75012500002</v>
      </c>
      <c r="Q89" s="2222">
        <f t="shared" si="443"/>
        <v>154945.75012500002</v>
      </c>
      <c r="R89" s="2223">
        <f>SUM(R87:R88)</f>
        <v>1884283.803891778</v>
      </c>
      <c r="S89" s="2">
        <f>SUM(S87:S88)</f>
        <v>174738.55901666667</v>
      </c>
      <c r="T89" s="2">
        <f t="shared" ref="T89:AD89" si="444">SUM(T87:T88)</f>
        <v>173446.93022878788</v>
      </c>
      <c r="U89" s="3883">
        <f t="shared" si="444"/>
        <v>163032.28566060605</v>
      </c>
      <c r="V89" s="1829">
        <f t="shared" si="444"/>
        <v>164561.17479696969</v>
      </c>
      <c r="W89" s="1830">
        <f t="shared" si="444"/>
        <v>164561.17479696969</v>
      </c>
      <c r="X89" s="2222">
        <f t="shared" si="444"/>
        <v>164561.17479696969</v>
      </c>
      <c r="Y89" s="1830">
        <f t="shared" si="444"/>
        <v>164561.17479696969</v>
      </c>
      <c r="Z89" s="1830">
        <f t="shared" si="444"/>
        <v>164561.17479696969</v>
      </c>
      <c r="AA89" s="1752">
        <f t="shared" si="444"/>
        <v>164561.17479696969</v>
      </c>
      <c r="AB89" s="1829">
        <f t="shared" si="444"/>
        <v>164561.17479696969</v>
      </c>
      <c r="AC89" s="1830">
        <f t="shared" si="444"/>
        <v>164561.17479696969</v>
      </c>
      <c r="AD89" s="2222">
        <f t="shared" si="444"/>
        <v>164561.17479696969</v>
      </c>
      <c r="AE89" s="2223">
        <f>SUM(AE87:AE88)</f>
        <v>1992268.3480787883</v>
      </c>
      <c r="AF89" s="2">
        <f>SUM(AF87:AF88)</f>
        <v>174738.55901666667</v>
      </c>
      <c r="AG89" s="2">
        <f t="shared" ref="AG89:AQ89" si="445">SUM(AG87:AG88)</f>
        <v>173446.93022878788</v>
      </c>
      <c r="AH89" s="3883">
        <f t="shared" si="445"/>
        <v>163032.28566060605</v>
      </c>
      <c r="AI89" s="1829">
        <f t="shared" si="445"/>
        <v>164561.17479696969</v>
      </c>
      <c r="AJ89" s="1830">
        <f t="shared" si="445"/>
        <v>164561.17479696969</v>
      </c>
      <c r="AK89" s="2222">
        <f t="shared" si="445"/>
        <v>164561.17479696969</v>
      </c>
      <c r="AL89" s="1830">
        <f t="shared" si="445"/>
        <v>164561.17479696969</v>
      </c>
      <c r="AM89" s="1830">
        <f t="shared" si="445"/>
        <v>164561.17479696969</v>
      </c>
      <c r="AN89" s="1752">
        <f t="shared" si="445"/>
        <v>164561.17479696969</v>
      </c>
      <c r="AO89" s="1829">
        <f t="shared" si="445"/>
        <v>164561.17479696969</v>
      </c>
      <c r="AP89" s="1830">
        <f t="shared" si="445"/>
        <v>164561.17479696969</v>
      </c>
      <c r="AQ89" s="2222">
        <f t="shared" si="445"/>
        <v>164561.17479696969</v>
      </c>
      <c r="AR89" s="2223">
        <f>SUM(AR87:AR88)</f>
        <v>1992268.3480787883</v>
      </c>
      <c r="AS89" s="2">
        <f>SUM(AS87:AS88)</f>
        <v>174738.55901666667</v>
      </c>
      <c r="AT89" s="2">
        <f t="shared" ref="AT89:BD89" si="446">SUM(AT87:AT88)</f>
        <v>173446.93022878788</v>
      </c>
      <c r="AU89" s="3883">
        <f t="shared" si="446"/>
        <v>163032.28566060605</v>
      </c>
      <c r="AV89" s="1829">
        <f t="shared" si="446"/>
        <v>164561.17479696969</v>
      </c>
      <c r="AW89" s="1830">
        <f t="shared" si="446"/>
        <v>164561.17479696969</v>
      </c>
      <c r="AX89" s="2222">
        <f t="shared" si="446"/>
        <v>164561.17479696969</v>
      </c>
      <c r="AY89" s="1830">
        <f t="shared" si="446"/>
        <v>164561.17479696969</v>
      </c>
      <c r="AZ89" s="1830">
        <f t="shared" si="446"/>
        <v>164561.17479696969</v>
      </c>
      <c r="BA89" s="1752">
        <f t="shared" si="446"/>
        <v>164561.17479696969</v>
      </c>
      <c r="BB89" s="1829">
        <f t="shared" si="446"/>
        <v>164561.17479696969</v>
      </c>
      <c r="BC89" s="1830">
        <f t="shared" si="446"/>
        <v>164561.17479696969</v>
      </c>
      <c r="BD89" s="2222">
        <f t="shared" si="446"/>
        <v>164561.17479696969</v>
      </c>
      <c r="BE89" s="1576">
        <f>SUM(BE87:BE88)</f>
        <v>1992268.3480787883</v>
      </c>
    </row>
    <row r="90" spans="1:57" ht="18" customHeight="1" thickBot="1">
      <c r="A90" s="5352" t="s">
        <v>365</v>
      </c>
      <c r="B90" s="5373"/>
      <c r="C90" s="5373"/>
      <c r="D90" s="5373"/>
      <c r="E90" s="5374"/>
      <c r="F90" s="1850">
        <f t="shared" ref="F90:Q90" si="447">F89+F86</f>
        <v>652904.97210114799</v>
      </c>
      <c r="G90" s="1799">
        <f t="shared" si="447"/>
        <v>707810.21855477965</v>
      </c>
      <c r="H90" s="1800">
        <f t="shared" si="447"/>
        <v>652105.41002473747</v>
      </c>
      <c r="I90" s="1850">
        <f t="shared" si="447"/>
        <v>644236.19632696873</v>
      </c>
      <c r="J90" s="1801">
        <f t="shared" si="447"/>
        <v>636909.97667396255</v>
      </c>
      <c r="K90" s="2410">
        <f t="shared" si="447"/>
        <v>630181.51945954072</v>
      </c>
      <c r="L90" s="1801">
        <f t="shared" si="447"/>
        <v>623988.40997145069</v>
      </c>
      <c r="M90" s="1801">
        <f t="shared" si="447"/>
        <v>618274.75046146091</v>
      </c>
      <c r="N90" s="2411">
        <f t="shared" si="447"/>
        <v>612990.47968367976</v>
      </c>
      <c r="O90" s="1850">
        <f t="shared" si="447"/>
        <v>608146.49574455852</v>
      </c>
      <c r="P90" s="1801">
        <f t="shared" si="447"/>
        <v>603696.82657464291</v>
      </c>
      <c r="Q90" s="2410">
        <f t="shared" si="447"/>
        <v>599600.3002279083</v>
      </c>
      <c r="R90" s="2259">
        <f>R89+R86</f>
        <v>7590845.5558048375</v>
      </c>
      <c r="S90" s="1850">
        <v>575569.01815999998</v>
      </c>
      <c r="T90" s="1799">
        <v>708945.95163999998</v>
      </c>
      <c r="U90" s="1800" t="e">
        <f t="shared" ref="U90:AD90" si="448">U89+U86</f>
        <v>#REF!</v>
      </c>
      <c r="V90" s="1850" t="e">
        <f t="shared" si="448"/>
        <v>#REF!</v>
      </c>
      <c r="W90" s="1801" t="e">
        <f t="shared" si="448"/>
        <v>#REF!</v>
      </c>
      <c r="X90" s="2410" t="e">
        <f t="shared" si="448"/>
        <v>#REF!</v>
      </c>
      <c r="Y90" s="1801" t="e">
        <f t="shared" si="448"/>
        <v>#REF!</v>
      </c>
      <c r="Z90" s="1801" t="e">
        <f t="shared" si="448"/>
        <v>#REF!</v>
      </c>
      <c r="AA90" s="2411" t="e">
        <f t="shared" si="448"/>
        <v>#REF!</v>
      </c>
      <c r="AB90" s="1850" t="e">
        <f t="shared" si="448"/>
        <v>#REF!</v>
      </c>
      <c r="AC90" s="1801" t="e">
        <f t="shared" si="448"/>
        <v>#REF!</v>
      </c>
      <c r="AD90" s="2410" t="e">
        <f t="shared" si="448"/>
        <v>#REF!</v>
      </c>
      <c r="AE90" s="2259" t="e">
        <f>AE89+AE86</f>
        <v>#REF!</v>
      </c>
      <c r="AF90" s="1850">
        <v>575569.01815999998</v>
      </c>
      <c r="AG90" s="1799">
        <v>708945.95163999998</v>
      </c>
      <c r="AH90" s="1800" t="e">
        <f t="shared" ref="AH90:AQ90" si="449">AH89+AH86</f>
        <v>#REF!</v>
      </c>
      <c r="AI90" s="1850" t="e">
        <f t="shared" si="449"/>
        <v>#REF!</v>
      </c>
      <c r="AJ90" s="1801" t="e">
        <f t="shared" si="449"/>
        <v>#REF!</v>
      </c>
      <c r="AK90" s="2410" t="e">
        <f t="shared" si="449"/>
        <v>#REF!</v>
      </c>
      <c r="AL90" s="1801" t="e">
        <f t="shared" si="449"/>
        <v>#REF!</v>
      </c>
      <c r="AM90" s="1801" t="e">
        <f t="shared" si="449"/>
        <v>#REF!</v>
      </c>
      <c r="AN90" s="2411" t="e">
        <f t="shared" si="449"/>
        <v>#REF!</v>
      </c>
      <c r="AO90" s="1850" t="e">
        <f t="shared" si="449"/>
        <v>#REF!</v>
      </c>
      <c r="AP90" s="1801" t="e">
        <f t="shared" si="449"/>
        <v>#REF!</v>
      </c>
      <c r="AQ90" s="2410" t="e">
        <f t="shared" si="449"/>
        <v>#REF!</v>
      </c>
      <c r="AR90" s="2259" t="e">
        <f>AR89+AR86</f>
        <v>#REF!</v>
      </c>
      <c r="AS90" s="1850">
        <v>575569.01815999998</v>
      </c>
      <c r="AT90" s="1799">
        <v>708945.95163999998</v>
      </c>
      <c r="AU90" s="1800" t="e">
        <f t="shared" ref="AU90:BD90" si="450">AU89+AU86</f>
        <v>#REF!</v>
      </c>
      <c r="AV90" s="1850" t="e">
        <f t="shared" si="450"/>
        <v>#REF!</v>
      </c>
      <c r="AW90" s="1801" t="e">
        <f t="shared" si="450"/>
        <v>#REF!</v>
      </c>
      <c r="AX90" s="2410" t="e">
        <f t="shared" si="450"/>
        <v>#REF!</v>
      </c>
      <c r="AY90" s="1801" t="e">
        <f t="shared" si="450"/>
        <v>#REF!</v>
      </c>
      <c r="AZ90" s="1801" t="e">
        <f t="shared" si="450"/>
        <v>#REF!</v>
      </c>
      <c r="BA90" s="2411" t="e">
        <f t="shared" si="450"/>
        <v>#REF!</v>
      </c>
      <c r="BB90" s="1850" t="e">
        <f t="shared" si="450"/>
        <v>#REF!</v>
      </c>
      <c r="BC90" s="1801" t="e">
        <f t="shared" si="450"/>
        <v>#REF!</v>
      </c>
      <c r="BD90" s="2410" t="e">
        <f t="shared" si="450"/>
        <v>#REF!</v>
      </c>
      <c r="BE90" s="1692" t="e">
        <f>BE89+BE86</f>
        <v>#REF!</v>
      </c>
    </row>
    <row r="91" spans="1:57" s="2364" customFormat="1" ht="18" customHeight="1">
      <c r="A91" s="1993"/>
      <c r="B91" s="1993"/>
      <c r="C91" s="1993"/>
      <c r="D91" s="1993"/>
      <c r="E91" s="2365"/>
      <c r="F91" s="1652"/>
      <c r="G91" s="1652"/>
      <c r="H91" s="1652"/>
      <c r="I91" s="1652"/>
      <c r="J91" s="1652"/>
      <c r="K91" s="1652"/>
      <c r="L91" s="1652"/>
      <c r="M91" s="1652"/>
      <c r="N91" s="1652"/>
      <c r="O91" s="1652"/>
      <c r="P91" s="1652"/>
      <c r="Q91" s="1652"/>
      <c r="R91" s="1542">
        <f>R90-SUM(F90:Q90)</f>
        <v>0</v>
      </c>
      <c r="S91" s="1652"/>
      <c r="T91" s="1652"/>
      <c r="U91" s="1652"/>
      <c r="V91" s="1652"/>
      <c r="W91" s="1652"/>
      <c r="X91" s="1652"/>
      <c r="Y91" s="1652"/>
      <c r="Z91" s="1652"/>
      <c r="AA91" s="1652"/>
      <c r="AB91" s="1652"/>
      <c r="AC91" s="1652"/>
      <c r="AD91" s="1652"/>
      <c r="AE91" s="1542" t="e">
        <f>AE90-SUM(S90:AD90)</f>
        <v>#REF!</v>
      </c>
      <c r="AF91" s="1652"/>
      <c r="AG91" s="1652"/>
      <c r="AH91" s="1652"/>
      <c r="AI91" s="1652"/>
      <c r="AJ91" s="1652"/>
      <c r="AK91" s="1652"/>
      <c r="AL91" s="1652"/>
      <c r="AM91" s="1652"/>
      <c r="AN91" s="1652"/>
      <c r="AO91" s="1652"/>
      <c r="AP91" s="1652"/>
      <c r="AQ91" s="1652"/>
      <c r="AR91" s="1542" t="e">
        <f>AR90-SUM(AF90:AQ90)</f>
        <v>#REF!</v>
      </c>
      <c r="AS91" s="1652"/>
      <c r="AT91" s="1652"/>
      <c r="AU91" s="1652"/>
      <c r="AV91" s="1652"/>
      <c r="AW91" s="1652"/>
      <c r="AX91" s="1652"/>
      <c r="AY91" s="1652"/>
      <c r="AZ91" s="1652"/>
      <c r="BA91" s="2349"/>
      <c r="BB91" s="2349"/>
      <c r="BC91" s="2349"/>
      <c r="BD91" s="2349"/>
      <c r="BE91" s="1541" t="e">
        <f>BE90-SUM(AS90:BD90)</f>
        <v>#REF!</v>
      </c>
    </row>
    <row r="92" spans="1:57" ht="18" customHeight="1" thickBot="1">
      <c r="A92" s="1547" t="s">
        <v>839</v>
      </c>
      <c r="B92" s="1520"/>
      <c r="C92" s="1520"/>
      <c r="D92" s="1520"/>
      <c r="E92" s="1520"/>
      <c r="F92" s="3861"/>
      <c r="G92" s="3861"/>
      <c r="H92" s="1807"/>
      <c r="I92" s="1807"/>
      <c r="J92" s="1807"/>
      <c r="K92" s="1807"/>
      <c r="L92" s="1807"/>
      <c r="M92" s="1807"/>
      <c r="N92" s="1807"/>
      <c r="O92" s="1807"/>
      <c r="P92" s="1807"/>
      <c r="Q92" s="1807"/>
      <c r="R92" s="1808" t="s">
        <v>87</v>
      </c>
      <c r="S92" s="3861"/>
      <c r="T92" s="3861"/>
      <c r="U92" s="1807"/>
      <c r="V92" s="1807"/>
      <c r="W92" s="1807"/>
      <c r="X92" s="1807"/>
      <c r="Y92" s="1807"/>
      <c r="Z92" s="1807"/>
      <c r="AA92" s="1807"/>
      <c r="AB92" s="1807"/>
      <c r="AC92" s="1807"/>
      <c r="AD92" s="1807"/>
      <c r="AE92" s="1808" t="s">
        <v>87</v>
      </c>
      <c r="AF92" s="3861"/>
      <c r="AG92" s="3861"/>
      <c r="AH92" s="1807"/>
      <c r="AI92" s="1807"/>
      <c r="AJ92" s="1807"/>
      <c r="AK92" s="1807"/>
      <c r="AL92" s="1807"/>
      <c r="AM92" s="1807"/>
      <c r="AN92" s="1807"/>
      <c r="AO92" s="1807"/>
      <c r="AP92" s="1807"/>
      <c r="AQ92" s="1807"/>
      <c r="AR92" s="1808" t="s">
        <v>87</v>
      </c>
      <c r="AS92" s="3861"/>
      <c r="AT92" s="3861"/>
      <c r="AU92" s="1807"/>
      <c r="AV92" s="1807"/>
      <c r="AW92" s="1807"/>
      <c r="AX92" s="1807"/>
      <c r="AY92" s="1807"/>
      <c r="AZ92" s="1807"/>
      <c r="BA92" s="1578"/>
      <c r="BB92" s="1578"/>
      <c r="BC92" s="1578"/>
      <c r="BD92" s="1578"/>
      <c r="BE92" s="1546" t="s">
        <v>87</v>
      </c>
    </row>
    <row r="93" spans="1:57" ht="18" customHeight="1" thickBot="1">
      <c r="A93" s="1548" t="s">
        <v>112</v>
      </c>
      <c r="B93" s="5361" t="s">
        <v>109</v>
      </c>
      <c r="C93" s="5362"/>
      <c r="D93" s="72" t="s">
        <v>756</v>
      </c>
      <c r="E93" s="1549" t="s">
        <v>29</v>
      </c>
      <c r="F93" s="90" t="str">
        <f t="shared" ref="F93:Q93" si="451">F4</f>
        <v>Jan.26</v>
      </c>
      <c r="G93" s="1877" t="str">
        <f t="shared" si="451"/>
        <v>Feb.26</v>
      </c>
      <c r="H93" s="3884" t="str">
        <f t="shared" si="451"/>
        <v>Mar.26</v>
      </c>
      <c r="I93" s="90" t="str">
        <f t="shared" si="451"/>
        <v>Apr.26</v>
      </c>
      <c r="J93" s="1877" t="str">
        <f t="shared" si="451"/>
        <v>May.26</v>
      </c>
      <c r="K93" s="3884" t="str">
        <f t="shared" si="451"/>
        <v>Jun.26</v>
      </c>
      <c r="L93" s="90" t="str">
        <f t="shared" si="451"/>
        <v>Jul.26</v>
      </c>
      <c r="M93" s="1877" t="str">
        <f t="shared" si="451"/>
        <v>Aug.26</v>
      </c>
      <c r="N93" s="3884" t="str">
        <f t="shared" si="451"/>
        <v>Sep.26</v>
      </c>
      <c r="O93" s="90" t="str">
        <f t="shared" si="451"/>
        <v>Oct.26</v>
      </c>
      <c r="P93" s="1877" t="str">
        <f t="shared" si="451"/>
        <v>Nov.26</v>
      </c>
      <c r="Q93" s="3884" t="str">
        <f t="shared" si="451"/>
        <v>Dec.26</v>
      </c>
      <c r="R93" s="1878" t="s">
        <v>472</v>
      </c>
      <c r="S93" s="90" t="e">
        <f t="shared" ref="S93:AD93" si="452">S4</f>
        <v>#REF!</v>
      </c>
      <c r="T93" s="1877" t="e">
        <f t="shared" si="452"/>
        <v>#REF!</v>
      </c>
      <c r="U93" s="3884" t="e">
        <f t="shared" si="452"/>
        <v>#REF!</v>
      </c>
      <c r="V93" s="90" t="e">
        <f t="shared" si="452"/>
        <v>#REF!</v>
      </c>
      <c r="W93" s="1877" t="e">
        <f t="shared" si="452"/>
        <v>#REF!</v>
      </c>
      <c r="X93" s="3884" t="e">
        <f t="shared" si="452"/>
        <v>#REF!</v>
      </c>
      <c r="Y93" s="90" t="e">
        <f t="shared" si="452"/>
        <v>#REF!</v>
      </c>
      <c r="Z93" s="1877" t="e">
        <f t="shared" si="452"/>
        <v>#REF!</v>
      </c>
      <c r="AA93" s="3884" t="e">
        <f t="shared" si="452"/>
        <v>#REF!</v>
      </c>
      <c r="AB93" s="90" t="e">
        <f t="shared" si="452"/>
        <v>#REF!</v>
      </c>
      <c r="AC93" s="1877" t="e">
        <f t="shared" si="452"/>
        <v>#REF!</v>
      </c>
      <c r="AD93" s="3884" t="e">
        <f t="shared" si="452"/>
        <v>#REF!</v>
      </c>
      <c r="AE93" s="1878" t="s">
        <v>472</v>
      </c>
      <c r="AF93" s="90" t="e">
        <f t="shared" ref="AF93:AQ93" si="453">AF4</f>
        <v>#REF!</v>
      </c>
      <c r="AG93" s="1877" t="e">
        <f t="shared" si="453"/>
        <v>#REF!</v>
      </c>
      <c r="AH93" s="3884" t="e">
        <f t="shared" si="453"/>
        <v>#REF!</v>
      </c>
      <c r="AI93" s="90" t="e">
        <f t="shared" si="453"/>
        <v>#REF!</v>
      </c>
      <c r="AJ93" s="1877" t="e">
        <f t="shared" si="453"/>
        <v>#REF!</v>
      </c>
      <c r="AK93" s="3884" t="e">
        <f t="shared" si="453"/>
        <v>#REF!</v>
      </c>
      <c r="AL93" s="90" t="e">
        <f t="shared" si="453"/>
        <v>#REF!</v>
      </c>
      <c r="AM93" s="1877" t="e">
        <f t="shared" si="453"/>
        <v>#REF!</v>
      </c>
      <c r="AN93" s="3884" t="e">
        <f t="shared" si="453"/>
        <v>#REF!</v>
      </c>
      <c r="AO93" s="90" t="e">
        <f t="shared" si="453"/>
        <v>#REF!</v>
      </c>
      <c r="AP93" s="1877" t="e">
        <f t="shared" si="453"/>
        <v>#REF!</v>
      </c>
      <c r="AQ93" s="3884" t="e">
        <f t="shared" si="453"/>
        <v>#REF!</v>
      </c>
      <c r="AR93" s="1878" t="s">
        <v>472</v>
      </c>
      <c r="AS93" s="90" t="e">
        <f t="shared" ref="AS93:BD93" si="454">AS4</f>
        <v>#REF!</v>
      </c>
      <c r="AT93" s="1877" t="e">
        <f t="shared" si="454"/>
        <v>#REF!</v>
      </c>
      <c r="AU93" s="3884" t="e">
        <f t="shared" si="454"/>
        <v>#REF!</v>
      </c>
      <c r="AV93" s="90" t="e">
        <f t="shared" si="454"/>
        <v>#REF!</v>
      </c>
      <c r="AW93" s="1877" t="e">
        <f t="shared" si="454"/>
        <v>#REF!</v>
      </c>
      <c r="AX93" s="3884" t="e">
        <f t="shared" si="454"/>
        <v>#REF!</v>
      </c>
      <c r="AY93" s="90" t="e">
        <f t="shared" si="454"/>
        <v>#REF!</v>
      </c>
      <c r="AZ93" s="1877" t="e">
        <f t="shared" si="454"/>
        <v>#REF!</v>
      </c>
      <c r="BA93" s="71" t="e">
        <f t="shared" si="454"/>
        <v>#REF!</v>
      </c>
      <c r="BB93" s="89" t="e">
        <f t="shared" si="454"/>
        <v>#REF!</v>
      </c>
      <c r="BC93" s="81" t="e">
        <f t="shared" si="454"/>
        <v>#REF!</v>
      </c>
      <c r="BD93" s="71" t="e">
        <f t="shared" si="454"/>
        <v>#REF!</v>
      </c>
      <c r="BE93" s="1549" t="s">
        <v>472</v>
      </c>
    </row>
    <row r="94" spans="1:57" ht="18" customHeight="1">
      <c r="A94" s="2412" t="s">
        <v>843</v>
      </c>
      <c r="B94" s="5363" t="s">
        <v>851</v>
      </c>
      <c r="C94" s="5364"/>
      <c r="D94" s="2413">
        <v>3</v>
      </c>
      <c r="E94" s="2414">
        <f>65000/'1-1.Assumption'!F29</f>
        <v>2.4621212121212119</v>
      </c>
      <c r="F94" s="4453">
        <f t="shared" ref="F94:Q94" si="455">SUM(F13)*F108*$E$94*$D$94</f>
        <v>3072.727272727273</v>
      </c>
      <c r="G94" s="4384">
        <f t="shared" si="455"/>
        <v>1536.3636363636365</v>
      </c>
      <c r="H94" s="4446">
        <f t="shared" si="455"/>
        <v>3072.727272727273</v>
      </c>
      <c r="I94" s="4453">
        <f t="shared" si="455"/>
        <v>2954.545454545454</v>
      </c>
      <c r="J94" s="4384">
        <f t="shared" si="455"/>
        <v>2954.545454545454</v>
      </c>
      <c r="K94" s="4454">
        <f t="shared" si="455"/>
        <v>2954.545454545454</v>
      </c>
      <c r="L94" s="4453">
        <f t="shared" si="455"/>
        <v>3190.9090909090905</v>
      </c>
      <c r="M94" s="4384">
        <f t="shared" si="455"/>
        <v>3072.727272727273</v>
      </c>
      <c r="N94" s="4446">
        <f t="shared" si="455"/>
        <v>2954.545454545454</v>
      </c>
      <c r="O94" s="4453">
        <f t="shared" si="455"/>
        <v>3190.9090909090905</v>
      </c>
      <c r="P94" s="4384">
        <f t="shared" si="455"/>
        <v>2954.545454545454</v>
      </c>
      <c r="Q94" s="4446">
        <f t="shared" si="455"/>
        <v>3190.9090909090905</v>
      </c>
      <c r="R94" s="2416">
        <f>SUM(F94:Q94)</f>
        <v>35099.999999999993</v>
      </c>
      <c r="S94" s="3457">
        <f t="shared" ref="S94:AD94" si="456">SUM(S13)*S108*$E$94*$D$94</f>
        <v>2215.909090909091</v>
      </c>
      <c r="T94" s="2415">
        <f t="shared" si="456"/>
        <v>2718.181818181818</v>
      </c>
      <c r="U94" s="3455">
        <f t="shared" si="456"/>
        <v>2880.681818181818</v>
      </c>
      <c r="V94" s="3457">
        <f t="shared" si="456"/>
        <v>2659.090909090909</v>
      </c>
      <c r="W94" s="2415">
        <f t="shared" si="456"/>
        <v>2769.8863636363635</v>
      </c>
      <c r="X94" s="3919">
        <f t="shared" si="456"/>
        <v>2769.8863636363635</v>
      </c>
      <c r="Y94" s="3457">
        <f t="shared" si="456"/>
        <v>2991.4772727272725</v>
      </c>
      <c r="Z94" s="2415">
        <f t="shared" si="456"/>
        <v>2880.681818181818</v>
      </c>
      <c r="AA94" s="3455">
        <f t="shared" si="456"/>
        <v>2548.2954545454545</v>
      </c>
      <c r="AB94" s="3457">
        <f t="shared" si="456"/>
        <v>2880.681818181818</v>
      </c>
      <c r="AC94" s="2415">
        <f t="shared" si="456"/>
        <v>2769.8863636363635</v>
      </c>
      <c r="AD94" s="3455">
        <f t="shared" si="456"/>
        <v>2880.681818181818</v>
      </c>
      <c r="AE94" s="2416">
        <f>SUM(S94:AD94)</f>
        <v>32965.340909090912</v>
      </c>
      <c r="AF94" s="3457">
        <f t="shared" ref="AF94:AQ94" si="457">SUM(AF13)*AF108*$E$94*$D$94</f>
        <v>2215.909090909091</v>
      </c>
      <c r="AG94" s="2415">
        <f t="shared" si="457"/>
        <v>2718.181818181818</v>
      </c>
      <c r="AH94" s="3455">
        <f t="shared" si="457"/>
        <v>2880.681818181818</v>
      </c>
      <c r="AI94" s="3457">
        <f t="shared" si="457"/>
        <v>2659.090909090909</v>
      </c>
      <c r="AJ94" s="2415">
        <f t="shared" si="457"/>
        <v>2769.8863636363635</v>
      </c>
      <c r="AK94" s="3919">
        <f t="shared" si="457"/>
        <v>2769.8863636363635</v>
      </c>
      <c r="AL94" s="3457">
        <f t="shared" si="457"/>
        <v>2991.4772727272725</v>
      </c>
      <c r="AM94" s="2415">
        <f t="shared" si="457"/>
        <v>2880.681818181818</v>
      </c>
      <c r="AN94" s="3455">
        <f t="shared" si="457"/>
        <v>2548.2954545454545</v>
      </c>
      <c r="AO94" s="3457">
        <f t="shared" si="457"/>
        <v>2880.681818181818</v>
      </c>
      <c r="AP94" s="2415">
        <f t="shared" si="457"/>
        <v>2769.8863636363635</v>
      </c>
      <c r="AQ94" s="3455">
        <f t="shared" si="457"/>
        <v>2880.681818181818</v>
      </c>
      <c r="AR94" s="2416">
        <f>SUM(AF94:AQ94)</f>
        <v>32965.340909090912</v>
      </c>
      <c r="AS94" s="3457">
        <f t="shared" ref="AS94:BD94" si="458">SUM(AS13)*AS108*$E$94*$D$94</f>
        <v>2215.909090909091</v>
      </c>
      <c r="AT94" s="2415">
        <f t="shared" si="458"/>
        <v>2718.181818181818</v>
      </c>
      <c r="AU94" s="3455">
        <f t="shared" si="458"/>
        <v>2880.681818181818</v>
      </c>
      <c r="AV94" s="3457">
        <f t="shared" si="458"/>
        <v>2659.090909090909</v>
      </c>
      <c r="AW94" s="2415">
        <f t="shared" si="458"/>
        <v>2769.8863636363635</v>
      </c>
      <c r="AX94" s="3919">
        <f t="shared" si="458"/>
        <v>2769.8863636363635</v>
      </c>
      <c r="AY94" s="3457">
        <f t="shared" si="458"/>
        <v>2991.4772727272725</v>
      </c>
      <c r="AZ94" s="2415">
        <f t="shared" si="458"/>
        <v>2880.681818181818</v>
      </c>
      <c r="BA94" s="3455">
        <f t="shared" si="458"/>
        <v>2548.2954545454545</v>
      </c>
      <c r="BB94" s="3457">
        <f t="shared" si="458"/>
        <v>2880.681818181818</v>
      </c>
      <c r="BC94" s="2415">
        <f t="shared" si="458"/>
        <v>2769.8863636363635</v>
      </c>
      <c r="BD94" s="3455">
        <f t="shared" si="458"/>
        <v>2880.681818181818</v>
      </c>
      <c r="BE94" s="2416">
        <f>SUM(AS94:BD94)</f>
        <v>32965.340909090912</v>
      </c>
    </row>
    <row r="95" spans="1:57" ht="18" customHeight="1">
      <c r="A95" s="2412"/>
      <c r="B95" s="5363" t="s">
        <v>844</v>
      </c>
      <c r="C95" s="5364"/>
      <c r="D95" s="2413">
        <v>3</v>
      </c>
      <c r="E95" s="2414">
        <f>22600/'1-1.Assumption'!F29</f>
        <v>0.85606060606060608</v>
      </c>
      <c r="F95" s="4453">
        <f t="shared" ref="F95:Q95" si="459">SUM(F25)*F108*$E$95*$D$95</f>
        <v>15558.045454545456</v>
      </c>
      <c r="G95" s="4384">
        <f t="shared" si="459"/>
        <v>7779.0227272727279</v>
      </c>
      <c r="H95" s="4446">
        <f t="shared" si="459"/>
        <v>15558.045454545456</v>
      </c>
      <c r="I95" s="4453">
        <f t="shared" si="459"/>
        <v>14959.65909090909</v>
      </c>
      <c r="J95" s="4384">
        <f t="shared" si="459"/>
        <v>14959.65909090909</v>
      </c>
      <c r="K95" s="4446">
        <f t="shared" si="459"/>
        <v>14959.65909090909</v>
      </c>
      <c r="L95" s="4453">
        <f t="shared" si="459"/>
        <v>16156.43181818182</v>
      </c>
      <c r="M95" s="4384">
        <f t="shared" si="459"/>
        <v>15558.045454545456</v>
      </c>
      <c r="N95" s="4446">
        <f t="shared" si="459"/>
        <v>14959.65909090909</v>
      </c>
      <c r="O95" s="4453">
        <f t="shared" si="459"/>
        <v>16156.43181818182</v>
      </c>
      <c r="P95" s="4384">
        <f t="shared" si="459"/>
        <v>14959.65909090909</v>
      </c>
      <c r="Q95" s="4446">
        <f t="shared" si="459"/>
        <v>16156.43181818182</v>
      </c>
      <c r="R95" s="2416">
        <f>SUM(F95:Q95)</f>
        <v>177720.75</v>
      </c>
      <c r="S95" s="3457">
        <f t="shared" ref="S95:AD95" si="460">SUM(S25)*S108*$E$95*$D$95</f>
        <v>14176.363636363638</v>
      </c>
      <c r="T95" s="2415">
        <f t="shared" si="460"/>
        <v>15948.409090909092</v>
      </c>
      <c r="U95" s="3455">
        <f t="shared" si="460"/>
        <v>17694.772727272728</v>
      </c>
      <c r="V95" s="3457">
        <f t="shared" si="460"/>
        <v>16950</v>
      </c>
      <c r="W95" s="2415">
        <f t="shared" si="460"/>
        <v>17656.25</v>
      </c>
      <c r="X95" s="3455">
        <f t="shared" si="460"/>
        <v>17656.25</v>
      </c>
      <c r="Y95" s="3457">
        <f t="shared" si="460"/>
        <v>19068.75</v>
      </c>
      <c r="Z95" s="2415">
        <f t="shared" si="460"/>
        <v>18362.5</v>
      </c>
      <c r="AA95" s="3455">
        <f t="shared" si="460"/>
        <v>16243.75</v>
      </c>
      <c r="AB95" s="3457">
        <f t="shared" si="460"/>
        <v>18362.5</v>
      </c>
      <c r="AC95" s="2415">
        <f t="shared" si="460"/>
        <v>17656.25</v>
      </c>
      <c r="AD95" s="3455">
        <f t="shared" si="460"/>
        <v>18362.5</v>
      </c>
      <c r="AE95" s="2416">
        <f>SUM(S95:AD95)</f>
        <v>208138.29545454547</v>
      </c>
      <c r="AF95" s="3457">
        <f t="shared" ref="AF95:AQ95" si="461">SUM(AF25)*AF108*$E$95*$D$95</f>
        <v>14176.363636363638</v>
      </c>
      <c r="AG95" s="2415">
        <f t="shared" si="461"/>
        <v>15948.409090909092</v>
      </c>
      <c r="AH95" s="3455">
        <f t="shared" si="461"/>
        <v>17694.772727272728</v>
      </c>
      <c r="AI95" s="3457">
        <f t="shared" si="461"/>
        <v>16950</v>
      </c>
      <c r="AJ95" s="2415">
        <f t="shared" si="461"/>
        <v>17656.25</v>
      </c>
      <c r="AK95" s="3455">
        <f t="shared" si="461"/>
        <v>17656.25</v>
      </c>
      <c r="AL95" s="3457">
        <f t="shared" si="461"/>
        <v>19068.75</v>
      </c>
      <c r="AM95" s="2415">
        <f t="shared" si="461"/>
        <v>18362.5</v>
      </c>
      <c r="AN95" s="3455">
        <f t="shared" si="461"/>
        <v>16243.75</v>
      </c>
      <c r="AO95" s="3457">
        <f t="shared" si="461"/>
        <v>18362.5</v>
      </c>
      <c r="AP95" s="2415">
        <f t="shared" si="461"/>
        <v>17656.25</v>
      </c>
      <c r="AQ95" s="3455">
        <f t="shared" si="461"/>
        <v>18362.5</v>
      </c>
      <c r="AR95" s="2416">
        <f>SUM(AF95:AQ95)</f>
        <v>208138.29545454547</v>
      </c>
      <c r="AS95" s="3457">
        <f t="shared" ref="AS95:BD95" si="462">SUM(AS25)*AS108*$E$95*$D$95</f>
        <v>14176.363636363638</v>
      </c>
      <c r="AT95" s="2415">
        <f t="shared" si="462"/>
        <v>15948.409090909092</v>
      </c>
      <c r="AU95" s="3455">
        <f t="shared" si="462"/>
        <v>17694.772727272728</v>
      </c>
      <c r="AV95" s="3457">
        <f t="shared" si="462"/>
        <v>16950</v>
      </c>
      <c r="AW95" s="2415">
        <f t="shared" si="462"/>
        <v>17656.25</v>
      </c>
      <c r="AX95" s="3455">
        <f t="shared" si="462"/>
        <v>17656.25</v>
      </c>
      <c r="AY95" s="3457">
        <f t="shared" si="462"/>
        <v>19068.75</v>
      </c>
      <c r="AZ95" s="2415">
        <f t="shared" si="462"/>
        <v>18362.5</v>
      </c>
      <c r="BA95" s="3455">
        <f t="shared" si="462"/>
        <v>16243.75</v>
      </c>
      <c r="BB95" s="3457">
        <f t="shared" si="462"/>
        <v>18362.5</v>
      </c>
      <c r="BC95" s="2415">
        <f t="shared" si="462"/>
        <v>17656.25</v>
      </c>
      <c r="BD95" s="3455">
        <f t="shared" si="462"/>
        <v>18362.5</v>
      </c>
      <c r="BE95" s="2416">
        <f>SUM(AS95:BD95)</f>
        <v>208138.29545454547</v>
      </c>
    </row>
    <row r="96" spans="1:57" ht="18" customHeight="1" thickBot="1">
      <c r="A96" s="2417"/>
      <c r="B96" s="2418" t="s">
        <v>845</v>
      </c>
      <c r="C96" s="43"/>
      <c r="D96" s="2413">
        <v>3</v>
      </c>
      <c r="E96" s="2414">
        <f>22600/'1-1.Assumption'!F29</f>
        <v>0.85606060606060608</v>
      </c>
      <c r="F96" s="4453">
        <f>SUM(F36)*F108*$E$96*$D$96</f>
        <v>39188.63081142852</v>
      </c>
      <c r="G96" s="4384">
        <f t="shared" ref="G96:Q96" si="463">SUM(G36)*G108*$E$96*$D$96</f>
        <v>19105.085091599547</v>
      </c>
      <c r="H96" s="4446">
        <f t="shared" si="463"/>
        <v>37098.696264140592</v>
      </c>
      <c r="I96" s="4447">
        <f t="shared" si="463"/>
        <v>34725.261919855751</v>
      </c>
      <c r="J96" s="4384">
        <f t="shared" si="463"/>
        <v>33844.015447369151</v>
      </c>
      <c r="K96" s="4446">
        <f t="shared" si="463"/>
        <v>33034.671820461503</v>
      </c>
      <c r="L96" s="4453">
        <f t="shared" si="463"/>
        <v>34872.901252593947</v>
      </c>
      <c r="M96" s="4384">
        <f t="shared" si="463"/>
        <v>32866.544233947076</v>
      </c>
      <c r="N96" s="4446">
        <f t="shared" si="463"/>
        <v>30966.819110825927</v>
      </c>
      <c r="O96" s="4453">
        <f t="shared" si="463"/>
        <v>32814.884672912507</v>
      </c>
      <c r="P96" s="4384">
        <f t="shared" si="463"/>
        <v>29848.916644512035</v>
      </c>
      <c r="Q96" s="4446">
        <f t="shared" si="463"/>
        <v>31704.651918552008</v>
      </c>
      <c r="R96" s="2416">
        <f>SUM(F96:Q96)</f>
        <v>390071.07918819861</v>
      </c>
      <c r="S96" s="3457" t="e">
        <f>SUM(#REF!)*S108*$E$96*$D$96</f>
        <v>#REF!</v>
      </c>
      <c r="T96" s="2415" t="e">
        <f>SUM(#REF!)*T108*$E$96*$D$96</f>
        <v>#REF!</v>
      </c>
      <c r="U96" s="3455" t="e">
        <f>SUM(#REF!)*U108*$E$96*$D$96</f>
        <v>#REF!</v>
      </c>
      <c r="V96" s="1542" t="e">
        <f>SUM(#REF!)*V108*$E$96*$D$96</f>
        <v>#REF!</v>
      </c>
      <c r="W96" s="2415" t="e">
        <f>SUM(#REF!)*W108*$E$96*$D$96</f>
        <v>#REF!</v>
      </c>
      <c r="X96" s="3455" t="e">
        <f>SUM(#REF!)*X108*$E$96*$D$96</f>
        <v>#REF!</v>
      </c>
      <c r="Y96" s="3457" t="e">
        <f>SUM(#REF!)*Y108*$E$96*$D$96</f>
        <v>#REF!</v>
      </c>
      <c r="Z96" s="2415" t="e">
        <f>SUM(#REF!)*Z108*$E$96*$D$96</f>
        <v>#REF!</v>
      </c>
      <c r="AA96" s="3455" t="e">
        <f>SUM(#REF!)*AA108*$E$96*$D$96</f>
        <v>#REF!</v>
      </c>
      <c r="AB96" s="3457" t="e">
        <f>SUM(#REF!)*AB108*$E$96*$D$96</f>
        <v>#REF!</v>
      </c>
      <c r="AC96" s="2415" t="e">
        <f>SUM(#REF!)*AC108*$E$96*$D$96</f>
        <v>#REF!</v>
      </c>
      <c r="AD96" s="3455" t="e">
        <f>SUM(#REF!)*AD108*$E$96*$D$96</f>
        <v>#REF!</v>
      </c>
      <c r="AE96" s="2416" t="e">
        <f>SUM(S96:AD96)</f>
        <v>#REF!</v>
      </c>
      <c r="AF96" s="3457" t="e">
        <f>SUM(#REF!)*AF108*$E$96*$D$96</f>
        <v>#REF!</v>
      </c>
      <c r="AG96" s="2415" t="e">
        <f>SUM(#REF!)*AG108*$E$96*$D$96</f>
        <v>#REF!</v>
      </c>
      <c r="AH96" s="3455" t="e">
        <f>SUM(#REF!)*AH108*$E$96*$D$96</f>
        <v>#REF!</v>
      </c>
      <c r="AI96" s="1542" t="e">
        <f>SUM(#REF!)*AI108*$E$96*$D$96</f>
        <v>#REF!</v>
      </c>
      <c r="AJ96" s="2415" t="e">
        <f>SUM(#REF!)*AJ108*$E$96*$D$96</f>
        <v>#REF!</v>
      </c>
      <c r="AK96" s="3455" t="e">
        <f>SUM(#REF!)*AK108*$E$96*$D$96</f>
        <v>#REF!</v>
      </c>
      <c r="AL96" s="3457" t="e">
        <f>SUM(#REF!)*AL108*$E$96*$D$96</f>
        <v>#REF!</v>
      </c>
      <c r="AM96" s="2415" t="e">
        <f>SUM(#REF!)*AM108*$E$96*$D$96</f>
        <v>#REF!</v>
      </c>
      <c r="AN96" s="3455" t="e">
        <f>SUM(#REF!)*AN108*$E$96*$D$96</f>
        <v>#REF!</v>
      </c>
      <c r="AO96" s="3457" t="e">
        <f>SUM(#REF!)*AO108*$E$96*$D$96</f>
        <v>#REF!</v>
      </c>
      <c r="AP96" s="2415" t="e">
        <f>SUM(#REF!)*AP108*$E$96*$D$96</f>
        <v>#REF!</v>
      </c>
      <c r="AQ96" s="3455" t="e">
        <f>SUM(#REF!)*AQ108*$E$96*$D$96</f>
        <v>#REF!</v>
      </c>
      <c r="AR96" s="2416" t="e">
        <f>SUM(AF96:AQ96)</f>
        <v>#REF!</v>
      </c>
      <c r="AS96" s="3457" t="e">
        <f>SUM(#REF!)*AS108*$E$96*$D$96</f>
        <v>#REF!</v>
      </c>
      <c r="AT96" s="2415" t="e">
        <f>SUM(#REF!)*AT108*$E$96*$D$96</f>
        <v>#REF!</v>
      </c>
      <c r="AU96" s="3455" t="e">
        <f>SUM(#REF!)*AU108*$E$96*$D$96</f>
        <v>#REF!</v>
      </c>
      <c r="AV96" s="1542" t="e">
        <f>SUM(#REF!)*AV108*$E$96*$D$96</f>
        <v>#REF!</v>
      </c>
      <c r="AW96" s="2415" t="e">
        <f>SUM(#REF!)*AW108*$E$96*$D$96</f>
        <v>#REF!</v>
      </c>
      <c r="AX96" s="3455" t="e">
        <f>SUM(#REF!)*AX108*$E$96*$D$96</f>
        <v>#REF!</v>
      </c>
      <c r="AY96" s="3457" t="e">
        <f>SUM(#REF!)*AY108*$E$96*$D$96</f>
        <v>#REF!</v>
      </c>
      <c r="AZ96" s="2415" t="e">
        <f>SUM(#REF!)*AZ108*$E$96*$D$96</f>
        <v>#REF!</v>
      </c>
      <c r="BA96" s="3455" t="e">
        <f>SUM(#REF!)*BA108*$E$96*$D$96</f>
        <v>#REF!</v>
      </c>
      <c r="BB96" s="3457" t="e">
        <f>SUM(#REF!)*BB108*$E$96*$D$96</f>
        <v>#REF!</v>
      </c>
      <c r="BC96" s="2415" t="e">
        <f>SUM(#REF!)*BC108*$E$96*$D$96</f>
        <v>#REF!</v>
      </c>
      <c r="BD96" s="3455" t="e">
        <f>SUM(#REF!)*BD108*$E$96*$D$96</f>
        <v>#REF!</v>
      </c>
      <c r="BE96" s="2416" t="e">
        <f>SUM(AS96:BD96)</f>
        <v>#REF!</v>
      </c>
    </row>
    <row r="97" spans="1:57" ht="18" customHeight="1" thickBot="1">
      <c r="A97" s="5358" t="s">
        <v>138</v>
      </c>
      <c r="B97" s="5359"/>
      <c r="C97" s="5359"/>
      <c r="D97" s="5359"/>
      <c r="E97" s="5360"/>
      <c r="F97" s="3885">
        <f t="shared" ref="F97:R97" si="464">SUM(F94:F96)</f>
        <v>57819.403538701248</v>
      </c>
      <c r="G97" s="2673">
        <f t="shared" si="464"/>
        <v>28420.471455235911</v>
      </c>
      <c r="H97" s="3886">
        <f t="shared" si="464"/>
        <v>55729.46899141332</v>
      </c>
      <c r="I97" s="3885">
        <f t="shared" si="464"/>
        <v>52639.466465310295</v>
      </c>
      <c r="J97" s="2673">
        <f t="shared" si="464"/>
        <v>51758.219992823695</v>
      </c>
      <c r="K97" s="3456">
        <f t="shared" si="464"/>
        <v>50948.876365916047</v>
      </c>
      <c r="L97" s="3458">
        <f t="shared" si="464"/>
        <v>54220.242161684859</v>
      </c>
      <c r="M97" s="2728">
        <f t="shared" si="464"/>
        <v>51497.316961219803</v>
      </c>
      <c r="N97" s="3456">
        <f t="shared" si="464"/>
        <v>48881.023656280471</v>
      </c>
      <c r="O97" s="3458">
        <f t="shared" si="464"/>
        <v>52162.225582003419</v>
      </c>
      <c r="P97" s="2728">
        <f t="shared" si="464"/>
        <v>47763.12118996658</v>
      </c>
      <c r="Q97" s="3456">
        <f t="shared" si="464"/>
        <v>51051.99282764292</v>
      </c>
      <c r="R97" s="2419">
        <f t="shared" si="464"/>
        <v>602891.82918819855</v>
      </c>
      <c r="S97" s="3885" t="e">
        <f t="shared" ref="S97:AE97" si="465">SUM(S94:S96)</f>
        <v>#REF!</v>
      </c>
      <c r="T97" s="2673" t="e">
        <f t="shared" si="465"/>
        <v>#REF!</v>
      </c>
      <c r="U97" s="3886" t="e">
        <f t="shared" si="465"/>
        <v>#REF!</v>
      </c>
      <c r="V97" s="3885" t="e">
        <f t="shared" si="465"/>
        <v>#REF!</v>
      </c>
      <c r="W97" s="2673" t="e">
        <f t="shared" si="465"/>
        <v>#REF!</v>
      </c>
      <c r="X97" s="3456" t="e">
        <f t="shared" si="465"/>
        <v>#REF!</v>
      </c>
      <c r="Y97" s="3458" t="e">
        <f t="shared" si="465"/>
        <v>#REF!</v>
      </c>
      <c r="Z97" s="2728" t="e">
        <f t="shared" si="465"/>
        <v>#REF!</v>
      </c>
      <c r="AA97" s="3456" t="e">
        <f t="shared" si="465"/>
        <v>#REF!</v>
      </c>
      <c r="AB97" s="3458" t="e">
        <f t="shared" si="465"/>
        <v>#REF!</v>
      </c>
      <c r="AC97" s="2728" t="e">
        <f t="shared" si="465"/>
        <v>#REF!</v>
      </c>
      <c r="AD97" s="3456" t="e">
        <f t="shared" si="465"/>
        <v>#REF!</v>
      </c>
      <c r="AE97" s="2419" t="e">
        <f t="shared" si="465"/>
        <v>#REF!</v>
      </c>
      <c r="AF97" s="3885" t="e">
        <f t="shared" ref="AF97:BE97" si="466">SUM(AF94:AF96)</f>
        <v>#REF!</v>
      </c>
      <c r="AG97" s="2673" t="e">
        <f t="shared" si="466"/>
        <v>#REF!</v>
      </c>
      <c r="AH97" s="3886" t="e">
        <f t="shared" si="466"/>
        <v>#REF!</v>
      </c>
      <c r="AI97" s="3885" t="e">
        <f t="shared" si="466"/>
        <v>#REF!</v>
      </c>
      <c r="AJ97" s="2673" t="e">
        <f t="shared" si="466"/>
        <v>#REF!</v>
      </c>
      <c r="AK97" s="3456" t="e">
        <f t="shared" si="466"/>
        <v>#REF!</v>
      </c>
      <c r="AL97" s="3458" t="e">
        <f t="shared" si="466"/>
        <v>#REF!</v>
      </c>
      <c r="AM97" s="2728" t="e">
        <f t="shared" si="466"/>
        <v>#REF!</v>
      </c>
      <c r="AN97" s="3456" t="e">
        <f t="shared" si="466"/>
        <v>#REF!</v>
      </c>
      <c r="AO97" s="3458" t="e">
        <f t="shared" si="466"/>
        <v>#REF!</v>
      </c>
      <c r="AP97" s="2728" t="e">
        <f t="shared" si="466"/>
        <v>#REF!</v>
      </c>
      <c r="AQ97" s="3456" t="e">
        <f t="shared" si="466"/>
        <v>#REF!</v>
      </c>
      <c r="AR97" s="2419" t="e">
        <f t="shared" si="466"/>
        <v>#REF!</v>
      </c>
      <c r="AS97" s="3885" t="e">
        <f t="shared" si="466"/>
        <v>#REF!</v>
      </c>
      <c r="AT97" s="2673" t="e">
        <f t="shared" si="466"/>
        <v>#REF!</v>
      </c>
      <c r="AU97" s="3886" t="e">
        <f t="shared" si="466"/>
        <v>#REF!</v>
      </c>
      <c r="AV97" s="3885" t="e">
        <f t="shared" si="466"/>
        <v>#REF!</v>
      </c>
      <c r="AW97" s="2673" t="e">
        <f t="shared" si="466"/>
        <v>#REF!</v>
      </c>
      <c r="AX97" s="3456" t="e">
        <f t="shared" si="466"/>
        <v>#REF!</v>
      </c>
      <c r="AY97" s="3458" t="e">
        <f t="shared" si="466"/>
        <v>#REF!</v>
      </c>
      <c r="AZ97" s="2728" t="e">
        <f t="shared" si="466"/>
        <v>#REF!</v>
      </c>
      <c r="BA97" s="3456" t="e">
        <f t="shared" si="466"/>
        <v>#REF!</v>
      </c>
      <c r="BB97" s="3458" t="e">
        <f t="shared" si="466"/>
        <v>#REF!</v>
      </c>
      <c r="BC97" s="2728" t="e">
        <f t="shared" si="466"/>
        <v>#REF!</v>
      </c>
      <c r="BD97" s="3456" t="e">
        <f t="shared" si="466"/>
        <v>#REF!</v>
      </c>
      <c r="BE97" s="2419" t="e">
        <f t="shared" si="466"/>
        <v>#REF!</v>
      </c>
    </row>
    <row r="98" spans="1:57" ht="18" customHeight="1">
      <c r="D98" s="1541"/>
      <c r="E98" s="1541"/>
      <c r="F98" s="2558"/>
      <c r="G98" s="2558"/>
      <c r="H98" s="2558"/>
      <c r="R98" s="1542" t="b">
        <f>R97=SUM(F97:Q97)</f>
        <v>1</v>
      </c>
      <c r="S98" s="2558"/>
      <c r="T98" s="2558"/>
      <c r="U98" s="2558"/>
      <c r="AE98" s="1542" t="e">
        <f>AE97=SUM(S97:AD97)</f>
        <v>#REF!</v>
      </c>
      <c r="AF98" s="2558"/>
      <c r="AG98" s="2558"/>
      <c r="AH98" s="2558"/>
      <c r="AR98" s="1542" t="e">
        <f>AR97=SUM(AF97:AQ97)</f>
        <v>#REF!</v>
      </c>
      <c r="AS98" s="2558"/>
      <c r="AT98" s="2558"/>
      <c r="AU98" s="2558"/>
      <c r="BE98" s="1541" t="e">
        <f>BE97=SUM(AS97:BD97)</f>
        <v>#REF!</v>
      </c>
    </row>
    <row r="99" spans="1:57" ht="20.25" customHeight="1">
      <c r="E99" s="1716"/>
      <c r="F99" s="1716"/>
      <c r="G99" s="2558"/>
      <c r="H99" s="2558"/>
      <c r="I99" s="1807"/>
      <c r="J99" s="1807"/>
      <c r="K99" s="1807"/>
      <c r="L99" s="1807"/>
      <c r="M99" s="1807"/>
      <c r="N99" s="1807"/>
      <c r="O99" s="1807"/>
      <c r="P99" s="5346" t="s">
        <v>1097</v>
      </c>
      <c r="Q99" s="3920" t="s">
        <v>1389</v>
      </c>
      <c r="R99" s="3921">
        <f>R97+R79</f>
        <v>8193737.3849930372</v>
      </c>
      <c r="S99" s="2558"/>
      <c r="T99" s="2558"/>
      <c r="U99" s="2558"/>
      <c r="V99" s="1807"/>
      <c r="W99" s="1807"/>
      <c r="X99" s="1807"/>
      <c r="Y99" s="1807"/>
      <c r="Z99" s="1807"/>
      <c r="AA99" s="1807"/>
      <c r="AB99" s="1807"/>
      <c r="AC99" s="5346" t="s">
        <v>1097</v>
      </c>
      <c r="AD99" s="3920" t="s">
        <v>1094</v>
      </c>
      <c r="AE99" s="3921" t="e">
        <f>AE97+AE79</f>
        <v>#REF!</v>
      </c>
      <c r="AF99" s="2558"/>
      <c r="AG99" s="2558"/>
      <c r="AH99" s="2558"/>
      <c r="AI99" s="1807"/>
      <c r="AJ99" s="1807"/>
      <c r="AK99" s="1807"/>
      <c r="AL99" s="1807"/>
      <c r="AM99" s="1807"/>
      <c r="AN99" s="1807"/>
      <c r="AO99" s="1807"/>
      <c r="AP99" s="5346" t="s">
        <v>1097</v>
      </c>
      <c r="AQ99" s="3920" t="s">
        <v>1094</v>
      </c>
      <c r="AR99" s="3921" t="e">
        <f>AR97+AR79</f>
        <v>#REF!</v>
      </c>
      <c r="AS99" s="2558"/>
      <c r="AT99" s="2558"/>
      <c r="AU99" s="2558"/>
      <c r="AV99" s="1807"/>
      <c r="AW99" s="1807"/>
      <c r="AX99" s="1807"/>
      <c r="AY99" s="1807"/>
      <c r="AZ99" s="1807"/>
      <c r="BA99" s="1578"/>
      <c r="BB99" s="1578"/>
      <c r="BC99" s="5348" t="s">
        <v>1097</v>
      </c>
      <c r="BD99" s="3025" t="s">
        <v>1094</v>
      </c>
      <c r="BE99" s="3026" t="e">
        <f>BE97+BE79</f>
        <v>#REF!</v>
      </c>
    </row>
    <row r="100" spans="1:57" ht="22.5" customHeight="1">
      <c r="F100" s="9"/>
      <c r="H100" s="1807"/>
      <c r="P100" s="5347"/>
      <c r="Q100" s="3920" t="s">
        <v>1094</v>
      </c>
      <c r="R100" s="4832">
        <v>9203078.7877288088</v>
      </c>
      <c r="S100" s="1542"/>
      <c r="U100" s="1807"/>
      <c r="AC100" s="5347"/>
      <c r="AD100" s="3920" t="s">
        <v>1095</v>
      </c>
      <c r="AE100" s="3921">
        <v>10330310.507700244</v>
      </c>
      <c r="AF100" s="1542"/>
      <c r="AH100" s="1807"/>
      <c r="AP100" s="5347"/>
      <c r="AQ100" s="3920" t="s">
        <v>1095</v>
      </c>
      <c r="AR100" s="3921">
        <v>10330310.507700244</v>
      </c>
      <c r="AS100" s="1542"/>
      <c r="AU100" s="1807"/>
      <c r="BC100" s="5349"/>
      <c r="BD100" s="3025" t="s">
        <v>1095</v>
      </c>
      <c r="BE100" s="3026">
        <v>10330310.507700244</v>
      </c>
    </row>
    <row r="101" spans="1:57" ht="20.25" customHeight="1">
      <c r="F101" s="9"/>
      <c r="P101" s="3922" t="s">
        <v>1091</v>
      </c>
      <c r="Q101" s="3920" t="s">
        <v>1096</v>
      </c>
      <c r="R101" s="3923">
        <f>(R99-R100)/R99</f>
        <v>-0.12318449509797529</v>
      </c>
      <c r="AC101" s="3922" t="s">
        <v>1091</v>
      </c>
      <c r="AD101" s="3920" t="s">
        <v>1096</v>
      </c>
      <c r="AE101" s="3923" t="e">
        <f>(AE99-AE100)/AE99</f>
        <v>#REF!</v>
      </c>
      <c r="AP101" s="3922" t="s">
        <v>1091</v>
      </c>
      <c r="AQ101" s="3920" t="s">
        <v>1096</v>
      </c>
      <c r="AR101" s="3923" t="e">
        <f>(AR99-AR100)/AR99</f>
        <v>#REF!</v>
      </c>
      <c r="BC101" s="35" t="s">
        <v>1091</v>
      </c>
      <c r="BD101" s="3025" t="s">
        <v>1096</v>
      </c>
      <c r="BE101" s="3027" t="e">
        <f>(BE99-BE100)/BE99</f>
        <v>#REF!</v>
      </c>
    </row>
    <row r="102" spans="1:57">
      <c r="C102" s="1578"/>
      <c r="E102" s="1578"/>
      <c r="F102" s="9"/>
    </row>
    <row r="103" spans="1:57">
      <c r="C103" s="1578"/>
    </row>
    <row r="104" spans="1:57" ht="18" hidden="1" customHeight="1">
      <c r="A104" s="2420" t="s">
        <v>984</v>
      </c>
      <c r="B104" s="2421"/>
      <c r="C104" s="2422"/>
      <c r="D104" s="2421"/>
      <c r="E104" s="2421"/>
      <c r="F104" s="3887"/>
      <c r="G104" s="3887"/>
      <c r="H104" s="3887"/>
      <c r="I104" s="3887"/>
      <c r="J104" s="3887"/>
      <c r="K104" s="3887"/>
      <c r="L104" s="3887"/>
      <c r="M104" s="3887"/>
      <c r="N104" s="3887"/>
      <c r="O104" s="3887"/>
      <c r="P104" s="3887"/>
      <c r="Q104" s="3887"/>
      <c r="R104" s="3887"/>
      <c r="S104" s="3887"/>
      <c r="T104" s="3887"/>
      <c r="U104" s="3887"/>
      <c r="V104" s="3887"/>
      <c r="W104" s="3887"/>
      <c r="X104" s="3887"/>
      <c r="Y104" s="3887"/>
      <c r="Z104" s="3887"/>
      <c r="AA104" s="3887"/>
      <c r="AB104" s="3887"/>
      <c r="AC104" s="3887"/>
      <c r="AD104" s="3887"/>
      <c r="AE104" s="3887"/>
      <c r="AF104" s="3887"/>
      <c r="AG104" s="3887"/>
      <c r="AH104" s="3887"/>
      <c r="AI104" s="3887"/>
      <c r="AJ104" s="3887"/>
      <c r="AK104" s="3887"/>
      <c r="AL104" s="3887"/>
      <c r="AM104" s="3887"/>
      <c r="AN104" s="3887"/>
      <c r="AO104" s="3887"/>
      <c r="AP104" s="3887"/>
      <c r="AQ104" s="3887"/>
      <c r="AR104" s="3887"/>
      <c r="AS104" s="3887"/>
      <c r="AT104" s="3887"/>
      <c r="AU104" s="3887"/>
      <c r="AV104" s="3887"/>
      <c r="AW104" s="3887"/>
      <c r="AX104" s="3887"/>
      <c r="AY104" s="3887"/>
      <c r="AZ104" s="3887"/>
      <c r="BA104" s="2421"/>
      <c r="BB104" s="2421"/>
      <c r="BC104" s="2421"/>
      <c r="BD104" s="2421"/>
      <c r="BE104" s="2421"/>
    </row>
    <row r="105" spans="1:57" ht="18" hidden="1" customHeight="1">
      <c r="C105" s="1578"/>
    </row>
    <row r="106" spans="1:57" s="1631" customFormat="1" ht="18" hidden="1" customHeight="1" thickBot="1">
      <c r="A106" s="4002" t="s">
        <v>986</v>
      </c>
      <c r="B106" s="4003"/>
      <c r="C106" s="4003"/>
      <c r="D106" s="4003"/>
      <c r="E106" s="4003"/>
      <c r="F106" s="4004"/>
      <c r="G106" s="4004"/>
      <c r="H106" s="4004"/>
      <c r="I106" s="4005"/>
      <c r="J106" s="4004"/>
      <c r="K106" s="4005"/>
      <c r="L106" s="4005"/>
      <c r="M106" s="4005"/>
      <c r="N106" s="4005"/>
      <c r="O106" s="4005"/>
      <c r="P106" s="4005"/>
      <c r="Q106" s="4005"/>
      <c r="R106" s="4006" t="s">
        <v>366</v>
      </c>
      <c r="S106" s="4965"/>
      <c r="T106" s="4965"/>
      <c r="U106" s="4965"/>
      <c r="V106" s="4966"/>
      <c r="W106" s="4965"/>
      <c r="X106" s="4966"/>
      <c r="Y106" s="4966"/>
      <c r="Z106" s="4966"/>
      <c r="AA106" s="4966"/>
      <c r="AB106" s="4966"/>
      <c r="AC106" s="4966"/>
      <c r="AD106" s="4966"/>
      <c r="AE106" s="1954" t="s">
        <v>366</v>
      </c>
      <c r="AF106" s="4965"/>
      <c r="AG106" s="4965"/>
      <c r="AH106" s="4965"/>
      <c r="AI106" s="4966"/>
      <c r="AJ106" s="4965"/>
      <c r="AK106" s="4966"/>
      <c r="AL106" s="4966"/>
      <c r="AM106" s="4966"/>
      <c r="AN106" s="4966"/>
      <c r="AO106" s="4966"/>
      <c r="AP106" s="4966"/>
      <c r="AQ106" s="4966"/>
      <c r="AR106" s="1954" t="s">
        <v>366</v>
      </c>
      <c r="AS106" s="4965"/>
      <c r="AT106" s="4965"/>
      <c r="AU106" s="4965"/>
      <c r="AV106" s="4966"/>
      <c r="AW106" s="4965"/>
      <c r="AX106" s="4966"/>
      <c r="AY106" s="4966"/>
      <c r="AZ106" s="4966"/>
      <c r="BA106" s="1501"/>
      <c r="BB106" s="1501"/>
      <c r="BC106" s="1501"/>
      <c r="BD106" s="1501"/>
      <c r="BE106" s="1875" t="s">
        <v>366</v>
      </c>
    </row>
    <row r="107" spans="1:57" ht="18" hidden="1" customHeight="1" thickBot="1">
      <c r="A107" s="5352" t="s">
        <v>137</v>
      </c>
      <c r="B107" s="5353"/>
      <c r="C107" s="2425" t="s">
        <v>367</v>
      </c>
      <c r="D107" s="2426"/>
      <c r="E107" s="1549" t="s">
        <v>29</v>
      </c>
      <c r="F107" s="1876" t="str">
        <f t="shared" ref="F107:Q107" si="467">F4</f>
        <v>Jan.26</v>
      </c>
      <c r="G107" s="1877" t="str">
        <f t="shared" si="467"/>
        <v>Feb.26</v>
      </c>
      <c r="H107" s="33" t="str">
        <f t="shared" si="467"/>
        <v>Mar.26</v>
      </c>
      <c r="I107" s="1876" t="str">
        <f t="shared" si="467"/>
        <v>Apr.26</v>
      </c>
      <c r="J107" s="1877" t="str">
        <f t="shared" si="467"/>
        <v>May.26</v>
      </c>
      <c r="K107" s="1878" t="str">
        <f t="shared" si="467"/>
        <v>Jun.26</v>
      </c>
      <c r="L107" s="1876" t="str">
        <f t="shared" si="467"/>
        <v>Jul.26</v>
      </c>
      <c r="M107" s="1877" t="str">
        <f t="shared" si="467"/>
        <v>Aug.26</v>
      </c>
      <c r="N107" s="1878" t="str">
        <f t="shared" si="467"/>
        <v>Sep.26</v>
      </c>
      <c r="O107" s="1876" t="str">
        <f t="shared" si="467"/>
        <v>Oct.26</v>
      </c>
      <c r="P107" s="1877" t="str">
        <f t="shared" si="467"/>
        <v>Nov.26</v>
      </c>
      <c r="Q107" s="1878" t="str">
        <f t="shared" si="467"/>
        <v>Dec.26</v>
      </c>
      <c r="R107" s="2598" t="s">
        <v>15</v>
      </c>
      <c r="S107" s="1876" t="e">
        <f t="shared" ref="S107:AD107" si="468">S4</f>
        <v>#REF!</v>
      </c>
      <c r="T107" s="1877" t="e">
        <f t="shared" si="468"/>
        <v>#REF!</v>
      </c>
      <c r="U107" s="33" t="e">
        <f t="shared" si="468"/>
        <v>#REF!</v>
      </c>
      <c r="V107" s="1876" t="e">
        <f t="shared" si="468"/>
        <v>#REF!</v>
      </c>
      <c r="W107" s="1877" t="e">
        <f t="shared" si="468"/>
        <v>#REF!</v>
      </c>
      <c r="X107" s="1878" t="e">
        <f t="shared" si="468"/>
        <v>#REF!</v>
      </c>
      <c r="Y107" s="1876" t="e">
        <f t="shared" si="468"/>
        <v>#REF!</v>
      </c>
      <c r="Z107" s="1877" t="e">
        <f t="shared" si="468"/>
        <v>#REF!</v>
      </c>
      <c r="AA107" s="1878" t="e">
        <f t="shared" si="468"/>
        <v>#REF!</v>
      </c>
      <c r="AB107" s="1876" t="e">
        <f t="shared" si="468"/>
        <v>#REF!</v>
      </c>
      <c r="AC107" s="1877" t="e">
        <f t="shared" si="468"/>
        <v>#REF!</v>
      </c>
      <c r="AD107" s="1878" t="e">
        <f t="shared" si="468"/>
        <v>#REF!</v>
      </c>
      <c r="AE107" s="2598" t="s">
        <v>15</v>
      </c>
      <c r="AF107" s="1876" t="e">
        <f t="shared" ref="AF107:AQ107" si="469">AF4</f>
        <v>#REF!</v>
      </c>
      <c r="AG107" s="1877" t="e">
        <f t="shared" si="469"/>
        <v>#REF!</v>
      </c>
      <c r="AH107" s="33" t="e">
        <f t="shared" si="469"/>
        <v>#REF!</v>
      </c>
      <c r="AI107" s="1876" t="e">
        <f t="shared" si="469"/>
        <v>#REF!</v>
      </c>
      <c r="AJ107" s="1877" t="e">
        <f t="shared" si="469"/>
        <v>#REF!</v>
      </c>
      <c r="AK107" s="1878" t="e">
        <f t="shared" si="469"/>
        <v>#REF!</v>
      </c>
      <c r="AL107" s="1876" t="e">
        <f t="shared" si="469"/>
        <v>#REF!</v>
      </c>
      <c r="AM107" s="1877" t="e">
        <f t="shared" si="469"/>
        <v>#REF!</v>
      </c>
      <c r="AN107" s="1878" t="e">
        <f t="shared" si="469"/>
        <v>#REF!</v>
      </c>
      <c r="AO107" s="1876" t="e">
        <f t="shared" si="469"/>
        <v>#REF!</v>
      </c>
      <c r="AP107" s="1877" t="e">
        <f t="shared" si="469"/>
        <v>#REF!</v>
      </c>
      <c r="AQ107" s="1878" t="e">
        <f t="shared" si="469"/>
        <v>#REF!</v>
      </c>
      <c r="AR107" s="2598" t="s">
        <v>15</v>
      </c>
      <c r="AS107" s="1876" t="e">
        <f t="shared" ref="AS107:BD107" si="470">AS4</f>
        <v>#REF!</v>
      </c>
      <c r="AT107" s="1877" t="e">
        <f t="shared" si="470"/>
        <v>#REF!</v>
      </c>
      <c r="AU107" s="33" t="e">
        <f t="shared" si="470"/>
        <v>#REF!</v>
      </c>
      <c r="AV107" s="1876" t="e">
        <f t="shared" si="470"/>
        <v>#REF!</v>
      </c>
      <c r="AW107" s="1877" t="e">
        <f t="shared" si="470"/>
        <v>#REF!</v>
      </c>
      <c r="AX107" s="1878" t="e">
        <f t="shared" si="470"/>
        <v>#REF!</v>
      </c>
      <c r="AY107" s="1876" t="e">
        <f t="shared" si="470"/>
        <v>#REF!</v>
      </c>
      <c r="AZ107" s="1877" t="e">
        <f t="shared" si="470"/>
        <v>#REF!</v>
      </c>
      <c r="BA107" s="1549" t="e">
        <f t="shared" si="470"/>
        <v>#REF!</v>
      </c>
      <c r="BB107" s="1548" t="e">
        <f t="shared" si="470"/>
        <v>#REF!</v>
      </c>
      <c r="BC107" s="81" t="e">
        <f t="shared" si="470"/>
        <v>#REF!</v>
      </c>
      <c r="BD107" s="1549" t="e">
        <f t="shared" si="470"/>
        <v>#REF!</v>
      </c>
      <c r="BE107" s="1550" t="s">
        <v>15</v>
      </c>
    </row>
    <row r="108" spans="1:57" ht="18" hidden="1" customHeight="1">
      <c r="A108" s="5354" t="s">
        <v>368</v>
      </c>
      <c r="B108" s="28" t="s">
        <v>369</v>
      </c>
      <c r="C108" s="2390"/>
      <c r="D108" s="56"/>
      <c r="E108" s="2391"/>
      <c r="F108" s="3888">
        <v>26</v>
      </c>
      <c r="G108" s="3889">
        <v>13</v>
      </c>
      <c r="H108" s="3890">
        <v>26</v>
      </c>
      <c r="I108" s="3888">
        <v>25</v>
      </c>
      <c r="J108" s="3889">
        <v>25</v>
      </c>
      <c r="K108" s="3924">
        <v>25</v>
      </c>
      <c r="L108" s="3888">
        <v>27</v>
      </c>
      <c r="M108" s="3889">
        <v>26</v>
      </c>
      <c r="N108" s="3924">
        <v>25</v>
      </c>
      <c r="O108" s="3888">
        <v>27</v>
      </c>
      <c r="P108" s="3889">
        <v>25</v>
      </c>
      <c r="Q108" s="3924">
        <v>27</v>
      </c>
      <c r="R108" s="3925">
        <f>SUM(F108:Q108)</f>
        <v>297</v>
      </c>
      <c r="S108" s="3888">
        <v>20</v>
      </c>
      <c r="T108" s="3889">
        <v>23</v>
      </c>
      <c r="U108" s="3890">
        <v>26</v>
      </c>
      <c r="V108" s="3888">
        <v>24</v>
      </c>
      <c r="W108" s="3889">
        <v>25</v>
      </c>
      <c r="X108" s="3924">
        <v>25</v>
      </c>
      <c r="Y108" s="3888">
        <v>27</v>
      </c>
      <c r="Z108" s="3889">
        <v>26</v>
      </c>
      <c r="AA108" s="3924">
        <v>23</v>
      </c>
      <c r="AB108" s="3888">
        <v>26</v>
      </c>
      <c r="AC108" s="3889">
        <v>25</v>
      </c>
      <c r="AD108" s="3924">
        <v>26</v>
      </c>
      <c r="AE108" s="3925">
        <f>SUM(S108:AD108)</f>
        <v>296</v>
      </c>
      <c r="AF108" s="3888">
        <v>20</v>
      </c>
      <c r="AG108" s="3889">
        <v>23</v>
      </c>
      <c r="AH108" s="3890">
        <v>26</v>
      </c>
      <c r="AI108" s="3888">
        <v>24</v>
      </c>
      <c r="AJ108" s="3889">
        <v>25</v>
      </c>
      <c r="AK108" s="3924">
        <v>25</v>
      </c>
      <c r="AL108" s="3888">
        <v>27</v>
      </c>
      <c r="AM108" s="3889">
        <v>26</v>
      </c>
      <c r="AN108" s="3924">
        <v>23</v>
      </c>
      <c r="AO108" s="3888">
        <v>26</v>
      </c>
      <c r="AP108" s="3889">
        <v>25</v>
      </c>
      <c r="AQ108" s="3924">
        <v>26</v>
      </c>
      <c r="AR108" s="3925">
        <f>SUM(AF108:AQ108)</f>
        <v>296</v>
      </c>
      <c r="AS108" s="3888">
        <v>20</v>
      </c>
      <c r="AT108" s="3889">
        <v>23</v>
      </c>
      <c r="AU108" s="3890">
        <v>26</v>
      </c>
      <c r="AV108" s="3888">
        <v>24</v>
      </c>
      <c r="AW108" s="3889">
        <v>25</v>
      </c>
      <c r="AX108" s="3924">
        <v>25</v>
      </c>
      <c r="AY108" s="3888">
        <v>27</v>
      </c>
      <c r="AZ108" s="3889">
        <v>26</v>
      </c>
      <c r="BA108" s="2429">
        <v>23</v>
      </c>
      <c r="BB108" s="2427">
        <v>26</v>
      </c>
      <c r="BC108" s="2428">
        <v>25</v>
      </c>
      <c r="BD108" s="2429">
        <v>26</v>
      </c>
      <c r="BE108" s="2430">
        <f>SUM(AS108:BD108)</f>
        <v>296</v>
      </c>
    </row>
    <row r="109" spans="1:57" ht="18" hidden="1" customHeight="1" thickBot="1">
      <c r="A109" s="5355"/>
      <c r="B109" s="31" t="s">
        <v>370</v>
      </c>
      <c r="C109" s="1786"/>
      <c r="D109" s="67"/>
      <c r="E109" s="2414"/>
      <c r="F109" s="3891">
        <v>0</v>
      </c>
      <c r="G109" s="3892">
        <v>3</v>
      </c>
      <c r="H109" s="3893">
        <v>0</v>
      </c>
      <c r="I109" s="3891">
        <v>0</v>
      </c>
      <c r="J109" s="3892">
        <v>0</v>
      </c>
      <c r="K109" s="3926">
        <v>0</v>
      </c>
      <c r="L109" s="3891">
        <v>0</v>
      </c>
      <c r="M109" s="3892">
        <v>0</v>
      </c>
      <c r="N109" s="3926">
        <v>0</v>
      </c>
      <c r="O109" s="3891">
        <v>0</v>
      </c>
      <c r="P109" s="3892">
        <v>0</v>
      </c>
      <c r="Q109" s="3926">
        <v>0</v>
      </c>
      <c r="R109" s="3927">
        <f>SUM(F109:Q109)</f>
        <v>3</v>
      </c>
      <c r="S109" s="3891">
        <f>'4-1. 인원계획'!AD13</f>
        <v>0</v>
      </c>
      <c r="T109" s="3892">
        <f>'4-1. 인원계획'!AE13</f>
        <v>0</v>
      </c>
      <c r="U109" s="3893">
        <f>'4-1. 인원계획'!AF13</f>
        <v>0</v>
      </c>
      <c r="V109" s="3891">
        <f>'4-1. 인원계획'!AG13</f>
        <v>0</v>
      </c>
      <c r="W109" s="3892">
        <f>'4-1. 인원계획'!AH13</f>
        <v>0</v>
      </c>
      <c r="X109" s="3926">
        <f>'4-1. 인원계획'!AI13</f>
        <v>0</v>
      </c>
      <c r="Y109" s="3891">
        <f>'4-1. 인원계획'!AJ13</f>
        <v>0</v>
      </c>
      <c r="Z109" s="3892">
        <f>'4-1. 인원계획'!AK13</f>
        <v>0</v>
      </c>
      <c r="AA109" s="3926">
        <f>'4-1. 인원계획'!AL13</f>
        <v>0</v>
      </c>
      <c r="AB109" s="3891">
        <f>'4-1. 인원계획'!AM13</f>
        <v>0</v>
      </c>
      <c r="AC109" s="3892">
        <f>'4-1. 인원계획'!AN13</f>
        <v>0</v>
      </c>
      <c r="AD109" s="3926">
        <f>'4-1. 인원계획'!AO13</f>
        <v>0</v>
      </c>
      <c r="AE109" s="3927">
        <f>SUM(S109:AD109)</f>
        <v>0</v>
      </c>
      <c r="AF109" s="3891">
        <f>'4-1. 인원계획'!AQ13</f>
        <v>0</v>
      </c>
      <c r="AG109" s="3892">
        <f>'4-1. 인원계획'!AR13</f>
        <v>0</v>
      </c>
      <c r="AH109" s="3893">
        <f>'4-1. 인원계획'!AS13</f>
        <v>0</v>
      </c>
      <c r="AI109" s="3891">
        <f>'4-1. 인원계획'!AT13</f>
        <v>0</v>
      </c>
      <c r="AJ109" s="3892">
        <f>'4-1. 인원계획'!AU13</f>
        <v>0</v>
      </c>
      <c r="AK109" s="3926">
        <f>'4-1. 인원계획'!AV13</f>
        <v>0</v>
      </c>
      <c r="AL109" s="3891">
        <f>'4-1. 인원계획'!AW13</f>
        <v>0</v>
      </c>
      <c r="AM109" s="3892">
        <f>'4-1. 인원계획'!AX13</f>
        <v>0</v>
      </c>
      <c r="AN109" s="3926">
        <f>'4-1. 인원계획'!AY13</f>
        <v>0</v>
      </c>
      <c r="AO109" s="3891">
        <f>'4-1. 인원계획'!AZ13</f>
        <v>0</v>
      </c>
      <c r="AP109" s="3892">
        <f>'4-1. 인원계획'!BA13</f>
        <v>0</v>
      </c>
      <c r="AQ109" s="3926">
        <f>'4-1. 인원계획'!BB13</f>
        <v>0</v>
      </c>
      <c r="AR109" s="3927">
        <f>SUM(AF109:AQ109)</f>
        <v>0</v>
      </c>
      <c r="AS109" s="3891">
        <f>'4-1. 인원계획'!BD13</f>
        <v>0</v>
      </c>
      <c r="AT109" s="3892">
        <f>'4-1. 인원계획'!BE13</f>
        <v>0</v>
      </c>
      <c r="AU109" s="3893">
        <f>'4-1. 인원계획'!BF13</f>
        <v>0</v>
      </c>
      <c r="AV109" s="3891">
        <f>'4-1. 인원계획'!BG13</f>
        <v>0</v>
      </c>
      <c r="AW109" s="3892">
        <f>'4-1. 인원계획'!BH13</f>
        <v>0</v>
      </c>
      <c r="AX109" s="3926">
        <f>'4-1. 인원계획'!BI13</f>
        <v>0</v>
      </c>
      <c r="AY109" s="3891">
        <f>'4-1. 인원계획'!BJ13</f>
        <v>0</v>
      </c>
      <c r="AZ109" s="3892">
        <f>'4-1. 인원계획'!BK13</f>
        <v>0</v>
      </c>
      <c r="BA109" s="2433">
        <f>'4-1. 인원계획'!BL13</f>
        <v>0</v>
      </c>
      <c r="BB109" s="2431">
        <f>'4-1. 인원계획'!BM13</f>
        <v>0</v>
      </c>
      <c r="BC109" s="2432">
        <f>'4-1. 인원계획'!BN13</f>
        <v>0</v>
      </c>
      <c r="BD109" s="2433">
        <f>'4-1. 인원계획'!BO13</f>
        <v>0</v>
      </c>
      <c r="BE109" s="2434">
        <f>SUM(AS109:BD109)</f>
        <v>0</v>
      </c>
    </row>
    <row r="110" spans="1:57" ht="18" hidden="1" customHeight="1" thickBot="1">
      <c r="A110" s="5356"/>
      <c r="B110" s="1691" t="s">
        <v>122</v>
      </c>
      <c r="C110" s="2425"/>
      <c r="D110" s="2426"/>
      <c r="E110" s="22"/>
      <c r="F110" s="1850">
        <f>F108+F109</f>
        <v>26</v>
      </c>
      <c r="G110" s="1799">
        <f t="shared" ref="G110:Q110" si="471">G108+G109</f>
        <v>16</v>
      </c>
      <c r="H110" s="1851">
        <f t="shared" si="471"/>
        <v>26</v>
      </c>
      <c r="I110" s="1850">
        <f t="shared" si="471"/>
        <v>25</v>
      </c>
      <c r="J110" s="1799">
        <f t="shared" si="471"/>
        <v>25</v>
      </c>
      <c r="K110" s="1800">
        <f t="shared" si="471"/>
        <v>25</v>
      </c>
      <c r="L110" s="1850">
        <f t="shared" si="471"/>
        <v>27</v>
      </c>
      <c r="M110" s="1799">
        <f t="shared" si="471"/>
        <v>26</v>
      </c>
      <c r="N110" s="1800">
        <f t="shared" si="471"/>
        <v>25</v>
      </c>
      <c r="O110" s="1850">
        <f t="shared" si="471"/>
        <v>27</v>
      </c>
      <c r="P110" s="1799">
        <f t="shared" si="471"/>
        <v>25</v>
      </c>
      <c r="Q110" s="1800">
        <f t="shared" si="471"/>
        <v>27</v>
      </c>
      <c r="R110" s="2259">
        <f>SUM(F110:Q110)</f>
        <v>300</v>
      </c>
      <c r="S110" s="1850">
        <f>S108+S109</f>
        <v>20</v>
      </c>
      <c r="T110" s="1799">
        <f t="shared" ref="T110:AD110" si="472">T108+T109</f>
        <v>23</v>
      </c>
      <c r="U110" s="1851">
        <f t="shared" si="472"/>
        <v>26</v>
      </c>
      <c r="V110" s="1850">
        <f t="shared" si="472"/>
        <v>24</v>
      </c>
      <c r="W110" s="1799">
        <f t="shared" si="472"/>
        <v>25</v>
      </c>
      <c r="X110" s="1800">
        <f t="shared" si="472"/>
        <v>25</v>
      </c>
      <c r="Y110" s="1850">
        <f t="shared" si="472"/>
        <v>27</v>
      </c>
      <c r="Z110" s="1799">
        <f t="shared" si="472"/>
        <v>26</v>
      </c>
      <c r="AA110" s="1800">
        <f t="shared" si="472"/>
        <v>23</v>
      </c>
      <c r="AB110" s="1850">
        <f t="shared" si="472"/>
        <v>26</v>
      </c>
      <c r="AC110" s="1799">
        <f t="shared" si="472"/>
        <v>25</v>
      </c>
      <c r="AD110" s="1800">
        <f t="shared" si="472"/>
        <v>26</v>
      </c>
      <c r="AE110" s="2259">
        <f>SUM(S110:AD110)</f>
        <v>296</v>
      </c>
      <c r="AF110" s="1850">
        <f>AF108+AF109</f>
        <v>20</v>
      </c>
      <c r="AG110" s="1799">
        <f t="shared" ref="AG110:AQ110" si="473">AG108+AG109</f>
        <v>23</v>
      </c>
      <c r="AH110" s="1851">
        <f t="shared" si="473"/>
        <v>26</v>
      </c>
      <c r="AI110" s="1850">
        <f t="shared" si="473"/>
        <v>24</v>
      </c>
      <c r="AJ110" s="1799">
        <f t="shared" si="473"/>
        <v>25</v>
      </c>
      <c r="AK110" s="1800">
        <f t="shared" si="473"/>
        <v>25</v>
      </c>
      <c r="AL110" s="1850">
        <f t="shared" si="473"/>
        <v>27</v>
      </c>
      <c r="AM110" s="1799">
        <f t="shared" si="473"/>
        <v>26</v>
      </c>
      <c r="AN110" s="1800">
        <f t="shared" si="473"/>
        <v>23</v>
      </c>
      <c r="AO110" s="1850">
        <f t="shared" si="473"/>
        <v>26</v>
      </c>
      <c r="AP110" s="1799">
        <f t="shared" si="473"/>
        <v>25</v>
      </c>
      <c r="AQ110" s="1800">
        <f t="shared" si="473"/>
        <v>26</v>
      </c>
      <c r="AR110" s="2259">
        <f>SUM(AF110:AQ110)</f>
        <v>296</v>
      </c>
      <c r="AS110" s="1850">
        <f>AS108+AS109</f>
        <v>20</v>
      </c>
      <c r="AT110" s="1799">
        <f t="shared" ref="AT110:BD110" si="474">AT108+AT109</f>
        <v>23</v>
      </c>
      <c r="AU110" s="1851">
        <f t="shared" si="474"/>
        <v>26</v>
      </c>
      <c r="AV110" s="1850">
        <f t="shared" si="474"/>
        <v>24</v>
      </c>
      <c r="AW110" s="1799">
        <f t="shared" si="474"/>
        <v>25</v>
      </c>
      <c r="AX110" s="1800">
        <f t="shared" si="474"/>
        <v>25</v>
      </c>
      <c r="AY110" s="1850">
        <f t="shared" si="474"/>
        <v>27</v>
      </c>
      <c r="AZ110" s="1799">
        <f t="shared" si="474"/>
        <v>26</v>
      </c>
      <c r="BA110" s="1619">
        <f t="shared" si="474"/>
        <v>23</v>
      </c>
      <c r="BB110" s="1617">
        <f t="shared" si="474"/>
        <v>26</v>
      </c>
      <c r="BC110" s="1618">
        <f t="shared" si="474"/>
        <v>25</v>
      </c>
      <c r="BD110" s="1619">
        <f t="shared" si="474"/>
        <v>26</v>
      </c>
      <c r="BE110" s="1692">
        <f>SUM(AS110:BD110)</f>
        <v>296</v>
      </c>
    </row>
    <row r="111" spans="1:57" ht="18" hidden="1" customHeight="1">
      <c r="C111" s="1578"/>
    </row>
    <row r="112" spans="1:57" ht="14.25" hidden="1" thickBot="1"/>
    <row r="113" spans="1:57" ht="18" hidden="1" customHeight="1" thickBot="1">
      <c r="A113" s="5352" t="s">
        <v>137</v>
      </c>
      <c r="B113" s="5353"/>
      <c r="C113" s="2425" t="s">
        <v>367</v>
      </c>
      <c r="D113" s="81" t="s">
        <v>1572</v>
      </c>
      <c r="E113" s="1549" t="s">
        <v>1573</v>
      </c>
      <c r="F113" s="1876" t="s">
        <v>1350</v>
      </c>
      <c r="G113" s="1877" t="s">
        <v>1351</v>
      </c>
      <c r="H113" s="33" t="s">
        <v>1352</v>
      </c>
      <c r="I113" s="1876" t="s">
        <v>1353</v>
      </c>
      <c r="J113" s="1877" t="s">
        <v>1354</v>
      </c>
      <c r="K113" s="1878" t="s">
        <v>1355</v>
      </c>
      <c r="L113" s="1876" t="s">
        <v>1356</v>
      </c>
      <c r="M113" s="1877" t="s">
        <v>1357</v>
      </c>
      <c r="N113" s="1878" t="s">
        <v>1358</v>
      </c>
      <c r="O113" s="1876" t="s">
        <v>1359</v>
      </c>
      <c r="P113" s="1877" t="s">
        <v>1360</v>
      </c>
      <c r="Q113" s="1878" t="s">
        <v>1361</v>
      </c>
      <c r="R113" s="2598" t="s">
        <v>15</v>
      </c>
      <c r="S113" s="1876" t="s">
        <v>430</v>
      </c>
      <c r="T113" s="1877" t="s">
        <v>557</v>
      </c>
      <c r="U113" s="33" t="s">
        <v>558</v>
      </c>
      <c r="V113" s="1876" t="s">
        <v>431</v>
      </c>
      <c r="W113" s="1877" t="s">
        <v>559</v>
      </c>
      <c r="X113" s="1878" t="s">
        <v>560</v>
      </c>
      <c r="Y113" s="1876" t="s">
        <v>561</v>
      </c>
      <c r="Z113" s="1877" t="s">
        <v>562</v>
      </c>
      <c r="AA113" s="1878" t="s">
        <v>563</v>
      </c>
      <c r="AB113" s="1876" t="s">
        <v>564</v>
      </c>
      <c r="AC113" s="1877" t="s">
        <v>565</v>
      </c>
      <c r="AD113" s="1878" t="s">
        <v>566</v>
      </c>
      <c r="AE113" s="2598" t="s">
        <v>15</v>
      </c>
      <c r="AF113" s="1876" t="s">
        <v>430</v>
      </c>
      <c r="AG113" s="1877" t="s">
        <v>557</v>
      </c>
      <c r="AH113" s="33" t="s">
        <v>558</v>
      </c>
      <c r="AI113" s="1876" t="s">
        <v>431</v>
      </c>
      <c r="AJ113" s="1877" t="s">
        <v>559</v>
      </c>
      <c r="AK113" s="1878" t="s">
        <v>560</v>
      </c>
      <c r="AL113" s="1876" t="s">
        <v>561</v>
      </c>
      <c r="AM113" s="1877" t="s">
        <v>562</v>
      </c>
      <c r="AN113" s="1878" t="s">
        <v>563</v>
      </c>
      <c r="AO113" s="1876" t="s">
        <v>564</v>
      </c>
      <c r="AP113" s="1877" t="s">
        <v>565</v>
      </c>
      <c r="AQ113" s="1878" t="s">
        <v>566</v>
      </c>
      <c r="AR113" s="2598" t="s">
        <v>15</v>
      </c>
      <c r="AS113" s="1876" t="s">
        <v>430</v>
      </c>
      <c r="AT113" s="1877" t="s">
        <v>557</v>
      </c>
      <c r="AU113" s="33" t="s">
        <v>558</v>
      </c>
      <c r="AV113" s="1876" t="s">
        <v>431</v>
      </c>
      <c r="AW113" s="1877" t="s">
        <v>559</v>
      </c>
      <c r="AX113" s="1878" t="s">
        <v>560</v>
      </c>
      <c r="AY113" s="1876" t="s">
        <v>561</v>
      </c>
      <c r="AZ113" s="1877" t="s">
        <v>562</v>
      </c>
      <c r="BA113" s="1549" t="s">
        <v>563</v>
      </c>
      <c r="BB113" s="1548" t="s">
        <v>564</v>
      </c>
      <c r="BC113" s="81" t="s">
        <v>565</v>
      </c>
      <c r="BD113" s="1549" t="s">
        <v>566</v>
      </c>
      <c r="BE113" s="1550" t="s">
        <v>15</v>
      </c>
    </row>
    <row r="114" spans="1:57" ht="18" hidden="1" customHeight="1">
      <c r="A114" s="5354" t="s">
        <v>368</v>
      </c>
      <c r="B114" s="62" t="s">
        <v>1037</v>
      </c>
      <c r="C114" s="2390"/>
      <c r="D114" s="2390">
        <f>C75</f>
        <v>266</v>
      </c>
      <c r="E114" s="2391">
        <f>D114*(1+G68)</f>
        <v>292.60000000000002</v>
      </c>
      <c r="F114" s="4957">
        <f>D114</f>
        <v>266</v>
      </c>
      <c r="G114" s="4958">
        <f>D114</f>
        <v>266</v>
      </c>
      <c r="H114" s="3890">
        <f t="shared" ref="H114:Q114" si="475">$E114</f>
        <v>292.60000000000002</v>
      </c>
      <c r="I114" s="3888">
        <f t="shared" si="475"/>
        <v>292.60000000000002</v>
      </c>
      <c r="J114" s="3889">
        <f t="shared" si="475"/>
        <v>292.60000000000002</v>
      </c>
      <c r="K114" s="3924">
        <f t="shared" si="475"/>
        <v>292.60000000000002</v>
      </c>
      <c r="L114" s="3888">
        <f t="shared" si="475"/>
        <v>292.60000000000002</v>
      </c>
      <c r="M114" s="3889">
        <f t="shared" si="475"/>
        <v>292.60000000000002</v>
      </c>
      <c r="N114" s="3924">
        <f t="shared" si="475"/>
        <v>292.60000000000002</v>
      </c>
      <c r="O114" s="3888">
        <f t="shared" si="475"/>
        <v>292.60000000000002</v>
      </c>
      <c r="P114" s="3889">
        <f t="shared" si="475"/>
        <v>292.60000000000002</v>
      </c>
      <c r="Q114" s="3924">
        <f t="shared" si="475"/>
        <v>292.60000000000002</v>
      </c>
      <c r="R114" s="3925">
        <f>SUM(F114:Q114)</f>
        <v>3457.9999999999995</v>
      </c>
      <c r="S114" s="3888">
        <f t="shared" ref="S114:X114" si="476">$E114</f>
        <v>292.60000000000002</v>
      </c>
      <c r="T114" s="3889">
        <f t="shared" si="476"/>
        <v>292.60000000000002</v>
      </c>
      <c r="U114" s="3890">
        <f t="shared" si="476"/>
        <v>292.60000000000002</v>
      </c>
      <c r="V114" s="3888">
        <f t="shared" si="476"/>
        <v>292.60000000000002</v>
      </c>
      <c r="W114" s="3889">
        <f t="shared" si="476"/>
        <v>292.60000000000002</v>
      </c>
      <c r="X114" s="3924">
        <f t="shared" si="476"/>
        <v>292.60000000000002</v>
      </c>
      <c r="Y114" s="3888">
        <f t="shared" ref="Y114:AD114" si="477">$E114*1.02</f>
        <v>298.45200000000006</v>
      </c>
      <c r="Z114" s="3889">
        <f t="shared" si="477"/>
        <v>298.45200000000006</v>
      </c>
      <c r="AA114" s="3924">
        <f t="shared" si="477"/>
        <v>298.45200000000006</v>
      </c>
      <c r="AB114" s="3888">
        <f t="shared" si="477"/>
        <v>298.45200000000006</v>
      </c>
      <c r="AC114" s="3889">
        <f t="shared" si="477"/>
        <v>298.45200000000006</v>
      </c>
      <c r="AD114" s="3924">
        <f t="shared" si="477"/>
        <v>298.45200000000006</v>
      </c>
      <c r="AE114" s="3925">
        <f>SUM(S114:AD114)</f>
        <v>3546.3120000000013</v>
      </c>
      <c r="AF114" s="3888">
        <f t="shared" ref="AF114:AK114" si="478">$E114</f>
        <v>292.60000000000002</v>
      </c>
      <c r="AG114" s="3889">
        <f t="shared" si="478"/>
        <v>292.60000000000002</v>
      </c>
      <c r="AH114" s="3890">
        <f t="shared" si="478"/>
        <v>292.60000000000002</v>
      </c>
      <c r="AI114" s="3888">
        <f t="shared" si="478"/>
        <v>292.60000000000002</v>
      </c>
      <c r="AJ114" s="3889">
        <f t="shared" si="478"/>
        <v>292.60000000000002</v>
      </c>
      <c r="AK114" s="3924">
        <f t="shared" si="478"/>
        <v>292.60000000000002</v>
      </c>
      <c r="AL114" s="3888">
        <f t="shared" ref="AL114:AQ114" si="479">$E114*1.02</f>
        <v>298.45200000000006</v>
      </c>
      <c r="AM114" s="3889">
        <f t="shared" si="479"/>
        <v>298.45200000000006</v>
      </c>
      <c r="AN114" s="3924">
        <f t="shared" si="479"/>
        <v>298.45200000000006</v>
      </c>
      <c r="AO114" s="3888">
        <f t="shared" si="479"/>
        <v>298.45200000000006</v>
      </c>
      <c r="AP114" s="3889">
        <f t="shared" si="479"/>
        <v>298.45200000000006</v>
      </c>
      <c r="AQ114" s="3924">
        <f t="shared" si="479"/>
        <v>298.45200000000006</v>
      </c>
      <c r="AR114" s="3925">
        <f>SUM(AF114:AQ114)</f>
        <v>3546.3120000000013</v>
      </c>
      <c r="AS114" s="3888">
        <f t="shared" ref="AS114:AX114" si="480">$E114</f>
        <v>292.60000000000002</v>
      </c>
      <c r="AT114" s="3889">
        <f t="shared" si="480"/>
        <v>292.60000000000002</v>
      </c>
      <c r="AU114" s="3890">
        <f t="shared" si="480"/>
        <v>292.60000000000002</v>
      </c>
      <c r="AV114" s="3888">
        <f t="shared" si="480"/>
        <v>292.60000000000002</v>
      </c>
      <c r="AW114" s="3889">
        <f t="shared" si="480"/>
        <v>292.60000000000002</v>
      </c>
      <c r="AX114" s="3924">
        <f t="shared" si="480"/>
        <v>292.60000000000002</v>
      </c>
      <c r="AY114" s="3888">
        <f t="shared" ref="AY114:BD114" si="481">$E114*1.02</f>
        <v>298.45200000000006</v>
      </c>
      <c r="AZ114" s="3889">
        <f t="shared" si="481"/>
        <v>298.45200000000006</v>
      </c>
      <c r="BA114" s="2429">
        <f t="shared" si="481"/>
        <v>298.45200000000006</v>
      </c>
      <c r="BB114" s="2427">
        <f t="shared" si="481"/>
        <v>298.45200000000006</v>
      </c>
      <c r="BC114" s="2428">
        <f t="shared" si="481"/>
        <v>298.45200000000006</v>
      </c>
      <c r="BD114" s="2429">
        <f t="shared" si="481"/>
        <v>298.45200000000006</v>
      </c>
      <c r="BE114" s="2430">
        <f>SUM(AS114:BD114)</f>
        <v>3546.3120000000013</v>
      </c>
    </row>
    <row r="115" spans="1:57" ht="18" hidden="1" customHeight="1">
      <c r="A115" s="5355"/>
      <c r="B115" s="61" t="s">
        <v>847</v>
      </c>
      <c r="C115" s="1786"/>
      <c r="D115" s="1786">
        <v>180</v>
      </c>
      <c r="E115" s="2395">
        <f>D115*(1+G68)</f>
        <v>198.00000000000003</v>
      </c>
      <c r="F115" s="4959">
        <f>$E115/26*F108</f>
        <v>198.00000000000003</v>
      </c>
      <c r="G115" s="4960">
        <f t="shared" ref="G115:Q115" si="482">$E115/26*G108</f>
        <v>99.000000000000014</v>
      </c>
      <c r="H115" s="3893">
        <f t="shared" si="482"/>
        <v>198.00000000000003</v>
      </c>
      <c r="I115" s="3891">
        <f t="shared" si="482"/>
        <v>190.38461538461542</v>
      </c>
      <c r="J115" s="3892">
        <f t="shared" si="482"/>
        <v>190.38461538461542</v>
      </c>
      <c r="K115" s="3926">
        <f t="shared" si="482"/>
        <v>190.38461538461542</v>
      </c>
      <c r="L115" s="3891">
        <f t="shared" si="482"/>
        <v>205.61538461538464</v>
      </c>
      <c r="M115" s="3892">
        <f t="shared" si="482"/>
        <v>198.00000000000003</v>
      </c>
      <c r="N115" s="3926">
        <f t="shared" si="482"/>
        <v>190.38461538461542</v>
      </c>
      <c r="O115" s="3891">
        <f t="shared" si="482"/>
        <v>205.61538461538464</v>
      </c>
      <c r="P115" s="3892">
        <f t="shared" si="482"/>
        <v>190.38461538461542</v>
      </c>
      <c r="Q115" s="3926">
        <f t="shared" si="482"/>
        <v>205.61538461538464</v>
      </c>
      <c r="R115" s="3927">
        <f>SUM(F115:Q115)</f>
        <v>2261.7692307692309</v>
      </c>
      <c r="S115" s="3891">
        <f>$E115/26*S108</f>
        <v>152.30769230769232</v>
      </c>
      <c r="T115" s="3892">
        <f t="shared" ref="T115:AD115" si="483">$E115/26*T108</f>
        <v>175.15384615384619</v>
      </c>
      <c r="U115" s="3893">
        <f t="shared" si="483"/>
        <v>198.00000000000003</v>
      </c>
      <c r="V115" s="3891">
        <f t="shared" si="483"/>
        <v>182.7692307692308</v>
      </c>
      <c r="W115" s="3892">
        <f t="shared" si="483"/>
        <v>190.38461538461542</v>
      </c>
      <c r="X115" s="3926">
        <f t="shared" si="483"/>
        <v>190.38461538461542</v>
      </c>
      <c r="Y115" s="3891">
        <f t="shared" si="483"/>
        <v>205.61538461538464</v>
      </c>
      <c r="Z115" s="3892">
        <f t="shared" si="483"/>
        <v>198.00000000000003</v>
      </c>
      <c r="AA115" s="3926">
        <f t="shared" si="483"/>
        <v>175.15384615384619</v>
      </c>
      <c r="AB115" s="3891">
        <f t="shared" si="483"/>
        <v>198.00000000000003</v>
      </c>
      <c r="AC115" s="3892">
        <f t="shared" si="483"/>
        <v>190.38461538461542</v>
      </c>
      <c r="AD115" s="3926">
        <f t="shared" si="483"/>
        <v>198.00000000000003</v>
      </c>
      <c r="AE115" s="3927">
        <f>SUM(S115:AD115)</f>
        <v>2254.1538461538462</v>
      </c>
      <c r="AF115" s="3891">
        <f>$E115/26*AF108</f>
        <v>152.30769230769232</v>
      </c>
      <c r="AG115" s="3892">
        <f t="shared" ref="AG115:AQ115" si="484">$E115/26*AG108</f>
        <v>175.15384615384619</v>
      </c>
      <c r="AH115" s="3893">
        <f t="shared" si="484"/>
        <v>198.00000000000003</v>
      </c>
      <c r="AI115" s="3891">
        <f t="shared" si="484"/>
        <v>182.7692307692308</v>
      </c>
      <c r="AJ115" s="3892">
        <f t="shared" si="484"/>
        <v>190.38461538461542</v>
      </c>
      <c r="AK115" s="3926">
        <f t="shared" si="484"/>
        <v>190.38461538461542</v>
      </c>
      <c r="AL115" s="3891">
        <f t="shared" si="484"/>
        <v>205.61538461538464</v>
      </c>
      <c r="AM115" s="3892">
        <f t="shared" si="484"/>
        <v>198.00000000000003</v>
      </c>
      <c r="AN115" s="3926">
        <f t="shared" si="484"/>
        <v>175.15384615384619</v>
      </c>
      <c r="AO115" s="3891">
        <f t="shared" si="484"/>
        <v>198.00000000000003</v>
      </c>
      <c r="AP115" s="3892">
        <f t="shared" si="484"/>
        <v>190.38461538461542</v>
      </c>
      <c r="AQ115" s="3926">
        <f t="shared" si="484"/>
        <v>198.00000000000003</v>
      </c>
      <c r="AR115" s="3927">
        <f>SUM(AF115:AQ115)</f>
        <v>2254.1538461538462</v>
      </c>
      <c r="AS115" s="3891">
        <f>$E115/26*AS108</f>
        <v>152.30769230769232</v>
      </c>
      <c r="AT115" s="3892">
        <f t="shared" ref="AT115:BD115" si="485">$E115/26*AT108</f>
        <v>175.15384615384619</v>
      </c>
      <c r="AU115" s="3893">
        <f t="shared" si="485"/>
        <v>198.00000000000003</v>
      </c>
      <c r="AV115" s="3891">
        <f t="shared" si="485"/>
        <v>182.7692307692308</v>
      </c>
      <c r="AW115" s="3892">
        <f t="shared" si="485"/>
        <v>190.38461538461542</v>
      </c>
      <c r="AX115" s="3926">
        <f t="shared" si="485"/>
        <v>190.38461538461542</v>
      </c>
      <c r="AY115" s="3891">
        <f t="shared" si="485"/>
        <v>205.61538461538464</v>
      </c>
      <c r="AZ115" s="3892">
        <f t="shared" si="485"/>
        <v>198.00000000000003</v>
      </c>
      <c r="BA115" s="2433">
        <f t="shared" si="485"/>
        <v>175.15384615384619</v>
      </c>
      <c r="BB115" s="2431">
        <f t="shared" si="485"/>
        <v>198.00000000000003</v>
      </c>
      <c r="BC115" s="2432">
        <f t="shared" si="485"/>
        <v>190.38461538461542</v>
      </c>
      <c r="BD115" s="2433">
        <f t="shared" si="485"/>
        <v>198.00000000000003</v>
      </c>
      <c r="BE115" s="2434">
        <f>SUM(AS115:BD115)</f>
        <v>2254.1538461538462</v>
      </c>
    </row>
    <row r="116" spans="1:57" ht="18" hidden="1" customHeight="1">
      <c r="A116" s="5355"/>
      <c r="B116" s="61" t="s">
        <v>370</v>
      </c>
      <c r="C116" s="1786"/>
      <c r="D116" s="67"/>
      <c r="E116" s="2414"/>
      <c r="F116" s="4959">
        <f>F114/26*2*F109</f>
        <v>0</v>
      </c>
      <c r="G116" s="4960">
        <f t="shared" ref="G116:K116" si="486">G114/26*2*G109</f>
        <v>61.38461538461538</v>
      </c>
      <c r="H116" s="3893">
        <f t="shared" si="486"/>
        <v>0</v>
      </c>
      <c r="I116" s="3891">
        <f t="shared" si="486"/>
        <v>0</v>
      </c>
      <c r="J116" s="3892">
        <f t="shared" si="486"/>
        <v>0</v>
      </c>
      <c r="K116" s="3926">
        <f t="shared" si="486"/>
        <v>0</v>
      </c>
      <c r="L116" s="3891">
        <f>L114/26*2*L109</f>
        <v>0</v>
      </c>
      <c r="M116" s="3892">
        <f t="shared" ref="M116:Q116" si="487">M114/26*2*M109</f>
        <v>0</v>
      </c>
      <c r="N116" s="3926">
        <f t="shared" si="487"/>
        <v>0</v>
      </c>
      <c r="O116" s="3891">
        <f t="shared" si="487"/>
        <v>0</v>
      </c>
      <c r="P116" s="3892">
        <f t="shared" si="487"/>
        <v>0</v>
      </c>
      <c r="Q116" s="3926">
        <f t="shared" si="487"/>
        <v>0</v>
      </c>
      <c r="R116" s="3927">
        <f>SUM(F116:Q116)</f>
        <v>61.38461538461538</v>
      </c>
      <c r="S116" s="3891">
        <f>S114/26*2*S109</f>
        <v>0</v>
      </c>
      <c r="T116" s="3892">
        <f t="shared" ref="T116:X116" si="488">T114/26*2*T109</f>
        <v>0</v>
      </c>
      <c r="U116" s="3893">
        <f t="shared" si="488"/>
        <v>0</v>
      </c>
      <c r="V116" s="3891">
        <f t="shared" si="488"/>
        <v>0</v>
      </c>
      <c r="W116" s="3892">
        <f t="shared" si="488"/>
        <v>0</v>
      </c>
      <c r="X116" s="3926">
        <f t="shared" si="488"/>
        <v>0</v>
      </c>
      <c r="Y116" s="3891">
        <f>Y114/26*2*Y109</f>
        <v>0</v>
      </c>
      <c r="Z116" s="3892">
        <f t="shared" ref="Z116:AD116" si="489">Z114/26*2*Z109</f>
        <v>0</v>
      </c>
      <c r="AA116" s="3926">
        <f t="shared" si="489"/>
        <v>0</v>
      </c>
      <c r="AB116" s="3891">
        <f t="shared" si="489"/>
        <v>0</v>
      </c>
      <c r="AC116" s="3892">
        <f t="shared" si="489"/>
        <v>0</v>
      </c>
      <c r="AD116" s="3926">
        <f t="shared" si="489"/>
        <v>0</v>
      </c>
      <c r="AE116" s="3927">
        <f>SUM(S116:AD116)</f>
        <v>0</v>
      </c>
      <c r="AF116" s="3891">
        <f>AF114/26*2*AF109</f>
        <v>0</v>
      </c>
      <c r="AG116" s="3892">
        <f t="shared" ref="AG116:AK116" si="490">AG114/26*2*AG109</f>
        <v>0</v>
      </c>
      <c r="AH116" s="3893">
        <f t="shared" si="490"/>
        <v>0</v>
      </c>
      <c r="AI116" s="3891">
        <f t="shared" si="490"/>
        <v>0</v>
      </c>
      <c r="AJ116" s="3892">
        <f t="shared" si="490"/>
        <v>0</v>
      </c>
      <c r="AK116" s="3926">
        <f t="shared" si="490"/>
        <v>0</v>
      </c>
      <c r="AL116" s="3891">
        <f>AL114/26*2*AL109</f>
        <v>0</v>
      </c>
      <c r="AM116" s="3892">
        <f t="shared" ref="AM116:AQ116" si="491">AM114/26*2*AM109</f>
        <v>0</v>
      </c>
      <c r="AN116" s="3926">
        <f t="shared" si="491"/>
        <v>0</v>
      </c>
      <c r="AO116" s="3891">
        <f t="shared" si="491"/>
        <v>0</v>
      </c>
      <c r="AP116" s="3892">
        <f t="shared" si="491"/>
        <v>0</v>
      </c>
      <c r="AQ116" s="3926">
        <f t="shared" si="491"/>
        <v>0</v>
      </c>
      <c r="AR116" s="3927">
        <f>SUM(AF116:AQ116)</f>
        <v>0</v>
      </c>
      <c r="AS116" s="3891">
        <f>AS114/26*2*AS109</f>
        <v>0</v>
      </c>
      <c r="AT116" s="3892">
        <f t="shared" ref="AT116:AX116" si="492">AT114/26*2*AT109</f>
        <v>0</v>
      </c>
      <c r="AU116" s="3893">
        <f t="shared" si="492"/>
        <v>0</v>
      </c>
      <c r="AV116" s="3891">
        <f t="shared" si="492"/>
        <v>0</v>
      </c>
      <c r="AW116" s="3892">
        <f t="shared" si="492"/>
        <v>0</v>
      </c>
      <c r="AX116" s="3926">
        <f t="shared" si="492"/>
        <v>0</v>
      </c>
      <c r="AY116" s="3891">
        <f>AY114/26*2*AY109</f>
        <v>0</v>
      </c>
      <c r="AZ116" s="3892">
        <f t="shared" ref="AZ116:BD116" si="493">AZ114/26*2*AZ109</f>
        <v>0</v>
      </c>
      <c r="BA116" s="2433">
        <f t="shared" si="493"/>
        <v>0</v>
      </c>
      <c r="BB116" s="2431">
        <f t="shared" si="493"/>
        <v>0</v>
      </c>
      <c r="BC116" s="2432">
        <f t="shared" si="493"/>
        <v>0</v>
      </c>
      <c r="BD116" s="2433">
        <f t="shared" si="493"/>
        <v>0</v>
      </c>
      <c r="BE116" s="2434">
        <f>SUM(AS116:BD116)</f>
        <v>0</v>
      </c>
    </row>
    <row r="117" spans="1:57" ht="18" hidden="1" customHeight="1" thickBot="1">
      <c r="A117" s="5355"/>
      <c r="B117" s="3459" t="s">
        <v>1224</v>
      </c>
      <c r="C117" s="1786"/>
      <c r="D117" s="67"/>
      <c r="E117" s="2414"/>
      <c r="F117" s="4959">
        <v>52</v>
      </c>
      <c r="G117" s="4960">
        <v>52</v>
      </c>
      <c r="H117" s="3893">
        <v>52</v>
      </c>
      <c r="I117" s="3891">
        <v>52</v>
      </c>
      <c r="J117" s="3892">
        <v>52</v>
      </c>
      <c r="K117" s="3926">
        <v>52</v>
      </c>
      <c r="L117" s="3891">
        <v>52</v>
      </c>
      <c r="M117" s="3892">
        <v>52</v>
      </c>
      <c r="N117" s="3926">
        <v>52</v>
      </c>
      <c r="O117" s="3891">
        <v>52</v>
      </c>
      <c r="P117" s="3892">
        <v>52</v>
      </c>
      <c r="Q117" s="3926">
        <v>52</v>
      </c>
      <c r="R117" s="3927">
        <f>SUM(F117:Q117)</f>
        <v>624</v>
      </c>
      <c r="S117" s="3891">
        <v>52</v>
      </c>
      <c r="T117" s="3892">
        <v>52</v>
      </c>
      <c r="U117" s="3893">
        <v>52</v>
      </c>
      <c r="V117" s="3891">
        <v>52</v>
      </c>
      <c r="W117" s="3892">
        <v>52</v>
      </c>
      <c r="X117" s="3926">
        <v>52</v>
      </c>
      <c r="Y117" s="3891">
        <v>52</v>
      </c>
      <c r="Z117" s="3892">
        <v>52</v>
      </c>
      <c r="AA117" s="3926">
        <v>52</v>
      </c>
      <c r="AB117" s="3891">
        <v>52</v>
      </c>
      <c r="AC117" s="3892">
        <v>52</v>
      </c>
      <c r="AD117" s="3926">
        <v>52</v>
      </c>
      <c r="AE117" s="3927">
        <f>SUM(S117:AD117)</f>
        <v>624</v>
      </c>
      <c r="AF117" s="3891">
        <v>52</v>
      </c>
      <c r="AG117" s="3892">
        <v>52</v>
      </c>
      <c r="AH117" s="3893">
        <v>52</v>
      </c>
      <c r="AI117" s="3891">
        <v>52</v>
      </c>
      <c r="AJ117" s="3892">
        <v>52</v>
      </c>
      <c r="AK117" s="3926">
        <v>52</v>
      </c>
      <c r="AL117" s="3891">
        <v>52</v>
      </c>
      <c r="AM117" s="3892">
        <v>52</v>
      </c>
      <c r="AN117" s="3926">
        <v>52</v>
      </c>
      <c r="AO117" s="3891">
        <v>52</v>
      </c>
      <c r="AP117" s="3892">
        <v>52</v>
      </c>
      <c r="AQ117" s="3926">
        <v>52</v>
      </c>
      <c r="AR117" s="3927">
        <f>SUM(AF117:AQ117)</f>
        <v>624</v>
      </c>
      <c r="AS117" s="3891">
        <v>52</v>
      </c>
      <c r="AT117" s="3892">
        <v>52</v>
      </c>
      <c r="AU117" s="3893">
        <v>52</v>
      </c>
      <c r="AV117" s="3891">
        <v>52</v>
      </c>
      <c r="AW117" s="3892">
        <v>52</v>
      </c>
      <c r="AX117" s="3926">
        <v>52</v>
      </c>
      <c r="AY117" s="3891">
        <v>52</v>
      </c>
      <c r="AZ117" s="3892">
        <v>52</v>
      </c>
      <c r="BA117" s="2433">
        <v>52</v>
      </c>
      <c r="BB117" s="2431">
        <v>52</v>
      </c>
      <c r="BC117" s="2432">
        <v>52</v>
      </c>
      <c r="BD117" s="2433">
        <v>52</v>
      </c>
      <c r="BE117" s="2434">
        <f>SUM(AS117:BD117)</f>
        <v>624</v>
      </c>
    </row>
    <row r="118" spans="1:57" ht="18" hidden="1" customHeight="1" thickBot="1">
      <c r="A118" s="5356"/>
      <c r="B118" s="1691" t="s">
        <v>122</v>
      </c>
      <c r="C118" s="2425"/>
      <c r="D118" s="2426"/>
      <c r="E118" s="22"/>
      <c r="F118" s="1850">
        <f>SUM(F114:F117)</f>
        <v>516</v>
      </c>
      <c r="G118" s="1799">
        <f>SUM(G114:G117)</f>
        <v>478.38461538461536</v>
      </c>
      <c r="H118" s="1851">
        <f>SUM(H114:H117)</f>
        <v>542.6</v>
      </c>
      <c r="I118" s="1850">
        <f>SUM(I114:I117)</f>
        <v>534.98461538461538</v>
      </c>
      <c r="J118" s="1799">
        <f t="shared" ref="J118:Q118" si="494">SUM(J114:J117)</f>
        <v>534.98461538461538</v>
      </c>
      <c r="K118" s="1800">
        <f t="shared" si="494"/>
        <v>534.98461538461538</v>
      </c>
      <c r="L118" s="1850">
        <f t="shared" si="494"/>
        <v>550.21538461538466</v>
      </c>
      <c r="M118" s="1799">
        <f t="shared" si="494"/>
        <v>542.6</v>
      </c>
      <c r="N118" s="1800">
        <f t="shared" si="494"/>
        <v>534.98461538461538</v>
      </c>
      <c r="O118" s="1850">
        <f t="shared" si="494"/>
        <v>550.21538461538466</v>
      </c>
      <c r="P118" s="1799">
        <f t="shared" si="494"/>
        <v>534.98461538461538</v>
      </c>
      <c r="Q118" s="1800">
        <f t="shared" si="494"/>
        <v>550.21538461538466</v>
      </c>
      <c r="R118" s="2259">
        <f>SUM(F118:Q118)</f>
        <v>6405.1538461538476</v>
      </c>
      <c r="S118" s="1850">
        <f>SUM(S114:S117)</f>
        <v>496.90769230769234</v>
      </c>
      <c r="T118" s="1799">
        <f>SUM(T114:T117)</f>
        <v>519.75384615384621</v>
      </c>
      <c r="U118" s="1851">
        <f>SUM(U114:U117)</f>
        <v>542.6</v>
      </c>
      <c r="V118" s="1850">
        <f>SUM(V114:V117)</f>
        <v>527.36923076923085</v>
      </c>
      <c r="W118" s="1799">
        <f t="shared" ref="W118:AD118" si="495">SUM(W114:W117)</f>
        <v>534.98461538461538</v>
      </c>
      <c r="X118" s="1800">
        <f t="shared" si="495"/>
        <v>534.98461538461538</v>
      </c>
      <c r="Y118" s="1850">
        <f t="shared" si="495"/>
        <v>556.06738461538475</v>
      </c>
      <c r="Z118" s="1799">
        <f t="shared" si="495"/>
        <v>548.45200000000011</v>
      </c>
      <c r="AA118" s="1800">
        <f t="shared" si="495"/>
        <v>525.60584615384619</v>
      </c>
      <c r="AB118" s="1850">
        <f t="shared" si="495"/>
        <v>548.45200000000011</v>
      </c>
      <c r="AC118" s="1799">
        <f t="shared" si="495"/>
        <v>540.83661538461547</v>
      </c>
      <c r="AD118" s="1800">
        <f t="shared" si="495"/>
        <v>548.45200000000011</v>
      </c>
      <c r="AE118" s="2259">
        <f>SUM(S118:AD118)</f>
        <v>6424.4658461538475</v>
      </c>
      <c r="AF118" s="1850">
        <f>SUM(AF114:AF117)</f>
        <v>496.90769230769234</v>
      </c>
      <c r="AG118" s="1799">
        <f>SUM(AG114:AG117)</f>
        <v>519.75384615384621</v>
      </c>
      <c r="AH118" s="1851">
        <f>SUM(AH114:AH117)</f>
        <v>542.6</v>
      </c>
      <c r="AI118" s="1850">
        <f>SUM(AI114:AI117)</f>
        <v>527.36923076923085</v>
      </c>
      <c r="AJ118" s="1799">
        <f t="shared" ref="AJ118:AQ118" si="496">SUM(AJ114:AJ117)</f>
        <v>534.98461538461538</v>
      </c>
      <c r="AK118" s="1800">
        <f t="shared" si="496"/>
        <v>534.98461538461538</v>
      </c>
      <c r="AL118" s="1850">
        <f t="shared" si="496"/>
        <v>556.06738461538475</v>
      </c>
      <c r="AM118" s="1799">
        <f t="shared" si="496"/>
        <v>548.45200000000011</v>
      </c>
      <c r="AN118" s="1800">
        <f t="shared" si="496"/>
        <v>525.60584615384619</v>
      </c>
      <c r="AO118" s="1850">
        <f t="shared" si="496"/>
        <v>548.45200000000011</v>
      </c>
      <c r="AP118" s="1799">
        <f t="shared" si="496"/>
        <v>540.83661538461547</v>
      </c>
      <c r="AQ118" s="1800">
        <f t="shared" si="496"/>
        <v>548.45200000000011</v>
      </c>
      <c r="AR118" s="2259">
        <f>SUM(AF118:AQ118)</f>
        <v>6424.4658461538475</v>
      </c>
      <c r="AS118" s="1850">
        <f>SUM(AS114:AS117)</f>
        <v>496.90769230769234</v>
      </c>
      <c r="AT118" s="1799">
        <f>SUM(AT114:AT117)</f>
        <v>519.75384615384621</v>
      </c>
      <c r="AU118" s="1851">
        <f>SUM(AU114:AU117)</f>
        <v>542.6</v>
      </c>
      <c r="AV118" s="1850">
        <f>SUM(AV114:AV117)</f>
        <v>527.36923076923085</v>
      </c>
      <c r="AW118" s="1799">
        <f t="shared" ref="AW118:BD118" si="497">SUM(AW114:AW117)</f>
        <v>534.98461538461538</v>
      </c>
      <c r="AX118" s="1800">
        <f t="shared" si="497"/>
        <v>534.98461538461538</v>
      </c>
      <c r="AY118" s="1850">
        <f t="shared" si="497"/>
        <v>556.06738461538475</v>
      </c>
      <c r="AZ118" s="1799">
        <f t="shared" si="497"/>
        <v>548.45200000000011</v>
      </c>
      <c r="BA118" s="1619">
        <f t="shared" si="497"/>
        <v>525.60584615384619</v>
      </c>
      <c r="BB118" s="1617">
        <f t="shared" si="497"/>
        <v>548.45200000000011</v>
      </c>
      <c r="BC118" s="1618">
        <f t="shared" si="497"/>
        <v>540.83661538461547</v>
      </c>
      <c r="BD118" s="1619">
        <f t="shared" si="497"/>
        <v>548.45200000000011</v>
      </c>
      <c r="BE118" s="1692">
        <f>SUM(AS118:BD118)</f>
        <v>6424.4658461538475</v>
      </c>
    </row>
    <row r="119" spans="1:57" ht="18" hidden="1" customHeight="1">
      <c r="C119" s="1578"/>
    </row>
    <row r="120" spans="1:57" ht="18" hidden="1" customHeight="1" thickBot="1">
      <c r="A120" s="2300" t="s">
        <v>985</v>
      </c>
      <c r="B120" s="1652"/>
      <c r="C120" s="2435"/>
      <c r="D120" s="2301"/>
      <c r="E120" s="2302"/>
      <c r="F120" s="3861"/>
      <c r="G120" s="3861"/>
      <c r="H120" s="3861"/>
      <c r="I120" s="3861"/>
      <c r="J120" s="3861"/>
      <c r="K120" s="3861"/>
      <c r="L120" s="3861"/>
      <c r="M120" s="3861"/>
      <c r="N120" s="3861"/>
      <c r="O120" s="3861"/>
      <c r="P120" s="3861"/>
      <c r="Q120" s="3861"/>
      <c r="R120" s="1650"/>
      <c r="S120" s="3861"/>
      <c r="T120" s="3861"/>
      <c r="U120" s="3861"/>
      <c r="V120" s="3861"/>
      <c r="W120" s="3861"/>
      <c r="X120" s="3861"/>
      <c r="Y120" s="3861"/>
      <c r="Z120" s="3861"/>
      <c r="AA120" s="3861"/>
      <c r="AB120" s="3861"/>
      <c r="AC120" s="3861"/>
      <c r="AD120" s="3861"/>
      <c r="AE120" s="1650"/>
      <c r="AF120" s="3861"/>
      <c r="AG120" s="3861"/>
      <c r="AH120" s="3861"/>
      <c r="AI120" s="3861"/>
      <c r="AJ120" s="3861"/>
      <c r="AK120" s="3861"/>
      <c r="AL120" s="3861"/>
      <c r="AM120" s="3861"/>
      <c r="AN120" s="3861"/>
      <c r="AO120" s="3861"/>
      <c r="AP120" s="3861"/>
      <c r="AQ120" s="3861"/>
      <c r="AR120" s="1650"/>
      <c r="AS120" s="3861"/>
      <c r="AT120" s="3861"/>
      <c r="AU120" s="3861"/>
      <c r="AV120" s="3861"/>
      <c r="AW120" s="3861"/>
      <c r="AX120" s="3861"/>
      <c r="AY120" s="3861"/>
      <c r="AZ120" s="3861"/>
      <c r="BA120" s="2303"/>
      <c r="BB120" s="2303"/>
      <c r="BC120" s="2303"/>
      <c r="BD120" s="2303"/>
      <c r="BE120" s="2260"/>
    </row>
    <row r="121" spans="1:57" ht="18" hidden="1" customHeight="1" thickBot="1">
      <c r="A121" s="72" t="s">
        <v>112</v>
      </c>
      <c r="B121" s="72" t="s">
        <v>124</v>
      </c>
      <c r="C121" s="2106"/>
      <c r="D121" s="81"/>
      <c r="E121" s="72"/>
      <c r="F121" s="1876" t="s">
        <v>1350</v>
      </c>
      <c r="G121" s="1877" t="s">
        <v>1351</v>
      </c>
      <c r="H121" s="1878" t="s">
        <v>1352</v>
      </c>
      <c r="I121" s="1876" t="s">
        <v>1353</v>
      </c>
      <c r="J121" s="1877" t="s">
        <v>1354</v>
      </c>
      <c r="K121" s="1878" t="s">
        <v>1355</v>
      </c>
      <c r="L121" s="1876" t="s">
        <v>1356</v>
      </c>
      <c r="M121" s="1877" t="s">
        <v>1357</v>
      </c>
      <c r="N121" s="1878" t="s">
        <v>1358</v>
      </c>
      <c r="O121" s="1876" t="s">
        <v>1359</v>
      </c>
      <c r="P121" s="1877" t="s">
        <v>1360</v>
      </c>
      <c r="Q121" s="1878" t="s">
        <v>1361</v>
      </c>
      <c r="R121" s="2598" t="s">
        <v>15</v>
      </c>
      <c r="S121" s="1876" t="s">
        <v>430</v>
      </c>
      <c r="T121" s="1877" t="s">
        <v>557</v>
      </c>
      <c r="U121" s="1878" t="s">
        <v>558</v>
      </c>
      <c r="V121" s="1876" t="s">
        <v>431</v>
      </c>
      <c r="W121" s="1877" t="s">
        <v>559</v>
      </c>
      <c r="X121" s="1878" t="s">
        <v>560</v>
      </c>
      <c r="Y121" s="1876" t="s">
        <v>561</v>
      </c>
      <c r="Z121" s="1877" t="s">
        <v>562</v>
      </c>
      <c r="AA121" s="1878" t="s">
        <v>563</v>
      </c>
      <c r="AB121" s="1876" t="s">
        <v>564</v>
      </c>
      <c r="AC121" s="1877" t="s">
        <v>565</v>
      </c>
      <c r="AD121" s="1878" t="s">
        <v>566</v>
      </c>
      <c r="AE121" s="2598" t="s">
        <v>15</v>
      </c>
      <c r="AF121" s="1876" t="s">
        <v>430</v>
      </c>
      <c r="AG121" s="1877" t="s">
        <v>557</v>
      </c>
      <c r="AH121" s="1878" t="s">
        <v>558</v>
      </c>
      <c r="AI121" s="1876" t="s">
        <v>431</v>
      </c>
      <c r="AJ121" s="1877" t="s">
        <v>559</v>
      </c>
      <c r="AK121" s="1878" t="s">
        <v>560</v>
      </c>
      <c r="AL121" s="1876" t="s">
        <v>561</v>
      </c>
      <c r="AM121" s="1877" t="s">
        <v>562</v>
      </c>
      <c r="AN121" s="1878" t="s">
        <v>563</v>
      </c>
      <c r="AO121" s="1876" t="s">
        <v>564</v>
      </c>
      <c r="AP121" s="1877" t="s">
        <v>565</v>
      </c>
      <c r="AQ121" s="1878" t="s">
        <v>566</v>
      </c>
      <c r="AR121" s="2598" t="s">
        <v>15</v>
      </c>
      <c r="AS121" s="1876" t="s">
        <v>430</v>
      </c>
      <c r="AT121" s="1877" t="s">
        <v>557</v>
      </c>
      <c r="AU121" s="1878" t="s">
        <v>558</v>
      </c>
      <c r="AV121" s="1876" t="s">
        <v>431</v>
      </c>
      <c r="AW121" s="1877" t="s">
        <v>559</v>
      </c>
      <c r="AX121" s="1878" t="s">
        <v>560</v>
      </c>
      <c r="AY121" s="1876" t="s">
        <v>561</v>
      </c>
      <c r="AZ121" s="1877" t="s">
        <v>562</v>
      </c>
      <c r="BA121" s="1549" t="s">
        <v>563</v>
      </c>
      <c r="BB121" s="1548" t="s">
        <v>564</v>
      </c>
      <c r="BC121" s="81" t="s">
        <v>565</v>
      </c>
      <c r="BD121" s="1549" t="s">
        <v>566</v>
      </c>
      <c r="BE121" s="1550" t="s">
        <v>15</v>
      </c>
    </row>
    <row r="122" spans="1:57" ht="18" hidden="1" customHeight="1">
      <c r="A122" s="2436" t="s">
        <v>837</v>
      </c>
      <c r="B122" s="2436" t="s">
        <v>308</v>
      </c>
      <c r="C122" s="2437"/>
      <c r="D122" s="75"/>
      <c r="E122" s="2438"/>
      <c r="F122" s="4322">
        <v>4</v>
      </c>
      <c r="G122" s="4323">
        <f>F122</f>
        <v>4</v>
      </c>
      <c r="H122" s="4324">
        <f>G122</f>
        <v>4</v>
      </c>
      <c r="I122" s="4961">
        <f>H122</f>
        <v>4</v>
      </c>
      <c r="J122" s="4323">
        <f>I122</f>
        <v>4</v>
      </c>
      <c r="K122" s="4962">
        <f t="shared" ref="K122" si="498">J122</f>
        <v>4</v>
      </c>
      <c r="L122" s="4322">
        <v>4</v>
      </c>
      <c r="M122" s="4323">
        <v>4</v>
      </c>
      <c r="N122" s="4324">
        <f t="shared" ref="N122:Q122" si="499">M122</f>
        <v>4</v>
      </c>
      <c r="O122" s="4961">
        <f t="shared" si="499"/>
        <v>4</v>
      </c>
      <c r="P122" s="4323">
        <f t="shared" si="499"/>
        <v>4</v>
      </c>
      <c r="Q122" s="4324">
        <f t="shared" si="499"/>
        <v>4</v>
      </c>
      <c r="R122" s="3928">
        <f t="shared" ref="R122:R127" si="500">SUM(F122:Q122)</f>
        <v>48</v>
      </c>
      <c r="S122" s="3894">
        <v>4</v>
      </c>
      <c r="T122" s="3895">
        <f>S122</f>
        <v>4</v>
      </c>
      <c r="U122" s="3896">
        <f>T122</f>
        <v>4</v>
      </c>
      <c r="V122" s="3897">
        <f>U122</f>
        <v>4</v>
      </c>
      <c r="W122" s="3895">
        <f>V122</f>
        <v>4</v>
      </c>
      <c r="X122" s="3896">
        <f t="shared" ref="X122" si="501">W122</f>
        <v>4</v>
      </c>
      <c r="Y122" s="3894">
        <v>4</v>
      </c>
      <c r="Z122" s="3895">
        <v>4</v>
      </c>
      <c r="AA122" s="3896">
        <f t="shared" ref="AA122" si="502">Z122</f>
        <v>4</v>
      </c>
      <c r="AB122" s="3894">
        <f t="shared" ref="AB122" si="503">AA122</f>
        <v>4</v>
      </c>
      <c r="AC122" s="3895">
        <f t="shared" ref="AC122" si="504">AB122</f>
        <v>4</v>
      </c>
      <c r="AD122" s="3896">
        <f t="shared" ref="AD122" si="505">AC122</f>
        <v>4</v>
      </c>
      <c r="AE122" s="3928">
        <f t="shared" ref="AE122:AE127" si="506">SUM(S122:AD122)</f>
        <v>48</v>
      </c>
      <c r="AF122" s="3894">
        <v>4</v>
      </c>
      <c r="AG122" s="3895">
        <f>AF122</f>
        <v>4</v>
      </c>
      <c r="AH122" s="3896">
        <f>AG122</f>
        <v>4</v>
      </c>
      <c r="AI122" s="3897">
        <f>AH122</f>
        <v>4</v>
      </c>
      <c r="AJ122" s="3895">
        <f>AI122</f>
        <v>4</v>
      </c>
      <c r="AK122" s="3896">
        <f t="shared" ref="AK122" si="507">AJ122</f>
        <v>4</v>
      </c>
      <c r="AL122" s="3894">
        <v>4</v>
      </c>
      <c r="AM122" s="3895">
        <v>4</v>
      </c>
      <c r="AN122" s="3896">
        <f t="shared" ref="AN122" si="508">AM122</f>
        <v>4</v>
      </c>
      <c r="AO122" s="3894">
        <f t="shared" ref="AO122" si="509">AN122</f>
        <v>4</v>
      </c>
      <c r="AP122" s="3895">
        <f t="shared" ref="AP122" si="510">AO122</f>
        <v>4</v>
      </c>
      <c r="AQ122" s="3896">
        <f t="shared" ref="AQ122" si="511">AP122</f>
        <v>4</v>
      </c>
      <c r="AR122" s="3928">
        <f t="shared" ref="AR122:AR127" si="512">SUM(AF122:AQ122)</f>
        <v>48</v>
      </c>
      <c r="AS122" s="3894">
        <v>4</v>
      </c>
      <c r="AT122" s="3895">
        <f>AS122</f>
        <v>4</v>
      </c>
      <c r="AU122" s="3896">
        <f>AT122</f>
        <v>4</v>
      </c>
      <c r="AV122" s="3897">
        <f>AU122</f>
        <v>4</v>
      </c>
      <c r="AW122" s="3895">
        <f>AV122</f>
        <v>4</v>
      </c>
      <c r="AX122" s="3896">
        <f t="shared" ref="AX122" si="513">AW122</f>
        <v>4</v>
      </c>
      <c r="AY122" s="3894">
        <v>4</v>
      </c>
      <c r="AZ122" s="3895">
        <v>4</v>
      </c>
      <c r="BA122" s="2441">
        <f t="shared" ref="BA122" si="514">AZ122</f>
        <v>4</v>
      </c>
      <c r="BB122" s="2439">
        <f t="shared" ref="BB122" si="515">BA122</f>
        <v>4</v>
      </c>
      <c r="BC122" s="2440">
        <f t="shared" ref="BC122" si="516">BB122</f>
        <v>4</v>
      </c>
      <c r="BD122" s="2441">
        <f t="shared" ref="BD122" si="517">BC122</f>
        <v>4</v>
      </c>
      <c r="BE122" s="2442">
        <f t="shared" ref="BE122:BE127" si="518">SUM(AS122:BD122)</f>
        <v>48</v>
      </c>
    </row>
    <row r="123" spans="1:57" ht="18" hidden="1" customHeight="1">
      <c r="A123" s="2114" t="s">
        <v>838</v>
      </c>
      <c r="B123" s="2114" t="s">
        <v>812</v>
      </c>
      <c r="C123" s="2272"/>
      <c r="D123" s="80"/>
      <c r="E123" s="63"/>
      <c r="F123" s="1781">
        <v>11</v>
      </c>
      <c r="G123" s="1657">
        <v>11</v>
      </c>
      <c r="H123" s="1658">
        <v>11</v>
      </c>
      <c r="I123" s="1789">
        <v>11</v>
      </c>
      <c r="J123" s="1657">
        <v>11</v>
      </c>
      <c r="K123" s="1844">
        <v>11</v>
      </c>
      <c r="L123" s="1781">
        <v>11</v>
      </c>
      <c r="M123" s="1657">
        <v>11</v>
      </c>
      <c r="N123" s="1658">
        <v>11</v>
      </c>
      <c r="O123" s="1789">
        <v>11</v>
      </c>
      <c r="P123" s="1657">
        <v>11</v>
      </c>
      <c r="Q123" s="1658">
        <v>11</v>
      </c>
      <c r="R123" s="2200">
        <f t="shared" si="500"/>
        <v>132</v>
      </c>
      <c r="S123" s="2443"/>
      <c r="T123" s="2444"/>
      <c r="U123" s="2445"/>
      <c r="V123" s="3898"/>
      <c r="W123" s="2444"/>
      <c r="X123" s="2445"/>
      <c r="Y123" s="2443"/>
      <c r="Z123" s="2444"/>
      <c r="AA123" s="2445"/>
      <c r="AB123" s="2443"/>
      <c r="AC123" s="2444"/>
      <c r="AD123" s="2445"/>
      <c r="AE123" s="2200">
        <f t="shared" si="506"/>
        <v>0</v>
      </c>
      <c r="AF123" s="2443"/>
      <c r="AG123" s="2444"/>
      <c r="AH123" s="2445"/>
      <c r="AI123" s="3898"/>
      <c r="AJ123" s="2444"/>
      <c r="AK123" s="2445"/>
      <c r="AL123" s="2443"/>
      <c r="AM123" s="2444"/>
      <c r="AN123" s="2445"/>
      <c r="AO123" s="2443"/>
      <c r="AP123" s="2444"/>
      <c r="AQ123" s="2445"/>
      <c r="AR123" s="2200">
        <f t="shared" si="512"/>
        <v>0</v>
      </c>
      <c r="AS123" s="2443"/>
      <c r="AT123" s="2444"/>
      <c r="AU123" s="2445"/>
      <c r="AV123" s="3898"/>
      <c r="AW123" s="2444"/>
      <c r="AX123" s="2445"/>
      <c r="AY123" s="2443"/>
      <c r="AZ123" s="2444"/>
      <c r="BA123" s="2445"/>
      <c r="BB123" s="2443"/>
      <c r="BC123" s="2444"/>
      <c r="BD123" s="2445"/>
      <c r="BE123" s="1566">
        <f t="shared" si="518"/>
        <v>0</v>
      </c>
    </row>
    <row r="124" spans="1:57" ht="18" hidden="1" customHeight="1">
      <c r="A124" s="2114"/>
      <c r="B124" s="2114" t="s">
        <v>801</v>
      </c>
      <c r="C124" s="2272"/>
      <c r="D124" s="2372"/>
      <c r="E124" s="2372"/>
      <c r="F124" s="1781">
        <v>76</v>
      </c>
      <c r="G124" s="1657">
        <f>F124-G130*0.15</f>
        <v>73.801960467558118</v>
      </c>
      <c r="H124" s="1658">
        <f t="shared" ref="H124:Q124" si="519">G124-H130*0.15</f>
        <v>71.305116401599605</v>
      </c>
      <c r="I124" s="1789">
        <f t="shared" si="519"/>
        <v>69.093680892600958</v>
      </c>
      <c r="J124" s="1657">
        <f t="shared" si="519"/>
        <v>67.034839576349086</v>
      </c>
      <c r="K124" s="1844">
        <f t="shared" si="519"/>
        <v>65.1439836692374</v>
      </c>
      <c r="L124" s="1781">
        <f t="shared" si="519"/>
        <v>63.40357315821494</v>
      </c>
      <c r="M124" s="1657">
        <f t="shared" si="519"/>
        <v>61.797899451539294</v>
      </c>
      <c r="N124" s="1658">
        <f t="shared" si="519"/>
        <v>60.312894152920663</v>
      </c>
      <c r="O124" s="1789">
        <f t="shared" si="519"/>
        <v>58.951619888500915</v>
      </c>
      <c r="P124" s="1657">
        <f t="shared" si="519"/>
        <v>57.701157417461658</v>
      </c>
      <c r="Q124" s="1658">
        <f t="shared" si="519"/>
        <v>56.549936447406417</v>
      </c>
      <c r="R124" s="2200">
        <f t="shared" si="500"/>
        <v>781.096661523389</v>
      </c>
      <c r="S124" s="2443"/>
      <c r="T124" s="2444"/>
      <c r="U124" s="2445"/>
      <c r="V124" s="3898"/>
      <c r="W124" s="2444"/>
      <c r="X124" s="2445"/>
      <c r="Y124" s="2443"/>
      <c r="Z124" s="2444"/>
      <c r="AA124" s="2445"/>
      <c r="AB124" s="2443"/>
      <c r="AC124" s="2444"/>
      <c r="AD124" s="2445"/>
      <c r="AE124" s="2200">
        <f t="shared" si="506"/>
        <v>0</v>
      </c>
      <c r="AF124" s="2443"/>
      <c r="AG124" s="2444"/>
      <c r="AH124" s="2445"/>
      <c r="AI124" s="3898"/>
      <c r="AJ124" s="2444"/>
      <c r="AK124" s="2445"/>
      <c r="AL124" s="2443"/>
      <c r="AM124" s="2444"/>
      <c r="AN124" s="2445"/>
      <c r="AO124" s="2443"/>
      <c r="AP124" s="2444"/>
      <c r="AQ124" s="2445"/>
      <c r="AR124" s="2200">
        <f t="shared" si="512"/>
        <v>0</v>
      </c>
      <c r="AS124" s="2443"/>
      <c r="AT124" s="2444"/>
      <c r="AU124" s="2445"/>
      <c r="AV124" s="3898"/>
      <c r="AW124" s="2444"/>
      <c r="AX124" s="2445"/>
      <c r="AY124" s="2443"/>
      <c r="AZ124" s="2444"/>
      <c r="BA124" s="2445"/>
      <c r="BB124" s="2443"/>
      <c r="BC124" s="2444"/>
      <c r="BD124" s="2445"/>
      <c r="BE124" s="1566">
        <f t="shared" si="518"/>
        <v>0</v>
      </c>
    </row>
    <row r="125" spans="1:57" ht="18" hidden="1" customHeight="1">
      <c r="A125" s="2114"/>
      <c r="B125" s="2114" t="s">
        <v>800</v>
      </c>
      <c r="C125" s="2272"/>
      <c r="D125" s="2372"/>
      <c r="E125" s="2372"/>
      <c r="F125" s="1781">
        <v>205</v>
      </c>
      <c r="G125" s="1657">
        <f>F125-G130*0.35</f>
        <v>199.87124109096894</v>
      </c>
      <c r="H125" s="1658">
        <f t="shared" ref="H125:Q125" si="520">G125-H130*0.35</f>
        <v>194.0452716037324</v>
      </c>
      <c r="I125" s="1789">
        <f t="shared" si="520"/>
        <v>188.88525541606887</v>
      </c>
      <c r="J125" s="1657">
        <f t="shared" si="520"/>
        <v>184.0812923448145</v>
      </c>
      <c r="K125" s="1844">
        <f t="shared" si="520"/>
        <v>179.66929522822056</v>
      </c>
      <c r="L125" s="1781">
        <f t="shared" si="520"/>
        <v>175.60833736916817</v>
      </c>
      <c r="M125" s="1657">
        <f t="shared" si="520"/>
        <v>171.86176538692499</v>
      </c>
      <c r="N125" s="1658">
        <f t="shared" si="520"/>
        <v>168.39675302348152</v>
      </c>
      <c r="O125" s="1789">
        <f t="shared" si="520"/>
        <v>165.22044640650211</v>
      </c>
      <c r="P125" s="1657">
        <f t="shared" si="520"/>
        <v>162.30270064074384</v>
      </c>
      <c r="Q125" s="1658">
        <f t="shared" si="520"/>
        <v>159.61651837728161</v>
      </c>
      <c r="R125" s="2200">
        <f t="shared" si="500"/>
        <v>2154.5588768879074</v>
      </c>
      <c r="S125" s="2443"/>
      <c r="T125" s="2444"/>
      <c r="U125" s="2445"/>
      <c r="V125" s="3898"/>
      <c r="W125" s="2444"/>
      <c r="X125" s="2445"/>
      <c r="Y125" s="2443"/>
      <c r="Z125" s="2444"/>
      <c r="AA125" s="2445"/>
      <c r="AB125" s="2443"/>
      <c r="AC125" s="2444"/>
      <c r="AD125" s="2445"/>
      <c r="AE125" s="2200">
        <f t="shared" si="506"/>
        <v>0</v>
      </c>
      <c r="AF125" s="2443"/>
      <c r="AG125" s="2444"/>
      <c r="AH125" s="2445"/>
      <c r="AI125" s="3898"/>
      <c r="AJ125" s="2444"/>
      <c r="AK125" s="2445"/>
      <c r="AL125" s="2443"/>
      <c r="AM125" s="2444"/>
      <c r="AN125" s="2445"/>
      <c r="AO125" s="2443"/>
      <c r="AP125" s="2444"/>
      <c r="AQ125" s="2445"/>
      <c r="AR125" s="2200">
        <f t="shared" si="512"/>
        <v>0</v>
      </c>
      <c r="AS125" s="2443"/>
      <c r="AT125" s="2444"/>
      <c r="AU125" s="2445"/>
      <c r="AV125" s="3898"/>
      <c r="AW125" s="2444"/>
      <c r="AX125" s="2445"/>
      <c r="AY125" s="2443"/>
      <c r="AZ125" s="2444"/>
      <c r="BA125" s="2445"/>
      <c r="BB125" s="2443"/>
      <c r="BC125" s="2444"/>
      <c r="BD125" s="2445"/>
      <c r="BE125" s="1566">
        <f t="shared" si="518"/>
        <v>0</v>
      </c>
    </row>
    <row r="126" spans="1:57" ht="18" hidden="1" customHeight="1">
      <c r="A126" s="2114"/>
      <c r="B126" s="2114" t="s">
        <v>799</v>
      </c>
      <c r="C126" s="2272"/>
      <c r="D126" s="2372"/>
      <c r="E126" s="2372"/>
      <c r="F126" s="1781">
        <v>214</v>
      </c>
      <c r="G126" s="1657">
        <f>F126-G130*0.4</f>
        <v>208.13856124682167</v>
      </c>
      <c r="H126" s="1658">
        <f t="shared" ref="H126:Q126" si="521">G126-H130*0.4</f>
        <v>201.48031040426565</v>
      </c>
      <c r="I126" s="1789">
        <f t="shared" si="521"/>
        <v>195.58314904693592</v>
      </c>
      <c r="J126" s="1657">
        <f t="shared" si="521"/>
        <v>190.09290553693094</v>
      </c>
      <c r="K126" s="1844">
        <f t="shared" si="521"/>
        <v>185.05062311796647</v>
      </c>
      <c r="L126" s="1781">
        <f t="shared" si="521"/>
        <v>180.40952842190657</v>
      </c>
      <c r="M126" s="1657">
        <f t="shared" si="521"/>
        <v>176.1277318707715</v>
      </c>
      <c r="N126" s="1658">
        <f t="shared" si="521"/>
        <v>172.16771774112183</v>
      </c>
      <c r="O126" s="1789">
        <f t="shared" si="521"/>
        <v>168.53765303600252</v>
      </c>
      <c r="P126" s="1657">
        <f t="shared" si="521"/>
        <v>165.20308644656453</v>
      </c>
      <c r="Q126" s="1658">
        <f t="shared" si="521"/>
        <v>162.13316385975054</v>
      </c>
      <c r="R126" s="2200">
        <f t="shared" si="500"/>
        <v>2218.9244307290382</v>
      </c>
      <c r="S126" s="2443"/>
      <c r="T126" s="2444"/>
      <c r="U126" s="2445"/>
      <c r="V126" s="3898"/>
      <c r="W126" s="2444"/>
      <c r="X126" s="2445"/>
      <c r="Y126" s="2443"/>
      <c r="Z126" s="2444"/>
      <c r="AA126" s="2445"/>
      <c r="AB126" s="2443"/>
      <c r="AC126" s="2444"/>
      <c r="AD126" s="2445"/>
      <c r="AE126" s="2200">
        <f t="shared" si="506"/>
        <v>0</v>
      </c>
      <c r="AF126" s="2443"/>
      <c r="AG126" s="2444"/>
      <c r="AH126" s="2445"/>
      <c r="AI126" s="3898"/>
      <c r="AJ126" s="2444"/>
      <c r="AK126" s="2445"/>
      <c r="AL126" s="2443"/>
      <c r="AM126" s="2444"/>
      <c r="AN126" s="2445"/>
      <c r="AO126" s="2443"/>
      <c r="AP126" s="2444"/>
      <c r="AQ126" s="2445"/>
      <c r="AR126" s="2200">
        <f t="shared" si="512"/>
        <v>0</v>
      </c>
      <c r="AS126" s="2443"/>
      <c r="AT126" s="2444"/>
      <c r="AU126" s="2445"/>
      <c r="AV126" s="3898"/>
      <c r="AW126" s="2444"/>
      <c r="AX126" s="2445"/>
      <c r="AY126" s="2443"/>
      <c r="AZ126" s="2444"/>
      <c r="BA126" s="2445"/>
      <c r="BB126" s="2443"/>
      <c r="BC126" s="2444"/>
      <c r="BD126" s="2445"/>
      <c r="BE126" s="1566">
        <f t="shared" si="518"/>
        <v>0</v>
      </c>
    </row>
    <row r="127" spans="1:57" ht="18" hidden="1" customHeight="1" thickBot="1">
      <c r="A127" s="2108"/>
      <c r="B127" s="2108" t="s">
        <v>93</v>
      </c>
      <c r="C127" s="2272"/>
      <c r="D127" s="2372"/>
      <c r="E127" s="2446"/>
      <c r="F127" s="2257">
        <v>92</v>
      </c>
      <c r="G127" s="2255">
        <f>F127-G130*0.1</f>
        <v>90.534640311705417</v>
      </c>
      <c r="H127" s="2256">
        <f t="shared" ref="H127:Q127" si="522">G127-H130*0.1</f>
        <v>88.870077601066413</v>
      </c>
      <c r="I127" s="4963">
        <f t="shared" si="522"/>
        <v>87.395787261733972</v>
      </c>
      <c r="J127" s="2255">
        <f t="shared" si="522"/>
        <v>86.023226384232728</v>
      </c>
      <c r="K127" s="4964">
        <f t="shared" si="522"/>
        <v>84.76265577949161</v>
      </c>
      <c r="L127" s="2257">
        <f t="shared" si="522"/>
        <v>83.602382105476636</v>
      </c>
      <c r="M127" s="2255">
        <f t="shared" si="522"/>
        <v>82.531932967692867</v>
      </c>
      <c r="N127" s="2256">
        <f t="shared" si="522"/>
        <v>81.541929435280451</v>
      </c>
      <c r="O127" s="4963">
        <f t="shared" si="522"/>
        <v>80.634413259000624</v>
      </c>
      <c r="P127" s="2255">
        <f t="shared" si="522"/>
        <v>79.800771611641125</v>
      </c>
      <c r="Q127" s="2256">
        <f t="shared" si="522"/>
        <v>79.033290964937635</v>
      </c>
      <c r="R127" s="2200">
        <f t="shared" si="500"/>
        <v>1016.7311076822596</v>
      </c>
      <c r="S127" s="3899"/>
      <c r="T127" s="3900"/>
      <c r="U127" s="3901"/>
      <c r="V127" s="3899"/>
      <c r="W127" s="3900"/>
      <c r="X127" s="3901"/>
      <c r="Y127" s="3899"/>
      <c r="Z127" s="3900"/>
      <c r="AA127" s="3901"/>
      <c r="AB127" s="3899"/>
      <c r="AC127" s="3900"/>
      <c r="AD127" s="3901"/>
      <c r="AE127" s="2200">
        <f t="shared" si="506"/>
        <v>0</v>
      </c>
      <c r="AF127" s="3899"/>
      <c r="AG127" s="3900"/>
      <c r="AH127" s="3901"/>
      <c r="AI127" s="3899"/>
      <c r="AJ127" s="3900"/>
      <c r="AK127" s="3901"/>
      <c r="AL127" s="3899"/>
      <c r="AM127" s="3900"/>
      <c r="AN127" s="3901"/>
      <c r="AO127" s="3899"/>
      <c r="AP127" s="3900"/>
      <c r="AQ127" s="3901"/>
      <c r="AR127" s="2200">
        <f t="shared" si="512"/>
        <v>0</v>
      </c>
      <c r="AS127" s="3899"/>
      <c r="AT127" s="3900"/>
      <c r="AU127" s="3901"/>
      <c r="AV127" s="3899"/>
      <c r="AW127" s="3900"/>
      <c r="AX127" s="3901"/>
      <c r="AY127" s="3899"/>
      <c r="AZ127" s="3900"/>
      <c r="BA127" s="2449"/>
      <c r="BB127" s="2447"/>
      <c r="BC127" s="2448"/>
      <c r="BD127" s="2449"/>
      <c r="BE127" s="1566">
        <f t="shared" si="518"/>
        <v>0</v>
      </c>
    </row>
    <row r="128" spans="1:57" ht="18" hidden="1" customHeight="1" thickBot="1">
      <c r="A128" s="2450"/>
      <c r="B128" s="2450" t="s">
        <v>354</v>
      </c>
      <c r="C128" s="1791"/>
      <c r="D128" s="1791"/>
      <c r="E128" s="2451"/>
      <c r="F128" s="1840">
        <f>SUM(F124:F127)</f>
        <v>587</v>
      </c>
      <c r="G128" s="1841">
        <f t="shared" ref="G128:Q128" si="523">SUM(G124:G127)</f>
        <v>572.34640311705414</v>
      </c>
      <c r="H128" s="1842">
        <f t="shared" si="523"/>
        <v>555.70077601066407</v>
      </c>
      <c r="I128" s="1840">
        <f t="shared" si="523"/>
        <v>540.95787261733972</v>
      </c>
      <c r="J128" s="1841">
        <f t="shared" si="523"/>
        <v>527.23226384232726</v>
      </c>
      <c r="K128" s="1842">
        <f t="shared" si="523"/>
        <v>514.62655779491604</v>
      </c>
      <c r="L128" s="1840">
        <f t="shared" si="523"/>
        <v>503.02382105476636</v>
      </c>
      <c r="M128" s="1841">
        <f t="shared" si="523"/>
        <v>492.31932967692859</v>
      </c>
      <c r="N128" s="1842">
        <f t="shared" si="523"/>
        <v>482.41929435280446</v>
      </c>
      <c r="O128" s="1840">
        <f t="shared" si="523"/>
        <v>473.34413259000615</v>
      </c>
      <c r="P128" s="1841">
        <f t="shared" si="523"/>
        <v>465.00771611641119</v>
      </c>
      <c r="Q128" s="1842">
        <f t="shared" si="523"/>
        <v>457.33290964937618</v>
      </c>
      <c r="R128" s="2254">
        <f>SUM(R122:R127)</f>
        <v>6351.3110768225943</v>
      </c>
      <c r="S128" s="1840">
        <f t="shared" ref="S128:AC128" si="524">SUM(S122:S127)</f>
        <v>4</v>
      </c>
      <c r="T128" s="1841">
        <f t="shared" si="524"/>
        <v>4</v>
      </c>
      <c r="U128" s="1842">
        <f t="shared" si="524"/>
        <v>4</v>
      </c>
      <c r="V128" s="1840">
        <f t="shared" si="524"/>
        <v>4</v>
      </c>
      <c r="W128" s="1841">
        <f t="shared" si="524"/>
        <v>4</v>
      </c>
      <c r="X128" s="1842">
        <f t="shared" si="524"/>
        <v>4</v>
      </c>
      <c r="Y128" s="1840">
        <f t="shared" si="524"/>
        <v>4</v>
      </c>
      <c r="Z128" s="1841">
        <f t="shared" si="524"/>
        <v>4</v>
      </c>
      <c r="AA128" s="1842">
        <f t="shared" si="524"/>
        <v>4</v>
      </c>
      <c r="AB128" s="1840">
        <f t="shared" si="524"/>
        <v>4</v>
      </c>
      <c r="AC128" s="1841">
        <f t="shared" si="524"/>
        <v>4</v>
      </c>
      <c r="AD128" s="1842">
        <f>SUM(AD122:AD127)</f>
        <v>4</v>
      </c>
      <c r="AE128" s="2254">
        <f>SUM(AE122:AE127)</f>
        <v>48</v>
      </c>
      <c r="AF128" s="1840">
        <f t="shared" ref="AF128:AP128" si="525">SUM(AF122:AF127)</f>
        <v>4</v>
      </c>
      <c r="AG128" s="1841">
        <f t="shared" si="525"/>
        <v>4</v>
      </c>
      <c r="AH128" s="1842">
        <f t="shared" si="525"/>
        <v>4</v>
      </c>
      <c r="AI128" s="1840">
        <f t="shared" si="525"/>
        <v>4</v>
      </c>
      <c r="AJ128" s="1841">
        <f t="shared" si="525"/>
        <v>4</v>
      </c>
      <c r="AK128" s="1842">
        <f t="shared" si="525"/>
        <v>4</v>
      </c>
      <c r="AL128" s="1840">
        <f t="shared" si="525"/>
        <v>4</v>
      </c>
      <c r="AM128" s="1841">
        <f t="shared" si="525"/>
        <v>4</v>
      </c>
      <c r="AN128" s="1842">
        <f t="shared" si="525"/>
        <v>4</v>
      </c>
      <c r="AO128" s="1840">
        <f t="shared" si="525"/>
        <v>4</v>
      </c>
      <c r="AP128" s="1841">
        <f t="shared" si="525"/>
        <v>4</v>
      </c>
      <c r="AQ128" s="1842">
        <f>SUM(AQ122:AQ127)</f>
        <v>4</v>
      </c>
      <c r="AR128" s="2254">
        <f>SUM(AR122:AR127)</f>
        <v>48</v>
      </c>
      <c r="AS128" s="1840">
        <f t="shared" ref="AS128:BC128" si="526">SUM(AS122:AS127)</f>
        <v>4</v>
      </c>
      <c r="AT128" s="1841">
        <f t="shared" si="526"/>
        <v>4</v>
      </c>
      <c r="AU128" s="1842">
        <f t="shared" si="526"/>
        <v>4</v>
      </c>
      <c r="AV128" s="1840">
        <f t="shared" si="526"/>
        <v>4</v>
      </c>
      <c r="AW128" s="1841">
        <f t="shared" si="526"/>
        <v>4</v>
      </c>
      <c r="AX128" s="1842">
        <f t="shared" si="526"/>
        <v>4</v>
      </c>
      <c r="AY128" s="1840">
        <f t="shared" si="526"/>
        <v>4</v>
      </c>
      <c r="AZ128" s="1841">
        <f t="shared" si="526"/>
        <v>4</v>
      </c>
      <c r="BA128" s="1842">
        <f t="shared" si="526"/>
        <v>4</v>
      </c>
      <c r="BB128" s="1840">
        <f t="shared" si="526"/>
        <v>4</v>
      </c>
      <c r="BC128" s="1841">
        <f t="shared" si="526"/>
        <v>4</v>
      </c>
      <c r="BD128" s="1842">
        <f>SUM(BD122:BD127)</f>
        <v>4</v>
      </c>
      <c r="BE128" s="1797">
        <f>SUM(BE122:BE127)</f>
        <v>48</v>
      </c>
    </row>
    <row r="129" spans="1:57" ht="18" hidden="1" customHeight="1">
      <c r="A129" s="1516"/>
      <c r="B129" s="1520"/>
      <c r="C129" s="2301"/>
      <c r="D129" s="2301"/>
      <c r="E129" s="2302"/>
      <c r="F129" s="2303">
        <f>F36</f>
        <v>586.89576436448431</v>
      </c>
      <c r="G129" s="2303">
        <f t="shared" ref="G129:Q129" si="527">G36</f>
        <v>572.24216748153844</v>
      </c>
      <c r="H129" s="2303">
        <f t="shared" si="527"/>
        <v>555.59654037514838</v>
      </c>
      <c r="I129" s="2303">
        <f t="shared" si="527"/>
        <v>540.85363698182402</v>
      </c>
      <c r="J129" s="2303">
        <f t="shared" si="527"/>
        <v>527.12802820681156</v>
      </c>
      <c r="K129" s="2303">
        <f t="shared" si="527"/>
        <v>514.52232215940035</v>
      </c>
      <c r="L129" s="2303">
        <f t="shared" si="527"/>
        <v>502.91958541925061</v>
      </c>
      <c r="M129" s="2303">
        <f t="shared" si="527"/>
        <v>492.21509404141295</v>
      </c>
      <c r="N129" s="2303">
        <f t="shared" si="527"/>
        <v>482.31505871728876</v>
      </c>
      <c r="O129" s="2303">
        <f t="shared" si="527"/>
        <v>473.23989695449046</v>
      </c>
      <c r="P129" s="2303">
        <f t="shared" si="527"/>
        <v>464.90348048089544</v>
      </c>
      <c r="Q129" s="2303">
        <f t="shared" si="527"/>
        <v>457.22867401386048</v>
      </c>
      <c r="R129" s="3930"/>
      <c r="S129" s="3861"/>
      <c r="T129" s="3861"/>
      <c r="U129" s="3861"/>
      <c r="V129" s="3861"/>
      <c r="W129" s="3861"/>
      <c r="X129" s="3861"/>
      <c r="Y129" s="3861"/>
      <c r="Z129" s="3861"/>
      <c r="AA129" s="3861"/>
      <c r="AD129" s="3929"/>
      <c r="AE129" s="3930"/>
      <c r="AF129" s="3861"/>
      <c r="AG129" s="3861"/>
      <c r="AH129" s="3861"/>
      <c r="AI129" s="3861"/>
      <c r="AJ129" s="3861"/>
      <c r="AK129" s="3861"/>
      <c r="AL129" s="3861"/>
      <c r="AM129" s="3861"/>
      <c r="AN129" s="3861"/>
      <c r="AQ129" s="3929"/>
      <c r="AR129" s="3930"/>
      <c r="AS129" s="3861"/>
      <c r="AT129" s="3861"/>
      <c r="AU129" s="3861"/>
      <c r="AV129" s="3861"/>
      <c r="AW129" s="3861"/>
      <c r="AX129" s="3861"/>
      <c r="AY129" s="3861"/>
      <c r="AZ129" s="3861"/>
      <c r="BA129" s="2452"/>
      <c r="BD129" s="2453"/>
      <c r="BE129" s="2454"/>
    </row>
    <row r="130" spans="1:57" ht="18" hidden="1" customHeight="1">
      <c r="F130" s="1623"/>
      <c r="G130" s="2303">
        <f>F129-G129</f>
        <v>14.653596882945862</v>
      </c>
      <c r="H130" s="2303">
        <f t="shared" ref="H130:Q130" si="528">G129-H129</f>
        <v>16.645627106390066</v>
      </c>
      <c r="I130" s="2303">
        <f t="shared" si="528"/>
        <v>14.742903393324355</v>
      </c>
      <c r="J130" s="2303">
        <f t="shared" si="528"/>
        <v>13.725608775012461</v>
      </c>
      <c r="K130" s="2303">
        <f t="shared" si="528"/>
        <v>12.605706047411218</v>
      </c>
      <c r="L130" s="2303">
        <f t="shared" si="528"/>
        <v>11.602736740149737</v>
      </c>
      <c r="M130" s="2303">
        <f t="shared" si="528"/>
        <v>10.704491377837655</v>
      </c>
      <c r="N130" s="2303">
        <f t="shared" si="528"/>
        <v>9.9000353241241896</v>
      </c>
      <c r="O130" s="2303">
        <f t="shared" si="528"/>
        <v>9.0751617627983023</v>
      </c>
      <c r="P130" s="2303">
        <f t="shared" si="528"/>
        <v>8.3364164735950226</v>
      </c>
      <c r="Q130" s="2303">
        <f t="shared" si="528"/>
        <v>7.6748064670349549</v>
      </c>
      <c r="R130" s="1542"/>
      <c r="AD130" s="1808" t="s">
        <v>1093</v>
      </c>
      <c r="AE130" s="1542">
        <f>240*AE129</f>
        <v>0</v>
      </c>
      <c r="AQ130" s="1808" t="s">
        <v>1093</v>
      </c>
      <c r="AR130" s="1542">
        <f>240*AR129</f>
        <v>0</v>
      </c>
      <c r="BD130" s="1546" t="s">
        <v>1093</v>
      </c>
      <c r="BE130" s="1541">
        <f>240*BE129</f>
        <v>0</v>
      </c>
    </row>
    <row r="131" spans="1:57" ht="18" hidden="1" customHeight="1">
      <c r="A131" s="2300" t="s">
        <v>987</v>
      </c>
    </row>
    <row r="132" spans="1:57" ht="18" hidden="1" customHeight="1" thickBot="1">
      <c r="A132" s="2365" t="s">
        <v>1575</v>
      </c>
      <c r="E132" s="2365"/>
      <c r="F132" s="5"/>
      <c r="G132" s="1652"/>
      <c r="H132" s="1652"/>
      <c r="I132" s="1652"/>
      <c r="J132" s="1652"/>
      <c r="K132" s="1652"/>
      <c r="L132" s="1652"/>
      <c r="M132" s="1652"/>
      <c r="O132" s="1652"/>
      <c r="Q132" s="3030" t="s">
        <v>966</v>
      </c>
      <c r="R132" s="1808" t="s">
        <v>351</v>
      </c>
      <c r="S132" s="5"/>
      <c r="T132" s="1652"/>
      <c r="U132" s="1652"/>
      <c r="V132" s="1652"/>
      <c r="W132" s="1652"/>
      <c r="X132" s="1652"/>
      <c r="Y132" s="1652"/>
      <c r="Z132" s="1652"/>
      <c r="AB132" s="1652"/>
      <c r="AD132" s="3030" t="s">
        <v>966</v>
      </c>
      <c r="AE132" s="1808" t="s">
        <v>351</v>
      </c>
      <c r="AF132" s="5"/>
      <c r="AG132" s="1652"/>
      <c r="AH132" s="1652"/>
      <c r="AI132" s="1652"/>
      <c r="AJ132" s="1652"/>
      <c r="AK132" s="1652"/>
      <c r="AL132" s="1652"/>
      <c r="AM132" s="1652"/>
      <c r="AO132" s="1652"/>
      <c r="AQ132" s="3030" t="s">
        <v>966</v>
      </c>
      <c r="AR132" s="1808" t="s">
        <v>351</v>
      </c>
      <c r="AS132" s="5"/>
      <c r="AT132" s="1652"/>
      <c r="AU132" s="1652"/>
      <c r="AV132" s="1652"/>
      <c r="AW132" s="1652"/>
      <c r="AX132" s="1652"/>
      <c r="AY132" s="1652"/>
      <c r="AZ132" s="1652"/>
      <c r="BB132" s="1652"/>
      <c r="BD132" s="3030" t="s">
        <v>966</v>
      </c>
      <c r="BE132" s="1546" t="s">
        <v>351</v>
      </c>
    </row>
    <row r="133" spans="1:57" ht="18" hidden="1" customHeight="1">
      <c r="A133" s="2455" t="s">
        <v>109</v>
      </c>
      <c r="B133" s="2456" t="s">
        <v>946</v>
      </c>
      <c r="C133" s="2456"/>
      <c r="D133" s="2456"/>
      <c r="E133" s="2457" t="s">
        <v>835</v>
      </c>
      <c r="F133" s="2565" t="s">
        <v>947</v>
      </c>
      <c r="G133" s="2565" t="s">
        <v>569</v>
      </c>
      <c r="H133" s="2565" t="s">
        <v>570</v>
      </c>
      <c r="I133" s="2565" t="s">
        <v>515</v>
      </c>
      <c r="J133" s="2565" t="s">
        <v>516</v>
      </c>
      <c r="K133" s="2565" t="s">
        <v>571</v>
      </c>
      <c r="L133" s="2565" t="s">
        <v>623</v>
      </c>
      <c r="M133" s="2565" t="s">
        <v>517</v>
      </c>
      <c r="N133" s="2565" t="s">
        <v>518</v>
      </c>
      <c r="O133" s="2565" t="s">
        <v>414</v>
      </c>
      <c r="P133" s="2565" t="s">
        <v>415</v>
      </c>
      <c r="Q133" s="2565" t="s">
        <v>416</v>
      </c>
      <c r="R133" s="3931" t="s">
        <v>15</v>
      </c>
      <c r="S133" s="2565" t="s">
        <v>947</v>
      </c>
      <c r="T133" s="2565" t="s">
        <v>569</v>
      </c>
      <c r="U133" s="2565" t="s">
        <v>570</v>
      </c>
      <c r="V133" s="2565" t="s">
        <v>515</v>
      </c>
      <c r="W133" s="2565" t="s">
        <v>516</v>
      </c>
      <c r="X133" s="2565" t="s">
        <v>571</v>
      </c>
      <c r="Y133" s="2565" t="s">
        <v>623</v>
      </c>
      <c r="Z133" s="2565" t="s">
        <v>517</v>
      </c>
      <c r="AA133" s="2565" t="s">
        <v>518</v>
      </c>
      <c r="AB133" s="2565" t="s">
        <v>414</v>
      </c>
      <c r="AC133" s="2565" t="s">
        <v>415</v>
      </c>
      <c r="AD133" s="2565" t="s">
        <v>416</v>
      </c>
      <c r="AE133" s="3931" t="s">
        <v>15</v>
      </c>
      <c r="AF133" s="2565" t="s">
        <v>947</v>
      </c>
      <c r="AG133" s="2565" t="s">
        <v>569</v>
      </c>
      <c r="AH133" s="2565" t="s">
        <v>570</v>
      </c>
      <c r="AI133" s="2565" t="s">
        <v>515</v>
      </c>
      <c r="AJ133" s="2565" t="s">
        <v>516</v>
      </c>
      <c r="AK133" s="2565" t="s">
        <v>571</v>
      </c>
      <c r="AL133" s="2565" t="s">
        <v>623</v>
      </c>
      <c r="AM133" s="2565" t="s">
        <v>517</v>
      </c>
      <c r="AN133" s="2565" t="s">
        <v>518</v>
      </c>
      <c r="AO133" s="2565" t="s">
        <v>414</v>
      </c>
      <c r="AP133" s="2565" t="s">
        <v>415</v>
      </c>
      <c r="AQ133" s="2565" t="s">
        <v>416</v>
      </c>
      <c r="AR133" s="3931" t="s">
        <v>15</v>
      </c>
      <c r="AS133" s="2565" t="s">
        <v>947</v>
      </c>
      <c r="AT133" s="2565" t="s">
        <v>569</v>
      </c>
      <c r="AU133" s="2565" t="s">
        <v>570</v>
      </c>
      <c r="AV133" s="2565" t="s">
        <v>515</v>
      </c>
      <c r="AW133" s="2565" t="s">
        <v>516</v>
      </c>
      <c r="AX133" s="2565" t="s">
        <v>571</v>
      </c>
      <c r="AY133" s="2565" t="s">
        <v>623</v>
      </c>
      <c r="AZ133" s="2565" t="s">
        <v>517</v>
      </c>
      <c r="BA133" s="2456" t="s">
        <v>518</v>
      </c>
      <c r="BB133" s="2456" t="s">
        <v>414</v>
      </c>
      <c r="BC133" s="2456" t="s">
        <v>415</v>
      </c>
      <c r="BD133" s="2456" t="s">
        <v>416</v>
      </c>
      <c r="BE133" s="2457" t="s">
        <v>15</v>
      </c>
    </row>
    <row r="134" spans="1:57" ht="18" hidden="1" customHeight="1">
      <c r="A134" s="5350" t="s">
        <v>948</v>
      </c>
      <c r="B134" s="2458" t="s">
        <v>965</v>
      </c>
      <c r="C134" s="2459"/>
      <c r="D134" s="2459"/>
      <c r="E134" s="2460">
        <f>AVERAGE(F134:Q134)</f>
        <v>1067.3333333333333</v>
      </c>
      <c r="F134" s="3902">
        <v>940</v>
      </c>
      <c r="G134" s="3902">
        <v>1129</v>
      </c>
      <c r="H134" s="3902">
        <v>1202</v>
      </c>
      <c r="I134" s="3902">
        <v>1112</v>
      </c>
      <c r="J134" s="3902">
        <v>1161</v>
      </c>
      <c r="K134" s="3902">
        <v>1028</v>
      </c>
      <c r="L134" s="3902">
        <v>1078</v>
      </c>
      <c r="M134" s="3902">
        <v>1026</v>
      </c>
      <c r="N134" s="3902">
        <v>930</v>
      </c>
      <c r="O134" s="3932"/>
      <c r="P134" s="3932"/>
      <c r="Q134" s="3932"/>
      <c r="R134" s="3933">
        <f>SUM(F134:N134)</f>
        <v>9606</v>
      </c>
      <c r="S134" s="3902">
        <v>940</v>
      </c>
      <c r="T134" s="3902">
        <v>1129</v>
      </c>
      <c r="U134" s="3902">
        <v>1202</v>
      </c>
      <c r="V134" s="3902">
        <v>1112</v>
      </c>
      <c r="W134" s="3902">
        <v>1161</v>
      </c>
      <c r="X134" s="3902">
        <v>1028</v>
      </c>
      <c r="Y134" s="3902">
        <v>1078</v>
      </c>
      <c r="Z134" s="3902">
        <v>1026</v>
      </c>
      <c r="AA134" s="3902">
        <v>930</v>
      </c>
      <c r="AB134" s="3932"/>
      <c r="AC134" s="3932"/>
      <c r="AD134" s="3932"/>
      <c r="AE134" s="3933">
        <f>SUM(S134:AA134)</f>
        <v>9606</v>
      </c>
      <c r="AF134" s="3902">
        <v>940</v>
      </c>
      <c r="AG134" s="3902">
        <v>1129</v>
      </c>
      <c r="AH134" s="3902">
        <v>1202</v>
      </c>
      <c r="AI134" s="3902">
        <v>1112</v>
      </c>
      <c r="AJ134" s="3902">
        <v>1161</v>
      </c>
      <c r="AK134" s="3902">
        <v>1028</v>
      </c>
      <c r="AL134" s="3902">
        <v>1078</v>
      </c>
      <c r="AM134" s="3902">
        <v>1026</v>
      </c>
      <c r="AN134" s="3902">
        <v>930</v>
      </c>
      <c r="AO134" s="3932"/>
      <c r="AP134" s="3932"/>
      <c r="AQ134" s="3932"/>
      <c r="AR134" s="3933">
        <f>SUM(AF134:AN134)</f>
        <v>9606</v>
      </c>
      <c r="AS134" s="3902">
        <v>940</v>
      </c>
      <c r="AT134" s="3902">
        <v>1129</v>
      </c>
      <c r="AU134" s="3902">
        <v>1202</v>
      </c>
      <c r="AV134" s="3902">
        <v>1112</v>
      </c>
      <c r="AW134" s="3902">
        <v>1161</v>
      </c>
      <c r="AX134" s="3902">
        <v>1028</v>
      </c>
      <c r="AY134" s="3902">
        <v>1078</v>
      </c>
      <c r="AZ134" s="3902">
        <v>1026</v>
      </c>
      <c r="BA134" s="2461">
        <v>930</v>
      </c>
      <c r="BB134" s="2462"/>
      <c r="BC134" s="2462"/>
      <c r="BD134" s="2462"/>
      <c r="BE134" s="2460">
        <f>SUM(AS134:BA134)</f>
        <v>9606</v>
      </c>
    </row>
    <row r="135" spans="1:57" ht="18" hidden="1" customHeight="1">
      <c r="A135" s="5351"/>
      <c r="B135" s="2463" t="s">
        <v>949</v>
      </c>
      <c r="C135" s="2463"/>
      <c r="D135" s="2463"/>
      <c r="E135" s="2460">
        <f>AVERAGE(F135:Q135)</f>
        <v>111.44444444444444</v>
      </c>
      <c r="F135" s="3902">
        <v>31</v>
      </c>
      <c r="G135" s="3902">
        <v>160</v>
      </c>
      <c r="H135" s="3902">
        <v>188</v>
      </c>
      <c r="I135" s="3902">
        <v>100</v>
      </c>
      <c r="J135" s="3902">
        <v>163</v>
      </c>
      <c r="K135" s="3902">
        <v>103</v>
      </c>
      <c r="L135" s="3902">
        <v>126</v>
      </c>
      <c r="M135" s="3902">
        <v>91</v>
      </c>
      <c r="N135" s="3902">
        <v>41</v>
      </c>
      <c r="O135" s="3932"/>
      <c r="P135" s="3932"/>
      <c r="Q135" s="3932"/>
      <c r="R135" s="3933">
        <f>SUM(F135:N135)</f>
        <v>1003</v>
      </c>
      <c r="S135" s="3902">
        <v>31</v>
      </c>
      <c r="T135" s="3902">
        <v>160</v>
      </c>
      <c r="U135" s="3902">
        <v>188</v>
      </c>
      <c r="V135" s="3902">
        <v>100</v>
      </c>
      <c r="W135" s="3902">
        <v>163</v>
      </c>
      <c r="X135" s="3902">
        <v>103</v>
      </c>
      <c r="Y135" s="3902">
        <v>126</v>
      </c>
      <c r="Z135" s="3902">
        <v>91</v>
      </c>
      <c r="AA135" s="3902">
        <v>41</v>
      </c>
      <c r="AB135" s="3932"/>
      <c r="AC135" s="3932"/>
      <c r="AD135" s="3932"/>
      <c r="AE135" s="3933">
        <f>SUM(S135:AA135)</f>
        <v>1003</v>
      </c>
      <c r="AF135" s="3902">
        <v>31</v>
      </c>
      <c r="AG135" s="3902">
        <v>160</v>
      </c>
      <c r="AH135" s="3902">
        <v>188</v>
      </c>
      <c r="AI135" s="3902">
        <v>100</v>
      </c>
      <c r="AJ135" s="3902">
        <v>163</v>
      </c>
      <c r="AK135" s="3902">
        <v>103</v>
      </c>
      <c r="AL135" s="3902">
        <v>126</v>
      </c>
      <c r="AM135" s="3902">
        <v>91</v>
      </c>
      <c r="AN135" s="3902">
        <v>41</v>
      </c>
      <c r="AO135" s="3932"/>
      <c r="AP135" s="3932"/>
      <c r="AQ135" s="3932"/>
      <c r="AR135" s="3933">
        <f>SUM(AF135:AN135)</f>
        <v>1003</v>
      </c>
      <c r="AS135" s="3902">
        <v>31</v>
      </c>
      <c r="AT135" s="3902">
        <v>160</v>
      </c>
      <c r="AU135" s="3902">
        <v>188</v>
      </c>
      <c r="AV135" s="3902">
        <v>100</v>
      </c>
      <c r="AW135" s="3902">
        <v>163</v>
      </c>
      <c r="AX135" s="3902">
        <v>103</v>
      </c>
      <c r="AY135" s="3902">
        <v>126</v>
      </c>
      <c r="AZ135" s="3902">
        <v>91</v>
      </c>
      <c r="BA135" s="2461">
        <v>41</v>
      </c>
      <c r="BB135" s="2462"/>
      <c r="BC135" s="2462"/>
      <c r="BD135" s="2462"/>
      <c r="BE135" s="2460">
        <f>SUM(AS135:BA135)</f>
        <v>1003</v>
      </c>
    </row>
    <row r="136" spans="1:57" ht="18" hidden="1" customHeight="1" thickBot="1">
      <c r="A136" s="76"/>
      <c r="B136" s="2464" t="s">
        <v>955</v>
      </c>
      <c r="C136" s="2465"/>
      <c r="D136" s="2465"/>
      <c r="E136" s="2466"/>
      <c r="F136" s="3903">
        <f t="shared" ref="F136:N136" si="529">F135/F134</f>
        <v>3.2978723404255318E-2</v>
      </c>
      <c r="G136" s="3903">
        <f t="shared" si="529"/>
        <v>0.141718334809566</v>
      </c>
      <c r="H136" s="3903">
        <f t="shared" si="529"/>
        <v>0.15640599001663893</v>
      </c>
      <c r="I136" s="3903">
        <f t="shared" si="529"/>
        <v>8.9928057553956831E-2</v>
      </c>
      <c r="J136" s="3903">
        <f t="shared" si="529"/>
        <v>0.14039621016365203</v>
      </c>
      <c r="K136" s="3903">
        <f t="shared" si="529"/>
        <v>0.10019455252918288</v>
      </c>
      <c r="L136" s="3903">
        <f t="shared" si="529"/>
        <v>0.11688311688311688</v>
      </c>
      <c r="M136" s="3903">
        <f t="shared" si="529"/>
        <v>8.8693957115009742E-2</v>
      </c>
      <c r="N136" s="3903">
        <f t="shared" si="529"/>
        <v>4.4086021505376341E-2</v>
      </c>
      <c r="O136" s="3903"/>
      <c r="P136" s="3903"/>
      <c r="Q136" s="3903"/>
      <c r="R136" s="3934">
        <f>R135/R134</f>
        <v>0.1044139079741828</v>
      </c>
      <c r="S136" s="3935">
        <f t="shared" ref="S136:AA136" si="530">S135/S134</f>
        <v>3.2978723404255318E-2</v>
      </c>
      <c r="T136" s="3935">
        <f t="shared" si="530"/>
        <v>0.141718334809566</v>
      </c>
      <c r="U136" s="3935">
        <f t="shared" si="530"/>
        <v>0.15640599001663893</v>
      </c>
      <c r="V136" s="3935">
        <f t="shared" si="530"/>
        <v>8.9928057553956831E-2</v>
      </c>
      <c r="W136" s="3935">
        <f t="shared" si="530"/>
        <v>0.14039621016365203</v>
      </c>
      <c r="X136" s="3935">
        <f t="shared" si="530"/>
        <v>0.10019455252918288</v>
      </c>
      <c r="Y136" s="3935">
        <f t="shared" si="530"/>
        <v>0.11688311688311688</v>
      </c>
      <c r="Z136" s="3935">
        <f t="shared" si="530"/>
        <v>8.8693957115009742E-2</v>
      </c>
      <c r="AA136" s="3935">
        <f t="shared" si="530"/>
        <v>4.4086021505376341E-2</v>
      </c>
      <c r="AB136" s="3935"/>
      <c r="AC136" s="3935"/>
      <c r="AD136" s="3935"/>
      <c r="AE136" s="3934">
        <f>AE135/AE134</f>
        <v>0.1044139079741828</v>
      </c>
      <c r="AF136" s="3935">
        <f t="shared" ref="AF136:AN136" si="531">AF135/AF134</f>
        <v>3.2978723404255318E-2</v>
      </c>
      <c r="AG136" s="3935">
        <f t="shared" si="531"/>
        <v>0.141718334809566</v>
      </c>
      <c r="AH136" s="3935">
        <f t="shared" si="531"/>
        <v>0.15640599001663893</v>
      </c>
      <c r="AI136" s="3935">
        <f t="shared" si="531"/>
        <v>8.9928057553956831E-2</v>
      </c>
      <c r="AJ136" s="3935">
        <f t="shared" si="531"/>
        <v>0.14039621016365203</v>
      </c>
      <c r="AK136" s="3935">
        <f t="shared" si="531"/>
        <v>0.10019455252918288</v>
      </c>
      <c r="AL136" s="3935">
        <f t="shared" si="531"/>
        <v>0.11688311688311688</v>
      </c>
      <c r="AM136" s="3935">
        <f t="shared" si="531"/>
        <v>8.8693957115009742E-2</v>
      </c>
      <c r="AN136" s="3935">
        <f t="shared" si="531"/>
        <v>4.4086021505376341E-2</v>
      </c>
      <c r="AO136" s="3935"/>
      <c r="AP136" s="3935"/>
      <c r="AQ136" s="3935"/>
      <c r="AR136" s="3934">
        <f>AR135/AR134</f>
        <v>0.1044139079741828</v>
      </c>
      <c r="AS136" s="3935">
        <f t="shared" ref="AS136:BA136" si="532">AS135/AS134</f>
        <v>3.2978723404255318E-2</v>
      </c>
      <c r="AT136" s="3935">
        <f t="shared" si="532"/>
        <v>0.141718334809566</v>
      </c>
      <c r="AU136" s="3935">
        <f t="shared" si="532"/>
        <v>0.15640599001663893</v>
      </c>
      <c r="AV136" s="3935">
        <f t="shared" si="532"/>
        <v>8.9928057553956831E-2</v>
      </c>
      <c r="AW136" s="3935">
        <f t="shared" si="532"/>
        <v>0.14039621016365203</v>
      </c>
      <c r="AX136" s="3935">
        <f t="shared" si="532"/>
        <v>0.10019455252918288</v>
      </c>
      <c r="AY136" s="3935">
        <f t="shared" si="532"/>
        <v>0.11688311688311688</v>
      </c>
      <c r="AZ136" s="3935">
        <f t="shared" si="532"/>
        <v>8.8693957115009742E-2</v>
      </c>
      <c r="BA136" s="3615">
        <f t="shared" si="532"/>
        <v>4.4086021505376341E-2</v>
      </c>
      <c r="BB136" s="3615"/>
      <c r="BC136" s="3615"/>
      <c r="BD136" s="3615"/>
      <c r="BE136" s="3614">
        <f>BE135/BE134</f>
        <v>0.1044139079741828</v>
      </c>
    </row>
    <row r="137" spans="1:57" ht="18" hidden="1" customHeight="1"/>
    <row r="138" spans="1:57" ht="18" hidden="1" customHeight="1"/>
    <row r="139" spans="1:57" ht="18" hidden="1" customHeight="1"/>
    <row r="140" spans="1:57" ht="18" hidden="1" customHeight="1" thickBot="1">
      <c r="A140" s="2467" t="s">
        <v>1574</v>
      </c>
      <c r="R140" s="1808" t="s">
        <v>87</v>
      </c>
      <c r="AE140" s="1808" t="s">
        <v>87</v>
      </c>
      <c r="AR140" s="1808" t="s">
        <v>87</v>
      </c>
      <c r="BE140" s="1546" t="s">
        <v>87</v>
      </c>
    </row>
    <row r="141" spans="1:57" ht="18" hidden="1" customHeight="1" thickBot="1">
      <c r="B141" s="42" t="s">
        <v>809</v>
      </c>
      <c r="C141" s="42"/>
      <c r="D141" s="42"/>
      <c r="E141" s="2468" t="s">
        <v>835</v>
      </c>
      <c r="F141" s="1877" t="s">
        <v>1350</v>
      </c>
      <c r="G141" s="1877" t="s">
        <v>1351</v>
      </c>
      <c r="H141" s="1877" t="s">
        <v>1352</v>
      </c>
      <c r="I141" s="1877" t="s">
        <v>1353</v>
      </c>
      <c r="J141" s="1877" t="s">
        <v>1354</v>
      </c>
      <c r="K141" s="1877" t="s">
        <v>1355</v>
      </c>
      <c r="L141" s="1877" t="s">
        <v>1356</v>
      </c>
      <c r="M141" s="1877" t="s">
        <v>1357</v>
      </c>
      <c r="N141" s="1877" t="s">
        <v>1358</v>
      </c>
      <c r="O141" s="1877" t="s">
        <v>1359</v>
      </c>
      <c r="P141" s="1877" t="s">
        <v>1360</v>
      </c>
      <c r="Q141" s="33" t="s">
        <v>1361</v>
      </c>
      <c r="R141" s="2598" t="s">
        <v>15</v>
      </c>
      <c r="S141" s="1877" t="s">
        <v>430</v>
      </c>
      <c r="T141" s="1877" t="s">
        <v>557</v>
      </c>
      <c r="U141" s="1877" t="s">
        <v>558</v>
      </c>
      <c r="V141" s="1877" t="s">
        <v>431</v>
      </c>
      <c r="W141" s="1877" t="s">
        <v>559</v>
      </c>
      <c r="X141" s="1877" t="s">
        <v>560</v>
      </c>
      <c r="Y141" s="1877" t="s">
        <v>561</v>
      </c>
      <c r="Z141" s="1877" t="s">
        <v>562</v>
      </c>
      <c r="AA141" s="1877" t="s">
        <v>563</v>
      </c>
      <c r="AB141" s="1877" t="s">
        <v>564</v>
      </c>
      <c r="AC141" s="1877" t="s">
        <v>565</v>
      </c>
      <c r="AD141" s="33" t="s">
        <v>566</v>
      </c>
      <c r="AE141" s="2598" t="s">
        <v>15</v>
      </c>
      <c r="AF141" s="1877" t="s">
        <v>430</v>
      </c>
      <c r="AG141" s="1877" t="s">
        <v>557</v>
      </c>
      <c r="AH141" s="1877" t="s">
        <v>558</v>
      </c>
      <c r="AI141" s="1877" t="s">
        <v>431</v>
      </c>
      <c r="AJ141" s="1877" t="s">
        <v>559</v>
      </c>
      <c r="AK141" s="1877" t="s">
        <v>560</v>
      </c>
      <c r="AL141" s="1877" t="s">
        <v>561</v>
      </c>
      <c r="AM141" s="1877" t="s">
        <v>562</v>
      </c>
      <c r="AN141" s="1877" t="s">
        <v>563</v>
      </c>
      <c r="AO141" s="1877" t="s">
        <v>564</v>
      </c>
      <c r="AP141" s="1877" t="s">
        <v>565</v>
      </c>
      <c r="AQ141" s="33" t="s">
        <v>566</v>
      </c>
      <c r="AR141" s="2598" t="s">
        <v>15</v>
      </c>
      <c r="AS141" s="1877" t="s">
        <v>430</v>
      </c>
      <c r="AT141" s="1877" t="s">
        <v>557</v>
      </c>
      <c r="AU141" s="1877" t="s">
        <v>558</v>
      </c>
      <c r="AV141" s="1877" t="s">
        <v>431</v>
      </c>
      <c r="AW141" s="1877" t="s">
        <v>559</v>
      </c>
      <c r="AX141" s="1877" t="s">
        <v>560</v>
      </c>
      <c r="AY141" s="1877" t="s">
        <v>561</v>
      </c>
      <c r="AZ141" s="1877" t="s">
        <v>562</v>
      </c>
      <c r="BA141" s="1877" t="s">
        <v>563</v>
      </c>
      <c r="BB141" s="1877" t="s">
        <v>564</v>
      </c>
      <c r="BC141" s="1877" t="s">
        <v>565</v>
      </c>
      <c r="BD141" s="33" t="s">
        <v>566</v>
      </c>
      <c r="BE141" s="2598" t="s">
        <v>15</v>
      </c>
    </row>
    <row r="142" spans="1:57" ht="18" hidden="1" customHeight="1" thickBot="1">
      <c r="B142" s="2469" t="s">
        <v>810</v>
      </c>
      <c r="C142" s="2469"/>
      <c r="D142" s="2469"/>
      <c r="E142" s="15">
        <f>AVERAGE(F142:Q142)</f>
        <v>3693883.4519483359</v>
      </c>
      <c r="F142" s="4384">
        <f>'2. S Plan'!L172</f>
        <v>3689370.7909659981</v>
      </c>
      <c r="G142" s="4384">
        <f>'2. S Plan'!M172</f>
        <v>3451251.7566912733</v>
      </c>
      <c r="H142" s="4384">
        <f>'2. S Plan'!N172</f>
        <v>4023114.0734396363</v>
      </c>
      <c r="I142" s="4384">
        <f>'2. S Plan'!O172</f>
        <v>3850246.6333384831</v>
      </c>
      <c r="J142" s="4384">
        <f>'2. S Plan'!P172</f>
        <v>3814590.8696524575</v>
      </c>
      <c r="K142" s="4384">
        <f>'2. S Plan'!Q172</f>
        <v>3948595.7484216876</v>
      </c>
      <c r="L142" s="4384">
        <f>'2. S Plan'!R172</f>
        <v>3843433.8374575851</v>
      </c>
      <c r="M142" s="4384">
        <f>'2. S Plan'!S172</f>
        <v>3689063.8304375857</v>
      </c>
      <c r="N142" s="4384">
        <f>'2. S Plan'!T172</f>
        <v>3689997.7635553544</v>
      </c>
      <c r="O142" s="4384">
        <f>'2. S Plan'!U172</f>
        <v>3676789.6920349244</v>
      </c>
      <c r="P142" s="4384">
        <f>'2. S Plan'!V172</f>
        <v>3418162.2204263574</v>
      </c>
      <c r="Q142" s="4384">
        <f>'2. S Plan'!W172</f>
        <v>3231984.2069586907</v>
      </c>
      <c r="R142" s="3042">
        <f>SUM(F142:Q142)</f>
        <v>44326601.423380032</v>
      </c>
      <c r="S142" s="2415" t="e">
        <f>'2. S Plan'!#REF!</f>
        <v>#REF!</v>
      </c>
      <c r="T142" s="2415" t="e">
        <f>'2. S Plan'!#REF!</f>
        <v>#REF!</v>
      </c>
      <c r="U142" s="2415" t="e">
        <f>'2. S Plan'!#REF!</f>
        <v>#REF!</v>
      </c>
      <c r="V142" s="2415" t="e">
        <f>'2. S Plan'!#REF!</f>
        <v>#REF!</v>
      </c>
      <c r="W142" s="2415" t="e">
        <f>'2. S Plan'!#REF!</f>
        <v>#REF!</v>
      </c>
      <c r="X142" s="2415" t="e">
        <f>'2. S Plan'!#REF!</f>
        <v>#REF!</v>
      </c>
      <c r="Y142" s="2415" t="e">
        <f>'2. S Plan'!#REF!</f>
        <v>#REF!</v>
      </c>
      <c r="Z142" s="2415" t="e">
        <f>'2. S Plan'!#REF!</f>
        <v>#REF!</v>
      </c>
      <c r="AA142" s="2415" t="e">
        <f>'2. S Plan'!#REF!</f>
        <v>#REF!</v>
      </c>
      <c r="AB142" s="2415" t="e">
        <f>'2. S Plan'!#REF!</f>
        <v>#REF!</v>
      </c>
      <c r="AC142" s="2415" t="e">
        <f>'2. S Plan'!#REF!</f>
        <v>#REF!</v>
      </c>
      <c r="AD142" s="2415" t="e">
        <f>'2. S Plan'!#REF!</f>
        <v>#REF!</v>
      </c>
      <c r="AE142" s="3042" t="e">
        <f>SUM(S142:AD142)</f>
        <v>#REF!</v>
      </c>
      <c r="AF142" s="2415" t="e">
        <f>'2. S Plan'!#REF!</f>
        <v>#REF!</v>
      </c>
      <c r="AG142" s="2415" t="e">
        <f>'2. S Plan'!#REF!</f>
        <v>#REF!</v>
      </c>
      <c r="AH142" s="2415" t="e">
        <f>'2. S Plan'!#REF!</f>
        <v>#REF!</v>
      </c>
      <c r="AI142" s="2415" t="e">
        <f>'2. S Plan'!#REF!</f>
        <v>#REF!</v>
      </c>
      <c r="AJ142" s="2415" t="e">
        <f>'2. S Plan'!#REF!</f>
        <v>#REF!</v>
      </c>
      <c r="AK142" s="2415" t="e">
        <f>'2. S Plan'!#REF!</f>
        <v>#REF!</v>
      </c>
      <c r="AL142" s="2415" t="e">
        <f>'2. S Plan'!#REF!</f>
        <v>#REF!</v>
      </c>
      <c r="AM142" s="2415" t="e">
        <f>'2. S Plan'!#REF!</f>
        <v>#REF!</v>
      </c>
      <c r="AN142" s="2415" t="e">
        <f>'2. S Plan'!#REF!</f>
        <v>#REF!</v>
      </c>
      <c r="AO142" s="2415" t="e">
        <f>'2. S Plan'!#REF!</f>
        <v>#REF!</v>
      </c>
      <c r="AP142" s="2415" t="e">
        <f>'2. S Plan'!#REF!</f>
        <v>#REF!</v>
      </c>
      <c r="AQ142" s="2415" t="e">
        <f>'2. S Plan'!#REF!</f>
        <v>#REF!</v>
      </c>
      <c r="AR142" s="3042" t="e">
        <f>SUM(AF142:AQ142)</f>
        <v>#REF!</v>
      </c>
      <c r="AS142" s="2415" t="e">
        <f>'2. S Plan'!#REF!</f>
        <v>#REF!</v>
      </c>
      <c r="AT142" s="2415" t="e">
        <f>'2. S Plan'!#REF!</f>
        <v>#REF!</v>
      </c>
      <c r="AU142" s="2415" t="e">
        <f>'2. S Plan'!#REF!</f>
        <v>#REF!</v>
      </c>
      <c r="AV142" s="2415" t="e">
        <f>'2. S Plan'!#REF!</f>
        <v>#REF!</v>
      </c>
      <c r="AW142" s="2415" t="e">
        <f>'2. S Plan'!#REF!</f>
        <v>#REF!</v>
      </c>
      <c r="AX142" s="2415" t="e">
        <f>'2. S Plan'!#REF!</f>
        <v>#REF!</v>
      </c>
      <c r="AY142" s="2415" t="e">
        <f>'2. S Plan'!#REF!</f>
        <v>#REF!</v>
      </c>
      <c r="AZ142" s="2415" t="e">
        <f>'2. S Plan'!#REF!</f>
        <v>#REF!</v>
      </c>
      <c r="BA142" s="2415" t="e">
        <f>'2. S Plan'!#REF!</f>
        <v>#REF!</v>
      </c>
      <c r="BB142" s="2415" t="e">
        <f>'2. S Plan'!#REF!</f>
        <v>#REF!</v>
      </c>
      <c r="BC142" s="2415" t="e">
        <f>'2. S Plan'!#REF!</f>
        <v>#REF!</v>
      </c>
      <c r="BD142" s="2415" t="e">
        <f>'2. S Plan'!#REF!</f>
        <v>#REF!</v>
      </c>
      <c r="BE142" s="3042" t="e">
        <f>SUM(AS142:BD142)</f>
        <v>#REF!</v>
      </c>
    </row>
    <row r="143" spans="1:57" ht="18" hidden="1" customHeight="1" thickBot="1">
      <c r="B143" s="1714" t="s">
        <v>959</v>
      </c>
      <c r="C143" s="1714"/>
      <c r="D143" s="1714"/>
      <c r="E143" s="1799">
        <f t="shared" ref="E143:E145" si="533">AVERAGE(F143:Q143)</f>
        <v>7213.8510457977936</v>
      </c>
      <c r="F143" s="2470">
        <f t="shared" ref="F143:Q143" si="534">F142/F36</f>
        <v>6286.2453862842331</v>
      </c>
      <c r="G143" s="2470">
        <f t="shared" si="534"/>
        <v>6031.1035306614604</v>
      </c>
      <c r="H143" s="2470">
        <f t="shared" si="534"/>
        <v>7241.0711390016222</v>
      </c>
      <c r="I143" s="2470">
        <f t="shared" si="534"/>
        <v>7118.8328414030329</v>
      </c>
      <c r="J143" s="2470">
        <f t="shared" si="534"/>
        <v>7236.5548131237947</v>
      </c>
      <c r="K143" s="2470">
        <f t="shared" si="534"/>
        <v>7674.2943471331109</v>
      </c>
      <c r="L143" s="2470">
        <f t="shared" si="534"/>
        <v>7642.2433106349799</v>
      </c>
      <c r="M143" s="2470">
        <f t="shared" si="534"/>
        <v>7494.8206080961891</v>
      </c>
      <c r="N143" s="2470">
        <f t="shared" si="534"/>
        <v>7650.5962168563847</v>
      </c>
      <c r="O143" s="2470">
        <f t="shared" si="534"/>
        <v>7769.3992321795013</v>
      </c>
      <c r="P143" s="2470">
        <f t="shared" si="534"/>
        <v>7352.412627435303</v>
      </c>
      <c r="Q143" s="2470">
        <f t="shared" si="534"/>
        <v>7068.6384967639106</v>
      </c>
      <c r="R143" s="3043" t="e">
        <f>R142/#REF!</f>
        <v>#REF!</v>
      </c>
      <c r="S143" s="2470" t="e">
        <f t="shared" ref="S143:AD143" si="535">S142/S36</f>
        <v>#REF!</v>
      </c>
      <c r="T143" s="2470" t="e">
        <f t="shared" si="535"/>
        <v>#REF!</v>
      </c>
      <c r="U143" s="2470" t="e">
        <f t="shared" si="535"/>
        <v>#REF!</v>
      </c>
      <c r="V143" s="2470" t="e">
        <f t="shared" si="535"/>
        <v>#REF!</v>
      </c>
      <c r="W143" s="2470" t="e">
        <f t="shared" si="535"/>
        <v>#REF!</v>
      </c>
      <c r="X143" s="2470" t="e">
        <f t="shared" si="535"/>
        <v>#REF!</v>
      </c>
      <c r="Y143" s="2470" t="e">
        <f t="shared" si="535"/>
        <v>#REF!</v>
      </c>
      <c r="Z143" s="2470" t="e">
        <f t="shared" si="535"/>
        <v>#REF!</v>
      </c>
      <c r="AA143" s="2470" t="e">
        <f t="shared" si="535"/>
        <v>#REF!</v>
      </c>
      <c r="AB143" s="2470" t="e">
        <f t="shared" si="535"/>
        <v>#REF!</v>
      </c>
      <c r="AC143" s="2470" t="e">
        <f t="shared" si="535"/>
        <v>#REF!</v>
      </c>
      <c r="AD143" s="2470" t="e">
        <f t="shared" si="535"/>
        <v>#REF!</v>
      </c>
      <c r="AE143" s="3043" t="e">
        <f>AE142/#REF!</f>
        <v>#REF!</v>
      </c>
      <c r="AF143" s="2470" t="e">
        <f t="shared" ref="AF143:AQ143" si="536">AF142/AF36</f>
        <v>#REF!</v>
      </c>
      <c r="AG143" s="2470" t="e">
        <f t="shared" si="536"/>
        <v>#REF!</v>
      </c>
      <c r="AH143" s="2470" t="e">
        <f t="shared" si="536"/>
        <v>#REF!</v>
      </c>
      <c r="AI143" s="2470" t="e">
        <f t="shared" si="536"/>
        <v>#REF!</v>
      </c>
      <c r="AJ143" s="2470" t="e">
        <f t="shared" si="536"/>
        <v>#REF!</v>
      </c>
      <c r="AK143" s="2470" t="e">
        <f t="shared" si="536"/>
        <v>#REF!</v>
      </c>
      <c r="AL143" s="2470" t="e">
        <f t="shared" si="536"/>
        <v>#REF!</v>
      </c>
      <c r="AM143" s="2470" t="e">
        <f t="shared" si="536"/>
        <v>#REF!</v>
      </c>
      <c r="AN143" s="2470" t="e">
        <f t="shared" si="536"/>
        <v>#REF!</v>
      </c>
      <c r="AO143" s="2470" t="e">
        <f t="shared" si="536"/>
        <v>#REF!</v>
      </c>
      <c r="AP143" s="2470" t="e">
        <f t="shared" si="536"/>
        <v>#REF!</v>
      </c>
      <c r="AQ143" s="2470" t="e">
        <f t="shared" si="536"/>
        <v>#REF!</v>
      </c>
      <c r="AR143" s="3043" t="e">
        <f>AR142/#REF!</f>
        <v>#REF!</v>
      </c>
      <c r="AS143" s="2470" t="e">
        <f t="shared" ref="AS143:BD143" si="537">AS142/AS36</f>
        <v>#REF!</v>
      </c>
      <c r="AT143" s="2470" t="e">
        <f t="shared" si="537"/>
        <v>#REF!</v>
      </c>
      <c r="AU143" s="2470" t="e">
        <f t="shared" si="537"/>
        <v>#REF!</v>
      </c>
      <c r="AV143" s="2470" t="e">
        <f t="shared" si="537"/>
        <v>#REF!</v>
      </c>
      <c r="AW143" s="2470" t="e">
        <f t="shared" si="537"/>
        <v>#REF!</v>
      </c>
      <c r="AX143" s="2470" t="e">
        <f t="shared" si="537"/>
        <v>#REF!</v>
      </c>
      <c r="AY143" s="2470" t="e">
        <f t="shared" si="537"/>
        <v>#REF!</v>
      </c>
      <c r="AZ143" s="2470" t="e">
        <f t="shared" si="537"/>
        <v>#REF!</v>
      </c>
      <c r="BA143" s="2470" t="e">
        <f t="shared" si="537"/>
        <v>#REF!</v>
      </c>
      <c r="BB143" s="2470" t="e">
        <f t="shared" si="537"/>
        <v>#REF!</v>
      </c>
      <c r="BC143" s="2470" t="e">
        <f t="shared" si="537"/>
        <v>#REF!</v>
      </c>
      <c r="BD143" s="2470" t="e">
        <f t="shared" si="537"/>
        <v>#REF!</v>
      </c>
      <c r="BE143" s="3043" t="e">
        <f>BE142/#REF!</f>
        <v>#REF!</v>
      </c>
    </row>
    <row r="144" spans="1:57" ht="18" hidden="1" customHeight="1">
      <c r="B144" s="2471" t="s">
        <v>960</v>
      </c>
      <c r="C144" s="2471"/>
      <c r="D144" s="2471"/>
      <c r="E144" s="11">
        <f t="shared" si="533"/>
        <v>3735127.5322579495</v>
      </c>
      <c r="F144" s="2472">
        <f>'3. P PLAN'!J170</f>
        <v>3515511.5712321633</v>
      </c>
      <c r="G144" s="2472">
        <f>'3. P PLAN'!K170</f>
        <v>3300633.5157575971</v>
      </c>
      <c r="H144" s="2472">
        <f>'3. P PLAN'!L170</f>
        <v>4100054.6492991159</v>
      </c>
      <c r="I144" s="2472">
        <f>'3. P PLAN'!M170</f>
        <v>3993512.1024776734</v>
      </c>
      <c r="J144" s="2472">
        <f>'3. P PLAN'!N170</f>
        <v>3989621.1372696757</v>
      </c>
      <c r="K144" s="2472">
        <f>'3. P PLAN'!O170</f>
        <v>4164374.8030259982</v>
      </c>
      <c r="L144" s="2472">
        <f>'3. P PLAN'!P170</f>
        <v>3938297.8343219883</v>
      </c>
      <c r="M144" s="2472">
        <f>'3. P PLAN'!Q170</f>
        <v>3759833.4506805609</v>
      </c>
      <c r="N144" s="2472">
        <f>'3. P PLAN'!R170</f>
        <v>3867594.1459718044</v>
      </c>
      <c r="O144" s="2472">
        <f>'3. P PLAN'!S170</f>
        <v>3784811.3595246095</v>
      </c>
      <c r="P144" s="2472">
        <f>'3. P PLAN'!T170</f>
        <v>3306210.3884286662</v>
      </c>
      <c r="Q144" s="2472">
        <f>'3. P PLAN'!U170</f>
        <v>3101075.4291055417</v>
      </c>
      <c r="R144" s="3936">
        <f>SUM(F144:Q144)</f>
        <v>44821530.387095392</v>
      </c>
      <c r="S144" s="2472" t="e">
        <f>'3. P PLAN'!#REF!</f>
        <v>#REF!</v>
      </c>
      <c r="T144" s="2472" t="e">
        <f>'3. P PLAN'!#REF!</f>
        <v>#REF!</v>
      </c>
      <c r="U144" s="2472" t="e">
        <f>'3. P PLAN'!#REF!</f>
        <v>#REF!</v>
      </c>
      <c r="V144" s="2472" t="e">
        <f>'3. P PLAN'!#REF!</f>
        <v>#REF!</v>
      </c>
      <c r="W144" s="2472" t="e">
        <f>'3. P PLAN'!#REF!</f>
        <v>#REF!</v>
      </c>
      <c r="X144" s="2472" t="e">
        <f>'3. P PLAN'!#REF!</f>
        <v>#REF!</v>
      </c>
      <c r="Y144" s="2472" t="e">
        <f>'3. P PLAN'!#REF!</f>
        <v>#REF!</v>
      </c>
      <c r="Z144" s="2472" t="e">
        <f>'3. P PLAN'!#REF!</f>
        <v>#REF!</v>
      </c>
      <c r="AA144" s="2472" t="e">
        <f>'3. P PLAN'!#REF!</f>
        <v>#REF!</v>
      </c>
      <c r="AB144" s="2472" t="e">
        <f>'3. P PLAN'!#REF!</f>
        <v>#REF!</v>
      </c>
      <c r="AC144" s="2472" t="e">
        <f>'3. P PLAN'!#REF!</f>
        <v>#REF!</v>
      </c>
      <c r="AD144" s="2472" t="e">
        <f>'3. P PLAN'!#REF!</f>
        <v>#REF!</v>
      </c>
      <c r="AE144" s="3936" t="e">
        <f>SUM(S144:AD144)</f>
        <v>#REF!</v>
      </c>
      <c r="AF144" s="2472" t="e">
        <f>'3. P PLAN'!#REF!</f>
        <v>#REF!</v>
      </c>
      <c r="AG144" s="2472" t="e">
        <f>'3. P PLAN'!#REF!</f>
        <v>#REF!</v>
      </c>
      <c r="AH144" s="2472" t="e">
        <f>'3. P PLAN'!#REF!</f>
        <v>#REF!</v>
      </c>
      <c r="AI144" s="2472" t="e">
        <f>'3. P PLAN'!#REF!</f>
        <v>#REF!</v>
      </c>
      <c r="AJ144" s="2472" t="e">
        <f>'3. P PLAN'!#REF!</f>
        <v>#REF!</v>
      </c>
      <c r="AK144" s="2472" t="e">
        <f>'3. P PLAN'!#REF!</f>
        <v>#REF!</v>
      </c>
      <c r="AL144" s="2472" t="e">
        <f>'3. P PLAN'!#REF!</f>
        <v>#REF!</v>
      </c>
      <c r="AM144" s="2472" t="e">
        <f>'3. P PLAN'!#REF!</f>
        <v>#REF!</v>
      </c>
      <c r="AN144" s="2472" t="e">
        <f>'3. P PLAN'!#REF!</f>
        <v>#REF!</v>
      </c>
      <c r="AO144" s="2472" t="e">
        <f>'3. P PLAN'!#REF!</f>
        <v>#REF!</v>
      </c>
      <c r="AP144" s="2472" t="e">
        <f>'3. P PLAN'!#REF!</f>
        <v>#REF!</v>
      </c>
      <c r="AQ144" s="2472" t="e">
        <f>'3. P PLAN'!#REF!</f>
        <v>#REF!</v>
      </c>
      <c r="AR144" s="3936" t="e">
        <f>SUM(AF144:AQ144)</f>
        <v>#REF!</v>
      </c>
      <c r="AS144" s="2472" t="e">
        <f>'3. P PLAN'!#REF!</f>
        <v>#REF!</v>
      </c>
      <c r="AT144" s="2472" t="e">
        <f>'3. P PLAN'!#REF!</f>
        <v>#REF!</v>
      </c>
      <c r="AU144" s="2472" t="e">
        <f>'3. P PLAN'!#REF!</f>
        <v>#REF!</v>
      </c>
      <c r="AV144" s="2472" t="e">
        <f>'3. P PLAN'!#REF!</f>
        <v>#REF!</v>
      </c>
      <c r="AW144" s="2472" t="e">
        <f>'3. P PLAN'!#REF!</f>
        <v>#REF!</v>
      </c>
      <c r="AX144" s="2472" t="e">
        <f>'3. P PLAN'!#REF!</f>
        <v>#REF!</v>
      </c>
      <c r="AY144" s="2472" t="e">
        <f>'3. P PLAN'!#REF!</f>
        <v>#REF!</v>
      </c>
      <c r="AZ144" s="2472" t="e">
        <f>'3. P PLAN'!#REF!</f>
        <v>#REF!</v>
      </c>
      <c r="BA144" s="2472" t="e">
        <f>'3. P PLAN'!#REF!</f>
        <v>#REF!</v>
      </c>
      <c r="BB144" s="2472" t="e">
        <f>'3. P PLAN'!#REF!</f>
        <v>#REF!</v>
      </c>
      <c r="BC144" s="2472" t="e">
        <f>'3. P PLAN'!#REF!</f>
        <v>#REF!</v>
      </c>
      <c r="BD144" s="2472" t="e">
        <f>'3. P PLAN'!#REF!</f>
        <v>#REF!</v>
      </c>
      <c r="BE144" s="3044" t="e">
        <f>SUM(AS144:BD144)</f>
        <v>#REF!</v>
      </c>
    </row>
    <row r="145" spans="1:57" ht="18" hidden="1" customHeight="1" thickBot="1">
      <c r="B145" s="2473" t="s">
        <v>961</v>
      </c>
      <c r="C145" s="2473"/>
      <c r="D145" s="2473"/>
      <c r="E145" s="2474">
        <f t="shared" si="533"/>
        <v>0.99195549060795274</v>
      </c>
      <c r="F145" s="2475">
        <f t="shared" ref="F145:Q145" si="538">F142/F144</f>
        <v>1.049454884790181</v>
      </c>
      <c r="G145" s="2475">
        <f t="shared" si="538"/>
        <v>1.0456331307958329</v>
      </c>
      <c r="H145" s="2475">
        <f t="shared" si="538"/>
        <v>0.98123425601836012</v>
      </c>
      <c r="I145" s="2475">
        <f t="shared" si="538"/>
        <v>0.96412544510624998</v>
      </c>
      <c r="J145" s="2475">
        <f t="shared" si="538"/>
        <v>0.95612859928424143</v>
      </c>
      <c r="K145" s="2475">
        <f t="shared" si="538"/>
        <v>0.94818452593471725</v>
      </c>
      <c r="L145" s="2475">
        <f t="shared" si="538"/>
        <v>0.97591243708445052</v>
      </c>
      <c r="M145" s="2475">
        <f t="shared" si="538"/>
        <v>0.98117745874350759</v>
      </c>
      <c r="N145" s="2475">
        <f t="shared" si="538"/>
        <v>0.95408091549589791</v>
      </c>
      <c r="O145" s="2475">
        <f t="shared" si="538"/>
        <v>0.97145916738549076</v>
      </c>
      <c r="P145" s="2475">
        <f t="shared" si="538"/>
        <v>1.0338610732062028</v>
      </c>
      <c r="Q145" s="2476">
        <f t="shared" si="538"/>
        <v>1.0422139934503005</v>
      </c>
      <c r="R145" s="3937"/>
      <c r="S145" s="2475" t="e">
        <f t="shared" ref="S145:AD145" si="539">S142/S144</f>
        <v>#REF!</v>
      </c>
      <c r="T145" s="2475" t="e">
        <f t="shared" si="539"/>
        <v>#REF!</v>
      </c>
      <c r="U145" s="2475" t="e">
        <f t="shared" si="539"/>
        <v>#REF!</v>
      </c>
      <c r="V145" s="2475" t="e">
        <f t="shared" si="539"/>
        <v>#REF!</v>
      </c>
      <c r="W145" s="2475" t="e">
        <f t="shared" si="539"/>
        <v>#REF!</v>
      </c>
      <c r="X145" s="2475" t="e">
        <f t="shared" si="539"/>
        <v>#REF!</v>
      </c>
      <c r="Y145" s="2475" t="e">
        <f t="shared" si="539"/>
        <v>#REF!</v>
      </c>
      <c r="Z145" s="2475" t="e">
        <f t="shared" si="539"/>
        <v>#REF!</v>
      </c>
      <c r="AA145" s="2475" t="e">
        <f t="shared" si="539"/>
        <v>#REF!</v>
      </c>
      <c r="AB145" s="2475" t="e">
        <f t="shared" si="539"/>
        <v>#REF!</v>
      </c>
      <c r="AC145" s="2475" t="e">
        <f t="shared" si="539"/>
        <v>#REF!</v>
      </c>
      <c r="AD145" s="2476" t="e">
        <f t="shared" si="539"/>
        <v>#REF!</v>
      </c>
      <c r="AE145" s="3937"/>
      <c r="AF145" s="2475" t="e">
        <f t="shared" ref="AF145:AQ145" si="540">AF142/AF144</f>
        <v>#REF!</v>
      </c>
      <c r="AG145" s="2475" t="e">
        <f t="shared" si="540"/>
        <v>#REF!</v>
      </c>
      <c r="AH145" s="2475" t="e">
        <f t="shared" si="540"/>
        <v>#REF!</v>
      </c>
      <c r="AI145" s="2475" t="e">
        <f t="shared" si="540"/>
        <v>#REF!</v>
      </c>
      <c r="AJ145" s="2475" t="e">
        <f t="shared" si="540"/>
        <v>#REF!</v>
      </c>
      <c r="AK145" s="2475" t="e">
        <f t="shared" si="540"/>
        <v>#REF!</v>
      </c>
      <c r="AL145" s="2475" t="e">
        <f t="shared" si="540"/>
        <v>#REF!</v>
      </c>
      <c r="AM145" s="2475" t="e">
        <f t="shared" si="540"/>
        <v>#REF!</v>
      </c>
      <c r="AN145" s="2475" t="e">
        <f t="shared" si="540"/>
        <v>#REF!</v>
      </c>
      <c r="AO145" s="2475" t="e">
        <f t="shared" si="540"/>
        <v>#REF!</v>
      </c>
      <c r="AP145" s="2475" t="e">
        <f t="shared" si="540"/>
        <v>#REF!</v>
      </c>
      <c r="AQ145" s="2476" t="e">
        <f t="shared" si="540"/>
        <v>#REF!</v>
      </c>
      <c r="AR145" s="3937"/>
      <c r="AS145" s="2475" t="e">
        <f t="shared" ref="AS145:BD145" si="541">AS142/AS144</f>
        <v>#REF!</v>
      </c>
      <c r="AT145" s="2475" t="e">
        <f t="shared" si="541"/>
        <v>#REF!</v>
      </c>
      <c r="AU145" s="2475" t="e">
        <f t="shared" si="541"/>
        <v>#REF!</v>
      </c>
      <c r="AV145" s="2475" t="e">
        <f t="shared" si="541"/>
        <v>#REF!</v>
      </c>
      <c r="AW145" s="2475" t="e">
        <f t="shared" si="541"/>
        <v>#REF!</v>
      </c>
      <c r="AX145" s="2475" t="e">
        <f t="shared" si="541"/>
        <v>#REF!</v>
      </c>
      <c r="AY145" s="2475" t="e">
        <f t="shared" si="541"/>
        <v>#REF!</v>
      </c>
      <c r="AZ145" s="2475" t="e">
        <f t="shared" si="541"/>
        <v>#REF!</v>
      </c>
      <c r="BA145" s="2475" t="e">
        <f t="shared" si="541"/>
        <v>#REF!</v>
      </c>
      <c r="BB145" s="2475" t="e">
        <f t="shared" si="541"/>
        <v>#REF!</v>
      </c>
      <c r="BC145" s="2475" t="e">
        <f t="shared" si="541"/>
        <v>#REF!</v>
      </c>
      <c r="BD145" s="2476" t="e">
        <f t="shared" si="541"/>
        <v>#REF!</v>
      </c>
      <c r="BE145" s="3045"/>
    </row>
    <row r="146" spans="1:57" ht="18" hidden="1" customHeight="1">
      <c r="E146" s="1537"/>
      <c r="N146" s="1544" t="s">
        <v>962</v>
      </c>
      <c r="AA146" s="1544" t="s">
        <v>962</v>
      </c>
      <c r="AN146" s="1544" t="s">
        <v>962</v>
      </c>
      <c r="BA146" s="9" t="s">
        <v>962</v>
      </c>
    </row>
    <row r="147" spans="1:57" hidden="1"/>
    <row r="148" spans="1:57">
      <c r="A148" s="2104"/>
    </row>
    <row r="156" spans="1:57">
      <c r="G156" s="1542"/>
      <c r="H156" s="1542"/>
      <c r="I156" s="1542"/>
      <c r="J156" s="1542"/>
      <c r="K156" s="1542"/>
      <c r="L156" s="1542"/>
      <c r="M156" s="1542"/>
      <c r="N156" s="1542"/>
      <c r="O156" s="1542"/>
      <c r="P156" s="1542"/>
      <c r="Q156" s="1542"/>
      <c r="T156" s="1542"/>
      <c r="U156" s="1542"/>
      <c r="V156" s="1542"/>
      <c r="W156" s="1542"/>
      <c r="X156" s="1542"/>
      <c r="Y156" s="1542"/>
      <c r="Z156" s="1542"/>
      <c r="AA156" s="1542"/>
      <c r="AB156" s="1542"/>
      <c r="AC156" s="1542"/>
      <c r="AD156" s="1542"/>
      <c r="AG156" s="1542"/>
      <c r="AH156" s="1542"/>
      <c r="AI156" s="1542"/>
      <c r="AJ156" s="1542"/>
      <c r="AK156" s="1542"/>
      <c r="AL156" s="1542"/>
      <c r="AM156" s="1542"/>
      <c r="AN156" s="1542"/>
      <c r="AO156" s="1542"/>
      <c r="AP156" s="1542"/>
      <c r="AQ156" s="1542"/>
      <c r="AT156" s="1542"/>
      <c r="AU156" s="1542"/>
      <c r="AV156" s="1542"/>
      <c r="AW156" s="1542"/>
      <c r="AX156" s="1542"/>
      <c r="AY156" s="1542"/>
      <c r="AZ156" s="1542"/>
      <c r="BA156" s="1541"/>
      <c r="BB156" s="1541"/>
      <c r="BC156" s="1541"/>
      <c r="BD156" s="1541"/>
    </row>
    <row r="157" spans="1:57">
      <c r="G157" s="1542"/>
      <c r="T157" s="1542"/>
      <c r="AG157" s="1542"/>
      <c r="AT157" s="1542"/>
    </row>
    <row r="158" spans="1:57">
      <c r="R158" s="1542"/>
      <c r="AE158" s="1542"/>
      <c r="AR158" s="1542"/>
      <c r="BE158" s="1541"/>
    </row>
  </sheetData>
  <mergeCells count="30">
    <mergeCell ref="A5:A7"/>
    <mergeCell ref="A9:A11"/>
    <mergeCell ref="A44:A46"/>
    <mergeCell ref="A48:A50"/>
    <mergeCell ref="A13:B13"/>
    <mergeCell ref="A25:B25"/>
    <mergeCell ref="A40:D40"/>
    <mergeCell ref="A97:E97"/>
    <mergeCell ref="B93:C93"/>
    <mergeCell ref="B94:C94"/>
    <mergeCell ref="B95:C95"/>
    <mergeCell ref="A79:E79"/>
    <mergeCell ref="A82:B82"/>
    <mergeCell ref="A83:A86"/>
    <mergeCell ref="A87:A89"/>
    <mergeCell ref="A90:E90"/>
    <mergeCell ref="A53:D53"/>
    <mergeCell ref="A66:D66"/>
    <mergeCell ref="A65:D65"/>
    <mergeCell ref="A76:D76"/>
    <mergeCell ref="A77:D77"/>
    <mergeCell ref="P99:P100"/>
    <mergeCell ref="AC99:AC100"/>
    <mergeCell ref="AP99:AP100"/>
    <mergeCell ref="BC99:BC100"/>
    <mergeCell ref="A134:A135"/>
    <mergeCell ref="A113:B113"/>
    <mergeCell ref="A114:A118"/>
    <mergeCell ref="A107:B107"/>
    <mergeCell ref="A108:A110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ignoredErrors>
    <ignoredError sqref="A1:E3 A9 A8:B8 A25:E28 A21 A18:A20 A17 A43:E43 A41:E41 A12:B14 A11 A22 A7 A10 A16:B16 A15:B15 D10 D9 D7 A6 D6 A5 D5 A23 A30 A29:E29 A38:E38 A36:D36 A40:D40 A39:E39 D21 D20:E20 D17 D22 D23 D18 A35:E35 A33:E33 A32:E32 A37:E37 A34:E34 A31:E31 A51:E51 A44 C30:E30 A47:B47 E45:E50 A4:B4 D8:E8 A24:B24 D24:E24 D12:E14 D16:E16 D4:E4 A42:B42 D42:E42 A48:A50 A45:A46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88"/>
  <sheetViews>
    <sheetView showGridLines="0" zoomScale="70" zoomScaleNormal="70" workbookViewId="0">
      <selection activeCell="I45" sqref="I45"/>
    </sheetView>
  </sheetViews>
  <sheetFormatPr defaultColWidth="9" defaultRowHeight="15" customHeight="1"/>
  <cols>
    <col min="1" max="1" width="18.75" style="9" customWidth="1"/>
    <col min="2" max="2" width="24.375" style="2478" customWidth="1"/>
    <col min="3" max="3" width="32" style="2479" bestFit="1" customWidth="1"/>
    <col min="4" max="4" width="12.75" style="2479" customWidth="1"/>
    <col min="5" max="5" width="15.75" style="2479" bestFit="1" customWidth="1"/>
    <col min="6" max="17" width="14.375" style="1541" customWidth="1"/>
    <col min="18" max="18" width="16.25" style="9" bestFit="1" customWidth="1"/>
    <col min="19" max="16384" width="9" style="9"/>
  </cols>
  <sheetData>
    <row r="1" spans="1:18" ht="20.25" customHeight="1">
      <c r="A1" s="2477" t="s">
        <v>97</v>
      </c>
    </row>
    <row r="2" spans="1:18" ht="20.25" customHeight="1">
      <c r="A2" s="1539"/>
      <c r="R2" s="1539"/>
    </row>
    <row r="3" spans="1:18" ht="20.25" customHeight="1" thickBot="1">
      <c r="A3" s="1547" t="s">
        <v>32</v>
      </c>
      <c r="R3" s="1546" t="s">
        <v>87</v>
      </c>
    </row>
    <row r="4" spans="1:18" ht="22.5" customHeight="1">
      <c r="A4" s="5378" t="s">
        <v>124</v>
      </c>
      <c r="B4" s="5379"/>
      <c r="C4" s="5379"/>
      <c r="D4" s="5379"/>
      <c r="E4" s="5380"/>
      <c r="F4" s="78" t="str">
        <f>'2. S Plan'!L4</f>
        <v>Jan.26</v>
      </c>
      <c r="G4" s="79" t="str">
        <f>'2. S Plan'!M4</f>
        <v>Feb.26</v>
      </c>
      <c r="H4" s="2369" t="str">
        <f>'2. S Plan'!N4</f>
        <v>Mar.26</v>
      </c>
      <c r="I4" s="78" t="str">
        <f>'2. S Plan'!O4</f>
        <v>Apr.26</v>
      </c>
      <c r="J4" s="79" t="str">
        <f>'2. S Plan'!P4</f>
        <v>May.26</v>
      </c>
      <c r="K4" s="2369" t="str">
        <f>'2. S Plan'!Q4</f>
        <v>Jun.26</v>
      </c>
      <c r="L4" s="78" t="str">
        <f>'2. S Plan'!R4</f>
        <v>Jul.26</v>
      </c>
      <c r="M4" s="79" t="str">
        <f>'2. S Plan'!S4</f>
        <v>Aug.26</v>
      </c>
      <c r="N4" s="2369" t="str">
        <f>'2. S Plan'!T4</f>
        <v>Sep.26</v>
      </c>
      <c r="O4" s="78" t="str">
        <f>'2. S Plan'!U4</f>
        <v>Oct.26</v>
      </c>
      <c r="P4" s="79" t="str">
        <f>'2. S Plan'!V4</f>
        <v>Nov.26</v>
      </c>
      <c r="Q4" s="2369" t="str">
        <f>'2. S Plan'!W4</f>
        <v>Dec.26</v>
      </c>
      <c r="R4" s="2369" t="str">
        <f>'2. S Plan'!X4</f>
        <v>2026
Total</v>
      </c>
    </row>
    <row r="5" spans="1:18" ht="22.5" customHeight="1" thickBot="1">
      <c r="A5" s="5277" t="s">
        <v>17</v>
      </c>
      <c r="B5" s="5265"/>
      <c r="C5" s="5265"/>
      <c r="D5" s="5265"/>
      <c r="E5" s="5266"/>
      <c r="F5" s="3616">
        <f>'2. S Plan'!L172</f>
        <v>3689370.7909659981</v>
      </c>
      <c r="G5" s="2480">
        <f>'2. S Plan'!M172</f>
        <v>3451251.7566912733</v>
      </c>
      <c r="H5" s="3617">
        <f>'2. S Plan'!N172</f>
        <v>4023114.0734396363</v>
      </c>
      <c r="I5" s="3618">
        <f>'2. S Plan'!O172</f>
        <v>3850246.6333384831</v>
      </c>
      <c r="J5" s="2480">
        <f>'2. S Plan'!P172</f>
        <v>3814590.8696524575</v>
      </c>
      <c r="K5" s="2481">
        <f>'2. S Plan'!Q172</f>
        <v>3948595.7484216876</v>
      </c>
      <c r="L5" s="2482">
        <f>'2. S Plan'!R172</f>
        <v>3843433.8374575851</v>
      </c>
      <c r="M5" s="2483">
        <f>'2. S Plan'!S172</f>
        <v>3689063.8304375857</v>
      </c>
      <c r="N5" s="2484">
        <f>'2. S Plan'!T172</f>
        <v>3689997.7635553544</v>
      </c>
      <c r="O5" s="2482">
        <f>'2. S Plan'!U172</f>
        <v>3676789.6920349244</v>
      </c>
      <c r="P5" s="2483">
        <f>'2. S Plan'!V172</f>
        <v>3418162.2204263574</v>
      </c>
      <c r="Q5" s="2484">
        <f>'2. S Plan'!W172</f>
        <v>3231984.2069586907</v>
      </c>
      <c r="R5" s="1644">
        <f>SUM(F5:Q5)</f>
        <v>44326601.423380032</v>
      </c>
    </row>
    <row r="6" spans="1:18" ht="22.5" customHeight="1">
      <c r="A6" s="2095"/>
      <c r="B6" s="2485"/>
      <c r="F6" s="2562"/>
      <c r="G6" s="2562"/>
      <c r="H6" s="2562"/>
      <c r="I6" s="2562"/>
      <c r="J6" s="2562"/>
      <c r="K6" s="2486"/>
      <c r="L6" s="2486"/>
      <c r="M6" s="2486"/>
      <c r="N6" s="2486"/>
      <c r="O6" s="2486"/>
      <c r="P6" s="2486"/>
      <c r="Q6" s="2486"/>
      <c r="R6" s="2486"/>
    </row>
    <row r="7" spans="1:18" ht="22.5" customHeight="1" thickBot="1">
      <c r="A7" s="1547" t="s">
        <v>519</v>
      </c>
      <c r="R7" s="1627" t="s">
        <v>114</v>
      </c>
    </row>
    <row r="8" spans="1:18" ht="22.5" customHeight="1" thickBot="1">
      <c r="A8" s="5378" t="s">
        <v>124</v>
      </c>
      <c r="B8" s="5379"/>
      <c r="C8" s="5379"/>
      <c r="D8" s="5379"/>
      <c r="E8" s="5380"/>
      <c r="F8" s="78" t="str">
        <f t="shared" ref="F8:R8" si="0">F4</f>
        <v>Jan.26</v>
      </c>
      <c r="G8" s="79" t="str">
        <f t="shared" si="0"/>
        <v>Feb.26</v>
      </c>
      <c r="H8" s="2369" t="str">
        <f t="shared" si="0"/>
        <v>Mar.26</v>
      </c>
      <c r="I8" s="78" t="str">
        <f t="shared" si="0"/>
        <v>Apr.26</v>
      </c>
      <c r="J8" s="79" t="str">
        <f t="shared" si="0"/>
        <v>May.26</v>
      </c>
      <c r="K8" s="2369" t="str">
        <f t="shared" si="0"/>
        <v>Jun.26</v>
      </c>
      <c r="L8" s="78" t="str">
        <f t="shared" si="0"/>
        <v>Jul.26</v>
      </c>
      <c r="M8" s="79" t="str">
        <f t="shared" si="0"/>
        <v>Aug.26</v>
      </c>
      <c r="N8" s="2369" t="str">
        <f t="shared" si="0"/>
        <v>Sep.26</v>
      </c>
      <c r="O8" s="78" t="str">
        <f t="shared" si="0"/>
        <v>Oct.26</v>
      </c>
      <c r="P8" s="79" t="str">
        <f t="shared" si="0"/>
        <v>Nov.26</v>
      </c>
      <c r="Q8" s="2369" t="str">
        <f t="shared" si="0"/>
        <v>Dec.26</v>
      </c>
      <c r="R8" s="2369" t="str">
        <f t="shared" si="0"/>
        <v>2026
Total</v>
      </c>
    </row>
    <row r="9" spans="1:18" ht="22.5" customHeight="1">
      <c r="A9" s="5297" t="s">
        <v>98</v>
      </c>
      <c r="B9" s="5298"/>
      <c r="C9" s="5298"/>
      <c r="D9" s="5298"/>
      <c r="E9" s="5299"/>
      <c r="F9" s="3619">
        <f>'3. P PLAN'!J418</f>
        <v>821292.17078354117</v>
      </c>
      <c r="G9" s="1709">
        <f>'3. P PLAN'!K418</f>
        <v>620457.67603486602</v>
      </c>
      <c r="H9" s="3620">
        <f>'3. P PLAN'!L418</f>
        <v>660270.81851218431</v>
      </c>
      <c r="I9" s="3621">
        <f>'3. P PLAN'!M418</f>
        <v>628545.51481533225</v>
      </c>
      <c r="J9" s="1709">
        <f>'3. P PLAN'!N418</f>
        <v>609707.21091304522</v>
      </c>
      <c r="K9" s="2490">
        <f>'3. P PLAN'!O418</f>
        <v>598734.48236101819</v>
      </c>
      <c r="L9" s="2487">
        <f>'3. P PLAN'!P418</f>
        <v>591981.37106457003</v>
      </c>
      <c r="M9" s="2488">
        <f>'3. P PLAN'!Q418</f>
        <v>587913.40114779328</v>
      </c>
      <c r="N9" s="2489">
        <f>'3. P PLAN'!R418</f>
        <v>586860.09668709524</v>
      </c>
      <c r="O9" s="2487">
        <f>'3. P PLAN'!S418</f>
        <v>591992.93202111532</v>
      </c>
      <c r="P9" s="2488">
        <f>'3. P PLAN'!T418</f>
        <v>585949.17976198881</v>
      </c>
      <c r="Q9" s="2489">
        <f>'3. P PLAN'!U418</f>
        <v>577057.44633225561</v>
      </c>
      <c r="R9" s="2491">
        <f>SUM(F9:Q9)</f>
        <v>7460762.3004348055</v>
      </c>
    </row>
    <row r="10" spans="1:18" ht="21.75" customHeight="1">
      <c r="A10" s="5390" t="s">
        <v>1073</v>
      </c>
      <c r="B10" s="5302"/>
      <c r="C10" s="5302"/>
      <c r="D10" s="5302"/>
      <c r="E10" s="5391"/>
      <c r="F10" s="3031">
        <f>'3. P PLAN'!J419</f>
        <v>227368.42105263163</v>
      </c>
      <c r="G10" s="3002">
        <f>'3. P PLAN'!K419</f>
        <v>240000.00000000006</v>
      </c>
      <c r="H10" s="3032">
        <f>'3. P PLAN'!L419</f>
        <v>352000</v>
      </c>
      <c r="I10" s="3033">
        <f>'3. P PLAN'!M419</f>
        <v>344842.10526315798</v>
      </c>
      <c r="J10" s="3002">
        <f>'3. P PLAN'!N419</f>
        <v>355368.42105263163</v>
      </c>
      <c r="K10" s="2495">
        <f>'3. P PLAN'!O419</f>
        <v>376421.05263157905</v>
      </c>
      <c r="L10" s="2492">
        <f>'3. P PLAN'!P419</f>
        <v>336842.10526315792</v>
      </c>
      <c r="M10" s="2493">
        <f>'3. P PLAN'!Q419</f>
        <v>305263.15789473691</v>
      </c>
      <c r="N10" s="2494">
        <f>'3. P PLAN'!R419</f>
        <v>326315.78947368427</v>
      </c>
      <c r="O10" s="2492">
        <f>'3. P PLAN'!S419</f>
        <v>315789.47368421056</v>
      </c>
      <c r="P10" s="2493">
        <f>'3. P PLAN'!T419</f>
        <v>235789.47368421053</v>
      </c>
      <c r="Q10" s="2494">
        <f>'3. P PLAN'!U419</f>
        <v>201684.21052631579</v>
      </c>
      <c r="R10" s="1634">
        <f>SUM(F10:Q10)</f>
        <v>3617684.210526316</v>
      </c>
    </row>
    <row r="11" spans="1:18" ht="21.75" customHeight="1" thickBot="1">
      <c r="A11" s="5277" t="s">
        <v>1074</v>
      </c>
      <c r="B11" s="5265"/>
      <c r="C11" s="5265"/>
      <c r="D11" s="5265"/>
      <c r="E11" s="5266"/>
      <c r="F11" s="1849">
        <f>'3. P PLAN'!J420</f>
        <v>0</v>
      </c>
      <c r="G11" s="1794">
        <f>'3. P PLAN'!K420</f>
        <v>0</v>
      </c>
      <c r="H11" s="1795">
        <f>'3. P PLAN'!L420</f>
        <v>0</v>
      </c>
      <c r="I11" s="1796">
        <f>'3. P PLAN'!M420</f>
        <v>0</v>
      </c>
      <c r="J11" s="1794">
        <f>'3. P PLAN'!N420</f>
        <v>0</v>
      </c>
      <c r="K11" s="1848">
        <f>'3. P PLAN'!O420</f>
        <v>0</v>
      </c>
      <c r="L11" s="1847">
        <f>'3. P PLAN'!P420</f>
        <v>0</v>
      </c>
      <c r="M11" s="1792">
        <f>'3. P PLAN'!Q420</f>
        <v>0</v>
      </c>
      <c r="N11" s="1793">
        <f>'3. P PLAN'!R420</f>
        <v>0</v>
      </c>
      <c r="O11" s="1847">
        <f>'3. P PLAN'!S420</f>
        <v>0</v>
      </c>
      <c r="P11" s="1792">
        <f>'3. P PLAN'!T420</f>
        <v>0</v>
      </c>
      <c r="Q11" s="1793">
        <f>'3. P PLAN'!U420</f>
        <v>0</v>
      </c>
      <c r="R11" s="1644">
        <f>SUM(F11:Q11)</f>
        <v>0</v>
      </c>
    </row>
    <row r="12" spans="1:18" ht="21.75" customHeight="1" thickBot="1">
      <c r="A12" s="5151" t="s">
        <v>15</v>
      </c>
      <c r="B12" s="5152"/>
      <c r="C12" s="5152"/>
      <c r="D12" s="5152"/>
      <c r="E12" s="5253"/>
      <c r="F12" s="1617">
        <f>SUM(F9:F11)</f>
        <v>1048660.5918361729</v>
      </c>
      <c r="G12" s="1618">
        <f t="shared" ref="G12:Q12" si="1">SUM(G9:G11)</f>
        <v>860457.67603486613</v>
      </c>
      <c r="H12" s="1619">
        <f t="shared" si="1"/>
        <v>1012270.8185121843</v>
      </c>
      <c r="I12" s="1621">
        <f t="shared" si="1"/>
        <v>973387.62007849023</v>
      </c>
      <c r="J12" s="1618">
        <f t="shared" si="1"/>
        <v>965075.63196567679</v>
      </c>
      <c r="K12" s="1851">
        <f t="shared" si="1"/>
        <v>975155.5349925973</v>
      </c>
      <c r="L12" s="1850">
        <f t="shared" si="1"/>
        <v>928823.47632772801</v>
      </c>
      <c r="M12" s="1799">
        <f t="shared" si="1"/>
        <v>893176.55904253013</v>
      </c>
      <c r="N12" s="1800">
        <f t="shared" si="1"/>
        <v>913175.88616077951</v>
      </c>
      <c r="O12" s="1850">
        <f t="shared" si="1"/>
        <v>907782.40570532589</v>
      </c>
      <c r="P12" s="1799">
        <f t="shared" si="1"/>
        <v>821738.65344619937</v>
      </c>
      <c r="Q12" s="1800">
        <f t="shared" si="1"/>
        <v>778741.65685857134</v>
      </c>
      <c r="R12" s="1800">
        <f>SUM(F12:Q12)</f>
        <v>11078446.510961121</v>
      </c>
    </row>
    <row r="13" spans="1:18" ht="21.75" customHeight="1">
      <c r="A13" s="1547"/>
      <c r="R13" s="1627"/>
    </row>
    <row r="14" spans="1:18" ht="21.75" customHeight="1" thickBot="1">
      <c r="A14" s="1547" t="s">
        <v>1055</v>
      </c>
      <c r="R14" s="1627"/>
    </row>
    <row r="15" spans="1:18" ht="21.75" customHeight="1" thickBot="1">
      <c r="A15" s="5378" t="s">
        <v>124</v>
      </c>
      <c r="B15" s="5379"/>
      <c r="C15" s="5379"/>
      <c r="D15" s="5379"/>
      <c r="E15" s="5380"/>
      <c r="F15" s="1548" t="str">
        <f t="shared" ref="F15:R15" si="2">F4</f>
        <v>Jan.26</v>
      </c>
      <c r="G15" s="81" t="str">
        <f t="shared" si="2"/>
        <v>Feb.26</v>
      </c>
      <c r="H15" s="1549" t="str">
        <f t="shared" si="2"/>
        <v>Mar.26</v>
      </c>
      <c r="I15" s="1548" t="str">
        <f t="shared" si="2"/>
        <v>Apr.26</v>
      </c>
      <c r="J15" s="81" t="str">
        <f t="shared" si="2"/>
        <v>May.26</v>
      </c>
      <c r="K15" s="1549" t="str">
        <f t="shared" si="2"/>
        <v>Jun.26</v>
      </c>
      <c r="L15" s="1548" t="str">
        <f t="shared" si="2"/>
        <v>Jul.26</v>
      </c>
      <c r="M15" s="81" t="str">
        <f t="shared" si="2"/>
        <v>Aug.26</v>
      </c>
      <c r="N15" s="1549" t="str">
        <f t="shared" si="2"/>
        <v>Sep.26</v>
      </c>
      <c r="O15" s="1548" t="str">
        <f t="shared" si="2"/>
        <v>Oct.26</v>
      </c>
      <c r="P15" s="81" t="str">
        <f t="shared" si="2"/>
        <v>Nov.26</v>
      </c>
      <c r="Q15" s="1549" t="str">
        <f t="shared" si="2"/>
        <v>Dec.26</v>
      </c>
      <c r="R15" s="2369" t="str">
        <f t="shared" si="2"/>
        <v>2026
Total</v>
      </c>
    </row>
    <row r="16" spans="1:18" ht="21.75" customHeight="1">
      <c r="A16" s="5297" t="s">
        <v>98</v>
      </c>
      <c r="B16" s="5298"/>
      <c r="C16" s="5298"/>
      <c r="D16" s="5298"/>
      <c r="E16" s="5299"/>
      <c r="F16" s="3619">
        <f>'3. P PLAN'!J411</f>
        <v>193795.64327034558</v>
      </c>
      <c r="G16" s="1709">
        <f>'3. P PLAN'!K411</f>
        <v>157280.61573660717</v>
      </c>
      <c r="H16" s="3620">
        <f>'3. P PLAN'!L411</f>
        <v>171301.8682221199</v>
      </c>
      <c r="I16" s="3621">
        <f>'3. P PLAN'!M411</f>
        <v>164027.76014410116</v>
      </c>
      <c r="J16" s="1709">
        <f>'3. P PLAN'!N411</f>
        <v>156842.25359175834</v>
      </c>
      <c r="K16" s="2490">
        <f>'3. P PLAN'!O411</f>
        <v>154807.31899087122</v>
      </c>
      <c r="L16" s="2487">
        <f>'3. P PLAN'!P411</f>
        <v>153802.18565311859</v>
      </c>
      <c r="M16" s="2488">
        <f>'3. P PLAN'!Q411</f>
        <v>152539.76236999966</v>
      </c>
      <c r="N16" s="2489">
        <f>'3. P PLAN'!R411</f>
        <v>151828.01402919425</v>
      </c>
      <c r="O16" s="2487">
        <f>'3. P PLAN'!S411</f>
        <v>151368.45918851058</v>
      </c>
      <c r="P16" s="2488">
        <f>'3. P PLAN'!T411</f>
        <v>148669.52766055008</v>
      </c>
      <c r="Q16" s="2489">
        <f>'3. P PLAN'!U411</f>
        <v>147572.49142941294</v>
      </c>
      <c r="R16" s="2491">
        <f>SUM(F16:Q16)</f>
        <v>1903835.9002865895</v>
      </c>
    </row>
    <row r="17" spans="1:18" ht="21.75" customHeight="1">
      <c r="A17" s="5390" t="s">
        <v>1073</v>
      </c>
      <c r="B17" s="5302"/>
      <c r="C17" s="5302"/>
      <c r="D17" s="5302"/>
      <c r="E17" s="5391"/>
      <c r="F17" s="3031">
        <f>'3. P PLAN'!J412</f>
        <v>40564.800000000003</v>
      </c>
      <c r="G17" s="3002">
        <f>'3. P PLAN'!K412</f>
        <v>42818.400000000001</v>
      </c>
      <c r="H17" s="3032">
        <f>'3. P PLAN'!L412</f>
        <v>62800.320000000007</v>
      </c>
      <c r="I17" s="3033">
        <f>'3. P PLAN'!M412</f>
        <v>61523.280000000006</v>
      </c>
      <c r="J17" s="3002">
        <f>'3. P PLAN'!N412</f>
        <v>63401.280000000006</v>
      </c>
      <c r="K17" s="2495">
        <f>'3. P PLAN'!O412</f>
        <v>67157.279999999999</v>
      </c>
      <c r="L17" s="2492">
        <f>'3. P PLAN'!P412</f>
        <v>60096</v>
      </c>
      <c r="M17" s="2493">
        <f>'3. P PLAN'!Q412</f>
        <v>54462</v>
      </c>
      <c r="N17" s="2494">
        <f>'3. P PLAN'!R412</f>
        <v>58218</v>
      </c>
      <c r="O17" s="2492">
        <f>'3. P PLAN'!S412</f>
        <v>56340</v>
      </c>
      <c r="P17" s="2493">
        <f>'3. P PLAN'!T412</f>
        <v>42067.200000000004</v>
      </c>
      <c r="Q17" s="2494">
        <f>'3. P PLAN'!U412</f>
        <v>35982.480000000003</v>
      </c>
      <c r="R17" s="1634">
        <f>SUM(F17:Q17)</f>
        <v>645431.03999999992</v>
      </c>
    </row>
    <row r="18" spans="1:18" ht="21.75" customHeight="1" thickBot="1">
      <c r="A18" s="5277" t="s">
        <v>1074</v>
      </c>
      <c r="B18" s="5265"/>
      <c r="C18" s="5265"/>
      <c r="D18" s="5265"/>
      <c r="E18" s="5266"/>
      <c r="F18" s="3616">
        <f>'3. P PLAN'!J413</f>
        <v>0</v>
      </c>
      <c r="G18" s="2480">
        <f>'3. P PLAN'!K413</f>
        <v>0</v>
      </c>
      <c r="H18" s="3617">
        <f>'3. P PLAN'!L413</f>
        <v>0</v>
      </c>
      <c r="I18" s="3618">
        <f>'3. P PLAN'!M413</f>
        <v>0</v>
      </c>
      <c r="J18" s="2480">
        <f>'3. P PLAN'!N413</f>
        <v>0</v>
      </c>
      <c r="K18" s="2496">
        <f>'3. P PLAN'!O413</f>
        <v>0</v>
      </c>
      <c r="L18" s="2482">
        <f>'3. P PLAN'!P413</f>
        <v>0</v>
      </c>
      <c r="M18" s="2483">
        <f>'3. P PLAN'!Q413</f>
        <v>0</v>
      </c>
      <c r="N18" s="2484">
        <f>'3. P PLAN'!R413</f>
        <v>0</v>
      </c>
      <c r="O18" s="2482">
        <f>'3. P PLAN'!S413</f>
        <v>0</v>
      </c>
      <c r="P18" s="2483">
        <f>'3. P PLAN'!T413</f>
        <v>0</v>
      </c>
      <c r="Q18" s="2484">
        <f>'3. P PLAN'!U413</f>
        <v>0</v>
      </c>
      <c r="R18" s="1644">
        <f>SUM(F18:Q18)</f>
        <v>0</v>
      </c>
    </row>
    <row r="19" spans="1:18" ht="21.75" customHeight="1" thickBot="1">
      <c r="A19" s="5151" t="s">
        <v>15</v>
      </c>
      <c r="B19" s="5152"/>
      <c r="C19" s="5152"/>
      <c r="D19" s="5152"/>
      <c r="E19" s="5253"/>
      <c r="F19" s="1617">
        <f>SUM(F16:F18)</f>
        <v>234360.44327034557</v>
      </c>
      <c r="G19" s="1618">
        <f t="shared" ref="G19:Q19" si="3">SUM(G16:G18)</f>
        <v>200099.01573660717</v>
      </c>
      <c r="H19" s="1619">
        <f t="shared" si="3"/>
        <v>234102.1882221199</v>
      </c>
      <c r="I19" s="1621">
        <f t="shared" si="3"/>
        <v>225551.04014410116</v>
      </c>
      <c r="J19" s="1618">
        <f t="shared" si="3"/>
        <v>220243.53359175834</v>
      </c>
      <c r="K19" s="1851">
        <f t="shared" si="3"/>
        <v>221964.59899087122</v>
      </c>
      <c r="L19" s="1850">
        <f t="shared" si="3"/>
        <v>213898.18565311859</v>
      </c>
      <c r="M19" s="1799">
        <f t="shared" si="3"/>
        <v>207001.76236999966</v>
      </c>
      <c r="N19" s="1800">
        <f t="shared" si="3"/>
        <v>210046.01402919425</v>
      </c>
      <c r="O19" s="1850">
        <f t="shared" si="3"/>
        <v>207708.45918851058</v>
      </c>
      <c r="P19" s="1799">
        <f t="shared" si="3"/>
        <v>190736.7276605501</v>
      </c>
      <c r="Q19" s="1800">
        <f t="shared" si="3"/>
        <v>183554.97142941295</v>
      </c>
      <c r="R19" s="1800">
        <f>SUM(F19:Q19)</f>
        <v>2549266.9402865898</v>
      </c>
    </row>
    <row r="20" spans="1:18" ht="21.75" customHeight="1">
      <c r="A20" s="1993"/>
      <c r="B20" s="1993"/>
      <c r="C20" s="2497"/>
      <c r="D20" s="1993"/>
      <c r="E20" s="2497"/>
      <c r="F20" s="2562"/>
      <c r="G20" s="2562"/>
      <c r="H20" s="2562"/>
      <c r="I20" s="2562"/>
      <c r="J20" s="2562"/>
      <c r="K20" s="2356"/>
      <c r="L20" s="2356"/>
      <c r="M20" s="2356"/>
      <c r="N20" s="2356"/>
      <c r="O20" s="2356"/>
      <c r="P20" s="2356"/>
      <c r="Q20" s="2356"/>
      <c r="R20" s="1555"/>
    </row>
    <row r="21" spans="1:18" ht="21.75" customHeight="1" thickBot="1">
      <c r="A21" s="2498" t="s">
        <v>435</v>
      </c>
      <c r="B21" s="2485"/>
      <c r="E21" s="2499"/>
      <c r="F21" s="3040"/>
      <c r="G21" s="3040"/>
      <c r="H21" s="3040"/>
      <c r="I21" s="3040"/>
      <c r="J21" s="3040"/>
      <c r="K21" s="2500"/>
      <c r="L21" s="2500"/>
      <c r="M21" s="2500"/>
      <c r="N21" s="2500"/>
      <c r="O21" s="2500"/>
      <c r="P21" s="2500"/>
      <c r="Q21" s="2500"/>
      <c r="R21" s="1627" t="s">
        <v>114</v>
      </c>
    </row>
    <row r="22" spans="1:18" s="1537" customFormat="1" ht="21.75" customHeight="1" thickBot="1">
      <c r="A22" s="89" t="s">
        <v>127</v>
      </c>
      <c r="B22" s="2501" t="s">
        <v>108</v>
      </c>
      <c r="C22" s="2502" t="s">
        <v>128</v>
      </c>
      <c r="D22" s="2503" t="s">
        <v>1061</v>
      </c>
      <c r="E22" s="44" t="s">
        <v>29</v>
      </c>
      <c r="F22" s="1548" t="str">
        <f t="shared" ref="F22:R22" si="4">F4</f>
        <v>Jan.26</v>
      </c>
      <c r="G22" s="81" t="str">
        <f t="shared" si="4"/>
        <v>Feb.26</v>
      </c>
      <c r="H22" s="1549" t="str">
        <f t="shared" si="4"/>
        <v>Mar.26</v>
      </c>
      <c r="I22" s="1548" t="str">
        <f t="shared" si="4"/>
        <v>Apr.26</v>
      </c>
      <c r="J22" s="81" t="str">
        <f t="shared" si="4"/>
        <v>May.26</v>
      </c>
      <c r="K22" s="1549" t="str">
        <f t="shared" si="4"/>
        <v>Jun.26</v>
      </c>
      <c r="L22" s="1548" t="str">
        <f t="shared" si="4"/>
        <v>Jul.26</v>
      </c>
      <c r="M22" s="81" t="str">
        <f t="shared" si="4"/>
        <v>Aug.26</v>
      </c>
      <c r="N22" s="1549" t="str">
        <f t="shared" si="4"/>
        <v>Sep.26</v>
      </c>
      <c r="O22" s="1548" t="str">
        <f t="shared" si="4"/>
        <v>Oct.26</v>
      </c>
      <c r="P22" s="81" t="str">
        <f t="shared" si="4"/>
        <v>Nov.26</v>
      </c>
      <c r="Q22" s="1549" t="str">
        <f t="shared" si="4"/>
        <v>Dec.26</v>
      </c>
      <c r="R22" s="1548" t="str">
        <f t="shared" si="4"/>
        <v>2026
Total</v>
      </c>
    </row>
    <row r="23" spans="1:18" ht="21.75" customHeight="1">
      <c r="A23" s="5382" t="s">
        <v>206</v>
      </c>
      <c r="B23" s="5384" t="s">
        <v>98</v>
      </c>
      <c r="C23" s="70" t="s">
        <v>99</v>
      </c>
      <c r="D23" s="1700">
        <v>0.05</v>
      </c>
      <c r="E23" s="4333">
        <f>71000/'1-1.Assumption'!F29</f>
        <v>2.6893939393939394</v>
      </c>
      <c r="F23" s="2166">
        <f>F16*(1+$D$23)</f>
        <v>203485.42543386287</v>
      </c>
      <c r="G23" s="3622">
        <f t="shared" ref="G23:Q23" si="5">G16*(1+$D$23)</f>
        <v>165144.64652343755</v>
      </c>
      <c r="H23" s="2165">
        <f t="shared" si="5"/>
        <v>179866.9616332259</v>
      </c>
      <c r="I23" s="3622">
        <f t="shared" si="5"/>
        <v>172229.14815130623</v>
      </c>
      <c r="J23" s="2164">
        <f t="shared" si="5"/>
        <v>164684.36627134625</v>
      </c>
      <c r="K23" s="1728">
        <f t="shared" si="5"/>
        <v>162547.68494041479</v>
      </c>
      <c r="L23" s="2506">
        <f t="shared" si="5"/>
        <v>161492.29493577452</v>
      </c>
      <c r="M23" s="2507">
        <f t="shared" si="5"/>
        <v>160166.75048849965</v>
      </c>
      <c r="N23" s="2508">
        <f t="shared" si="5"/>
        <v>159419.41473065398</v>
      </c>
      <c r="O23" s="2509">
        <f t="shared" si="5"/>
        <v>158936.88214793612</v>
      </c>
      <c r="P23" s="2507">
        <f t="shared" si="5"/>
        <v>156103.00404357759</v>
      </c>
      <c r="Q23" s="2508">
        <f t="shared" si="5"/>
        <v>154951.1160008836</v>
      </c>
      <c r="R23" s="2511">
        <f>SUM(F23:Q23)</f>
        <v>1999027.6953009192</v>
      </c>
    </row>
    <row r="24" spans="1:18" ht="21.75" hidden="1" customHeight="1">
      <c r="A24" s="5383"/>
      <c r="B24" s="5385"/>
      <c r="C24" s="73" t="s">
        <v>249</v>
      </c>
      <c r="D24" s="1703">
        <v>0</v>
      </c>
      <c r="E24" s="4334">
        <v>0</v>
      </c>
      <c r="F24" s="3623">
        <v>0</v>
      </c>
      <c r="G24" s="1610">
        <v>0</v>
      </c>
      <c r="H24" s="1564">
        <v>0</v>
      </c>
      <c r="I24" s="3624">
        <v>0</v>
      </c>
      <c r="J24" s="1563">
        <v>0</v>
      </c>
      <c r="K24" s="1565">
        <v>0</v>
      </c>
      <c r="L24" s="2513">
        <v>0</v>
      </c>
      <c r="M24" s="2514">
        <v>0</v>
      </c>
      <c r="N24" s="2515">
        <v>0</v>
      </c>
      <c r="O24" s="1825">
        <v>0</v>
      </c>
      <c r="P24" s="1738">
        <v>0</v>
      </c>
      <c r="Q24" s="1739">
        <v>0</v>
      </c>
      <c r="R24" s="2516">
        <f>SUM(F24:Q24)</f>
        <v>0</v>
      </c>
    </row>
    <row r="25" spans="1:18" ht="21.75" hidden="1" customHeight="1">
      <c r="A25" s="5383"/>
      <c r="B25" s="2517"/>
      <c r="C25" s="2538" t="s">
        <v>123</v>
      </c>
      <c r="D25" s="4335">
        <f t="shared" ref="D25:E25" si="6">SUM(D23:D24)</f>
        <v>0.05</v>
      </c>
      <c r="E25" s="3411">
        <f t="shared" si="6"/>
        <v>2.6893939393939394</v>
      </c>
      <c r="F25" s="1572">
        <f t="shared" ref="F25:Q25" si="7">SUM(F23:F24)</f>
        <v>203485.42543386287</v>
      </c>
      <c r="G25" s="1613">
        <f t="shared" si="7"/>
        <v>165144.64652343755</v>
      </c>
      <c r="H25" s="1574">
        <f t="shared" si="7"/>
        <v>179866.9616332259</v>
      </c>
      <c r="I25" s="1613">
        <f t="shared" si="7"/>
        <v>172229.14815130623</v>
      </c>
      <c r="J25" s="1573">
        <f t="shared" si="7"/>
        <v>164684.36627134625</v>
      </c>
      <c r="K25" s="1575">
        <f t="shared" si="7"/>
        <v>162547.68494041479</v>
      </c>
      <c r="L25" s="2521">
        <f t="shared" si="7"/>
        <v>161492.29493577452</v>
      </c>
      <c r="M25" s="1536">
        <f t="shared" si="7"/>
        <v>160166.75048849965</v>
      </c>
      <c r="N25" s="2522">
        <f t="shared" si="7"/>
        <v>159419.41473065398</v>
      </c>
      <c r="O25" s="2523">
        <f t="shared" si="7"/>
        <v>158936.88214793612</v>
      </c>
      <c r="P25" s="1536">
        <f t="shared" si="7"/>
        <v>156103.00404357759</v>
      </c>
      <c r="Q25" s="2522">
        <f t="shared" si="7"/>
        <v>154951.1160008836</v>
      </c>
      <c r="R25" s="1634">
        <f>SUM(R23:R24)</f>
        <v>1999027.6953009192</v>
      </c>
    </row>
    <row r="26" spans="1:18" ht="21.75" customHeight="1">
      <c r="A26" s="5383"/>
      <c r="B26" s="5386" t="s">
        <v>1073</v>
      </c>
      <c r="C26" s="4336" t="s">
        <v>99</v>
      </c>
      <c r="D26" s="4337">
        <v>0.05</v>
      </c>
      <c r="E26" s="4338">
        <f>87000/'1-1.Assumption'!F29</f>
        <v>3.2954545454545454</v>
      </c>
      <c r="F26" s="3625">
        <f>F17*(1+$D$26)</f>
        <v>42593.040000000008</v>
      </c>
      <c r="G26" s="1838">
        <f t="shared" ref="G26:Q26" si="8">G17*(1+$D$26)</f>
        <v>44959.320000000007</v>
      </c>
      <c r="H26" s="1596">
        <f t="shared" si="8"/>
        <v>65940.33600000001</v>
      </c>
      <c r="I26" s="3626">
        <f t="shared" si="8"/>
        <v>64599.44400000001</v>
      </c>
      <c r="J26" s="1595">
        <f t="shared" si="8"/>
        <v>66571.344000000012</v>
      </c>
      <c r="K26" s="1597">
        <f t="shared" si="8"/>
        <v>70515.144</v>
      </c>
      <c r="L26" s="1832">
        <f t="shared" si="8"/>
        <v>63100.800000000003</v>
      </c>
      <c r="M26" s="1761">
        <f t="shared" si="8"/>
        <v>57185.100000000006</v>
      </c>
      <c r="N26" s="1762">
        <f t="shared" si="8"/>
        <v>61128.9</v>
      </c>
      <c r="O26" s="2203">
        <f t="shared" si="8"/>
        <v>59157</v>
      </c>
      <c r="P26" s="1761">
        <f t="shared" si="8"/>
        <v>44170.560000000005</v>
      </c>
      <c r="Q26" s="1762">
        <f t="shared" si="8"/>
        <v>37781.604000000007</v>
      </c>
      <c r="R26" s="1674">
        <f>SUM(F26:Q26)</f>
        <v>677702.59200000018</v>
      </c>
    </row>
    <row r="27" spans="1:18" ht="21.75" hidden="1" customHeight="1">
      <c r="A27" s="5383"/>
      <c r="B27" s="5387"/>
      <c r="C27" s="68" t="s">
        <v>249</v>
      </c>
      <c r="D27" s="1703">
        <v>0</v>
      </c>
      <c r="E27" s="2512">
        <v>0</v>
      </c>
      <c r="F27" s="3623">
        <v>0</v>
      </c>
      <c r="G27" s="1610">
        <v>0</v>
      </c>
      <c r="H27" s="1564">
        <v>0</v>
      </c>
      <c r="I27" s="3624">
        <v>0</v>
      </c>
      <c r="J27" s="1563">
        <v>0</v>
      </c>
      <c r="K27" s="1565">
        <v>0</v>
      </c>
      <c r="L27" s="2513">
        <v>0</v>
      </c>
      <c r="M27" s="2514">
        <v>0</v>
      </c>
      <c r="N27" s="2515">
        <v>0</v>
      </c>
      <c r="O27" s="1825">
        <v>0</v>
      </c>
      <c r="P27" s="1738">
        <v>0</v>
      </c>
      <c r="Q27" s="1739">
        <v>0</v>
      </c>
      <c r="R27" s="2516">
        <f>SUM(F27:Q27)</f>
        <v>0</v>
      </c>
    </row>
    <row r="28" spans="1:18" ht="21.75" hidden="1" customHeight="1">
      <c r="A28" s="5383"/>
      <c r="B28" s="5388"/>
      <c r="C28" s="2518" t="s">
        <v>123</v>
      </c>
      <c r="D28" s="2519">
        <f t="shared" ref="D28:E28" si="9">SUM(D26:D27)</f>
        <v>0.05</v>
      </c>
      <c r="E28" s="2520">
        <f t="shared" si="9"/>
        <v>3.2954545454545454</v>
      </c>
      <c r="F28" s="1572">
        <f t="shared" ref="F28:Q28" si="10">SUM(F26:F27)</f>
        <v>42593.040000000008</v>
      </c>
      <c r="G28" s="1613">
        <f t="shared" si="10"/>
        <v>44959.320000000007</v>
      </c>
      <c r="H28" s="1574">
        <f t="shared" si="10"/>
        <v>65940.33600000001</v>
      </c>
      <c r="I28" s="1613">
        <f t="shared" si="10"/>
        <v>64599.44400000001</v>
      </c>
      <c r="J28" s="1573">
        <f t="shared" si="10"/>
        <v>66571.344000000012</v>
      </c>
      <c r="K28" s="1575">
        <f t="shared" si="10"/>
        <v>70515.144</v>
      </c>
      <c r="L28" s="2521">
        <f t="shared" si="10"/>
        <v>63100.800000000003</v>
      </c>
      <c r="M28" s="1536">
        <f t="shared" si="10"/>
        <v>57185.100000000006</v>
      </c>
      <c r="N28" s="2522">
        <f t="shared" si="10"/>
        <v>61128.9</v>
      </c>
      <c r="O28" s="2523">
        <f t="shared" si="10"/>
        <v>59157</v>
      </c>
      <c r="P28" s="1536">
        <f t="shared" si="10"/>
        <v>44170.560000000005</v>
      </c>
      <c r="Q28" s="2522">
        <f t="shared" si="10"/>
        <v>37781.604000000007</v>
      </c>
      <c r="R28" s="1634">
        <f>SUM(R26:R27)</f>
        <v>677702.59200000018</v>
      </c>
    </row>
    <row r="29" spans="1:18" ht="21.75" customHeight="1" thickBot="1">
      <c r="A29" s="5383"/>
      <c r="B29" s="5386" t="s">
        <v>1074</v>
      </c>
      <c r="C29" s="69" t="s">
        <v>436</v>
      </c>
      <c r="D29" s="1705">
        <v>0.05</v>
      </c>
      <c r="E29" s="2524">
        <f>89000/'1-1.Assumption'!F29</f>
        <v>3.3712121212121211</v>
      </c>
      <c r="F29" s="3627">
        <f>F18*(1+$D$29)</f>
        <v>0</v>
      </c>
      <c r="G29" s="3628">
        <f t="shared" ref="G29:Q29" si="11">G18*(1+$D$29)</f>
        <v>0</v>
      </c>
      <c r="H29" s="3629">
        <f t="shared" si="11"/>
        <v>0</v>
      </c>
      <c r="I29" s="3628">
        <f t="shared" si="11"/>
        <v>0</v>
      </c>
      <c r="J29" s="3630">
        <f t="shared" si="11"/>
        <v>0</v>
      </c>
      <c r="K29" s="2525">
        <f t="shared" si="11"/>
        <v>0</v>
      </c>
      <c r="L29" s="2526">
        <f t="shared" si="11"/>
        <v>0</v>
      </c>
      <c r="M29" s="2527">
        <f t="shared" si="11"/>
        <v>0</v>
      </c>
      <c r="N29" s="2528">
        <f t="shared" si="11"/>
        <v>0</v>
      </c>
      <c r="O29" s="2529">
        <f t="shared" si="11"/>
        <v>0</v>
      </c>
      <c r="P29" s="2527">
        <f t="shared" si="11"/>
        <v>0</v>
      </c>
      <c r="Q29" s="2528">
        <f t="shared" si="11"/>
        <v>0</v>
      </c>
      <c r="R29" s="1674">
        <f>SUM(F29:Q29)</f>
        <v>0</v>
      </c>
    </row>
    <row r="30" spans="1:18" ht="21.75" hidden="1" customHeight="1">
      <c r="A30" s="5383"/>
      <c r="B30" s="5387"/>
      <c r="C30" s="73" t="s">
        <v>249</v>
      </c>
      <c r="D30" s="1705">
        <v>0</v>
      </c>
      <c r="E30" s="2524">
        <v>0</v>
      </c>
      <c r="F30" s="2530">
        <f t="shared" ref="F30:Q30" si="12">F18*$D$30</f>
        <v>0</v>
      </c>
      <c r="G30" s="3631">
        <f t="shared" si="12"/>
        <v>0</v>
      </c>
      <c r="H30" s="2531">
        <f t="shared" si="12"/>
        <v>0</v>
      </c>
      <c r="I30" s="3632">
        <f t="shared" si="12"/>
        <v>0</v>
      </c>
      <c r="J30" s="2532">
        <f t="shared" si="12"/>
        <v>0</v>
      </c>
      <c r="K30" s="2533">
        <f t="shared" si="12"/>
        <v>0</v>
      </c>
      <c r="L30" s="2534">
        <f t="shared" si="12"/>
        <v>0</v>
      </c>
      <c r="M30" s="2535">
        <f t="shared" si="12"/>
        <v>0</v>
      </c>
      <c r="N30" s="2536">
        <f t="shared" si="12"/>
        <v>0</v>
      </c>
      <c r="O30" s="2537">
        <f t="shared" si="12"/>
        <v>0</v>
      </c>
      <c r="P30" s="2535">
        <f t="shared" si="12"/>
        <v>0</v>
      </c>
      <c r="Q30" s="2536">
        <f t="shared" si="12"/>
        <v>0</v>
      </c>
      <c r="R30" s="1670">
        <f>SUM(F30:Q30)</f>
        <v>0</v>
      </c>
    </row>
    <row r="31" spans="1:18" ht="21.75" hidden="1" customHeight="1" thickBot="1">
      <c r="A31" s="5383"/>
      <c r="B31" s="5387"/>
      <c r="C31" s="2538" t="s">
        <v>123</v>
      </c>
      <c r="D31" s="2539">
        <f t="shared" ref="D31:E31" si="13">SUM(D29:D30)</f>
        <v>0.05</v>
      </c>
      <c r="E31" s="2540">
        <f t="shared" si="13"/>
        <v>3.3712121212121211</v>
      </c>
      <c r="F31" s="3633">
        <f t="shared" ref="F31:Q31" si="14">SUM(F29:F30)</f>
        <v>0</v>
      </c>
      <c r="G31" s="2541">
        <f t="shared" si="14"/>
        <v>0</v>
      </c>
      <c r="H31" s="3634">
        <f t="shared" si="14"/>
        <v>0</v>
      </c>
      <c r="I31" s="2541">
        <f t="shared" si="14"/>
        <v>0</v>
      </c>
      <c r="J31" s="2542">
        <f t="shared" si="14"/>
        <v>0</v>
      </c>
      <c r="K31" s="2542">
        <f t="shared" si="14"/>
        <v>0</v>
      </c>
      <c r="L31" s="2543">
        <f t="shared" si="14"/>
        <v>0</v>
      </c>
      <c r="M31" s="2544">
        <f t="shared" si="14"/>
        <v>0</v>
      </c>
      <c r="N31" s="2545">
        <f t="shared" si="14"/>
        <v>0</v>
      </c>
      <c r="O31" s="2546">
        <f t="shared" si="14"/>
        <v>0</v>
      </c>
      <c r="P31" s="2544">
        <f t="shared" si="14"/>
        <v>0</v>
      </c>
      <c r="Q31" s="2545">
        <f t="shared" si="14"/>
        <v>0</v>
      </c>
      <c r="R31" s="1644">
        <f>SUM(R29:R30)</f>
        <v>0</v>
      </c>
    </row>
    <row r="32" spans="1:18" ht="21.75" customHeight="1" thickBot="1">
      <c r="A32" s="2547"/>
      <c r="B32" s="5381" t="s">
        <v>15</v>
      </c>
      <c r="C32" s="5381"/>
      <c r="D32" s="39"/>
      <c r="E32" s="39"/>
      <c r="F32" s="1617">
        <f t="shared" ref="F32:R32" si="15">+F25+F28+F31</f>
        <v>246078.46543386288</v>
      </c>
      <c r="G32" s="1618">
        <f t="shared" si="15"/>
        <v>210103.96652343756</v>
      </c>
      <c r="H32" s="1619">
        <f t="shared" si="15"/>
        <v>245807.29763322591</v>
      </c>
      <c r="I32" s="1621">
        <f t="shared" si="15"/>
        <v>236828.59215130625</v>
      </c>
      <c r="J32" s="1618">
        <f t="shared" si="15"/>
        <v>231255.71027134627</v>
      </c>
      <c r="K32" s="1620">
        <f t="shared" si="15"/>
        <v>233062.82894041479</v>
      </c>
      <c r="L32" s="1850">
        <f t="shared" si="15"/>
        <v>224593.09493577451</v>
      </c>
      <c r="M32" s="1799">
        <f t="shared" si="15"/>
        <v>217351.85048849965</v>
      </c>
      <c r="N32" s="1800">
        <f t="shared" si="15"/>
        <v>220548.31473065398</v>
      </c>
      <c r="O32" s="1850">
        <f t="shared" si="15"/>
        <v>218093.88214793612</v>
      </c>
      <c r="P32" s="1799">
        <f t="shared" si="15"/>
        <v>200273.56404357759</v>
      </c>
      <c r="Q32" s="1800">
        <f t="shared" si="15"/>
        <v>192732.72000088362</v>
      </c>
      <c r="R32" s="1800">
        <f t="shared" si="15"/>
        <v>2676730.2873009192</v>
      </c>
    </row>
    <row r="33" spans="1:18" ht="21.75" customHeight="1">
      <c r="A33" s="1650"/>
      <c r="B33" s="2548"/>
      <c r="C33" s="2549"/>
      <c r="D33" s="2549"/>
      <c r="E33" s="2550"/>
      <c r="F33" s="3040"/>
      <c r="G33" s="3040"/>
      <c r="H33" s="3040"/>
      <c r="I33" s="2551"/>
      <c r="J33" s="2551"/>
      <c r="K33" s="2552"/>
      <c r="L33" s="2553"/>
      <c r="M33" s="2553"/>
      <c r="N33" s="2553"/>
      <c r="O33" s="2553"/>
      <c r="P33" s="2553"/>
      <c r="Q33" s="2554"/>
      <c r="R33" s="2555" t="b">
        <f>R32=SUM(F32:Q32)</f>
        <v>1</v>
      </c>
    </row>
    <row r="34" spans="1:18" ht="21.75" customHeight="1" thickBot="1">
      <c r="A34" s="2498" t="s">
        <v>204</v>
      </c>
      <c r="B34" s="2556"/>
      <c r="C34" s="2557"/>
      <c r="D34" s="2557"/>
      <c r="E34" s="2557"/>
      <c r="F34" s="1578"/>
      <c r="G34" s="1578"/>
      <c r="H34" s="1716"/>
      <c r="I34" s="1716"/>
      <c r="J34" s="1716"/>
      <c r="K34" s="1716"/>
      <c r="L34" s="2558"/>
      <c r="M34" s="2558"/>
      <c r="N34" s="2558"/>
      <c r="O34" s="2558"/>
      <c r="P34" s="1804"/>
      <c r="Q34" s="1804">
        <f>+Q28-Q33</f>
        <v>37781.604000000007</v>
      </c>
      <c r="R34" s="1627" t="s">
        <v>87</v>
      </c>
    </row>
    <row r="35" spans="1:18" ht="21.75" customHeight="1" thickBot="1">
      <c r="A35" s="89" t="s">
        <v>127</v>
      </c>
      <c r="B35" s="2501" t="s">
        <v>108</v>
      </c>
      <c r="C35" s="2502" t="s">
        <v>128</v>
      </c>
      <c r="D35" s="2503" t="str">
        <f t="shared" ref="D35:D44" si="16">D22</f>
        <v>Loss Yield%</v>
      </c>
      <c r="E35" s="44" t="s">
        <v>29</v>
      </c>
      <c r="F35" s="1548" t="str">
        <f t="shared" ref="F35:R35" si="17">F4</f>
        <v>Jan.26</v>
      </c>
      <c r="G35" s="81" t="str">
        <f t="shared" si="17"/>
        <v>Feb.26</v>
      </c>
      <c r="H35" s="1549" t="str">
        <f t="shared" si="17"/>
        <v>Mar.26</v>
      </c>
      <c r="I35" s="1548" t="str">
        <f t="shared" si="17"/>
        <v>Apr.26</v>
      </c>
      <c r="J35" s="81" t="str">
        <f t="shared" si="17"/>
        <v>May.26</v>
      </c>
      <c r="K35" s="1549" t="str">
        <f t="shared" si="17"/>
        <v>Jun.26</v>
      </c>
      <c r="L35" s="1548" t="str">
        <f t="shared" si="17"/>
        <v>Jul.26</v>
      </c>
      <c r="M35" s="81" t="str">
        <f t="shared" si="17"/>
        <v>Aug.26</v>
      </c>
      <c r="N35" s="1549" t="str">
        <f t="shared" si="17"/>
        <v>Sep.26</v>
      </c>
      <c r="O35" s="1548" t="str">
        <f t="shared" si="17"/>
        <v>Oct.26</v>
      </c>
      <c r="P35" s="81" t="str">
        <f t="shared" si="17"/>
        <v>Nov.26</v>
      </c>
      <c r="Q35" s="1549" t="str">
        <f t="shared" si="17"/>
        <v>Dec.26</v>
      </c>
      <c r="R35" s="2504" t="str">
        <f t="shared" si="17"/>
        <v>2026
Total</v>
      </c>
    </row>
    <row r="36" spans="1:18" ht="21.75" customHeight="1">
      <c r="A36" s="5382" t="s">
        <v>205</v>
      </c>
      <c r="B36" s="5384" t="s">
        <v>98</v>
      </c>
      <c r="C36" s="70" t="s">
        <v>99</v>
      </c>
      <c r="D36" s="1700">
        <f t="shared" si="16"/>
        <v>0.05</v>
      </c>
      <c r="E36" s="2505">
        <f t="shared" ref="E36:E41" si="18">E23</f>
        <v>2.6893939393939394</v>
      </c>
      <c r="F36" s="4455">
        <f>$E36*F23</f>
        <v>547252.46991682821</v>
      </c>
      <c r="G36" s="4456">
        <f t="shared" ref="G36:Q36" si="19">$E36*G23</f>
        <v>444139.01148348738</v>
      </c>
      <c r="H36" s="4457">
        <f t="shared" si="19"/>
        <v>483733.11651359999</v>
      </c>
      <c r="I36" s="4458">
        <f t="shared" si="19"/>
        <v>463192.02722510387</v>
      </c>
      <c r="J36" s="4456">
        <f t="shared" si="19"/>
        <v>442901.13656309032</v>
      </c>
      <c r="K36" s="4459">
        <f t="shared" si="19"/>
        <v>437154.75874126708</v>
      </c>
      <c r="L36" s="4460">
        <f t="shared" si="19"/>
        <v>434316.3992590906</v>
      </c>
      <c r="M36" s="4461">
        <f t="shared" si="19"/>
        <v>430751.48805619223</v>
      </c>
      <c r="N36" s="4462">
        <f t="shared" si="19"/>
        <v>428741.60779834975</v>
      </c>
      <c r="O36" s="4460">
        <f t="shared" si="19"/>
        <v>427443.88759482821</v>
      </c>
      <c r="P36" s="4461">
        <f t="shared" si="19"/>
        <v>419822.47299598518</v>
      </c>
      <c r="Q36" s="4462">
        <f t="shared" si="19"/>
        <v>416724.59227510361</v>
      </c>
      <c r="R36" s="2511">
        <f t="shared" ref="R36:R44" si="20">SUM(F36:Q36)</f>
        <v>5376172.968422926</v>
      </c>
    </row>
    <row r="37" spans="1:18" ht="21.75" hidden="1" customHeight="1">
      <c r="A37" s="5383"/>
      <c r="B37" s="5389"/>
      <c r="C37" s="68" t="str">
        <f>C24</f>
        <v>Out Recycle</v>
      </c>
      <c r="D37" s="1703">
        <f t="shared" si="16"/>
        <v>0</v>
      </c>
      <c r="E37" s="2512">
        <f t="shared" si="18"/>
        <v>0</v>
      </c>
      <c r="F37" s="4463">
        <f>$E37*F24</f>
        <v>0</v>
      </c>
      <c r="G37" s="4464">
        <f t="shared" ref="G37:Q37" si="21">$E37*G24</f>
        <v>0</v>
      </c>
      <c r="H37" s="4465">
        <f t="shared" si="21"/>
        <v>0</v>
      </c>
      <c r="I37" s="4466">
        <f t="shared" si="21"/>
        <v>0</v>
      </c>
      <c r="J37" s="4467">
        <f t="shared" si="21"/>
        <v>0</v>
      </c>
      <c r="K37" s="4468">
        <f t="shared" si="21"/>
        <v>0</v>
      </c>
      <c r="L37" s="4398">
        <f t="shared" si="21"/>
        <v>0</v>
      </c>
      <c r="M37" s="4399">
        <f t="shared" si="21"/>
        <v>0</v>
      </c>
      <c r="N37" s="4400">
        <f t="shared" si="21"/>
        <v>0</v>
      </c>
      <c r="O37" s="4398">
        <f t="shared" si="21"/>
        <v>0</v>
      </c>
      <c r="P37" s="4399">
        <f t="shared" si="21"/>
        <v>0</v>
      </c>
      <c r="Q37" s="4400">
        <f t="shared" si="21"/>
        <v>0</v>
      </c>
      <c r="R37" s="2516">
        <f t="shared" si="20"/>
        <v>0</v>
      </c>
    </row>
    <row r="38" spans="1:18" ht="21.75" hidden="1" customHeight="1">
      <c r="A38" s="5383"/>
      <c r="B38" s="2517"/>
      <c r="C38" s="2518" t="s">
        <v>123</v>
      </c>
      <c r="D38" s="2519">
        <f t="shared" si="16"/>
        <v>0.05</v>
      </c>
      <c r="E38" s="2520">
        <f t="shared" si="18"/>
        <v>2.6893939393939394</v>
      </c>
      <c r="F38" s="4469">
        <f t="shared" ref="F38" si="22">SUM(F36:F37)</f>
        <v>547252.46991682821</v>
      </c>
      <c r="G38" s="4470">
        <f t="shared" ref="G38:Q38" si="23">SUM(G36:G37)</f>
        <v>444139.01148348738</v>
      </c>
      <c r="H38" s="4471">
        <f t="shared" si="23"/>
        <v>483733.11651359999</v>
      </c>
      <c r="I38" s="4472">
        <f t="shared" si="23"/>
        <v>463192.02722510387</v>
      </c>
      <c r="J38" s="4470">
        <f t="shared" si="23"/>
        <v>442901.13656309032</v>
      </c>
      <c r="K38" s="4473">
        <f t="shared" si="23"/>
        <v>437154.75874126708</v>
      </c>
      <c r="L38" s="4413">
        <f t="shared" si="23"/>
        <v>434316.3992590906</v>
      </c>
      <c r="M38" s="4415">
        <f t="shared" si="23"/>
        <v>430751.48805619223</v>
      </c>
      <c r="N38" s="4414">
        <f t="shared" si="23"/>
        <v>428741.60779834975</v>
      </c>
      <c r="O38" s="4413">
        <f t="shared" si="23"/>
        <v>427443.88759482821</v>
      </c>
      <c r="P38" s="4415">
        <f t="shared" si="23"/>
        <v>419822.47299598518</v>
      </c>
      <c r="Q38" s="4414">
        <f t="shared" si="23"/>
        <v>416724.59227510361</v>
      </c>
      <c r="R38" s="1634">
        <f t="shared" si="20"/>
        <v>5376172.968422926</v>
      </c>
    </row>
    <row r="39" spans="1:18" ht="21.75" customHeight="1">
      <c r="A39" s="5383"/>
      <c r="B39" s="5386" t="s">
        <v>1073</v>
      </c>
      <c r="C39" s="4336" t="s">
        <v>99</v>
      </c>
      <c r="D39" s="4337">
        <f t="shared" si="16"/>
        <v>0.05</v>
      </c>
      <c r="E39" s="4338">
        <f t="shared" si="18"/>
        <v>3.2954545454545454</v>
      </c>
      <c r="F39" s="4455">
        <f t="shared" ref="F39:F43" si="24">$E39*F26</f>
        <v>140363.42727272731</v>
      </c>
      <c r="G39" s="4474">
        <f t="shared" ref="G39:Q39" si="25">$E39*G26</f>
        <v>148161.39545454548</v>
      </c>
      <c r="H39" s="4475">
        <f t="shared" si="25"/>
        <v>217303.38000000003</v>
      </c>
      <c r="I39" s="4476">
        <f t="shared" si="25"/>
        <v>212884.5313636364</v>
      </c>
      <c r="J39" s="4474">
        <f t="shared" si="25"/>
        <v>219382.83818181822</v>
      </c>
      <c r="K39" s="4477">
        <f t="shared" si="25"/>
        <v>232379.45181818181</v>
      </c>
      <c r="L39" s="4406">
        <f t="shared" si="25"/>
        <v>207945.81818181818</v>
      </c>
      <c r="M39" s="4430">
        <f t="shared" si="25"/>
        <v>188450.89772727274</v>
      </c>
      <c r="N39" s="4431">
        <f t="shared" si="25"/>
        <v>201447.51136363635</v>
      </c>
      <c r="O39" s="4406">
        <f t="shared" si="25"/>
        <v>194949.20454545453</v>
      </c>
      <c r="P39" s="4430">
        <f t="shared" si="25"/>
        <v>145562.07272727275</v>
      </c>
      <c r="Q39" s="4431">
        <f t="shared" si="25"/>
        <v>124507.55863636365</v>
      </c>
      <c r="R39" s="1674">
        <f t="shared" si="20"/>
        <v>2233338.0872727274</v>
      </c>
    </row>
    <row r="40" spans="1:18" ht="21.75" hidden="1" customHeight="1">
      <c r="A40" s="5383"/>
      <c r="B40" s="5387"/>
      <c r="C40" s="68" t="str">
        <f>C27</f>
        <v>Out Recycle</v>
      </c>
      <c r="D40" s="1703">
        <f t="shared" si="16"/>
        <v>0</v>
      </c>
      <c r="E40" s="2512">
        <f t="shared" si="18"/>
        <v>0</v>
      </c>
      <c r="F40" s="4463">
        <f t="shared" si="24"/>
        <v>0</v>
      </c>
      <c r="G40" s="4467">
        <f t="shared" ref="G40:Q40" si="26">$E40*G27</f>
        <v>0</v>
      </c>
      <c r="H40" s="4465">
        <f t="shared" si="26"/>
        <v>0</v>
      </c>
      <c r="I40" s="4466">
        <f t="shared" si="26"/>
        <v>0</v>
      </c>
      <c r="J40" s="4467">
        <f t="shared" si="26"/>
        <v>0</v>
      </c>
      <c r="K40" s="4468">
        <f t="shared" si="26"/>
        <v>0</v>
      </c>
      <c r="L40" s="4398">
        <f t="shared" si="26"/>
        <v>0</v>
      </c>
      <c r="M40" s="4399">
        <f t="shared" si="26"/>
        <v>0</v>
      </c>
      <c r="N40" s="4400">
        <f t="shared" si="26"/>
        <v>0</v>
      </c>
      <c r="O40" s="4398">
        <f t="shared" si="26"/>
        <v>0</v>
      </c>
      <c r="P40" s="4399">
        <f t="shared" si="26"/>
        <v>0</v>
      </c>
      <c r="Q40" s="4400">
        <f t="shared" si="26"/>
        <v>0</v>
      </c>
      <c r="R40" s="2516">
        <f t="shared" si="20"/>
        <v>0</v>
      </c>
    </row>
    <row r="41" spans="1:18" ht="21.75" hidden="1" customHeight="1">
      <c r="A41" s="5383"/>
      <c r="B41" s="5388"/>
      <c r="C41" s="2518" t="s">
        <v>123</v>
      </c>
      <c r="D41" s="2519">
        <f t="shared" si="16"/>
        <v>0.05</v>
      </c>
      <c r="E41" s="2520">
        <f t="shared" si="18"/>
        <v>3.2954545454545454</v>
      </c>
      <c r="F41" s="4469">
        <f t="shared" ref="F41" si="27">SUM(F39:F40)</f>
        <v>140363.42727272731</v>
      </c>
      <c r="G41" s="4470">
        <f t="shared" ref="G41:Q41" si="28">SUM(G39:G40)</f>
        <v>148161.39545454548</v>
      </c>
      <c r="H41" s="4471">
        <f t="shared" si="28"/>
        <v>217303.38000000003</v>
      </c>
      <c r="I41" s="4472">
        <f t="shared" si="28"/>
        <v>212884.5313636364</v>
      </c>
      <c r="J41" s="4470">
        <f t="shared" si="28"/>
        <v>219382.83818181822</v>
      </c>
      <c r="K41" s="4473">
        <f t="shared" si="28"/>
        <v>232379.45181818181</v>
      </c>
      <c r="L41" s="4413">
        <f t="shared" si="28"/>
        <v>207945.81818181818</v>
      </c>
      <c r="M41" s="4415">
        <f t="shared" si="28"/>
        <v>188450.89772727274</v>
      </c>
      <c r="N41" s="4414">
        <f t="shared" si="28"/>
        <v>201447.51136363635</v>
      </c>
      <c r="O41" s="4413">
        <f t="shared" si="28"/>
        <v>194949.20454545453</v>
      </c>
      <c r="P41" s="4415">
        <f t="shared" si="28"/>
        <v>145562.07272727275</v>
      </c>
      <c r="Q41" s="4414">
        <f t="shared" si="28"/>
        <v>124507.55863636365</v>
      </c>
      <c r="R41" s="1634">
        <f t="shared" si="20"/>
        <v>2233338.0872727274</v>
      </c>
    </row>
    <row r="42" spans="1:18" ht="21.75" customHeight="1" thickBot="1">
      <c r="A42" s="5383"/>
      <c r="B42" s="5386" t="s">
        <v>1074</v>
      </c>
      <c r="C42" s="2559" t="s">
        <v>99</v>
      </c>
      <c r="D42" s="1705">
        <f t="shared" si="16"/>
        <v>0.05</v>
      </c>
      <c r="E42" s="2524">
        <f>E29</f>
        <v>3.3712121212121211</v>
      </c>
      <c r="F42" s="4478">
        <f t="shared" si="24"/>
        <v>0</v>
      </c>
      <c r="G42" s="4479">
        <f t="shared" ref="G42:Q42" si="29">$E42*G29</f>
        <v>0</v>
      </c>
      <c r="H42" s="4480">
        <f t="shared" si="29"/>
        <v>0</v>
      </c>
      <c r="I42" s="4481">
        <f t="shared" si="29"/>
        <v>0</v>
      </c>
      <c r="J42" s="4479">
        <f t="shared" si="29"/>
        <v>0</v>
      </c>
      <c r="K42" s="4482">
        <f t="shared" si="29"/>
        <v>0</v>
      </c>
      <c r="L42" s="4483">
        <f t="shared" si="29"/>
        <v>0</v>
      </c>
      <c r="M42" s="4484">
        <f t="shared" si="29"/>
        <v>0</v>
      </c>
      <c r="N42" s="4485">
        <f t="shared" si="29"/>
        <v>0</v>
      </c>
      <c r="O42" s="4483">
        <f t="shared" si="29"/>
        <v>0</v>
      </c>
      <c r="P42" s="4486">
        <f t="shared" si="29"/>
        <v>0</v>
      </c>
      <c r="Q42" s="4485">
        <f t="shared" si="29"/>
        <v>0</v>
      </c>
      <c r="R42" s="1674">
        <f t="shared" si="20"/>
        <v>0</v>
      </c>
    </row>
    <row r="43" spans="1:18" ht="21.75" hidden="1" customHeight="1">
      <c r="A43" s="5383"/>
      <c r="B43" s="5387"/>
      <c r="C43" s="73" t="str">
        <f>C30</f>
        <v>Out Recycle</v>
      </c>
      <c r="D43" s="1705">
        <f t="shared" si="16"/>
        <v>0</v>
      </c>
      <c r="E43" s="2524">
        <f>E30</f>
        <v>0</v>
      </c>
      <c r="F43" s="2530">
        <f t="shared" si="24"/>
        <v>0</v>
      </c>
      <c r="G43" s="2532">
        <f t="shared" ref="G43:Q43" si="30">$E43*G30</f>
        <v>0</v>
      </c>
      <c r="H43" s="3636">
        <f t="shared" si="30"/>
        <v>0</v>
      </c>
      <c r="I43" s="3631">
        <f t="shared" si="30"/>
        <v>0</v>
      </c>
      <c r="J43" s="2532">
        <f t="shared" si="30"/>
        <v>0</v>
      </c>
      <c r="K43" s="2533">
        <f t="shared" si="30"/>
        <v>0</v>
      </c>
      <c r="L43" s="2537">
        <f t="shared" si="30"/>
        <v>0</v>
      </c>
      <c r="M43" s="2535">
        <f t="shared" si="30"/>
        <v>0</v>
      </c>
      <c r="N43" s="2536">
        <f t="shared" si="30"/>
        <v>0</v>
      </c>
      <c r="O43" s="1716">
        <f t="shared" si="30"/>
        <v>0</v>
      </c>
      <c r="P43" s="2535">
        <f t="shared" si="30"/>
        <v>0</v>
      </c>
      <c r="Q43" s="2536">
        <f t="shared" si="30"/>
        <v>0</v>
      </c>
      <c r="R43" s="1670">
        <f t="shared" si="20"/>
        <v>0</v>
      </c>
    </row>
    <row r="44" spans="1:18" ht="21.75" hidden="1" customHeight="1" thickBot="1">
      <c r="A44" s="5383"/>
      <c r="B44" s="5387"/>
      <c r="C44" s="2538" t="s">
        <v>123</v>
      </c>
      <c r="D44" s="2539">
        <f t="shared" si="16"/>
        <v>0.05</v>
      </c>
      <c r="E44" s="2560">
        <f>E31</f>
        <v>3.3712121212121211</v>
      </c>
      <c r="F44" s="3633">
        <f>SUM(F42:F43)</f>
        <v>0</v>
      </c>
      <c r="G44" s="2541">
        <f t="shared" ref="G44:Q44" si="31">SUM(G42:G43)</f>
        <v>0</v>
      </c>
      <c r="H44" s="3637">
        <f t="shared" si="31"/>
        <v>0</v>
      </c>
      <c r="I44" s="2541">
        <f t="shared" si="31"/>
        <v>0</v>
      </c>
      <c r="J44" s="2541">
        <f t="shared" si="31"/>
        <v>0</v>
      </c>
      <c r="K44" s="2541">
        <f t="shared" si="31"/>
        <v>0</v>
      </c>
      <c r="L44" s="2546">
        <f t="shared" si="31"/>
        <v>0</v>
      </c>
      <c r="M44" s="2544">
        <f t="shared" si="31"/>
        <v>0</v>
      </c>
      <c r="N44" s="2545">
        <f t="shared" si="31"/>
        <v>0</v>
      </c>
      <c r="O44" s="2546">
        <f t="shared" si="31"/>
        <v>0</v>
      </c>
      <c r="P44" s="2544">
        <f t="shared" si="31"/>
        <v>0</v>
      </c>
      <c r="Q44" s="2545">
        <f t="shared" si="31"/>
        <v>0</v>
      </c>
      <c r="R44" s="1644">
        <f t="shared" si="20"/>
        <v>0</v>
      </c>
    </row>
    <row r="45" spans="1:18" ht="21.75" customHeight="1" thickBot="1">
      <c r="A45" s="2547"/>
      <c r="B45" s="5381" t="s">
        <v>15</v>
      </c>
      <c r="C45" s="5381"/>
      <c r="D45" s="39"/>
      <c r="E45" s="39"/>
      <c r="F45" s="1617">
        <f t="shared" ref="F45" si="32">+F38+F41+F44</f>
        <v>687615.89718955546</v>
      </c>
      <c r="G45" s="1618">
        <f t="shared" ref="G45:Q45" si="33">+G38+G41+G44</f>
        <v>592300.40693803283</v>
      </c>
      <c r="H45" s="1619">
        <f t="shared" si="33"/>
        <v>701036.4965136</v>
      </c>
      <c r="I45" s="1621">
        <f t="shared" si="33"/>
        <v>676076.5585887403</v>
      </c>
      <c r="J45" s="1618">
        <f t="shared" si="33"/>
        <v>662283.97474490851</v>
      </c>
      <c r="K45" s="1620">
        <f t="shared" si="33"/>
        <v>669534.21055944893</v>
      </c>
      <c r="L45" s="1850">
        <f t="shared" si="33"/>
        <v>642262.21744090877</v>
      </c>
      <c r="M45" s="1799">
        <f t="shared" si="33"/>
        <v>619202.385783465</v>
      </c>
      <c r="N45" s="1800">
        <f t="shared" si="33"/>
        <v>630189.11916198605</v>
      </c>
      <c r="O45" s="1850">
        <f t="shared" si="33"/>
        <v>622393.09214028274</v>
      </c>
      <c r="P45" s="1799">
        <f t="shared" si="33"/>
        <v>565384.54572325794</v>
      </c>
      <c r="Q45" s="1800">
        <f t="shared" si="33"/>
        <v>541232.15091146727</v>
      </c>
      <c r="R45" s="1800">
        <f>+R38+R41+R44</f>
        <v>7609511.055695653</v>
      </c>
    </row>
    <row r="46" spans="1:18" ht="21.75" customHeight="1">
      <c r="A46" s="2095"/>
      <c r="B46" s="2556"/>
      <c r="C46" s="2557"/>
      <c r="E46" s="2557"/>
      <c r="F46" s="2561"/>
      <c r="G46" s="2561"/>
      <c r="H46" s="2561"/>
      <c r="I46" s="2561"/>
      <c r="J46" s="2561"/>
      <c r="K46" s="2561"/>
      <c r="L46" s="2562"/>
      <c r="M46" s="2562"/>
      <c r="N46" s="2562"/>
      <c r="O46" s="2562"/>
      <c r="P46" s="2562"/>
      <c r="Q46" s="2562"/>
      <c r="R46" s="2562" t="b">
        <f>SUM(F45:Q45)=R45</f>
        <v>1</v>
      </c>
    </row>
    <row r="47" spans="1:18" ht="21.75" customHeight="1">
      <c r="D47" s="2557"/>
      <c r="F47" s="1578"/>
    </row>
    <row r="48" spans="1:18" ht="21.75" customHeight="1" thickBot="1">
      <c r="A48" s="2498" t="s">
        <v>333</v>
      </c>
      <c r="B48" s="2556"/>
      <c r="C48" s="2557"/>
      <c r="D48" s="2557"/>
      <c r="E48" s="2557"/>
      <c r="F48" s="2562"/>
      <c r="G48" s="2562"/>
      <c r="H48" s="2562"/>
      <c r="I48" s="2562"/>
      <c r="J48" s="2562"/>
      <c r="K48" s="2562"/>
      <c r="L48" s="2562"/>
      <c r="M48" s="2562"/>
      <c r="N48" s="2562"/>
      <c r="O48" s="2562"/>
      <c r="P48" s="2562"/>
      <c r="Q48" s="2562"/>
      <c r="R48" s="1627" t="s">
        <v>115</v>
      </c>
    </row>
    <row r="49" spans="1:20" ht="21.75" customHeight="1" thickBot="1">
      <c r="A49" s="41" t="s">
        <v>109</v>
      </c>
      <c r="B49" s="2563" t="s">
        <v>108</v>
      </c>
      <c r="C49" s="2564" t="s">
        <v>108</v>
      </c>
      <c r="D49" s="25" t="s">
        <v>241</v>
      </c>
      <c r="E49" s="2641"/>
      <c r="F49" s="41" t="str">
        <f t="shared" ref="F49:R49" si="34">F4</f>
        <v>Jan.26</v>
      </c>
      <c r="G49" s="79" t="str">
        <f t="shared" si="34"/>
        <v>Feb.26</v>
      </c>
      <c r="H49" s="40" t="str">
        <f t="shared" si="34"/>
        <v>Mar.26</v>
      </c>
      <c r="I49" s="3604" t="str">
        <f t="shared" si="34"/>
        <v>Apr.26</v>
      </c>
      <c r="J49" s="79" t="str">
        <f t="shared" si="34"/>
        <v>May.26</v>
      </c>
      <c r="K49" s="71" t="str">
        <f t="shared" si="34"/>
        <v>Jun.26</v>
      </c>
      <c r="L49" s="89" t="str">
        <f t="shared" si="34"/>
        <v>Jul.26</v>
      </c>
      <c r="M49" s="81" t="str">
        <f t="shared" si="34"/>
        <v>Aug.26</v>
      </c>
      <c r="N49" s="71" t="str">
        <f t="shared" si="34"/>
        <v>Sep.26</v>
      </c>
      <c r="O49" s="89" t="str">
        <f t="shared" si="34"/>
        <v>Oct.26</v>
      </c>
      <c r="P49" s="81" t="str">
        <f t="shared" si="34"/>
        <v>Nov.26</v>
      </c>
      <c r="Q49" s="71" t="str">
        <f t="shared" si="34"/>
        <v>Dec.26</v>
      </c>
      <c r="R49" s="2504" t="str">
        <f t="shared" si="34"/>
        <v>2026
Total</v>
      </c>
    </row>
    <row r="50" spans="1:20" ht="21.75" customHeight="1">
      <c r="A50" s="5392" t="s">
        <v>487</v>
      </c>
      <c r="B50" s="2565" t="s">
        <v>19</v>
      </c>
      <c r="C50" s="2566" t="s">
        <v>484</v>
      </c>
      <c r="D50" s="2567">
        <v>0.01</v>
      </c>
      <c r="E50" s="3986"/>
      <c r="F50" s="3638">
        <f>SUM('3. P PLAN'!J5:J11)</f>
        <v>1080000</v>
      </c>
      <c r="G50" s="3498">
        <f>SUM('3. P PLAN'!K5:K11)</f>
        <v>1140000</v>
      </c>
      <c r="H50" s="3496">
        <f>SUM('3. P PLAN'!L5:L11)</f>
        <v>1672000</v>
      </c>
      <c r="I50" s="3497">
        <f>SUM('3. P PLAN'!M5:M11)</f>
        <v>1638000</v>
      </c>
      <c r="J50" s="3498">
        <f>SUM('3. P PLAN'!N5:N11)</f>
        <v>1688000</v>
      </c>
      <c r="K50" s="3496">
        <f>SUM('3. P PLAN'!O5:O11)</f>
        <v>1788000</v>
      </c>
      <c r="L50" s="3497">
        <f>SUM('3. P PLAN'!P5:P11)</f>
        <v>1600000</v>
      </c>
      <c r="M50" s="3498">
        <f>SUM('3. P PLAN'!Q5:Q11)</f>
        <v>1450000</v>
      </c>
      <c r="N50" s="3496">
        <f>SUM('3. P PLAN'!R5:R11)</f>
        <v>1550000</v>
      </c>
      <c r="O50" s="3497">
        <f>SUM('3. P PLAN'!S5:S11)</f>
        <v>1500000</v>
      </c>
      <c r="P50" s="3498">
        <f>SUM('3. P PLAN'!T5:T11)</f>
        <v>1120000</v>
      </c>
      <c r="Q50" s="3496">
        <f>SUM('3. P PLAN'!U5:U11)</f>
        <v>958000</v>
      </c>
      <c r="R50" s="2568">
        <f>SUM(F50:Q50)</f>
        <v>17184000</v>
      </c>
    </row>
    <row r="51" spans="1:20" ht="21.75" customHeight="1" thickBot="1">
      <c r="A51" s="5393"/>
      <c r="B51" s="3987" t="s">
        <v>485</v>
      </c>
      <c r="C51" s="3988" t="s">
        <v>486</v>
      </c>
      <c r="D51" s="3989">
        <v>0.01</v>
      </c>
      <c r="E51" s="3990"/>
      <c r="F51" s="3639">
        <f>'3. P PLAN'!J103</f>
        <v>3684.2105263157896</v>
      </c>
      <c r="G51" s="2570">
        <f>'3. P PLAN'!K103</f>
        <v>3684.2105263157896</v>
      </c>
      <c r="H51" s="2571">
        <f>'3. P PLAN'!L103</f>
        <v>4736.8421052631584</v>
      </c>
      <c r="I51" s="2572">
        <f>'3. P PLAN'!M103</f>
        <v>4736.8421052631584</v>
      </c>
      <c r="J51" s="2570">
        <f>'3. P PLAN'!N103</f>
        <v>3157.8947368421054</v>
      </c>
      <c r="K51" s="2571">
        <f>'3. P PLAN'!O103</f>
        <v>3157.8947368421054</v>
      </c>
      <c r="L51" s="2572">
        <f>'3. P PLAN'!P103</f>
        <v>2631.5789473684213</v>
      </c>
      <c r="M51" s="2570">
        <f>'3. P PLAN'!Q103</f>
        <v>2631.5789473684213</v>
      </c>
      <c r="N51" s="2571">
        <f>'3. P PLAN'!R103</f>
        <v>2631.5789473684213</v>
      </c>
      <c r="O51" s="2572">
        <f>'3. P PLAN'!S103</f>
        <v>6315.7894736842109</v>
      </c>
      <c r="P51" s="2570">
        <f>'3. P PLAN'!T103</f>
        <v>6315.7894736842109</v>
      </c>
      <c r="Q51" s="2571">
        <f>'3. P PLAN'!U103</f>
        <v>4210.5263157894733</v>
      </c>
      <c r="R51" s="20">
        <f>SUM(F51:Q51)</f>
        <v>47894.736842105267</v>
      </c>
    </row>
    <row r="52" spans="1:20" ht="21.75" customHeight="1" thickBot="1">
      <c r="A52" s="5177"/>
      <c r="B52" s="2573"/>
      <c r="C52" s="2574" t="s">
        <v>123</v>
      </c>
      <c r="D52" s="25"/>
      <c r="E52" s="2641"/>
      <c r="F52" s="3640">
        <f t="shared" ref="F52:R52" si="35">SUM(F50:F51)</f>
        <v>1083684.2105263157</v>
      </c>
      <c r="G52" s="2575">
        <f t="shared" si="35"/>
        <v>1143684.2105263157</v>
      </c>
      <c r="H52" s="2576">
        <f t="shared" si="35"/>
        <v>1676736.8421052631</v>
      </c>
      <c r="I52" s="2577">
        <f t="shared" si="35"/>
        <v>1642736.8421052631</v>
      </c>
      <c r="J52" s="2575">
        <f t="shared" si="35"/>
        <v>1691157.894736842</v>
      </c>
      <c r="K52" s="2576">
        <f t="shared" si="35"/>
        <v>1791157.894736842</v>
      </c>
      <c r="L52" s="2577">
        <f t="shared" si="35"/>
        <v>1602631.5789473683</v>
      </c>
      <c r="M52" s="2575">
        <f t="shared" si="35"/>
        <v>1452631.5789473683</v>
      </c>
      <c r="N52" s="2576">
        <f t="shared" si="35"/>
        <v>1552631.5789473683</v>
      </c>
      <c r="O52" s="2577">
        <f t="shared" si="35"/>
        <v>1506315.7894736843</v>
      </c>
      <c r="P52" s="2575">
        <f t="shared" si="35"/>
        <v>1126315.7894736843</v>
      </c>
      <c r="Q52" s="2576">
        <f t="shared" si="35"/>
        <v>962210.52631578944</v>
      </c>
      <c r="R52" s="2578">
        <f t="shared" si="35"/>
        <v>17231894.736842107</v>
      </c>
    </row>
    <row r="53" spans="1:20" ht="21.75" customHeight="1" thickBot="1">
      <c r="A53" s="5394" t="s">
        <v>122</v>
      </c>
      <c r="B53" s="5395"/>
      <c r="C53" s="5362"/>
      <c r="D53" s="2579"/>
      <c r="E53" s="2582"/>
      <c r="F53" s="1802">
        <f>+F52</f>
        <v>1083684.2105263157</v>
      </c>
      <c r="G53" s="1618">
        <f t="shared" ref="G53:Q53" si="36">+G52</f>
        <v>1143684.2105263157</v>
      </c>
      <c r="H53" s="2225">
        <f t="shared" si="36"/>
        <v>1676736.8421052631</v>
      </c>
      <c r="I53" s="1691">
        <f t="shared" si="36"/>
        <v>1642736.8421052631</v>
      </c>
      <c r="J53" s="1618">
        <f t="shared" si="36"/>
        <v>1691157.894736842</v>
      </c>
      <c r="K53" s="2225">
        <f t="shared" si="36"/>
        <v>1791157.894736842</v>
      </c>
      <c r="L53" s="2411">
        <f t="shared" si="36"/>
        <v>1602631.5789473683</v>
      </c>
      <c r="M53" s="1799">
        <f t="shared" si="36"/>
        <v>1452631.5789473683</v>
      </c>
      <c r="N53" s="2410">
        <f t="shared" si="36"/>
        <v>1552631.5789473683</v>
      </c>
      <c r="O53" s="1798">
        <f t="shared" si="36"/>
        <v>1506315.7894736843</v>
      </c>
      <c r="P53" s="1799">
        <f t="shared" si="36"/>
        <v>1126315.7894736843</v>
      </c>
      <c r="Q53" s="2410">
        <f t="shared" si="36"/>
        <v>962210.52631578944</v>
      </c>
      <c r="R53" s="1800">
        <f>SUM(R52)</f>
        <v>17231894.736842107</v>
      </c>
    </row>
    <row r="54" spans="1:20" ht="21.75" customHeight="1">
      <c r="R54" s="1544" t="b">
        <f>SUM(F53:Q53)=R53</f>
        <v>1</v>
      </c>
    </row>
    <row r="55" spans="1:20" ht="21.75" customHeight="1" thickBot="1">
      <c r="A55" s="2498" t="s">
        <v>334</v>
      </c>
      <c r="B55" s="2556"/>
      <c r="C55" s="2557"/>
      <c r="D55" s="2557"/>
      <c r="E55" s="2557"/>
      <c r="F55" s="2562"/>
      <c r="G55" s="2562"/>
      <c r="H55" s="2562"/>
      <c r="I55" s="2562"/>
      <c r="J55" s="2562"/>
      <c r="K55" s="2562"/>
      <c r="L55" s="2562"/>
      <c r="M55" s="2562"/>
      <c r="N55" s="2562"/>
      <c r="O55" s="2562"/>
      <c r="P55" s="2562"/>
      <c r="Q55" s="2562"/>
      <c r="R55" s="1627" t="s">
        <v>87</v>
      </c>
    </row>
    <row r="56" spans="1:20" ht="21.75" customHeight="1" thickBot="1">
      <c r="A56" s="89" t="s">
        <v>109</v>
      </c>
      <c r="B56" s="2501" t="s">
        <v>108</v>
      </c>
      <c r="C56" s="2501" t="s">
        <v>108</v>
      </c>
      <c r="D56" s="2502"/>
      <c r="E56" s="2502" t="s">
        <v>125</v>
      </c>
      <c r="F56" s="1548" t="str">
        <f t="shared" ref="F56:R56" si="37">F4</f>
        <v>Jan.26</v>
      </c>
      <c r="G56" s="81" t="str">
        <f t="shared" si="37"/>
        <v>Feb.26</v>
      </c>
      <c r="H56" s="1549" t="str">
        <f t="shared" si="37"/>
        <v>Mar.26</v>
      </c>
      <c r="I56" s="1548" t="str">
        <f t="shared" si="37"/>
        <v>Apr.26</v>
      </c>
      <c r="J56" s="81" t="str">
        <f t="shared" si="37"/>
        <v>May.26</v>
      </c>
      <c r="K56" s="1549" t="str">
        <f t="shared" si="37"/>
        <v>Jun.26</v>
      </c>
      <c r="L56" s="1548" t="str">
        <f t="shared" si="37"/>
        <v>Jul.26</v>
      </c>
      <c r="M56" s="81" t="str">
        <f t="shared" si="37"/>
        <v>Aug.26</v>
      </c>
      <c r="N56" s="1549" t="str">
        <f t="shared" si="37"/>
        <v>Sep.26</v>
      </c>
      <c r="O56" s="1548" t="str">
        <f t="shared" si="37"/>
        <v>Oct.26</v>
      </c>
      <c r="P56" s="81" t="str">
        <f t="shared" si="37"/>
        <v>Nov.26</v>
      </c>
      <c r="Q56" s="1549" t="str">
        <f t="shared" si="37"/>
        <v>Dec.26</v>
      </c>
      <c r="R56" s="2504" t="str">
        <f t="shared" si="37"/>
        <v>2026
Total</v>
      </c>
    </row>
    <row r="57" spans="1:20" ht="21.75" customHeight="1" thickBot="1">
      <c r="A57" s="38" t="s">
        <v>207</v>
      </c>
      <c r="B57" s="70" t="s">
        <v>469</v>
      </c>
      <c r="C57" s="70" t="s">
        <v>100</v>
      </c>
      <c r="D57" s="70"/>
      <c r="E57" s="4914">
        <f>0.05*0.85</f>
        <v>4.2500000000000003E-2</v>
      </c>
      <c r="F57" s="4487">
        <f t="shared" ref="F57:Q57" si="38">F52*$E$57</f>
        <v>46056.57894736842</v>
      </c>
      <c r="G57" s="4456">
        <f t="shared" si="38"/>
        <v>48606.57894736842</v>
      </c>
      <c r="H57" s="4457">
        <f t="shared" si="38"/>
        <v>71261.315789473694</v>
      </c>
      <c r="I57" s="4458">
        <f t="shared" si="38"/>
        <v>69816.315789473694</v>
      </c>
      <c r="J57" s="4456">
        <f t="shared" si="38"/>
        <v>71874.210526315786</v>
      </c>
      <c r="K57" s="4459">
        <f t="shared" si="38"/>
        <v>76124.210526315786</v>
      </c>
      <c r="L57" s="4460">
        <f t="shared" si="38"/>
        <v>68111.84210526316</v>
      </c>
      <c r="M57" s="4461">
        <f t="shared" si="38"/>
        <v>61736.84210526316</v>
      </c>
      <c r="N57" s="4462">
        <f t="shared" si="38"/>
        <v>65986.84210526316</v>
      </c>
      <c r="O57" s="4460">
        <f t="shared" si="38"/>
        <v>64018.421052631587</v>
      </c>
      <c r="P57" s="4461">
        <f t="shared" si="38"/>
        <v>47868.421052631587</v>
      </c>
      <c r="Q57" s="4462">
        <f t="shared" si="38"/>
        <v>40893.947368421053</v>
      </c>
      <c r="R57" s="2511">
        <f>SUM(F57:Q57)</f>
        <v>732355.52631578944</v>
      </c>
      <c r="S57" s="4915"/>
      <c r="T57" s="1541"/>
    </row>
    <row r="58" spans="1:20" ht="21.75" customHeight="1" thickBot="1">
      <c r="A58" s="2581"/>
      <c r="B58" s="5381" t="s">
        <v>122</v>
      </c>
      <c r="C58" s="5381"/>
      <c r="D58" s="39"/>
      <c r="E58" s="2582" t="s">
        <v>246</v>
      </c>
      <c r="F58" s="1617">
        <f t="shared" ref="F58:Q58" si="39">SUM(F57:F57)</f>
        <v>46056.57894736842</v>
      </c>
      <c r="G58" s="1618">
        <f t="shared" si="39"/>
        <v>48606.57894736842</v>
      </c>
      <c r="H58" s="1619">
        <f t="shared" si="39"/>
        <v>71261.315789473694</v>
      </c>
      <c r="I58" s="1621">
        <f t="shared" si="39"/>
        <v>69816.315789473694</v>
      </c>
      <c r="J58" s="1618">
        <f t="shared" si="39"/>
        <v>71874.210526315786</v>
      </c>
      <c r="K58" s="1620">
        <f t="shared" si="39"/>
        <v>76124.210526315786</v>
      </c>
      <c r="L58" s="1850">
        <f t="shared" si="39"/>
        <v>68111.84210526316</v>
      </c>
      <c r="M58" s="1799">
        <f t="shared" si="39"/>
        <v>61736.84210526316</v>
      </c>
      <c r="N58" s="1800">
        <f t="shared" si="39"/>
        <v>65986.84210526316</v>
      </c>
      <c r="O58" s="1850">
        <f t="shared" si="39"/>
        <v>64018.421052631587</v>
      </c>
      <c r="P58" s="1799">
        <f t="shared" si="39"/>
        <v>47868.421052631587</v>
      </c>
      <c r="Q58" s="1800">
        <f t="shared" si="39"/>
        <v>40893.947368421053</v>
      </c>
      <c r="R58" s="1800">
        <f>SUM(R57:R57)</f>
        <v>732355.52631578944</v>
      </c>
    </row>
    <row r="59" spans="1:20" ht="21.75" customHeight="1">
      <c r="R59" s="9" t="b">
        <f>SUM(F58:Q58)=R58</f>
        <v>1</v>
      </c>
    </row>
    <row r="60" spans="1:20" ht="21.75" customHeight="1" thickBot="1">
      <c r="A60" s="2498" t="s">
        <v>335</v>
      </c>
    </row>
    <row r="61" spans="1:20" ht="21.75" customHeight="1" thickBot="1">
      <c r="A61" s="2581"/>
      <c r="B61" s="2583"/>
      <c r="C61" s="2583"/>
      <c r="D61" s="39"/>
      <c r="E61" s="2582"/>
      <c r="F61" s="1693">
        <f t="shared" ref="F61:Q61" si="40">F5*0.04</f>
        <v>147574.83163863994</v>
      </c>
      <c r="G61" s="1694">
        <f t="shared" si="40"/>
        <v>138050.07026765094</v>
      </c>
      <c r="H61" s="1695">
        <f t="shared" si="40"/>
        <v>160924.56293758546</v>
      </c>
      <c r="I61" s="1693">
        <f t="shared" si="40"/>
        <v>154009.86533353932</v>
      </c>
      <c r="J61" s="1694">
        <f t="shared" si="40"/>
        <v>152583.63478609829</v>
      </c>
      <c r="K61" s="1695">
        <f t="shared" si="40"/>
        <v>157943.82993686752</v>
      </c>
      <c r="L61" s="2584">
        <f t="shared" si="40"/>
        <v>153737.35349830342</v>
      </c>
      <c r="M61" s="2585">
        <f t="shared" si="40"/>
        <v>147562.55321750345</v>
      </c>
      <c r="N61" s="2586">
        <f t="shared" si="40"/>
        <v>147599.91054221417</v>
      </c>
      <c r="O61" s="2584">
        <f t="shared" si="40"/>
        <v>147071.58768139698</v>
      </c>
      <c r="P61" s="2585">
        <f t="shared" si="40"/>
        <v>136726.48881705428</v>
      </c>
      <c r="Q61" s="2586">
        <f t="shared" si="40"/>
        <v>129279.36827834763</v>
      </c>
      <c r="R61" s="1619">
        <f>SUM(F61:Q61)</f>
        <v>1773064.0569352012</v>
      </c>
    </row>
    <row r="62" spans="1:20" ht="21.75" customHeight="1">
      <c r="F62" s="2587"/>
      <c r="G62" s="2587"/>
      <c r="H62" s="2587"/>
      <c r="I62" s="2587"/>
      <c r="J62" s="2587"/>
      <c r="K62" s="2587"/>
      <c r="L62" s="2587"/>
      <c r="M62" s="2587"/>
      <c r="N62" s="2587"/>
      <c r="O62" s="2587"/>
      <c r="P62" s="2180"/>
      <c r="Q62" s="2587"/>
    </row>
    <row r="63" spans="1:20" ht="21.75" customHeight="1" thickBot="1">
      <c r="A63" s="2498" t="s">
        <v>1570</v>
      </c>
      <c r="F63" s="2587"/>
      <c r="G63" s="2587"/>
      <c r="H63" s="2587"/>
      <c r="I63" s="2587"/>
      <c r="J63" s="2587"/>
      <c r="K63" s="2587"/>
      <c r="L63" s="2587"/>
      <c r="M63" s="2587"/>
      <c r="N63" s="2587"/>
      <c r="O63" s="2587"/>
      <c r="P63" s="2180"/>
      <c r="Q63" s="2587"/>
    </row>
    <row r="64" spans="1:20" ht="21.75" customHeight="1" thickBot="1">
      <c r="A64" s="89" t="s">
        <v>109</v>
      </c>
      <c r="B64" s="2501" t="s">
        <v>108</v>
      </c>
      <c r="C64" s="2501" t="s">
        <v>1489</v>
      </c>
      <c r="D64" s="25" t="s">
        <v>241</v>
      </c>
      <c r="E64" s="2502" t="s">
        <v>125</v>
      </c>
      <c r="F64" s="1548" t="str">
        <f t="shared" ref="F64:R64" si="41">F56</f>
        <v>Jan.26</v>
      </c>
      <c r="G64" s="81" t="str">
        <f t="shared" si="41"/>
        <v>Feb.26</v>
      </c>
      <c r="H64" s="1549" t="str">
        <f t="shared" si="41"/>
        <v>Mar.26</v>
      </c>
      <c r="I64" s="1548" t="str">
        <f t="shared" si="41"/>
        <v>Apr.26</v>
      </c>
      <c r="J64" s="81" t="str">
        <f t="shared" si="41"/>
        <v>May.26</v>
      </c>
      <c r="K64" s="1549" t="str">
        <f t="shared" si="41"/>
        <v>Jun.26</v>
      </c>
      <c r="L64" s="1548" t="str">
        <f t="shared" si="41"/>
        <v>Jul.26</v>
      </c>
      <c r="M64" s="81" t="str">
        <f t="shared" si="41"/>
        <v>Aug.26</v>
      </c>
      <c r="N64" s="1549" t="str">
        <f t="shared" si="41"/>
        <v>Sep.26</v>
      </c>
      <c r="O64" s="1548" t="str">
        <f t="shared" si="41"/>
        <v>Oct.26</v>
      </c>
      <c r="P64" s="81" t="str">
        <f t="shared" si="41"/>
        <v>Nov.26</v>
      </c>
      <c r="Q64" s="1549" t="str">
        <f t="shared" si="41"/>
        <v>Dec.26</v>
      </c>
      <c r="R64" s="2504" t="str">
        <f t="shared" si="41"/>
        <v>2026
Total</v>
      </c>
    </row>
    <row r="65" spans="1:18" ht="21.75" customHeight="1" thickBot="1">
      <c r="A65" s="5396" t="s">
        <v>206</v>
      </c>
      <c r="B65" s="4949" t="s">
        <v>1555</v>
      </c>
      <c r="C65" s="2566" t="s">
        <v>1568</v>
      </c>
      <c r="D65" s="2567">
        <v>0</v>
      </c>
      <c r="E65" s="4947">
        <v>47</v>
      </c>
      <c r="F65" s="4488">
        <f>$E$65*'2. S Plan'!L76</f>
        <v>0</v>
      </c>
      <c r="G65" s="4489">
        <f>$E$65*'2. S Plan'!M76</f>
        <v>2350</v>
      </c>
      <c r="H65" s="4490">
        <f>$E$65*'2. S Plan'!N76</f>
        <v>2585</v>
      </c>
      <c r="I65" s="4491">
        <f>$E$65*'2. S Plan'!O76</f>
        <v>0</v>
      </c>
      <c r="J65" s="4489">
        <f>$E$65*'2. S Plan'!P76</f>
        <v>0</v>
      </c>
      <c r="K65" s="4490">
        <f>$E$65*'2. S Plan'!Q76</f>
        <v>0</v>
      </c>
      <c r="L65" s="4491">
        <f>$E$65*'2. S Plan'!R76</f>
        <v>0</v>
      </c>
      <c r="M65" s="4489">
        <f>$E$65*'2. S Plan'!S76</f>
        <v>0</v>
      </c>
      <c r="N65" s="4490">
        <f>$E$65*'2. S Plan'!T76</f>
        <v>0</v>
      </c>
      <c r="O65" s="4491">
        <f>$E$65*'2. S Plan'!U76</f>
        <v>0</v>
      </c>
      <c r="P65" s="4489">
        <f>$E$65*'2. S Plan'!V76</f>
        <v>0</v>
      </c>
      <c r="Q65" s="4490">
        <f>$E$65*'2. S Plan'!W76</f>
        <v>0</v>
      </c>
      <c r="R65" s="2568">
        <f>SUM(F65:Q65)</f>
        <v>4935</v>
      </c>
    </row>
    <row r="66" spans="1:18" ht="21.75" customHeight="1" thickBot="1">
      <c r="A66" s="5397"/>
      <c r="B66" s="4949" t="s">
        <v>1555</v>
      </c>
      <c r="C66" s="4950" t="s">
        <v>1569</v>
      </c>
      <c r="D66" s="4933">
        <v>0</v>
      </c>
      <c r="E66" s="3527">
        <v>93</v>
      </c>
      <c r="F66" s="4488">
        <f>E66*'2. S Plan'!L76</f>
        <v>0</v>
      </c>
      <c r="G66" s="4489">
        <f>$E$66*'2. S Plan'!M76</f>
        <v>4650</v>
      </c>
      <c r="H66" s="4490">
        <f>$E$66*'2. S Plan'!N76</f>
        <v>5115</v>
      </c>
      <c r="I66" s="4491">
        <f>$E$65*'2. S Plan'!O76</f>
        <v>0</v>
      </c>
      <c r="J66" s="4489">
        <f>$E$65*'2. S Plan'!P76</f>
        <v>0</v>
      </c>
      <c r="K66" s="4490">
        <f>$E$65*'2. S Plan'!Q76</f>
        <v>0</v>
      </c>
      <c r="L66" s="4491">
        <f>$E$65*'2. S Plan'!R76</f>
        <v>0</v>
      </c>
      <c r="M66" s="4489">
        <f>$E$65*'2. S Plan'!S76</f>
        <v>0</v>
      </c>
      <c r="N66" s="4490">
        <f>$E$65*'2. S Plan'!T76</f>
        <v>0</v>
      </c>
      <c r="O66" s="4491">
        <f>$E$65*'2. S Plan'!U76</f>
        <v>0</v>
      </c>
      <c r="P66" s="4489">
        <f>$E$65*'2. S Plan'!V76</f>
        <v>0</v>
      </c>
      <c r="Q66" s="4490">
        <f>$E$65*'2. S Plan'!W76</f>
        <v>0</v>
      </c>
      <c r="R66" s="2568">
        <f t="shared" ref="R66:R67" si="42">SUM(F66:Q66)</f>
        <v>9765</v>
      </c>
    </row>
    <row r="67" spans="1:18" ht="21.75" customHeight="1" thickBot="1">
      <c r="A67" s="5398"/>
      <c r="B67" s="4951" t="s">
        <v>1567</v>
      </c>
      <c r="C67" s="4952" t="s">
        <v>1571</v>
      </c>
      <c r="D67" s="4946">
        <v>0</v>
      </c>
      <c r="E67" s="4948">
        <v>13.1</v>
      </c>
      <c r="F67" s="4488">
        <f>E67*'2. S Plan'!L77</f>
        <v>0</v>
      </c>
      <c r="G67" s="4489">
        <f>$E$66*'2. S Plan'!M77</f>
        <v>4650</v>
      </c>
      <c r="H67" s="4490">
        <f>$E$66*'2. S Plan'!N77</f>
        <v>5115</v>
      </c>
      <c r="I67" s="4491">
        <f>$E$65*'2. S Plan'!O77</f>
        <v>0</v>
      </c>
      <c r="J67" s="4489">
        <f>$E$65*'2. S Plan'!P77</f>
        <v>0</v>
      </c>
      <c r="K67" s="4490">
        <f>$E$65*'2. S Plan'!Q77</f>
        <v>0</v>
      </c>
      <c r="L67" s="4491">
        <f>$E$65*'2. S Plan'!R77</f>
        <v>0</v>
      </c>
      <c r="M67" s="4489">
        <f>$E$65*'2. S Plan'!S77</f>
        <v>0</v>
      </c>
      <c r="N67" s="4490">
        <f>$E$65*'2. S Plan'!T77</f>
        <v>0</v>
      </c>
      <c r="O67" s="4491">
        <f>$E$65*'2. S Plan'!U77</f>
        <v>0</v>
      </c>
      <c r="P67" s="4489">
        <f>$E$65*'2. S Plan'!V77</f>
        <v>0</v>
      </c>
      <c r="Q67" s="4490">
        <f>$E$65*'2. S Plan'!W77</f>
        <v>0</v>
      </c>
      <c r="R67" s="2568">
        <f t="shared" si="42"/>
        <v>9765</v>
      </c>
    </row>
    <row r="68" spans="1:18" ht="21.75" customHeight="1" thickBot="1">
      <c r="A68" s="5399" t="s">
        <v>123</v>
      </c>
      <c r="B68" s="5357"/>
      <c r="C68" s="5243"/>
      <c r="D68" s="4944"/>
      <c r="E68" s="4945"/>
      <c r="F68" s="4074">
        <f t="shared" ref="F68:Q68" si="43">SUM(F65:F65)</f>
        <v>0</v>
      </c>
      <c r="G68" s="1879">
        <f t="shared" si="43"/>
        <v>2350</v>
      </c>
      <c r="H68" s="1880">
        <f t="shared" si="43"/>
        <v>2585</v>
      </c>
      <c r="I68" s="4075">
        <f t="shared" si="43"/>
        <v>0</v>
      </c>
      <c r="J68" s="1879">
        <f t="shared" si="43"/>
        <v>0</v>
      </c>
      <c r="K68" s="4070">
        <f t="shared" si="43"/>
        <v>0</v>
      </c>
      <c r="L68" s="4071">
        <f t="shared" si="43"/>
        <v>0</v>
      </c>
      <c r="M68" s="4072">
        <f t="shared" si="43"/>
        <v>0</v>
      </c>
      <c r="N68" s="4073">
        <f t="shared" si="43"/>
        <v>0</v>
      </c>
      <c r="O68" s="4071">
        <f t="shared" si="43"/>
        <v>0</v>
      </c>
      <c r="P68" s="4072">
        <f t="shared" si="43"/>
        <v>0</v>
      </c>
      <c r="Q68" s="4073">
        <f t="shared" si="43"/>
        <v>0</v>
      </c>
      <c r="R68" s="2511">
        <f>SUM(F68:Q68)</f>
        <v>4935</v>
      </c>
    </row>
    <row r="69" spans="1:18" s="1631" customFormat="1" ht="21.75" customHeight="1" thickBot="1">
      <c r="A69" s="3956"/>
      <c r="B69" s="2285"/>
      <c r="C69" s="2285"/>
      <c r="D69" s="2285"/>
      <c r="E69" s="2285"/>
      <c r="F69" s="3957"/>
      <c r="G69" s="3957"/>
      <c r="H69" s="3957"/>
      <c r="I69" s="3957"/>
      <c r="J69" s="3957"/>
      <c r="K69" s="3957"/>
      <c r="L69" s="3958"/>
      <c r="M69" s="3958"/>
      <c r="N69" s="3958"/>
      <c r="O69" s="3958"/>
      <c r="P69" s="3958"/>
      <c r="Q69" s="3958"/>
      <c r="R69" s="2288"/>
    </row>
    <row r="70" spans="1:18" ht="21.75" customHeight="1" thickBot="1">
      <c r="A70" s="5151" t="s">
        <v>138</v>
      </c>
      <c r="B70" s="5152"/>
      <c r="C70" s="5152"/>
      <c r="D70" s="5152"/>
      <c r="E70" s="5253"/>
      <c r="F70" s="1617">
        <f t="shared" ref="F70:R70" si="44">F61+F45+F58+F68</f>
        <v>881247.30777556379</v>
      </c>
      <c r="G70" s="1617">
        <f t="shared" si="44"/>
        <v>781307.05615305214</v>
      </c>
      <c r="H70" s="1619">
        <f t="shared" si="44"/>
        <v>935807.37524065911</v>
      </c>
      <c r="I70" s="1618">
        <f t="shared" si="44"/>
        <v>899902.73971175333</v>
      </c>
      <c r="J70" s="1618">
        <f t="shared" si="44"/>
        <v>886741.8200573225</v>
      </c>
      <c r="K70" s="1620">
        <f t="shared" si="44"/>
        <v>903602.25102263223</v>
      </c>
      <c r="L70" s="1850">
        <f t="shared" si="44"/>
        <v>864111.41304447537</v>
      </c>
      <c r="M70" s="1799">
        <f t="shared" si="44"/>
        <v>828501.78110623162</v>
      </c>
      <c r="N70" s="1800">
        <f t="shared" si="44"/>
        <v>843775.87180946337</v>
      </c>
      <c r="O70" s="1850">
        <f t="shared" si="44"/>
        <v>833483.10087431129</v>
      </c>
      <c r="P70" s="1799">
        <f t="shared" si="44"/>
        <v>749979.45559294382</v>
      </c>
      <c r="Q70" s="1800">
        <f t="shared" si="44"/>
        <v>711405.46655823593</v>
      </c>
      <c r="R70" s="1619">
        <f t="shared" si="44"/>
        <v>10119865.638946643</v>
      </c>
    </row>
    <row r="71" spans="1:18" ht="18.75" customHeight="1">
      <c r="E71" s="2588"/>
      <c r="K71" s="1719">
        <v>642532.44273919996</v>
      </c>
      <c r="P71" s="1542"/>
      <c r="Q71" s="1542"/>
      <c r="R71" s="1544"/>
    </row>
    <row r="72" spans="1:18" ht="18.75" customHeight="1">
      <c r="E72" s="2588"/>
      <c r="K72" s="1719"/>
      <c r="P72" s="1542"/>
      <c r="Q72" s="1542"/>
      <c r="R72" s="1544"/>
    </row>
    <row r="73" spans="1:18" ht="16.5" customHeight="1">
      <c r="E73" s="2588"/>
      <c r="K73" s="1719">
        <f>+K70-K71</f>
        <v>261069.80828343227</v>
      </c>
      <c r="P73" s="5346" t="s">
        <v>1097</v>
      </c>
      <c r="Q73" s="4358" t="s">
        <v>1389</v>
      </c>
      <c r="R73" s="4359">
        <f>R70</f>
        <v>10119865.638946643</v>
      </c>
    </row>
    <row r="74" spans="1:18" ht="16.5">
      <c r="K74" s="1719"/>
      <c r="P74" s="5347"/>
      <c r="Q74" s="3920" t="s">
        <v>1094</v>
      </c>
      <c r="R74" s="3921">
        <v>11578546.388536405</v>
      </c>
    </row>
    <row r="75" spans="1:18" ht="15.75" customHeight="1">
      <c r="B75" s="9"/>
      <c r="K75" s="1719"/>
      <c r="P75" s="3922" t="s">
        <v>1091</v>
      </c>
      <c r="Q75" s="3920" t="s">
        <v>1096</v>
      </c>
      <c r="R75" s="3923">
        <f>(R73-R74)/R73</f>
        <v>-0.14414032771106958</v>
      </c>
    </row>
    <row r="76" spans="1:18" ht="15.75" customHeight="1">
      <c r="R76" s="2589"/>
    </row>
    <row r="77" spans="1:18" ht="15" customHeight="1">
      <c r="R77" s="1874"/>
    </row>
    <row r="78" spans="1:18" ht="15" customHeight="1">
      <c r="R78" s="1626"/>
    </row>
    <row r="79" spans="1:18" ht="15" customHeight="1">
      <c r="Q79" s="2590"/>
      <c r="R79" s="1626"/>
    </row>
    <row r="80" spans="1:18" ht="15" customHeight="1">
      <c r="R80" s="1626"/>
    </row>
    <row r="81" spans="10:18" ht="15" customHeight="1">
      <c r="R81" s="1995"/>
    </row>
    <row r="82" spans="10:18" ht="15" customHeight="1">
      <c r="R82" s="2592"/>
    </row>
    <row r="83" spans="10:18" ht="15" customHeight="1">
      <c r="Q83" s="2590"/>
      <c r="R83" s="2177"/>
    </row>
    <row r="84" spans="10:18" ht="15" customHeight="1">
      <c r="J84" s="1626"/>
      <c r="R84" s="2177"/>
    </row>
    <row r="85" spans="10:18" ht="15" customHeight="1">
      <c r="R85" s="2177"/>
    </row>
    <row r="86" spans="10:18" ht="15" customHeight="1">
      <c r="R86" s="2592"/>
    </row>
    <row r="87" spans="10:18" ht="15" customHeight="1">
      <c r="R87" s="2593"/>
    </row>
    <row r="88" spans="10:18" ht="15" customHeight="1">
      <c r="R88" s="2590"/>
    </row>
  </sheetData>
  <mergeCells count="29">
    <mergeCell ref="P73:P74"/>
    <mergeCell ref="A19:E19"/>
    <mergeCell ref="B58:C58"/>
    <mergeCell ref="A70:E70"/>
    <mergeCell ref="A50:A52"/>
    <mergeCell ref="A53:C53"/>
    <mergeCell ref="A65:A67"/>
    <mergeCell ref="A68:C68"/>
    <mergeCell ref="A8:E8"/>
    <mergeCell ref="A9:E9"/>
    <mergeCell ref="A10:E10"/>
    <mergeCell ref="A11:E11"/>
    <mergeCell ref="A12:E12"/>
    <mergeCell ref="A4:E4"/>
    <mergeCell ref="A5:E5"/>
    <mergeCell ref="B45:C45"/>
    <mergeCell ref="A23:A31"/>
    <mergeCell ref="B23:B24"/>
    <mergeCell ref="B26:B28"/>
    <mergeCell ref="B29:B31"/>
    <mergeCell ref="B32:C32"/>
    <mergeCell ref="A36:A44"/>
    <mergeCell ref="B36:B37"/>
    <mergeCell ref="B39:B41"/>
    <mergeCell ref="B42:B44"/>
    <mergeCell ref="A15:E15"/>
    <mergeCell ref="A16:E16"/>
    <mergeCell ref="A17:E17"/>
    <mergeCell ref="A18:E18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65"/>
  <sheetViews>
    <sheetView showGridLines="0" zoomScale="70" zoomScaleNormal="70" workbookViewId="0">
      <selection activeCell="E32" sqref="E32"/>
    </sheetView>
  </sheetViews>
  <sheetFormatPr defaultColWidth="9" defaultRowHeight="15" customHeight="1"/>
  <cols>
    <col min="1" max="1" width="18.25" style="1520" customWidth="1"/>
    <col min="2" max="2" width="18.25" style="3257" customWidth="1"/>
    <col min="3" max="3" width="32.125" style="3060" bestFit="1" customWidth="1"/>
    <col min="4" max="4" width="12.75" style="3060" customWidth="1"/>
    <col min="5" max="5" width="15.75" style="3060" bestFit="1" customWidth="1"/>
    <col min="6" max="7" width="14.375" style="2423" customWidth="1"/>
    <col min="8" max="18" width="14.375" style="2302" customWidth="1"/>
    <col min="19" max="19" width="15.375" style="1520" customWidth="1"/>
    <col min="20" max="20" width="19.25" style="3064" customWidth="1"/>
    <col min="21" max="21" width="9" style="3065" customWidth="1"/>
    <col min="22" max="22" width="11.875" style="3065" customWidth="1"/>
    <col min="23" max="23" width="9" style="3065"/>
    <col min="24" max="16384" width="9" style="1520"/>
  </cols>
  <sheetData>
    <row r="1" spans="1:23" s="3046" customFormat="1" ht="20.25" customHeight="1">
      <c r="A1" s="2477" t="s">
        <v>1100</v>
      </c>
      <c r="B1" s="3047"/>
      <c r="C1" s="3048"/>
      <c r="D1" s="3048"/>
      <c r="E1" s="3048"/>
      <c r="F1" s="3049"/>
      <c r="G1" s="3049"/>
      <c r="H1" s="3050"/>
      <c r="I1" s="3050"/>
      <c r="J1" s="3050"/>
      <c r="K1" s="3050"/>
      <c r="L1" s="3050"/>
      <c r="M1" s="3050"/>
      <c r="N1" s="3050"/>
      <c r="O1" s="3050"/>
      <c r="P1" s="3050"/>
      <c r="Q1" s="3050"/>
      <c r="R1" s="3050"/>
      <c r="T1" s="3051"/>
      <c r="U1" s="3052"/>
      <c r="V1" s="3052"/>
      <c r="W1" s="3052"/>
    </row>
    <row r="2" spans="1:23" s="2364" customFormat="1" ht="17.25" customHeight="1">
      <c r="A2" s="1547" t="s">
        <v>1101</v>
      </c>
      <c r="B2" s="3053"/>
      <c r="C2" s="3054"/>
      <c r="D2" s="3054"/>
      <c r="E2" s="3055"/>
      <c r="F2" s="3056"/>
      <c r="G2" s="3056"/>
      <c r="H2" s="3056"/>
      <c r="I2" s="3056"/>
      <c r="J2" s="3056"/>
      <c r="K2" s="3056"/>
      <c r="L2" s="3056"/>
      <c r="M2" s="3056"/>
      <c r="N2" s="3056"/>
      <c r="O2" s="3056"/>
      <c r="P2" s="3056"/>
      <c r="Q2" s="3056"/>
      <c r="R2" s="3056"/>
      <c r="T2" s="3024"/>
      <c r="U2" s="3057"/>
      <c r="V2" s="3057"/>
      <c r="W2" s="3057"/>
    </row>
    <row r="3" spans="1:23" s="2364" customFormat="1" ht="17.25" customHeight="1">
      <c r="A3" s="1547" t="s">
        <v>1102</v>
      </c>
      <c r="B3" s="3053"/>
      <c r="C3" s="3054"/>
      <c r="D3" s="3054"/>
      <c r="E3" s="3055"/>
      <c r="F3" s="3056"/>
      <c r="G3" s="3056"/>
      <c r="H3" s="3056"/>
      <c r="I3" s="3056"/>
      <c r="J3" s="3056"/>
      <c r="K3" s="3056"/>
      <c r="L3" s="3056"/>
      <c r="M3" s="3056"/>
      <c r="N3" s="3056"/>
      <c r="O3" s="3056"/>
      <c r="P3" s="3056"/>
      <c r="Q3" s="3056"/>
      <c r="R3" s="3056"/>
      <c r="S3" s="3058"/>
      <c r="T3" s="3024"/>
      <c r="U3" s="3057"/>
      <c r="V3" s="3057"/>
      <c r="W3" s="3057"/>
    </row>
    <row r="4" spans="1:23" s="2364" customFormat="1" ht="17.25" customHeight="1">
      <c r="A4" s="1547" t="s">
        <v>1103</v>
      </c>
      <c r="B4" s="3053"/>
      <c r="C4" s="3054"/>
      <c r="D4" s="3054"/>
      <c r="E4" s="3055"/>
      <c r="F4" s="3056"/>
      <c r="G4" s="3056"/>
      <c r="H4" s="3056"/>
      <c r="I4" s="3056"/>
      <c r="J4" s="3056"/>
      <c r="K4" s="3056"/>
      <c r="L4" s="3056"/>
      <c r="M4" s="3056"/>
      <c r="N4" s="3056"/>
      <c r="O4" s="3056"/>
      <c r="P4" s="3056"/>
      <c r="Q4" s="3056"/>
      <c r="R4" s="3056"/>
      <c r="S4" s="3058"/>
      <c r="T4" s="3024"/>
      <c r="U4" s="3057"/>
      <c r="V4" s="3057"/>
      <c r="W4" s="3057"/>
    </row>
    <row r="5" spans="1:23" s="2364" customFormat="1" ht="17.25" customHeight="1">
      <c r="A5" s="2364" t="s">
        <v>1104</v>
      </c>
      <c r="B5" s="3053"/>
      <c r="C5" s="3054"/>
      <c r="D5" s="3054"/>
      <c r="E5" s="3055"/>
      <c r="F5" s="3056"/>
      <c r="G5" s="3056"/>
      <c r="H5" s="3056"/>
      <c r="I5" s="3056"/>
      <c r="J5" s="3056"/>
      <c r="K5" s="3056"/>
      <c r="L5" s="3056"/>
      <c r="M5" s="3056"/>
      <c r="N5" s="3056"/>
      <c r="O5" s="3056"/>
      <c r="P5" s="3056"/>
      <c r="Q5" s="3056"/>
      <c r="R5" s="3056"/>
      <c r="S5" s="3058"/>
      <c r="T5" s="3024"/>
      <c r="U5" s="3057"/>
      <c r="V5" s="3057"/>
      <c r="W5" s="3057"/>
    </row>
    <row r="6" spans="1:23" ht="17.25" customHeight="1">
      <c r="A6" s="2364" t="s">
        <v>1105</v>
      </c>
      <c r="B6" s="3059"/>
      <c r="E6" s="3061"/>
      <c r="F6" s="3062"/>
      <c r="G6" s="3062"/>
      <c r="H6" s="3062"/>
      <c r="I6" s="3062"/>
      <c r="J6" s="3062"/>
      <c r="K6" s="3062"/>
      <c r="L6" s="3062"/>
      <c r="M6" s="3062"/>
      <c r="N6" s="3062"/>
      <c r="O6" s="3062"/>
      <c r="P6" s="3062"/>
      <c r="Q6" s="3062"/>
      <c r="R6" s="3062"/>
      <c r="S6" s="3063"/>
    </row>
    <row r="7" spans="1:23" ht="17.25" customHeight="1">
      <c r="A7" s="3066"/>
      <c r="B7" s="3059"/>
      <c r="E7" s="3061"/>
      <c r="F7" s="3062"/>
      <c r="G7" s="3062"/>
      <c r="H7" s="3062"/>
      <c r="I7" s="3062"/>
      <c r="J7" s="3062"/>
      <c r="K7" s="3062"/>
      <c r="L7" s="3062"/>
      <c r="M7" s="3062"/>
      <c r="N7" s="3062"/>
      <c r="O7" s="3062"/>
      <c r="P7" s="3062"/>
      <c r="Q7" s="3062"/>
      <c r="R7" s="3062"/>
      <c r="S7" s="3063"/>
    </row>
    <row r="8" spans="1:23" ht="17.25" customHeight="1">
      <c r="A8" s="2498" t="s">
        <v>435</v>
      </c>
      <c r="B8" s="3059"/>
      <c r="E8" s="3061"/>
      <c r="F8" s="3062"/>
      <c r="G8" s="3062"/>
      <c r="H8" s="3062"/>
      <c r="I8" s="3062"/>
      <c r="J8" s="3062"/>
      <c r="K8" s="3062"/>
      <c r="L8" s="3062"/>
      <c r="M8" s="3062"/>
      <c r="N8" s="3062"/>
      <c r="O8" s="3062"/>
      <c r="P8" s="3062"/>
      <c r="Q8" s="3062"/>
      <c r="R8" s="3062"/>
      <c r="S8" s="3063"/>
    </row>
    <row r="9" spans="1:23" ht="17.25" customHeight="1" thickBot="1">
      <c r="A9" s="2498" t="s">
        <v>1106</v>
      </c>
      <c r="B9" s="3059"/>
      <c r="E9" s="3061"/>
      <c r="F9" s="3062"/>
      <c r="G9" s="3062"/>
      <c r="H9" s="3062"/>
      <c r="I9" s="3062"/>
      <c r="J9" s="3062"/>
      <c r="K9" s="3062"/>
      <c r="L9" s="3062"/>
      <c r="M9" s="3062"/>
      <c r="N9" s="3062"/>
      <c r="O9" s="3062"/>
      <c r="P9" s="3062"/>
      <c r="Q9" s="3062"/>
      <c r="R9" s="3062"/>
      <c r="S9" s="3063" t="s">
        <v>114</v>
      </c>
    </row>
    <row r="10" spans="1:23" ht="17.25" customHeight="1" thickBot="1">
      <c r="A10" s="46" t="s">
        <v>127</v>
      </c>
      <c r="B10" s="3067" t="s">
        <v>108</v>
      </c>
      <c r="C10" s="36" t="s">
        <v>128</v>
      </c>
      <c r="D10" s="3068" t="s">
        <v>1061</v>
      </c>
      <c r="E10" s="3069" t="s">
        <v>29</v>
      </c>
      <c r="F10" s="3070" t="s">
        <v>430</v>
      </c>
      <c r="G10" s="3071" t="s">
        <v>557</v>
      </c>
      <c r="H10" s="3072" t="s">
        <v>558</v>
      </c>
      <c r="I10" s="3070" t="s">
        <v>431</v>
      </c>
      <c r="J10" s="3073" t="s">
        <v>559</v>
      </c>
      <c r="K10" s="3072" t="s">
        <v>560</v>
      </c>
      <c r="L10" s="46" t="s">
        <v>561</v>
      </c>
      <c r="M10" s="3073" t="s">
        <v>562</v>
      </c>
      <c r="N10" s="3072" t="s">
        <v>563</v>
      </c>
      <c r="O10" s="3070" t="s">
        <v>564</v>
      </c>
      <c r="P10" s="3073" t="s">
        <v>565</v>
      </c>
      <c r="Q10" s="3072" t="s">
        <v>566</v>
      </c>
      <c r="R10" s="3074" t="s">
        <v>14</v>
      </c>
      <c r="S10" s="3075" t="s">
        <v>113</v>
      </c>
    </row>
    <row r="11" spans="1:23" ht="17.25" customHeight="1" thickBot="1">
      <c r="A11" s="3076" t="s">
        <v>206</v>
      </c>
      <c r="B11" s="3077" t="s">
        <v>98</v>
      </c>
      <c r="C11" s="3078" t="s">
        <v>1107</v>
      </c>
      <c r="D11" s="3079">
        <v>0.05</v>
      </c>
      <c r="E11" s="3080">
        <v>2.88</v>
      </c>
      <c r="F11" s="3081" t="e">
        <f>'5. M Plan'!#REF!</f>
        <v>#REF!</v>
      </c>
      <c r="G11" s="3082" t="e">
        <f>'5. M Plan'!#REF!</f>
        <v>#REF!</v>
      </c>
      <c r="H11" s="3083" t="e">
        <f>'5. M Plan'!#REF!</f>
        <v>#REF!</v>
      </c>
      <c r="I11" s="3084" t="e">
        <f>'5. M Plan'!#REF!</f>
        <v>#REF!</v>
      </c>
      <c r="J11" s="3082" t="e">
        <f>'5. M Plan'!#REF!</f>
        <v>#REF!</v>
      </c>
      <c r="K11" s="3085" t="e">
        <f>'5. M Plan'!#REF!</f>
        <v>#REF!</v>
      </c>
      <c r="L11" s="3086" t="e">
        <f>'5. M Plan'!#REF!</f>
        <v>#REF!</v>
      </c>
      <c r="M11" s="3087" t="e">
        <f>'5. M Plan'!#REF!</f>
        <v>#REF!</v>
      </c>
      <c r="N11" s="3088" t="e">
        <f>'5. M Plan'!#REF!</f>
        <v>#REF!</v>
      </c>
      <c r="O11" s="3086" t="e">
        <f>'5. M Plan'!#REF!</f>
        <v>#REF!</v>
      </c>
      <c r="P11" s="3087" t="e">
        <f>'5. M Plan'!#REF!</f>
        <v>#REF!</v>
      </c>
      <c r="Q11" s="3088" t="e">
        <f>'5. M Plan'!#REF!</f>
        <v>#REF!</v>
      </c>
      <c r="R11" s="3089" t="e">
        <f>AVERAGE(F11:Q11)</f>
        <v>#REF!</v>
      </c>
      <c r="S11" s="1684" t="e">
        <f>SUM(F11:Q11)</f>
        <v>#REF!</v>
      </c>
    </row>
    <row r="12" spans="1:23" ht="21.75" customHeight="1">
      <c r="A12" s="3090"/>
      <c r="B12" s="3091"/>
      <c r="C12" s="3092"/>
      <c r="D12" s="3092"/>
      <c r="E12" s="3093"/>
      <c r="F12" s="3094"/>
      <c r="G12" s="3094"/>
      <c r="H12" s="3094"/>
      <c r="I12" s="3094"/>
      <c r="J12" s="3094"/>
      <c r="K12" s="3094"/>
      <c r="L12" s="3094"/>
      <c r="M12" s="3094"/>
      <c r="N12" s="3094"/>
      <c r="O12" s="3094"/>
      <c r="P12" s="3094"/>
      <c r="Q12" s="3094"/>
      <c r="R12" s="3094"/>
      <c r="S12" s="3095"/>
    </row>
    <row r="13" spans="1:23" ht="17.25" customHeight="1" thickBot="1">
      <c r="A13" s="2498" t="s">
        <v>1108</v>
      </c>
      <c r="B13" s="3096"/>
      <c r="E13" s="3061"/>
      <c r="F13" s="3097"/>
      <c r="G13" s="3097"/>
      <c r="H13" s="3097"/>
      <c r="I13" s="3097"/>
      <c r="J13" s="3097"/>
      <c r="K13" s="3097"/>
      <c r="L13" s="3097"/>
      <c r="M13" s="3097"/>
      <c r="N13" s="3097"/>
      <c r="O13" s="3097"/>
      <c r="P13" s="3097"/>
      <c r="Q13" s="3097"/>
      <c r="R13" s="3097"/>
      <c r="S13" s="3063" t="s">
        <v>87</v>
      </c>
    </row>
    <row r="14" spans="1:23" s="1521" customFormat="1" ht="18.75" customHeight="1" thickBot="1">
      <c r="A14" s="46" t="s">
        <v>127</v>
      </c>
      <c r="B14" s="3067" t="s">
        <v>108</v>
      </c>
      <c r="C14" s="3098" t="s">
        <v>128</v>
      </c>
      <c r="D14" s="3099" t="s">
        <v>1061</v>
      </c>
      <c r="E14" s="3100" t="s">
        <v>29</v>
      </c>
      <c r="F14" s="3101" t="s">
        <v>430</v>
      </c>
      <c r="G14" s="3102" t="s">
        <v>557</v>
      </c>
      <c r="H14" s="3103" t="s">
        <v>558</v>
      </c>
      <c r="I14" s="3101" t="s">
        <v>431</v>
      </c>
      <c r="J14" s="3104" t="s">
        <v>559</v>
      </c>
      <c r="K14" s="3103" t="s">
        <v>560</v>
      </c>
      <c r="L14" s="3105" t="s">
        <v>561</v>
      </c>
      <c r="M14" s="3104" t="s">
        <v>562</v>
      </c>
      <c r="N14" s="3103" t="s">
        <v>563</v>
      </c>
      <c r="O14" s="3101" t="s">
        <v>564</v>
      </c>
      <c r="P14" s="3104" t="s">
        <v>565</v>
      </c>
      <c r="Q14" s="3103" t="s">
        <v>566</v>
      </c>
      <c r="R14" s="3102" t="s">
        <v>14</v>
      </c>
      <c r="S14" s="3103" t="s">
        <v>113</v>
      </c>
      <c r="T14" s="3106"/>
      <c r="U14" s="3107"/>
      <c r="V14" s="3107"/>
      <c r="W14" s="3107"/>
    </row>
    <row r="15" spans="1:23" ht="18.75" customHeight="1">
      <c r="A15" s="5403" t="s">
        <v>206</v>
      </c>
      <c r="B15" s="5405" t="s">
        <v>98</v>
      </c>
      <c r="C15" s="3108" t="s">
        <v>1109</v>
      </c>
      <c r="D15" s="3109"/>
      <c r="E15" s="3110">
        <v>2.54</v>
      </c>
      <c r="F15" s="3111">
        <v>20000</v>
      </c>
      <c r="G15" s="3112">
        <v>100000</v>
      </c>
      <c r="H15" s="3113">
        <v>150000</v>
      </c>
      <c r="I15" s="3112">
        <f t="shared" ref="I15:Q15" si="0">H15</f>
        <v>150000</v>
      </c>
      <c r="J15" s="3114">
        <f t="shared" si="0"/>
        <v>150000</v>
      </c>
      <c r="K15" s="3115">
        <f t="shared" si="0"/>
        <v>150000</v>
      </c>
      <c r="L15" s="3116">
        <f t="shared" si="0"/>
        <v>150000</v>
      </c>
      <c r="M15" s="3117">
        <f t="shared" si="0"/>
        <v>150000</v>
      </c>
      <c r="N15" s="3118">
        <f t="shared" si="0"/>
        <v>150000</v>
      </c>
      <c r="O15" s="3119">
        <f t="shared" si="0"/>
        <v>150000</v>
      </c>
      <c r="P15" s="3117">
        <f t="shared" si="0"/>
        <v>150000</v>
      </c>
      <c r="Q15" s="3118">
        <f t="shared" si="0"/>
        <v>150000</v>
      </c>
      <c r="R15" s="3120">
        <f>AVERAGE(F15:Q15)</f>
        <v>135000</v>
      </c>
      <c r="S15" s="3121">
        <f>SUM(F15:Q15)</f>
        <v>1620000</v>
      </c>
      <c r="U15" s="3122"/>
      <c r="V15" s="3123"/>
    </row>
    <row r="16" spans="1:23" ht="18.75" customHeight="1" thickBot="1">
      <c r="A16" s="5404"/>
      <c r="B16" s="5406"/>
      <c r="C16" s="3124" t="s">
        <v>1110</v>
      </c>
      <c r="D16" s="3125"/>
      <c r="E16" s="3126">
        <v>2.88</v>
      </c>
      <c r="F16" s="3127" t="e">
        <f t="shared" ref="F16:Q16" si="1">F11-F15</f>
        <v>#REF!</v>
      </c>
      <c r="G16" s="3128" t="e">
        <f t="shared" si="1"/>
        <v>#REF!</v>
      </c>
      <c r="H16" s="3129" t="e">
        <f t="shared" si="1"/>
        <v>#REF!</v>
      </c>
      <c r="I16" s="3128" t="e">
        <f t="shared" si="1"/>
        <v>#REF!</v>
      </c>
      <c r="J16" s="3130" t="e">
        <f t="shared" si="1"/>
        <v>#REF!</v>
      </c>
      <c r="K16" s="3131" t="e">
        <f t="shared" si="1"/>
        <v>#REF!</v>
      </c>
      <c r="L16" s="3132" t="e">
        <f t="shared" si="1"/>
        <v>#REF!</v>
      </c>
      <c r="M16" s="3133" t="e">
        <f t="shared" si="1"/>
        <v>#REF!</v>
      </c>
      <c r="N16" s="3134" t="e">
        <f t="shared" si="1"/>
        <v>#REF!</v>
      </c>
      <c r="O16" s="3135" t="e">
        <f t="shared" si="1"/>
        <v>#REF!</v>
      </c>
      <c r="P16" s="3133" t="e">
        <f t="shared" si="1"/>
        <v>#REF!</v>
      </c>
      <c r="Q16" s="3134" t="e">
        <f t="shared" si="1"/>
        <v>#REF!</v>
      </c>
      <c r="R16" s="3136" t="e">
        <f>AVERAGE(F16:Q16)</f>
        <v>#REF!</v>
      </c>
      <c r="S16" s="3137" t="e">
        <f>SUM(F16:Q16)</f>
        <v>#REF!</v>
      </c>
      <c r="U16" s="3122"/>
      <c r="V16" s="3123"/>
    </row>
    <row r="17" spans="1:22" ht="18.75" customHeight="1" thickBot="1">
      <c r="A17" s="3138"/>
      <c r="B17" s="5407" t="s">
        <v>15</v>
      </c>
      <c r="C17" s="5407"/>
      <c r="D17" s="37"/>
      <c r="E17" s="37"/>
      <c r="F17" s="1682" t="e">
        <f>SUM(F15:F16)</f>
        <v>#REF!</v>
      </c>
      <c r="G17" s="1683" t="e">
        <f t="shared" ref="G17:Q17" si="2">SUM(G15:G16)</f>
        <v>#REF!</v>
      </c>
      <c r="H17" s="1684" t="e">
        <f t="shared" si="2"/>
        <v>#REF!</v>
      </c>
      <c r="I17" s="3139" t="e">
        <f t="shared" si="2"/>
        <v>#REF!</v>
      </c>
      <c r="J17" s="1683" t="e">
        <f t="shared" si="2"/>
        <v>#REF!</v>
      </c>
      <c r="K17" s="3140" t="e">
        <f t="shared" si="2"/>
        <v>#REF!</v>
      </c>
      <c r="L17" s="3141" t="e">
        <f t="shared" si="2"/>
        <v>#REF!</v>
      </c>
      <c r="M17" s="3142" t="e">
        <f t="shared" si="2"/>
        <v>#REF!</v>
      </c>
      <c r="N17" s="3143" t="e">
        <f t="shared" si="2"/>
        <v>#REF!</v>
      </c>
      <c r="O17" s="3141" t="e">
        <f t="shared" si="2"/>
        <v>#REF!</v>
      </c>
      <c r="P17" s="3142" t="e">
        <f t="shared" si="2"/>
        <v>#REF!</v>
      </c>
      <c r="Q17" s="3143" t="e">
        <f t="shared" si="2"/>
        <v>#REF!</v>
      </c>
      <c r="R17" s="3144" t="e">
        <f>R11</f>
        <v>#REF!</v>
      </c>
      <c r="S17" s="3143" t="e">
        <f>S11</f>
        <v>#REF!</v>
      </c>
      <c r="T17" s="3145" t="e">
        <f>SUM(F17:Q17)=S17</f>
        <v>#REF!</v>
      </c>
    </row>
    <row r="18" spans="1:22" s="3065" customFormat="1" ht="18.75" customHeight="1">
      <c r="A18" s="1505"/>
      <c r="B18" s="3146"/>
      <c r="C18" s="3147"/>
      <c r="E18" s="3148">
        <f>E16-E15</f>
        <v>0.33999999999999986</v>
      </c>
      <c r="F18" s="3149" t="s">
        <v>1111</v>
      </c>
      <c r="G18" s="3149"/>
      <c r="H18" s="3149"/>
      <c r="I18" s="3150"/>
      <c r="J18" s="3150"/>
      <c r="K18" s="3151"/>
      <c r="L18" s="3152"/>
      <c r="M18" s="3152"/>
      <c r="N18" s="3152"/>
      <c r="O18" s="3152"/>
      <c r="P18" s="3152"/>
      <c r="Q18" s="3153"/>
      <c r="R18" s="3152"/>
      <c r="S18" s="3154" t="e">
        <f>S17=SUM(F17:Q17)</f>
        <v>#REF!</v>
      </c>
      <c r="T18" s="3064"/>
    </row>
    <row r="19" spans="1:22" s="3065" customFormat="1" ht="18.75" customHeight="1" thickBot="1">
      <c r="A19" s="3066" t="s">
        <v>1112</v>
      </c>
      <c r="B19" s="3155"/>
      <c r="C19" s="3156"/>
      <c r="E19" s="3157">
        <f>E18/E22</f>
        <v>0.11805555555555551</v>
      </c>
      <c r="F19" s="3158"/>
      <c r="G19" s="3158"/>
      <c r="H19" s="3159"/>
      <c r="I19" s="3159"/>
      <c r="J19" s="3159"/>
      <c r="K19" s="3159"/>
      <c r="L19" s="3160"/>
      <c r="M19" s="3160"/>
      <c r="N19" s="3160"/>
      <c r="O19" s="3160"/>
      <c r="P19" s="3161"/>
      <c r="Q19" s="3161" t="e">
        <f>+#REF!-Q18</f>
        <v>#REF!</v>
      </c>
      <c r="R19" s="2301"/>
      <c r="S19" s="3063" t="s">
        <v>87</v>
      </c>
      <c r="T19" s="3064"/>
    </row>
    <row r="20" spans="1:22" s="3065" customFormat="1" ht="18.75" customHeight="1" thickBot="1">
      <c r="A20" s="46" t="s">
        <v>127</v>
      </c>
      <c r="B20" s="3162" t="s">
        <v>108</v>
      </c>
      <c r="C20" s="3068" t="s">
        <v>128</v>
      </c>
      <c r="D20" s="3068" t="str">
        <f>D14</f>
        <v>Loss Yield%</v>
      </c>
      <c r="E20" s="3163" t="s">
        <v>29</v>
      </c>
      <c r="F20" s="3071" t="s">
        <v>430</v>
      </c>
      <c r="G20" s="3073" t="s">
        <v>557</v>
      </c>
      <c r="H20" s="3164" t="s">
        <v>558</v>
      </c>
      <c r="I20" s="3070" t="s">
        <v>431</v>
      </c>
      <c r="J20" s="3073" t="s">
        <v>559</v>
      </c>
      <c r="K20" s="3072" t="s">
        <v>560</v>
      </c>
      <c r="L20" s="3071" t="s">
        <v>561</v>
      </c>
      <c r="M20" s="3073" t="s">
        <v>562</v>
      </c>
      <c r="N20" s="3164" t="s">
        <v>563</v>
      </c>
      <c r="O20" s="3070" t="s">
        <v>564</v>
      </c>
      <c r="P20" s="3073" t="s">
        <v>565</v>
      </c>
      <c r="Q20" s="3072" t="s">
        <v>566</v>
      </c>
      <c r="R20" s="3071" t="s">
        <v>14</v>
      </c>
      <c r="S20" s="3072" t="s">
        <v>113</v>
      </c>
      <c r="T20" s="3064"/>
    </row>
    <row r="21" spans="1:22" ht="18.75" customHeight="1">
      <c r="A21" s="5408" t="s">
        <v>205</v>
      </c>
      <c r="B21" s="5411" t="s">
        <v>1113</v>
      </c>
      <c r="C21" s="3165" t="s">
        <v>1109</v>
      </c>
      <c r="D21" s="3166"/>
      <c r="E21" s="3167">
        <f>E15</f>
        <v>2.54</v>
      </c>
      <c r="F21" s="3168">
        <f t="shared" ref="F21:Q21" si="3">F15*$E$15</f>
        <v>50800</v>
      </c>
      <c r="G21" s="3169">
        <f t="shared" si="3"/>
        <v>254000</v>
      </c>
      <c r="H21" s="3170">
        <f t="shared" si="3"/>
        <v>381000</v>
      </c>
      <c r="I21" s="3171">
        <f t="shared" si="3"/>
        <v>381000</v>
      </c>
      <c r="J21" s="3169">
        <f t="shared" si="3"/>
        <v>381000</v>
      </c>
      <c r="K21" s="3172">
        <f t="shared" si="3"/>
        <v>381000</v>
      </c>
      <c r="L21" s="3173">
        <f t="shared" si="3"/>
        <v>381000</v>
      </c>
      <c r="M21" s="3174">
        <f t="shared" si="3"/>
        <v>381000</v>
      </c>
      <c r="N21" s="3175">
        <f t="shared" si="3"/>
        <v>381000</v>
      </c>
      <c r="O21" s="3176">
        <f t="shared" si="3"/>
        <v>381000</v>
      </c>
      <c r="P21" s="3174">
        <f t="shared" si="3"/>
        <v>381000</v>
      </c>
      <c r="Q21" s="3177">
        <f t="shared" si="3"/>
        <v>381000</v>
      </c>
      <c r="R21" s="3178">
        <f>AVERAGE(F21:Q21)</f>
        <v>342900</v>
      </c>
      <c r="S21" s="3179">
        <f>SUM(F21:Q21)</f>
        <v>4114800</v>
      </c>
      <c r="U21" s="3122"/>
      <c r="V21" s="3123"/>
    </row>
    <row r="22" spans="1:22" ht="18.75" customHeight="1">
      <c r="A22" s="5409"/>
      <c r="B22" s="5411"/>
      <c r="C22" s="3180" t="s">
        <v>1110</v>
      </c>
      <c r="D22" s="3181"/>
      <c r="E22" s="3182">
        <f>E16</f>
        <v>2.88</v>
      </c>
      <c r="F22" s="3183" t="e">
        <f t="shared" ref="F22:Q22" si="4">F16*$E$16</f>
        <v>#REF!</v>
      </c>
      <c r="G22" s="3184" t="e">
        <f t="shared" si="4"/>
        <v>#REF!</v>
      </c>
      <c r="H22" s="3185" t="e">
        <f t="shared" si="4"/>
        <v>#REF!</v>
      </c>
      <c r="I22" s="3186" t="e">
        <f t="shared" si="4"/>
        <v>#REF!</v>
      </c>
      <c r="J22" s="3184" t="e">
        <f t="shared" si="4"/>
        <v>#REF!</v>
      </c>
      <c r="K22" s="3187" t="e">
        <f t="shared" si="4"/>
        <v>#REF!</v>
      </c>
      <c r="L22" s="3188" t="e">
        <f t="shared" si="4"/>
        <v>#REF!</v>
      </c>
      <c r="M22" s="3189" t="e">
        <f t="shared" si="4"/>
        <v>#REF!</v>
      </c>
      <c r="N22" s="3190" t="e">
        <f t="shared" si="4"/>
        <v>#REF!</v>
      </c>
      <c r="O22" s="3191" t="e">
        <f t="shared" si="4"/>
        <v>#REF!</v>
      </c>
      <c r="P22" s="3189" t="e">
        <f t="shared" si="4"/>
        <v>#REF!</v>
      </c>
      <c r="Q22" s="3192" t="e">
        <f t="shared" si="4"/>
        <v>#REF!</v>
      </c>
      <c r="R22" s="3193" t="e">
        <f>AVERAGE(F22:Q22)</f>
        <v>#REF!</v>
      </c>
      <c r="S22" s="3194" t="e">
        <f>SUM(F22:Q22)</f>
        <v>#REF!</v>
      </c>
      <c r="U22" s="3122"/>
      <c r="V22" s="3123"/>
    </row>
    <row r="23" spans="1:22" ht="18.75" customHeight="1">
      <c r="A23" s="5409"/>
      <c r="B23" s="5412"/>
      <c r="C23" s="3195" t="s">
        <v>1114</v>
      </c>
      <c r="D23" s="3196"/>
      <c r="E23" s="3197"/>
      <c r="F23" s="3198" t="e">
        <f>SUM(F21:F22)</f>
        <v>#REF!</v>
      </c>
      <c r="G23" s="3199" t="e">
        <f>SUM(G21:G22)</f>
        <v>#REF!</v>
      </c>
      <c r="H23" s="3200" t="e">
        <f t="shared" ref="H23:Q23" si="5">SUM(H21:H22)</f>
        <v>#REF!</v>
      </c>
      <c r="I23" s="3201" t="e">
        <f t="shared" si="5"/>
        <v>#REF!</v>
      </c>
      <c r="J23" s="3199" t="e">
        <f t="shared" si="5"/>
        <v>#REF!</v>
      </c>
      <c r="K23" s="3202" t="e">
        <f t="shared" si="5"/>
        <v>#REF!</v>
      </c>
      <c r="L23" s="3203" t="e">
        <f t="shared" si="5"/>
        <v>#REF!</v>
      </c>
      <c r="M23" s="3204" t="e">
        <f t="shared" si="5"/>
        <v>#REF!</v>
      </c>
      <c r="N23" s="3205" t="e">
        <f t="shared" si="5"/>
        <v>#REF!</v>
      </c>
      <c r="O23" s="3206" t="e">
        <f t="shared" si="5"/>
        <v>#REF!</v>
      </c>
      <c r="P23" s="3204" t="e">
        <f t="shared" si="5"/>
        <v>#REF!</v>
      </c>
      <c r="Q23" s="3207" t="e">
        <f t="shared" si="5"/>
        <v>#REF!</v>
      </c>
      <c r="R23" s="3208" t="e">
        <f>AVERAGE(F23:Q23)</f>
        <v>#REF!</v>
      </c>
      <c r="S23" s="3209" t="e">
        <f>SUM(F23:Q23)</f>
        <v>#REF!</v>
      </c>
      <c r="U23" s="3122"/>
      <c r="V23" s="3123"/>
    </row>
    <row r="24" spans="1:22" s="3065" customFormat="1" ht="18.75" customHeight="1" thickBot="1">
      <c r="A24" s="5409"/>
      <c r="B24" s="3210" t="s">
        <v>1115</v>
      </c>
      <c r="C24" s="3211" t="s">
        <v>1116</v>
      </c>
      <c r="D24" s="3212"/>
      <c r="E24" s="3213"/>
      <c r="F24" s="3214" t="e">
        <f t="shared" ref="F24:Q24" si="6">F11*$E$11</f>
        <v>#REF!</v>
      </c>
      <c r="G24" s="3215" t="e">
        <f t="shared" si="6"/>
        <v>#REF!</v>
      </c>
      <c r="H24" s="3216" t="e">
        <f t="shared" si="6"/>
        <v>#REF!</v>
      </c>
      <c r="I24" s="3217" t="e">
        <f t="shared" si="6"/>
        <v>#REF!</v>
      </c>
      <c r="J24" s="3215" t="e">
        <f t="shared" si="6"/>
        <v>#REF!</v>
      </c>
      <c r="K24" s="3218" t="e">
        <f t="shared" si="6"/>
        <v>#REF!</v>
      </c>
      <c r="L24" s="3219" t="e">
        <f t="shared" si="6"/>
        <v>#REF!</v>
      </c>
      <c r="M24" s="3220" t="e">
        <f t="shared" si="6"/>
        <v>#REF!</v>
      </c>
      <c r="N24" s="3221" t="e">
        <f t="shared" si="6"/>
        <v>#REF!</v>
      </c>
      <c r="O24" s="3222" t="e">
        <f t="shared" si="6"/>
        <v>#REF!</v>
      </c>
      <c r="P24" s="3220" t="e">
        <f t="shared" si="6"/>
        <v>#REF!</v>
      </c>
      <c r="Q24" s="3223" t="e">
        <f t="shared" si="6"/>
        <v>#REF!</v>
      </c>
      <c r="R24" s="3224" t="e">
        <f>AVERAGE(F24:Q24)</f>
        <v>#REF!</v>
      </c>
      <c r="S24" s="3225" t="e">
        <f>SUM(F24:Q24)</f>
        <v>#REF!</v>
      </c>
      <c r="T24" s="3064"/>
    </row>
    <row r="25" spans="1:22" s="3065" customFormat="1" ht="18.75" customHeight="1" thickBot="1">
      <c r="A25" s="5410"/>
      <c r="B25" s="3226"/>
      <c r="C25" s="3073" t="s">
        <v>1088</v>
      </c>
      <c r="D25" s="3227"/>
      <c r="E25" s="3228"/>
      <c r="F25" s="3229" t="e">
        <f>F24-F23</f>
        <v>#REF!</v>
      </c>
      <c r="G25" s="3230" t="e">
        <f t="shared" ref="G25:Q25" si="7">G24-G23</f>
        <v>#REF!</v>
      </c>
      <c r="H25" s="3231" t="e">
        <f t="shared" si="7"/>
        <v>#REF!</v>
      </c>
      <c r="I25" s="3232" t="e">
        <f t="shared" si="7"/>
        <v>#REF!</v>
      </c>
      <c r="J25" s="3233" t="e">
        <f t="shared" si="7"/>
        <v>#REF!</v>
      </c>
      <c r="K25" s="3234" t="e">
        <f t="shared" si="7"/>
        <v>#REF!</v>
      </c>
      <c r="L25" s="3235" t="e">
        <f t="shared" si="7"/>
        <v>#REF!</v>
      </c>
      <c r="M25" s="3236" t="e">
        <f t="shared" si="7"/>
        <v>#REF!</v>
      </c>
      <c r="N25" s="3237" t="e">
        <f t="shared" si="7"/>
        <v>#REF!</v>
      </c>
      <c r="O25" s="3238" t="e">
        <f t="shared" si="7"/>
        <v>#REF!</v>
      </c>
      <c r="P25" s="3236" t="e">
        <f t="shared" si="7"/>
        <v>#REF!</v>
      </c>
      <c r="Q25" s="3239" t="e">
        <f t="shared" si="7"/>
        <v>#REF!</v>
      </c>
      <c r="R25" s="3144" t="e">
        <f>AVERAGE(F25:Q25)</f>
        <v>#REF!</v>
      </c>
      <c r="S25" s="1684" t="e">
        <f>SUM(F25:Q25)</f>
        <v>#REF!</v>
      </c>
      <c r="T25" s="3064"/>
    </row>
    <row r="26" spans="1:22" s="3065" customFormat="1" ht="18.75" customHeight="1">
      <c r="A26" s="3240"/>
      <c r="B26" s="3096"/>
      <c r="C26" s="3241"/>
      <c r="D26" s="3242"/>
      <c r="E26" s="3243"/>
      <c r="F26" s="3244"/>
      <c r="G26" s="3244"/>
      <c r="H26" s="3245"/>
      <c r="I26" s="3245"/>
      <c r="J26" s="3245"/>
      <c r="K26" s="3245"/>
      <c r="L26" s="3246"/>
      <c r="M26" s="3246"/>
      <c r="N26" s="3246"/>
      <c r="O26" s="3246"/>
      <c r="P26" s="3246"/>
      <c r="Q26" s="3246"/>
      <c r="R26" s="3246"/>
      <c r="S26" s="3245"/>
      <c r="T26" s="3064"/>
    </row>
    <row r="27" spans="1:22" s="3065" customFormat="1" ht="18.75" customHeight="1">
      <c r="A27" s="3240"/>
      <c r="B27" s="3096"/>
      <c r="C27" s="3241"/>
      <c r="D27" s="3242"/>
      <c r="E27" s="3243"/>
      <c r="F27" s="3244"/>
      <c r="G27" s="3244"/>
      <c r="H27" s="3245"/>
      <c r="I27" s="3245"/>
      <c r="J27" s="3245"/>
      <c r="K27" s="3245"/>
      <c r="L27" s="3246"/>
      <c r="M27" s="3246"/>
      <c r="N27" s="3246"/>
      <c r="O27" s="3246"/>
      <c r="P27" s="3246"/>
      <c r="Q27" s="3246"/>
      <c r="R27" s="3246"/>
      <c r="S27" s="3245"/>
      <c r="T27" s="3064"/>
    </row>
    <row r="28" spans="1:22" s="3065" customFormat="1" ht="18.75" customHeight="1">
      <c r="A28" s="3247" t="s">
        <v>1117</v>
      </c>
      <c r="B28" s="3096"/>
      <c r="C28" s="3241"/>
      <c r="D28" s="3242"/>
      <c r="E28" s="3243"/>
      <c r="F28" s="3244"/>
      <c r="G28" s="3244"/>
      <c r="H28" s="3245"/>
      <c r="I28" s="3245"/>
      <c r="J28" s="3245"/>
      <c r="K28" s="3245"/>
      <c r="L28" s="3246"/>
      <c r="M28" s="3246"/>
      <c r="N28" s="3246"/>
      <c r="O28" s="3246"/>
      <c r="P28" s="3246"/>
      <c r="Q28" s="3246"/>
      <c r="R28" s="3246"/>
      <c r="S28" s="3245"/>
      <c r="T28" s="3064"/>
    </row>
    <row r="29" spans="1:22" s="3065" customFormat="1" ht="18.75" customHeight="1">
      <c r="A29" s="3248" t="s">
        <v>1118</v>
      </c>
      <c r="B29" s="3249"/>
      <c r="C29" s="3250"/>
      <c r="D29" s="3251"/>
      <c r="E29" s="3252"/>
      <c r="F29" s="3253"/>
      <c r="G29" s="3253"/>
      <c r="H29" s="3254"/>
      <c r="I29" s="3254"/>
      <c r="J29" s="3254"/>
      <c r="K29" s="3254"/>
      <c r="L29" s="3255"/>
      <c r="M29" s="3255"/>
      <c r="N29" s="3255"/>
      <c r="O29" s="3255"/>
      <c r="P29" s="3255"/>
      <c r="Q29" s="3255"/>
      <c r="R29" s="3255"/>
      <c r="S29" s="3254"/>
      <c r="T29" s="3064"/>
    </row>
    <row r="30" spans="1:22" ht="15" customHeight="1">
      <c r="A30" s="3256" t="s">
        <v>1119</v>
      </c>
    </row>
    <row r="31" spans="1:22" ht="15" customHeight="1">
      <c r="A31" s="3258" t="s">
        <v>1120</v>
      </c>
    </row>
    <row r="32" spans="1:22" ht="15" customHeight="1">
      <c r="A32" s="3258" t="s">
        <v>1121</v>
      </c>
    </row>
    <row r="33" spans="1:22" ht="15" customHeight="1">
      <c r="A33" s="3259"/>
    </row>
    <row r="34" spans="1:22" s="3065" customFormat="1" ht="18.75" customHeight="1" thickBot="1">
      <c r="A34" s="2498" t="s">
        <v>1122</v>
      </c>
      <c r="B34" s="3155"/>
      <c r="C34" s="3156"/>
      <c r="D34" s="3156"/>
      <c r="E34" s="3156"/>
      <c r="F34" s="3260"/>
      <c r="G34" s="3260"/>
      <c r="H34" s="3260"/>
      <c r="I34" s="3260"/>
      <c r="J34" s="3260"/>
      <c r="K34" s="3260"/>
      <c r="L34" s="3261"/>
      <c r="M34" s="3261"/>
      <c r="N34" s="3261"/>
      <c r="O34" s="3261"/>
      <c r="P34" s="3261"/>
      <c r="Q34" s="3261"/>
      <c r="R34" s="3261"/>
      <c r="S34" s="3261" t="e">
        <f>SUM(F63:Q63)=S63</f>
        <v>#REF!</v>
      </c>
      <c r="T34" s="3064"/>
    </row>
    <row r="35" spans="1:22" s="3065" customFormat="1" ht="18.75" customHeight="1" thickBot="1">
      <c r="A35" s="46"/>
      <c r="B35" s="3067" t="s">
        <v>809</v>
      </c>
      <c r="C35" s="36" t="s">
        <v>42</v>
      </c>
      <c r="D35" s="3068"/>
      <c r="E35" s="3069"/>
      <c r="F35" s="3070" t="s">
        <v>1123</v>
      </c>
      <c r="G35" s="3073" t="s">
        <v>1124</v>
      </c>
      <c r="H35" s="3072" t="s">
        <v>1125</v>
      </c>
      <c r="I35" s="3070" t="s">
        <v>1126</v>
      </c>
      <c r="J35" s="3073" t="s">
        <v>1127</v>
      </c>
      <c r="K35" s="3072" t="s">
        <v>1128</v>
      </c>
      <c r="L35" s="3070" t="s">
        <v>1129</v>
      </c>
      <c r="M35" s="3073" t="s">
        <v>1130</v>
      </c>
      <c r="N35" s="3072" t="s">
        <v>1131</v>
      </c>
      <c r="O35" s="3070" t="s">
        <v>1132</v>
      </c>
      <c r="P35" s="3073" t="s">
        <v>1133</v>
      </c>
      <c r="Q35" s="3072" t="s">
        <v>1134</v>
      </c>
      <c r="R35" s="3074" t="s">
        <v>14</v>
      </c>
      <c r="S35" s="3075" t="s">
        <v>113</v>
      </c>
      <c r="T35" s="3064"/>
    </row>
    <row r="36" spans="1:22" ht="15" customHeight="1" thickBot="1">
      <c r="A36" s="3262"/>
      <c r="B36" s="3263" t="s">
        <v>1135</v>
      </c>
      <c r="C36" s="3263" t="s">
        <v>1136</v>
      </c>
      <c r="D36" s="3125"/>
      <c r="E36" s="3126"/>
      <c r="F36" s="3127">
        <v>60452.735999999997</v>
      </c>
      <c r="G36" s="3128">
        <v>49327.4</v>
      </c>
      <c r="H36" s="3129">
        <v>76289.135999999999</v>
      </c>
      <c r="I36" s="3128">
        <v>82042.2</v>
      </c>
      <c r="J36" s="3130">
        <v>61670</v>
      </c>
      <c r="K36" s="3131">
        <v>63097.16</v>
      </c>
      <c r="L36" s="3132">
        <v>91291.16</v>
      </c>
      <c r="M36" s="3133">
        <v>65896</v>
      </c>
      <c r="N36" s="3134">
        <v>60536</v>
      </c>
      <c r="O36" s="3135">
        <v>93546</v>
      </c>
      <c r="P36" s="3133">
        <v>66056</v>
      </c>
      <c r="Q36" s="3134"/>
      <c r="R36" s="3136">
        <f>AVERAGE(F36:P36)</f>
        <v>70018.526545454544</v>
      </c>
      <c r="S36" s="3137"/>
      <c r="V36" s="3123"/>
    </row>
    <row r="37" spans="1:22" ht="15" customHeight="1">
      <c r="A37" s="3264"/>
      <c r="B37" s="3091"/>
      <c r="C37" s="3265"/>
      <c r="D37" s="3266"/>
      <c r="E37" s="3267"/>
      <c r="F37" s="3268"/>
      <c r="G37" s="3268"/>
      <c r="H37" s="3268"/>
      <c r="I37" s="3268"/>
      <c r="J37" s="3268"/>
      <c r="K37" s="3268"/>
      <c r="L37" s="3269"/>
      <c r="M37" s="3269"/>
      <c r="N37" s="3269"/>
      <c r="O37" s="3269"/>
      <c r="P37" s="3269"/>
      <c r="Q37" s="3269"/>
      <c r="R37" s="3270"/>
      <c r="S37" s="3271"/>
      <c r="V37" s="3123"/>
    </row>
    <row r="38" spans="1:22" ht="15" customHeight="1" thickBot="1">
      <c r="A38" s="3272" t="s">
        <v>1137</v>
      </c>
      <c r="B38" s="3096"/>
      <c r="C38" s="1521"/>
      <c r="D38" s="3273"/>
      <c r="E38" s="3274"/>
      <c r="F38" s="3159"/>
      <c r="G38" s="3159"/>
      <c r="H38" s="3159"/>
      <c r="I38" s="3159"/>
      <c r="J38" s="3159"/>
      <c r="K38" s="3159"/>
      <c r="L38" s="3160"/>
      <c r="M38" s="3160"/>
      <c r="N38" s="3160"/>
      <c r="O38" s="3160"/>
      <c r="P38" s="3160"/>
      <c r="Q38" s="3160"/>
      <c r="R38" s="3275"/>
      <c r="S38" s="3245"/>
      <c r="V38" s="3123"/>
    </row>
    <row r="39" spans="1:22" ht="15" customHeight="1" thickBot="1">
      <c r="A39" s="46" t="s">
        <v>127</v>
      </c>
      <c r="B39" s="3276" t="s">
        <v>809</v>
      </c>
      <c r="C39" s="3277" t="s">
        <v>42</v>
      </c>
      <c r="D39" s="3079"/>
      <c r="E39" s="3080"/>
      <c r="F39" s="3070" t="s">
        <v>430</v>
      </c>
      <c r="G39" s="3073" t="s">
        <v>557</v>
      </c>
      <c r="H39" s="3072" t="s">
        <v>558</v>
      </c>
      <c r="I39" s="3070" t="s">
        <v>431</v>
      </c>
      <c r="J39" s="3073" t="s">
        <v>559</v>
      </c>
      <c r="K39" s="3072" t="s">
        <v>560</v>
      </c>
      <c r="L39" s="3070" t="s">
        <v>561</v>
      </c>
      <c r="M39" s="3073" t="s">
        <v>562</v>
      </c>
      <c r="N39" s="3072" t="s">
        <v>563</v>
      </c>
      <c r="O39" s="3070" t="s">
        <v>564</v>
      </c>
      <c r="P39" s="3073" t="s">
        <v>565</v>
      </c>
      <c r="Q39" s="3072" t="s">
        <v>566</v>
      </c>
      <c r="R39" s="3278"/>
      <c r="S39" s="1684"/>
      <c r="V39" s="3123"/>
    </row>
    <row r="40" spans="1:22" ht="15" customHeight="1">
      <c r="A40" s="3279" t="s">
        <v>205</v>
      </c>
      <c r="B40" s="3280" t="s">
        <v>1138</v>
      </c>
      <c r="C40" s="3281" t="s">
        <v>1139</v>
      </c>
      <c r="D40" s="3109"/>
      <c r="E40" s="3110"/>
      <c r="F40" s="3111">
        <v>70000</v>
      </c>
      <c r="G40" s="3114">
        <v>70000</v>
      </c>
      <c r="H40" s="3282">
        <v>70000</v>
      </c>
      <c r="I40" s="3111">
        <v>70000</v>
      </c>
      <c r="J40" s="3114">
        <v>70000</v>
      </c>
      <c r="K40" s="3282">
        <v>70000</v>
      </c>
      <c r="L40" s="3111">
        <v>70000</v>
      </c>
      <c r="M40" s="3114">
        <v>70000</v>
      </c>
      <c r="N40" s="3282">
        <v>70000</v>
      </c>
      <c r="O40" s="3111">
        <v>70000</v>
      </c>
      <c r="P40" s="3114">
        <v>70000</v>
      </c>
      <c r="Q40" s="3282">
        <v>70000</v>
      </c>
      <c r="R40" s="3120"/>
      <c r="S40" s="3121"/>
      <c r="V40" s="3123"/>
    </row>
    <row r="41" spans="1:22" ht="15" customHeight="1" thickBot="1">
      <c r="A41" s="3283"/>
      <c r="B41" s="3284"/>
      <c r="C41" s="3285" t="s">
        <v>1140</v>
      </c>
      <c r="D41" s="3166"/>
      <c r="E41" s="3286"/>
      <c r="F41" s="3171">
        <v>70000</v>
      </c>
      <c r="G41" s="3169">
        <v>70000</v>
      </c>
      <c r="H41" s="3287">
        <v>70000</v>
      </c>
      <c r="I41" s="3168">
        <f>70000*0.9</f>
        <v>63000</v>
      </c>
      <c r="J41" s="3169">
        <f t="shared" ref="J41:Q41" si="8">70000*0.9</f>
        <v>63000</v>
      </c>
      <c r="K41" s="3170">
        <f t="shared" si="8"/>
        <v>63000</v>
      </c>
      <c r="L41" s="3176">
        <f t="shared" si="8"/>
        <v>63000</v>
      </c>
      <c r="M41" s="3174">
        <f t="shared" si="8"/>
        <v>63000</v>
      </c>
      <c r="N41" s="3177">
        <f t="shared" si="8"/>
        <v>63000</v>
      </c>
      <c r="O41" s="3176">
        <f t="shared" si="8"/>
        <v>63000</v>
      </c>
      <c r="P41" s="3174">
        <f t="shared" si="8"/>
        <v>63000</v>
      </c>
      <c r="Q41" s="3177">
        <f t="shared" si="8"/>
        <v>63000</v>
      </c>
      <c r="R41" s="3178"/>
      <c r="S41" s="3179"/>
      <c r="V41" s="3123"/>
    </row>
    <row r="42" spans="1:22" ht="15" customHeight="1" thickBot="1">
      <c r="A42" s="3288"/>
      <c r="B42" s="3289"/>
      <c r="C42" s="3290" t="s">
        <v>1088</v>
      </c>
      <c r="D42" s="3291"/>
      <c r="E42" s="3292"/>
      <c r="F42" s="3293">
        <f>F40-F41</f>
        <v>0</v>
      </c>
      <c r="G42" s="3294">
        <f t="shared" ref="G42:Q42" si="9">G40-G41</f>
        <v>0</v>
      </c>
      <c r="H42" s="3295">
        <f t="shared" si="9"/>
        <v>0</v>
      </c>
      <c r="I42" s="3296">
        <f t="shared" si="9"/>
        <v>7000</v>
      </c>
      <c r="J42" s="3294">
        <f t="shared" si="9"/>
        <v>7000</v>
      </c>
      <c r="K42" s="3297">
        <f t="shared" si="9"/>
        <v>7000</v>
      </c>
      <c r="L42" s="3298">
        <f t="shared" si="9"/>
        <v>7000</v>
      </c>
      <c r="M42" s="3299">
        <f t="shared" si="9"/>
        <v>7000</v>
      </c>
      <c r="N42" s="3300">
        <f t="shared" si="9"/>
        <v>7000</v>
      </c>
      <c r="O42" s="3298">
        <f t="shared" si="9"/>
        <v>7000</v>
      </c>
      <c r="P42" s="3299">
        <f t="shared" si="9"/>
        <v>7000</v>
      </c>
      <c r="Q42" s="3300">
        <f t="shared" si="9"/>
        <v>7000</v>
      </c>
      <c r="R42" s="3089"/>
      <c r="S42" s="1684">
        <f>SUM(F42:R42)</f>
        <v>63000</v>
      </c>
      <c r="V42" s="3123"/>
    </row>
    <row r="43" spans="1:22" ht="15" customHeight="1">
      <c r="C43" s="3301"/>
      <c r="D43" s="3301"/>
      <c r="E43" s="3301"/>
      <c r="F43" s="1520"/>
      <c r="G43" s="2424"/>
      <c r="H43" s="1520"/>
      <c r="I43" s="1520" t="s">
        <v>1141</v>
      </c>
      <c r="J43" s="1501"/>
      <c r="K43" s="1520"/>
      <c r="L43" s="1520"/>
      <c r="M43" s="1520"/>
      <c r="N43" s="1520"/>
      <c r="O43" s="1520"/>
      <c r="P43" s="1520"/>
      <c r="Q43" s="1520"/>
      <c r="R43" s="1501"/>
      <c r="S43" s="3302"/>
    </row>
    <row r="44" spans="1:22" ht="15" customHeight="1">
      <c r="C44" s="3301"/>
      <c r="D44" s="3301"/>
      <c r="E44" s="3301"/>
      <c r="F44" s="1520"/>
      <c r="G44" s="3303"/>
      <c r="H44" s="3304"/>
      <c r="I44" s="3304"/>
      <c r="J44" s="3304"/>
      <c r="K44" s="3304"/>
      <c r="L44" s="3304"/>
      <c r="M44" s="3304"/>
      <c r="N44" s="3304"/>
      <c r="O44" s="3304"/>
      <c r="P44" s="3304"/>
      <c r="Q44" s="3304"/>
      <c r="R44" s="3305"/>
      <c r="S44" s="3305"/>
    </row>
    <row r="45" spans="1:22" ht="15" customHeight="1">
      <c r="C45" s="3301"/>
      <c r="D45" s="3301"/>
      <c r="E45" s="3301"/>
      <c r="F45" s="2424"/>
      <c r="G45" s="2424"/>
      <c r="H45" s="1520"/>
      <c r="I45" s="1520"/>
      <c r="J45" s="1520"/>
      <c r="K45" s="1520"/>
      <c r="L45" s="1520"/>
      <c r="M45" s="1520"/>
      <c r="N45" s="1520"/>
      <c r="O45" s="1520"/>
      <c r="P45" s="1520"/>
      <c r="Q45" s="1520"/>
      <c r="R45" s="1520"/>
    </row>
    <row r="46" spans="1:22" ht="15" customHeight="1" thickBot="1">
      <c r="A46" s="1547" t="s">
        <v>1142</v>
      </c>
      <c r="C46" s="3301"/>
      <c r="D46" s="3301"/>
      <c r="E46" s="3301"/>
      <c r="F46" s="2424"/>
      <c r="G46" s="2424"/>
      <c r="H46" s="1520"/>
      <c r="I46" s="1520"/>
      <c r="J46" s="1520"/>
      <c r="K46" s="1520"/>
      <c r="L46" s="1520"/>
      <c r="M46" s="1520"/>
      <c r="N46" s="1520"/>
      <c r="O46" s="1520"/>
      <c r="P46" s="1520"/>
      <c r="Q46" s="1520"/>
      <c r="R46" s="1520"/>
    </row>
    <row r="47" spans="1:22" ht="15" customHeight="1" thickBot="1">
      <c r="A47" s="5400"/>
      <c r="B47" s="5401"/>
      <c r="C47" s="5401"/>
      <c r="D47" s="5401"/>
      <c r="E47" s="5402"/>
      <c r="F47" s="3101" t="s">
        <v>430</v>
      </c>
      <c r="G47" s="3104" t="s">
        <v>557</v>
      </c>
      <c r="H47" s="3103" t="s">
        <v>558</v>
      </c>
      <c r="I47" s="3101" t="s">
        <v>431</v>
      </c>
      <c r="J47" s="3104" t="s">
        <v>559</v>
      </c>
      <c r="K47" s="3103" t="s">
        <v>560</v>
      </c>
      <c r="L47" s="3101" t="s">
        <v>561</v>
      </c>
      <c r="M47" s="3104" t="s">
        <v>562</v>
      </c>
      <c r="N47" s="3103" t="s">
        <v>563</v>
      </c>
      <c r="O47" s="3101" t="s">
        <v>564</v>
      </c>
      <c r="P47" s="3104" t="s">
        <v>565</v>
      </c>
      <c r="Q47" s="3103" t="s">
        <v>566</v>
      </c>
      <c r="R47" s="3102" t="s">
        <v>14</v>
      </c>
      <c r="S47" s="3103" t="s">
        <v>113</v>
      </c>
      <c r="V47" s="3306"/>
    </row>
    <row r="48" spans="1:22" ht="15" customHeight="1">
      <c r="A48" s="5418" t="str">
        <f>B11</f>
        <v>ADC12</v>
      </c>
      <c r="B48" s="5419"/>
      <c r="C48" s="5419"/>
      <c r="D48" s="5419"/>
      <c r="E48" s="5420"/>
      <c r="F48" s="3307" t="e">
        <f t="shared" ref="F48:Q48" si="10">F25</f>
        <v>#REF!</v>
      </c>
      <c r="G48" s="3307" t="e">
        <f t="shared" si="10"/>
        <v>#REF!</v>
      </c>
      <c r="H48" s="3307" t="e">
        <f t="shared" si="10"/>
        <v>#REF!</v>
      </c>
      <c r="I48" s="3307" t="e">
        <f t="shared" si="10"/>
        <v>#REF!</v>
      </c>
      <c r="J48" s="3307" t="e">
        <f t="shared" si="10"/>
        <v>#REF!</v>
      </c>
      <c r="K48" s="3307" t="e">
        <f t="shared" si="10"/>
        <v>#REF!</v>
      </c>
      <c r="L48" s="3307" t="e">
        <f t="shared" si="10"/>
        <v>#REF!</v>
      </c>
      <c r="M48" s="3307" t="e">
        <f t="shared" si="10"/>
        <v>#REF!</v>
      </c>
      <c r="N48" s="3307" t="e">
        <f t="shared" si="10"/>
        <v>#REF!</v>
      </c>
      <c r="O48" s="3307" t="e">
        <f t="shared" si="10"/>
        <v>#REF!</v>
      </c>
      <c r="P48" s="3307" t="e">
        <f t="shared" si="10"/>
        <v>#REF!</v>
      </c>
      <c r="Q48" s="3307" t="e">
        <f t="shared" si="10"/>
        <v>#REF!</v>
      </c>
      <c r="R48" s="3308" t="e">
        <f>AVERAGE(F48:Q48)</f>
        <v>#REF!</v>
      </c>
      <c r="S48" s="3121" t="e">
        <f>SUM(F48:Q48)</f>
        <v>#REF!</v>
      </c>
    </row>
    <row r="49" spans="1:20" ht="15" customHeight="1" thickBot="1">
      <c r="A49" s="5421" t="s">
        <v>1143</v>
      </c>
      <c r="B49" s="5422"/>
      <c r="C49" s="5422"/>
      <c r="D49" s="5422"/>
      <c r="E49" s="5423"/>
      <c r="F49" s="3309">
        <f>F42</f>
        <v>0</v>
      </c>
      <c r="G49" s="3309">
        <f t="shared" ref="G49:Q49" si="11">G42</f>
        <v>0</v>
      </c>
      <c r="H49" s="3309">
        <f t="shared" si="11"/>
        <v>0</v>
      </c>
      <c r="I49" s="3309">
        <f t="shared" si="11"/>
        <v>7000</v>
      </c>
      <c r="J49" s="3309">
        <f t="shared" si="11"/>
        <v>7000</v>
      </c>
      <c r="K49" s="3309">
        <f t="shared" si="11"/>
        <v>7000</v>
      </c>
      <c r="L49" s="3309">
        <f t="shared" si="11"/>
        <v>7000</v>
      </c>
      <c r="M49" s="3309">
        <f t="shared" si="11"/>
        <v>7000</v>
      </c>
      <c r="N49" s="3309">
        <f t="shared" si="11"/>
        <v>7000</v>
      </c>
      <c r="O49" s="3309">
        <f t="shared" si="11"/>
        <v>7000</v>
      </c>
      <c r="P49" s="3309">
        <f t="shared" si="11"/>
        <v>7000</v>
      </c>
      <c r="Q49" s="3309">
        <f t="shared" si="11"/>
        <v>7000</v>
      </c>
      <c r="R49" s="3310">
        <f>AVERAGE(F49:Q49)</f>
        <v>5250</v>
      </c>
      <c r="S49" s="3137">
        <f>SUM(F49:Q49)</f>
        <v>63000</v>
      </c>
    </row>
    <row r="50" spans="1:20" ht="15" customHeight="1" thickBot="1">
      <c r="A50" s="5424" t="s">
        <v>95</v>
      </c>
      <c r="B50" s="5425"/>
      <c r="C50" s="5425"/>
      <c r="D50" s="5425"/>
      <c r="E50" s="5426"/>
      <c r="F50" s="1682" t="e">
        <f>F48+F49</f>
        <v>#REF!</v>
      </c>
      <c r="G50" s="1682" t="e">
        <f t="shared" ref="G50:Q50" si="12">G48+G49</f>
        <v>#REF!</v>
      </c>
      <c r="H50" s="1682" t="e">
        <f t="shared" si="12"/>
        <v>#REF!</v>
      </c>
      <c r="I50" s="1682" t="e">
        <f t="shared" si="12"/>
        <v>#REF!</v>
      </c>
      <c r="J50" s="1682" t="e">
        <f t="shared" si="12"/>
        <v>#REF!</v>
      </c>
      <c r="K50" s="1682" t="e">
        <f t="shared" si="12"/>
        <v>#REF!</v>
      </c>
      <c r="L50" s="1682" t="e">
        <f t="shared" si="12"/>
        <v>#REF!</v>
      </c>
      <c r="M50" s="1682" t="e">
        <f t="shared" si="12"/>
        <v>#REF!</v>
      </c>
      <c r="N50" s="1682" t="e">
        <f t="shared" si="12"/>
        <v>#REF!</v>
      </c>
      <c r="O50" s="1682" t="e">
        <f t="shared" si="12"/>
        <v>#REF!</v>
      </c>
      <c r="P50" s="1682" t="e">
        <f t="shared" si="12"/>
        <v>#REF!</v>
      </c>
      <c r="Q50" s="1682" t="e">
        <f t="shared" si="12"/>
        <v>#REF!</v>
      </c>
      <c r="R50" s="3278" t="e">
        <f>AVERAGE(F50:Q50)</f>
        <v>#REF!</v>
      </c>
      <c r="S50" s="1684" t="e">
        <f>SUM(F50:Q50)</f>
        <v>#REF!</v>
      </c>
    </row>
    <row r="54" spans="1:20" ht="15" customHeight="1">
      <c r="A54" s="1547" t="s">
        <v>1144</v>
      </c>
    </row>
    <row r="55" spans="1:20" ht="15" customHeight="1">
      <c r="A55" s="1547" t="s">
        <v>1145</v>
      </c>
    </row>
    <row r="56" spans="1:20" ht="15" customHeight="1">
      <c r="A56" s="3311" t="s">
        <v>1146</v>
      </c>
    </row>
    <row r="57" spans="1:20" ht="15" customHeight="1">
      <c r="A57" s="2364" t="s">
        <v>1147</v>
      </c>
    </row>
    <row r="58" spans="1:20" ht="15" customHeight="1" thickBot="1">
      <c r="S58" s="3063" t="s">
        <v>87</v>
      </c>
    </row>
    <row r="59" spans="1:20" ht="15" customHeight="1" thickBot="1">
      <c r="A59" s="46"/>
      <c r="B59" s="3067" t="s">
        <v>809</v>
      </c>
      <c r="C59" s="5427" t="s">
        <v>42</v>
      </c>
      <c r="D59" s="5428"/>
      <c r="E59" s="3069" t="s">
        <v>1148</v>
      </c>
      <c r="F59" s="3070" t="s">
        <v>1123</v>
      </c>
      <c r="G59" s="3073" t="s">
        <v>1124</v>
      </c>
      <c r="H59" s="3072" t="s">
        <v>1125</v>
      </c>
      <c r="I59" s="3070" t="s">
        <v>1126</v>
      </c>
      <c r="J59" s="3073" t="s">
        <v>1127</v>
      </c>
      <c r="K59" s="3072" t="s">
        <v>1128</v>
      </c>
      <c r="L59" s="3070" t="s">
        <v>1129</v>
      </c>
      <c r="M59" s="3073" t="s">
        <v>1130</v>
      </c>
      <c r="N59" s="3072" t="s">
        <v>1131</v>
      </c>
      <c r="O59" s="3070" t="s">
        <v>1132</v>
      </c>
      <c r="P59" s="3073" t="s">
        <v>1133</v>
      </c>
      <c r="Q59" s="3072" t="s">
        <v>1134</v>
      </c>
      <c r="R59" s="3074" t="s">
        <v>14</v>
      </c>
      <c r="S59" s="3075" t="s">
        <v>113</v>
      </c>
    </row>
    <row r="60" spans="1:20" ht="15" customHeight="1">
      <c r="A60" s="3312"/>
      <c r="B60" s="3313"/>
      <c r="C60" s="5429" t="s">
        <v>1149</v>
      </c>
      <c r="D60" s="5430"/>
      <c r="E60" s="3314">
        <v>500000</v>
      </c>
      <c r="F60" s="3315" t="e">
        <f t="shared" ref="F60:Q60" si="13">F50</f>
        <v>#REF!</v>
      </c>
      <c r="G60" s="3316" t="e">
        <f t="shared" si="13"/>
        <v>#REF!</v>
      </c>
      <c r="H60" s="3317" t="e">
        <f t="shared" si="13"/>
        <v>#REF!</v>
      </c>
      <c r="I60" s="3318" t="e">
        <f t="shared" si="13"/>
        <v>#REF!</v>
      </c>
      <c r="J60" s="3319" t="e">
        <f t="shared" si="13"/>
        <v>#REF!</v>
      </c>
      <c r="K60" s="3320" t="e">
        <f t="shared" si="13"/>
        <v>#REF!</v>
      </c>
      <c r="L60" s="3321" t="e">
        <f t="shared" si="13"/>
        <v>#REF!</v>
      </c>
      <c r="M60" s="3322" t="e">
        <f t="shared" si="13"/>
        <v>#REF!</v>
      </c>
      <c r="N60" s="3323" t="e">
        <f t="shared" si="13"/>
        <v>#REF!</v>
      </c>
      <c r="O60" s="3321" t="e">
        <f t="shared" si="13"/>
        <v>#REF!</v>
      </c>
      <c r="P60" s="3322" t="e">
        <f t="shared" si="13"/>
        <v>#REF!</v>
      </c>
      <c r="Q60" s="3323" t="e">
        <f t="shared" si="13"/>
        <v>#REF!</v>
      </c>
      <c r="R60" s="3208" t="e">
        <f>AVERAGE(F60:Q60)</f>
        <v>#REF!</v>
      </c>
      <c r="S60" s="3209" t="e">
        <f>SUM(F60:Q60)</f>
        <v>#REF!</v>
      </c>
    </row>
    <row r="61" spans="1:20" s="3065" customFormat="1" ht="18.75" customHeight="1">
      <c r="A61" s="3312"/>
      <c r="B61" s="3313"/>
      <c r="C61" s="5413" t="s">
        <v>1150</v>
      </c>
      <c r="D61" s="5414"/>
      <c r="E61" s="3324"/>
      <c r="F61" s="3315">
        <f>'11. CF-2026'!C43</f>
        <v>300000</v>
      </c>
      <c r="G61" s="3316">
        <f>'11. CF-2026'!D43</f>
        <v>300000</v>
      </c>
      <c r="H61" s="3325">
        <f>'11. CF-2026'!E43</f>
        <v>300000</v>
      </c>
      <c r="I61" s="3318">
        <f>'11. CF-2026'!F43</f>
        <v>300000</v>
      </c>
      <c r="J61" s="3319">
        <f>'11. CF-2026'!G43</f>
        <v>200000</v>
      </c>
      <c r="K61" s="3326">
        <f>'11. CF-2026'!H43</f>
        <v>200000</v>
      </c>
      <c r="L61" s="3321">
        <f>'11. CF-2026'!I43</f>
        <v>0</v>
      </c>
      <c r="M61" s="3322">
        <f>'11. CF-2026'!J43</f>
        <v>0</v>
      </c>
      <c r="N61" s="3327">
        <f>'11. CF-2026'!K43</f>
        <v>0</v>
      </c>
      <c r="O61" s="3321">
        <f>'11. CF-2026'!L43</f>
        <v>0</v>
      </c>
      <c r="P61" s="3322">
        <f>'11. CF-2026'!M43</f>
        <v>0</v>
      </c>
      <c r="Q61" s="3327">
        <f>'11. CF-2026'!N43</f>
        <v>0</v>
      </c>
      <c r="R61" s="3208">
        <f>AVERAGE(F61:Q61)</f>
        <v>133333.33333333334</v>
      </c>
      <c r="S61" s="3209">
        <f>SUM(F61:Q61)</f>
        <v>1600000</v>
      </c>
      <c r="T61" s="3064"/>
    </row>
    <row r="62" spans="1:20" s="3065" customFormat="1" ht="18.75" customHeight="1">
      <c r="A62" s="3312"/>
      <c r="B62" s="3313"/>
      <c r="C62" s="5413" t="s">
        <v>1151</v>
      </c>
      <c r="D62" s="5414"/>
      <c r="E62" s="3324"/>
      <c r="F62" s="3315"/>
      <c r="G62" s="3316"/>
      <c r="H62" s="3325"/>
      <c r="I62" s="3318"/>
      <c r="J62" s="3319"/>
      <c r="K62" s="3326"/>
      <c r="L62" s="3321">
        <f t="shared" ref="L62:Q62" si="14">(33333+5333)*2</f>
        <v>77332</v>
      </c>
      <c r="M62" s="3322">
        <f t="shared" si="14"/>
        <v>77332</v>
      </c>
      <c r="N62" s="3327">
        <f t="shared" si="14"/>
        <v>77332</v>
      </c>
      <c r="O62" s="3321">
        <f t="shared" si="14"/>
        <v>77332</v>
      </c>
      <c r="P62" s="3322">
        <f t="shared" si="14"/>
        <v>77332</v>
      </c>
      <c r="Q62" s="3327">
        <f t="shared" si="14"/>
        <v>77332</v>
      </c>
      <c r="R62" s="3208">
        <f>AVERAGE(F62:Q62)</f>
        <v>77332</v>
      </c>
      <c r="S62" s="3209">
        <f>SUM(F62:Q62)</f>
        <v>463992</v>
      </c>
      <c r="T62" s="3064"/>
    </row>
    <row r="63" spans="1:20" s="3065" customFormat="1" ht="18.75" customHeight="1" thickBot="1">
      <c r="A63" s="5415" t="s">
        <v>15</v>
      </c>
      <c r="B63" s="5416"/>
      <c r="C63" s="5416"/>
      <c r="D63" s="5416"/>
      <c r="E63" s="5417"/>
      <c r="F63" s="3309" t="e">
        <f t="shared" ref="F63:Q63" si="15">F25+F61-F62</f>
        <v>#REF!</v>
      </c>
      <c r="G63" s="3328" t="e">
        <f t="shared" si="15"/>
        <v>#REF!</v>
      </c>
      <c r="H63" s="3137" t="e">
        <f t="shared" si="15"/>
        <v>#REF!</v>
      </c>
      <c r="I63" s="3329" t="e">
        <f t="shared" si="15"/>
        <v>#REF!</v>
      </c>
      <c r="J63" s="3328" t="e">
        <f t="shared" si="15"/>
        <v>#REF!</v>
      </c>
      <c r="K63" s="3330" t="e">
        <f t="shared" si="15"/>
        <v>#REF!</v>
      </c>
      <c r="L63" s="3331" t="e">
        <f t="shared" si="15"/>
        <v>#REF!</v>
      </c>
      <c r="M63" s="3332" t="e">
        <f>M25+M61-M62</f>
        <v>#REF!</v>
      </c>
      <c r="N63" s="3333" t="e">
        <f t="shared" si="15"/>
        <v>#REF!</v>
      </c>
      <c r="O63" s="3331" t="e">
        <f t="shared" si="15"/>
        <v>#REF!</v>
      </c>
      <c r="P63" s="3332" t="e">
        <f t="shared" si="15"/>
        <v>#REF!</v>
      </c>
      <c r="Q63" s="3333" t="e">
        <f t="shared" si="15"/>
        <v>#REF!</v>
      </c>
      <c r="R63" s="3331" t="e">
        <f>AVERAGE(F63:Q63)</f>
        <v>#REF!</v>
      </c>
      <c r="S63" s="3137" t="e">
        <f>SUM(F63:Q63)</f>
        <v>#REF!</v>
      </c>
      <c r="T63" s="3064"/>
    </row>
    <row r="64" spans="1:20" s="3065" customFormat="1" ht="18.75" customHeight="1">
      <c r="T64" s="3145" t="e">
        <f>SUM(F63:Q63)=S63</f>
        <v>#REF!</v>
      </c>
    </row>
    <row r="65" spans="5:5" ht="15" customHeight="1">
      <c r="E65" s="3061"/>
    </row>
  </sheetData>
  <mergeCells count="14">
    <mergeCell ref="C62:D62"/>
    <mergeCell ref="A63:E63"/>
    <mergeCell ref="A48:E48"/>
    <mergeCell ref="A49:E49"/>
    <mergeCell ref="A50:E50"/>
    <mergeCell ref="C59:D59"/>
    <mergeCell ref="C60:D60"/>
    <mergeCell ref="C61:D61"/>
    <mergeCell ref="A47:E47"/>
    <mergeCell ref="A15:A16"/>
    <mergeCell ref="B15:B16"/>
    <mergeCell ref="B17:C17"/>
    <mergeCell ref="A21:A25"/>
    <mergeCell ref="B21:B23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78"/>
  <sheetViews>
    <sheetView showGridLines="0" topLeftCell="E1" zoomScale="70" zoomScaleNormal="70" workbookViewId="0">
      <selection activeCell="L46" sqref="L46"/>
    </sheetView>
  </sheetViews>
  <sheetFormatPr defaultColWidth="9" defaultRowHeight="15" customHeight="1"/>
  <cols>
    <col min="1" max="1" width="5.125" style="9" customWidth="1"/>
    <col min="2" max="2" width="15.375" style="2478" customWidth="1"/>
    <col min="3" max="3" width="9.25" style="2479" customWidth="1"/>
    <col min="4" max="4" width="7.375" style="2479" customWidth="1"/>
    <col min="5" max="5" width="18.125" style="1541" customWidth="1"/>
    <col min="6" max="6" width="10.75" style="1541" customWidth="1"/>
    <col min="7" max="7" width="21.875" style="9" customWidth="1"/>
    <col min="8" max="8" width="10.375" style="1541" customWidth="1"/>
    <col min="9" max="18" width="15.125" style="1541" customWidth="1"/>
    <col min="19" max="19" width="15.125" style="9" customWidth="1"/>
    <col min="20" max="20" width="15.125" style="1623" customWidth="1"/>
    <col min="21" max="21" width="22.625" style="9" customWidth="1"/>
    <col min="22" max="22" width="10.375" style="9" bestFit="1" customWidth="1"/>
    <col min="23" max="16384" width="9" style="9"/>
  </cols>
  <sheetData>
    <row r="1" spans="1:21" ht="20.25" customHeight="1">
      <c r="A1" s="2477" t="s">
        <v>496</v>
      </c>
    </row>
    <row r="2" spans="1:21" ht="17.25" customHeight="1">
      <c r="A2" s="1539"/>
      <c r="R2" s="9"/>
      <c r="S2" s="1539"/>
    </row>
    <row r="3" spans="1:21" ht="17.25" customHeight="1" thickBot="1">
      <c r="A3" s="1547" t="s">
        <v>497</v>
      </c>
      <c r="B3" s="1623"/>
      <c r="C3" s="1623"/>
      <c r="D3" s="1623"/>
      <c r="E3" s="2228"/>
      <c r="F3" s="2229"/>
      <c r="G3" s="2228"/>
      <c r="H3" s="2229"/>
      <c r="N3" s="1625"/>
      <c r="O3" s="1625"/>
      <c r="P3" s="1625"/>
      <c r="Q3" s="1625"/>
      <c r="R3" s="1625"/>
      <c r="S3" s="1625"/>
      <c r="T3" s="1625"/>
      <c r="U3" s="1546" t="s">
        <v>139</v>
      </c>
    </row>
    <row r="4" spans="1:21" ht="22.5" customHeight="1" thickBot="1">
      <c r="A4" s="1548" t="s">
        <v>41</v>
      </c>
      <c r="B4" s="81" t="s">
        <v>107</v>
      </c>
      <c r="C4" s="81" t="s">
        <v>106</v>
      </c>
      <c r="D4" s="72" t="s">
        <v>1027</v>
      </c>
      <c r="E4" s="5267" t="s">
        <v>108</v>
      </c>
      <c r="F4" s="5153"/>
      <c r="G4" s="1721"/>
      <c r="H4" s="1720" t="s">
        <v>498</v>
      </c>
      <c r="I4" s="3641" t="str">
        <f>'2. S Plan'!L4</f>
        <v>Jan.26</v>
      </c>
      <c r="J4" s="81" t="str">
        <f>'2. S Plan'!M4</f>
        <v>Feb.26</v>
      </c>
      <c r="K4" s="1549" t="str">
        <f>'2. S Plan'!N4</f>
        <v>Mar.26</v>
      </c>
      <c r="L4" s="1548" t="str">
        <f>'2. S Plan'!O4</f>
        <v>Apr.26</v>
      </c>
      <c r="M4" s="81" t="str">
        <f>'2. S Plan'!P4</f>
        <v>May.26</v>
      </c>
      <c r="N4" s="1549" t="str">
        <f>'2. S Plan'!Q4</f>
        <v>Jun.26</v>
      </c>
      <c r="O4" s="1548" t="str">
        <f>'2. S Plan'!R4</f>
        <v>Jul.26</v>
      </c>
      <c r="P4" s="81" t="str">
        <f>'2. S Plan'!S4</f>
        <v>Aug.26</v>
      </c>
      <c r="Q4" s="1549" t="str">
        <f>'2. S Plan'!T4</f>
        <v>Sep.26</v>
      </c>
      <c r="R4" s="87" t="str">
        <f>'2. S Plan'!U4</f>
        <v>Oct.26</v>
      </c>
      <c r="S4" s="81" t="str">
        <f>'2. S Plan'!V4</f>
        <v>Nov.26</v>
      </c>
      <c r="T4" s="1549" t="str">
        <f>'2. S Plan'!W4</f>
        <v>Dec.26</v>
      </c>
      <c r="U4" s="1550" t="str">
        <f>'2. S Plan'!X4</f>
        <v>2026
Total</v>
      </c>
    </row>
    <row r="5" spans="1:21" ht="18" customHeight="1">
      <c r="A5" s="5189">
        <v>1</v>
      </c>
      <c r="B5" s="5245" t="s">
        <v>16</v>
      </c>
      <c r="C5" s="5475" t="s">
        <v>1217</v>
      </c>
      <c r="D5" s="28">
        <f>VLOOKUP(E5,B.BasicInfomation!B:C,2,0)</f>
        <v>0</v>
      </c>
      <c r="E5" s="1690" t="s">
        <v>1213</v>
      </c>
      <c r="F5" s="3409"/>
      <c r="G5" s="1815"/>
      <c r="H5" s="1723">
        <v>0.98</v>
      </c>
      <c r="I5" s="2166">
        <f>'3. P PLAN'!J5</f>
        <v>0</v>
      </c>
      <c r="J5" s="1552">
        <f>'3. P PLAN'!K5</f>
        <v>0</v>
      </c>
      <c r="K5" s="1553">
        <f>'3. P PLAN'!L5</f>
        <v>0</v>
      </c>
      <c r="L5" s="1551">
        <f>'3. P PLAN'!M5</f>
        <v>0</v>
      </c>
      <c r="M5" s="1552">
        <f>'3. P PLAN'!N5</f>
        <v>0</v>
      </c>
      <c r="N5" s="1727">
        <f>'3. P PLAN'!O5</f>
        <v>0</v>
      </c>
      <c r="O5" s="2166">
        <f>'3. P PLAN'!P5</f>
        <v>0</v>
      </c>
      <c r="P5" s="1552">
        <f>'3. P PLAN'!Q5</f>
        <v>0</v>
      </c>
      <c r="Q5" s="1553">
        <f>'3. P PLAN'!R5</f>
        <v>0</v>
      </c>
      <c r="R5" s="1729">
        <f>'3. P PLAN'!S5</f>
        <v>0</v>
      </c>
      <c r="S5" s="1552">
        <f>'3. P PLAN'!T5</f>
        <v>0</v>
      </c>
      <c r="T5" s="1553">
        <f>'3. P PLAN'!U5</f>
        <v>0</v>
      </c>
      <c r="U5" s="1554">
        <f>SUM(I5:T5)</f>
        <v>0</v>
      </c>
    </row>
    <row r="6" spans="1:21" ht="21.75" customHeight="1">
      <c r="A6" s="5190"/>
      <c r="B6" s="5246"/>
      <c r="C6" s="5473"/>
      <c r="D6" s="31">
        <f>VLOOKUP(E6,B.BasicInfomation!B:C,2,0)</f>
        <v>1</v>
      </c>
      <c r="E6" s="31" t="s">
        <v>1241</v>
      </c>
      <c r="F6" s="30"/>
      <c r="G6" s="1821"/>
      <c r="H6" s="1740">
        <v>0.98</v>
      </c>
      <c r="I6" s="2170">
        <f>'3. P PLAN'!J6</f>
        <v>690000</v>
      </c>
      <c r="J6" s="1563">
        <f>'3. P PLAN'!K6</f>
        <v>550000</v>
      </c>
      <c r="K6" s="1564">
        <f>'3. P PLAN'!L6</f>
        <v>748000</v>
      </c>
      <c r="L6" s="1562">
        <f>'3. P PLAN'!M6</f>
        <v>738000</v>
      </c>
      <c r="M6" s="1563">
        <f>'3. P PLAN'!N6</f>
        <v>738000</v>
      </c>
      <c r="N6" s="1658">
        <f>'3. P PLAN'!O6</f>
        <v>588000</v>
      </c>
      <c r="O6" s="2170">
        <f>'3. P PLAN'!P6</f>
        <v>450000</v>
      </c>
      <c r="P6" s="1563">
        <f>'3. P PLAN'!Q6</f>
        <v>300000</v>
      </c>
      <c r="Q6" s="1564">
        <f>'3. P PLAN'!R6</f>
        <v>200000</v>
      </c>
      <c r="R6" s="1610">
        <f>'3. P PLAN'!S6</f>
        <v>150000</v>
      </c>
      <c r="S6" s="1563">
        <f>'3. P PLAN'!T6</f>
        <v>120000</v>
      </c>
      <c r="T6" s="1564">
        <f>'3. P PLAN'!U6</f>
        <v>120000</v>
      </c>
      <c r="U6" s="1566">
        <f>SUM(I6:T6)</f>
        <v>5392000</v>
      </c>
    </row>
    <row r="7" spans="1:21" ht="21.75" customHeight="1">
      <c r="A7" s="5190"/>
      <c r="B7" s="5246"/>
      <c r="C7" s="5473"/>
      <c r="D7" s="31">
        <f>VLOOKUP(E7,B.BasicInfomation!B:C,2,0)</f>
        <v>2</v>
      </c>
      <c r="E7" s="31" t="s">
        <v>1214</v>
      </c>
      <c r="F7" s="30"/>
      <c r="G7" s="1821"/>
      <c r="H7" s="1740">
        <v>0.98</v>
      </c>
      <c r="I7" s="2170">
        <f>'3. P PLAN'!J7</f>
        <v>100000</v>
      </c>
      <c r="J7" s="1563">
        <f>'3. P PLAN'!K7</f>
        <v>100000</v>
      </c>
      <c r="K7" s="1564">
        <f>'3. P PLAN'!L7</f>
        <v>100000</v>
      </c>
      <c r="L7" s="1562">
        <f>'3. P PLAN'!M7</f>
        <v>0</v>
      </c>
      <c r="M7" s="1563">
        <f>'3. P PLAN'!N7</f>
        <v>0</v>
      </c>
      <c r="N7" s="1658">
        <f>'3. P PLAN'!O7</f>
        <v>0</v>
      </c>
      <c r="O7" s="2170">
        <f>'3. P PLAN'!P7</f>
        <v>0</v>
      </c>
      <c r="P7" s="1563">
        <f>'3. P PLAN'!Q7</f>
        <v>0</v>
      </c>
      <c r="Q7" s="1564">
        <f>'3. P PLAN'!R7</f>
        <v>0</v>
      </c>
      <c r="R7" s="1610">
        <f>'3. P PLAN'!S7</f>
        <v>0</v>
      </c>
      <c r="S7" s="1563">
        <f>'3. P PLAN'!T7</f>
        <v>0</v>
      </c>
      <c r="T7" s="1564">
        <f>'3. P PLAN'!U7</f>
        <v>0</v>
      </c>
      <c r="U7" s="1566">
        <f>SUM(I7:T7)</f>
        <v>300000</v>
      </c>
    </row>
    <row r="8" spans="1:21" ht="21.75" customHeight="1">
      <c r="A8" s="5190"/>
      <c r="B8" s="5246"/>
      <c r="C8" s="5473"/>
      <c r="D8" s="31">
        <v>4</v>
      </c>
      <c r="E8" s="31" t="s">
        <v>1215</v>
      </c>
      <c r="F8" s="30"/>
      <c r="G8" s="1821"/>
      <c r="H8" s="1740">
        <v>0.98</v>
      </c>
      <c r="I8" s="2170">
        <f>'3. P PLAN'!J8</f>
        <v>250000</v>
      </c>
      <c r="J8" s="1563">
        <f>'3. P PLAN'!K8</f>
        <v>120000</v>
      </c>
      <c r="K8" s="1564">
        <f>'3. P PLAN'!L8</f>
        <v>150000</v>
      </c>
      <c r="L8" s="1562">
        <f>'3. P PLAN'!M8</f>
        <v>150000</v>
      </c>
      <c r="M8" s="1563">
        <f>'3. P PLAN'!N8</f>
        <v>100000</v>
      </c>
      <c r="N8" s="1658">
        <f>'3. P PLAN'!O8</f>
        <v>100000</v>
      </c>
      <c r="O8" s="2170">
        <f>'3. P PLAN'!P8</f>
        <v>50000</v>
      </c>
      <c r="P8" s="1563">
        <f>'3. P PLAN'!Q8</f>
        <v>0</v>
      </c>
      <c r="Q8" s="1564">
        <f>'3. P PLAN'!R8</f>
        <v>0</v>
      </c>
      <c r="R8" s="1610">
        <f>'3. P PLAN'!S8</f>
        <v>0</v>
      </c>
      <c r="S8" s="1563">
        <f>'3. P PLAN'!T8</f>
        <v>0</v>
      </c>
      <c r="T8" s="1564">
        <f>'3. P PLAN'!U8</f>
        <v>0</v>
      </c>
      <c r="U8" s="1566">
        <f>SUM(I8:T8)</f>
        <v>920000</v>
      </c>
    </row>
    <row r="9" spans="1:21" ht="21.75" customHeight="1">
      <c r="A9" s="5190"/>
      <c r="B9" s="5246"/>
      <c r="C9" s="5473"/>
      <c r="D9" s="31">
        <v>5</v>
      </c>
      <c r="E9" s="2114" t="s">
        <v>1242</v>
      </c>
      <c r="F9" s="2127"/>
      <c r="G9" s="1821"/>
      <c r="H9" s="1740">
        <v>0.98</v>
      </c>
      <c r="I9" s="2170">
        <f>'3. P PLAN'!J9</f>
        <v>0</v>
      </c>
      <c r="J9" s="1563">
        <f>'3. P PLAN'!K9</f>
        <v>0</v>
      </c>
      <c r="K9" s="1564">
        <f>'3. P PLAN'!L9</f>
        <v>50000</v>
      </c>
      <c r="L9" s="1562">
        <f>'3. P PLAN'!M9</f>
        <v>200000</v>
      </c>
      <c r="M9" s="1563">
        <f>'3. P PLAN'!N9</f>
        <v>300000</v>
      </c>
      <c r="N9" s="1658">
        <f>'3. P PLAN'!O9</f>
        <v>550000</v>
      </c>
      <c r="O9" s="1562">
        <f>'3. P PLAN'!P9</f>
        <v>550000</v>
      </c>
      <c r="P9" s="1563">
        <f>'3. P PLAN'!Q9</f>
        <v>550000</v>
      </c>
      <c r="Q9" s="1564">
        <f>'3. P PLAN'!R9</f>
        <v>550000</v>
      </c>
      <c r="R9" s="1610">
        <f>'3. P PLAN'!S9</f>
        <v>500000</v>
      </c>
      <c r="S9" s="1563">
        <f>'3. P PLAN'!T9</f>
        <v>300000</v>
      </c>
      <c r="T9" s="1564">
        <f>'3. P PLAN'!U9</f>
        <v>215000</v>
      </c>
      <c r="U9" s="1566">
        <f t="shared" ref="U9:U17" si="0">SUM(I9:T9)</f>
        <v>3765000</v>
      </c>
    </row>
    <row r="10" spans="1:21" ht="17.25" customHeight="1">
      <c r="A10" s="5190"/>
      <c r="B10" s="5246"/>
      <c r="C10" s="5473"/>
      <c r="D10" s="31">
        <v>6</v>
      </c>
      <c r="E10" s="31" t="s">
        <v>1243</v>
      </c>
      <c r="F10" s="30"/>
      <c r="G10" s="1821"/>
      <c r="H10" s="1740">
        <v>0.98</v>
      </c>
      <c r="I10" s="2170">
        <f>'3. P PLAN'!J10</f>
        <v>40000</v>
      </c>
      <c r="J10" s="1563">
        <f>'3. P PLAN'!K10</f>
        <v>370000</v>
      </c>
      <c r="K10" s="1564">
        <f>'3. P PLAN'!L10</f>
        <v>624000</v>
      </c>
      <c r="L10" s="1562">
        <f>'3. P PLAN'!M10</f>
        <v>550000</v>
      </c>
      <c r="M10" s="1563">
        <f>'3. P PLAN'!N10</f>
        <v>550000</v>
      </c>
      <c r="N10" s="1658">
        <f>'3. P PLAN'!O10</f>
        <v>550000</v>
      </c>
      <c r="O10" s="1562">
        <f>'3. P PLAN'!P10</f>
        <v>550000</v>
      </c>
      <c r="P10" s="1563">
        <f>'3. P PLAN'!Q10</f>
        <v>550000</v>
      </c>
      <c r="Q10" s="1564">
        <f>'3. P PLAN'!R10</f>
        <v>550000</v>
      </c>
      <c r="R10" s="1610">
        <f>'3. P PLAN'!S10</f>
        <v>500000</v>
      </c>
      <c r="S10" s="1563">
        <f>'3. P PLAN'!T10</f>
        <v>300000</v>
      </c>
      <c r="T10" s="1564">
        <f>'3. P PLAN'!U10</f>
        <v>223000</v>
      </c>
      <c r="U10" s="1566">
        <f t="shared" si="0"/>
        <v>5357000</v>
      </c>
    </row>
    <row r="11" spans="1:21" ht="17.25" customHeight="1">
      <c r="A11" s="5190"/>
      <c r="B11" s="5246"/>
      <c r="C11" s="5476"/>
      <c r="D11" s="31">
        <v>7</v>
      </c>
      <c r="E11" s="31" t="s">
        <v>1244</v>
      </c>
      <c r="F11" s="30"/>
      <c r="G11" s="1821"/>
      <c r="H11" s="1740">
        <v>0.98</v>
      </c>
      <c r="I11" s="2170">
        <f>'3. P PLAN'!J11</f>
        <v>0</v>
      </c>
      <c r="J11" s="1563">
        <f>'3. P PLAN'!K11</f>
        <v>0</v>
      </c>
      <c r="K11" s="1564">
        <f>'3. P PLAN'!L11</f>
        <v>0</v>
      </c>
      <c r="L11" s="1562">
        <f>'3. P PLAN'!M11</f>
        <v>0</v>
      </c>
      <c r="M11" s="1563">
        <f>'3. P PLAN'!N11</f>
        <v>0</v>
      </c>
      <c r="N11" s="1658">
        <f>'3. P PLAN'!O11</f>
        <v>0</v>
      </c>
      <c r="O11" s="1562">
        <f>'3. P PLAN'!P11</f>
        <v>0</v>
      </c>
      <c r="P11" s="1563">
        <f>'3. P PLAN'!Q11</f>
        <v>50000</v>
      </c>
      <c r="Q11" s="1564">
        <f>'3. P PLAN'!R11</f>
        <v>250000</v>
      </c>
      <c r="R11" s="1610">
        <f>'3. P PLAN'!S11</f>
        <v>350000</v>
      </c>
      <c r="S11" s="1563">
        <f>'3. P PLAN'!T11</f>
        <v>400000</v>
      </c>
      <c r="T11" s="1564">
        <f>'3. P PLAN'!U11</f>
        <v>400000</v>
      </c>
      <c r="U11" s="1566">
        <f t="shared" si="0"/>
        <v>1450000</v>
      </c>
    </row>
    <row r="12" spans="1:21" ht="17.25" customHeight="1">
      <c r="A12" s="5190"/>
      <c r="B12" s="5246"/>
      <c r="C12" s="5472" t="s">
        <v>151</v>
      </c>
      <c r="D12" s="32">
        <v>18</v>
      </c>
      <c r="E12" s="32" t="s">
        <v>863</v>
      </c>
      <c r="F12" s="4108"/>
      <c r="G12" s="1833"/>
      <c r="H12" s="4109">
        <v>0.98</v>
      </c>
      <c r="I12" s="3642">
        <f>'3. P PLAN'!J98</f>
        <v>34350.741719162776</v>
      </c>
      <c r="J12" s="1582">
        <f>'3. P PLAN'!K98</f>
        <v>33964.641333062391</v>
      </c>
      <c r="K12" s="1583">
        <f>'3. P PLAN'!L98</f>
        <v>36069.904490957124</v>
      </c>
      <c r="L12" s="1581">
        <f>'3. P PLAN'!M98</f>
        <v>56069.904490957124</v>
      </c>
      <c r="M12" s="1582">
        <f>'3. P PLAN'!N98</f>
        <v>42385.693964641338</v>
      </c>
      <c r="N12" s="1771">
        <f>'3. P PLAN'!O98</f>
        <v>39017.272912009757</v>
      </c>
      <c r="O12" s="1581">
        <f>'3. P PLAN'!P98</f>
        <v>39017.272912009757</v>
      </c>
      <c r="P12" s="1582">
        <f>'3. P PLAN'!Q98</f>
        <v>28490.957122536074</v>
      </c>
      <c r="Q12" s="1583">
        <f>'3. P PLAN'!R98</f>
        <v>28490.957122536074</v>
      </c>
      <c r="R12" s="1772">
        <f>'3. P PLAN'!S98</f>
        <v>39017.272912009757</v>
      </c>
      <c r="S12" s="1582">
        <f>'3. P PLAN'!T98</f>
        <v>23613.899613899615</v>
      </c>
      <c r="T12" s="1583">
        <f>'3. P PLAN'!U98</f>
        <v>23613.899613899615</v>
      </c>
      <c r="U12" s="1585">
        <f t="shared" si="0"/>
        <v>424102.41820768139</v>
      </c>
    </row>
    <row r="13" spans="1:21" ht="17.25" customHeight="1">
      <c r="A13" s="5190"/>
      <c r="B13" s="5246"/>
      <c r="C13" s="5473"/>
      <c r="D13" s="31">
        <v>19</v>
      </c>
      <c r="E13" s="31" t="s">
        <v>864</v>
      </c>
      <c r="F13" s="30"/>
      <c r="G13" s="1821"/>
      <c r="H13" s="1740">
        <v>0.98</v>
      </c>
      <c r="I13" s="2170">
        <f>'3. P PLAN'!J99</f>
        <v>210.5263157894737</v>
      </c>
      <c r="J13" s="1563">
        <f>'3. P PLAN'!K99</f>
        <v>210.5263157894737</v>
      </c>
      <c r="K13" s="1564">
        <f>'3. P PLAN'!L99</f>
        <v>210.5263157894737</v>
      </c>
      <c r="L13" s="1562">
        <f>'3. P PLAN'!M99</f>
        <v>210.5263157894737</v>
      </c>
      <c r="M13" s="1563">
        <f>'3. P PLAN'!N99</f>
        <v>210.5263157894737</v>
      </c>
      <c r="N13" s="1658">
        <f>'3. P PLAN'!O99</f>
        <v>210.5263157894737</v>
      </c>
      <c r="O13" s="1562">
        <f>'3. P PLAN'!P99</f>
        <v>263.15789473684208</v>
      </c>
      <c r="P13" s="1563">
        <f>'3. P PLAN'!Q99</f>
        <v>263.15789473684208</v>
      </c>
      <c r="Q13" s="1564">
        <f>'3. P PLAN'!R99</f>
        <v>263.15789473684208</v>
      </c>
      <c r="R13" s="1610">
        <f>'3. P PLAN'!S99</f>
        <v>263.15789473684208</v>
      </c>
      <c r="S13" s="1563">
        <f>'3. P PLAN'!T99</f>
        <v>263.15789473684208</v>
      </c>
      <c r="T13" s="1564">
        <f>'3. P PLAN'!U99</f>
        <v>263.15789473684208</v>
      </c>
      <c r="U13" s="1566">
        <f t="shared" si="0"/>
        <v>2842.1052631578946</v>
      </c>
    </row>
    <row r="14" spans="1:21" ht="17.25" customHeight="1">
      <c r="A14" s="5190"/>
      <c r="B14" s="5246"/>
      <c r="C14" s="5473"/>
      <c r="D14" s="31">
        <v>20</v>
      </c>
      <c r="E14" s="31" t="s">
        <v>1194</v>
      </c>
      <c r="F14" s="30"/>
      <c r="G14" s="1821"/>
      <c r="H14" s="1740">
        <v>0.98</v>
      </c>
      <c r="I14" s="2170">
        <f>'3. P PLAN'!J100</f>
        <v>0</v>
      </c>
      <c r="J14" s="1563">
        <f>'3. P PLAN'!K100</f>
        <v>0</v>
      </c>
      <c r="K14" s="1564">
        <f>'3. P PLAN'!L100</f>
        <v>0</v>
      </c>
      <c r="L14" s="1562">
        <f>'3. P PLAN'!M100</f>
        <v>0</v>
      </c>
      <c r="M14" s="1563">
        <f>'3. P PLAN'!N100</f>
        <v>0</v>
      </c>
      <c r="N14" s="1658">
        <f>'3. P PLAN'!O100</f>
        <v>0</v>
      </c>
      <c r="O14" s="1562">
        <f>'3. P PLAN'!P100</f>
        <v>0</v>
      </c>
      <c r="P14" s="1563">
        <f>'3. P PLAN'!Q100</f>
        <v>0</v>
      </c>
      <c r="Q14" s="1564">
        <f>'3. P PLAN'!R100</f>
        <v>0</v>
      </c>
      <c r="R14" s="1610">
        <f>'3. P PLAN'!S100</f>
        <v>0</v>
      </c>
      <c r="S14" s="1563">
        <f>'3. P PLAN'!T100</f>
        <v>0</v>
      </c>
      <c r="T14" s="1564">
        <f>'3. P PLAN'!U100</f>
        <v>0</v>
      </c>
      <c r="U14" s="1566">
        <f t="shared" si="0"/>
        <v>0</v>
      </c>
    </row>
    <row r="15" spans="1:21" ht="17.25" customHeight="1">
      <c r="A15" s="5190"/>
      <c r="B15" s="5246"/>
      <c r="C15" s="5473"/>
      <c r="D15" s="31">
        <v>21</v>
      </c>
      <c r="E15" s="31" t="s">
        <v>1067</v>
      </c>
      <c r="F15" s="30"/>
      <c r="G15" s="1821"/>
      <c r="H15" s="1740">
        <v>0.98</v>
      </c>
      <c r="I15" s="2170">
        <f>'3. P PLAN'!J101</f>
        <v>1052.6315789473686</v>
      </c>
      <c r="J15" s="1563">
        <f>'3. P PLAN'!K101</f>
        <v>1578.9473684210527</v>
      </c>
      <c r="K15" s="1564">
        <f>'3. P PLAN'!L101</f>
        <v>1052.6315789473686</v>
      </c>
      <c r="L15" s="1562">
        <f>'3. P PLAN'!M101</f>
        <v>1052.6315789473686</v>
      </c>
      <c r="M15" s="1563">
        <f>'3. P PLAN'!N101</f>
        <v>1052.6315789473686</v>
      </c>
      <c r="N15" s="1658">
        <f>'3. P PLAN'!O101</f>
        <v>1052.6315789473686</v>
      </c>
      <c r="O15" s="1562">
        <f>'3. P PLAN'!P101</f>
        <v>1052.6315789473686</v>
      </c>
      <c r="P15" s="1563">
        <f>'3. P PLAN'!Q101</f>
        <v>1052.6315789473686</v>
      </c>
      <c r="Q15" s="1564">
        <f>'3. P PLAN'!R101</f>
        <v>1052.6315789473686</v>
      </c>
      <c r="R15" s="1610">
        <f>'3. P PLAN'!S101</f>
        <v>1052.6315789473686</v>
      </c>
      <c r="S15" s="1563">
        <f>'3. P PLAN'!T101</f>
        <v>1052.6315789473686</v>
      </c>
      <c r="T15" s="1564">
        <f>'3. P PLAN'!U101</f>
        <v>1052.6315789473686</v>
      </c>
      <c r="U15" s="1566">
        <f t="shared" si="0"/>
        <v>13157.894736842105</v>
      </c>
    </row>
    <row r="16" spans="1:21" ht="17.25" customHeight="1">
      <c r="A16" s="5190"/>
      <c r="B16" s="5246"/>
      <c r="C16" s="5473"/>
      <c r="D16" s="31">
        <v>22</v>
      </c>
      <c r="E16" s="2114" t="s">
        <v>1068</v>
      </c>
      <c r="F16" s="2127"/>
      <c r="G16" s="1821"/>
      <c r="H16" s="1740">
        <v>0.98</v>
      </c>
      <c r="I16" s="2170">
        <f>'3. P PLAN'!J16</f>
        <v>1000</v>
      </c>
      <c r="J16" s="1563">
        <f>'3. P PLAN'!K16</f>
        <v>1500</v>
      </c>
      <c r="K16" s="1564">
        <f>'3. P PLAN'!L16</f>
        <v>1000</v>
      </c>
      <c r="L16" s="1562">
        <f>'3. P PLAN'!M16</f>
        <v>1000</v>
      </c>
      <c r="M16" s="1563">
        <f>'3. P PLAN'!N16</f>
        <v>1000</v>
      </c>
      <c r="N16" s="1658">
        <f>'3. P PLAN'!O16</f>
        <v>1000</v>
      </c>
      <c r="O16" s="1562">
        <f>'3. P PLAN'!P16</f>
        <v>1000</v>
      </c>
      <c r="P16" s="1563">
        <f>'3. P PLAN'!Q16</f>
        <v>1000</v>
      </c>
      <c r="Q16" s="1564">
        <f>'3. P PLAN'!R16</f>
        <v>1000</v>
      </c>
      <c r="R16" s="1610">
        <f>'3. P PLAN'!S16</f>
        <v>1000</v>
      </c>
      <c r="S16" s="1563">
        <f>'3. P PLAN'!T16</f>
        <v>1000</v>
      </c>
      <c r="T16" s="1564">
        <f>'3. P PLAN'!U16</f>
        <v>1000</v>
      </c>
      <c r="U16" s="1566">
        <f t="shared" si="0"/>
        <v>12500</v>
      </c>
    </row>
    <row r="17" spans="1:21" ht="17.25" customHeight="1">
      <c r="A17" s="5190"/>
      <c r="B17" s="5246"/>
      <c r="C17" s="5474"/>
      <c r="D17" s="31">
        <v>23</v>
      </c>
      <c r="E17" s="2108" t="str">
        <f>'3. P PLAN'!F18</f>
        <v>LDS Antenna</v>
      </c>
      <c r="F17" s="3738"/>
      <c r="G17" s="1819"/>
      <c r="H17" s="1734">
        <v>0.98</v>
      </c>
      <c r="I17" s="2170">
        <f>'3. P PLAN'!J17</f>
        <v>500</v>
      </c>
      <c r="J17" s="1563">
        <f>'3. P PLAN'!K17</f>
        <v>0</v>
      </c>
      <c r="K17" s="1564">
        <f>'3. P PLAN'!L17</f>
        <v>500</v>
      </c>
      <c r="L17" s="1562">
        <f>'3. P PLAN'!M17</f>
        <v>0</v>
      </c>
      <c r="M17" s="1563">
        <f>'3. P PLAN'!N17</f>
        <v>500</v>
      </c>
      <c r="N17" s="1658">
        <f>'3. P PLAN'!O17</f>
        <v>0</v>
      </c>
      <c r="O17" s="1562">
        <f>'3. P PLAN'!P17</f>
        <v>500</v>
      </c>
      <c r="P17" s="1563">
        <f>'3. P PLAN'!Q17</f>
        <v>0</v>
      </c>
      <c r="Q17" s="1564">
        <f>'3. P PLAN'!R17</f>
        <v>500</v>
      </c>
      <c r="R17" s="1610">
        <f>'3. P PLAN'!S17</f>
        <v>0</v>
      </c>
      <c r="S17" s="1563">
        <f>'3. P PLAN'!T17</f>
        <v>500</v>
      </c>
      <c r="T17" s="1564">
        <f>'3. P PLAN'!U17</f>
        <v>0</v>
      </c>
      <c r="U17" s="1566">
        <f t="shared" si="0"/>
        <v>3000</v>
      </c>
    </row>
    <row r="18" spans="1:21" ht="17.25" customHeight="1">
      <c r="A18" s="59">
        <v>2</v>
      </c>
      <c r="B18" s="4014" t="s">
        <v>1335</v>
      </c>
      <c r="C18" s="3939" t="s">
        <v>350</v>
      </c>
      <c r="D18" s="3938">
        <f>VLOOKUP(E18,B.BasicInfomation!B:C,2,0)</f>
        <v>35</v>
      </c>
      <c r="E18" s="5463" t="str">
        <f>'3. P PLAN'!F66</f>
        <v>GM ACP Housing</v>
      </c>
      <c r="F18" s="5464"/>
      <c r="G18" s="3962"/>
      <c r="H18" s="4019">
        <v>0.98</v>
      </c>
      <c r="I18" s="4024">
        <f>'2. S Plan'!L66</f>
        <v>118419.24603668497</v>
      </c>
      <c r="J18" s="2908">
        <f>'2. S Plan'!M66</f>
        <v>118419.24603668497</v>
      </c>
      <c r="K18" s="2909">
        <f>'2. S Plan'!N66</f>
        <v>122382.69852946539</v>
      </c>
      <c r="L18" s="2910">
        <f>'2. S Plan'!O66</f>
        <v>117083.57763810563</v>
      </c>
      <c r="M18" s="2908">
        <f>'2. S Plan'!P66</f>
        <v>121081.19744567382</v>
      </c>
      <c r="N18" s="2218">
        <f>'2. S Plan'!Q66</f>
        <v>121081.19744567382</v>
      </c>
      <c r="O18" s="2910">
        <f>'2. S Plan'!R66</f>
        <v>121081.19744567382</v>
      </c>
      <c r="P18" s="2908">
        <f>'2. S Plan'!S66</f>
        <v>121081.19744567382</v>
      </c>
      <c r="Q18" s="2909">
        <f>'2. S Plan'!T66</f>
        <v>115782.07655431407</v>
      </c>
      <c r="R18" s="3483">
        <f>'2. S Plan'!U66</f>
        <v>115782.07655431407</v>
      </c>
      <c r="S18" s="2908">
        <f>'2. S Plan'!V66</f>
        <v>115782.07655431407</v>
      </c>
      <c r="T18" s="2909">
        <f>'2. S Plan'!W66</f>
        <v>121081.19744567382</v>
      </c>
      <c r="U18" s="4023">
        <f t="shared" ref="U18:U26" si="1">SUM(I18:T18)</f>
        <v>1429056.9851322523</v>
      </c>
    </row>
    <row r="19" spans="1:21" ht="17.25" customHeight="1">
      <c r="A19" s="5251">
        <v>3</v>
      </c>
      <c r="B19" s="5470" t="s">
        <v>1317</v>
      </c>
      <c r="C19" s="5471" t="s">
        <v>1317</v>
      </c>
      <c r="D19" s="3939">
        <f>'2. S Plan'!E247</f>
        <v>0</v>
      </c>
      <c r="E19" s="5463" t="str">
        <f>'2. S Plan'!F247</f>
        <v>Glass Frame (ZF60A-T5)</v>
      </c>
      <c r="F19" s="5464"/>
      <c r="G19" s="3962"/>
      <c r="H19" s="4021">
        <v>0.98</v>
      </c>
      <c r="I19" s="2170">
        <f>'2. S Plan'!L76</f>
        <v>0</v>
      </c>
      <c r="J19" s="1563">
        <f>'2. S Plan'!M76</f>
        <v>50</v>
      </c>
      <c r="K19" s="1564">
        <f>'2. S Plan'!N76</f>
        <v>55</v>
      </c>
      <c r="L19" s="1562">
        <f>'2. S Plan'!O76</f>
        <v>0</v>
      </c>
      <c r="M19" s="1563">
        <f>'2. S Plan'!P76</f>
        <v>0</v>
      </c>
      <c r="N19" s="1658">
        <f>'2. S Plan'!Q76</f>
        <v>0</v>
      </c>
      <c r="O19" s="2170">
        <f>'2. S Plan'!R76</f>
        <v>0</v>
      </c>
      <c r="P19" s="1563">
        <f>'2. S Plan'!S76</f>
        <v>0</v>
      </c>
      <c r="Q19" s="1564">
        <f>'2. S Plan'!T76</f>
        <v>0</v>
      </c>
      <c r="R19" s="1610">
        <f>'2. S Plan'!U76</f>
        <v>0</v>
      </c>
      <c r="S19" s="1563">
        <f>'2. S Plan'!V76</f>
        <v>0</v>
      </c>
      <c r="T19" s="1564">
        <f>'2. S Plan'!W76</f>
        <v>0</v>
      </c>
      <c r="U19" s="1566">
        <f t="shared" si="1"/>
        <v>105</v>
      </c>
    </row>
    <row r="20" spans="1:21" ht="17.25" customHeight="1">
      <c r="A20" s="5190"/>
      <c r="B20" s="5186"/>
      <c r="C20" s="5160"/>
      <c r="D20" s="15"/>
      <c r="E20" s="5465" t="str">
        <f>'2. S Plan'!F248</f>
        <v>Body Compute enclosure (AL6061-T6)</v>
      </c>
      <c r="F20" s="5466"/>
      <c r="G20" s="1821"/>
      <c r="H20" s="4022">
        <v>0.98</v>
      </c>
      <c r="I20" s="2170">
        <f>'2. S Plan'!L77</f>
        <v>0</v>
      </c>
      <c r="J20" s="1563">
        <f>'2. S Plan'!M77</f>
        <v>50</v>
      </c>
      <c r="K20" s="1564">
        <f>'2. S Plan'!N77</f>
        <v>55</v>
      </c>
      <c r="L20" s="1562">
        <f>'2. S Plan'!O77</f>
        <v>0</v>
      </c>
      <c r="M20" s="1563">
        <f>'2. S Plan'!P77</f>
        <v>0</v>
      </c>
      <c r="N20" s="1658">
        <f>'2. S Plan'!Q77</f>
        <v>0</v>
      </c>
      <c r="O20" s="2170">
        <f>'2. S Plan'!R77</f>
        <v>0</v>
      </c>
      <c r="P20" s="1563">
        <f>'2. S Plan'!S77</f>
        <v>0</v>
      </c>
      <c r="Q20" s="1564">
        <f>'2. S Plan'!T77</f>
        <v>0</v>
      </c>
      <c r="R20" s="1610">
        <f>'2. S Plan'!U77</f>
        <v>0</v>
      </c>
      <c r="S20" s="1563">
        <f>'2. S Plan'!V77</f>
        <v>0</v>
      </c>
      <c r="T20" s="1564">
        <f>'2. S Plan'!W77</f>
        <v>0</v>
      </c>
      <c r="U20" s="1566">
        <f t="shared" si="1"/>
        <v>105</v>
      </c>
    </row>
    <row r="21" spans="1:21" ht="17.25" customHeight="1">
      <c r="A21" s="5190"/>
      <c r="B21" s="5186"/>
      <c r="C21" s="5160"/>
      <c r="D21" s="15"/>
      <c r="E21" s="5465" t="str">
        <f>'2. S Plan'!F249</f>
        <v>Others Part</v>
      </c>
      <c r="F21" s="5466"/>
      <c r="G21" s="1821"/>
      <c r="H21" s="4022">
        <v>0.98</v>
      </c>
      <c r="I21" s="2170">
        <f>'2. S Plan'!L78</f>
        <v>0</v>
      </c>
      <c r="J21" s="1563">
        <f>'2. S Plan'!M78</f>
        <v>170</v>
      </c>
      <c r="K21" s="1564">
        <f>'2. S Plan'!N78</f>
        <v>0</v>
      </c>
      <c r="L21" s="1562">
        <f>'2. S Plan'!O78</f>
        <v>0</v>
      </c>
      <c r="M21" s="1563">
        <f>'2. S Plan'!P78</f>
        <v>0</v>
      </c>
      <c r="N21" s="1658">
        <f>'2. S Plan'!Q78</f>
        <v>0</v>
      </c>
      <c r="O21" s="2170">
        <f>'2. S Plan'!R78</f>
        <v>200</v>
      </c>
      <c r="P21" s="1563">
        <f>'2. S Plan'!S78</f>
        <v>0</v>
      </c>
      <c r="Q21" s="1564">
        <f>'2. S Plan'!T78</f>
        <v>0</v>
      </c>
      <c r="R21" s="1610">
        <f>'2. S Plan'!U78</f>
        <v>0</v>
      </c>
      <c r="S21" s="1563">
        <f>'2. S Plan'!V78</f>
        <v>0</v>
      </c>
      <c r="T21" s="1564">
        <f>'2. S Plan'!W78</f>
        <v>0</v>
      </c>
      <c r="U21" s="1566">
        <f t="shared" si="1"/>
        <v>370</v>
      </c>
    </row>
    <row r="22" spans="1:21" ht="17.25" customHeight="1">
      <c r="A22" s="5190"/>
      <c r="B22" s="5186"/>
      <c r="C22" s="5160"/>
      <c r="D22" s="15"/>
      <c r="E22" s="5465">
        <f>'2. S Plan'!F250</f>
        <v>0</v>
      </c>
      <c r="F22" s="5466"/>
      <c r="G22" s="1821"/>
      <c r="H22" s="4022">
        <v>0.98</v>
      </c>
      <c r="I22" s="2170">
        <f>'2. S Plan'!L79</f>
        <v>0</v>
      </c>
      <c r="J22" s="1563">
        <f>'2. S Plan'!M79</f>
        <v>0</v>
      </c>
      <c r="K22" s="1564">
        <f>'2. S Plan'!N79</f>
        <v>0</v>
      </c>
      <c r="L22" s="1562">
        <f>'2. S Plan'!O79</f>
        <v>0</v>
      </c>
      <c r="M22" s="1563">
        <f>'2. S Plan'!P79</f>
        <v>0</v>
      </c>
      <c r="N22" s="1658">
        <f>'2. S Plan'!Q79</f>
        <v>0</v>
      </c>
      <c r="O22" s="2170">
        <f>'2. S Plan'!R79</f>
        <v>0</v>
      </c>
      <c r="P22" s="1563">
        <f>'2. S Plan'!S79</f>
        <v>0</v>
      </c>
      <c r="Q22" s="1564">
        <f>'2. S Plan'!T79</f>
        <v>0</v>
      </c>
      <c r="R22" s="1610">
        <f>'2. S Plan'!U79</f>
        <v>0</v>
      </c>
      <c r="S22" s="1563">
        <f>'2. S Plan'!V79</f>
        <v>0</v>
      </c>
      <c r="T22" s="1564">
        <f>'2. S Plan'!W79</f>
        <v>0</v>
      </c>
      <c r="U22" s="1566">
        <f t="shared" si="1"/>
        <v>0</v>
      </c>
    </row>
    <row r="23" spans="1:21" ht="17.25" customHeight="1">
      <c r="A23" s="5190"/>
      <c r="B23" s="5186"/>
      <c r="C23" s="5160"/>
      <c r="D23" s="15"/>
      <c r="E23" s="5465">
        <f>'2. S Plan'!F251</f>
        <v>0</v>
      </c>
      <c r="F23" s="5466"/>
      <c r="G23" s="1821"/>
      <c r="H23" s="4022">
        <v>0.98</v>
      </c>
      <c r="I23" s="2170">
        <f>'2. S Plan'!L80</f>
        <v>0</v>
      </c>
      <c r="J23" s="1563">
        <f>'2. S Plan'!M80</f>
        <v>0</v>
      </c>
      <c r="K23" s="1564">
        <f>'2. S Plan'!N80</f>
        <v>0</v>
      </c>
      <c r="L23" s="1562">
        <f>'2. S Plan'!O80</f>
        <v>0</v>
      </c>
      <c r="M23" s="1563">
        <f>'2. S Plan'!P80</f>
        <v>0</v>
      </c>
      <c r="N23" s="1658">
        <f>'2. S Plan'!Q80</f>
        <v>0</v>
      </c>
      <c r="O23" s="1562">
        <f>'2. S Plan'!R80</f>
        <v>0</v>
      </c>
      <c r="P23" s="1563">
        <f>'2. S Plan'!S80</f>
        <v>0</v>
      </c>
      <c r="Q23" s="1564">
        <f>'2. S Plan'!T80</f>
        <v>0</v>
      </c>
      <c r="R23" s="1610">
        <f>'2. S Plan'!U80</f>
        <v>0</v>
      </c>
      <c r="S23" s="1563">
        <f>'2. S Plan'!V80</f>
        <v>0</v>
      </c>
      <c r="T23" s="1564">
        <f>'2. S Plan'!W80</f>
        <v>0</v>
      </c>
      <c r="U23" s="1566">
        <f t="shared" si="1"/>
        <v>0</v>
      </c>
    </row>
    <row r="24" spans="1:21" ht="17.25" customHeight="1">
      <c r="A24" s="5190"/>
      <c r="B24" s="5186"/>
      <c r="C24" s="5160"/>
      <c r="D24" s="15"/>
      <c r="E24" s="5465">
        <f>'2. S Plan'!F252</f>
        <v>0</v>
      </c>
      <c r="F24" s="5466"/>
      <c r="G24" s="1821"/>
      <c r="H24" s="4022">
        <v>0.98</v>
      </c>
      <c r="I24" s="2170">
        <f>'2. S Plan'!L81</f>
        <v>0</v>
      </c>
      <c r="J24" s="1563">
        <f>'2. S Plan'!M81</f>
        <v>0</v>
      </c>
      <c r="K24" s="1564">
        <f>'2. S Plan'!N81</f>
        <v>0</v>
      </c>
      <c r="L24" s="1562">
        <f>'2. S Plan'!O81</f>
        <v>0</v>
      </c>
      <c r="M24" s="1563">
        <f>'2. S Plan'!P81</f>
        <v>0</v>
      </c>
      <c r="N24" s="1658">
        <f>'2. S Plan'!Q81</f>
        <v>0</v>
      </c>
      <c r="O24" s="1562">
        <f>'2. S Plan'!R81</f>
        <v>0</v>
      </c>
      <c r="P24" s="1563">
        <f>'2. S Plan'!S81</f>
        <v>0</v>
      </c>
      <c r="Q24" s="1564">
        <f>'2. S Plan'!T81</f>
        <v>0</v>
      </c>
      <c r="R24" s="1610">
        <f>'2. S Plan'!U81</f>
        <v>0</v>
      </c>
      <c r="S24" s="1563">
        <f>'2. S Plan'!V81</f>
        <v>0</v>
      </c>
      <c r="T24" s="1564">
        <f>'2. S Plan'!W81</f>
        <v>0</v>
      </c>
      <c r="U24" s="1566">
        <f t="shared" si="1"/>
        <v>0</v>
      </c>
    </row>
    <row r="25" spans="1:21" ht="17.25" customHeight="1">
      <c r="A25" s="5190"/>
      <c r="B25" s="5186"/>
      <c r="C25" s="5160"/>
      <c r="D25" s="15"/>
      <c r="E25" s="5465">
        <f>'2. S Plan'!F253</f>
        <v>0</v>
      </c>
      <c r="F25" s="5466"/>
      <c r="G25" s="1821"/>
      <c r="H25" s="4022">
        <v>0.98</v>
      </c>
      <c r="I25" s="2170">
        <f>'2. S Plan'!L82</f>
        <v>0</v>
      </c>
      <c r="J25" s="1563">
        <f>'2. S Plan'!M82</f>
        <v>0</v>
      </c>
      <c r="K25" s="1564">
        <f>'2. S Plan'!N82</f>
        <v>0</v>
      </c>
      <c r="L25" s="1562">
        <f>'2. S Plan'!O82</f>
        <v>0</v>
      </c>
      <c r="M25" s="1563">
        <f>'2. S Plan'!P82</f>
        <v>0</v>
      </c>
      <c r="N25" s="1658">
        <f>'2. S Plan'!Q82</f>
        <v>0</v>
      </c>
      <c r="O25" s="1562">
        <f>'2. S Plan'!R82</f>
        <v>0</v>
      </c>
      <c r="P25" s="1563">
        <f>'2. S Plan'!S82</f>
        <v>0</v>
      </c>
      <c r="Q25" s="1564">
        <f>'2. S Plan'!T82</f>
        <v>0</v>
      </c>
      <c r="R25" s="1610">
        <f>'2. S Plan'!U82</f>
        <v>0</v>
      </c>
      <c r="S25" s="1563">
        <f>'2. S Plan'!V82</f>
        <v>0</v>
      </c>
      <c r="T25" s="1564">
        <f>'2. S Plan'!W82</f>
        <v>0</v>
      </c>
      <c r="U25" s="1566">
        <f t="shared" si="1"/>
        <v>0</v>
      </c>
    </row>
    <row r="26" spans="1:21" ht="17.25" customHeight="1" thickBot="1">
      <c r="A26" s="5190"/>
      <c r="B26" s="5186"/>
      <c r="C26" s="5160"/>
      <c r="D26" s="15"/>
      <c r="E26" s="5465">
        <f>'2. S Plan'!F254</f>
        <v>0</v>
      </c>
      <c r="F26" s="5466"/>
      <c r="G26" s="1821"/>
      <c r="H26" s="4022">
        <v>0.98</v>
      </c>
      <c r="I26" s="2170">
        <f>'2. S Plan'!L83</f>
        <v>0</v>
      </c>
      <c r="J26" s="1563">
        <f>'2. S Plan'!M83</f>
        <v>0</v>
      </c>
      <c r="K26" s="1564">
        <f>'2. S Plan'!N83</f>
        <v>0</v>
      </c>
      <c r="L26" s="1562">
        <f>'2. S Plan'!O83</f>
        <v>0</v>
      </c>
      <c r="M26" s="1563">
        <f>'2. S Plan'!P83</f>
        <v>0</v>
      </c>
      <c r="N26" s="1658">
        <f>'2. S Plan'!Q83</f>
        <v>0</v>
      </c>
      <c r="O26" s="1562">
        <f>'2. S Plan'!R83</f>
        <v>0</v>
      </c>
      <c r="P26" s="1563">
        <f>'2. S Plan'!S83</f>
        <v>0</v>
      </c>
      <c r="Q26" s="1564">
        <f>'2. S Plan'!T83</f>
        <v>0</v>
      </c>
      <c r="R26" s="1610">
        <f>'2. S Plan'!U83</f>
        <v>0</v>
      </c>
      <c r="S26" s="1563">
        <f>'2. S Plan'!V83</f>
        <v>0</v>
      </c>
      <c r="T26" s="1564">
        <f>'2. S Plan'!W83</f>
        <v>0</v>
      </c>
      <c r="U26" s="1566">
        <f t="shared" si="1"/>
        <v>0</v>
      </c>
    </row>
    <row r="27" spans="1:21" ht="17.25" customHeight="1" thickBot="1">
      <c r="A27" s="5477" t="s">
        <v>138</v>
      </c>
      <c r="B27" s="5477"/>
      <c r="C27" s="5477"/>
      <c r="D27" s="5477"/>
      <c r="E27" s="5477"/>
      <c r="F27" s="5477"/>
      <c r="G27" s="5477"/>
      <c r="H27" s="5477"/>
      <c r="I27" s="4343">
        <f t="shared" ref="I27:U27" si="2">SUM(I6:I26)</f>
        <v>1235533.1456505847</v>
      </c>
      <c r="J27" s="4341">
        <f t="shared" si="2"/>
        <v>1295943.3610539581</v>
      </c>
      <c r="K27" s="4341">
        <f t="shared" si="2"/>
        <v>1833325.7609151592</v>
      </c>
      <c r="L27" s="4341">
        <f t="shared" si="2"/>
        <v>1813416.6400237996</v>
      </c>
      <c r="M27" s="4341">
        <f t="shared" si="2"/>
        <v>1854230.049305052</v>
      </c>
      <c r="N27" s="4340">
        <f t="shared" si="2"/>
        <v>1950361.6282524206</v>
      </c>
      <c r="O27" s="4341">
        <f t="shared" si="2"/>
        <v>1763114.259831368</v>
      </c>
      <c r="P27" s="4341">
        <f t="shared" si="2"/>
        <v>1601887.9440418943</v>
      </c>
      <c r="Q27" s="4341">
        <f t="shared" si="2"/>
        <v>1697088.8231505344</v>
      </c>
      <c r="R27" s="4341">
        <f t="shared" si="2"/>
        <v>1657115.1389400081</v>
      </c>
      <c r="S27" s="4341">
        <f t="shared" si="2"/>
        <v>1262211.7656418979</v>
      </c>
      <c r="T27" s="4342">
        <f t="shared" si="2"/>
        <v>1105010.8865332578</v>
      </c>
      <c r="U27" s="4339">
        <f t="shared" si="2"/>
        <v>19069239.403339934</v>
      </c>
    </row>
    <row r="28" spans="1:21" ht="17.25" customHeight="1"/>
    <row r="29" spans="1:21" ht="17.25" customHeight="1" thickBot="1">
      <c r="A29" s="1547" t="s">
        <v>283</v>
      </c>
      <c r="B29" s="1623"/>
      <c r="C29" s="1623"/>
      <c r="D29" s="1623"/>
      <c r="E29" s="4007"/>
      <c r="F29" s="2229"/>
      <c r="G29" s="2228"/>
      <c r="H29" s="2229"/>
      <c r="L29" s="2562"/>
      <c r="N29" s="1625"/>
      <c r="O29" s="1625"/>
      <c r="P29" s="1625"/>
      <c r="Q29" s="1625"/>
      <c r="R29" s="1625"/>
      <c r="S29" s="1625"/>
      <c r="T29" s="1625"/>
      <c r="U29" s="1546" t="s">
        <v>139</v>
      </c>
    </row>
    <row r="30" spans="1:21" ht="27.75" customHeight="1" thickBot="1">
      <c r="A30" s="90" t="s">
        <v>140</v>
      </c>
      <c r="B30" s="1877" t="s">
        <v>141</v>
      </c>
      <c r="C30" s="2596" t="s">
        <v>109</v>
      </c>
      <c r="D30" s="2597"/>
      <c r="E30" s="5459" t="s">
        <v>106</v>
      </c>
      <c r="F30" s="5149"/>
      <c r="G30" s="1877" t="s">
        <v>108</v>
      </c>
      <c r="H30" s="33" t="s">
        <v>241</v>
      </c>
      <c r="I30" s="89" t="str">
        <f t="shared" ref="I30:U30" si="3">I4</f>
        <v>Jan.26</v>
      </c>
      <c r="J30" s="81" t="str">
        <f t="shared" si="3"/>
        <v>Feb.26</v>
      </c>
      <c r="K30" s="81" t="str">
        <f t="shared" si="3"/>
        <v>Mar.26</v>
      </c>
      <c r="L30" s="89" t="str">
        <f t="shared" si="3"/>
        <v>Apr.26</v>
      </c>
      <c r="M30" s="81" t="str">
        <f t="shared" si="3"/>
        <v>May.26</v>
      </c>
      <c r="N30" s="71" t="str">
        <f t="shared" si="3"/>
        <v>Jun.26</v>
      </c>
      <c r="O30" s="1548" t="str">
        <f t="shared" si="3"/>
        <v>Jul.26</v>
      </c>
      <c r="P30" s="81" t="str">
        <f t="shared" si="3"/>
        <v>Aug.26</v>
      </c>
      <c r="Q30" s="1549" t="str">
        <f t="shared" si="3"/>
        <v>Sep.26</v>
      </c>
      <c r="R30" s="1548" t="str">
        <f t="shared" si="3"/>
        <v>Oct.26</v>
      </c>
      <c r="S30" s="81" t="str">
        <f t="shared" si="3"/>
        <v>Nov.26</v>
      </c>
      <c r="T30" s="1549" t="str">
        <f t="shared" si="3"/>
        <v>Dec.26</v>
      </c>
      <c r="U30" s="2598" t="str">
        <f t="shared" si="3"/>
        <v>2026
Total</v>
      </c>
    </row>
    <row r="31" spans="1:21" ht="23.25" customHeight="1" thickBot="1">
      <c r="A31" s="5134">
        <v>1</v>
      </c>
      <c r="B31" s="5446" t="s">
        <v>500</v>
      </c>
      <c r="C31" s="5435" t="s">
        <v>1218</v>
      </c>
      <c r="D31" s="5469"/>
      <c r="E31" s="5467" t="s">
        <v>1217</v>
      </c>
      <c r="F31" s="5468"/>
      <c r="G31" s="1698" t="s">
        <v>1364</v>
      </c>
      <c r="H31" s="3406">
        <v>0</v>
      </c>
      <c r="I31" s="4975">
        <f>IF(SUM(I5:I11)-500000&gt;0,SUM(I5:I11)-500000,0)</f>
        <v>580000</v>
      </c>
      <c r="J31" s="3643">
        <f>IF(SUM(J5:J11)-500000&gt;0,SUM(J5:J11)-500000,0)</f>
        <v>640000</v>
      </c>
      <c r="K31" s="2248"/>
      <c r="L31" s="3644"/>
      <c r="M31" s="2247"/>
      <c r="N31" s="3478"/>
      <c r="O31" s="3479"/>
      <c r="P31" s="3480"/>
      <c r="Q31" s="3481"/>
      <c r="R31" s="3479"/>
      <c r="S31" s="3480"/>
      <c r="T31" s="3481"/>
      <c r="U31" s="3482">
        <f>SUM(I31:T31)</f>
        <v>1220000</v>
      </c>
    </row>
    <row r="32" spans="1:21" ht="23.25" customHeight="1" thickBot="1">
      <c r="A32" s="5135"/>
      <c r="B32" s="5447"/>
      <c r="C32" s="5439"/>
      <c r="D32" s="5440"/>
      <c r="E32" s="5357" t="s">
        <v>44</v>
      </c>
      <c r="F32" s="5243"/>
      <c r="G32" s="1710"/>
      <c r="H32" s="3407"/>
      <c r="I32" s="3645"/>
      <c r="J32" s="1645"/>
      <c r="K32" s="1647">
        <f>SUM(K31)</f>
        <v>0</v>
      </c>
      <c r="L32" s="3646">
        <f t="shared" ref="L32:T32" si="4">SUM(L31)</f>
        <v>0</v>
      </c>
      <c r="M32" s="1645">
        <f t="shared" si="4"/>
        <v>0</v>
      </c>
      <c r="N32" s="3461">
        <f t="shared" si="4"/>
        <v>0</v>
      </c>
      <c r="O32" s="2341">
        <f t="shared" si="4"/>
        <v>0</v>
      </c>
      <c r="P32" s="2342">
        <f t="shared" si="4"/>
        <v>0</v>
      </c>
      <c r="Q32" s="2343">
        <f t="shared" si="4"/>
        <v>0</v>
      </c>
      <c r="R32" s="2341">
        <f t="shared" si="4"/>
        <v>0</v>
      </c>
      <c r="S32" s="2342">
        <f t="shared" si="4"/>
        <v>0</v>
      </c>
      <c r="T32" s="2343">
        <f t="shared" si="4"/>
        <v>0</v>
      </c>
      <c r="U32" s="2258">
        <f>SUM(I32:T32)</f>
        <v>0</v>
      </c>
    </row>
    <row r="33" spans="1:21" ht="23.25" customHeight="1">
      <c r="A33" s="5135"/>
      <c r="B33" s="5447"/>
      <c r="C33" s="5437" t="s">
        <v>1315</v>
      </c>
      <c r="D33" s="5460"/>
      <c r="E33" s="5157" t="s">
        <v>151</v>
      </c>
      <c r="F33" s="5461"/>
      <c r="G33" s="74" t="s">
        <v>501</v>
      </c>
      <c r="H33" s="2599">
        <v>0</v>
      </c>
      <c r="I33" s="3647">
        <f>I17*0.1</f>
        <v>50</v>
      </c>
      <c r="J33" s="1667">
        <f t="shared" ref="J33:T33" si="5">J17*0.1</f>
        <v>0</v>
      </c>
      <c r="K33" s="1564">
        <f t="shared" si="5"/>
        <v>50</v>
      </c>
      <c r="L33" s="1743">
        <f t="shared" si="5"/>
        <v>0</v>
      </c>
      <c r="M33" s="1563">
        <f t="shared" si="5"/>
        <v>50</v>
      </c>
      <c r="N33" s="1660">
        <f t="shared" si="5"/>
        <v>0</v>
      </c>
      <c r="O33" s="1781">
        <f t="shared" si="5"/>
        <v>50</v>
      </c>
      <c r="P33" s="1657">
        <f t="shared" si="5"/>
        <v>0</v>
      </c>
      <c r="Q33" s="1658">
        <f t="shared" si="5"/>
        <v>50</v>
      </c>
      <c r="R33" s="1781">
        <f t="shared" si="5"/>
        <v>0</v>
      </c>
      <c r="S33" s="1657">
        <f t="shared" si="5"/>
        <v>50</v>
      </c>
      <c r="T33" s="1658">
        <f t="shared" si="5"/>
        <v>0</v>
      </c>
      <c r="U33" s="2200">
        <f>SUM(I33:T33)</f>
        <v>300</v>
      </c>
    </row>
    <row r="34" spans="1:21" ht="23.25" customHeight="1">
      <c r="A34" s="5135"/>
      <c r="B34" s="5447"/>
      <c r="C34" s="5437"/>
      <c r="D34" s="5460"/>
      <c r="E34" s="5157"/>
      <c r="F34" s="5461"/>
      <c r="G34" s="2559" t="s">
        <v>483</v>
      </c>
      <c r="H34" s="2599">
        <v>0</v>
      </c>
      <c r="I34" s="3648">
        <f>I17*0.5</f>
        <v>250</v>
      </c>
      <c r="J34" s="3649">
        <f t="shared" ref="J34:T34" si="6">J17*0.5</f>
        <v>0</v>
      </c>
      <c r="K34" s="1596">
        <f t="shared" si="6"/>
        <v>250</v>
      </c>
      <c r="L34" s="1763">
        <f t="shared" si="6"/>
        <v>0</v>
      </c>
      <c r="M34" s="1595">
        <f t="shared" si="6"/>
        <v>250</v>
      </c>
      <c r="N34" s="1765">
        <f t="shared" si="6"/>
        <v>0</v>
      </c>
      <c r="O34" s="2203">
        <f t="shared" si="6"/>
        <v>250</v>
      </c>
      <c r="P34" s="1761">
        <f t="shared" si="6"/>
        <v>0</v>
      </c>
      <c r="Q34" s="1762">
        <f t="shared" si="6"/>
        <v>250</v>
      </c>
      <c r="R34" s="2203">
        <f t="shared" si="6"/>
        <v>0</v>
      </c>
      <c r="S34" s="1761">
        <f t="shared" si="6"/>
        <v>250</v>
      </c>
      <c r="T34" s="1762">
        <f t="shared" si="6"/>
        <v>0</v>
      </c>
      <c r="U34" s="2204">
        <f t="shared" ref="U34:U36" si="7">SUM(I34:T34)</f>
        <v>1500</v>
      </c>
    </row>
    <row r="35" spans="1:21" ht="23.25" customHeight="1">
      <c r="A35" s="5135"/>
      <c r="B35" s="5447"/>
      <c r="C35" s="5437"/>
      <c r="D35" s="5460"/>
      <c r="E35" s="5157"/>
      <c r="F35" s="5461"/>
      <c r="G35" s="2559" t="s">
        <v>502</v>
      </c>
      <c r="H35" s="2600">
        <v>0</v>
      </c>
      <c r="I35" s="3648">
        <f>I16*0.2</f>
        <v>200</v>
      </c>
      <c r="J35" s="1595">
        <f t="shared" ref="J35:T35" si="8">J16*0.2</f>
        <v>300</v>
      </c>
      <c r="K35" s="1596">
        <f t="shared" si="8"/>
        <v>200</v>
      </c>
      <c r="L35" s="1763">
        <f t="shared" si="8"/>
        <v>200</v>
      </c>
      <c r="M35" s="1595">
        <f t="shared" si="8"/>
        <v>200</v>
      </c>
      <c r="N35" s="1765">
        <f t="shared" si="8"/>
        <v>200</v>
      </c>
      <c r="O35" s="2203">
        <f t="shared" si="8"/>
        <v>200</v>
      </c>
      <c r="P35" s="1761">
        <f t="shared" si="8"/>
        <v>200</v>
      </c>
      <c r="Q35" s="1762">
        <f t="shared" si="8"/>
        <v>200</v>
      </c>
      <c r="R35" s="2203">
        <f t="shared" si="8"/>
        <v>200</v>
      </c>
      <c r="S35" s="1761">
        <f t="shared" si="8"/>
        <v>200</v>
      </c>
      <c r="T35" s="1762">
        <f t="shared" si="8"/>
        <v>200</v>
      </c>
      <c r="U35" s="2204">
        <f t="shared" si="7"/>
        <v>2500</v>
      </c>
    </row>
    <row r="36" spans="1:21" ht="23.25" customHeight="1" thickBot="1">
      <c r="A36" s="5135"/>
      <c r="B36" s="5447"/>
      <c r="C36" s="5437"/>
      <c r="D36" s="5460"/>
      <c r="E36" s="5433"/>
      <c r="F36" s="5462"/>
      <c r="G36" s="2559" t="s">
        <v>503</v>
      </c>
      <c r="H36" s="2601">
        <v>0</v>
      </c>
      <c r="I36" s="3648">
        <f>I17*0.2</f>
        <v>100</v>
      </c>
      <c r="J36" s="3649">
        <f t="shared" ref="J36:T36" si="9">J17*0.2</f>
        <v>0</v>
      </c>
      <c r="K36" s="1596">
        <f t="shared" si="9"/>
        <v>100</v>
      </c>
      <c r="L36" s="1763">
        <f t="shared" si="9"/>
        <v>0</v>
      </c>
      <c r="M36" s="1595">
        <f t="shared" si="9"/>
        <v>100</v>
      </c>
      <c r="N36" s="1765">
        <f t="shared" si="9"/>
        <v>0</v>
      </c>
      <c r="O36" s="2203">
        <f t="shared" si="9"/>
        <v>100</v>
      </c>
      <c r="P36" s="1761">
        <f t="shared" si="9"/>
        <v>0</v>
      </c>
      <c r="Q36" s="1762">
        <f t="shared" si="9"/>
        <v>100</v>
      </c>
      <c r="R36" s="2203">
        <f t="shared" si="9"/>
        <v>0</v>
      </c>
      <c r="S36" s="1761">
        <f t="shared" si="9"/>
        <v>100</v>
      </c>
      <c r="T36" s="1762">
        <f t="shared" si="9"/>
        <v>0</v>
      </c>
      <c r="U36" s="2204">
        <f t="shared" si="7"/>
        <v>600</v>
      </c>
    </row>
    <row r="37" spans="1:21" ht="23.25" customHeight="1" thickBot="1">
      <c r="A37" s="5135"/>
      <c r="B37" s="5447"/>
      <c r="C37" s="3404"/>
      <c r="D37" s="3405"/>
      <c r="E37" s="5152" t="s">
        <v>44</v>
      </c>
      <c r="F37" s="5153"/>
      <c r="G37" s="81"/>
      <c r="H37" s="2603"/>
      <c r="I37" s="1617">
        <f t="shared" ref="I37:U37" si="10">SUM(I33:I36)</f>
        <v>600</v>
      </c>
      <c r="J37" s="1618">
        <f t="shared" si="10"/>
        <v>300</v>
      </c>
      <c r="K37" s="2225">
        <f t="shared" si="10"/>
        <v>600</v>
      </c>
      <c r="L37" s="1802">
        <f t="shared" si="10"/>
        <v>200</v>
      </c>
      <c r="M37" s="1618">
        <f t="shared" si="10"/>
        <v>600</v>
      </c>
      <c r="N37" s="2225">
        <f t="shared" si="10"/>
        <v>200</v>
      </c>
      <c r="O37" s="1850">
        <f t="shared" si="10"/>
        <v>600</v>
      </c>
      <c r="P37" s="1799">
        <f t="shared" si="10"/>
        <v>200</v>
      </c>
      <c r="Q37" s="1800">
        <f t="shared" si="10"/>
        <v>600</v>
      </c>
      <c r="R37" s="1850">
        <f t="shared" si="10"/>
        <v>200</v>
      </c>
      <c r="S37" s="1799">
        <f t="shared" si="10"/>
        <v>600</v>
      </c>
      <c r="T37" s="1800">
        <f t="shared" si="10"/>
        <v>200</v>
      </c>
      <c r="U37" s="2259">
        <f t="shared" si="10"/>
        <v>4900</v>
      </c>
    </row>
    <row r="38" spans="1:21" ht="23.25" customHeight="1" thickBot="1">
      <c r="A38" s="5135"/>
      <c r="B38" s="5447"/>
      <c r="C38" s="5431" t="str">
        <f>C57</f>
        <v>Anodizing</v>
      </c>
      <c r="D38" s="5441"/>
      <c r="E38" s="5456" t="s">
        <v>350</v>
      </c>
      <c r="F38" s="5457"/>
      <c r="G38" s="2569" t="s">
        <v>504</v>
      </c>
      <c r="H38" s="2604">
        <v>0</v>
      </c>
      <c r="I38" s="3650">
        <f t="shared" ref="I38:T38" si="11">I18</f>
        <v>118419.24603668497</v>
      </c>
      <c r="J38" s="3649">
        <f t="shared" si="11"/>
        <v>118419.24603668497</v>
      </c>
      <c r="K38" s="3635">
        <f t="shared" si="11"/>
        <v>122382.69852946539</v>
      </c>
      <c r="L38" s="1763">
        <f t="shared" si="11"/>
        <v>117083.57763810563</v>
      </c>
      <c r="M38" s="1595">
        <f t="shared" si="11"/>
        <v>121081.19744567382</v>
      </c>
      <c r="N38" s="1765">
        <f t="shared" si="11"/>
        <v>121081.19744567382</v>
      </c>
      <c r="O38" s="2203">
        <f t="shared" si="11"/>
        <v>121081.19744567382</v>
      </c>
      <c r="P38" s="1761">
        <f t="shared" si="11"/>
        <v>121081.19744567382</v>
      </c>
      <c r="Q38" s="1762">
        <f t="shared" si="11"/>
        <v>115782.07655431407</v>
      </c>
      <c r="R38" s="2203">
        <f t="shared" si="11"/>
        <v>115782.07655431407</v>
      </c>
      <c r="S38" s="1761">
        <f t="shared" si="11"/>
        <v>115782.07655431407</v>
      </c>
      <c r="T38" s="1762">
        <f t="shared" si="11"/>
        <v>121081.19744567382</v>
      </c>
      <c r="U38" s="2204">
        <f t="shared" ref="U38" si="12">SUM(I38:T38)</f>
        <v>1429056.9851322523</v>
      </c>
    </row>
    <row r="39" spans="1:21" ht="23.25" customHeight="1" thickBot="1">
      <c r="A39" s="5135"/>
      <c r="B39" s="5447"/>
      <c r="C39" s="3993"/>
      <c r="D39" s="2920"/>
      <c r="E39" s="5152" t="s">
        <v>44</v>
      </c>
      <c r="F39" s="5153"/>
      <c r="G39" s="81"/>
      <c r="H39" s="2603"/>
      <c r="I39" s="1617">
        <f t="shared" ref="I39:U39" si="13">SUM(I38:I38)</f>
        <v>118419.24603668497</v>
      </c>
      <c r="J39" s="1618">
        <f t="shared" si="13"/>
        <v>118419.24603668497</v>
      </c>
      <c r="K39" s="2225">
        <f t="shared" si="13"/>
        <v>122382.69852946539</v>
      </c>
      <c r="L39" s="1802">
        <f t="shared" si="13"/>
        <v>117083.57763810563</v>
      </c>
      <c r="M39" s="1618">
        <f t="shared" si="13"/>
        <v>121081.19744567382</v>
      </c>
      <c r="N39" s="2225">
        <f t="shared" si="13"/>
        <v>121081.19744567382</v>
      </c>
      <c r="O39" s="1850">
        <f t="shared" si="13"/>
        <v>121081.19744567382</v>
      </c>
      <c r="P39" s="1799">
        <f t="shared" si="13"/>
        <v>121081.19744567382</v>
      </c>
      <c r="Q39" s="1800">
        <f t="shared" si="13"/>
        <v>115782.07655431407</v>
      </c>
      <c r="R39" s="1798">
        <f t="shared" si="13"/>
        <v>115782.07655431407</v>
      </c>
      <c r="S39" s="1799">
        <f t="shared" si="13"/>
        <v>115782.07655431407</v>
      </c>
      <c r="T39" s="2410">
        <f t="shared" si="13"/>
        <v>121081.19744567382</v>
      </c>
      <c r="U39" s="2259">
        <f t="shared" si="13"/>
        <v>1429056.9851322523</v>
      </c>
    </row>
    <row r="40" spans="1:21" ht="23.25" customHeight="1" thickBot="1">
      <c r="A40" s="94"/>
      <c r="B40" s="24"/>
      <c r="C40" s="5431" t="s">
        <v>1316</v>
      </c>
      <c r="D40" s="5441"/>
      <c r="E40" s="5431" t="s">
        <v>151</v>
      </c>
      <c r="F40" s="5441"/>
      <c r="G40" s="1999" t="s">
        <v>1056</v>
      </c>
      <c r="H40" s="2604">
        <v>0.01</v>
      </c>
      <c r="I40" s="3650">
        <f t="shared" ref="I40:T40" si="14">I13*(1+$H$40)</f>
        <v>212.63157894736844</v>
      </c>
      <c r="J40" s="3649">
        <f t="shared" si="14"/>
        <v>212.63157894736844</v>
      </c>
      <c r="K40" s="3635">
        <f t="shared" si="14"/>
        <v>212.63157894736844</v>
      </c>
      <c r="L40" s="1763">
        <f t="shared" si="14"/>
        <v>212.63157894736844</v>
      </c>
      <c r="M40" s="1595">
        <f t="shared" si="14"/>
        <v>212.63157894736844</v>
      </c>
      <c r="N40" s="1765">
        <f t="shared" si="14"/>
        <v>212.63157894736844</v>
      </c>
      <c r="O40" s="2203">
        <f t="shared" si="14"/>
        <v>265.78947368421052</v>
      </c>
      <c r="P40" s="1761">
        <f t="shared" si="14"/>
        <v>265.78947368421052</v>
      </c>
      <c r="Q40" s="1762">
        <f t="shared" si="14"/>
        <v>265.78947368421052</v>
      </c>
      <c r="R40" s="1832">
        <f t="shared" si="14"/>
        <v>265.78947368421052</v>
      </c>
      <c r="S40" s="1761">
        <f t="shared" si="14"/>
        <v>265.78947368421052</v>
      </c>
      <c r="T40" s="2215">
        <f t="shared" si="14"/>
        <v>265.78947368421052</v>
      </c>
      <c r="U40" s="2204">
        <f>SUM(I40:T40)</f>
        <v>2870.5263157894728</v>
      </c>
    </row>
    <row r="41" spans="1:21" ht="23.25" customHeight="1" thickBot="1">
      <c r="A41" s="94"/>
      <c r="B41" s="24"/>
      <c r="C41" s="13"/>
      <c r="D41" s="1609"/>
      <c r="E41" s="5152" t="s">
        <v>44</v>
      </c>
      <c r="F41" s="5153"/>
      <c r="G41" s="81"/>
      <c r="H41" s="2603"/>
      <c r="I41" s="1617">
        <f t="shared" ref="I41:U41" si="15">SUM(I40:I40)</f>
        <v>212.63157894736844</v>
      </c>
      <c r="J41" s="1618">
        <f t="shared" si="15"/>
        <v>212.63157894736844</v>
      </c>
      <c r="K41" s="2225">
        <f t="shared" si="15"/>
        <v>212.63157894736844</v>
      </c>
      <c r="L41" s="1802">
        <f t="shared" si="15"/>
        <v>212.63157894736844</v>
      </c>
      <c r="M41" s="1618">
        <f t="shared" si="15"/>
        <v>212.63157894736844</v>
      </c>
      <c r="N41" s="2225">
        <f t="shared" si="15"/>
        <v>212.63157894736844</v>
      </c>
      <c r="O41" s="1850">
        <f t="shared" si="15"/>
        <v>265.78947368421052</v>
      </c>
      <c r="P41" s="1799">
        <f t="shared" si="15"/>
        <v>265.78947368421052</v>
      </c>
      <c r="Q41" s="1800">
        <f t="shared" si="15"/>
        <v>265.78947368421052</v>
      </c>
      <c r="R41" s="1798">
        <f t="shared" si="15"/>
        <v>265.78947368421052</v>
      </c>
      <c r="S41" s="1799">
        <f t="shared" si="15"/>
        <v>265.78947368421052</v>
      </c>
      <c r="T41" s="2410">
        <f t="shared" si="15"/>
        <v>265.78947368421052</v>
      </c>
      <c r="U41" s="2259">
        <f t="shared" si="15"/>
        <v>2870.5263157894728</v>
      </c>
    </row>
    <row r="42" spans="1:21" ht="23.25" customHeight="1">
      <c r="A42" s="5392">
        <v>2</v>
      </c>
      <c r="B42" s="5446" t="s">
        <v>1317</v>
      </c>
      <c r="C42" s="5431" t="s">
        <v>1564</v>
      </c>
      <c r="D42" s="5432"/>
      <c r="E42" s="5432"/>
      <c r="F42" s="5441"/>
      <c r="G42" s="4281" t="str">
        <f>G61</f>
        <v>Glass Frame (ZF60A-T5)</v>
      </c>
      <c r="H42" s="4015">
        <v>50</v>
      </c>
      <c r="I42" s="4729">
        <f t="shared" ref="I42:T42" si="16">I19</f>
        <v>0</v>
      </c>
      <c r="J42" s="4730">
        <f t="shared" si="16"/>
        <v>50</v>
      </c>
      <c r="K42" s="4731">
        <f t="shared" si="16"/>
        <v>55</v>
      </c>
      <c r="L42" s="4729">
        <f t="shared" si="16"/>
        <v>0</v>
      </c>
      <c r="M42" s="4730">
        <f t="shared" si="16"/>
        <v>0</v>
      </c>
      <c r="N42" s="4731">
        <f t="shared" si="16"/>
        <v>0</v>
      </c>
      <c r="O42" s="4732">
        <f t="shared" si="16"/>
        <v>0</v>
      </c>
      <c r="P42" s="4733">
        <f t="shared" si="16"/>
        <v>0</v>
      </c>
      <c r="Q42" s="4734">
        <f t="shared" si="16"/>
        <v>0</v>
      </c>
      <c r="R42" s="4732">
        <f t="shared" si="16"/>
        <v>0</v>
      </c>
      <c r="S42" s="4733">
        <f t="shared" si="16"/>
        <v>0</v>
      </c>
      <c r="T42" s="4735">
        <f t="shared" si="16"/>
        <v>0</v>
      </c>
      <c r="U42" s="4025">
        <f>SUM(I42:T42)</f>
        <v>105</v>
      </c>
    </row>
    <row r="43" spans="1:21" ht="23.25" customHeight="1">
      <c r="A43" s="5393"/>
      <c r="B43" s="5447"/>
      <c r="C43" s="5453" t="s">
        <v>1565</v>
      </c>
      <c r="D43" s="5454"/>
      <c r="E43" s="5454"/>
      <c r="F43" s="5455"/>
      <c r="G43" s="4942" t="str">
        <f>G62</f>
        <v>Others Part</v>
      </c>
      <c r="H43" s="4940">
        <v>5</v>
      </c>
      <c r="I43" s="3652">
        <f>I19</f>
        <v>0</v>
      </c>
      <c r="J43" s="3955">
        <f t="shared" ref="J43:T43" si="17">J19</f>
        <v>50</v>
      </c>
      <c r="K43" s="4736">
        <f t="shared" si="17"/>
        <v>55</v>
      </c>
      <c r="L43" s="3652">
        <f t="shared" si="17"/>
        <v>0</v>
      </c>
      <c r="M43" s="3955">
        <f t="shared" si="17"/>
        <v>0</v>
      </c>
      <c r="N43" s="4736">
        <f t="shared" si="17"/>
        <v>0</v>
      </c>
      <c r="O43" s="1839">
        <f t="shared" si="17"/>
        <v>0</v>
      </c>
      <c r="P43" s="3577">
        <f t="shared" si="17"/>
        <v>0</v>
      </c>
      <c r="Q43" s="1782">
        <f t="shared" si="17"/>
        <v>0</v>
      </c>
      <c r="R43" s="1839">
        <f t="shared" si="17"/>
        <v>0</v>
      </c>
      <c r="S43" s="3577">
        <f t="shared" si="17"/>
        <v>0</v>
      </c>
      <c r="T43" s="4737">
        <f t="shared" si="17"/>
        <v>0</v>
      </c>
      <c r="U43" s="2223">
        <f t="shared" ref="U43" si="18">SUM(I43:T43)</f>
        <v>105</v>
      </c>
    </row>
    <row r="44" spans="1:21" ht="23.25" customHeight="1" thickBot="1">
      <c r="A44" s="4917"/>
      <c r="B44" s="4943"/>
      <c r="C44" s="5443" t="s">
        <v>1566</v>
      </c>
      <c r="D44" s="5444"/>
      <c r="E44" s="5444"/>
      <c r="F44" s="5444"/>
      <c r="G44" s="1791" t="str">
        <f>G63</f>
        <v>Others Part</v>
      </c>
      <c r="H44" s="4941"/>
      <c r="I44" s="3652">
        <f>I20</f>
        <v>0</v>
      </c>
      <c r="J44" s="1563"/>
      <c r="K44" s="1626"/>
      <c r="L44" s="1743"/>
      <c r="M44" s="1563"/>
      <c r="N44" s="1626"/>
      <c r="O44" s="1659"/>
      <c r="P44" s="1657"/>
      <c r="Q44" s="5"/>
      <c r="R44" s="1659"/>
      <c r="S44" s="1657"/>
      <c r="T44" s="2199"/>
      <c r="U44" s="2200"/>
    </row>
    <row r="45" spans="1:21" ht="23.25" customHeight="1" thickBot="1">
      <c r="A45" s="82"/>
      <c r="B45" s="4011"/>
      <c r="C45" s="4819"/>
      <c r="D45" s="4819"/>
      <c r="E45" s="5152" t="s">
        <v>44</v>
      </c>
      <c r="F45" s="5152"/>
      <c r="G45" s="4009"/>
      <c r="H45" s="4010"/>
      <c r="I45" s="1802">
        <f t="shared" ref="I45:U45" si="19">SUM(I42:I43)</f>
        <v>0</v>
      </c>
      <c r="J45" s="1618">
        <f t="shared" si="19"/>
        <v>100</v>
      </c>
      <c r="K45" s="1691">
        <f t="shared" si="19"/>
        <v>110</v>
      </c>
      <c r="L45" s="1802">
        <f t="shared" si="19"/>
        <v>0</v>
      </c>
      <c r="M45" s="1618">
        <f t="shared" si="19"/>
        <v>0</v>
      </c>
      <c r="N45" s="1691">
        <f t="shared" si="19"/>
        <v>0</v>
      </c>
      <c r="O45" s="1798">
        <f t="shared" si="19"/>
        <v>0</v>
      </c>
      <c r="P45" s="1799">
        <f t="shared" si="19"/>
        <v>0</v>
      </c>
      <c r="Q45" s="2411">
        <f t="shared" si="19"/>
        <v>0</v>
      </c>
      <c r="R45" s="1798">
        <f t="shared" si="19"/>
        <v>0</v>
      </c>
      <c r="S45" s="1799">
        <f t="shared" si="19"/>
        <v>0</v>
      </c>
      <c r="T45" s="2410">
        <f t="shared" si="19"/>
        <v>0</v>
      </c>
      <c r="U45" s="2259">
        <f t="shared" si="19"/>
        <v>210</v>
      </c>
    </row>
    <row r="46" spans="1:21" ht="23.25" customHeight="1" thickBot="1">
      <c r="A46" s="5148" t="s">
        <v>144</v>
      </c>
      <c r="B46" s="5149"/>
      <c r="C46" s="5178"/>
      <c r="D46" s="5178"/>
      <c r="E46" s="5178"/>
      <c r="F46" s="5178"/>
      <c r="G46" s="5178"/>
      <c r="H46" s="5178"/>
      <c r="I46" s="3646">
        <f t="shared" ref="I46:U46" si="20">+I39+I37+I41+I32+I45</f>
        <v>119231.87761563234</v>
      </c>
      <c r="J46" s="1618">
        <f t="shared" si="20"/>
        <v>119031.87761563234</v>
      </c>
      <c r="K46" s="1646">
        <f t="shared" si="20"/>
        <v>123305.33010841276</v>
      </c>
      <c r="L46" s="3646">
        <f t="shared" si="20"/>
        <v>117496.20921705301</v>
      </c>
      <c r="M46" s="1645">
        <f t="shared" si="20"/>
        <v>121893.8290246212</v>
      </c>
      <c r="N46" s="3462">
        <f t="shared" si="20"/>
        <v>121493.8290246212</v>
      </c>
      <c r="O46" s="3460">
        <f t="shared" si="20"/>
        <v>121946.98691935804</v>
      </c>
      <c r="P46" s="1799">
        <f t="shared" si="20"/>
        <v>121546.98691935804</v>
      </c>
      <c r="Q46" s="3462">
        <f t="shared" si="20"/>
        <v>116647.86602799829</v>
      </c>
      <c r="R46" s="3460">
        <f t="shared" si="20"/>
        <v>116247.86602799829</v>
      </c>
      <c r="S46" s="2342">
        <f t="shared" si="20"/>
        <v>116647.86602799829</v>
      </c>
      <c r="T46" s="3462">
        <f t="shared" si="20"/>
        <v>121546.98691935804</v>
      </c>
      <c r="U46" s="2258">
        <f t="shared" si="20"/>
        <v>1437037.5114480418</v>
      </c>
    </row>
    <row r="47" spans="1:21" ht="19.5" customHeight="1"/>
    <row r="48" spans="1:21" ht="19.5" customHeight="1" thickBot="1">
      <c r="A48" s="2498" t="s">
        <v>282</v>
      </c>
      <c r="B48" s="1544"/>
      <c r="C48" s="1544"/>
      <c r="D48" s="1544"/>
      <c r="E48" s="1731"/>
      <c r="F48" s="2607"/>
      <c r="G48" s="1731"/>
      <c r="H48" s="2607"/>
      <c r="N48" s="1542"/>
      <c r="O48" s="1542"/>
      <c r="P48" s="1542"/>
      <c r="Q48" s="1542"/>
      <c r="R48" s="1542"/>
      <c r="S48" s="1542"/>
      <c r="T48" s="1542"/>
      <c r="U48" s="1808" t="s">
        <v>87</v>
      </c>
    </row>
    <row r="49" spans="1:22" ht="22.5" customHeight="1" thickBot="1">
      <c r="A49" s="90" t="s">
        <v>140</v>
      </c>
      <c r="B49" s="1877" t="s">
        <v>141</v>
      </c>
      <c r="C49" s="5459" t="s">
        <v>109</v>
      </c>
      <c r="D49" s="5150"/>
      <c r="E49" s="5459" t="s">
        <v>106</v>
      </c>
      <c r="F49" s="5149"/>
      <c r="G49" s="1877" t="s">
        <v>108</v>
      </c>
      <c r="H49" s="33" t="s">
        <v>29</v>
      </c>
      <c r="I49" s="3601" t="str">
        <f t="shared" ref="I49:U49" si="21">I4</f>
        <v>Jan.26</v>
      </c>
      <c r="J49" s="1698" t="str">
        <f t="shared" si="21"/>
        <v>Feb.26</v>
      </c>
      <c r="K49" s="3603" t="str">
        <f t="shared" si="21"/>
        <v>Mar.26</v>
      </c>
      <c r="L49" s="1548" t="str">
        <f t="shared" si="21"/>
        <v>Apr.26</v>
      </c>
      <c r="M49" s="81" t="str">
        <f t="shared" si="21"/>
        <v>May.26</v>
      </c>
      <c r="N49" s="1549" t="str">
        <f t="shared" si="21"/>
        <v>Jun.26</v>
      </c>
      <c r="O49" s="1548" t="str">
        <f t="shared" si="21"/>
        <v>Jul.26</v>
      </c>
      <c r="P49" s="81" t="str">
        <f t="shared" si="21"/>
        <v>Aug.26</v>
      </c>
      <c r="Q49" s="1549" t="str">
        <f t="shared" si="21"/>
        <v>Sep.26</v>
      </c>
      <c r="R49" s="1548" t="str">
        <f t="shared" si="21"/>
        <v>Oct.26</v>
      </c>
      <c r="S49" s="81" t="str">
        <f t="shared" si="21"/>
        <v>Nov.26</v>
      </c>
      <c r="T49" s="1549" t="str">
        <f t="shared" si="21"/>
        <v>Dec.26</v>
      </c>
      <c r="U49" s="2598" t="str">
        <f t="shared" si="21"/>
        <v>2026
Total</v>
      </c>
    </row>
    <row r="50" spans="1:22" ht="22.5" customHeight="1" thickBot="1">
      <c r="A50" s="5134">
        <v>1</v>
      </c>
      <c r="B50" s="5446" t="str">
        <f>B31</f>
        <v xml:space="preserve">Mobile/Auto </v>
      </c>
      <c r="C50" s="5449" t="s">
        <v>394</v>
      </c>
      <c r="D50" s="5450"/>
      <c r="E50" s="5449" t="s">
        <v>1216</v>
      </c>
      <c r="F50" s="5450"/>
      <c r="G50" s="3408" t="str">
        <f>G31</f>
        <v>A17/A27/A37</v>
      </c>
      <c r="H50" s="4916">
        <f>1200/'1-1.Assumption'!F29</f>
        <v>4.5454545454545456E-2</v>
      </c>
      <c r="I50" s="4492">
        <f t="shared" ref="I50:T50" si="22">I31*$H$50</f>
        <v>26363.636363636364</v>
      </c>
      <c r="J50" s="4976">
        <f t="shared" si="22"/>
        <v>29090.909090909092</v>
      </c>
      <c r="K50" s="4493">
        <f t="shared" si="22"/>
        <v>0</v>
      </c>
      <c r="L50" s="4494">
        <f t="shared" si="22"/>
        <v>0</v>
      </c>
      <c r="M50" s="4495">
        <f t="shared" si="22"/>
        <v>0</v>
      </c>
      <c r="N50" s="4496">
        <f t="shared" si="22"/>
        <v>0</v>
      </c>
      <c r="O50" s="4494">
        <f t="shared" si="22"/>
        <v>0</v>
      </c>
      <c r="P50" s="4495">
        <f t="shared" si="22"/>
        <v>0</v>
      </c>
      <c r="Q50" s="4496">
        <f t="shared" si="22"/>
        <v>0</v>
      </c>
      <c r="R50" s="4494">
        <f t="shared" si="22"/>
        <v>0</v>
      </c>
      <c r="S50" s="4495">
        <f t="shared" si="22"/>
        <v>0</v>
      </c>
      <c r="T50" s="4496">
        <f t="shared" si="22"/>
        <v>0</v>
      </c>
      <c r="U50" s="2204">
        <f t="shared" ref="U50:U55" si="23">SUM(I50:T50)</f>
        <v>55454.545454545456</v>
      </c>
      <c r="V50" s="4915"/>
    </row>
    <row r="51" spans="1:22" ht="22.5" customHeight="1" thickBot="1">
      <c r="A51" s="5135"/>
      <c r="B51" s="5447"/>
      <c r="C51" s="5451"/>
      <c r="D51" s="5452"/>
      <c r="E51" s="5149" t="s">
        <v>142</v>
      </c>
      <c r="F51" s="5149"/>
      <c r="G51" s="3399"/>
      <c r="H51" s="3398"/>
      <c r="I51" s="4017">
        <f>SUM(I50)</f>
        <v>26363.636363636364</v>
      </c>
      <c r="J51" s="4016">
        <f t="shared" ref="J51:T51" si="24">SUM(J50)</f>
        <v>29090.909090909092</v>
      </c>
      <c r="K51" s="4018">
        <f t="shared" si="24"/>
        <v>0</v>
      </c>
      <c r="L51" s="23">
        <f t="shared" si="24"/>
        <v>0</v>
      </c>
      <c r="M51" s="2425">
        <f t="shared" si="24"/>
        <v>0</v>
      </c>
      <c r="N51" s="22">
        <f t="shared" si="24"/>
        <v>0</v>
      </c>
      <c r="O51" s="23">
        <f t="shared" si="24"/>
        <v>0</v>
      </c>
      <c r="P51" s="2425">
        <f t="shared" si="24"/>
        <v>0</v>
      </c>
      <c r="Q51" s="22">
        <f t="shared" si="24"/>
        <v>0</v>
      </c>
      <c r="R51" s="23">
        <f t="shared" si="24"/>
        <v>0</v>
      </c>
      <c r="S51" s="2425">
        <f t="shared" si="24"/>
        <v>0</v>
      </c>
      <c r="T51" s="22">
        <f t="shared" si="24"/>
        <v>0</v>
      </c>
      <c r="U51" s="2259">
        <f t="shared" si="23"/>
        <v>55454.545454545456</v>
      </c>
      <c r="V51" s="1541"/>
    </row>
    <row r="52" spans="1:22" ht="24.75" customHeight="1">
      <c r="A52" s="5135"/>
      <c r="B52" s="5447"/>
      <c r="C52" s="5435" t="s">
        <v>278</v>
      </c>
      <c r="D52" s="5436"/>
      <c r="E52" s="5157" t="s">
        <v>151</v>
      </c>
      <c r="F52" s="5461"/>
      <c r="G52" s="74" t="s">
        <v>501</v>
      </c>
      <c r="H52" s="2608">
        <f>18500/'1-1.Assumption'!F29</f>
        <v>0.7007575757575758</v>
      </c>
      <c r="I52" s="4497">
        <f t="shared" ref="I52:T52" si="25">I33*$H$52</f>
        <v>35.037878787878789</v>
      </c>
      <c r="J52" s="4498">
        <f t="shared" si="25"/>
        <v>0</v>
      </c>
      <c r="K52" s="4499">
        <f t="shared" si="25"/>
        <v>35.037878787878789</v>
      </c>
      <c r="L52" s="4500">
        <f t="shared" si="25"/>
        <v>0</v>
      </c>
      <c r="M52" s="4498">
        <f t="shared" si="25"/>
        <v>35.037878787878789</v>
      </c>
      <c r="N52" s="4499">
        <f t="shared" si="25"/>
        <v>0</v>
      </c>
      <c r="O52" s="4385">
        <f t="shared" si="25"/>
        <v>35.037878787878789</v>
      </c>
      <c r="P52" s="4384">
        <f t="shared" si="25"/>
        <v>0</v>
      </c>
      <c r="Q52" s="4386">
        <f t="shared" si="25"/>
        <v>35.037878787878789</v>
      </c>
      <c r="R52" s="4385">
        <f t="shared" si="25"/>
        <v>0</v>
      </c>
      <c r="S52" s="4384">
        <f t="shared" si="25"/>
        <v>35.037878787878789</v>
      </c>
      <c r="T52" s="4386">
        <f t="shared" si="25"/>
        <v>0</v>
      </c>
      <c r="U52" s="2200">
        <f t="shared" si="23"/>
        <v>210.22727272727272</v>
      </c>
      <c r="V52" s="1541"/>
    </row>
    <row r="53" spans="1:22" ht="24.75" customHeight="1">
      <c r="A53" s="5135"/>
      <c r="B53" s="5447"/>
      <c r="C53" s="5437"/>
      <c r="D53" s="5438"/>
      <c r="E53" s="5157"/>
      <c r="F53" s="5461"/>
      <c r="G53" s="2559" t="s">
        <v>483</v>
      </c>
      <c r="H53" s="2608">
        <f>74000/'1-1.Assumption'!F29</f>
        <v>2.8030303030303032</v>
      </c>
      <c r="I53" s="4501">
        <f t="shared" ref="I53:T53" si="26">I34*$H$52</f>
        <v>175.18939393939394</v>
      </c>
      <c r="J53" s="4474">
        <f t="shared" si="26"/>
        <v>0</v>
      </c>
      <c r="K53" s="4475">
        <f t="shared" si="26"/>
        <v>175.18939393939394</v>
      </c>
      <c r="L53" s="4455">
        <f t="shared" si="26"/>
        <v>0</v>
      </c>
      <c r="M53" s="4474">
        <f t="shared" si="26"/>
        <v>175.18939393939394</v>
      </c>
      <c r="N53" s="4475">
        <f t="shared" si="26"/>
        <v>0</v>
      </c>
      <c r="O53" s="4406">
        <f t="shared" si="26"/>
        <v>175.18939393939394</v>
      </c>
      <c r="P53" s="4430">
        <f t="shared" si="26"/>
        <v>0</v>
      </c>
      <c r="Q53" s="4431">
        <f t="shared" si="26"/>
        <v>175.18939393939394</v>
      </c>
      <c r="R53" s="4406">
        <f t="shared" si="26"/>
        <v>0</v>
      </c>
      <c r="S53" s="4430">
        <f t="shared" si="26"/>
        <v>175.18939393939394</v>
      </c>
      <c r="T53" s="4431">
        <f t="shared" si="26"/>
        <v>0</v>
      </c>
      <c r="U53" s="2204">
        <f t="shared" si="23"/>
        <v>1051.1363636363637</v>
      </c>
    </row>
    <row r="54" spans="1:22" ht="24.75" customHeight="1">
      <c r="A54" s="5135"/>
      <c r="B54" s="5447"/>
      <c r="C54" s="5437"/>
      <c r="D54" s="5438"/>
      <c r="E54" s="5157"/>
      <c r="F54" s="5461"/>
      <c r="G54" s="2559" t="s">
        <v>502</v>
      </c>
      <c r="H54" s="2609">
        <v>2.1</v>
      </c>
      <c r="I54" s="4501">
        <f t="shared" ref="I54:T54" si="27">I35*$H$52</f>
        <v>140.15151515151516</v>
      </c>
      <c r="J54" s="4474">
        <f t="shared" si="27"/>
        <v>210.22727272727275</v>
      </c>
      <c r="K54" s="4475">
        <f t="shared" si="27"/>
        <v>140.15151515151516</v>
      </c>
      <c r="L54" s="4455">
        <f t="shared" si="27"/>
        <v>140.15151515151516</v>
      </c>
      <c r="M54" s="4474">
        <f t="shared" si="27"/>
        <v>140.15151515151516</v>
      </c>
      <c r="N54" s="4475">
        <f t="shared" si="27"/>
        <v>140.15151515151516</v>
      </c>
      <c r="O54" s="4406">
        <f t="shared" si="27"/>
        <v>140.15151515151516</v>
      </c>
      <c r="P54" s="4430">
        <f t="shared" si="27"/>
        <v>140.15151515151516</v>
      </c>
      <c r="Q54" s="4431">
        <f t="shared" si="27"/>
        <v>140.15151515151516</v>
      </c>
      <c r="R54" s="4406">
        <f t="shared" si="27"/>
        <v>140.15151515151516</v>
      </c>
      <c r="S54" s="4430">
        <f t="shared" si="27"/>
        <v>140.15151515151516</v>
      </c>
      <c r="T54" s="4431">
        <f t="shared" si="27"/>
        <v>140.15151515151516</v>
      </c>
      <c r="U54" s="2204">
        <f t="shared" si="23"/>
        <v>1751.8939393939397</v>
      </c>
    </row>
    <row r="55" spans="1:22" ht="24.75" customHeight="1" thickBot="1">
      <c r="A55" s="5135"/>
      <c r="B55" s="5447"/>
      <c r="C55" s="5437"/>
      <c r="D55" s="5438"/>
      <c r="E55" s="5157"/>
      <c r="F55" s="5461"/>
      <c r="G55" s="2559" t="s">
        <v>503</v>
      </c>
      <c r="H55" s="2610">
        <f>23000/'1-1.Assumption'!F29</f>
        <v>0.87121212121212122</v>
      </c>
      <c r="I55" s="4501">
        <f t="shared" ref="I55:T55" si="28">I36*$H$52</f>
        <v>70.075757575757578</v>
      </c>
      <c r="J55" s="4474">
        <f t="shared" si="28"/>
        <v>0</v>
      </c>
      <c r="K55" s="4475">
        <f t="shared" si="28"/>
        <v>70.075757575757578</v>
      </c>
      <c r="L55" s="4455">
        <f t="shared" si="28"/>
        <v>0</v>
      </c>
      <c r="M55" s="4474">
        <f t="shared" si="28"/>
        <v>70.075757575757578</v>
      </c>
      <c r="N55" s="4475">
        <f t="shared" si="28"/>
        <v>0</v>
      </c>
      <c r="O55" s="4406">
        <f t="shared" si="28"/>
        <v>70.075757575757578</v>
      </c>
      <c r="P55" s="4430">
        <f t="shared" si="28"/>
        <v>0</v>
      </c>
      <c r="Q55" s="4431">
        <f t="shared" si="28"/>
        <v>70.075757575757578</v>
      </c>
      <c r="R55" s="4406">
        <f t="shared" si="28"/>
        <v>0</v>
      </c>
      <c r="S55" s="4430">
        <f t="shared" si="28"/>
        <v>70.075757575757578</v>
      </c>
      <c r="T55" s="4431">
        <f t="shared" si="28"/>
        <v>0</v>
      </c>
      <c r="U55" s="2204">
        <f t="shared" si="23"/>
        <v>420.45454545454544</v>
      </c>
    </row>
    <row r="56" spans="1:22" ht="24.75" customHeight="1" thickBot="1">
      <c r="A56" s="5135"/>
      <c r="B56" s="5447"/>
      <c r="C56" s="5439"/>
      <c r="D56" s="5440"/>
      <c r="E56" s="5152" t="s">
        <v>44</v>
      </c>
      <c r="F56" s="5153"/>
      <c r="G56" s="2602"/>
      <c r="H56" s="2611"/>
      <c r="I56" s="1617">
        <f t="shared" ref="I56:T56" si="29">SUM(I52:I55)</f>
        <v>420.45454545454544</v>
      </c>
      <c r="J56" s="1618">
        <f t="shared" si="29"/>
        <v>210.22727272727275</v>
      </c>
      <c r="K56" s="2225">
        <f t="shared" si="29"/>
        <v>420.45454545454544</v>
      </c>
      <c r="L56" s="1617">
        <f t="shared" si="29"/>
        <v>140.15151515151516</v>
      </c>
      <c r="M56" s="1618">
        <f t="shared" si="29"/>
        <v>420.45454545454544</v>
      </c>
      <c r="N56" s="1619">
        <f t="shared" si="29"/>
        <v>140.15151515151516</v>
      </c>
      <c r="O56" s="1850">
        <f t="shared" si="29"/>
        <v>420.45454545454544</v>
      </c>
      <c r="P56" s="1799">
        <f t="shared" si="29"/>
        <v>140.15151515151516</v>
      </c>
      <c r="Q56" s="1800">
        <f t="shared" si="29"/>
        <v>420.45454545454544</v>
      </c>
      <c r="R56" s="1850">
        <f t="shared" si="29"/>
        <v>140.15151515151516</v>
      </c>
      <c r="S56" s="1799">
        <f t="shared" si="29"/>
        <v>420.45454545454544</v>
      </c>
      <c r="T56" s="1800">
        <f t="shared" si="29"/>
        <v>140.15151515151516</v>
      </c>
      <c r="U56" s="2259">
        <f>SUM(U52:U55)</f>
        <v>3433.7121212121215</v>
      </c>
    </row>
    <row r="57" spans="1:22" ht="24.75" customHeight="1" thickBot="1">
      <c r="A57" s="5135"/>
      <c r="B57" s="5447"/>
      <c r="C57" s="5431" t="s">
        <v>567</v>
      </c>
      <c r="D57" s="5432"/>
      <c r="E57" s="5456" t="str">
        <f>E38</f>
        <v>ZF</v>
      </c>
      <c r="F57" s="5457"/>
      <c r="G57" s="2569" t="str">
        <f>G38</f>
        <v>ACP2 Housing</v>
      </c>
      <c r="H57" s="3398">
        <f>6500/'1-1.Assumption'!F29</f>
        <v>0.24621212121212122</v>
      </c>
      <c r="I57" s="4502">
        <f>I38*$H$57+7415</f>
        <v>36571.25375903229</v>
      </c>
      <c r="J57" s="4474">
        <f>J38*$H$57+6234</f>
        <v>35390.25375903229</v>
      </c>
      <c r="K57" s="4475">
        <f>K38*$H$57-5332</f>
        <v>24800.103804603219</v>
      </c>
      <c r="L57" s="4455">
        <f t="shared" ref="L57:T57" si="30">L38*$H$57</f>
        <v>28827.396009382068</v>
      </c>
      <c r="M57" s="4474">
        <f t="shared" si="30"/>
        <v>29811.658462003026</v>
      </c>
      <c r="N57" s="4475">
        <f t="shared" si="30"/>
        <v>29811.658462003026</v>
      </c>
      <c r="O57" s="4406">
        <f t="shared" si="30"/>
        <v>29811.658462003026</v>
      </c>
      <c r="P57" s="4430">
        <f t="shared" si="30"/>
        <v>29811.658462003026</v>
      </c>
      <c r="Q57" s="4431">
        <f t="shared" si="30"/>
        <v>28506.950666781875</v>
      </c>
      <c r="R57" s="4406">
        <f t="shared" si="30"/>
        <v>28506.950666781875</v>
      </c>
      <c r="S57" s="4430">
        <f t="shared" si="30"/>
        <v>28506.950666781875</v>
      </c>
      <c r="T57" s="4431">
        <f t="shared" si="30"/>
        <v>29811.658462003026</v>
      </c>
      <c r="U57" s="2204">
        <f t="shared" ref="U57" si="31">SUM(I57:T57)</f>
        <v>360168.15164241061</v>
      </c>
    </row>
    <row r="58" spans="1:22" ht="24.75" customHeight="1" thickBot="1">
      <c r="A58" s="5135"/>
      <c r="B58" s="5447"/>
      <c r="C58" s="5433"/>
      <c r="D58" s="5434"/>
      <c r="E58" s="5152" t="s">
        <v>44</v>
      </c>
      <c r="F58" s="5153"/>
      <c r="G58" s="2602"/>
      <c r="H58" s="2611"/>
      <c r="I58" s="1617">
        <f t="shared" ref="I58:U58" si="32">SUM(I57:I57)</f>
        <v>36571.25375903229</v>
      </c>
      <c r="J58" s="1618">
        <f t="shared" si="32"/>
        <v>35390.25375903229</v>
      </c>
      <c r="K58" s="2225">
        <f t="shared" si="32"/>
        <v>24800.103804603219</v>
      </c>
      <c r="L58" s="1617">
        <f t="shared" si="32"/>
        <v>28827.396009382068</v>
      </c>
      <c r="M58" s="1618">
        <f t="shared" si="32"/>
        <v>29811.658462003026</v>
      </c>
      <c r="N58" s="1619">
        <f t="shared" si="32"/>
        <v>29811.658462003026</v>
      </c>
      <c r="O58" s="1850">
        <f t="shared" si="32"/>
        <v>29811.658462003026</v>
      </c>
      <c r="P58" s="1799">
        <f t="shared" si="32"/>
        <v>29811.658462003026</v>
      </c>
      <c r="Q58" s="1800">
        <f t="shared" si="32"/>
        <v>28506.950666781875</v>
      </c>
      <c r="R58" s="1850">
        <f t="shared" si="32"/>
        <v>28506.950666781875</v>
      </c>
      <c r="S58" s="1799">
        <f t="shared" si="32"/>
        <v>28506.950666781875</v>
      </c>
      <c r="T58" s="1800">
        <f t="shared" si="32"/>
        <v>29811.658462003026</v>
      </c>
      <c r="U58" s="2259">
        <f t="shared" si="32"/>
        <v>360168.15164241061</v>
      </c>
    </row>
    <row r="59" spans="1:22" ht="24.75" customHeight="1" thickBot="1">
      <c r="A59" s="5135"/>
      <c r="B59" s="5447"/>
      <c r="C59" s="5431" t="str">
        <f>C40</f>
        <v>Painting</v>
      </c>
      <c r="D59" s="5432"/>
      <c r="E59" s="5431" t="str">
        <f>E40</f>
        <v>Qualcomm</v>
      </c>
      <c r="F59" s="5441"/>
      <c r="G59" s="2569" t="str">
        <f>G40</f>
        <v>Ride5</v>
      </c>
      <c r="H59" s="2612">
        <v>12.1</v>
      </c>
      <c r="I59" s="4502">
        <f t="shared" ref="I59:T59" si="33">I40*$H$59</f>
        <v>2572.8421052631579</v>
      </c>
      <c r="J59" s="4474">
        <f t="shared" si="33"/>
        <v>2572.8421052631579</v>
      </c>
      <c r="K59" s="4475">
        <f t="shared" si="33"/>
        <v>2572.8421052631579</v>
      </c>
      <c r="L59" s="4455">
        <f t="shared" si="33"/>
        <v>2572.8421052631579</v>
      </c>
      <c r="M59" s="4474">
        <f t="shared" si="33"/>
        <v>2572.8421052631579</v>
      </c>
      <c r="N59" s="4475">
        <f t="shared" si="33"/>
        <v>2572.8421052631579</v>
      </c>
      <c r="O59" s="4406">
        <f t="shared" si="33"/>
        <v>3216.0526315789471</v>
      </c>
      <c r="P59" s="4430">
        <f t="shared" si="33"/>
        <v>3216.0526315789471</v>
      </c>
      <c r="Q59" s="4431">
        <f t="shared" si="33"/>
        <v>3216.0526315789471</v>
      </c>
      <c r="R59" s="4406">
        <f t="shared" si="33"/>
        <v>3216.0526315789471</v>
      </c>
      <c r="S59" s="4430">
        <f t="shared" si="33"/>
        <v>3216.0526315789471</v>
      </c>
      <c r="T59" s="4431">
        <f t="shared" si="33"/>
        <v>3216.0526315789471</v>
      </c>
      <c r="U59" s="2204">
        <f>SUM(I59:T59)</f>
        <v>34733.368421052633</v>
      </c>
    </row>
    <row r="60" spans="1:22" ht="24.75" customHeight="1" thickBot="1">
      <c r="A60" s="5136"/>
      <c r="B60" s="5448"/>
      <c r="C60" s="5433"/>
      <c r="D60" s="5434"/>
      <c r="E60" s="5152" t="s">
        <v>44</v>
      </c>
      <c r="F60" s="5153"/>
      <c r="G60" s="2602"/>
      <c r="H60" s="2611"/>
      <c r="I60" s="1617">
        <f t="shared" ref="I60:U60" si="34">SUM(I59:I59)</f>
        <v>2572.8421052631579</v>
      </c>
      <c r="J60" s="1618">
        <f t="shared" si="34"/>
        <v>2572.8421052631579</v>
      </c>
      <c r="K60" s="2225">
        <f t="shared" si="34"/>
        <v>2572.8421052631579</v>
      </c>
      <c r="L60" s="1621">
        <f t="shared" si="34"/>
        <v>2572.8421052631579</v>
      </c>
      <c r="M60" s="1618">
        <f t="shared" si="34"/>
        <v>2572.8421052631579</v>
      </c>
      <c r="N60" s="1619">
        <f t="shared" si="34"/>
        <v>2572.8421052631579</v>
      </c>
      <c r="O60" s="1850">
        <f t="shared" si="34"/>
        <v>3216.0526315789471</v>
      </c>
      <c r="P60" s="1799">
        <f t="shared" si="34"/>
        <v>3216.0526315789471</v>
      </c>
      <c r="Q60" s="1800">
        <f t="shared" si="34"/>
        <v>3216.0526315789471</v>
      </c>
      <c r="R60" s="1850">
        <f t="shared" si="34"/>
        <v>3216.0526315789471</v>
      </c>
      <c r="S60" s="1799">
        <f t="shared" si="34"/>
        <v>3216.0526315789471</v>
      </c>
      <c r="T60" s="1800">
        <f t="shared" si="34"/>
        <v>3216.0526315789471</v>
      </c>
      <c r="U60" s="2259">
        <f t="shared" si="34"/>
        <v>34733.368421052633</v>
      </c>
    </row>
    <row r="61" spans="1:22" ht="23.25" customHeight="1">
      <c r="A61" s="5392">
        <v>2</v>
      </c>
      <c r="B61" s="5446" t="s">
        <v>1317</v>
      </c>
      <c r="C61" s="5431" t="s">
        <v>1564</v>
      </c>
      <c r="D61" s="5432"/>
      <c r="E61" s="5432"/>
      <c r="F61" s="5441"/>
      <c r="G61" s="4281" t="str">
        <f>E19</f>
        <v>Glass Frame (ZF60A-T5)</v>
      </c>
      <c r="H61" s="4015">
        <v>50</v>
      </c>
      <c r="I61" s="4503">
        <f t="shared" ref="I61:T61" si="35">$H$61*I42</f>
        <v>0</v>
      </c>
      <c r="J61" s="4504">
        <f t="shared" si="35"/>
        <v>2500</v>
      </c>
      <c r="K61" s="4505">
        <f t="shared" si="35"/>
        <v>2750</v>
      </c>
      <c r="L61" s="4503">
        <f t="shared" si="35"/>
        <v>0</v>
      </c>
      <c r="M61" s="4504">
        <f t="shared" si="35"/>
        <v>0</v>
      </c>
      <c r="N61" s="4506">
        <f t="shared" si="35"/>
        <v>0</v>
      </c>
      <c r="O61" s="4507">
        <f t="shared" si="35"/>
        <v>0</v>
      </c>
      <c r="P61" s="4418">
        <f t="shared" si="35"/>
        <v>0</v>
      </c>
      <c r="Q61" s="4508">
        <f t="shared" si="35"/>
        <v>0</v>
      </c>
      <c r="R61" s="4507">
        <f t="shared" si="35"/>
        <v>0</v>
      </c>
      <c r="S61" s="4418">
        <f t="shared" si="35"/>
        <v>0</v>
      </c>
      <c r="T61" s="4509">
        <f t="shared" si="35"/>
        <v>0</v>
      </c>
      <c r="U61" s="4025">
        <f>SUM(I61:T61)</f>
        <v>5250</v>
      </c>
    </row>
    <row r="62" spans="1:22" ht="23.25" customHeight="1">
      <c r="A62" s="5393"/>
      <c r="B62" s="5447"/>
      <c r="C62" s="5453" t="s">
        <v>1565</v>
      </c>
      <c r="D62" s="5454"/>
      <c r="E62" s="5454"/>
      <c r="F62" s="5455"/>
      <c r="G62" s="4942" t="str">
        <f>'2. S Plan'!F78</f>
        <v>Others Part</v>
      </c>
      <c r="H62" s="4940">
        <f>0.138+0.318</f>
        <v>0.45600000000000002</v>
      </c>
      <c r="I62" s="4510">
        <f t="shared" ref="I62:T62" si="36">$H$62*I43</f>
        <v>0</v>
      </c>
      <c r="J62" s="4511">
        <f t="shared" si="36"/>
        <v>22.8</v>
      </c>
      <c r="K62" s="4512">
        <f t="shared" si="36"/>
        <v>25.080000000000002</v>
      </c>
      <c r="L62" s="4510">
        <f t="shared" si="36"/>
        <v>0</v>
      </c>
      <c r="M62" s="4511">
        <f t="shared" si="36"/>
        <v>0</v>
      </c>
      <c r="N62" s="4513">
        <f t="shared" si="36"/>
        <v>0</v>
      </c>
      <c r="O62" s="4514">
        <f t="shared" si="36"/>
        <v>0</v>
      </c>
      <c r="P62" s="4412">
        <f t="shared" si="36"/>
        <v>0</v>
      </c>
      <c r="Q62" s="4515">
        <f t="shared" si="36"/>
        <v>0</v>
      </c>
      <c r="R62" s="4514">
        <f t="shared" si="36"/>
        <v>0</v>
      </c>
      <c r="S62" s="4412">
        <f t="shared" si="36"/>
        <v>0</v>
      </c>
      <c r="T62" s="4516">
        <f t="shared" si="36"/>
        <v>0</v>
      </c>
      <c r="U62" s="2223">
        <f t="shared" ref="U62:U63" si="37">SUM(I62:T62)</f>
        <v>47.88</v>
      </c>
    </row>
    <row r="63" spans="1:22" ht="23.25" customHeight="1" thickBot="1">
      <c r="A63" s="4917"/>
      <c r="B63" s="5458"/>
      <c r="C63" s="5443" t="s">
        <v>1566</v>
      </c>
      <c r="D63" s="5444"/>
      <c r="E63" s="5444"/>
      <c r="F63" s="5444"/>
      <c r="G63" s="1791" t="str">
        <f>'2. S Plan'!F78</f>
        <v>Others Part</v>
      </c>
      <c r="H63" s="4941">
        <v>0.5</v>
      </c>
      <c r="I63" s="4510">
        <f>$H$62*I45</f>
        <v>0</v>
      </c>
      <c r="J63" s="4937">
        <f>$H$63*J45</f>
        <v>50</v>
      </c>
      <c r="K63" s="4938">
        <f t="shared" ref="K63:T63" si="38">$H$63*K45</f>
        <v>55</v>
      </c>
      <c r="L63" s="4936">
        <f t="shared" si="38"/>
        <v>0</v>
      </c>
      <c r="M63" s="4937">
        <f t="shared" si="38"/>
        <v>0</v>
      </c>
      <c r="N63" s="4939">
        <f t="shared" si="38"/>
        <v>0</v>
      </c>
      <c r="O63" s="4453">
        <f t="shared" si="38"/>
        <v>0</v>
      </c>
      <c r="P63" s="4384">
        <f t="shared" si="38"/>
        <v>0</v>
      </c>
      <c r="Q63" s="4447">
        <f t="shared" si="38"/>
        <v>0</v>
      </c>
      <c r="R63" s="4453">
        <f t="shared" si="38"/>
        <v>0</v>
      </c>
      <c r="S63" s="4384">
        <f t="shared" si="38"/>
        <v>0</v>
      </c>
      <c r="T63" s="4446">
        <f t="shared" si="38"/>
        <v>0</v>
      </c>
      <c r="U63" s="2223">
        <f t="shared" si="37"/>
        <v>105</v>
      </c>
    </row>
    <row r="64" spans="1:22" ht="23.25" customHeight="1" thickBot="1">
      <c r="A64" s="82"/>
      <c r="B64" s="4011"/>
      <c r="C64" s="4008"/>
      <c r="D64" s="4008"/>
      <c r="E64" s="5357" t="s">
        <v>44</v>
      </c>
      <c r="F64" s="5357"/>
      <c r="G64" s="4009"/>
      <c r="H64" s="4010"/>
      <c r="I64" s="1802">
        <f>SUM(I61:I63)</f>
        <v>0</v>
      </c>
      <c r="J64" s="1618">
        <f t="shared" ref="J64:T64" si="39">SUM(J61:J63)</f>
        <v>2572.8000000000002</v>
      </c>
      <c r="K64" s="1691">
        <f t="shared" si="39"/>
        <v>2830.08</v>
      </c>
      <c r="L64" s="1802">
        <f t="shared" si="39"/>
        <v>0</v>
      </c>
      <c r="M64" s="1618">
        <f t="shared" si="39"/>
        <v>0</v>
      </c>
      <c r="N64" s="1691">
        <f t="shared" si="39"/>
        <v>0</v>
      </c>
      <c r="O64" s="1798">
        <f t="shared" si="39"/>
        <v>0</v>
      </c>
      <c r="P64" s="1799">
        <f t="shared" si="39"/>
        <v>0</v>
      </c>
      <c r="Q64" s="2411">
        <f t="shared" si="39"/>
        <v>0</v>
      </c>
      <c r="R64" s="1798">
        <f t="shared" si="39"/>
        <v>0</v>
      </c>
      <c r="S64" s="1799">
        <f t="shared" si="39"/>
        <v>0</v>
      </c>
      <c r="T64" s="2410">
        <f t="shared" si="39"/>
        <v>0</v>
      </c>
      <c r="U64" s="2259">
        <f t="shared" ref="U64" si="40">SUM(U61:U62)</f>
        <v>5297.88</v>
      </c>
    </row>
    <row r="65" spans="1:21" ht="24.75" customHeight="1" thickBot="1">
      <c r="A65" s="5148" t="s">
        <v>144</v>
      </c>
      <c r="B65" s="5149"/>
      <c r="C65" s="5149"/>
      <c r="D65" s="5178"/>
      <c r="E65" s="5178"/>
      <c r="F65" s="5178"/>
      <c r="G65" s="5178"/>
      <c r="H65" s="5178"/>
      <c r="I65" s="1617">
        <f t="shared" ref="I65:T65" si="41">I58+I56+I60+I51</f>
        <v>65928.186773386362</v>
      </c>
      <c r="J65" s="1618">
        <f t="shared" si="41"/>
        <v>67264.232227931818</v>
      </c>
      <c r="K65" s="1619">
        <f t="shared" si="41"/>
        <v>27793.40045532092</v>
      </c>
      <c r="L65" s="1621">
        <f t="shared" si="41"/>
        <v>31540.38962979674</v>
      </c>
      <c r="M65" s="1618">
        <f t="shared" si="41"/>
        <v>32804.955112720731</v>
      </c>
      <c r="N65" s="1851">
        <f t="shared" si="41"/>
        <v>32524.652082417699</v>
      </c>
      <c r="O65" s="1850">
        <f t="shared" si="41"/>
        <v>33448.165639036517</v>
      </c>
      <c r="P65" s="1799">
        <f t="shared" si="41"/>
        <v>33167.862608733492</v>
      </c>
      <c r="Q65" s="1800">
        <f t="shared" si="41"/>
        <v>32143.457843815366</v>
      </c>
      <c r="R65" s="1801">
        <f t="shared" si="41"/>
        <v>31863.154813512338</v>
      </c>
      <c r="S65" s="1799">
        <f t="shared" si="41"/>
        <v>32143.457843815366</v>
      </c>
      <c r="T65" s="1800">
        <f t="shared" si="41"/>
        <v>33167.862608733492</v>
      </c>
      <c r="U65" s="2258">
        <f>+U58+U56+U60+U51</f>
        <v>453789.77763922082</v>
      </c>
    </row>
    <row r="66" spans="1:21" ht="17.25" customHeight="1">
      <c r="H66" s="2613"/>
      <c r="L66" s="4609"/>
      <c r="M66" s="4609"/>
      <c r="N66" s="4609"/>
      <c r="O66" s="4609"/>
      <c r="P66" s="4609"/>
      <c r="Q66" s="4609"/>
      <c r="R66" s="4609"/>
      <c r="S66" s="4609"/>
      <c r="T66" s="4609"/>
      <c r="U66" s="2614"/>
    </row>
    <row r="67" spans="1:21" ht="15" customHeight="1">
      <c r="H67" s="2613"/>
      <c r="S67" s="1541"/>
      <c r="T67" s="1719"/>
    </row>
    <row r="68" spans="1:21" ht="16.5" customHeight="1">
      <c r="H68" s="2613"/>
      <c r="I68" s="1715"/>
      <c r="J68" s="1715"/>
      <c r="K68" s="1715"/>
      <c r="L68" s="1715"/>
      <c r="M68" s="1715"/>
      <c r="N68" s="1715"/>
      <c r="O68" s="1715"/>
      <c r="P68" s="1715"/>
      <c r="Q68" s="1715"/>
      <c r="R68" s="1715"/>
      <c r="S68" s="5442" t="s">
        <v>1099</v>
      </c>
      <c r="T68" s="35" t="s">
        <v>1392</v>
      </c>
      <c r="U68" s="3026">
        <f>U65</f>
        <v>453789.77763922082</v>
      </c>
    </row>
    <row r="69" spans="1:21" ht="16.5">
      <c r="H69" s="2613"/>
      <c r="I69" s="1715"/>
      <c r="J69" s="1715"/>
      <c r="K69" s="1715"/>
      <c r="L69" s="1715"/>
      <c r="M69" s="1715"/>
      <c r="N69" s="1715"/>
      <c r="O69" s="1715"/>
      <c r="P69" s="1715"/>
      <c r="S69" s="5442"/>
      <c r="T69" s="35" t="s">
        <v>1098</v>
      </c>
      <c r="U69" s="3026">
        <v>857638.95334699983</v>
      </c>
    </row>
    <row r="70" spans="1:21" ht="16.5">
      <c r="H70" s="2613"/>
      <c r="N70" s="2562"/>
      <c r="S70" s="5445" t="s">
        <v>1096</v>
      </c>
      <c r="T70" s="5445"/>
      <c r="U70" s="4833">
        <f>(U68-U69)/U68</f>
        <v>-0.8899477150162991</v>
      </c>
    </row>
    <row r="71" spans="1:21" ht="15" customHeight="1">
      <c r="H71" s="2613"/>
      <c r="N71" s="2562"/>
      <c r="U71" s="2562"/>
    </row>
    <row r="72" spans="1:21" ht="15" customHeight="1">
      <c r="H72" s="2613"/>
      <c r="N72" s="2562"/>
      <c r="U72" s="2590"/>
    </row>
    <row r="73" spans="1:21" ht="15" customHeight="1">
      <c r="H73" s="2613"/>
      <c r="N73" s="2562"/>
    </row>
    <row r="74" spans="1:21" ht="15" customHeight="1">
      <c r="H74" s="2613"/>
      <c r="U74" s="1541"/>
    </row>
    <row r="76" spans="1:21" ht="15" customHeight="1">
      <c r="B76" s="9"/>
      <c r="C76" s="9"/>
      <c r="D76" s="9"/>
      <c r="E76" s="9"/>
      <c r="F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T76" s="9"/>
      <c r="U76" s="1541"/>
    </row>
    <row r="77" spans="1:21" ht="15" customHeight="1">
      <c r="B77" s="9"/>
      <c r="C77" s="9"/>
      <c r="D77" s="9"/>
      <c r="E77" s="9"/>
      <c r="F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T77" s="9"/>
      <c r="U77" s="2593"/>
    </row>
    <row r="78" spans="1:21" ht="15" customHeight="1">
      <c r="B78" s="9"/>
      <c r="C78" s="9"/>
      <c r="D78" s="9"/>
      <c r="E78" s="9"/>
      <c r="F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T78" s="9"/>
      <c r="U78" s="2593"/>
    </row>
  </sheetData>
  <mergeCells count="65">
    <mergeCell ref="A5:A17"/>
    <mergeCell ref="B5:B17"/>
    <mergeCell ref="E30:F30"/>
    <mergeCell ref="E18:F18"/>
    <mergeCell ref="C31:D32"/>
    <mergeCell ref="E32:F32"/>
    <mergeCell ref="B19:B26"/>
    <mergeCell ref="C19:C26"/>
    <mergeCell ref="A19:A26"/>
    <mergeCell ref="E23:F23"/>
    <mergeCell ref="E24:F24"/>
    <mergeCell ref="E25:F25"/>
    <mergeCell ref="E26:F26"/>
    <mergeCell ref="C12:C17"/>
    <mergeCell ref="C5:C11"/>
    <mergeCell ref="A27:H27"/>
    <mergeCell ref="E4:F4"/>
    <mergeCell ref="E52:F55"/>
    <mergeCell ref="E33:F36"/>
    <mergeCell ref="E19:F19"/>
    <mergeCell ref="E20:F20"/>
    <mergeCell ref="E21:F21"/>
    <mergeCell ref="E22:F22"/>
    <mergeCell ref="E31:F31"/>
    <mergeCell ref="E41:F41"/>
    <mergeCell ref="E37:F37"/>
    <mergeCell ref="E38:F38"/>
    <mergeCell ref="E39:F39"/>
    <mergeCell ref="E40:F40"/>
    <mergeCell ref="B31:B39"/>
    <mergeCell ref="C33:D36"/>
    <mergeCell ref="A31:A39"/>
    <mergeCell ref="A42:A43"/>
    <mergeCell ref="B42:B43"/>
    <mergeCell ref="C38:D38"/>
    <mergeCell ref="C40:D40"/>
    <mergeCell ref="C49:D49"/>
    <mergeCell ref="A46:H46"/>
    <mergeCell ref="E49:F49"/>
    <mergeCell ref="E45:F45"/>
    <mergeCell ref="C42:F42"/>
    <mergeCell ref="C43:F43"/>
    <mergeCell ref="C44:F44"/>
    <mergeCell ref="S70:T70"/>
    <mergeCell ref="A65:H65"/>
    <mergeCell ref="E60:F60"/>
    <mergeCell ref="A50:A60"/>
    <mergeCell ref="B50:B60"/>
    <mergeCell ref="E50:F50"/>
    <mergeCell ref="C50:D51"/>
    <mergeCell ref="E58:F58"/>
    <mergeCell ref="E64:F64"/>
    <mergeCell ref="A61:A62"/>
    <mergeCell ref="C61:F61"/>
    <mergeCell ref="C62:F62"/>
    <mergeCell ref="E56:F56"/>
    <mergeCell ref="E57:F57"/>
    <mergeCell ref="C57:D58"/>
    <mergeCell ref="B61:B63"/>
    <mergeCell ref="C59:D60"/>
    <mergeCell ref="E51:F51"/>
    <mergeCell ref="C52:D56"/>
    <mergeCell ref="E59:F59"/>
    <mergeCell ref="S68:S69"/>
    <mergeCell ref="C63:F63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84"/>
  <sheetViews>
    <sheetView showGridLines="0" zoomScale="70" zoomScaleNormal="70" workbookViewId="0">
      <selection activeCell="Q44" activeCellId="1" sqref="Q10 Q44"/>
    </sheetView>
  </sheetViews>
  <sheetFormatPr defaultColWidth="9" defaultRowHeight="15" customHeight="1"/>
  <cols>
    <col min="1" max="1" width="14.375" style="9" customWidth="1"/>
    <col min="2" max="2" width="18.75" style="2478" customWidth="1"/>
    <col min="3" max="3" width="7.75" style="4076" customWidth="1"/>
    <col min="4" max="4" width="50.25" style="2479" customWidth="1"/>
    <col min="5" max="9" width="13.625" style="1541" customWidth="1"/>
    <col min="10" max="10" width="13.625" style="1543" customWidth="1"/>
    <col min="11" max="16" width="13.625" style="1541" customWidth="1"/>
    <col min="17" max="17" width="17.375" style="9" customWidth="1"/>
    <col min="18" max="18" width="36.375" style="9" hidden="1" customWidth="1"/>
    <col min="19" max="21" width="13" style="9" hidden="1" customWidth="1"/>
    <col min="22" max="22" width="13" style="9" customWidth="1"/>
    <col min="23" max="23" width="14.625" style="4824" hidden="1" customWidth="1"/>
    <col min="24" max="16384" width="9" style="9"/>
  </cols>
  <sheetData>
    <row r="1" spans="1:23" ht="20.25" customHeight="1">
      <c r="A1" s="2477" t="s">
        <v>135</v>
      </c>
    </row>
    <row r="2" spans="1:23" ht="20.25" customHeight="1">
      <c r="A2" s="1539"/>
      <c r="E2" s="3651"/>
      <c r="G2" s="2562"/>
      <c r="Q2" s="1539"/>
      <c r="R2" s="1539"/>
    </row>
    <row r="3" spans="1:23" ht="20.25" customHeight="1" thickBot="1">
      <c r="A3" s="1547" t="s">
        <v>32</v>
      </c>
      <c r="Q3" s="1546" t="s">
        <v>87</v>
      </c>
      <c r="R3" s="1546"/>
    </row>
    <row r="4" spans="1:23" ht="20.25" customHeight="1">
      <c r="A4" s="5378" t="s">
        <v>117</v>
      </c>
      <c r="B4" s="5379"/>
      <c r="C4" s="5379"/>
      <c r="D4" s="5380"/>
      <c r="E4" s="78" t="str">
        <f>'2. S Plan'!L4</f>
        <v>Jan.26</v>
      </c>
      <c r="F4" s="79" t="str">
        <f>'2. S Plan'!M4</f>
        <v>Feb.26</v>
      </c>
      <c r="G4" s="2369" t="str">
        <f>'2. S Plan'!N4</f>
        <v>Mar.26</v>
      </c>
      <c r="H4" s="78" t="str">
        <f>'2. S Plan'!O4</f>
        <v>Apr.26</v>
      </c>
      <c r="I4" s="79" t="str">
        <f>'2. S Plan'!P4</f>
        <v>May.26</v>
      </c>
      <c r="J4" s="79" t="str">
        <f>'2. S Plan'!Q4</f>
        <v>Jun.26</v>
      </c>
      <c r="K4" s="78" t="str">
        <f>'2. S Plan'!R4</f>
        <v>Jul.26</v>
      </c>
      <c r="L4" s="79" t="str">
        <f>'2. S Plan'!S4</f>
        <v>Aug.26</v>
      </c>
      <c r="M4" s="2369" t="str">
        <f>'2. S Plan'!T4</f>
        <v>Sep.26</v>
      </c>
      <c r="N4" s="78" t="str">
        <f>'2. S Plan'!U4</f>
        <v>Oct.26</v>
      </c>
      <c r="O4" s="79" t="str">
        <f>'2. S Plan'!V4</f>
        <v>Nov.26</v>
      </c>
      <c r="P4" s="2369" t="str">
        <f>'2. S Plan'!W4</f>
        <v>Dec.26</v>
      </c>
      <c r="Q4" s="2369" t="str">
        <f>'2. S Plan'!X4</f>
        <v>2026
Total</v>
      </c>
      <c r="R4" s="1993"/>
      <c r="W4" s="4824" t="s">
        <v>1495</v>
      </c>
    </row>
    <row r="5" spans="1:23" ht="20.25" customHeight="1" thickBot="1">
      <c r="A5" s="5494" t="s">
        <v>17</v>
      </c>
      <c r="B5" s="5495"/>
      <c r="C5" s="5495"/>
      <c r="D5" s="5496"/>
      <c r="E5" s="2480">
        <f>'2. S Plan'!L172</f>
        <v>3689370.7909659981</v>
      </c>
      <c r="F5" s="2480">
        <f>'2. S Plan'!M172</f>
        <v>3451251.7566912733</v>
      </c>
      <c r="G5" s="2480">
        <f>'2. S Plan'!N172</f>
        <v>4023114.0734396363</v>
      </c>
      <c r="H5" s="2480">
        <f>'2. S Plan'!O172</f>
        <v>3850246.6333384831</v>
      </c>
      <c r="I5" s="2480">
        <f>'2. S Plan'!P172</f>
        <v>3814590.8696524575</v>
      </c>
      <c r="J5" s="2480">
        <f>'2. S Plan'!Q172</f>
        <v>3948595.7484216876</v>
      </c>
      <c r="K5" s="2482">
        <f>'2. S Plan'!R172</f>
        <v>3843433.8374575851</v>
      </c>
      <c r="L5" s="2483">
        <f>'2. S Plan'!S172</f>
        <v>3689063.8304375857</v>
      </c>
      <c r="M5" s="2484">
        <f>'2. S Plan'!T172</f>
        <v>3689997.7635553544</v>
      </c>
      <c r="N5" s="2482">
        <f>'2. S Plan'!U172</f>
        <v>3676789.6920349244</v>
      </c>
      <c r="O5" s="2483">
        <f>'2. S Plan'!V172</f>
        <v>3418162.2204263574</v>
      </c>
      <c r="P5" s="2484">
        <f>'2. S Plan'!W172</f>
        <v>3231984.2069586907</v>
      </c>
      <c r="Q5" s="1644">
        <f>'2. S Plan'!X172</f>
        <v>44326601.42338004</v>
      </c>
      <c r="R5" s="1555"/>
    </row>
    <row r="6" spans="1:23" ht="20.25" customHeight="1">
      <c r="A6" s="2095"/>
      <c r="B6" s="2485"/>
      <c r="C6" s="4077"/>
      <c r="E6" s="2590"/>
      <c r="F6" s="2590"/>
      <c r="G6" s="2590"/>
      <c r="H6" s="2590"/>
      <c r="J6" s="1541"/>
      <c r="K6" s="1542"/>
      <c r="L6" s="1542"/>
      <c r="M6" s="1542"/>
      <c r="N6" s="1542"/>
      <c r="O6" s="1542"/>
      <c r="P6" s="1542"/>
      <c r="Q6" s="1542"/>
      <c r="R6" s="5" t="e">
        <f>#REF!/'4. L PLAN'!#REF!</f>
        <v>#REF!</v>
      </c>
    </row>
    <row r="7" spans="1:23" ht="20.25" customHeight="1" thickBot="1">
      <c r="A7" s="2498" t="s">
        <v>33</v>
      </c>
      <c r="B7" s="2615"/>
      <c r="C7" s="4078"/>
      <c r="E7" s="1626"/>
      <c r="F7" s="1626"/>
      <c r="G7" s="2616"/>
      <c r="H7" s="2616"/>
      <c r="I7" s="2616"/>
      <c r="J7" s="2616"/>
      <c r="K7" s="2617"/>
      <c r="L7" s="2617"/>
      <c r="M7" s="2617"/>
      <c r="N7" s="2617"/>
      <c r="O7" s="2617"/>
      <c r="P7" s="2617"/>
      <c r="Q7" s="1808" t="s">
        <v>87</v>
      </c>
      <c r="R7" s="1954"/>
    </row>
    <row r="8" spans="1:23" s="1537" customFormat="1" ht="20.25" customHeight="1" thickBot="1">
      <c r="A8" s="1548" t="s">
        <v>117</v>
      </c>
      <c r="B8" s="2501" t="s">
        <v>116</v>
      </c>
      <c r="C8" s="81" t="s">
        <v>1029</v>
      </c>
      <c r="D8" s="2502" t="s">
        <v>31</v>
      </c>
      <c r="E8" s="1548" t="str">
        <f>E4</f>
        <v>Jan.26</v>
      </c>
      <c r="F8" s="81" t="str">
        <f t="shared" ref="F8:Q8" si="0">F4</f>
        <v>Feb.26</v>
      </c>
      <c r="G8" s="1549" t="str">
        <f t="shared" si="0"/>
        <v>Mar.26</v>
      </c>
      <c r="H8" s="1548" t="str">
        <f t="shared" si="0"/>
        <v>Apr.26</v>
      </c>
      <c r="I8" s="81" t="str">
        <f t="shared" si="0"/>
        <v>May.26</v>
      </c>
      <c r="J8" s="81" t="str">
        <f t="shared" si="0"/>
        <v>Jun.26</v>
      </c>
      <c r="K8" s="1548" t="str">
        <f t="shared" si="0"/>
        <v>Jul.26</v>
      </c>
      <c r="L8" s="81" t="str">
        <f t="shared" si="0"/>
        <v>Aug.26</v>
      </c>
      <c r="M8" s="1549" t="str">
        <f t="shared" si="0"/>
        <v>Sep.26</v>
      </c>
      <c r="N8" s="1548" t="str">
        <f t="shared" si="0"/>
        <v>Oct.26</v>
      </c>
      <c r="O8" s="81" t="str">
        <f t="shared" si="0"/>
        <v>Nov.26</v>
      </c>
      <c r="P8" s="72" t="str">
        <f t="shared" si="0"/>
        <v>Dec.26</v>
      </c>
      <c r="Q8" s="4052" t="str">
        <f t="shared" si="0"/>
        <v>2026
Total</v>
      </c>
      <c r="R8" s="1651"/>
      <c r="W8" s="4825"/>
    </row>
    <row r="9" spans="1:23" ht="16.5" customHeight="1">
      <c r="A9" s="5382" t="s">
        <v>192</v>
      </c>
      <c r="B9" s="1628" t="s">
        <v>10</v>
      </c>
      <c r="C9" s="4079">
        <v>1</v>
      </c>
      <c r="D9" s="1636" t="s">
        <v>150</v>
      </c>
      <c r="E9" s="2166">
        <f>'5. M Plan'!F70</f>
        <v>881247.30777556379</v>
      </c>
      <c r="F9" s="2164">
        <f>'5. M Plan'!G70</f>
        <v>781307.05615305214</v>
      </c>
      <c r="G9" s="2165">
        <f>'5. M Plan'!H70</f>
        <v>935807.37524065911</v>
      </c>
      <c r="H9" s="3622">
        <f>'5. M Plan'!I70</f>
        <v>899902.73971175333</v>
      </c>
      <c r="I9" s="2164">
        <f>'5. M Plan'!J70</f>
        <v>886741.8200573225</v>
      </c>
      <c r="J9" s="2164">
        <f>'5. M Plan'!K70</f>
        <v>903602.25102263223</v>
      </c>
      <c r="K9" s="2509">
        <f>'5. M Plan'!L70</f>
        <v>864111.41304447537</v>
      </c>
      <c r="L9" s="2507">
        <f>'5. M Plan'!M70</f>
        <v>828501.78110623162</v>
      </c>
      <c r="M9" s="2508">
        <f>'5. M Plan'!N70</f>
        <v>843775.87180946337</v>
      </c>
      <c r="N9" s="2509">
        <f>'5. M Plan'!O70</f>
        <v>833483.10087431129</v>
      </c>
      <c r="O9" s="2507">
        <f>'5. M Plan'!P70</f>
        <v>749979.45559294382</v>
      </c>
      <c r="P9" s="4045">
        <f>'5. M Plan'!Q70</f>
        <v>711405.46655823593</v>
      </c>
      <c r="Q9" s="2606">
        <f t="shared" ref="Q9:Q32" si="1">SUM(E9:P9)</f>
        <v>10119865.638946643</v>
      </c>
      <c r="R9" s="1652" t="s">
        <v>1338</v>
      </c>
      <c r="S9" s="1578"/>
      <c r="W9" s="4824">
        <v>1124502.1853626608</v>
      </c>
    </row>
    <row r="10" spans="1:23" ht="16.5" customHeight="1">
      <c r="A10" s="5383"/>
      <c r="B10" s="1614" t="s">
        <v>11</v>
      </c>
      <c r="C10" s="4080">
        <v>2</v>
      </c>
      <c r="D10" s="2619" t="s">
        <v>491</v>
      </c>
      <c r="E10" s="3652">
        <f>'4. L PLAN'!F86</f>
        <v>497959.22197614791</v>
      </c>
      <c r="F10" s="1675">
        <f>'4. L PLAN'!G86</f>
        <v>527929.66603800189</v>
      </c>
      <c r="G10" s="1676">
        <f>'4. L PLAN'!H86</f>
        <v>497159.65989973751</v>
      </c>
      <c r="H10" s="1678">
        <f>'4. L PLAN'!I86</f>
        <v>489290.44620196865</v>
      </c>
      <c r="I10" s="1675">
        <f>'4. L PLAN'!J86</f>
        <v>481964.22654896247</v>
      </c>
      <c r="J10" s="1675">
        <f>'4. L PLAN'!K86</f>
        <v>475235.76933454076</v>
      </c>
      <c r="K10" s="2594">
        <f>'4. L PLAN'!L86</f>
        <v>469042.65984645067</v>
      </c>
      <c r="L10" s="1783">
        <f>'4. L PLAN'!M86</f>
        <v>463329.00033646089</v>
      </c>
      <c r="M10" s="1784">
        <f>'4. L PLAN'!N86</f>
        <v>458044.7295586798</v>
      </c>
      <c r="N10" s="2594">
        <f>'4. L PLAN'!O86</f>
        <v>453200.74561955844</v>
      </c>
      <c r="O10" s="1783">
        <f>'4. L PLAN'!P86</f>
        <v>448751.07644964289</v>
      </c>
      <c r="P10" s="3573">
        <f>'4. L PLAN'!Q86</f>
        <v>444654.55010290828</v>
      </c>
      <c r="Q10" s="2223">
        <f t="shared" si="1"/>
        <v>5706561.7519130604</v>
      </c>
      <c r="R10" s="1652" t="s">
        <v>165</v>
      </c>
      <c r="S10" s="1578"/>
      <c r="T10" s="1578"/>
      <c r="W10" s="4824">
        <v>581298.83492548065</v>
      </c>
    </row>
    <row r="11" spans="1:23" ht="16.5" customHeight="1">
      <c r="A11" s="5383"/>
      <c r="B11" s="1599" t="s">
        <v>217</v>
      </c>
      <c r="C11" s="4081">
        <v>3</v>
      </c>
      <c r="D11" s="13" t="s">
        <v>1192</v>
      </c>
      <c r="E11" s="2620">
        <f>'4. L PLAN'!F96</f>
        <v>39188.63081142852</v>
      </c>
      <c r="F11" s="2621">
        <f>'4. L PLAN'!G96</f>
        <v>19105.085091599547</v>
      </c>
      <c r="G11" s="1564">
        <f>'4. L PLAN'!H96</f>
        <v>37098.696264140592</v>
      </c>
      <c r="H11" s="2622">
        <f>'4. L PLAN'!I96</f>
        <v>34725.261919855751</v>
      </c>
      <c r="I11" s="2622">
        <f>'4. L PLAN'!J96</f>
        <v>33844.015447369151</v>
      </c>
      <c r="J11" s="2622">
        <f>'4. L PLAN'!K96</f>
        <v>33034.671820461503</v>
      </c>
      <c r="K11" s="2620">
        <f>'4. L PLAN'!L96</f>
        <v>34872.901252593947</v>
      </c>
      <c r="L11" s="2621">
        <f>'4. L PLAN'!M96</f>
        <v>32866.544233947076</v>
      </c>
      <c r="M11" s="2623">
        <f>'4. L PLAN'!N96</f>
        <v>30966.819110825927</v>
      </c>
      <c r="N11" s="2620">
        <f>'4. L PLAN'!O96</f>
        <v>32814.884672912507</v>
      </c>
      <c r="O11" s="2621">
        <f>'4. L PLAN'!P96</f>
        <v>29848.916644512035</v>
      </c>
      <c r="P11" s="4046">
        <f>'4. L PLAN'!Q96</f>
        <v>31704.651918552008</v>
      </c>
      <c r="Q11" s="2200">
        <f t="shared" si="1"/>
        <v>390071.07918819861</v>
      </c>
      <c r="R11" s="1652" t="s">
        <v>1345</v>
      </c>
      <c r="S11" s="1578"/>
      <c r="W11" s="4824">
        <v>35512.485754807698</v>
      </c>
    </row>
    <row r="12" spans="1:23" ht="16.5" customHeight="1">
      <c r="A12" s="5383"/>
      <c r="B12" s="1636"/>
      <c r="C12" s="4081">
        <v>4</v>
      </c>
      <c r="D12" s="13" t="s">
        <v>441</v>
      </c>
      <c r="E12" s="2620">
        <f t="shared" ref="E12:P12" si="2">E5*0.6%</f>
        <v>22136.224745795989</v>
      </c>
      <c r="F12" s="2621">
        <f t="shared" si="2"/>
        <v>20707.510540147639</v>
      </c>
      <c r="G12" s="2623">
        <f t="shared" si="2"/>
        <v>24138.684440637819</v>
      </c>
      <c r="H12" s="2622">
        <f t="shared" si="2"/>
        <v>23101.479800030898</v>
      </c>
      <c r="I12" s="2622">
        <f t="shared" si="2"/>
        <v>22887.545217914747</v>
      </c>
      <c r="J12" s="2622">
        <f t="shared" si="2"/>
        <v>23691.574490530125</v>
      </c>
      <c r="K12" s="2624">
        <f t="shared" si="2"/>
        <v>23060.603024745513</v>
      </c>
      <c r="L12" s="2622">
        <f t="shared" si="2"/>
        <v>22134.382982625513</v>
      </c>
      <c r="M12" s="2626">
        <f t="shared" si="2"/>
        <v>22139.986581332127</v>
      </c>
      <c r="N12" s="2622">
        <f t="shared" si="2"/>
        <v>22060.738152209546</v>
      </c>
      <c r="O12" s="2625">
        <f t="shared" si="2"/>
        <v>20508.973322558144</v>
      </c>
      <c r="P12" s="3522">
        <f t="shared" si="2"/>
        <v>19391.905241752145</v>
      </c>
      <c r="Q12" s="2200">
        <f t="shared" ref="Q12:Q21" si="3">SUM(E12:P12)</f>
        <v>265959.6085402802</v>
      </c>
      <c r="R12" s="4039" t="s">
        <v>1339</v>
      </c>
      <c r="S12" s="1578"/>
      <c r="W12" s="4824">
        <v>21193.40939519231</v>
      </c>
    </row>
    <row r="13" spans="1:23" ht="16.5" customHeight="1">
      <c r="A13" s="5383"/>
      <c r="B13" s="1636"/>
      <c r="C13" s="4081">
        <v>5</v>
      </c>
      <c r="D13" s="13" t="s">
        <v>442</v>
      </c>
      <c r="E13" s="2620">
        <f t="shared" ref="E13:P13" si="4">E5*0.11%</f>
        <v>4058.3078700625983</v>
      </c>
      <c r="F13" s="2621">
        <f t="shared" si="4"/>
        <v>3796.376932360401</v>
      </c>
      <c r="G13" s="2623">
        <f t="shared" si="4"/>
        <v>4425.4254807836005</v>
      </c>
      <c r="H13" s="2622">
        <f t="shared" si="4"/>
        <v>4235.271296672332</v>
      </c>
      <c r="I13" s="2622">
        <f t="shared" si="4"/>
        <v>4196.0499566177032</v>
      </c>
      <c r="J13" s="2622">
        <f t="shared" si="4"/>
        <v>4343.4553232638564</v>
      </c>
      <c r="K13" s="2624">
        <f t="shared" si="4"/>
        <v>4227.7772212033442</v>
      </c>
      <c r="L13" s="2625">
        <f t="shared" si="4"/>
        <v>4057.9702134813447</v>
      </c>
      <c r="M13" s="2626">
        <f t="shared" si="4"/>
        <v>4058.9975399108903</v>
      </c>
      <c r="N13" s="2624">
        <f t="shared" si="4"/>
        <v>4044.4686612384171</v>
      </c>
      <c r="O13" s="2625">
        <f t="shared" si="4"/>
        <v>3759.9784424689933</v>
      </c>
      <c r="P13" s="4047">
        <f t="shared" si="4"/>
        <v>3555.1826276545598</v>
      </c>
      <c r="Q13" s="2200">
        <f t="shared" si="3"/>
        <v>48759.261565718036</v>
      </c>
      <c r="R13" s="1652" t="s">
        <v>1342</v>
      </c>
      <c r="S13" s="1578"/>
      <c r="W13" s="4824">
        <v>8493.6306899038464</v>
      </c>
    </row>
    <row r="14" spans="1:23" ht="16.5" customHeight="1">
      <c r="A14" s="5383"/>
      <c r="B14" s="1636"/>
      <c r="C14" s="4081">
        <v>6</v>
      </c>
      <c r="D14" s="13" t="s">
        <v>443</v>
      </c>
      <c r="E14" s="2620">
        <f t="shared" ref="E14:P14" si="5">E5*0.09%</f>
        <v>3320.4337118693984</v>
      </c>
      <c r="F14" s="2621">
        <f t="shared" si="5"/>
        <v>3106.1265810221457</v>
      </c>
      <c r="G14" s="2623">
        <f t="shared" si="5"/>
        <v>3620.8026660956725</v>
      </c>
      <c r="H14" s="2622">
        <f t="shared" si="5"/>
        <v>3465.2219700046348</v>
      </c>
      <c r="I14" s="2622">
        <f t="shared" si="5"/>
        <v>3433.1317826872119</v>
      </c>
      <c r="J14" s="2622">
        <f t="shared" si="5"/>
        <v>3553.7361735795189</v>
      </c>
      <c r="K14" s="2624">
        <f t="shared" si="5"/>
        <v>3459.0904537118267</v>
      </c>
      <c r="L14" s="2625">
        <f t="shared" si="5"/>
        <v>3320.1574473938272</v>
      </c>
      <c r="M14" s="2626">
        <f t="shared" si="5"/>
        <v>3320.9979871998189</v>
      </c>
      <c r="N14" s="2624">
        <f t="shared" si="5"/>
        <v>3309.1107228314318</v>
      </c>
      <c r="O14" s="2625">
        <f t="shared" si="5"/>
        <v>3076.3459983837215</v>
      </c>
      <c r="P14" s="4047">
        <f t="shared" si="5"/>
        <v>2908.7857862628216</v>
      </c>
      <c r="Q14" s="2200">
        <f t="shared" si="3"/>
        <v>39893.941281042033</v>
      </c>
      <c r="R14" s="1652" t="s">
        <v>1346</v>
      </c>
      <c r="S14" s="1578"/>
      <c r="W14" s="4824">
        <v>738.71645317307684</v>
      </c>
    </row>
    <row r="15" spans="1:23" ht="16.5" customHeight="1">
      <c r="A15" s="5383"/>
      <c r="B15" s="1636"/>
      <c r="C15" s="4081">
        <v>7</v>
      </c>
      <c r="D15" s="13" t="s">
        <v>444</v>
      </c>
      <c r="E15" s="2620">
        <f>+'9. C Plan'!D16</f>
        <v>31500</v>
      </c>
      <c r="F15" s="2621">
        <f>+'9. C Plan'!E16</f>
        <v>31500</v>
      </c>
      <c r="G15" s="2623">
        <f>+'9. C Plan'!F16</f>
        <v>31500</v>
      </c>
      <c r="H15" s="2622">
        <f>+'9. C Plan'!G16</f>
        <v>31500</v>
      </c>
      <c r="I15" s="2622">
        <f>+'9. C Plan'!H16</f>
        <v>31500</v>
      </c>
      <c r="J15" s="2622">
        <f>+'9. C Plan'!I16</f>
        <v>31500</v>
      </c>
      <c r="K15" s="2624">
        <f>+'9. C Plan'!J16</f>
        <v>31500</v>
      </c>
      <c r="L15" s="2625">
        <f>+'9. C Plan'!K16</f>
        <v>31500</v>
      </c>
      <c r="M15" s="2626">
        <f>+'9. C Plan'!L16</f>
        <v>31500</v>
      </c>
      <c r="N15" s="2624">
        <f>+'9. C Plan'!M16</f>
        <v>31500</v>
      </c>
      <c r="O15" s="2625">
        <f>+'9. C Plan'!N16</f>
        <v>31500</v>
      </c>
      <c r="P15" s="4047">
        <f>+'9. C Plan'!O16</f>
        <v>31500</v>
      </c>
      <c r="Q15" s="2200">
        <f t="shared" si="3"/>
        <v>378000</v>
      </c>
      <c r="R15" s="1652" t="s">
        <v>384</v>
      </c>
      <c r="S15" s="1578"/>
      <c r="W15" s="4824">
        <v>33672.84943271635</v>
      </c>
    </row>
    <row r="16" spans="1:23" ht="16.5" customHeight="1">
      <c r="A16" s="5383"/>
      <c r="B16" s="1636"/>
      <c r="C16" s="4081">
        <v>8</v>
      </c>
      <c r="D16" s="13" t="s">
        <v>490</v>
      </c>
      <c r="E16" s="2620">
        <f>'6. O Plan'!I65</f>
        <v>65928.186773386362</v>
      </c>
      <c r="F16" s="2621">
        <f>'6. O Plan'!J65</f>
        <v>67264.232227931818</v>
      </c>
      <c r="G16" s="2623">
        <f>'6. O Plan'!K65</f>
        <v>27793.40045532092</v>
      </c>
      <c r="H16" s="2622">
        <f>'6. O Plan'!L65</f>
        <v>31540.38962979674</v>
      </c>
      <c r="I16" s="2622">
        <f>'6. O Plan'!M65</f>
        <v>32804.955112720731</v>
      </c>
      <c r="J16" s="2622">
        <f>'6. O Plan'!N65</f>
        <v>32524.652082417699</v>
      </c>
      <c r="K16" s="2620">
        <f>'6. O Plan'!O65</f>
        <v>33448.165639036517</v>
      </c>
      <c r="L16" s="2621">
        <f>'6. O Plan'!P65</f>
        <v>33167.862608733492</v>
      </c>
      <c r="M16" s="2623">
        <f>'6. O Plan'!Q65</f>
        <v>32143.457843815366</v>
      </c>
      <c r="N16" s="2620">
        <f>'6. O Plan'!R65</f>
        <v>31863.154813512338</v>
      </c>
      <c r="O16" s="2621">
        <f>'6. O Plan'!S65</f>
        <v>32143.457843815366</v>
      </c>
      <c r="P16" s="4046">
        <f>'6. O Plan'!T65</f>
        <v>33167.862608733492</v>
      </c>
      <c r="Q16" s="2200">
        <f t="shared" si="3"/>
        <v>453789.77763922082</v>
      </c>
      <c r="R16" s="1652" t="s">
        <v>1341</v>
      </c>
      <c r="S16" s="1578"/>
      <c r="W16" s="4824">
        <v>1339.4177403846154</v>
      </c>
    </row>
    <row r="17" spans="1:23" ht="16.5" customHeight="1">
      <c r="A17" s="5383"/>
      <c r="B17" s="1636"/>
      <c r="C17" s="4081">
        <v>9</v>
      </c>
      <c r="D17" s="13" t="s">
        <v>450</v>
      </c>
      <c r="E17" s="2620">
        <f t="shared" ref="E17:P17" si="6">E5*5.5%</f>
        <v>202915.39350312989</v>
      </c>
      <c r="F17" s="2621">
        <f t="shared" si="6"/>
        <v>189818.84661802003</v>
      </c>
      <c r="G17" s="2623">
        <f t="shared" si="6"/>
        <v>221271.27403917999</v>
      </c>
      <c r="H17" s="2622">
        <f t="shared" si="6"/>
        <v>211763.56483361658</v>
      </c>
      <c r="I17" s="2622">
        <f t="shared" si="6"/>
        <v>209802.49783088517</v>
      </c>
      <c r="J17" s="2622">
        <f t="shared" si="6"/>
        <v>217172.76616319283</v>
      </c>
      <c r="K17" s="2620">
        <f t="shared" si="6"/>
        <v>211388.8610601672</v>
      </c>
      <c r="L17" s="2621">
        <f t="shared" si="6"/>
        <v>202898.51067406722</v>
      </c>
      <c r="M17" s="2623">
        <f t="shared" si="6"/>
        <v>202949.8769955445</v>
      </c>
      <c r="N17" s="2620">
        <f t="shared" si="6"/>
        <v>202223.43306192083</v>
      </c>
      <c r="O17" s="2621">
        <f t="shared" si="6"/>
        <v>187998.92212344965</v>
      </c>
      <c r="P17" s="4046">
        <f t="shared" si="6"/>
        <v>177759.131382728</v>
      </c>
      <c r="Q17" s="2200">
        <f t="shared" si="3"/>
        <v>2437963.0782859023</v>
      </c>
      <c r="R17" s="1652" t="s">
        <v>1340</v>
      </c>
      <c r="S17" s="1578"/>
      <c r="W17" s="4824">
        <v>205559.25764329039</v>
      </c>
    </row>
    <row r="18" spans="1:23" ht="16.5" customHeight="1">
      <c r="A18" s="5383"/>
      <c r="B18" s="1636"/>
      <c r="C18" s="4081">
        <v>10</v>
      </c>
      <c r="D18" s="13" t="s">
        <v>445</v>
      </c>
      <c r="E18" s="2620">
        <f t="shared" ref="E18:P18" si="7">E5*1.2%</f>
        <v>44272.449491591979</v>
      </c>
      <c r="F18" s="2621">
        <f t="shared" si="7"/>
        <v>41415.021080295279</v>
      </c>
      <c r="G18" s="2623">
        <f t="shared" si="7"/>
        <v>48277.368881275637</v>
      </c>
      <c r="H18" s="2622">
        <f t="shared" si="7"/>
        <v>46202.959600061797</v>
      </c>
      <c r="I18" s="2622">
        <f t="shared" si="7"/>
        <v>45775.090435829494</v>
      </c>
      <c r="J18" s="2622">
        <f t="shared" si="7"/>
        <v>47383.148981060251</v>
      </c>
      <c r="K18" s="2624">
        <f t="shared" si="7"/>
        <v>46121.206049491026</v>
      </c>
      <c r="L18" s="2625">
        <f t="shared" si="7"/>
        <v>44268.765965251027</v>
      </c>
      <c r="M18" s="2626">
        <f t="shared" si="7"/>
        <v>44279.973162664253</v>
      </c>
      <c r="N18" s="2624">
        <f t="shared" si="7"/>
        <v>44121.476304419091</v>
      </c>
      <c r="O18" s="2625">
        <f t="shared" si="7"/>
        <v>41017.946645116288</v>
      </c>
      <c r="P18" s="4047">
        <f t="shared" si="7"/>
        <v>38783.81048350429</v>
      </c>
      <c r="Q18" s="2200">
        <f t="shared" si="3"/>
        <v>531919.2170805604</v>
      </c>
      <c r="R18" s="1652" t="s">
        <v>1340</v>
      </c>
      <c r="S18" s="1578"/>
      <c r="W18" s="4824">
        <v>54870.962024074986</v>
      </c>
    </row>
    <row r="19" spans="1:23" ht="16.5" customHeight="1">
      <c r="A19" s="5383"/>
      <c r="B19" s="1636"/>
      <c r="C19" s="4081">
        <v>11</v>
      </c>
      <c r="D19" s="13" t="s">
        <v>446</v>
      </c>
      <c r="E19" s="2620">
        <v>4168.0549019607843</v>
      </c>
      <c r="F19" s="2621">
        <f t="shared" ref="F19:P19" si="8">+E19</f>
        <v>4168.0549019607843</v>
      </c>
      <c r="G19" s="2623">
        <f t="shared" si="8"/>
        <v>4168.0549019607843</v>
      </c>
      <c r="H19" s="2622">
        <f t="shared" si="8"/>
        <v>4168.0549019607843</v>
      </c>
      <c r="I19" s="2622">
        <f t="shared" si="8"/>
        <v>4168.0549019607843</v>
      </c>
      <c r="J19" s="2622">
        <f t="shared" si="8"/>
        <v>4168.0549019607843</v>
      </c>
      <c r="K19" s="2624">
        <f t="shared" si="8"/>
        <v>4168.0549019607843</v>
      </c>
      <c r="L19" s="2625">
        <f t="shared" si="8"/>
        <v>4168.0549019607843</v>
      </c>
      <c r="M19" s="2626">
        <f t="shared" si="8"/>
        <v>4168.0549019607843</v>
      </c>
      <c r="N19" s="2624">
        <f t="shared" si="8"/>
        <v>4168.0549019607843</v>
      </c>
      <c r="O19" s="2625">
        <f t="shared" si="8"/>
        <v>4168.0549019607843</v>
      </c>
      <c r="P19" s="4047">
        <f t="shared" si="8"/>
        <v>4168.0549019607843</v>
      </c>
      <c r="Q19" s="2200">
        <f t="shared" si="3"/>
        <v>50016.658823529426</v>
      </c>
      <c r="R19" s="1652" t="s">
        <v>1346</v>
      </c>
      <c r="S19" s="1578"/>
      <c r="W19" s="4824">
        <v>4010.4831730769238</v>
      </c>
    </row>
    <row r="20" spans="1:23" ht="16.5" customHeight="1">
      <c r="A20" s="5383"/>
      <c r="B20" s="1636"/>
      <c r="C20" s="4081">
        <v>12</v>
      </c>
      <c r="D20" s="13" t="s">
        <v>1012</v>
      </c>
      <c r="E20" s="2620">
        <f t="shared" ref="E20:P20" si="9">E5*0.7%</f>
        <v>25825.595536761983</v>
      </c>
      <c r="F20" s="2621">
        <f t="shared" si="9"/>
        <v>24158.762296838911</v>
      </c>
      <c r="G20" s="2623">
        <f t="shared" si="9"/>
        <v>28161.798514077451</v>
      </c>
      <c r="H20" s="2622">
        <f t="shared" si="9"/>
        <v>26951.726433369378</v>
      </c>
      <c r="I20" s="2622">
        <f t="shared" si="9"/>
        <v>26702.1360875672</v>
      </c>
      <c r="J20" s="2622">
        <f t="shared" si="9"/>
        <v>27640.17023895181</v>
      </c>
      <c r="K20" s="2624">
        <f t="shared" si="9"/>
        <v>26904.036862203095</v>
      </c>
      <c r="L20" s="2625">
        <f t="shared" si="9"/>
        <v>25823.446813063096</v>
      </c>
      <c r="M20" s="2626">
        <f t="shared" si="9"/>
        <v>25829.984344887478</v>
      </c>
      <c r="N20" s="2624">
        <f t="shared" si="9"/>
        <v>25737.527844244469</v>
      </c>
      <c r="O20" s="2625">
        <f t="shared" si="9"/>
        <v>23927.135542984499</v>
      </c>
      <c r="P20" s="4047">
        <f t="shared" si="9"/>
        <v>22623.889448710834</v>
      </c>
      <c r="Q20" s="2200">
        <f t="shared" si="3"/>
        <v>310286.20996366022</v>
      </c>
      <c r="R20" s="1652" t="s">
        <v>1343</v>
      </c>
      <c r="S20" s="1578"/>
      <c r="W20" s="4824">
        <v>27609.910656249998</v>
      </c>
    </row>
    <row r="21" spans="1:23" ht="16.5" customHeight="1">
      <c r="A21" s="5383"/>
      <c r="B21" s="1636"/>
      <c r="C21" s="4081">
        <v>13</v>
      </c>
      <c r="D21" s="13" t="s">
        <v>448</v>
      </c>
      <c r="E21" s="2620">
        <f t="shared" ref="E21:P21" si="10">E5*0.0744%</f>
        <v>2744.8918684787027</v>
      </c>
      <c r="F21" s="2621">
        <f t="shared" si="10"/>
        <v>2567.7313069783072</v>
      </c>
      <c r="G21" s="2623">
        <f t="shared" si="10"/>
        <v>2993.1968706390894</v>
      </c>
      <c r="H21" s="2620">
        <f t="shared" si="10"/>
        <v>2864.5834952038313</v>
      </c>
      <c r="I21" s="2622">
        <f t="shared" si="10"/>
        <v>2838.0556070214284</v>
      </c>
      <c r="J21" s="2622">
        <f t="shared" si="10"/>
        <v>2937.7552368257357</v>
      </c>
      <c r="K21" s="2624">
        <f t="shared" si="10"/>
        <v>2859.5147750684432</v>
      </c>
      <c r="L21" s="2625">
        <f t="shared" si="10"/>
        <v>2744.6634898455636</v>
      </c>
      <c r="M21" s="2626">
        <f t="shared" si="10"/>
        <v>2745.3583360851835</v>
      </c>
      <c r="N21" s="2624">
        <f t="shared" si="10"/>
        <v>2735.5315308739837</v>
      </c>
      <c r="O21" s="2625">
        <f t="shared" si="10"/>
        <v>2543.1126919972098</v>
      </c>
      <c r="P21" s="4047">
        <f t="shared" si="10"/>
        <v>2404.5962499772659</v>
      </c>
      <c r="Q21" s="2200">
        <f t="shared" si="3"/>
        <v>32978.991458994744</v>
      </c>
      <c r="R21" s="1652" t="s">
        <v>1346</v>
      </c>
      <c r="S21" s="1578"/>
      <c r="W21" s="4824">
        <v>2054.5446322115386</v>
      </c>
    </row>
    <row r="22" spans="1:23" ht="16.5" customHeight="1">
      <c r="A22" s="5383"/>
      <c r="B22" s="1636"/>
      <c r="C22" s="4081">
        <v>14</v>
      </c>
      <c r="D22" s="13" t="s">
        <v>438</v>
      </c>
      <c r="E22" s="2620">
        <f>Utilty_Data!O20</f>
        <v>277797.56550000003</v>
      </c>
      <c r="F22" s="2621">
        <f>Utilty_Data!P20</f>
        <v>150692.075625</v>
      </c>
      <c r="G22" s="2623">
        <f>Utilty_Data!Q20</f>
        <v>277797.56550000003</v>
      </c>
      <c r="H22" s="2622">
        <f>Utilty_Data!R20</f>
        <v>268537.64664999995</v>
      </c>
      <c r="I22" s="2622">
        <f>Utilty_Data!S20</f>
        <v>268537.64664999995</v>
      </c>
      <c r="J22" s="2622">
        <f>Utilty_Data!T20</f>
        <v>319991.34667500004</v>
      </c>
      <c r="K22" s="2624">
        <f>Utilty_Data!U20</f>
        <v>319991.34667500004</v>
      </c>
      <c r="L22" s="2625">
        <f>Utilty_Data!V20</f>
        <v>319991.34667500004</v>
      </c>
      <c r="M22" s="2626">
        <f>Utilty_Data!W20</f>
        <v>298658.59023000003</v>
      </c>
      <c r="N22" s="2624">
        <f>Utilty_Data!X20</f>
        <v>277797.56550000003</v>
      </c>
      <c r="O22" s="2625">
        <f>Utilty_Data!Y20</f>
        <v>277797.56550000003</v>
      </c>
      <c r="P22" s="4047">
        <f>Utilty_Data!Z20</f>
        <v>277797.56550000003</v>
      </c>
      <c r="Q22" s="2200">
        <f t="shared" si="1"/>
        <v>3335387.8266800009</v>
      </c>
      <c r="R22" s="1652" t="s">
        <v>1343</v>
      </c>
      <c r="S22" s="1578"/>
      <c r="W22" s="4824">
        <v>264912.3396201923</v>
      </c>
    </row>
    <row r="23" spans="1:23" ht="16.5" customHeight="1">
      <c r="A23" s="5383"/>
      <c r="B23" s="1636"/>
      <c r="C23" s="4081">
        <v>15</v>
      </c>
      <c r="D23" s="13" t="s">
        <v>439</v>
      </c>
      <c r="E23" s="2620">
        <f t="shared" ref="E23:I23" si="11">E5*0.0739%</f>
        <v>2726.4450145238725</v>
      </c>
      <c r="F23" s="2621">
        <f t="shared" si="11"/>
        <v>2550.4750481948508</v>
      </c>
      <c r="G23" s="2623">
        <f t="shared" si="11"/>
        <v>2973.081300271891</v>
      </c>
      <c r="H23" s="2622">
        <f t="shared" si="11"/>
        <v>2845.3322620371387</v>
      </c>
      <c r="I23" s="2622">
        <f t="shared" si="11"/>
        <v>2818.9826526731658</v>
      </c>
      <c r="J23" s="2622">
        <f t="shared" ref="J23:P23" si="12">J5*0.0739%</f>
        <v>2918.0122580836269</v>
      </c>
      <c r="K23" s="2624">
        <f t="shared" si="12"/>
        <v>2840.2976058811555</v>
      </c>
      <c r="L23" s="2625">
        <f t="shared" si="12"/>
        <v>2726.2181706933757</v>
      </c>
      <c r="M23" s="2626">
        <f t="shared" si="12"/>
        <v>2726.908347267407</v>
      </c>
      <c r="N23" s="2624">
        <f t="shared" si="12"/>
        <v>2717.1475824138092</v>
      </c>
      <c r="O23" s="2625">
        <f t="shared" si="12"/>
        <v>2526.0218808950781</v>
      </c>
      <c r="P23" s="4047">
        <f t="shared" si="12"/>
        <v>2388.4363289424723</v>
      </c>
      <c r="Q23" s="2200">
        <f t="shared" si="1"/>
        <v>32757.358451877844</v>
      </c>
      <c r="R23" s="1652" t="s">
        <v>1343</v>
      </c>
      <c r="S23" s="1578"/>
      <c r="W23" s="4824">
        <v>1778.8512403846153</v>
      </c>
    </row>
    <row r="24" spans="1:23" ht="16.5" customHeight="1">
      <c r="A24" s="5383"/>
      <c r="B24" s="1636"/>
      <c r="C24" s="4081">
        <v>16</v>
      </c>
      <c r="D24" s="13" t="s">
        <v>440</v>
      </c>
      <c r="E24" s="2620">
        <f t="shared" ref="E24:I24" si="13">E5*0.056%</f>
        <v>2066.0476429409591</v>
      </c>
      <c r="F24" s="2621">
        <f t="shared" si="13"/>
        <v>1932.7009837471132</v>
      </c>
      <c r="G24" s="2623">
        <f t="shared" si="13"/>
        <v>2252.9438811261966</v>
      </c>
      <c r="H24" s="2622">
        <f t="shared" si="13"/>
        <v>2156.1381146695508</v>
      </c>
      <c r="I24" s="2622">
        <f t="shared" si="13"/>
        <v>2136.1708870053762</v>
      </c>
      <c r="J24" s="2622">
        <f t="shared" ref="J24:P24" si="14">J5*0.056%</f>
        <v>2211.2136191161453</v>
      </c>
      <c r="K24" s="2624">
        <f t="shared" si="14"/>
        <v>2152.322948976248</v>
      </c>
      <c r="L24" s="2625">
        <f t="shared" si="14"/>
        <v>2065.875745045048</v>
      </c>
      <c r="M24" s="2626">
        <f t="shared" si="14"/>
        <v>2066.3987475909985</v>
      </c>
      <c r="N24" s="2624">
        <f t="shared" si="14"/>
        <v>2059.0022275395577</v>
      </c>
      <c r="O24" s="2625">
        <f t="shared" si="14"/>
        <v>1914.1708434387604</v>
      </c>
      <c r="P24" s="4047">
        <f t="shared" si="14"/>
        <v>1809.9111558968671</v>
      </c>
      <c r="Q24" s="2200">
        <f t="shared" si="1"/>
        <v>24822.896797092821</v>
      </c>
      <c r="R24" s="1652" t="s">
        <v>1343</v>
      </c>
      <c r="S24" s="1578"/>
      <c r="W24" s="4824">
        <v>1349.4643173076922</v>
      </c>
    </row>
    <row r="25" spans="1:23" ht="16.5" customHeight="1">
      <c r="A25" s="5383"/>
      <c r="B25" s="1636"/>
      <c r="C25" s="4081">
        <v>17</v>
      </c>
      <c r="D25" s="13" t="s">
        <v>824</v>
      </c>
      <c r="E25" s="2620">
        <f>'8. I Plan'!H72+'8. I Plan'!H73+'8. I Plan'!H74</f>
        <v>233714.27053856602</v>
      </c>
      <c r="F25" s="2622">
        <f>'8. I Plan'!I72+'8. I Plan'!I73+'8. I Plan'!I74</f>
        <v>243240.06250232123</v>
      </c>
      <c r="G25" s="2623">
        <f>'8. I Plan'!J72+'8. I Plan'!J73+'8. I Plan'!J74</f>
        <v>250314.62835626682</v>
      </c>
      <c r="H25" s="2622">
        <f>'8. I Plan'!K72+'8. I Plan'!K73+'8. I Plan'!K74</f>
        <v>260241.79442134732</v>
      </c>
      <c r="I25" s="2622">
        <f>'8. I Plan'!L72+'8. I Plan'!L73+'8. I Plan'!L74</f>
        <v>267035.39999257494</v>
      </c>
      <c r="J25" s="2622">
        <f>'8. I Plan'!M72+'8. I Plan'!M73+'8. I Plan'!M74</f>
        <v>277158.4079318213</v>
      </c>
      <c r="K25" s="2620">
        <f>'8. I Plan'!N72+'8. I Plan'!N73+'8. I Plan'!N74</f>
        <v>283978.14404293243</v>
      </c>
      <c r="L25" s="2621">
        <f>'8. I Plan'!O72+'8. I Plan'!O73+'8. I Plan'!O74</f>
        <v>290840.74437429989</v>
      </c>
      <c r="M25" s="2623">
        <f>'8. I Plan'!P72+'8. I Plan'!P73+'8. I Plan'!P74</f>
        <v>295483.65836464183</v>
      </c>
      <c r="N25" s="2620">
        <f>'8. I Plan'!Q72+'8. I Plan'!Q73+'8. I Plan'!Q74</f>
        <v>301129.86561741959</v>
      </c>
      <c r="O25" s="2621">
        <f>'8. I Plan'!R72+'8. I Plan'!R73+'8. I Plan'!R74</f>
        <v>303700.38012532558</v>
      </c>
      <c r="P25" s="4046">
        <f>'8. I Plan'!S72+'8. I Plan'!S73+'8. I Plan'!S74</f>
        <v>308904.7762161803</v>
      </c>
      <c r="Q25" s="2200">
        <f t="shared" si="1"/>
        <v>3315742.1324836975</v>
      </c>
      <c r="R25" s="1652"/>
      <c r="S25" s="1578"/>
      <c r="W25" s="4824">
        <v>161758.09902560094</v>
      </c>
    </row>
    <row r="26" spans="1:23" ht="16.5" customHeight="1">
      <c r="A26" s="5383"/>
      <c r="B26" s="1636"/>
      <c r="C26" s="4081">
        <v>18</v>
      </c>
      <c r="D26" s="13" t="s">
        <v>449</v>
      </c>
      <c r="E26" s="2620">
        <f>'8. I Plan'!H75</f>
        <v>60371.584522303419</v>
      </c>
      <c r="F26" s="2622">
        <f>'8. I Plan'!I75</f>
        <v>60371.584522303419</v>
      </c>
      <c r="G26" s="2623">
        <f>'8. I Plan'!J75</f>
        <v>60371.584522303419</v>
      </c>
      <c r="H26" s="2622">
        <f>'8. I Plan'!K75</f>
        <v>60371.584522303419</v>
      </c>
      <c r="I26" s="2622">
        <f>'8. I Plan'!L75</f>
        <v>60371.584522303419</v>
      </c>
      <c r="J26" s="2622">
        <f>'8. I Plan'!M75</f>
        <v>60371.584522303419</v>
      </c>
      <c r="K26" s="2620">
        <f>'8. I Plan'!N75</f>
        <v>60371.584522303419</v>
      </c>
      <c r="L26" s="2621">
        <f>'8. I Plan'!O75</f>
        <v>60371.584522303419</v>
      </c>
      <c r="M26" s="2623">
        <f>'8. I Plan'!P75</f>
        <v>60371.584522303419</v>
      </c>
      <c r="N26" s="2620">
        <f>'8. I Plan'!Q75</f>
        <v>60371.584522303419</v>
      </c>
      <c r="O26" s="2621">
        <f>'8. I Plan'!R75</f>
        <v>60371.584522303419</v>
      </c>
      <c r="P26" s="4046">
        <f>'8. I Plan'!S75</f>
        <v>60371.584522303419</v>
      </c>
      <c r="Q26" s="2200">
        <f t="shared" si="1"/>
        <v>724459.014267641</v>
      </c>
      <c r="R26" s="1652"/>
      <c r="S26" s="1578"/>
      <c r="W26" s="4824">
        <v>83051.927788461559</v>
      </c>
    </row>
    <row r="27" spans="1:23" ht="16.5" customHeight="1">
      <c r="A27" s="5383"/>
      <c r="B27" s="1636"/>
      <c r="C27" s="4081">
        <v>19</v>
      </c>
      <c r="D27" s="13" t="s">
        <v>494</v>
      </c>
      <c r="E27" s="2620">
        <f>'8. I Plan'!H76</f>
        <v>62607.992090158914</v>
      </c>
      <c r="F27" s="2622">
        <f>'8. I Plan'!I76</f>
        <v>62485.796471526432</v>
      </c>
      <c r="G27" s="2623">
        <f>'8. I Plan'!J76</f>
        <v>59587.160247875436</v>
      </c>
      <c r="H27" s="2622">
        <f>'8. I Plan'!K76</f>
        <v>59128.150155327952</v>
      </c>
      <c r="I27" s="2622">
        <f>'8. I Plan'!L76</f>
        <v>59128.150155327952</v>
      </c>
      <c r="J27" s="2622">
        <f>'8. I Plan'!M76</f>
        <v>58413.886984387791</v>
      </c>
      <c r="K27" s="2620">
        <f>'8. I Plan'!N76</f>
        <v>57943.636401647404</v>
      </c>
      <c r="L27" s="2621">
        <f>'8. I Plan'!O76</f>
        <v>53241.00477875409</v>
      </c>
      <c r="M27" s="2623">
        <f>'8. I Plan'!P76</f>
        <v>44458.733669277615</v>
      </c>
      <c r="N27" s="2620">
        <f>'8. I Plan'!Q76</f>
        <v>36925.990933219917</v>
      </c>
      <c r="O27" s="2621">
        <f>'8. I Plan'!R76</f>
        <v>34241.76419894641</v>
      </c>
      <c r="P27" s="4046">
        <f>'8. I Plan'!S76</f>
        <v>34241.76419894641</v>
      </c>
      <c r="Q27" s="2200">
        <f t="shared" si="1"/>
        <v>622404.03028539638</v>
      </c>
      <c r="R27" s="1652"/>
      <c r="S27" s="1578"/>
      <c r="W27" s="4824">
        <v>42710.397747596151</v>
      </c>
    </row>
    <row r="28" spans="1:23" ht="16.5" customHeight="1">
      <c r="A28" s="5383"/>
      <c r="B28" s="1636"/>
      <c r="C28" s="4081">
        <v>20</v>
      </c>
      <c r="D28" s="13" t="s">
        <v>447</v>
      </c>
      <c r="E28" s="2620">
        <v>2915.6238039215687</v>
      </c>
      <c r="F28" s="2621">
        <f t="shared" ref="F28" si="15">+E28</f>
        <v>2915.6238039215687</v>
      </c>
      <c r="G28" s="2623">
        <f t="shared" ref="G28" si="16">+F28</f>
        <v>2915.6238039215687</v>
      </c>
      <c r="H28" s="2622">
        <f t="shared" ref="H28" si="17">+G28</f>
        <v>2915.6238039215687</v>
      </c>
      <c r="I28" s="2622">
        <f t="shared" ref="I28" si="18">+H28</f>
        <v>2915.6238039215687</v>
      </c>
      <c r="J28" s="2622">
        <f t="shared" ref="J28" si="19">+I28</f>
        <v>2915.6238039215687</v>
      </c>
      <c r="K28" s="2624">
        <f t="shared" ref="K28" si="20">+J28</f>
        <v>2915.6238039215687</v>
      </c>
      <c r="L28" s="2625">
        <f t="shared" ref="L28" si="21">+K28</f>
        <v>2915.6238039215687</v>
      </c>
      <c r="M28" s="2626">
        <f t="shared" ref="M28" si="22">+L28</f>
        <v>2915.6238039215687</v>
      </c>
      <c r="N28" s="2624">
        <f t="shared" ref="N28" si="23">+M28</f>
        <v>2915.6238039215687</v>
      </c>
      <c r="O28" s="2625">
        <f t="shared" ref="O28" si="24">+N28</f>
        <v>2915.6238039215687</v>
      </c>
      <c r="P28" s="4047">
        <f t="shared" ref="P28" si="25">+O28</f>
        <v>2915.6238039215687</v>
      </c>
      <c r="Q28" s="2200">
        <f t="shared" si="1"/>
        <v>34987.48564705882</v>
      </c>
      <c r="R28" s="1652" t="s">
        <v>1346</v>
      </c>
      <c r="S28" s="1578"/>
      <c r="W28" s="4824">
        <v>2997.5265817307686</v>
      </c>
    </row>
    <row r="29" spans="1:23" ht="16.5" customHeight="1">
      <c r="A29" s="5383"/>
      <c r="B29" s="1636"/>
      <c r="C29" s="4081">
        <v>21</v>
      </c>
      <c r="D29" s="13" t="s">
        <v>1238</v>
      </c>
      <c r="E29" s="2620">
        <v>10000</v>
      </c>
      <c r="F29" s="2621">
        <f>E29</f>
        <v>10000</v>
      </c>
      <c r="G29" s="2623">
        <f t="shared" ref="G29:P29" si="26">F29</f>
        <v>10000</v>
      </c>
      <c r="H29" s="2620">
        <f t="shared" si="26"/>
        <v>10000</v>
      </c>
      <c r="I29" s="2622">
        <f t="shared" si="26"/>
        <v>10000</v>
      </c>
      <c r="J29" s="3522">
        <f t="shared" si="26"/>
        <v>10000</v>
      </c>
      <c r="K29" s="2624">
        <f t="shared" si="26"/>
        <v>10000</v>
      </c>
      <c r="L29" s="2625">
        <f t="shared" si="26"/>
        <v>10000</v>
      </c>
      <c r="M29" s="2626">
        <f t="shared" si="26"/>
        <v>10000</v>
      </c>
      <c r="N29" s="2624">
        <f t="shared" si="26"/>
        <v>10000</v>
      </c>
      <c r="O29" s="2625">
        <f t="shared" si="26"/>
        <v>10000</v>
      </c>
      <c r="P29" s="4047">
        <f t="shared" si="26"/>
        <v>10000</v>
      </c>
      <c r="Q29" s="2200">
        <f t="shared" si="1"/>
        <v>120000</v>
      </c>
      <c r="R29" s="1652"/>
      <c r="S29" s="1578"/>
      <c r="W29" s="4824">
        <v>8742.3414350961539</v>
      </c>
    </row>
    <row r="30" spans="1:23" ht="16.5" customHeight="1">
      <c r="A30" s="5383"/>
      <c r="B30" s="1636"/>
      <c r="C30" s="4081">
        <v>22</v>
      </c>
      <c r="D30" s="1607" t="s">
        <v>524</v>
      </c>
      <c r="E30" s="3653">
        <f t="shared" ref="E30:P30" si="27">E5*1%</f>
        <v>36893.707909659985</v>
      </c>
      <c r="F30" s="3654">
        <f t="shared" si="27"/>
        <v>34512.517566912735</v>
      </c>
      <c r="G30" s="3655">
        <f t="shared" si="27"/>
        <v>40231.140734396366</v>
      </c>
      <c r="H30" s="3653">
        <f t="shared" si="27"/>
        <v>38502.466333384829</v>
      </c>
      <c r="I30" s="2627">
        <f t="shared" si="27"/>
        <v>38145.908696524573</v>
      </c>
      <c r="J30" s="2627">
        <f t="shared" si="27"/>
        <v>39485.95748421688</v>
      </c>
      <c r="K30" s="2628">
        <f t="shared" si="27"/>
        <v>38434.338374575855</v>
      </c>
      <c r="L30" s="2629">
        <f t="shared" si="27"/>
        <v>36890.638304375861</v>
      </c>
      <c r="M30" s="2630">
        <f t="shared" si="27"/>
        <v>36899.977635553543</v>
      </c>
      <c r="N30" s="2628">
        <f t="shared" si="27"/>
        <v>36767.896920349245</v>
      </c>
      <c r="O30" s="2629">
        <f t="shared" si="27"/>
        <v>34181.622204263571</v>
      </c>
      <c r="P30" s="4048">
        <f t="shared" si="27"/>
        <v>32319.842069586906</v>
      </c>
      <c r="Q30" s="2214">
        <f t="shared" si="1"/>
        <v>443266.01423380029</v>
      </c>
      <c r="R30" s="1652" t="s">
        <v>1346</v>
      </c>
      <c r="S30" s="1578"/>
      <c r="W30" s="4824">
        <v>30755.30286734362</v>
      </c>
    </row>
    <row r="31" spans="1:23" s="2650" customFormat="1" ht="16.5" customHeight="1">
      <c r="A31" s="5383"/>
      <c r="B31" s="2651"/>
      <c r="C31" s="4080">
        <v>23</v>
      </c>
      <c r="D31" s="3544" t="s">
        <v>1231</v>
      </c>
      <c r="E31" s="3656">
        <v>243017.90953449905</v>
      </c>
      <c r="F31" s="3657">
        <v>200000</v>
      </c>
      <c r="G31" s="3658">
        <v>250000</v>
      </c>
      <c r="H31" s="3656">
        <v>200000</v>
      </c>
      <c r="I31" s="3657">
        <v>200000</v>
      </c>
      <c r="J31" s="3658">
        <v>300000</v>
      </c>
      <c r="K31" s="3656"/>
      <c r="L31" s="3657"/>
      <c r="M31" s="3658"/>
      <c r="N31" s="3656"/>
      <c r="O31" s="3657"/>
      <c r="P31" s="4057"/>
      <c r="Q31" s="2223">
        <f t="shared" si="1"/>
        <v>1393017.909534499</v>
      </c>
      <c r="R31" s="1652"/>
      <c r="S31" s="3548"/>
      <c r="T31" s="3548"/>
      <c r="W31" s="4824">
        <v>0</v>
      </c>
    </row>
    <row r="32" spans="1:23" ht="16.5" customHeight="1" thickBot="1">
      <c r="A32" s="5383"/>
      <c r="B32" s="1636"/>
      <c r="C32" s="4082"/>
      <c r="D32" s="2631" t="s">
        <v>194</v>
      </c>
      <c r="E32" s="3659">
        <f t="shared" ref="E32:P32" si="28">SUM(E11:E30)</f>
        <v>1135151.406236541</v>
      </c>
      <c r="F32" s="3660">
        <f t="shared" si="28"/>
        <v>976308.58410108218</v>
      </c>
      <c r="G32" s="3661">
        <f t="shared" si="28"/>
        <v>1139892.4308602733</v>
      </c>
      <c r="H32" s="2632">
        <f t="shared" si="28"/>
        <v>1125217.2501435645</v>
      </c>
      <c r="I32" s="2632">
        <f t="shared" si="28"/>
        <v>1129040.9997409044</v>
      </c>
      <c r="J32" s="2632">
        <f t="shared" si="28"/>
        <v>1201416.0186910948</v>
      </c>
      <c r="K32" s="2633">
        <f t="shared" si="28"/>
        <v>1200637.5056154197</v>
      </c>
      <c r="L32" s="2634">
        <f t="shared" si="28"/>
        <v>1185993.3957047621</v>
      </c>
      <c r="M32" s="2635">
        <f t="shared" si="28"/>
        <v>1157684.9821247826</v>
      </c>
      <c r="N32" s="2633">
        <f t="shared" si="28"/>
        <v>1135263.0577732904</v>
      </c>
      <c r="O32" s="2634">
        <f t="shared" si="28"/>
        <v>1108141.5772363408</v>
      </c>
      <c r="P32" s="4049">
        <f t="shared" si="28"/>
        <v>1098717.3744456139</v>
      </c>
      <c r="Q32" s="2258">
        <f t="shared" si="1"/>
        <v>13593464.582673669</v>
      </c>
      <c r="R32" s="1652"/>
      <c r="S32" s="2350"/>
    </row>
    <row r="33" spans="1:23" ht="16.5" customHeight="1" thickBot="1">
      <c r="A33" s="5497"/>
      <c r="B33" s="5395" t="s">
        <v>1210</v>
      </c>
      <c r="C33" s="5395"/>
      <c r="D33" s="5478"/>
      <c r="E33" s="1617">
        <f t="shared" ref="E33:Q33" si="29">E9+E10+E32</f>
        <v>2514357.935988253</v>
      </c>
      <c r="F33" s="1618">
        <f t="shared" si="29"/>
        <v>2285545.3062921362</v>
      </c>
      <c r="G33" s="1619">
        <f t="shared" si="29"/>
        <v>2572859.4660006696</v>
      </c>
      <c r="H33" s="1621">
        <f t="shared" si="29"/>
        <v>2514410.4360572863</v>
      </c>
      <c r="I33" s="1618">
        <f t="shared" si="29"/>
        <v>2497747.0463471897</v>
      </c>
      <c r="J33" s="1618">
        <f t="shared" si="29"/>
        <v>2580254.0390482675</v>
      </c>
      <c r="K33" s="1850">
        <f t="shared" si="29"/>
        <v>2533791.5785063459</v>
      </c>
      <c r="L33" s="1799">
        <f t="shared" si="29"/>
        <v>2477824.1771474546</v>
      </c>
      <c r="M33" s="1800">
        <f t="shared" si="29"/>
        <v>2459505.5834929259</v>
      </c>
      <c r="N33" s="1850">
        <f t="shared" si="29"/>
        <v>2421946.9042671602</v>
      </c>
      <c r="O33" s="1799">
        <f t="shared" si="29"/>
        <v>2306872.1092789276</v>
      </c>
      <c r="P33" s="1851">
        <f t="shared" si="29"/>
        <v>2254777.3911067583</v>
      </c>
      <c r="Q33" s="1692">
        <f t="shared" si="29"/>
        <v>29419891.973533373</v>
      </c>
      <c r="R33" s="1555"/>
      <c r="T33" s="2350"/>
    </row>
    <row r="34" spans="1:23" ht="16.5" customHeight="1" thickBot="1">
      <c r="A34" s="5151" t="s">
        <v>492</v>
      </c>
      <c r="B34" s="5152"/>
      <c r="C34" s="5152"/>
      <c r="D34" s="5253"/>
      <c r="E34" s="1617">
        <f>'10. IS'!B5</f>
        <v>2514357.935988253</v>
      </c>
      <c r="F34" s="1618">
        <f>'10. IS'!C5</f>
        <v>2285545.3062921362</v>
      </c>
      <c r="G34" s="1619">
        <f>'10. IS'!D5</f>
        <v>2572859.4660006696</v>
      </c>
      <c r="H34" s="1621">
        <f>'10. IS'!E5</f>
        <v>2514410.4360572863</v>
      </c>
      <c r="I34" s="1618">
        <f>'10. IS'!F5</f>
        <v>2497747.0463471897</v>
      </c>
      <c r="J34" s="1618">
        <f>'10. IS'!G5</f>
        <v>2580254.0390482675</v>
      </c>
      <c r="K34" s="1850">
        <f>'10. IS'!H5</f>
        <v>2533791.5785063459</v>
      </c>
      <c r="L34" s="1799">
        <f>'10. IS'!I5</f>
        <v>2477824.1771474546</v>
      </c>
      <c r="M34" s="1800">
        <f>'10. IS'!J5</f>
        <v>2459505.5834929259</v>
      </c>
      <c r="N34" s="1850">
        <f>'10. IS'!K5</f>
        <v>2421946.9042671602</v>
      </c>
      <c r="O34" s="1799">
        <f>'10. IS'!L5</f>
        <v>2306872.1092789276</v>
      </c>
      <c r="P34" s="1851">
        <f>'10. IS'!M5</f>
        <v>2254777.3911067583</v>
      </c>
      <c r="Q34" s="2259">
        <f>+SUM(E34:P34)</f>
        <v>29419891.973533377</v>
      </c>
      <c r="R34" s="1652"/>
      <c r="S34" s="1578"/>
      <c r="T34" s="1578"/>
      <c r="U34" s="1578"/>
      <c r="V34" s="1578"/>
    </row>
    <row r="35" spans="1:23" ht="16.5" customHeight="1" thickBot="1">
      <c r="A35" s="5485" t="s">
        <v>240</v>
      </c>
      <c r="B35" s="5486"/>
      <c r="C35" s="5486"/>
      <c r="D35" s="5487"/>
      <c r="E35" s="1618">
        <f t="shared" ref="E35:I35" si="30">+E33-E34</f>
        <v>0</v>
      </c>
      <c r="F35" s="1618">
        <f t="shared" si="30"/>
        <v>0</v>
      </c>
      <c r="G35" s="1619">
        <f t="shared" si="30"/>
        <v>0</v>
      </c>
      <c r="H35" s="1621">
        <f t="shared" si="30"/>
        <v>0</v>
      </c>
      <c r="I35" s="1621">
        <f t="shared" si="30"/>
        <v>0</v>
      </c>
      <c r="J35" s="3468">
        <f t="shared" ref="J35:P35" si="31">+J33-J34</f>
        <v>0</v>
      </c>
      <c r="K35" s="3469">
        <f t="shared" si="31"/>
        <v>0</v>
      </c>
      <c r="L35" s="3466">
        <f t="shared" si="31"/>
        <v>0</v>
      </c>
      <c r="M35" s="3467">
        <f t="shared" si="31"/>
        <v>0</v>
      </c>
      <c r="N35" s="3469">
        <f t="shared" si="31"/>
        <v>0</v>
      </c>
      <c r="O35" s="3466">
        <f t="shared" si="31"/>
        <v>0</v>
      </c>
      <c r="P35" s="4050">
        <f t="shared" si="31"/>
        <v>0</v>
      </c>
      <c r="Q35" s="4053"/>
      <c r="R35" s="1652"/>
      <c r="S35" s="2350"/>
      <c r="T35" s="2350"/>
      <c r="U35" s="2350"/>
      <c r="V35" s="2350"/>
    </row>
    <row r="36" spans="1:23" ht="16.5" customHeight="1" thickBot="1">
      <c r="A36" s="5151" t="s">
        <v>1211</v>
      </c>
      <c r="B36" s="5152"/>
      <c r="C36" s="5152"/>
      <c r="D36" s="5253"/>
      <c r="E36" s="2637">
        <f t="shared" ref="E36:P36" si="32">E33/E5</f>
        <v>0.68151402459873434</v>
      </c>
      <c r="F36" s="2637">
        <f t="shared" si="32"/>
        <v>0.66223662236779157</v>
      </c>
      <c r="G36" s="3662">
        <f t="shared" si="32"/>
        <v>0.63951939195225338</v>
      </c>
      <c r="H36" s="3663">
        <f t="shared" si="32"/>
        <v>0.65305178486113857</v>
      </c>
      <c r="I36" s="2637">
        <f t="shared" si="32"/>
        <v>0.6547876644434889</v>
      </c>
      <c r="J36" s="2637">
        <f t="shared" si="32"/>
        <v>0.65346118049173141</v>
      </c>
      <c r="K36" s="2638">
        <f t="shared" si="32"/>
        <v>0.65925203494134765</v>
      </c>
      <c r="L36" s="2639">
        <f t="shared" si="32"/>
        <v>0.67166747203003596</v>
      </c>
      <c r="M36" s="2640">
        <f t="shared" si="32"/>
        <v>0.66653308242744425</v>
      </c>
      <c r="N36" s="2638">
        <f t="shared" si="32"/>
        <v>0.65871238420675904</v>
      </c>
      <c r="O36" s="2639">
        <f t="shared" si="32"/>
        <v>0.67488666731305236</v>
      </c>
      <c r="P36" s="4051">
        <f t="shared" si="32"/>
        <v>0.69764492854020232</v>
      </c>
      <c r="Q36" s="4054"/>
      <c r="R36" s="2367"/>
      <c r="S36" s="1578"/>
      <c r="T36" s="1578"/>
      <c r="U36" s="1578"/>
      <c r="V36" s="1578"/>
    </row>
    <row r="37" spans="1:23" ht="16.5" customHeight="1" thickBot="1">
      <c r="A37" s="5151" t="s">
        <v>1212</v>
      </c>
      <c r="B37" s="5152"/>
      <c r="C37" s="5152"/>
      <c r="D37" s="5253"/>
      <c r="E37" s="2637">
        <f t="shared" ref="E37:P37" si="33">E34/E5</f>
        <v>0.68151402459873434</v>
      </c>
      <c r="F37" s="2637">
        <f t="shared" si="33"/>
        <v>0.66223662236779157</v>
      </c>
      <c r="G37" s="3662">
        <f t="shared" si="33"/>
        <v>0.63951939195225338</v>
      </c>
      <c r="H37" s="3663">
        <f t="shared" si="33"/>
        <v>0.65305178486113857</v>
      </c>
      <c r="I37" s="2637">
        <f t="shared" si="33"/>
        <v>0.6547876644434889</v>
      </c>
      <c r="J37" s="2637">
        <f t="shared" si="33"/>
        <v>0.65346118049173141</v>
      </c>
      <c r="K37" s="2638">
        <f t="shared" si="33"/>
        <v>0.65925203494134765</v>
      </c>
      <c r="L37" s="2639">
        <f t="shared" si="33"/>
        <v>0.67166747203003596</v>
      </c>
      <c r="M37" s="2640">
        <f t="shared" si="33"/>
        <v>0.66653308242744425</v>
      </c>
      <c r="N37" s="2638">
        <f t="shared" si="33"/>
        <v>0.65871238420675904</v>
      </c>
      <c r="O37" s="2639">
        <f t="shared" si="33"/>
        <v>0.67488666731305236</v>
      </c>
      <c r="P37" s="4051">
        <f t="shared" si="33"/>
        <v>0.69764492854020232</v>
      </c>
      <c r="Q37" s="4054"/>
      <c r="R37" s="2367"/>
    </row>
    <row r="38" spans="1:23" ht="20.25" hidden="1" customHeight="1">
      <c r="A38" s="3465"/>
      <c r="B38" s="3465"/>
      <c r="C38" s="4083"/>
      <c r="D38" s="3470" t="s">
        <v>1229</v>
      </c>
      <c r="E38" s="3664">
        <f t="shared" ref="E38:P38" si="34">+E5-E34-E67-E75-E77</f>
        <v>275898.5634305214</v>
      </c>
      <c r="F38" s="3664">
        <f t="shared" si="34"/>
        <v>645532.46004145651</v>
      </c>
      <c r="G38" s="3664">
        <f t="shared" si="34"/>
        <v>920085.25215248053</v>
      </c>
      <c r="H38" s="3664">
        <f t="shared" si="34"/>
        <v>827670.31752869452</v>
      </c>
      <c r="I38" s="3664">
        <f t="shared" si="34"/>
        <v>810517.48049872939</v>
      </c>
      <c r="J38" s="3471">
        <f t="shared" si="34"/>
        <v>854136.23980759166</v>
      </c>
      <c r="K38" s="3471">
        <f t="shared" si="34"/>
        <v>813396.28488567995</v>
      </c>
      <c r="L38" s="3471">
        <f t="shared" si="34"/>
        <v>720502.44634753792</v>
      </c>
      <c r="M38" s="3471">
        <f t="shared" si="34"/>
        <v>731349.09825015033</v>
      </c>
      <c r="N38" s="3471">
        <f t="shared" si="34"/>
        <v>765730.0308371319</v>
      </c>
      <c r="O38" s="3471">
        <f t="shared" si="34"/>
        <v>630763.30867712875</v>
      </c>
      <c r="P38" s="3471">
        <f t="shared" si="34"/>
        <v>489358.30646680709</v>
      </c>
      <c r="Q38" s="3471">
        <f>+Q5-Q34-Q67-Q75</f>
        <v>9225592.7889239136</v>
      </c>
      <c r="R38" s="2367"/>
    </row>
    <row r="39" spans="1:23" ht="20.25" hidden="1" customHeight="1">
      <c r="A39" s="3465"/>
      <c r="B39" s="3465"/>
      <c r="C39" s="4083"/>
      <c r="D39" s="3470" t="s">
        <v>1227</v>
      </c>
      <c r="E39" s="3665">
        <f t="shared" ref="E39:Q39" si="35">+E38/E5</f>
        <v>7.4782010012683531E-2</v>
      </c>
      <c r="F39" s="3665">
        <f t="shared" si="35"/>
        <v>0.18704299354282131</v>
      </c>
      <c r="G39" s="3665">
        <f t="shared" si="35"/>
        <v>0.22869976723425009</v>
      </c>
      <c r="H39" s="3665">
        <f t="shared" si="35"/>
        <v>0.21496553243162911</v>
      </c>
      <c r="I39" s="3665">
        <f t="shared" si="35"/>
        <v>0.21247822065189775</v>
      </c>
      <c r="J39" s="3472">
        <f t="shared" si="35"/>
        <v>0.21631392379151565</v>
      </c>
      <c r="K39" s="3472">
        <f t="shared" si="35"/>
        <v>0.21163270119506938</v>
      </c>
      <c r="L39" s="3472">
        <f t="shared" si="35"/>
        <v>0.19530766597282598</v>
      </c>
      <c r="M39" s="3472">
        <f t="shared" si="35"/>
        <v>0.1981977077258408</v>
      </c>
      <c r="N39" s="3472">
        <f t="shared" si="35"/>
        <v>0.20826049216139353</v>
      </c>
      <c r="O39" s="3472">
        <f t="shared" si="35"/>
        <v>0.18453287702607976</v>
      </c>
      <c r="P39" s="3472">
        <f t="shared" si="35"/>
        <v>0.15141110696431748</v>
      </c>
      <c r="Q39" s="3472">
        <f t="shared" si="35"/>
        <v>0.20812768163313058</v>
      </c>
      <c r="R39" s="2367"/>
    </row>
    <row r="40" spans="1:23" ht="20.25" hidden="1" customHeight="1">
      <c r="A40" s="3465"/>
      <c r="B40" s="3465"/>
      <c r="C40" s="4083"/>
      <c r="D40" s="3470" t="s">
        <v>1228</v>
      </c>
      <c r="E40" s="3665">
        <f t="shared" ref="E40:Q40" si="36">(E38-E31)/E5</f>
        <v>8.9122660092977868E-3</v>
      </c>
      <c r="F40" s="3665">
        <f t="shared" si="36"/>
        <v>0.1290930049300692</v>
      </c>
      <c r="G40" s="3665">
        <f t="shared" si="36"/>
        <v>0.16655884966731224</v>
      </c>
      <c r="H40" s="3665">
        <f t="shared" si="36"/>
        <v>0.16302080809416936</v>
      </c>
      <c r="I40" s="3665">
        <f t="shared" si="36"/>
        <v>0.16004795831599966</v>
      </c>
      <c r="J40" s="3472">
        <f t="shared" si="36"/>
        <v>0.14033754658959155</v>
      </c>
      <c r="K40" s="3472">
        <f t="shared" si="36"/>
        <v>0.21163270119506938</v>
      </c>
      <c r="L40" s="3472">
        <f t="shared" si="36"/>
        <v>0.19530766597282598</v>
      </c>
      <c r="M40" s="3472">
        <f t="shared" si="36"/>
        <v>0.1981977077258408</v>
      </c>
      <c r="N40" s="3472">
        <f t="shared" si="36"/>
        <v>0.20826049216139353</v>
      </c>
      <c r="O40" s="3472">
        <f t="shared" si="36"/>
        <v>0.18453287702607976</v>
      </c>
      <c r="P40" s="3472">
        <f t="shared" si="36"/>
        <v>0.15141110696431748</v>
      </c>
      <c r="Q40" s="3472">
        <f t="shared" si="36"/>
        <v>0.17670145302992094</v>
      </c>
      <c r="R40" s="2367"/>
    </row>
    <row r="41" spans="1:23" s="1631" customFormat="1" ht="20.25" customHeight="1">
      <c r="A41" s="1993"/>
      <c r="B41" s="1993"/>
      <c r="C41" s="2299"/>
      <c r="D41" s="1993"/>
      <c r="E41" s="3666"/>
      <c r="F41" s="3666"/>
      <c r="G41" s="3666"/>
      <c r="H41" s="3667"/>
      <c r="I41" s="3667"/>
      <c r="J41" s="3499"/>
      <c r="K41" s="3499"/>
      <c r="L41" s="3499"/>
      <c r="M41" s="3499"/>
      <c r="N41" s="3499"/>
      <c r="O41" s="3499"/>
      <c r="P41" s="3499"/>
      <c r="Q41" s="3499"/>
      <c r="R41" s="2367"/>
      <c r="W41" s="4826"/>
    </row>
    <row r="42" spans="1:23" ht="20.25" customHeight="1" thickBot="1">
      <c r="A42" s="2498" t="s">
        <v>27</v>
      </c>
      <c r="B42" s="2615"/>
      <c r="C42" s="4078"/>
      <c r="D42" s="2557"/>
      <c r="E42" s="1716"/>
      <c r="F42" s="1716"/>
      <c r="G42" s="1716"/>
      <c r="H42" s="1716"/>
      <c r="I42" s="1716"/>
      <c r="J42" s="1716"/>
      <c r="K42" s="2486"/>
      <c r="L42" s="2486"/>
      <c r="M42" s="2486"/>
      <c r="N42" s="2486"/>
      <c r="O42" s="2486"/>
      <c r="P42" s="2486"/>
      <c r="Q42" s="1808" t="s">
        <v>87</v>
      </c>
      <c r="R42" s="1954"/>
    </row>
    <row r="43" spans="1:23" s="1537" customFormat="1" ht="19.5" customHeight="1" thickBot="1">
      <c r="A43" s="41" t="s">
        <v>117</v>
      </c>
      <c r="B43" s="2563" t="s">
        <v>116</v>
      </c>
      <c r="C43" s="81" t="s">
        <v>1029</v>
      </c>
      <c r="D43" s="2641" t="s">
        <v>31</v>
      </c>
      <c r="E43" s="78" t="str">
        <f t="shared" ref="E43:Q43" si="37">E8</f>
        <v>Jan.26</v>
      </c>
      <c r="F43" s="79" t="str">
        <f t="shared" si="37"/>
        <v>Feb.26</v>
      </c>
      <c r="G43" s="64" t="str">
        <f t="shared" si="37"/>
        <v>Mar.26</v>
      </c>
      <c r="H43" s="78" t="str">
        <f t="shared" si="37"/>
        <v>Apr.26</v>
      </c>
      <c r="I43" s="81" t="str">
        <f t="shared" si="37"/>
        <v>May.26</v>
      </c>
      <c r="J43" s="2369" t="str">
        <f t="shared" si="37"/>
        <v>Jun.26</v>
      </c>
      <c r="K43" s="4037" t="str">
        <f t="shared" si="37"/>
        <v>Jul.26</v>
      </c>
      <c r="L43" s="79" t="str">
        <f t="shared" si="37"/>
        <v>Aug.26</v>
      </c>
      <c r="M43" s="64" t="str">
        <f t="shared" si="37"/>
        <v>Sep.26</v>
      </c>
      <c r="N43" s="78" t="str">
        <f t="shared" si="37"/>
        <v>Oct.26</v>
      </c>
      <c r="O43" s="79" t="str">
        <f t="shared" si="37"/>
        <v>Nov.26</v>
      </c>
      <c r="P43" s="2369" t="str">
        <f t="shared" si="37"/>
        <v>Dec.26</v>
      </c>
      <c r="Q43" s="4098" t="str">
        <f t="shared" si="37"/>
        <v>2026
Total</v>
      </c>
      <c r="R43" s="1651"/>
      <c r="W43" s="4825"/>
    </row>
    <row r="44" spans="1:23" s="2650" customFormat="1" ht="19.5" customHeight="1">
      <c r="A44" s="5479" t="s">
        <v>451</v>
      </c>
      <c r="B44" s="4246" t="s">
        <v>375</v>
      </c>
      <c r="C44" s="4084">
        <v>24</v>
      </c>
      <c r="D44" s="2643" t="s">
        <v>491</v>
      </c>
      <c r="E44" s="2648">
        <f>'4. L PLAN'!F89</f>
        <v>154945.75012500002</v>
      </c>
      <c r="F44" s="2648">
        <f>'4. L PLAN'!G89</f>
        <v>179880.55251677777</v>
      </c>
      <c r="G44" s="2648">
        <f>'4. L PLAN'!H89</f>
        <v>154945.75012500002</v>
      </c>
      <c r="H44" s="4094">
        <f>'4. L PLAN'!I89</f>
        <v>154945.75012500002</v>
      </c>
      <c r="I44" s="2648">
        <f>'4. L PLAN'!J89</f>
        <v>154945.75012500002</v>
      </c>
      <c r="J44" s="2647">
        <f>'4. L PLAN'!K89</f>
        <v>154945.75012500002</v>
      </c>
      <c r="K44" s="4089">
        <f>'4. L PLAN'!L89</f>
        <v>154945.75012500002</v>
      </c>
      <c r="L44" s="2648">
        <f>'4. L PLAN'!M89</f>
        <v>154945.75012500002</v>
      </c>
      <c r="M44" s="2648">
        <f>'4. L PLAN'!N89</f>
        <v>154945.75012500002</v>
      </c>
      <c r="N44" s="4094">
        <f>'4. L PLAN'!O89</f>
        <v>154945.75012500002</v>
      </c>
      <c r="O44" s="2648">
        <f>'4. L PLAN'!P89</f>
        <v>154945.75012500002</v>
      </c>
      <c r="P44" s="2647">
        <f>'4. L PLAN'!Q89</f>
        <v>154945.75012500002</v>
      </c>
      <c r="Q44" s="4099">
        <f t="shared" ref="Q44:Q66" si="38">SUM(E44:P44)</f>
        <v>1884283.803891778</v>
      </c>
      <c r="R44" s="1652" t="s">
        <v>165</v>
      </c>
      <c r="S44" s="3528"/>
      <c r="W44" s="4827">
        <v>156763.97831249997</v>
      </c>
    </row>
    <row r="45" spans="1:23" s="2650" customFormat="1" ht="19.5" customHeight="1">
      <c r="A45" s="5480"/>
      <c r="B45" s="2651"/>
      <c r="C45" s="4085">
        <v>25</v>
      </c>
      <c r="D45" s="2652" t="s">
        <v>1192</v>
      </c>
      <c r="E45" s="2659">
        <f>'4. L PLAN'!F94+'4. L PLAN'!F95</f>
        <v>18630.772727272728</v>
      </c>
      <c r="F45" s="2659">
        <f>'4. L PLAN'!G94+'4. L PLAN'!G95</f>
        <v>9315.386363636364</v>
      </c>
      <c r="G45" s="2659">
        <f>'4. L PLAN'!H94+'4. L PLAN'!H95</f>
        <v>18630.772727272728</v>
      </c>
      <c r="H45" s="4095">
        <f>'4. L PLAN'!I94+'4. L PLAN'!I95</f>
        <v>17914.204545454544</v>
      </c>
      <c r="I45" s="2659">
        <f>'4. L PLAN'!J94+'4. L PLAN'!J95</f>
        <v>17914.204545454544</v>
      </c>
      <c r="J45" s="2658">
        <f>'4. L PLAN'!K94+'4. L PLAN'!K95</f>
        <v>17914.204545454544</v>
      </c>
      <c r="K45" s="4090">
        <f>'4. L PLAN'!L94+'4. L PLAN'!L95</f>
        <v>19347.340909090912</v>
      </c>
      <c r="L45" s="2659">
        <f>'4. L PLAN'!M94+'4. L PLAN'!M95</f>
        <v>18630.772727272728</v>
      </c>
      <c r="M45" s="2659">
        <f>'4. L PLAN'!N94+'4. L PLAN'!N95</f>
        <v>17914.204545454544</v>
      </c>
      <c r="N45" s="4095">
        <f>'4. L PLAN'!O94+'4. L PLAN'!O95</f>
        <v>19347.340909090912</v>
      </c>
      <c r="O45" s="2659">
        <f>'4. L PLAN'!P94+'4. L PLAN'!P95</f>
        <v>17914.204545454544</v>
      </c>
      <c r="P45" s="2658">
        <f>'4. L PLAN'!Q94+'4. L PLAN'!Q95</f>
        <v>19347.340909090912</v>
      </c>
      <c r="Q45" s="4100">
        <f t="shared" si="38"/>
        <v>212820.75000000003</v>
      </c>
      <c r="R45" s="1652" t="s">
        <v>385</v>
      </c>
      <c r="S45" s="3528"/>
      <c r="W45" s="4827">
        <v>3725.494552884616</v>
      </c>
    </row>
    <row r="46" spans="1:23" s="2650" customFormat="1" ht="19.5" customHeight="1">
      <c r="A46" s="5480"/>
      <c r="B46" s="2651"/>
      <c r="C46" s="4085">
        <v>26</v>
      </c>
      <c r="D46" s="2652" t="s">
        <v>376</v>
      </c>
      <c r="E46" s="2659">
        <f t="shared" ref="E46:O46" si="39">E5*0.2%</f>
        <v>7378.7415819319967</v>
      </c>
      <c r="F46" s="2659">
        <f t="shared" si="39"/>
        <v>6902.5035133825468</v>
      </c>
      <c r="G46" s="2659">
        <f>G5*0.2%+10000</f>
        <v>18046.228146879272</v>
      </c>
      <c r="H46" s="4095">
        <f t="shared" si="39"/>
        <v>7700.4932666769664</v>
      </c>
      <c r="I46" s="2659">
        <f t="shared" si="39"/>
        <v>7629.181739304915</v>
      </c>
      <c r="J46" s="2658">
        <f>J5*0.2%+10000</f>
        <v>17897.191496843378</v>
      </c>
      <c r="K46" s="4090">
        <f t="shared" si="39"/>
        <v>7686.86767491517</v>
      </c>
      <c r="L46" s="2659">
        <f t="shared" si="39"/>
        <v>7378.1276608751714</v>
      </c>
      <c r="M46" s="2659">
        <f>M5*0.2%+10000</f>
        <v>17379.99552711071</v>
      </c>
      <c r="N46" s="4095">
        <f t="shared" si="39"/>
        <v>7353.5793840698489</v>
      </c>
      <c r="O46" s="2659">
        <f t="shared" si="39"/>
        <v>6836.3244408527153</v>
      </c>
      <c r="P46" s="2658">
        <f>P5*0.2%+10000</f>
        <v>16463.968413917381</v>
      </c>
      <c r="Q46" s="4100">
        <f t="shared" si="38"/>
        <v>128653.20284676003</v>
      </c>
      <c r="R46" s="1652" t="s">
        <v>386</v>
      </c>
      <c r="S46" s="3528"/>
      <c r="W46" s="4827">
        <v>4857.5305120192315</v>
      </c>
    </row>
    <row r="47" spans="1:23" s="2650" customFormat="1" ht="19.5" customHeight="1">
      <c r="A47" s="5480"/>
      <c r="B47" s="2651"/>
      <c r="C47" s="4085">
        <v>27</v>
      </c>
      <c r="D47" s="2652" t="s">
        <v>377</v>
      </c>
      <c r="E47" s="2659">
        <f>('2. S Plan'!L262*2.82%)</f>
        <v>64921.082687325783</v>
      </c>
      <c r="F47" s="2659">
        <f>('2. S Plan'!M262*2.82%)</f>
        <v>57776.435679896473</v>
      </c>
      <c r="G47" s="2658">
        <f>('2. S Plan'!N262*2.82%)</f>
        <v>62314.830006522825</v>
      </c>
      <c r="H47" s="4090">
        <f>('2. S Plan'!O262*2.82%)</f>
        <v>56352.272184082176</v>
      </c>
      <c r="I47" s="2659">
        <f>('2. S Plan'!P262*2.82%)</f>
        <v>55831.115575777934</v>
      </c>
      <c r="J47" s="2658">
        <f>('2. S Plan'!Q262*2.82%)</f>
        <v>55283.568230080265</v>
      </c>
      <c r="K47" s="4090">
        <f>('2. S Plan'!R262*2.82%)</f>
        <v>55354.035582619967</v>
      </c>
      <c r="L47" s="2659">
        <f>('2. S Plan'!S262*2.82%)</f>
        <v>53868.281223259968</v>
      </c>
      <c r="M47" s="2658">
        <f>('2. S Plan'!T262*2.82%)</f>
        <v>53698.167579243731</v>
      </c>
      <c r="N47" s="4090">
        <f>('2. S Plan'!U262*2.82%)</f>
        <v>53118.061301500144</v>
      </c>
      <c r="O47" s="2659">
        <f>('2. S Plan'!V262*2.82%)</f>
        <v>51408.12673458198</v>
      </c>
      <c r="P47" s="2658">
        <f>('2. S Plan'!W262*2.82%)</f>
        <v>51341.826618598214</v>
      </c>
      <c r="Q47" s="4100">
        <f t="shared" si="38"/>
        <v>671267.80340348941</v>
      </c>
      <c r="R47" s="1652" t="s">
        <v>348</v>
      </c>
      <c r="S47" s="3528"/>
      <c r="W47" s="4827">
        <v>52081.476096153776</v>
      </c>
    </row>
    <row r="48" spans="1:23" s="2650" customFormat="1" ht="19.5" customHeight="1">
      <c r="A48" s="5480"/>
      <c r="B48" s="2651"/>
      <c r="C48" s="4085">
        <v>28</v>
      </c>
      <c r="D48" s="2652" t="s">
        <v>387</v>
      </c>
      <c r="E48" s="2659">
        <v>501.4782745098039</v>
      </c>
      <c r="F48" s="2659">
        <f t="shared" ref="F48" si="40">+E48</f>
        <v>501.4782745098039</v>
      </c>
      <c r="G48" s="2659">
        <f t="shared" ref="G48" si="41">+F48</f>
        <v>501.4782745098039</v>
      </c>
      <c r="H48" s="4095">
        <f t="shared" ref="H48" si="42">+G48</f>
        <v>501.4782745098039</v>
      </c>
      <c r="I48" s="2659">
        <f t="shared" ref="I48" si="43">+H48</f>
        <v>501.4782745098039</v>
      </c>
      <c r="J48" s="2658">
        <f t="shared" ref="J48" si="44">+I48</f>
        <v>501.4782745098039</v>
      </c>
      <c r="K48" s="4090">
        <f t="shared" ref="K48" si="45">+J48</f>
        <v>501.4782745098039</v>
      </c>
      <c r="L48" s="2659">
        <f t="shared" ref="L48" si="46">+K48</f>
        <v>501.4782745098039</v>
      </c>
      <c r="M48" s="2659">
        <f t="shared" ref="M48" si="47">+L48</f>
        <v>501.4782745098039</v>
      </c>
      <c r="N48" s="4095">
        <f t="shared" ref="N48" si="48">+M48</f>
        <v>501.4782745098039</v>
      </c>
      <c r="O48" s="2659">
        <f t="shared" ref="O48" si="49">+N48</f>
        <v>501.4782745098039</v>
      </c>
      <c r="P48" s="2658">
        <f t="shared" ref="P48" si="50">+O48</f>
        <v>501.4782745098039</v>
      </c>
      <c r="Q48" s="4100">
        <f t="shared" si="38"/>
        <v>6017.7392941176449</v>
      </c>
      <c r="R48" s="1652" t="s">
        <v>386</v>
      </c>
      <c r="S48" s="3528"/>
      <c r="W48" s="4827">
        <v>533.02671935096146</v>
      </c>
    </row>
    <row r="49" spans="1:23" s="2650" customFormat="1" ht="19.5" customHeight="1">
      <c r="A49" s="5480"/>
      <c r="B49" s="2651"/>
      <c r="C49" s="4085">
        <v>29</v>
      </c>
      <c r="D49" s="2652" t="s">
        <v>468</v>
      </c>
      <c r="E49" s="2659">
        <v>1671.6688235294118</v>
      </c>
      <c r="F49" s="2659">
        <f t="shared" ref="F49:F52" si="51">+E49</f>
        <v>1671.6688235294118</v>
      </c>
      <c r="G49" s="2659">
        <f t="shared" ref="G49:G52" si="52">+F49</f>
        <v>1671.6688235294118</v>
      </c>
      <c r="H49" s="4095">
        <f t="shared" ref="H49:H52" si="53">+G49</f>
        <v>1671.6688235294118</v>
      </c>
      <c r="I49" s="2659">
        <f t="shared" ref="I49:I52" si="54">+H49</f>
        <v>1671.6688235294118</v>
      </c>
      <c r="J49" s="2658">
        <f t="shared" ref="J49:J52" si="55">+I49</f>
        <v>1671.6688235294118</v>
      </c>
      <c r="K49" s="4090">
        <f t="shared" ref="K49:K52" si="56">+J49</f>
        <v>1671.6688235294118</v>
      </c>
      <c r="L49" s="2659">
        <f t="shared" ref="L49:L52" si="57">+K49</f>
        <v>1671.6688235294118</v>
      </c>
      <c r="M49" s="2659">
        <f t="shared" ref="M49:M52" si="58">+L49</f>
        <v>1671.6688235294118</v>
      </c>
      <c r="N49" s="4095">
        <f t="shared" ref="N49:N52" si="59">+M49</f>
        <v>1671.6688235294118</v>
      </c>
      <c r="O49" s="2659">
        <f t="shared" ref="O49:O52" si="60">+N49</f>
        <v>1671.6688235294118</v>
      </c>
      <c r="P49" s="2658">
        <f t="shared" ref="P49:P52" si="61">+O49</f>
        <v>1671.6688235294118</v>
      </c>
      <c r="Q49" s="4100">
        <f t="shared" si="38"/>
        <v>20060.025882352944</v>
      </c>
      <c r="R49" s="1652" t="s">
        <v>386</v>
      </c>
      <c r="S49" s="3528"/>
      <c r="W49" s="4827">
        <v>2246.2015721153848</v>
      </c>
    </row>
    <row r="50" spans="1:23" s="2650" customFormat="1" ht="19.5" customHeight="1">
      <c r="A50" s="5480"/>
      <c r="B50" s="2651"/>
      <c r="C50" s="4085">
        <v>30</v>
      </c>
      <c r="D50" s="2652" t="s">
        <v>379</v>
      </c>
      <c r="E50" s="2659">
        <v>9552.6458431372557</v>
      </c>
      <c r="F50" s="2659">
        <f t="shared" si="51"/>
        <v>9552.6458431372557</v>
      </c>
      <c r="G50" s="2659">
        <f t="shared" si="52"/>
        <v>9552.6458431372557</v>
      </c>
      <c r="H50" s="4095">
        <f t="shared" si="53"/>
        <v>9552.6458431372557</v>
      </c>
      <c r="I50" s="2659">
        <f t="shared" si="54"/>
        <v>9552.6458431372557</v>
      </c>
      <c r="J50" s="2658">
        <f t="shared" si="55"/>
        <v>9552.6458431372557</v>
      </c>
      <c r="K50" s="4090">
        <f t="shared" si="56"/>
        <v>9552.6458431372557</v>
      </c>
      <c r="L50" s="2659">
        <f t="shared" si="57"/>
        <v>9552.6458431372557</v>
      </c>
      <c r="M50" s="2659">
        <f t="shared" si="58"/>
        <v>9552.6458431372557</v>
      </c>
      <c r="N50" s="4095">
        <f t="shared" si="59"/>
        <v>9552.6458431372557</v>
      </c>
      <c r="O50" s="2659">
        <f t="shared" si="60"/>
        <v>9552.6458431372557</v>
      </c>
      <c r="P50" s="2658">
        <f t="shared" si="61"/>
        <v>9552.6458431372557</v>
      </c>
      <c r="Q50" s="4100">
        <f t="shared" si="38"/>
        <v>114631.7501176471</v>
      </c>
      <c r="R50" s="1652" t="s">
        <v>384</v>
      </c>
      <c r="S50" s="3528"/>
      <c r="W50" s="4827">
        <v>9436.8065456490367</v>
      </c>
    </row>
    <row r="51" spans="1:23" s="2650" customFormat="1" ht="19.5" customHeight="1">
      <c r="A51" s="5480"/>
      <c r="B51" s="2651"/>
      <c r="C51" s="4085">
        <v>31</v>
      </c>
      <c r="D51" s="2652" t="s">
        <v>1413</v>
      </c>
      <c r="E51" s="2659">
        <v>4272.7547058823529</v>
      </c>
      <c r="F51" s="2659">
        <f t="shared" si="51"/>
        <v>4272.7547058823529</v>
      </c>
      <c r="G51" s="2659">
        <f t="shared" si="52"/>
        <v>4272.7547058823529</v>
      </c>
      <c r="H51" s="4095">
        <f t="shared" si="53"/>
        <v>4272.7547058823529</v>
      </c>
      <c r="I51" s="2659">
        <f t="shared" si="54"/>
        <v>4272.7547058823529</v>
      </c>
      <c r="J51" s="2658"/>
      <c r="K51" s="4090"/>
      <c r="L51" s="2659"/>
      <c r="M51" s="2659"/>
      <c r="N51" s="4095"/>
      <c r="O51" s="2659"/>
      <c r="P51" s="2658"/>
      <c r="Q51" s="4100">
        <f t="shared" si="38"/>
        <v>21363.773529411767</v>
      </c>
      <c r="R51" s="1652" t="s">
        <v>384</v>
      </c>
      <c r="S51" s="3528"/>
      <c r="W51" s="4827">
        <v>0</v>
      </c>
    </row>
    <row r="52" spans="1:23" s="2650" customFormat="1" ht="19.5" customHeight="1">
      <c r="A52" s="5480"/>
      <c r="B52" s="2651"/>
      <c r="C52" s="4085">
        <v>32</v>
      </c>
      <c r="D52" s="2652" t="s">
        <v>523</v>
      </c>
      <c r="E52" s="2659">
        <v>50882.37176470588</v>
      </c>
      <c r="F52" s="2659">
        <f t="shared" si="51"/>
        <v>50882.37176470588</v>
      </c>
      <c r="G52" s="2659">
        <f t="shared" si="52"/>
        <v>50882.37176470588</v>
      </c>
      <c r="H52" s="4095">
        <f t="shared" si="53"/>
        <v>50882.37176470588</v>
      </c>
      <c r="I52" s="2659">
        <f t="shared" si="54"/>
        <v>50882.37176470588</v>
      </c>
      <c r="J52" s="2658">
        <f t="shared" si="55"/>
        <v>50882.37176470588</v>
      </c>
      <c r="K52" s="4090">
        <f t="shared" si="56"/>
        <v>50882.37176470588</v>
      </c>
      <c r="L52" s="2659">
        <f t="shared" si="57"/>
        <v>50882.37176470588</v>
      </c>
      <c r="M52" s="2659">
        <f t="shared" si="58"/>
        <v>50882.37176470588</v>
      </c>
      <c r="N52" s="4095">
        <f t="shared" si="59"/>
        <v>50882.37176470588</v>
      </c>
      <c r="O52" s="2659">
        <f t="shared" si="60"/>
        <v>50882.37176470588</v>
      </c>
      <c r="P52" s="2658">
        <f t="shared" si="61"/>
        <v>50882.37176470588</v>
      </c>
      <c r="Q52" s="4100">
        <f t="shared" si="38"/>
        <v>610588.4611764705</v>
      </c>
      <c r="R52" s="1652" t="s">
        <v>348</v>
      </c>
      <c r="S52" s="3528"/>
      <c r="W52" s="4827">
        <v>43319.705435937496</v>
      </c>
    </row>
    <row r="53" spans="1:23" s="2650" customFormat="1" ht="19.5" customHeight="1">
      <c r="A53" s="5480"/>
      <c r="B53" s="2651"/>
      <c r="C53" s="4085">
        <v>33</v>
      </c>
      <c r="D53" s="2652" t="s">
        <v>380</v>
      </c>
      <c r="E53" s="2659">
        <f t="shared" ref="E53:P53" si="62">E5*1%</f>
        <v>36893.707909659985</v>
      </c>
      <c r="F53" s="2659">
        <f t="shared" si="62"/>
        <v>34512.517566912735</v>
      </c>
      <c r="G53" s="2659">
        <f t="shared" si="62"/>
        <v>40231.140734396366</v>
      </c>
      <c r="H53" s="4095">
        <f t="shared" si="62"/>
        <v>38502.466333384829</v>
      </c>
      <c r="I53" s="2659">
        <f t="shared" si="62"/>
        <v>38145.908696524573</v>
      </c>
      <c r="J53" s="2658">
        <f t="shared" si="62"/>
        <v>39485.95748421688</v>
      </c>
      <c r="K53" s="4090">
        <f t="shared" si="62"/>
        <v>38434.338374575855</v>
      </c>
      <c r="L53" s="2659">
        <f t="shared" si="62"/>
        <v>36890.638304375861</v>
      </c>
      <c r="M53" s="2659">
        <f t="shared" si="62"/>
        <v>36899.977635553543</v>
      </c>
      <c r="N53" s="4095">
        <f t="shared" si="62"/>
        <v>36767.896920349245</v>
      </c>
      <c r="O53" s="2659">
        <f t="shared" si="62"/>
        <v>34181.622204263571</v>
      </c>
      <c r="P53" s="2658">
        <f t="shared" si="62"/>
        <v>32319.842069586906</v>
      </c>
      <c r="Q53" s="4100">
        <f t="shared" si="38"/>
        <v>443266.01423380029</v>
      </c>
      <c r="R53" s="4039" t="s">
        <v>162</v>
      </c>
      <c r="S53" s="3528"/>
      <c r="W53" s="4827">
        <v>52358.98856680288</v>
      </c>
    </row>
    <row r="54" spans="1:23" s="2650" customFormat="1" ht="19.5" customHeight="1">
      <c r="A54" s="5480"/>
      <c r="B54" s="2651"/>
      <c r="C54" s="4085">
        <v>34</v>
      </c>
      <c r="D54" s="2652" t="s">
        <v>378</v>
      </c>
      <c r="E54" s="2659">
        <f>Utilty_Data!O23</f>
        <v>3658.9344999999998</v>
      </c>
      <c r="F54" s="2659">
        <f>Utilty_Data!P23</f>
        <v>1984.7993749999998</v>
      </c>
      <c r="G54" s="2659">
        <f>Utilty_Data!Q23</f>
        <v>3658.9344999999998</v>
      </c>
      <c r="H54" s="4095">
        <f>Utilty_Data!R23</f>
        <v>3536.9700166666662</v>
      </c>
      <c r="I54" s="2659">
        <f>Utilty_Data!S23</f>
        <v>3536.9700166666662</v>
      </c>
      <c r="J54" s="2658">
        <f>Utilty_Data!T23</f>
        <v>4214.6783249999999</v>
      </c>
      <c r="K54" s="4090">
        <f>Utilty_Data!U23</f>
        <v>4214.6783249999999</v>
      </c>
      <c r="L54" s="2659">
        <f>Utilty_Data!V23</f>
        <v>4214.6783249999999</v>
      </c>
      <c r="M54" s="2659">
        <f>Utilty_Data!W23</f>
        <v>3933.6997700000002</v>
      </c>
      <c r="N54" s="4095">
        <f>Utilty_Data!X23</f>
        <v>3658.9344999999998</v>
      </c>
      <c r="O54" s="2659">
        <f>Utilty_Data!Y23</f>
        <v>3658.9344999999998</v>
      </c>
      <c r="P54" s="2658">
        <f>Utilty_Data!Z23</f>
        <v>3658.9344999999998</v>
      </c>
      <c r="Q54" s="4100">
        <f>SUM(E54:P54)</f>
        <v>43931.146653333344</v>
      </c>
      <c r="R54" s="1652" t="s">
        <v>166</v>
      </c>
      <c r="S54" s="3528"/>
      <c r="W54" s="4827">
        <v>3456.342629807692</v>
      </c>
    </row>
    <row r="55" spans="1:23" s="2650" customFormat="1" ht="19.5" customHeight="1">
      <c r="A55" s="5480"/>
      <c r="B55" s="2651"/>
      <c r="C55" s="4085">
        <v>35</v>
      </c>
      <c r="D55" s="2652" t="s">
        <v>467</v>
      </c>
      <c r="E55" s="2661">
        <f>'9. C Plan'!D10</f>
        <v>0</v>
      </c>
      <c r="F55" s="2661">
        <f>'9. C Plan'!E10</f>
        <v>0</v>
      </c>
      <c r="G55" s="2661">
        <f>'9. C Plan'!F10</f>
        <v>0</v>
      </c>
      <c r="H55" s="4096">
        <f>'9. C Plan'!G10</f>
        <v>0</v>
      </c>
      <c r="I55" s="2661">
        <f>'9. C Plan'!H10</f>
        <v>0</v>
      </c>
      <c r="J55" s="2655">
        <f>'9. C Plan'!I10</f>
        <v>0</v>
      </c>
      <c r="K55" s="4091">
        <f>'9. C Plan'!J10</f>
        <v>0</v>
      </c>
      <c r="L55" s="2661">
        <f>'9. C Plan'!K10</f>
        <v>0</v>
      </c>
      <c r="M55" s="2661">
        <f>'9. C Plan'!L10</f>
        <v>0</v>
      </c>
      <c r="N55" s="4096">
        <f>'9. C Plan'!M10</f>
        <v>0</v>
      </c>
      <c r="O55" s="2661">
        <f>'9. C Plan'!N10</f>
        <v>0</v>
      </c>
      <c r="P55" s="2655">
        <f>'9. C Plan'!O10</f>
        <v>0</v>
      </c>
      <c r="Q55" s="4100">
        <f>SUM(E55:P55)</f>
        <v>0</v>
      </c>
      <c r="R55" s="1652" t="s">
        <v>347</v>
      </c>
      <c r="S55" s="3528"/>
      <c r="W55" s="4827">
        <v>107603.30263701925</v>
      </c>
    </row>
    <row r="56" spans="1:23" s="2650" customFormat="1" ht="19.5" customHeight="1">
      <c r="A56" s="5480"/>
      <c r="B56" s="2651"/>
      <c r="C56" s="4085">
        <v>36</v>
      </c>
      <c r="D56" s="2652" t="s">
        <v>381</v>
      </c>
      <c r="E56" s="2659">
        <f t="shared" ref="E56:P56" si="63">E5*0.3%</f>
        <v>11068.112372897995</v>
      </c>
      <c r="F56" s="2659">
        <f t="shared" si="63"/>
        <v>10353.75527007382</v>
      </c>
      <c r="G56" s="2659">
        <f t="shared" si="63"/>
        <v>12069.342220318909</v>
      </c>
      <c r="H56" s="4095">
        <f t="shared" si="63"/>
        <v>11550.739900015449</v>
      </c>
      <c r="I56" s="2659">
        <f t="shared" si="63"/>
        <v>11443.772608957373</v>
      </c>
      <c r="J56" s="2658">
        <f t="shared" si="63"/>
        <v>11845.787245265063</v>
      </c>
      <c r="K56" s="4090">
        <f t="shared" si="63"/>
        <v>11530.301512372756</v>
      </c>
      <c r="L56" s="2659">
        <f t="shared" si="63"/>
        <v>11067.191491312757</v>
      </c>
      <c r="M56" s="2659">
        <f t="shared" si="63"/>
        <v>11069.993290666063</v>
      </c>
      <c r="N56" s="4095">
        <f t="shared" si="63"/>
        <v>11030.369076104773</v>
      </c>
      <c r="O56" s="2659">
        <f t="shared" si="63"/>
        <v>10254.486661279072</v>
      </c>
      <c r="P56" s="2658">
        <f t="shared" si="63"/>
        <v>9695.9526208760726</v>
      </c>
      <c r="Q56" s="4100">
        <f t="shared" si="38"/>
        <v>132979.8042701401</v>
      </c>
      <c r="R56" s="1652"/>
      <c r="S56" s="3528"/>
      <c r="W56" s="4827">
        <v>13046.71973918016</v>
      </c>
    </row>
    <row r="57" spans="1:23" s="2650" customFormat="1" ht="19.5" customHeight="1">
      <c r="A57" s="5480"/>
      <c r="B57" s="2651"/>
      <c r="C57" s="4085">
        <v>37</v>
      </c>
      <c r="D57" s="2652" t="s">
        <v>8</v>
      </c>
      <c r="E57" s="2659">
        <f>'8. I Plan'!H78</f>
        <v>9786</v>
      </c>
      <c r="F57" s="2659">
        <f>'8. I Plan'!I78</f>
        <v>9786</v>
      </c>
      <c r="G57" s="2659">
        <f>'8. I Plan'!J78</f>
        <v>9786</v>
      </c>
      <c r="H57" s="4095">
        <f>'8. I Plan'!K78</f>
        <v>9786</v>
      </c>
      <c r="I57" s="2659">
        <f>'8. I Plan'!L78</f>
        <v>9786</v>
      </c>
      <c r="J57" s="2658">
        <f>'8. I Plan'!M78</f>
        <v>9786</v>
      </c>
      <c r="K57" s="4090">
        <f>'8. I Plan'!N78</f>
        <v>9786</v>
      </c>
      <c r="L57" s="2659">
        <f>'8. I Plan'!O78</f>
        <v>9786</v>
      </c>
      <c r="M57" s="2659">
        <f>'8. I Plan'!P78</f>
        <v>9786</v>
      </c>
      <c r="N57" s="4095">
        <f>'8. I Plan'!Q78</f>
        <v>9786</v>
      </c>
      <c r="O57" s="2659">
        <f>'8. I Plan'!R78</f>
        <v>9786</v>
      </c>
      <c r="P57" s="2658">
        <f>'8. I Plan'!S78</f>
        <v>9786</v>
      </c>
      <c r="Q57" s="4100">
        <f t="shared" si="38"/>
        <v>117432</v>
      </c>
      <c r="R57" s="1652"/>
      <c r="S57" s="3528"/>
      <c r="W57" s="4827">
        <v>8850.4246933653831</v>
      </c>
    </row>
    <row r="58" spans="1:23" s="2650" customFormat="1" ht="19.5" customHeight="1">
      <c r="A58" s="5480"/>
      <c r="B58" s="2651"/>
      <c r="C58" s="4085">
        <v>38</v>
      </c>
      <c r="D58" s="2652" t="s">
        <v>9</v>
      </c>
      <c r="E58" s="2659">
        <f>'8. I Plan'!H79</f>
        <v>6761.021846833446</v>
      </c>
      <c r="F58" s="2659">
        <f>'8. I Plan'!I79</f>
        <v>6761.021846833446</v>
      </c>
      <c r="G58" s="2659">
        <f>'8. I Plan'!J79</f>
        <v>5782.596503696197</v>
      </c>
      <c r="H58" s="4095">
        <f>'8. I Plan'!K79</f>
        <v>4421.9321864848625</v>
      </c>
      <c r="I58" s="2659">
        <f>'8. I Plan'!L79</f>
        <v>4323.4919179663439</v>
      </c>
      <c r="J58" s="2658">
        <f>'8. I Plan'!M79</f>
        <v>4323.4919179663448</v>
      </c>
      <c r="K58" s="4090">
        <f>'8. I Plan'!N79</f>
        <v>1611.6745977049054</v>
      </c>
      <c r="L58" s="2659">
        <f>'8. I Plan'!O79</f>
        <v>1611.6745977049043</v>
      </c>
      <c r="M58" s="2659">
        <f>'8. I Plan'!P79</f>
        <v>1524.5286282059951</v>
      </c>
      <c r="N58" s="4095">
        <f>'8. I Plan'!Q79</f>
        <v>1524.5286282059953</v>
      </c>
      <c r="O58" s="2659">
        <f>'8. I Plan'!R79</f>
        <v>1277.5614168770203</v>
      </c>
      <c r="P58" s="2658">
        <f>'8. I Plan'!S79</f>
        <v>1148.9557523890014</v>
      </c>
      <c r="Q58" s="4100">
        <f t="shared" si="38"/>
        <v>41072.479840868473</v>
      </c>
      <c r="R58" s="1652"/>
      <c r="S58" s="3528"/>
      <c r="W58" s="4827">
        <v>1916.6759086538459</v>
      </c>
    </row>
    <row r="59" spans="1:23" s="2650" customFormat="1" ht="19.5" customHeight="1">
      <c r="A59" s="5480"/>
      <c r="B59" s="2651"/>
      <c r="C59" s="4085">
        <v>39</v>
      </c>
      <c r="D59" s="2652" t="s">
        <v>318</v>
      </c>
      <c r="E59" s="2659">
        <v>971.32682352941174</v>
      </c>
      <c r="F59" s="2659">
        <f t="shared" ref="F59:F61" si="64">+E59</f>
        <v>971.32682352941174</v>
      </c>
      <c r="G59" s="2659">
        <f t="shared" ref="G59:G61" si="65">+F59</f>
        <v>971.32682352941174</v>
      </c>
      <c r="H59" s="4095">
        <f t="shared" ref="H59:H61" si="66">+G59</f>
        <v>971.32682352941174</v>
      </c>
      <c r="I59" s="2659">
        <f t="shared" ref="I59:I61" si="67">+H59</f>
        <v>971.32682352941174</v>
      </c>
      <c r="J59" s="2658">
        <f t="shared" ref="J59:J61" si="68">+I59</f>
        <v>971.32682352941174</v>
      </c>
      <c r="K59" s="4090">
        <f t="shared" ref="K59:K61" si="69">+J59</f>
        <v>971.32682352941174</v>
      </c>
      <c r="L59" s="2659">
        <f t="shared" ref="L59:L61" si="70">+K59</f>
        <v>971.32682352941174</v>
      </c>
      <c r="M59" s="2659">
        <f t="shared" ref="M59:M61" si="71">+L59</f>
        <v>971.32682352941174</v>
      </c>
      <c r="N59" s="4095">
        <f t="shared" ref="N59:N61" si="72">+M59</f>
        <v>971.32682352941174</v>
      </c>
      <c r="O59" s="2659">
        <f t="shared" ref="O59:O61" si="73">+N59</f>
        <v>971.32682352941174</v>
      </c>
      <c r="P59" s="2658">
        <f t="shared" ref="P59:P61" si="74">+O59</f>
        <v>971.32682352941174</v>
      </c>
      <c r="Q59" s="4100">
        <f t="shared" si="38"/>
        <v>11655.921882352945</v>
      </c>
      <c r="R59" s="1652" t="s">
        <v>386</v>
      </c>
      <c r="S59" s="3528"/>
      <c r="W59" s="4827">
        <v>752.12523798076916</v>
      </c>
    </row>
    <row r="60" spans="1:23" s="2650" customFormat="1" ht="19.5" customHeight="1">
      <c r="A60" s="5480"/>
      <c r="B60" s="2651"/>
      <c r="C60" s="4085">
        <v>40</v>
      </c>
      <c r="D60" s="2652" t="s">
        <v>382</v>
      </c>
      <c r="E60" s="2659">
        <v>514.5218431372549</v>
      </c>
      <c r="F60" s="2659">
        <f t="shared" si="64"/>
        <v>514.5218431372549</v>
      </c>
      <c r="G60" s="2659">
        <f t="shared" si="65"/>
        <v>514.5218431372549</v>
      </c>
      <c r="H60" s="4095">
        <f t="shared" si="66"/>
        <v>514.5218431372549</v>
      </c>
      <c r="I60" s="2659">
        <f t="shared" si="67"/>
        <v>514.5218431372549</v>
      </c>
      <c r="J60" s="2658">
        <f t="shared" si="68"/>
        <v>514.5218431372549</v>
      </c>
      <c r="K60" s="4090">
        <f t="shared" si="69"/>
        <v>514.5218431372549</v>
      </c>
      <c r="L60" s="2659">
        <f t="shared" si="70"/>
        <v>514.5218431372549</v>
      </c>
      <c r="M60" s="2659">
        <f t="shared" si="71"/>
        <v>514.5218431372549</v>
      </c>
      <c r="N60" s="4095">
        <f t="shared" si="72"/>
        <v>514.5218431372549</v>
      </c>
      <c r="O60" s="2659">
        <f t="shared" si="73"/>
        <v>514.5218431372549</v>
      </c>
      <c r="P60" s="2658">
        <f t="shared" si="74"/>
        <v>514.5218431372549</v>
      </c>
      <c r="Q60" s="4100">
        <f t="shared" si="38"/>
        <v>6174.2621176470593</v>
      </c>
      <c r="R60" s="1652" t="s">
        <v>386</v>
      </c>
      <c r="S60" s="3528"/>
      <c r="W60" s="4827">
        <v>644.26934134615385</v>
      </c>
    </row>
    <row r="61" spans="1:23" s="2650" customFormat="1" ht="19.5" customHeight="1">
      <c r="A61" s="5480"/>
      <c r="B61" s="2651"/>
      <c r="C61" s="4085">
        <v>41</v>
      </c>
      <c r="D61" s="2652" t="s">
        <v>383</v>
      </c>
      <c r="E61" s="2659">
        <v>728.96470588235297</v>
      </c>
      <c r="F61" s="2659">
        <f t="shared" si="64"/>
        <v>728.96470588235297</v>
      </c>
      <c r="G61" s="2659">
        <f t="shared" si="65"/>
        <v>728.96470588235297</v>
      </c>
      <c r="H61" s="4095">
        <f t="shared" si="66"/>
        <v>728.96470588235297</v>
      </c>
      <c r="I61" s="2659">
        <f t="shared" si="67"/>
        <v>728.96470588235297</v>
      </c>
      <c r="J61" s="2658">
        <f t="shared" si="68"/>
        <v>728.96470588235297</v>
      </c>
      <c r="K61" s="4090">
        <f t="shared" si="69"/>
        <v>728.96470588235297</v>
      </c>
      <c r="L61" s="2659">
        <f t="shared" si="70"/>
        <v>728.96470588235297</v>
      </c>
      <c r="M61" s="2659">
        <f t="shared" si="71"/>
        <v>728.96470588235297</v>
      </c>
      <c r="N61" s="4095">
        <f t="shared" si="72"/>
        <v>728.96470588235297</v>
      </c>
      <c r="O61" s="2659">
        <f t="shared" si="73"/>
        <v>728.96470588235297</v>
      </c>
      <c r="P61" s="2658">
        <f t="shared" si="74"/>
        <v>728.96470588235297</v>
      </c>
      <c r="Q61" s="4100">
        <f t="shared" si="38"/>
        <v>8747.5764705882357</v>
      </c>
      <c r="R61" s="1652" t="s">
        <v>386</v>
      </c>
      <c r="S61" s="3528"/>
      <c r="W61" s="4827">
        <v>707.32932692307691</v>
      </c>
    </row>
    <row r="62" spans="1:23" s="2650" customFormat="1" ht="19.5" customHeight="1">
      <c r="A62" s="5480"/>
      <c r="B62" s="2651"/>
      <c r="C62" s="4085">
        <v>42</v>
      </c>
      <c r="D62" s="2652" t="s">
        <v>829</v>
      </c>
      <c r="E62" s="2659">
        <f>'4. L PLAN'!F40*1.02</f>
        <v>852.61367965177396</v>
      </c>
      <c r="F62" s="2659">
        <f>'4. L PLAN'!G40*1.02</f>
        <v>837.66701083116925</v>
      </c>
      <c r="G62" s="2659">
        <f>'4. L PLAN'!H40*1.02</f>
        <v>820.68847118265137</v>
      </c>
      <c r="H62" s="4095">
        <f>'4. L PLAN'!I40*1.02</f>
        <v>805.65070972146054</v>
      </c>
      <c r="I62" s="2659">
        <f>'4. L PLAN'!J40*1.02</f>
        <v>791.65058877094782</v>
      </c>
      <c r="J62" s="2658">
        <f>'4. L PLAN'!K40*1.02</f>
        <v>778.79276860258835</v>
      </c>
      <c r="K62" s="4090">
        <f>'4. L PLAN'!L40*1.02</f>
        <v>766.95797712763556</v>
      </c>
      <c r="L62" s="2659">
        <f>'4. L PLAN'!M40*1.02</f>
        <v>756.03939592224117</v>
      </c>
      <c r="M62" s="2659">
        <f>'4. L PLAN'!N40*1.02</f>
        <v>745.94135989163465</v>
      </c>
      <c r="N62" s="4095">
        <f>'4. L PLAN'!O40*1.02</f>
        <v>736.68469489358017</v>
      </c>
      <c r="O62" s="2659">
        <f>'4. L PLAN'!P40*1.02</f>
        <v>728.18155009051338</v>
      </c>
      <c r="P62" s="2658">
        <f>'4. L PLAN'!Q40*1.02</f>
        <v>720.35324749413769</v>
      </c>
      <c r="Q62" s="4100">
        <f t="shared" si="38"/>
        <v>9341.2214541803351</v>
      </c>
      <c r="R62" s="1652" t="s">
        <v>166</v>
      </c>
      <c r="S62" s="3528"/>
      <c r="W62" s="4827">
        <v>0</v>
      </c>
    </row>
    <row r="63" spans="1:23" s="2650" customFormat="1" ht="19.5" customHeight="1">
      <c r="A63" s="5480"/>
      <c r="B63" s="2651"/>
      <c r="C63" s="4085">
        <v>43</v>
      </c>
      <c r="D63" s="2652" t="s">
        <v>1433</v>
      </c>
      <c r="E63" s="2659">
        <f>(6500*7)/12</f>
        <v>3791.6666666666665</v>
      </c>
      <c r="F63" s="2659">
        <f t="shared" ref="F63:P63" si="75">(6500*7)/12</f>
        <v>3791.6666666666665</v>
      </c>
      <c r="G63" s="2659">
        <f t="shared" si="75"/>
        <v>3791.6666666666665</v>
      </c>
      <c r="H63" s="4095">
        <f t="shared" si="75"/>
        <v>3791.6666666666665</v>
      </c>
      <c r="I63" s="2659">
        <f t="shared" si="75"/>
        <v>3791.6666666666665</v>
      </c>
      <c r="J63" s="2658">
        <f t="shared" si="75"/>
        <v>3791.6666666666665</v>
      </c>
      <c r="K63" s="4090">
        <f t="shared" si="75"/>
        <v>3791.6666666666665</v>
      </c>
      <c r="L63" s="2659">
        <f t="shared" si="75"/>
        <v>3791.6666666666665</v>
      </c>
      <c r="M63" s="2659">
        <f t="shared" si="75"/>
        <v>3791.6666666666665</v>
      </c>
      <c r="N63" s="4095">
        <f t="shared" si="75"/>
        <v>3791.6666666666665</v>
      </c>
      <c r="O63" s="2659">
        <f t="shared" si="75"/>
        <v>3791.6666666666665</v>
      </c>
      <c r="P63" s="2658">
        <f t="shared" si="75"/>
        <v>3791.6666666666665</v>
      </c>
      <c r="Q63" s="4100">
        <f t="shared" si="38"/>
        <v>45499.999999999993</v>
      </c>
      <c r="R63" s="1652" t="s">
        <v>239</v>
      </c>
      <c r="S63" s="3528"/>
      <c r="W63" s="4827">
        <v>5961.1036346153842</v>
      </c>
    </row>
    <row r="64" spans="1:23" s="2650" customFormat="1" ht="19.5" customHeight="1">
      <c r="A64" s="5480"/>
      <c r="B64" s="2651"/>
      <c r="C64" s="4085">
        <v>44</v>
      </c>
      <c r="D64" s="2652" t="s">
        <v>317</v>
      </c>
      <c r="E64" s="2659">
        <v>1693.1816173242348</v>
      </c>
      <c r="F64" s="2659">
        <v>1693.1816173242348</v>
      </c>
      <c r="G64" s="2659">
        <v>1693.1816173242348</v>
      </c>
      <c r="H64" s="4095">
        <v>1693.1816173242348</v>
      </c>
      <c r="I64" s="2659">
        <v>1693.1816173242348</v>
      </c>
      <c r="J64" s="2658">
        <v>1693.1816173242348</v>
      </c>
      <c r="K64" s="4090">
        <v>1693.1816173242348</v>
      </c>
      <c r="L64" s="2659">
        <v>1693.1816173242348</v>
      </c>
      <c r="M64" s="2659">
        <v>1693.1816173242348</v>
      </c>
      <c r="N64" s="4095">
        <v>1693.1816173242348</v>
      </c>
      <c r="O64" s="2659">
        <v>1693.1816173242348</v>
      </c>
      <c r="P64" s="2658">
        <v>1693.1816173242348</v>
      </c>
      <c r="Q64" s="4100">
        <f t="shared" si="38"/>
        <v>20318.179407890813</v>
      </c>
      <c r="R64" s="1652" t="s">
        <v>386</v>
      </c>
      <c r="S64" s="3528"/>
      <c r="W64" s="4827">
        <v>1892.9027703846155</v>
      </c>
    </row>
    <row r="65" spans="1:23" s="2650" customFormat="1" ht="19.5" customHeight="1">
      <c r="A65" s="5480"/>
      <c r="B65" s="2651"/>
      <c r="C65" s="4085">
        <v>45</v>
      </c>
      <c r="D65" s="2652" t="s">
        <v>1193</v>
      </c>
      <c r="E65" s="2659">
        <f t="shared" ref="E65:P65" si="76">E5*0.41%</f>
        <v>15126.42024296059</v>
      </c>
      <c r="F65" s="2659">
        <f t="shared" si="76"/>
        <v>14150.132202434219</v>
      </c>
      <c r="G65" s="2659">
        <f t="shared" si="76"/>
        <v>16494.767701102508</v>
      </c>
      <c r="H65" s="4095">
        <f t="shared" si="76"/>
        <v>15786.011196687779</v>
      </c>
      <c r="I65" s="2659">
        <f t="shared" si="76"/>
        <v>15639.822565575074</v>
      </c>
      <c r="J65" s="2658">
        <f t="shared" si="76"/>
        <v>16189.242568528918</v>
      </c>
      <c r="K65" s="4090">
        <f t="shared" si="76"/>
        <v>15758.078733576098</v>
      </c>
      <c r="L65" s="2659">
        <f t="shared" si="76"/>
        <v>15125.1617047941</v>
      </c>
      <c r="M65" s="2659">
        <f t="shared" si="76"/>
        <v>15128.990830576951</v>
      </c>
      <c r="N65" s="4095">
        <f t="shared" si="76"/>
        <v>15074.837737343189</v>
      </c>
      <c r="O65" s="2659">
        <f t="shared" si="76"/>
        <v>14014.465103748063</v>
      </c>
      <c r="P65" s="2658">
        <f t="shared" si="76"/>
        <v>13251.135248530631</v>
      </c>
      <c r="Q65" s="4100">
        <f t="shared" si="38"/>
        <v>181739.06583585811</v>
      </c>
      <c r="R65" s="1652" t="s">
        <v>386</v>
      </c>
      <c r="S65" s="3528"/>
      <c r="W65" s="4827">
        <v>10714.86365902296</v>
      </c>
    </row>
    <row r="66" spans="1:23" s="2650" customFormat="1" ht="19.5" customHeight="1" thickBot="1">
      <c r="A66" s="5481"/>
      <c r="B66" s="2664"/>
      <c r="C66" s="4086">
        <v>46</v>
      </c>
      <c r="D66" s="2665" t="s">
        <v>524</v>
      </c>
      <c r="E66" s="2667">
        <v>21017.694343754283</v>
      </c>
      <c r="F66" s="2667">
        <v>21017.694343754283</v>
      </c>
      <c r="G66" s="2667">
        <v>21017.694343754283</v>
      </c>
      <c r="H66" s="4097">
        <v>21017.694343754283</v>
      </c>
      <c r="I66" s="2667">
        <v>21017.694343754283</v>
      </c>
      <c r="J66" s="2666">
        <v>21017.694343754283</v>
      </c>
      <c r="K66" s="4092">
        <v>21017.694343754283</v>
      </c>
      <c r="L66" s="2667">
        <v>21017.694343754283</v>
      </c>
      <c r="M66" s="2667">
        <v>21017.694343754283</v>
      </c>
      <c r="N66" s="4097">
        <v>21017.694343754283</v>
      </c>
      <c r="O66" s="2667">
        <v>21017.694343754283</v>
      </c>
      <c r="P66" s="2666">
        <v>21017.694343754283</v>
      </c>
      <c r="Q66" s="4101">
        <f t="shared" si="38"/>
        <v>252212.33212505144</v>
      </c>
      <c r="R66" s="1652" t="s">
        <v>386</v>
      </c>
      <c r="S66" s="3528"/>
      <c r="W66" s="4827">
        <v>17495.556095480122</v>
      </c>
    </row>
    <row r="67" spans="1:23" ht="19.5" customHeight="1" thickBot="1">
      <c r="A67" s="2669"/>
      <c r="B67" s="5395" t="s">
        <v>15</v>
      </c>
      <c r="C67" s="5395"/>
      <c r="D67" s="5478"/>
      <c r="E67" s="3670">
        <f>SUM(E44:E66)</f>
        <v>425621.43308559322</v>
      </c>
      <c r="F67" s="2670">
        <f t="shared" ref="F67:Q67" si="77">SUM(F44:F66)</f>
        <v>427859.04675783752</v>
      </c>
      <c r="G67" s="3670">
        <f t="shared" si="77"/>
        <v>438379.32654843031</v>
      </c>
      <c r="H67" s="2741">
        <f t="shared" si="77"/>
        <v>416900.76587623375</v>
      </c>
      <c r="I67" s="2670">
        <f t="shared" si="77"/>
        <v>415586.14379205735</v>
      </c>
      <c r="J67" s="2671">
        <f t="shared" si="77"/>
        <v>423990.18541313469</v>
      </c>
      <c r="K67" s="4093">
        <f t="shared" si="77"/>
        <v>410761.54451815994</v>
      </c>
      <c r="L67" s="2673">
        <f t="shared" si="77"/>
        <v>405599.83626169438</v>
      </c>
      <c r="M67" s="2675">
        <f t="shared" si="77"/>
        <v>414352.76999787986</v>
      </c>
      <c r="N67" s="2672">
        <f t="shared" si="77"/>
        <v>404669.5039827344</v>
      </c>
      <c r="O67" s="2673">
        <f t="shared" si="77"/>
        <v>396331.17798832408</v>
      </c>
      <c r="P67" s="2674">
        <f t="shared" si="77"/>
        <v>404005.58021165989</v>
      </c>
      <c r="Q67" s="2410">
        <f t="shared" si="77"/>
        <v>4984057.3144337377</v>
      </c>
      <c r="R67" s="1652"/>
      <c r="W67" s="4827">
        <v>0</v>
      </c>
    </row>
    <row r="68" spans="1:23" ht="19.5" customHeight="1" thickBot="1">
      <c r="A68" s="5482" t="s">
        <v>193</v>
      </c>
      <c r="B68" s="5483"/>
      <c r="C68" s="5483"/>
      <c r="D68" s="5484"/>
      <c r="E68" s="3671">
        <f t="shared" ref="E68:P68" si="78">E67/E5</f>
        <v>0.11536423341557155</v>
      </c>
      <c r="F68" s="2676">
        <f t="shared" si="78"/>
        <v>0.12397213443739828</v>
      </c>
      <c r="G68" s="3672">
        <f t="shared" si="78"/>
        <v>0.10896517437638295</v>
      </c>
      <c r="H68" s="3671">
        <f t="shared" si="78"/>
        <v>0.10827897679758407</v>
      </c>
      <c r="I68" s="2676">
        <f t="shared" si="78"/>
        <v>0.10894645271090916</v>
      </c>
      <c r="J68" s="2676">
        <f t="shared" si="78"/>
        <v>0.10737746085620689</v>
      </c>
      <c r="K68" s="2677">
        <f t="shared" si="78"/>
        <v>0.10687358281413188</v>
      </c>
      <c r="L68" s="2678">
        <f t="shared" si="78"/>
        <v>0.10994654874637486</v>
      </c>
      <c r="M68" s="4055">
        <f t="shared" si="78"/>
        <v>0.11229079163415165</v>
      </c>
      <c r="N68" s="2677">
        <f t="shared" si="78"/>
        <v>0.11006055224191229</v>
      </c>
      <c r="O68" s="2678">
        <f t="shared" si="78"/>
        <v>0.11594861578538204</v>
      </c>
      <c r="P68" s="2679">
        <f t="shared" si="78"/>
        <v>0.12500233736965896</v>
      </c>
      <c r="Q68" s="4102">
        <f>AVERAGE(F68:P68)</f>
        <v>0.11251478434273574</v>
      </c>
      <c r="R68" s="1652"/>
      <c r="S68" s="1541"/>
      <c r="T68" s="1541"/>
    </row>
    <row r="69" spans="1:23" ht="13.5">
      <c r="A69" s="2680"/>
      <c r="E69" s="3673"/>
      <c r="F69" s="3673"/>
      <c r="G69" s="3674"/>
      <c r="H69" s="3675"/>
      <c r="I69" s="3675"/>
      <c r="J69" s="2681"/>
      <c r="K69" s="2682"/>
      <c r="L69" s="2682"/>
      <c r="M69" s="2682"/>
      <c r="N69" s="2682"/>
      <c r="O69" s="2682"/>
      <c r="P69" s="2682"/>
      <c r="Q69" s="1542" t="b">
        <f>Q67=SUM(E67:P67)</f>
        <v>1</v>
      </c>
      <c r="R69" s="1577"/>
    </row>
    <row r="70" spans="1:23" ht="19.5" customHeight="1" thickBot="1">
      <c r="A70" s="1547" t="s">
        <v>543</v>
      </c>
      <c r="E70" s="1578"/>
      <c r="K70" s="1542"/>
      <c r="L70" s="1542"/>
      <c r="M70" s="1542"/>
      <c r="N70" s="1542"/>
      <c r="O70" s="1542"/>
      <c r="P70" s="1542"/>
      <c r="Q70" s="1808" t="s">
        <v>87</v>
      </c>
      <c r="R70" s="2636"/>
    </row>
    <row r="71" spans="1:23" s="1537" customFormat="1" ht="19.5" customHeight="1" thickBot="1">
      <c r="A71" s="1548" t="s">
        <v>117</v>
      </c>
      <c r="B71" s="2501" t="s">
        <v>116</v>
      </c>
      <c r="C71" s="81" t="s">
        <v>1029</v>
      </c>
      <c r="D71" s="2502" t="s">
        <v>31</v>
      </c>
      <c r="E71" s="1548" t="str">
        <f t="shared" ref="E71:Q71" si="79">E43</f>
        <v>Jan.26</v>
      </c>
      <c r="F71" s="81" t="str">
        <f t="shared" si="79"/>
        <v>Feb.26</v>
      </c>
      <c r="G71" s="1549" t="str">
        <f t="shared" si="79"/>
        <v>Mar.26</v>
      </c>
      <c r="H71" s="1548" t="str">
        <f t="shared" si="79"/>
        <v>Apr.26</v>
      </c>
      <c r="I71" s="81" t="str">
        <f t="shared" si="79"/>
        <v>May.26</v>
      </c>
      <c r="J71" s="81" t="str">
        <f t="shared" si="79"/>
        <v>Jun.26</v>
      </c>
      <c r="K71" s="1548" t="str">
        <f t="shared" si="79"/>
        <v>Jul.26</v>
      </c>
      <c r="L71" s="81" t="str">
        <f t="shared" si="79"/>
        <v>Aug.26</v>
      </c>
      <c r="M71" s="1549" t="str">
        <f t="shared" si="79"/>
        <v>Sep.26</v>
      </c>
      <c r="N71" s="1548" t="str">
        <f t="shared" si="79"/>
        <v>Oct.26</v>
      </c>
      <c r="O71" s="81" t="str">
        <f t="shared" si="79"/>
        <v>Nov.26</v>
      </c>
      <c r="P71" s="1549" t="str">
        <f t="shared" si="79"/>
        <v>Dec.26</v>
      </c>
      <c r="Q71" s="2683" t="str">
        <f t="shared" si="79"/>
        <v>2026
Total</v>
      </c>
      <c r="R71" s="2642"/>
      <c r="W71" s="4825"/>
    </row>
    <row r="72" spans="1:23" ht="19.5" customHeight="1">
      <c r="A72" s="5488" t="s">
        <v>544</v>
      </c>
      <c r="B72" s="5489"/>
      <c r="C72" s="4085">
        <v>47</v>
      </c>
      <c r="D72" s="2684" t="s">
        <v>1057</v>
      </c>
      <c r="E72" s="2685">
        <v>45000</v>
      </c>
      <c r="F72" s="2686">
        <f t="shared" ref="F72:I72" si="80">+E72</f>
        <v>45000</v>
      </c>
      <c r="G72" s="2687">
        <f t="shared" si="80"/>
        <v>45000</v>
      </c>
      <c r="H72" s="3676">
        <f t="shared" si="80"/>
        <v>45000</v>
      </c>
      <c r="I72" s="2686">
        <f t="shared" si="80"/>
        <v>45000</v>
      </c>
      <c r="J72" s="2686">
        <f>+I72</f>
        <v>45000</v>
      </c>
      <c r="K72" s="2685">
        <f t="shared" ref="K72" si="81">+J72</f>
        <v>45000</v>
      </c>
      <c r="L72" s="2686">
        <f t="shared" ref="L72" si="82">+K72</f>
        <v>45000</v>
      </c>
      <c r="M72" s="2687">
        <f t="shared" ref="M72" si="83">+L72</f>
        <v>45000</v>
      </c>
      <c r="N72" s="2685">
        <f t="shared" ref="N72" si="84">+M72</f>
        <v>45000</v>
      </c>
      <c r="O72" s="2686">
        <f t="shared" ref="O72" si="85">+N72</f>
        <v>45000</v>
      </c>
      <c r="P72" s="2687">
        <f t="shared" ref="P72" si="86">+O72</f>
        <v>45000</v>
      </c>
      <c r="Q72" s="2660">
        <f>SUM(E72:P72)</f>
        <v>540000</v>
      </c>
      <c r="R72" s="2636"/>
    </row>
    <row r="73" spans="1:23" ht="19.5" customHeight="1">
      <c r="A73" s="5490"/>
      <c r="B73" s="5491"/>
      <c r="C73" s="4085">
        <v>48</v>
      </c>
      <c r="D73" s="1629" t="s">
        <v>1369</v>
      </c>
      <c r="E73" s="1562">
        <v>383.29615384615386</v>
      </c>
      <c r="F73" s="1563">
        <v>383.29615384615386</v>
      </c>
      <c r="G73" s="1564">
        <v>383.29615384615386</v>
      </c>
      <c r="H73" s="1610">
        <v>383.29615384615386</v>
      </c>
      <c r="I73" s="1563">
        <v>383.29615384615386</v>
      </c>
      <c r="J73" s="1563">
        <v>383.29615384615386</v>
      </c>
      <c r="K73" s="1562">
        <v>383.29615384615386</v>
      </c>
      <c r="L73" s="1563">
        <v>383.29615384615386</v>
      </c>
      <c r="M73" s="1564">
        <v>383.29615384615386</v>
      </c>
      <c r="N73" s="1562">
        <v>383.29615384615386</v>
      </c>
      <c r="O73" s="1563">
        <v>383.29615384615386</v>
      </c>
      <c r="P73" s="1564">
        <v>383.29615384615386</v>
      </c>
      <c r="Q73" s="2688">
        <f>SUM(E73:P73)</f>
        <v>4599.5538461538472</v>
      </c>
      <c r="R73" s="2636"/>
    </row>
    <row r="74" spans="1:23" ht="19.5" customHeight="1" thickBot="1">
      <c r="A74" s="5492"/>
      <c r="B74" s="5493"/>
      <c r="C74" s="4085">
        <v>49</v>
      </c>
      <c r="D74" s="3376" t="s">
        <v>1058</v>
      </c>
      <c r="E74" s="3379">
        <f>+'12. FA Loan'!L50</f>
        <v>17456.562307784316</v>
      </c>
      <c r="F74" s="3377">
        <f>+'12. FA Loan'!M50</f>
        <v>16931.647445996958</v>
      </c>
      <c r="G74" s="3378">
        <f>+'12. FA Loan'!N50</f>
        <v>16406.732584209603</v>
      </c>
      <c r="H74" s="3677">
        <f>+'12. FA Loan'!O50</f>
        <v>15881.817722422249</v>
      </c>
      <c r="I74" s="3377">
        <f>+'12. FA Loan'!P50</f>
        <v>15356.902860634891</v>
      </c>
      <c r="J74" s="3377">
        <f>+'12. FA Loan'!Q50</f>
        <v>14831.987998847537</v>
      </c>
      <c r="K74" s="3379">
        <f>+'12. FA Loan'!R50</f>
        <v>10101.133393553293</v>
      </c>
      <c r="L74" s="3377">
        <f>+'12. FA Loan'!S50</f>
        <v>9754.0745270527659</v>
      </c>
      <c r="M74" s="3378">
        <f>+'12. FA Loan'!T50</f>
        <v>9407.015660552237</v>
      </c>
      <c r="N74" s="3379">
        <f>+'12. FA Loan'!U50</f>
        <v>9059.9567940517118</v>
      </c>
      <c r="O74" s="3377">
        <f>+'12. FA Loan'!V50</f>
        <v>8812.3283281308723</v>
      </c>
      <c r="P74" s="3378">
        <f>+'12. FA Loan'!W50</f>
        <v>8459.6330196192794</v>
      </c>
      <c r="Q74" s="2668">
        <f>SUM(E74:P74)</f>
        <v>152459.79264285573</v>
      </c>
      <c r="R74" s="2636"/>
    </row>
    <row r="75" spans="1:23" ht="19.5" customHeight="1" thickBot="1">
      <c r="A75" s="2689"/>
      <c r="B75" s="5395" t="s">
        <v>15</v>
      </c>
      <c r="C75" s="5395"/>
      <c r="D75" s="5478"/>
      <c r="E75" s="1617">
        <f t="shared" ref="E75:I75" si="87">SUM(E72:E74)</f>
        <v>62839.858461630472</v>
      </c>
      <c r="F75" s="1618">
        <f t="shared" si="87"/>
        <v>62314.943599843114</v>
      </c>
      <c r="G75" s="1619">
        <f t="shared" si="87"/>
        <v>61790.028738055757</v>
      </c>
      <c r="H75" s="1621">
        <f t="shared" si="87"/>
        <v>61265.113876268399</v>
      </c>
      <c r="I75" s="1618">
        <f t="shared" si="87"/>
        <v>60740.199014481041</v>
      </c>
      <c r="J75" s="1618">
        <f t="shared" ref="J75:Q75" si="88">SUM(J72:J74)</f>
        <v>60215.28415269369</v>
      </c>
      <c r="K75" s="1617">
        <f t="shared" si="88"/>
        <v>55484.429547399443</v>
      </c>
      <c r="L75" s="1618">
        <f t="shared" si="88"/>
        <v>55137.370680898923</v>
      </c>
      <c r="M75" s="1619">
        <f t="shared" si="88"/>
        <v>54790.311814398388</v>
      </c>
      <c r="N75" s="1617">
        <f t="shared" si="88"/>
        <v>54443.252947897869</v>
      </c>
      <c r="O75" s="1618">
        <f t="shared" si="88"/>
        <v>54195.624481977022</v>
      </c>
      <c r="P75" s="1619">
        <f t="shared" si="88"/>
        <v>53842.929173465433</v>
      </c>
      <c r="Q75" s="1800">
        <f t="shared" si="88"/>
        <v>697059.34648900968</v>
      </c>
      <c r="R75" s="2636"/>
    </row>
    <row r="76" spans="1:23" s="1631" customFormat="1" ht="19.5" customHeight="1" thickBot="1">
      <c r="A76" s="3473"/>
      <c r="B76" s="3474"/>
      <c r="C76" s="4087"/>
      <c r="D76" s="3474"/>
      <c r="E76" s="2252"/>
      <c r="F76" s="2252"/>
      <c r="G76" s="2252"/>
      <c r="H76" s="2252"/>
      <c r="I76" s="2252"/>
      <c r="J76" s="2252"/>
      <c r="K76" s="2252"/>
      <c r="L76" s="2252"/>
      <c r="M76" s="2252"/>
      <c r="N76" s="2252"/>
      <c r="O76" s="2252"/>
      <c r="P76" s="2252"/>
      <c r="Q76" s="2347"/>
      <c r="R76" s="2636"/>
      <c r="W76" s="4826"/>
    </row>
    <row r="77" spans="1:23" ht="19.5" customHeight="1" thickBot="1">
      <c r="A77" s="3475" t="s">
        <v>1230</v>
      </c>
      <c r="B77" s="3476"/>
      <c r="C77" s="4088">
        <v>50</v>
      </c>
      <c r="D77" s="3477"/>
      <c r="E77" s="3644">
        <f>+'10. IS'!B13</f>
        <v>410653</v>
      </c>
      <c r="F77" s="2247">
        <f>+'10. IS'!C13</f>
        <v>30000</v>
      </c>
      <c r="G77" s="2248">
        <f>+'10. IS'!D13</f>
        <v>30000</v>
      </c>
      <c r="H77" s="3678">
        <f>+'10. IS'!E13</f>
        <v>30000</v>
      </c>
      <c r="I77" s="2247">
        <f>+'10. IS'!F13</f>
        <v>30000</v>
      </c>
      <c r="J77" s="2247">
        <f>+'10. IS'!G13</f>
        <v>30000</v>
      </c>
      <c r="K77" s="2246">
        <f>+'10. IS'!H13</f>
        <v>30000</v>
      </c>
      <c r="L77" s="2247">
        <f>+'10. IS'!I13</f>
        <v>30000</v>
      </c>
      <c r="M77" s="2248">
        <f>+'10. IS'!J13</f>
        <v>30000</v>
      </c>
      <c r="N77" s="2246">
        <f>+'10. IS'!K13</f>
        <v>30000</v>
      </c>
      <c r="O77" s="2247">
        <f>+'10. IS'!L13</f>
        <v>30000</v>
      </c>
      <c r="P77" s="2248">
        <f>+'10. IS'!M13</f>
        <v>30000</v>
      </c>
      <c r="Q77" s="1800">
        <f>SUM(E77:P77)</f>
        <v>740653</v>
      </c>
    </row>
    <row r="78" spans="1:23" ht="19.5" customHeight="1">
      <c r="Q78" s="1541"/>
    </row>
    <row r="79" spans="1:23" ht="19.5" customHeight="1">
      <c r="F79" s="2613"/>
    </row>
    <row r="80" spans="1:23" ht="22.5" customHeight="1">
      <c r="L80" s="2690"/>
    </row>
    <row r="81" spans="5:16" ht="22.5" customHeight="1"/>
    <row r="82" spans="5:16" ht="19.5" hidden="1" customHeight="1" thickBot="1"/>
    <row r="83" spans="5:16" ht="19.5" hidden="1" customHeight="1" thickBot="1">
      <c r="E83" s="3513">
        <v>205669.05957633618</v>
      </c>
      <c r="F83" s="3514">
        <v>80627.969585757761</v>
      </c>
      <c r="G83" s="3514">
        <v>441086.70904567197</v>
      </c>
      <c r="H83" s="3514"/>
      <c r="I83" s="3514"/>
      <c r="J83" s="3514">
        <v>194654.0329276447</v>
      </c>
      <c r="K83" s="3514">
        <v>145122.06692099571</v>
      </c>
      <c r="L83" s="3514">
        <v>404612.56677754188</v>
      </c>
      <c r="M83" s="3514">
        <v>511868.07994597987</v>
      </c>
      <c r="N83" s="3514">
        <v>583211.07402593945</v>
      </c>
      <c r="O83" s="3514">
        <v>495589.94074417255</v>
      </c>
      <c r="P83" s="3515">
        <v>359572.27562872501</v>
      </c>
    </row>
    <row r="84" spans="5:16" ht="19.5" hidden="1" customHeight="1"/>
  </sheetData>
  <mergeCells count="13">
    <mergeCell ref="A4:D4"/>
    <mergeCell ref="B67:D67"/>
    <mergeCell ref="A5:D5"/>
    <mergeCell ref="B33:D33"/>
    <mergeCell ref="A36:D36"/>
    <mergeCell ref="A9:A33"/>
    <mergeCell ref="B75:D75"/>
    <mergeCell ref="A44:A66"/>
    <mergeCell ref="A68:D68"/>
    <mergeCell ref="A35:D35"/>
    <mergeCell ref="A34:D34"/>
    <mergeCell ref="A72:B74"/>
    <mergeCell ref="A37:D37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B90"/>
  <sheetViews>
    <sheetView showGridLines="0" topLeftCell="B10" zoomScale="70" zoomScaleNormal="70" workbookViewId="0">
      <selection activeCell="L33" sqref="L33"/>
    </sheetView>
  </sheetViews>
  <sheetFormatPr defaultColWidth="9" defaultRowHeight="13.5"/>
  <cols>
    <col min="1" max="1" width="15.125" style="1537" customWidth="1"/>
    <col min="2" max="2" width="11.875" style="1537" customWidth="1"/>
    <col min="3" max="3" width="5.625" style="1537" customWidth="1"/>
    <col min="4" max="4" width="54.125" style="9" customWidth="1"/>
    <col min="5" max="5" width="14.75" style="9" customWidth="1"/>
    <col min="6" max="6" width="10.375" style="9" customWidth="1"/>
    <col min="7" max="7" width="13.875" style="9" customWidth="1"/>
    <col min="8" max="11" width="11.375" style="9" customWidth="1"/>
    <col min="12" max="12" width="11.375" style="1716" customWidth="1"/>
    <col min="13" max="19" width="11.375" style="9" customWidth="1"/>
    <col min="20" max="20" width="16.375" style="9" customWidth="1"/>
    <col min="21" max="21" width="28" style="9" hidden="1" customWidth="1"/>
    <col min="22" max="22" width="29.125" style="1579" hidden="1" customWidth="1"/>
    <col min="23" max="24" width="8" style="9" hidden="1" customWidth="1"/>
    <col min="25" max="25" width="7.375" style="9" hidden="1" customWidth="1"/>
    <col min="26" max="26" width="4.375" style="9" hidden="1" customWidth="1"/>
    <col min="27" max="27" width="9" style="9" hidden="1" customWidth="1"/>
    <col min="28" max="28" width="13.125" style="9" bestFit="1" customWidth="1"/>
    <col min="29" max="29" width="9" style="9"/>
    <col min="30" max="30" width="11.625" style="9" bestFit="1" customWidth="1"/>
    <col min="31" max="16384" width="9" style="9"/>
  </cols>
  <sheetData>
    <row r="1" spans="1:28" ht="28.15" customHeight="1">
      <c r="A1" s="1538" t="s">
        <v>203</v>
      </c>
      <c r="B1" s="1538"/>
      <c r="C1" s="1538"/>
      <c r="D1" s="1539"/>
      <c r="E1" s="1539"/>
      <c r="F1" s="1539"/>
      <c r="G1" s="1539"/>
      <c r="H1" s="1541"/>
      <c r="I1" s="1541"/>
      <c r="J1" s="1541"/>
      <c r="K1" s="1541"/>
      <c r="M1" s="1541"/>
      <c r="N1" s="1541"/>
      <c r="O1" s="1541"/>
      <c r="P1" s="1541"/>
      <c r="Q1" s="1541"/>
      <c r="R1" s="1541"/>
      <c r="S1" s="1541"/>
      <c r="T1" s="1541"/>
    </row>
    <row r="2" spans="1:28" ht="20.25" customHeight="1">
      <c r="W2" s="1579"/>
    </row>
    <row r="3" spans="1:28" ht="19.5" customHeight="1" thickBot="1">
      <c r="A3" s="1547" t="s">
        <v>1370</v>
      </c>
      <c r="B3" s="1547"/>
      <c r="C3" s="1547"/>
      <c r="T3" s="1546" t="s">
        <v>1371</v>
      </c>
      <c r="W3" s="1579"/>
    </row>
    <row r="4" spans="1:28" ht="30.75" customHeight="1" thickBot="1">
      <c r="A4" s="5151" t="s">
        <v>1480</v>
      </c>
      <c r="B4" s="5153"/>
      <c r="C4" s="88" t="s">
        <v>1027</v>
      </c>
      <c r="D4" s="81" t="s">
        <v>1481</v>
      </c>
      <c r="E4" s="81" t="s">
        <v>125</v>
      </c>
      <c r="F4" s="71" t="s">
        <v>1482</v>
      </c>
      <c r="G4" s="3613" t="s">
        <v>1466</v>
      </c>
      <c r="H4" s="3740" t="s">
        <v>1350</v>
      </c>
      <c r="I4" s="1877" t="s">
        <v>1351</v>
      </c>
      <c r="J4" s="33" t="s">
        <v>1352</v>
      </c>
      <c r="K4" s="90" t="s">
        <v>1353</v>
      </c>
      <c r="L4" s="1877" t="s">
        <v>1354</v>
      </c>
      <c r="M4" s="1878" t="s">
        <v>1355</v>
      </c>
      <c r="N4" s="1876" t="s">
        <v>1356</v>
      </c>
      <c r="O4" s="33" t="s">
        <v>1357</v>
      </c>
      <c r="P4" s="1878" t="s">
        <v>1358</v>
      </c>
      <c r="Q4" s="1876" t="s">
        <v>1359</v>
      </c>
      <c r="R4" s="1877" t="s">
        <v>1360</v>
      </c>
      <c r="S4" s="1878" t="s">
        <v>1361</v>
      </c>
      <c r="T4" s="1876" t="s">
        <v>1362</v>
      </c>
      <c r="U4" s="1550" t="s">
        <v>103</v>
      </c>
      <c r="V4" s="1579" t="s">
        <v>1190</v>
      </c>
      <c r="W4" s="1579" t="s">
        <v>1191</v>
      </c>
    </row>
    <row r="5" spans="1:28" ht="21" customHeight="1">
      <c r="A5" s="4834"/>
      <c r="B5" s="4776" t="s">
        <v>1531</v>
      </c>
      <c r="C5" s="4803">
        <v>1</v>
      </c>
      <c r="D5" s="4804" t="s">
        <v>1483</v>
      </c>
      <c r="E5" s="4805">
        <v>47374</v>
      </c>
      <c r="F5" s="4806">
        <v>1</v>
      </c>
      <c r="G5" s="4807">
        <f t="shared" ref="G5:G9" si="0">E5*F5</f>
        <v>47374</v>
      </c>
      <c r="H5" s="4621"/>
      <c r="I5" s="4136">
        <f>E5*50%</f>
        <v>23687</v>
      </c>
      <c r="J5" s="4136">
        <f>E5*50%</f>
        <v>23687</v>
      </c>
      <c r="K5" s="2216"/>
      <c r="L5" s="4129"/>
      <c r="M5" s="4621"/>
      <c r="N5" s="2216"/>
      <c r="O5" s="4136"/>
      <c r="P5" s="2218"/>
      <c r="Q5" s="4136"/>
      <c r="R5" s="4136"/>
      <c r="S5" s="2218"/>
      <c r="T5" s="4700">
        <f t="shared" ref="T5:T11" si="1">SUM(H5:S5)</f>
        <v>47374</v>
      </c>
      <c r="U5" s="2691"/>
      <c r="W5" s="1579"/>
      <c r="AB5" s="4756"/>
    </row>
    <row r="6" spans="1:28" ht="21" customHeight="1">
      <c r="A6" s="4834"/>
      <c r="B6" s="4776"/>
      <c r="C6" s="4803">
        <v>2</v>
      </c>
      <c r="D6" s="4804" t="s">
        <v>1582</v>
      </c>
      <c r="E6" s="4805">
        <v>50000</v>
      </c>
      <c r="F6" s="4806">
        <v>1</v>
      </c>
      <c r="G6" s="4807">
        <f>F6*E6</f>
        <v>50000</v>
      </c>
      <c r="H6" s="4621">
        <f>G6*0.7</f>
        <v>35000</v>
      </c>
      <c r="I6" s="4136"/>
      <c r="J6" s="2218"/>
      <c r="K6" s="2216"/>
      <c r="L6" s="4129"/>
      <c r="M6" s="2218"/>
      <c r="N6" s="4621"/>
      <c r="O6" s="4136"/>
      <c r="P6" s="2218"/>
      <c r="Q6" s="4621"/>
      <c r="R6" s="4136"/>
      <c r="S6" s="2218"/>
      <c r="T6" s="4700">
        <f t="shared" si="1"/>
        <v>35000</v>
      </c>
      <c r="U6" s="2691"/>
      <c r="W6" s="1579"/>
      <c r="AB6" s="4756"/>
    </row>
    <row r="7" spans="1:28" ht="20.25" customHeight="1">
      <c r="A7" s="4834"/>
      <c r="B7" s="4776"/>
      <c r="C7" s="4640">
        <v>3</v>
      </c>
      <c r="D7" s="4630" t="s">
        <v>1502</v>
      </c>
      <c r="E7" s="4634">
        <v>50000</v>
      </c>
      <c r="F7" s="4635">
        <v>1</v>
      </c>
      <c r="G7" s="4682">
        <f t="shared" si="0"/>
        <v>50000</v>
      </c>
      <c r="H7" s="4623"/>
      <c r="I7" s="4624"/>
      <c r="J7" s="4641"/>
      <c r="K7" s="4623"/>
      <c r="L7" s="4625"/>
      <c r="M7" s="4626"/>
      <c r="N7" s="4623"/>
      <c r="O7" s="4625">
        <f>E7*F7*30%</f>
        <v>15000</v>
      </c>
      <c r="P7" s="4624">
        <f>E7*F7*40%</f>
        <v>20000</v>
      </c>
      <c r="Q7" s="4638">
        <f>E7*F7*30%</f>
        <v>15000</v>
      </c>
      <c r="R7" s="4624"/>
      <c r="S7" s="4641"/>
      <c r="T7" s="4700">
        <f t="shared" si="1"/>
        <v>50000</v>
      </c>
      <c r="U7" s="2691"/>
      <c r="W7" s="1579"/>
      <c r="AB7" s="4756"/>
    </row>
    <row r="8" spans="1:28" ht="19.5" customHeight="1">
      <c r="A8" s="4834"/>
      <c r="B8" s="4835"/>
      <c r="C8" s="4784">
        <v>4</v>
      </c>
      <c r="D8" s="4905" t="s">
        <v>1529</v>
      </c>
      <c r="E8" s="4902">
        <v>200000</v>
      </c>
      <c r="F8" s="4903">
        <v>1</v>
      </c>
      <c r="G8" s="4904">
        <f>E8*F8</f>
        <v>200000</v>
      </c>
      <c r="H8" s="4836">
        <v>50000</v>
      </c>
      <c r="I8" s="4837">
        <f>H8</f>
        <v>50000</v>
      </c>
      <c r="J8" s="4838">
        <v>50000</v>
      </c>
      <c r="K8" s="4758">
        <v>50000</v>
      </c>
      <c r="L8" s="4840"/>
      <c r="M8" s="4841"/>
      <c r="N8" s="4839"/>
      <c r="O8" s="4837"/>
      <c r="P8" s="4838"/>
      <c r="Q8" s="4839"/>
      <c r="R8" s="4838"/>
      <c r="S8" s="4838"/>
      <c r="T8" s="4700">
        <f t="shared" si="1"/>
        <v>200000</v>
      </c>
      <c r="U8" s="2691"/>
      <c r="W8" s="1579"/>
      <c r="AB8" s="4756"/>
    </row>
    <row r="9" spans="1:28" ht="19.5" customHeight="1">
      <c r="A9" s="4834"/>
      <c r="B9" s="4796"/>
      <c r="C9" s="4913">
        <v>5</v>
      </c>
      <c r="D9" s="4631" t="s">
        <v>1503</v>
      </c>
      <c r="E9" s="4634">
        <v>800000</v>
      </c>
      <c r="F9" s="4635">
        <v>1</v>
      </c>
      <c r="G9" s="4682">
        <f t="shared" si="0"/>
        <v>800000</v>
      </c>
      <c r="H9" s="4622"/>
      <c r="I9" s="4625"/>
      <c r="J9" s="4624">
        <v>66666.666666666672</v>
      </c>
      <c r="K9" s="4637">
        <v>66666.666666666672</v>
      </c>
      <c r="L9" s="4622">
        <v>66666.666666666672</v>
      </c>
      <c r="M9" s="4626">
        <v>66666.666666666672</v>
      </c>
      <c r="N9" s="4638">
        <v>66666.666666666672</v>
      </c>
      <c r="O9" s="4625">
        <v>66666.666666666672</v>
      </c>
      <c r="P9" s="4624">
        <v>66666.666666666672</v>
      </c>
      <c r="Q9" s="4638">
        <v>66666.666666666672</v>
      </c>
      <c r="R9" s="4624">
        <v>66666.666666666672</v>
      </c>
      <c r="S9" s="4624">
        <v>66666.666666666672</v>
      </c>
      <c r="T9" s="4700">
        <f t="shared" si="1"/>
        <v>666666.66666666663</v>
      </c>
      <c r="U9" s="2691"/>
      <c r="W9" s="1579"/>
      <c r="AB9" s="4756"/>
    </row>
    <row r="10" spans="1:28" ht="27.75" customHeight="1" thickBot="1">
      <c r="A10" s="4777"/>
      <c r="B10" s="4778"/>
      <c r="C10" s="4911"/>
      <c r="D10" s="4779" t="s">
        <v>1372</v>
      </c>
      <c r="E10" s="4780"/>
      <c r="F10" s="4675"/>
      <c r="G10" s="4683"/>
      <c r="H10" s="4680">
        <f t="shared" ref="H10:S10" si="2">SUM(H5:H9)</f>
        <v>85000</v>
      </c>
      <c r="I10" s="4672">
        <f t="shared" si="2"/>
        <v>73687</v>
      </c>
      <c r="J10" s="4673">
        <f t="shared" si="2"/>
        <v>140353.66666666669</v>
      </c>
      <c r="K10" s="4671">
        <f t="shared" si="2"/>
        <v>116666.66666666667</v>
      </c>
      <c r="L10" s="4672">
        <f t="shared" si="2"/>
        <v>66666.666666666672</v>
      </c>
      <c r="M10" s="4674">
        <f t="shared" si="2"/>
        <v>66666.666666666672</v>
      </c>
      <c r="N10" s="4671">
        <f t="shared" si="2"/>
        <v>66666.666666666672</v>
      </c>
      <c r="O10" s="4672">
        <f t="shared" si="2"/>
        <v>81666.666666666672</v>
      </c>
      <c r="P10" s="4701">
        <f t="shared" si="2"/>
        <v>86666.666666666672</v>
      </c>
      <c r="Q10" s="4671">
        <f t="shared" si="2"/>
        <v>81666.666666666672</v>
      </c>
      <c r="R10" s="4673">
        <f t="shared" si="2"/>
        <v>66666.666666666672</v>
      </c>
      <c r="S10" s="4701">
        <f t="shared" si="2"/>
        <v>66666.666666666672</v>
      </c>
      <c r="T10" s="4702">
        <f t="shared" si="1"/>
        <v>999040.66666666651</v>
      </c>
      <c r="U10" s="4166"/>
      <c r="W10" s="1579"/>
      <c r="AB10" s="4756"/>
    </row>
    <row r="11" spans="1:28" ht="19.5" customHeight="1">
      <c r="A11" s="4781"/>
      <c r="B11" s="4782" t="s">
        <v>812</v>
      </c>
      <c r="C11" s="4688">
        <v>1</v>
      </c>
      <c r="D11" s="4689" t="s">
        <v>1478</v>
      </c>
      <c r="E11" s="4690">
        <v>150000</v>
      </c>
      <c r="F11" s="4691">
        <v>1</v>
      </c>
      <c r="G11" s="4692">
        <f t="shared" ref="G11:G45" si="3">E11*F11</f>
        <v>150000</v>
      </c>
      <c r="H11" s="4703"/>
      <c r="I11" s="4704"/>
      <c r="J11" s="4703">
        <f>G11*0.3</f>
        <v>45000</v>
      </c>
      <c r="K11" s="4705"/>
      <c r="L11" s="4706"/>
      <c r="M11" s="4707">
        <f>G11*0.6</f>
        <v>90000</v>
      </c>
      <c r="N11" s="4708"/>
      <c r="O11" s="4709">
        <f>G11*0.1</f>
        <v>15000</v>
      </c>
      <c r="P11" s="4709"/>
      <c r="Q11" s="4705"/>
      <c r="R11" s="4709"/>
      <c r="S11" s="4709"/>
      <c r="T11" s="4700">
        <f t="shared" si="1"/>
        <v>150000</v>
      </c>
      <c r="U11" s="2691"/>
      <c r="W11" s="1579"/>
      <c r="AB11" s="4756"/>
    </row>
    <row r="12" spans="1:28" ht="19.5" customHeight="1">
      <c r="A12" s="4781"/>
      <c r="B12" s="4782"/>
      <c r="C12" s="4643">
        <v>2</v>
      </c>
      <c r="D12" s="4658" t="s">
        <v>1460</v>
      </c>
      <c r="E12" s="4659">
        <v>150000</v>
      </c>
      <c r="F12" s="4660">
        <v>1</v>
      </c>
      <c r="G12" s="4684">
        <f t="shared" si="3"/>
        <v>150000</v>
      </c>
      <c r="H12" s="4627"/>
      <c r="I12" s="4629"/>
      <c r="J12" s="4627"/>
      <c r="K12" s="4758">
        <f>G12*0.3</f>
        <v>45000</v>
      </c>
      <c r="L12" s="4759"/>
      <c r="M12" s="4636"/>
      <c r="N12" s="4644">
        <f>G12*0.6</f>
        <v>90000</v>
      </c>
      <c r="O12" s="4628">
        <f>G12*0.1</f>
        <v>15000</v>
      </c>
      <c r="P12" s="4628"/>
      <c r="Q12" s="4758"/>
      <c r="R12" s="4628"/>
      <c r="S12" s="4628"/>
      <c r="T12" s="2209">
        <f t="shared" ref="T12:T45" si="4">SUM(H12:S12)</f>
        <v>150000</v>
      </c>
      <c r="U12" s="2691"/>
      <c r="W12" s="1579"/>
      <c r="AB12" s="4756"/>
    </row>
    <row r="13" spans="1:28" ht="19.5" customHeight="1">
      <c r="A13" s="4781"/>
      <c r="B13" s="4783" t="s">
        <v>1453</v>
      </c>
      <c r="C13" s="4662">
        <v>1</v>
      </c>
      <c r="D13" s="4890" t="s">
        <v>1451</v>
      </c>
      <c r="E13" s="4891">
        <v>32000</v>
      </c>
      <c r="F13" s="4892">
        <v>4</v>
      </c>
      <c r="G13" s="4893"/>
      <c r="H13" s="4694"/>
      <c r="I13" s="4712"/>
      <c r="J13" s="4712"/>
      <c r="K13" s="4711"/>
      <c r="L13" s="4645"/>
      <c r="M13" s="4710"/>
      <c r="N13" s="4711"/>
      <c r="O13" s="4645"/>
      <c r="P13" s="4712"/>
      <c r="Q13" s="4698"/>
      <c r="R13" s="4712"/>
      <c r="S13" s="4645"/>
      <c r="T13" s="4713">
        <f t="shared" si="4"/>
        <v>0</v>
      </c>
      <c r="U13" s="2691"/>
      <c r="W13" s="1579"/>
      <c r="AB13" s="4756"/>
    </row>
    <row r="14" spans="1:28" ht="20.25" customHeight="1">
      <c r="A14" s="4781"/>
      <c r="B14" s="4782"/>
      <c r="C14" s="4640">
        <v>2</v>
      </c>
      <c r="D14" s="4655" t="s">
        <v>1501</v>
      </c>
      <c r="E14" s="4656">
        <f>300000000/26000</f>
        <v>11538.461538461539</v>
      </c>
      <c r="F14" s="4657">
        <v>7</v>
      </c>
      <c r="G14" s="4685">
        <f t="shared" si="3"/>
        <v>80769.23076923078</v>
      </c>
      <c r="H14" s="4623">
        <f>$F$14*$E$14*30%</f>
        <v>24230.769230769234</v>
      </c>
      <c r="I14" s="4624"/>
      <c r="J14" s="4624"/>
      <c r="K14" s="4638">
        <f>$F$14*$E$14*70%</f>
        <v>56538.461538461546</v>
      </c>
      <c r="L14" s="4625"/>
      <c r="M14" s="4626"/>
      <c r="N14" s="4638"/>
      <c r="O14" s="4625"/>
      <c r="P14" s="4624"/>
      <c r="Q14" s="4638"/>
      <c r="R14" s="4624"/>
      <c r="S14" s="4641"/>
      <c r="T14" s="4056">
        <f t="shared" si="4"/>
        <v>80769.23076923078</v>
      </c>
      <c r="U14" s="2691"/>
      <c r="W14" s="1579"/>
      <c r="AB14" s="4756"/>
    </row>
    <row r="15" spans="1:28" ht="20.25" customHeight="1">
      <c r="A15" s="4781"/>
      <c r="B15" s="4782"/>
      <c r="C15" s="4640">
        <v>3</v>
      </c>
      <c r="D15" s="4655" t="s">
        <v>1461</v>
      </c>
      <c r="E15" s="4656">
        <v>12000</v>
      </c>
      <c r="F15" s="4657">
        <v>5</v>
      </c>
      <c r="G15" s="4685">
        <f t="shared" si="3"/>
        <v>60000</v>
      </c>
      <c r="H15" s="4623">
        <f>(G15/11*1)*0.3</f>
        <v>1636.3636363636365</v>
      </c>
      <c r="I15" s="4624"/>
      <c r="J15" s="4624">
        <f>(G15/11*1)*0.7</f>
        <v>3818.181818181818</v>
      </c>
      <c r="K15" s="4638">
        <f>(G15/11*4)*0.3</f>
        <v>6545.454545454546</v>
      </c>
      <c r="L15" s="4625"/>
      <c r="M15" s="4626">
        <f>(G15/11*4)*0.7</f>
        <v>15272.727272727272</v>
      </c>
      <c r="N15" s="4623"/>
      <c r="O15" s="4624"/>
      <c r="P15" s="4641"/>
      <c r="Q15" s="4623"/>
      <c r="R15" s="4625"/>
      <c r="S15" s="4626"/>
      <c r="T15" s="4056">
        <f t="shared" si="4"/>
        <v>27272.727272727272</v>
      </c>
      <c r="U15" s="2691"/>
      <c r="W15" s="1579"/>
      <c r="AB15" s="4756"/>
    </row>
    <row r="16" spans="1:28" ht="20.25" customHeight="1">
      <c r="A16" s="4781"/>
      <c r="B16" s="4782"/>
      <c r="C16" s="4640">
        <v>4</v>
      </c>
      <c r="D16" s="4655" t="s">
        <v>1504</v>
      </c>
      <c r="E16" s="4656">
        <v>10000</v>
      </c>
      <c r="F16" s="4657">
        <v>8</v>
      </c>
      <c r="G16" s="4685">
        <f t="shared" si="3"/>
        <v>80000</v>
      </c>
      <c r="H16" s="4623">
        <f>(G16/7*5)*0.3</f>
        <v>17142.857142857141</v>
      </c>
      <c r="I16" s="4624"/>
      <c r="J16" s="4624">
        <f>(G16/7*5)*0.7</f>
        <v>40000</v>
      </c>
      <c r="K16" s="4638">
        <f>(G16/7*3)*0.3</f>
        <v>10285.714285714286</v>
      </c>
      <c r="L16" s="4625"/>
      <c r="M16" s="4626">
        <f>(G16/7*3)*0.7</f>
        <v>24000</v>
      </c>
      <c r="N16" s="4623"/>
      <c r="O16" s="4624"/>
      <c r="P16" s="4641"/>
      <c r="Q16" s="4623"/>
      <c r="R16" s="4625"/>
      <c r="S16" s="4626"/>
      <c r="T16" s="4056">
        <f t="shared" si="4"/>
        <v>91428.571428571435</v>
      </c>
      <c r="U16" s="2691"/>
      <c r="W16" s="1579"/>
      <c r="AB16" s="4756"/>
    </row>
    <row r="17" spans="1:28" ht="18" customHeight="1">
      <c r="A17" s="4781"/>
      <c r="B17" s="4782"/>
      <c r="C17" s="4784">
        <v>5</v>
      </c>
      <c r="D17" s="4785" t="s">
        <v>1505</v>
      </c>
      <c r="E17" s="4786">
        <v>700000</v>
      </c>
      <c r="F17" s="4787">
        <v>1</v>
      </c>
      <c r="G17" s="4788">
        <f>E17*F17</f>
        <v>700000</v>
      </c>
      <c r="H17" s="4627">
        <v>70000</v>
      </c>
      <c r="I17" s="4628">
        <v>70000</v>
      </c>
      <c r="J17" s="4628">
        <v>70000</v>
      </c>
      <c r="K17" s="4644">
        <v>70000</v>
      </c>
      <c r="L17" s="4629">
        <v>70000</v>
      </c>
      <c r="M17" s="4636">
        <v>70000</v>
      </c>
      <c r="N17" s="4627">
        <v>70000</v>
      </c>
      <c r="O17" s="4628">
        <v>70000</v>
      </c>
      <c r="P17" s="4695">
        <v>70000</v>
      </c>
      <c r="Q17" s="4627">
        <v>70000</v>
      </c>
      <c r="R17" s="4629"/>
      <c r="S17" s="4636"/>
      <c r="T17" s="2209">
        <f t="shared" si="4"/>
        <v>700000</v>
      </c>
      <c r="U17" s="2691"/>
      <c r="W17" s="1579"/>
      <c r="AB17" s="4756"/>
    </row>
    <row r="18" spans="1:28" ht="18" customHeight="1">
      <c r="A18" s="4781"/>
      <c r="B18" s="4782"/>
      <c r="C18" s="4784">
        <v>6</v>
      </c>
      <c r="D18" s="4785" t="s">
        <v>1506</v>
      </c>
      <c r="E18" s="4786">
        <v>70000</v>
      </c>
      <c r="F18" s="4787">
        <v>1</v>
      </c>
      <c r="G18" s="4788">
        <f>E18*F18</f>
        <v>70000</v>
      </c>
      <c r="H18" s="4627"/>
      <c r="I18" s="4628"/>
      <c r="J18" s="4641"/>
      <c r="K18" s="4627">
        <f>G18*0.2</f>
        <v>14000</v>
      </c>
      <c r="L18" s="4629"/>
      <c r="M18" s="4636">
        <f>G18*0.2</f>
        <v>14000</v>
      </c>
      <c r="N18" s="4627">
        <f>G18*0.2</f>
        <v>14000</v>
      </c>
      <c r="O18" s="4628">
        <f>G18*0.2</f>
        <v>14000</v>
      </c>
      <c r="P18" s="4695">
        <f>G18*0.2</f>
        <v>14000</v>
      </c>
      <c r="Q18" s="4627"/>
      <c r="R18" s="4629"/>
      <c r="S18" s="4636"/>
      <c r="T18" s="2209">
        <f t="shared" si="4"/>
        <v>70000</v>
      </c>
      <c r="U18" s="2691"/>
      <c r="W18" s="1579"/>
      <c r="AB18" s="4756"/>
    </row>
    <row r="19" spans="1:28" ht="18" customHeight="1">
      <c r="A19" s="4781"/>
      <c r="B19" s="4782"/>
      <c r="C19" s="4789">
        <v>7</v>
      </c>
      <c r="D19" s="4790" t="s">
        <v>1479</v>
      </c>
      <c r="E19" s="4791">
        <v>3200</v>
      </c>
      <c r="F19" s="4792">
        <v>5</v>
      </c>
      <c r="G19" s="4793">
        <f>E19*F19</f>
        <v>16000</v>
      </c>
      <c r="H19" s="4774">
        <f>G19*0.7/2</f>
        <v>5600</v>
      </c>
      <c r="I19" s="4717"/>
      <c r="J19" s="4716">
        <f>G19*0.3/2</f>
        <v>2400</v>
      </c>
      <c r="K19" s="4773"/>
      <c r="L19" s="4717">
        <f>G19*0.7/2</f>
        <v>5600</v>
      </c>
      <c r="M19" s="4716"/>
      <c r="N19" s="4773"/>
      <c r="O19" s="4717"/>
      <c r="P19" s="4716"/>
      <c r="Q19" s="4773"/>
      <c r="R19" s="4717"/>
      <c r="S19" s="4716"/>
      <c r="T19" s="2209">
        <f t="shared" si="4"/>
        <v>13600</v>
      </c>
      <c r="U19" s="2691"/>
      <c r="W19" s="1579"/>
      <c r="AB19" s="4756"/>
    </row>
    <row r="20" spans="1:28" ht="21" customHeight="1">
      <c r="A20" s="4781"/>
      <c r="B20" s="4794" t="s">
        <v>800</v>
      </c>
      <c r="C20" s="4662">
        <v>1</v>
      </c>
      <c r="D20" s="4894" t="s">
        <v>1452</v>
      </c>
      <c r="E20" s="4895"/>
      <c r="F20" s="4896">
        <v>1</v>
      </c>
      <c r="G20" s="4897"/>
      <c r="H20" s="4696"/>
      <c r="I20" s="4694"/>
      <c r="J20" s="4697"/>
      <c r="K20" s="4698"/>
      <c r="L20" s="4696"/>
      <c r="M20" s="4710"/>
      <c r="N20" s="4711"/>
      <c r="O20" s="4645"/>
      <c r="P20" s="4712"/>
      <c r="Q20" s="4711"/>
      <c r="R20" s="4712"/>
      <c r="S20" s="4697"/>
      <c r="T20" s="4713">
        <f t="shared" si="4"/>
        <v>0</v>
      </c>
      <c r="U20" s="2691"/>
      <c r="W20" s="1579"/>
      <c r="AB20" s="4756"/>
    </row>
    <row r="21" spans="1:28" ht="20.25" customHeight="1">
      <c r="A21" s="4781"/>
      <c r="B21" s="4782"/>
      <c r="C21" s="4640">
        <v>2</v>
      </c>
      <c r="D21" s="4631" t="s">
        <v>1477</v>
      </c>
      <c r="E21" s="4634">
        <v>21000</v>
      </c>
      <c r="F21" s="4635">
        <v>10</v>
      </c>
      <c r="G21" s="4682">
        <f t="shared" si="3"/>
        <v>210000</v>
      </c>
      <c r="H21" s="4623"/>
      <c r="I21" s="4624">
        <f>G21/5</f>
        <v>42000</v>
      </c>
      <c r="J21" s="4624">
        <f>I21</f>
        <v>42000</v>
      </c>
      <c r="K21" s="4638">
        <f>J21</f>
        <v>42000</v>
      </c>
      <c r="L21" s="4625">
        <f>K21</f>
        <v>42000</v>
      </c>
      <c r="M21" s="4626">
        <f>L21</f>
        <v>42000</v>
      </c>
      <c r="N21" s="4638"/>
      <c r="O21" s="4625"/>
      <c r="P21" s="4623"/>
      <c r="Q21" s="4638"/>
      <c r="R21" s="4624"/>
      <c r="S21" s="4641"/>
      <c r="T21" s="4056">
        <f t="shared" si="4"/>
        <v>210000</v>
      </c>
      <c r="U21" s="2691"/>
      <c r="W21" s="1579"/>
      <c r="AB21" s="4756"/>
    </row>
    <row r="22" spans="1:28" ht="20.25" customHeight="1">
      <c r="A22" s="4781"/>
      <c r="B22" s="4782"/>
      <c r="C22" s="4640">
        <v>3</v>
      </c>
      <c r="D22" s="4661" t="s">
        <v>1464</v>
      </c>
      <c r="E22" s="4656">
        <v>400</v>
      </c>
      <c r="F22" s="4657">
        <v>100</v>
      </c>
      <c r="G22" s="4685">
        <f>E22*F22</f>
        <v>40000</v>
      </c>
      <c r="H22" s="4623">
        <f>G22</f>
        <v>40000</v>
      </c>
      <c r="I22" s="4624"/>
      <c r="J22" s="4641"/>
      <c r="K22" s="4623"/>
      <c r="L22" s="4625"/>
      <c r="M22" s="4623"/>
      <c r="N22" s="4638"/>
      <c r="O22" s="4625"/>
      <c r="P22" s="4623"/>
      <c r="Q22" s="4638"/>
      <c r="R22" s="4624"/>
      <c r="S22" s="4641"/>
      <c r="T22" s="4056">
        <f t="shared" si="4"/>
        <v>40000</v>
      </c>
      <c r="U22" s="2691"/>
      <c r="W22" s="1579"/>
      <c r="AB22" s="4756"/>
    </row>
    <row r="23" spans="1:28" ht="20.25" customHeight="1">
      <c r="A23" s="4781"/>
      <c r="B23" s="4782"/>
      <c r="C23" s="4640">
        <v>4</v>
      </c>
      <c r="D23" s="4631" t="s">
        <v>1465</v>
      </c>
      <c r="E23" s="4634">
        <v>7000</v>
      </c>
      <c r="F23" s="4635"/>
      <c r="G23" s="4682">
        <f t="shared" si="3"/>
        <v>0</v>
      </c>
      <c r="H23" s="4623"/>
      <c r="I23" s="4624"/>
      <c r="J23" s="4641"/>
      <c r="K23" s="4623"/>
      <c r="L23" s="4625"/>
      <c r="M23" s="4623"/>
      <c r="N23" s="4638"/>
      <c r="O23" s="4625">
        <f t="shared" ref="O23:S23" si="5">N23</f>
        <v>0</v>
      </c>
      <c r="P23" s="4623">
        <f t="shared" si="5"/>
        <v>0</v>
      </c>
      <c r="Q23" s="4638">
        <f t="shared" si="5"/>
        <v>0</v>
      </c>
      <c r="R23" s="4624">
        <f t="shared" si="5"/>
        <v>0</v>
      </c>
      <c r="S23" s="4641">
        <f t="shared" si="5"/>
        <v>0</v>
      </c>
      <c r="T23" s="4056">
        <f t="shared" si="4"/>
        <v>0</v>
      </c>
      <c r="U23" s="2691"/>
      <c r="W23" s="1579"/>
      <c r="AB23" s="4756"/>
    </row>
    <row r="24" spans="1:28" ht="20.25" customHeight="1">
      <c r="A24" s="4781"/>
      <c r="B24" s="4782"/>
      <c r="C24" s="4803">
        <v>5</v>
      </c>
      <c r="D24" s="4928" t="s">
        <v>1554</v>
      </c>
      <c r="E24" s="4929">
        <v>46500</v>
      </c>
      <c r="F24" s="4930">
        <v>3</v>
      </c>
      <c r="G24" s="4931">
        <f>F24*E24</f>
        <v>139500</v>
      </c>
      <c r="H24" s="4623">
        <f>G24*0.3/3*2</f>
        <v>27900</v>
      </c>
      <c r="I24" s="4624">
        <f>(G24*0.2/3*2)+(E24*0.3)</f>
        <v>32550</v>
      </c>
      <c r="J24" s="4641">
        <f>E24*0.2</f>
        <v>9300</v>
      </c>
      <c r="K24" s="4623"/>
      <c r="L24" s="4625"/>
      <c r="M24" s="4623"/>
      <c r="N24" s="4638"/>
      <c r="O24" s="4625"/>
      <c r="P24" s="4623"/>
      <c r="Q24" s="4638"/>
      <c r="R24" s="4624"/>
      <c r="S24" s="4641"/>
      <c r="T24" s="4056">
        <f t="shared" si="4"/>
        <v>69750</v>
      </c>
      <c r="U24" s="2691"/>
      <c r="W24" s="1579"/>
      <c r="AB24" s="4756"/>
    </row>
    <row r="25" spans="1:28" ht="20.25" customHeight="1">
      <c r="A25" s="4781"/>
      <c r="B25" s="4782"/>
      <c r="C25" s="4640">
        <v>6</v>
      </c>
      <c r="D25" s="4655" t="s">
        <v>1462</v>
      </c>
      <c r="E25" s="4656">
        <v>20000</v>
      </c>
      <c r="F25" s="4657">
        <v>5</v>
      </c>
      <c r="G25" s="4685">
        <f t="shared" si="3"/>
        <v>100000</v>
      </c>
      <c r="H25" s="4623"/>
      <c r="I25" s="4624"/>
      <c r="J25" s="4641">
        <f>G25*0.3</f>
        <v>30000</v>
      </c>
      <c r="K25" s="4623"/>
      <c r="L25" s="4625">
        <f>G25*0.6</f>
        <v>60000</v>
      </c>
      <c r="M25" s="4623"/>
      <c r="N25" s="4638">
        <f>G25*0.1</f>
        <v>10000</v>
      </c>
      <c r="O25" s="4625"/>
      <c r="P25" s="4623"/>
      <c r="Q25" s="4638"/>
      <c r="R25" s="4624"/>
      <c r="S25" s="4641"/>
      <c r="T25" s="4056">
        <f t="shared" si="4"/>
        <v>100000</v>
      </c>
      <c r="U25" s="2691"/>
      <c r="W25" s="1579"/>
      <c r="AB25" s="4756"/>
    </row>
    <row r="26" spans="1:28" ht="20.25" customHeight="1">
      <c r="A26" s="4781"/>
      <c r="B26" s="4912"/>
      <c r="C26" s="4643">
        <v>7</v>
      </c>
      <c r="D26" s="4658" t="s">
        <v>1467</v>
      </c>
      <c r="E26" s="4659">
        <v>50000</v>
      </c>
      <c r="F26" s="4660">
        <v>2</v>
      </c>
      <c r="G26" s="4684">
        <f t="shared" si="3"/>
        <v>100000</v>
      </c>
      <c r="H26" s="4627"/>
      <c r="I26" s="4629"/>
      <c r="J26" s="4627"/>
      <c r="K26" s="4644">
        <f>G26*0.3</f>
        <v>30000</v>
      </c>
      <c r="L26" s="4629"/>
      <c r="M26" s="4636">
        <f>G26*0.7</f>
        <v>70000</v>
      </c>
      <c r="N26" s="4644"/>
      <c r="O26" s="4629"/>
      <c r="P26" s="4628"/>
      <c r="Q26" s="4644"/>
      <c r="R26" s="4628"/>
      <c r="S26" s="4695"/>
      <c r="T26" s="2209">
        <f t="shared" si="4"/>
        <v>100000</v>
      </c>
      <c r="U26" s="2691"/>
      <c r="W26" s="1579"/>
      <c r="AB26" s="4756"/>
    </row>
    <row r="27" spans="1:28" ht="20.25" customHeight="1">
      <c r="A27" s="4781"/>
      <c r="B27" s="4912"/>
      <c r="C27" s="4784">
        <v>8</v>
      </c>
      <c r="D27" s="4924" t="s">
        <v>1552</v>
      </c>
      <c r="E27" s="4925">
        <v>18000</v>
      </c>
      <c r="F27" s="4926">
        <v>2</v>
      </c>
      <c r="G27" s="4927">
        <f t="shared" ref="G27" si="6">E27*F27</f>
        <v>36000</v>
      </c>
      <c r="H27" s="4627">
        <f>G27*0.5</f>
        <v>18000</v>
      </c>
      <c r="I27" s="4629">
        <f>G27*0.2</f>
        <v>7200</v>
      </c>
      <c r="J27" s="4695"/>
      <c r="K27" s="4627"/>
      <c r="L27" s="4629"/>
      <c r="M27" s="4627"/>
      <c r="N27" s="4644"/>
      <c r="O27" s="4629"/>
      <c r="P27" s="4627"/>
      <c r="Q27" s="4644"/>
      <c r="R27" s="4628"/>
      <c r="S27" s="4695"/>
      <c r="T27" s="2209">
        <f t="shared" si="4"/>
        <v>25200</v>
      </c>
      <c r="U27" s="4908"/>
      <c r="W27" s="1579"/>
      <c r="AB27" s="4756"/>
    </row>
    <row r="28" spans="1:28" ht="20.25" customHeight="1">
      <c r="A28" s="4781"/>
      <c r="B28" s="4912"/>
      <c r="C28" s="4784">
        <v>9</v>
      </c>
      <c r="D28" s="4924" t="s">
        <v>1553</v>
      </c>
      <c r="E28" s="4925">
        <v>31700</v>
      </c>
      <c r="F28" s="4926">
        <v>1</v>
      </c>
      <c r="G28" s="4927">
        <f t="shared" ref="G28" si="7">E28*F28</f>
        <v>31700</v>
      </c>
      <c r="H28" s="4627">
        <f>G28*0.5</f>
        <v>15850</v>
      </c>
      <c r="I28" s="4629">
        <f>G28*0.2</f>
        <v>6340</v>
      </c>
      <c r="J28" s="4641"/>
      <c r="K28" s="4627"/>
      <c r="L28" s="4629"/>
      <c r="M28" s="4627"/>
      <c r="N28" s="4644"/>
      <c r="O28" s="4629"/>
      <c r="P28" s="4627"/>
      <c r="Q28" s="4644"/>
      <c r="R28" s="4628"/>
      <c r="S28" s="4695"/>
      <c r="T28" s="2209">
        <f t="shared" si="4"/>
        <v>22190</v>
      </c>
      <c r="U28" s="4908"/>
      <c r="W28" s="1579"/>
      <c r="AB28" s="4756"/>
    </row>
    <row r="29" spans="1:28" ht="20.25" customHeight="1">
      <c r="A29" s="4781"/>
      <c r="B29" s="4912"/>
      <c r="C29" s="4640">
        <v>10</v>
      </c>
      <c r="D29" s="4661" t="s">
        <v>1526</v>
      </c>
      <c r="E29" s="4656">
        <v>15000</v>
      </c>
      <c r="F29" s="4657">
        <v>1</v>
      </c>
      <c r="G29" s="4685">
        <f t="shared" si="3"/>
        <v>15000</v>
      </c>
      <c r="H29" s="4638"/>
      <c r="I29" s="4625">
        <f>G29*0.5</f>
        <v>7500</v>
      </c>
      <c r="J29" s="4626"/>
      <c r="K29" s="4623">
        <f>G29*0.3</f>
        <v>4500</v>
      </c>
      <c r="L29" s="4625">
        <f>G29*0.2</f>
        <v>3000</v>
      </c>
      <c r="M29" s="4623"/>
      <c r="N29" s="4638"/>
      <c r="O29" s="4625"/>
      <c r="P29" s="4623"/>
      <c r="Q29" s="4638"/>
      <c r="R29" s="4624"/>
      <c r="S29" s="4641"/>
      <c r="T29" s="4700">
        <f t="shared" ref="T29:T32" si="8">SUM(H29:S29)</f>
        <v>15000</v>
      </c>
      <c r="U29" s="4908"/>
      <c r="W29" s="1579"/>
      <c r="AB29" s="4756"/>
    </row>
    <row r="30" spans="1:28" ht="20.25" customHeight="1">
      <c r="A30" s="4781"/>
      <c r="B30" s="4782"/>
      <c r="C30" s="4643">
        <v>11</v>
      </c>
      <c r="D30" s="4985" t="s">
        <v>1527</v>
      </c>
      <c r="E30" s="4659">
        <v>30000</v>
      </c>
      <c r="F30" s="4660">
        <v>1</v>
      </c>
      <c r="G30" s="4684">
        <f t="shared" si="3"/>
        <v>30000</v>
      </c>
      <c r="H30" s="4644"/>
      <c r="I30" s="4629">
        <f>G30*0.5</f>
        <v>15000</v>
      </c>
      <c r="J30" s="4636"/>
      <c r="K30" s="4627">
        <f>G30*0.3</f>
        <v>9000</v>
      </c>
      <c r="L30" s="4629">
        <f>G30*0.2</f>
        <v>6000</v>
      </c>
      <c r="M30" s="4627"/>
      <c r="N30" s="4644"/>
      <c r="O30" s="4629"/>
      <c r="P30" s="4627"/>
      <c r="Q30" s="4644"/>
      <c r="R30" s="4628"/>
      <c r="S30" s="4695"/>
      <c r="T30" s="4986">
        <f t="shared" si="8"/>
        <v>30000</v>
      </c>
      <c r="U30" s="4908"/>
      <c r="W30" s="1579"/>
      <c r="AB30" s="4756"/>
    </row>
    <row r="31" spans="1:28" ht="20.25" customHeight="1">
      <c r="A31" s="4781"/>
      <c r="B31" s="4782"/>
      <c r="C31" s="4643">
        <v>12</v>
      </c>
      <c r="D31" s="4985" t="s">
        <v>1589</v>
      </c>
      <c r="E31" s="4659">
        <v>150000</v>
      </c>
      <c r="F31" s="4660">
        <v>1</v>
      </c>
      <c r="G31" s="4684">
        <f t="shared" si="3"/>
        <v>150000</v>
      </c>
      <c r="H31" s="4644">
        <f>G31*0.3</f>
        <v>45000</v>
      </c>
      <c r="I31" s="4629"/>
      <c r="J31" s="4636">
        <f>G31*0.5</f>
        <v>75000</v>
      </c>
      <c r="K31" s="4627">
        <f>G31*0.2</f>
        <v>30000</v>
      </c>
      <c r="L31" s="4629"/>
      <c r="M31" s="4627"/>
      <c r="N31" s="4644"/>
      <c r="O31" s="4629"/>
      <c r="P31" s="4627"/>
      <c r="Q31" s="4644"/>
      <c r="R31" s="4628"/>
      <c r="S31" s="4695"/>
      <c r="T31" s="4986">
        <f t="shared" si="8"/>
        <v>150000</v>
      </c>
      <c r="U31" s="4908"/>
      <c r="W31" s="1579"/>
      <c r="AB31" s="4756"/>
    </row>
    <row r="32" spans="1:28" ht="20.25" customHeight="1">
      <c r="A32" s="4781"/>
      <c r="B32" s="4795"/>
      <c r="C32" s="4643">
        <v>13</v>
      </c>
      <c r="D32" s="4985" t="s">
        <v>1528</v>
      </c>
      <c r="E32" s="4659">
        <v>2000</v>
      </c>
      <c r="F32" s="4660">
        <v>20</v>
      </c>
      <c r="G32" s="4684">
        <f t="shared" si="3"/>
        <v>40000</v>
      </c>
      <c r="H32" s="4644">
        <v>8000</v>
      </c>
      <c r="I32" s="4717">
        <v>8000</v>
      </c>
      <c r="J32" s="4636">
        <v>8000</v>
      </c>
      <c r="K32" s="4627">
        <v>8000</v>
      </c>
      <c r="L32" s="4629">
        <v>8000</v>
      </c>
      <c r="M32" s="4627"/>
      <c r="N32" s="4644"/>
      <c r="O32" s="4629"/>
      <c r="P32" s="4627"/>
      <c r="Q32" s="4644"/>
      <c r="R32" s="4628"/>
      <c r="S32" s="4695"/>
      <c r="T32" s="4986">
        <f t="shared" si="8"/>
        <v>40000</v>
      </c>
      <c r="U32" s="4908"/>
      <c r="W32" s="1579"/>
      <c r="AB32" s="4756"/>
    </row>
    <row r="33" spans="1:28" ht="20.25" customHeight="1">
      <c r="A33" s="4781"/>
      <c r="B33" s="4782" t="s">
        <v>1454</v>
      </c>
      <c r="C33" s="4662">
        <v>1</v>
      </c>
      <c r="D33" s="4693" t="s">
        <v>1463</v>
      </c>
      <c r="E33" s="4665">
        <v>30000</v>
      </c>
      <c r="F33" s="4666">
        <v>10</v>
      </c>
      <c r="G33" s="4687">
        <f t="shared" si="3"/>
        <v>300000</v>
      </c>
      <c r="H33" s="4694"/>
      <c r="I33" s="4712">
        <f>G33/5</f>
        <v>60000</v>
      </c>
      <c r="J33" s="4697"/>
      <c r="K33" s="4694"/>
      <c r="L33" s="4645">
        <f>I33</f>
        <v>60000</v>
      </c>
      <c r="M33" s="4694"/>
      <c r="N33" s="4711"/>
      <c r="O33" s="4645">
        <f>G33-I33-L33</f>
        <v>180000</v>
      </c>
      <c r="P33" s="4694"/>
      <c r="Q33" s="4711"/>
      <c r="R33" s="4712"/>
      <c r="S33" s="4697"/>
      <c r="T33" s="4713">
        <f t="shared" si="4"/>
        <v>300000</v>
      </c>
      <c r="U33" s="2691"/>
      <c r="W33" s="1579"/>
      <c r="AB33" s="4756"/>
    </row>
    <row r="34" spans="1:28" ht="20.25" customHeight="1">
      <c r="A34" s="4781"/>
      <c r="B34" s="4782"/>
      <c r="C34" s="4643">
        <v>2</v>
      </c>
      <c r="D34" s="4898" t="s">
        <v>1484</v>
      </c>
      <c r="E34" s="4899">
        <v>40000</v>
      </c>
      <c r="F34" s="4900">
        <v>3</v>
      </c>
      <c r="G34" s="4901">
        <f t="shared" si="3"/>
        <v>120000</v>
      </c>
      <c r="H34" s="4627"/>
      <c r="I34" s="4628"/>
      <c r="J34" s="4695"/>
      <c r="K34" s="4627"/>
      <c r="L34" s="4629"/>
      <c r="M34" s="4627"/>
      <c r="N34" s="4644">
        <f>G34*0.4</f>
        <v>48000</v>
      </c>
      <c r="O34" s="4629"/>
      <c r="P34" s="4628">
        <f>G34*0.6</f>
        <v>72000</v>
      </c>
      <c r="Q34" s="4644"/>
      <c r="R34" s="4628"/>
      <c r="S34" s="4695"/>
      <c r="T34" s="2209">
        <f t="shared" si="4"/>
        <v>120000</v>
      </c>
      <c r="U34" s="2691"/>
      <c r="W34" s="1579"/>
      <c r="AB34" s="4756"/>
    </row>
    <row r="35" spans="1:28" ht="20.25" customHeight="1">
      <c r="A35" s="4781"/>
      <c r="B35" s="4909"/>
      <c r="C35" s="4978">
        <v>3</v>
      </c>
      <c r="D35" s="4979" t="s">
        <v>1519</v>
      </c>
      <c r="E35" s="4634">
        <v>18000</v>
      </c>
      <c r="F35" s="4635">
        <v>1</v>
      </c>
      <c r="G35" s="4682">
        <f>E35*F35</f>
        <v>18000</v>
      </c>
      <c r="H35" s="4638">
        <v>18000</v>
      </c>
      <c r="I35" s="4624"/>
      <c r="J35" s="4641"/>
      <c r="K35" s="4623"/>
      <c r="L35" s="4625"/>
      <c r="M35" s="4623"/>
      <c r="N35" s="4638"/>
      <c r="O35" s="4625"/>
      <c r="P35" s="4624"/>
      <c r="Q35" s="4638"/>
      <c r="R35" s="4624"/>
      <c r="S35" s="4624"/>
      <c r="T35" s="4056">
        <f t="shared" ref="T35:T42" si="9">SUM(H35:S35)</f>
        <v>18000</v>
      </c>
      <c r="U35" s="4908"/>
      <c r="W35" s="1579"/>
      <c r="AB35" s="4756"/>
    </row>
    <row r="36" spans="1:28" ht="20.25" customHeight="1">
      <c r="A36" s="4781"/>
      <c r="B36" s="4909"/>
      <c r="C36" s="4978">
        <v>4</v>
      </c>
      <c r="D36" s="4630" t="s">
        <v>1520</v>
      </c>
      <c r="E36" s="4634">
        <v>10000</v>
      </c>
      <c r="F36" s="4635">
        <v>1</v>
      </c>
      <c r="G36" s="4682">
        <f t="shared" ref="G36:G42" si="10">E36*F36</f>
        <v>10000</v>
      </c>
      <c r="H36" s="4638">
        <v>10000</v>
      </c>
      <c r="I36" s="4624"/>
      <c r="J36" s="4641"/>
      <c r="K36" s="4623"/>
      <c r="L36" s="4625"/>
      <c r="M36" s="4623"/>
      <c r="N36" s="4638"/>
      <c r="O36" s="4625"/>
      <c r="P36" s="4624"/>
      <c r="Q36" s="4638"/>
      <c r="R36" s="4624"/>
      <c r="S36" s="4624"/>
      <c r="T36" s="4056">
        <f t="shared" si="9"/>
        <v>10000</v>
      </c>
      <c r="U36" s="4908"/>
      <c r="W36" s="1579"/>
      <c r="AB36" s="4756"/>
    </row>
    <row r="37" spans="1:28" ht="20.25" customHeight="1">
      <c r="A37" s="4781"/>
      <c r="B37" s="4909"/>
      <c r="C37" s="4978">
        <v>5</v>
      </c>
      <c r="D37" s="4630" t="s">
        <v>1587</v>
      </c>
      <c r="E37" s="4634">
        <v>50000</v>
      </c>
      <c r="F37" s="4635">
        <v>1</v>
      </c>
      <c r="G37" s="4682">
        <f t="shared" si="10"/>
        <v>50000</v>
      </c>
      <c r="H37" s="4638"/>
      <c r="I37" s="4624"/>
      <c r="J37" s="4641"/>
      <c r="K37" s="4623">
        <f>G37*0.5</f>
        <v>25000</v>
      </c>
      <c r="L37" s="4625"/>
      <c r="M37" s="4623"/>
      <c r="N37" s="4638">
        <f>G37*0.3</f>
        <v>15000</v>
      </c>
      <c r="O37" s="4625"/>
      <c r="P37" s="4624">
        <f>G37*0.2</f>
        <v>10000</v>
      </c>
      <c r="Q37" s="4638"/>
      <c r="R37" s="4624"/>
      <c r="S37" s="4624"/>
      <c r="T37" s="4056">
        <f t="shared" si="9"/>
        <v>50000</v>
      </c>
      <c r="U37" s="4908"/>
      <c r="W37" s="1579"/>
      <c r="AB37" s="4756"/>
    </row>
    <row r="38" spans="1:28" ht="20.25" customHeight="1">
      <c r="A38" s="4781"/>
      <c r="B38" s="4909"/>
      <c r="C38" s="4978">
        <v>6</v>
      </c>
      <c r="D38" s="4630" t="s">
        <v>1521</v>
      </c>
      <c r="E38" s="4634">
        <v>11035</v>
      </c>
      <c r="F38" s="4635">
        <v>1</v>
      </c>
      <c r="G38" s="4682">
        <f t="shared" si="10"/>
        <v>11035</v>
      </c>
      <c r="H38" s="4638"/>
      <c r="I38" s="4624"/>
      <c r="J38" s="4641"/>
      <c r="K38" s="4623"/>
      <c r="L38" s="4625">
        <f>G38*0.5</f>
        <v>5517.5</v>
      </c>
      <c r="M38" s="4623"/>
      <c r="N38" s="4638">
        <f>G38*0.5</f>
        <v>5517.5</v>
      </c>
      <c r="O38" s="4625"/>
      <c r="P38" s="4624"/>
      <c r="Q38" s="4638"/>
      <c r="R38" s="4624"/>
      <c r="S38" s="4624"/>
      <c r="T38" s="4056">
        <f t="shared" si="9"/>
        <v>11035</v>
      </c>
      <c r="U38" s="4908"/>
      <c r="W38" s="1579"/>
      <c r="AB38" s="4756"/>
    </row>
    <row r="39" spans="1:28" ht="20.25" customHeight="1">
      <c r="A39" s="4781"/>
      <c r="B39" s="4909"/>
      <c r="C39" s="4978">
        <v>7</v>
      </c>
      <c r="D39" s="4630" t="s">
        <v>1522</v>
      </c>
      <c r="E39" s="4634">
        <v>57000</v>
      </c>
      <c r="F39" s="4635">
        <v>4</v>
      </c>
      <c r="G39" s="4682">
        <f t="shared" si="10"/>
        <v>228000</v>
      </c>
      <c r="H39" s="4638"/>
      <c r="I39" s="4624"/>
      <c r="J39" s="4641"/>
      <c r="K39" s="4623"/>
      <c r="L39" s="4625"/>
      <c r="M39" s="4623">
        <v>228000</v>
      </c>
      <c r="N39" s="4638"/>
      <c r="O39" s="4625"/>
      <c r="P39" s="4624"/>
      <c r="Q39" s="4638"/>
      <c r="R39" s="4624"/>
      <c r="S39" s="4624"/>
      <c r="T39" s="4056">
        <f t="shared" si="9"/>
        <v>228000</v>
      </c>
      <c r="U39" s="4908"/>
      <c r="W39" s="1579"/>
      <c r="AB39" s="4756"/>
    </row>
    <row r="40" spans="1:28" ht="20.25" customHeight="1">
      <c r="A40" s="4781"/>
      <c r="B40" s="4909"/>
      <c r="C40" s="4978">
        <v>8</v>
      </c>
      <c r="D40" s="4630" t="s">
        <v>1523</v>
      </c>
      <c r="E40" s="4634">
        <v>57000</v>
      </c>
      <c r="F40" s="4635">
        <v>2</v>
      </c>
      <c r="G40" s="4682">
        <f t="shared" si="10"/>
        <v>114000</v>
      </c>
      <c r="H40" s="4638"/>
      <c r="I40" s="4624"/>
      <c r="J40" s="4641">
        <f>G40*0.5</f>
        <v>57000</v>
      </c>
      <c r="K40" s="4623"/>
      <c r="L40" s="4625">
        <f>G40*0.3</f>
        <v>34200</v>
      </c>
      <c r="M40" s="4623">
        <f>L40*0.2</f>
        <v>6840</v>
      </c>
      <c r="N40" s="4638"/>
      <c r="O40" s="4625"/>
      <c r="P40" s="4624"/>
      <c r="Q40" s="4638"/>
      <c r="R40" s="4624"/>
      <c r="S40" s="4624"/>
      <c r="T40" s="4056">
        <f>SUM(H40:S40)</f>
        <v>98040</v>
      </c>
      <c r="U40" s="4908"/>
      <c r="W40" s="1579"/>
      <c r="AB40" s="4756"/>
    </row>
    <row r="41" spans="1:28" ht="20.25" customHeight="1">
      <c r="A41" s="4781"/>
      <c r="B41" s="4909"/>
      <c r="C41" s="4978">
        <v>9</v>
      </c>
      <c r="D41" s="4630" t="s">
        <v>1524</v>
      </c>
      <c r="E41" s="4634">
        <v>18850</v>
      </c>
      <c r="F41" s="4635">
        <v>1</v>
      </c>
      <c r="G41" s="4682">
        <f t="shared" si="10"/>
        <v>18850</v>
      </c>
      <c r="H41" s="4638"/>
      <c r="I41" s="4624">
        <f>G41*0.5</f>
        <v>9425</v>
      </c>
      <c r="J41" s="4641"/>
      <c r="K41" s="4623">
        <f>G41*0.3</f>
        <v>5655</v>
      </c>
      <c r="L41" s="4625">
        <f>G41*0.2</f>
        <v>3770</v>
      </c>
      <c r="M41" s="4623"/>
      <c r="N41" s="4638"/>
      <c r="O41" s="4625"/>
      <c r="P41" s="4624"/>
      <c r="Q41" s="4638"/>
      <c r="R41" s="4624"/>
      <c r="S41" s="4624"/>
      <c r="T41" s="4056">
        <f t="shared" si="9"/>
        <v>18850</v>
      </c>
      <c r="U41" s="4908"/>
      <c r="W41" s="1579"/>
      <c r="AB41" s="4756"/>
    </row>
    <row r="42" spans="1:28" ht="20.25" customHeight="1">
      <c r="A42" s="4781"/>
      <c r="B42" s="4910"/>
      <c r="C42" s="4980">
        <v>10</v>
      </c>
      <c r="D42" s="4981" t="s">
        <v>1525</v>
      </c>
      <c r="E42" s="4982">
        <v>12500</v>
      </c>
      <c r="F42" s="4983">
        <v>1</v>
      </c>
      <c r="G42" s="4984">
        <f t="shared" si="10"/>
        <v>12500</v>
      </c>
      <c r="H42" s="4718"/>
      <c r="I42" s="4715"/>
      <c r="J42" s="4716">
        <f>G42*0.5</f>
        <v>6250</v>
      </c>
      <c r="K42" s="4714"/>
      <c r="L42" s="4717">
        <f>G42*0.3</f>
        <v>3750</v>
      </c>
      <c r="M42" s="4714">
        <f>G42*0.2</f>
        <v>2500</v>
      </c>
      <c r="N42" s="4718"/>
      <c r="O42" s="4717"/>
      <c r="P42" s="4715"/>
      <c r="Q42" s="4718"/>
      <c r="R42" s="4715"/>
      <c r="S42" s="4715"/>
      <c r="T42" s="3572">
        <f t="shared" si="9"/>
        <v>12500</v>
      </c>
      <c r="U42" s="4908"/>
      <c r="W42" s="1579"/>
      <c r="AB42" s="4756"/>
    </row>
    <row r="43" spans="1:28" ht="19.5" customHeight="1">
      <c r="A43" s="4781"/>
      <c r="B43" s="4794" t="s">
        <v>1455</v>
      </c>
      <c r="C43" s="4662">
        <v>1</v>
      </c>
      <c r="D43" s="4663" t="s">
        <v>1456</v>
      </c>
      <c r="E43" s="4665">
        <v>100000</v>
      </c>
      <c r="F43" s="4666">
        <v>1</v>
      </c>
      <c r="G43" s="4687">
        <f t="shared" si="3"/>
        <v>100000</v>
      </c>
      <c r="H43" s="4694"/>
      <c r="I43" s="4712"/>
      <c r="J43" s="4697"/>
      <c r="K43" s="4694"/>
      <c r="L43" s="4645"/>
      <c r="M43" s="4694"/>
      <c r="N43" s="4711"/>
      <c r="O43" s="4645"/>
      <c r="P43" s="4712"/>
      <c r="Q43" s="4711">
        <f>G43*0.3</f>
        <v>30000</v>
      </c>
      <c r="R43" s="4712"/>
      <c r="S43" s="4712">
        <f>G43*0.7</f>
        <v>70000</v>
      </c>
      <c r="T43" s="4713">
        <f t="shared" si="4"/>
        <v>100000</v>
      </c>
      <c r="U43" s="2691"/>
      <c r="W43" s="1579"/>
      <c r="AB43" s="4756"/>
    </row>
    <row r="44" spans="1:28" ht="19.5" customHeight="1">
      <c r="A44" s="4781"/>
      <c r="B44" s="4776"/>
      <c r="C44" s="4640">
        <v>2</v>
      </c>
      <c r="D44" s="4842" t="s">
        <v>1457</v>
      </c>
      <c r="E44" s="4634">
        <v>100000</v>
      </c>
      <c r="F44" s="4635">
        <v>1</v>
      </c>
      <c r="G44" s="4682">
        <f t="shared" si="3"/>
        <v>100000</v>
      </c>
      <c r="H44" s="4623"/>
      <c r="I44" s="4624"/>
      <c r="J44" s="4641"/>
      <c r="K44" s="4623"/>
      <c r="L44" s="4625"/>
      <c r="M44" s="4623"/>
      <c r="N44" s="4638"/>
      <c r="O44" s="4625"/>
      <c r="P44" s="4624"/>
      <c r="Q44" s="4638">
        <f>G44*0.3</f>
        <v>30000</v>
      </c>
      <c r="R44" s="4624"/>
      <c r="S44" s="4624">
        <f>G44*0.7</f>
        <v>70000</v>
      </c>
      <c r="T44" s="4056">
        <f t="shared" si="4"/>
        <v>100000</v>
      </c>
      <c r="U44" s="2691"/>
      <c r="W44" s="1579"/>
      <c r="AB44" s="4756"/>
    </row>
    <row r="45" spans="1:28" ht="19.5" customHeight="1">
      <c r="A45" s="4781"/>
      <c r="B45" s="4796"/>
      <c r="C45" s="4642">
        <v>3</v>
      </c>
      <c r="D45" s="4664" t="s">
        <v>1458</v>
      </c>
      <c r="E45" s="4676">
        <v>100000</v>
      </c>
      <c r="F45" s="4677">
        <v>1</v>
      </c>
      <c r="G45" s="4686">
        <f t="shared" si="3"/>
        <v>100000</v>
      </c>
      <c r="H45" s="4714"/>
      <c r="I45" s="4715"/>
      <c r="J45" s="4716"/>
      <c r="K45" s="4714"/>
      <c r="L45" s="4717"/>
      <c r="M45" s="4714"/>
      <c r="N45" s="4718"/>
      <c r="O45" s="4717"/>
      <c r="P45" s="4715"/>
      <c r="Q45" s="4718">
        <f>G45*0.3</f>
        <v>30000</v>
      </c>
      <c r="R45" s="4715"/>
      <c r="S45" s="4715">
        <f>G45*0.7</f>
        <v>70000</v>
      </c>
      <c r="T45" s="3572">
        <f t="shared" si="4"/>
        <v>100000</v>
      </c>
      <c r="U45" s="2691"/>
      <c r="W45" s="1579"/>
      <c r="AB45" s="4756"/>
    </row>
    <row r="46" spans="1:28" ht="27.75" customHeight="1" thickBot="1">
      <c r="A46" s="4777"/>
      <c r="B46" s="4778"/>
      <c r="C46" s="4797"/>
      <c r="D46" s="4797" t="s">
        <v>1372</v>
      </c>
      <c r="E46" s="4798"/>
      <c r="F46" s="4799"/>
      <c r="G46" s="4800"/>
      <c r="H46" s="4680">
        <f t="shared" ref="H46:S46" si="11">SUM(H11:H45)</f>
        <v>301359.99000999</v>
      </c>
      <c r="I46" s="4672">
        <f t="shared" si="11"/>
        <v>258015</v>
      </c>
      <c r="J46" s="4673">
        <f t="shared" si="11"/>
        <v>388768.18181818182</v>
      </c>
      <c r="K46" s="4671">
        <f t="shared" si="11"/>
        <v>356524.63036963041</v>
      </c>
      <c r="L46" s="4672">
        <f t="shared" si="11"/>
        <v>301837.5</v>
      </c>
      <c r="M46" s="4674">
        <f t="shared" si="11"/>
        <v>562612.72727272729</v>
      </c>
      <c r="N46" s="4671">
        <f t="shared" si="11"/>
        <v>252517.5</v>
      </c>
      <c r="O46" s="4672">
        <f t="shared" si="11"/>
        <v>294000</v>
      </c>
      <c r="P46" s="4701">
        <f t="shared" si="11"/>
        <v>166000</v>
      </c>
      <c r="Q46" s="4671">
        <f t="shared" si="11"/>
        <v>160000</v>
      </c>
      <c r="R46" s="4673">
        <f t="shared" si="11"/>
        <v>0</v>
      </c>
      <c r="S46" s="4701">
        <f t="shared" si="11"/>
        <v>210000</v>
      </c>
      <c r="T46" s="4702">
        <f>SUM(H46:S46)</f>
        <v>3251635.5294705294</v>
      </c>
      <c r="U46" s="4166"/>
      <c r="W46" s="1579"/>
      <c r="AB46" s="4756"/>
    </row>
    <row r="47" spans="1:28" ht="20.25" customHeight="1">
      <c r="A47" s="4801" t="s">
        <v>1485</v>
      </c>
      <c r="B47" s="4802"/>
      <c r="C47" s="4977">
        <v>1</v>
      </c>
      <c r="D47" s="4842" t="s">
        <v>1581</v>
      </c>
      <c r="E47" s="4634">
        <f>4800000000/'1-1.Assumption'!F29</f>
        <v>181818.18181818182</v>
      </c>
      <c r="F47" s="4635">
        <v>1</v>
      </c>
      <c r="G47" s="4682">
        <f t="shared" ref="G47:G58" si="12">E47*F47</f>
        <v>181818.18181818182</v>
      </c>
      <c r="H47" s="4623"/>
      <c r="I47" s="4624">
        <f>$F$47*$E$47*40%</f>
        <v>72727.272727272735</v>
      </c>
      <c r="J47" s="4624"/>
      <c r="K47" s="4637">
        <f>$F$47*$E$47*30%</f>
        <v>54545.454545454544</v>
      </c>
      <c r="L47" s="4622">
        <f>$F$47*$E$47*30%</f>
        <v>54545.454545454544</v>
      </c>
      <c r="M47" s="4626"/>
      <c r="N47" s="4638"/>
      <c r="O47" s="4625"/>
      <c r="P47" s="4624"/>
      <c r="Q47" s="4638"/>
      <c r="R47" s="4624"/>
      <c r="S47" s="4641"/>
      <c r="T47" s="4056">
        <f>SUM(H47:S47)</f>
        <v>181818.18181818182</v>
      </c>
      <c r="U47" s="2691"/>
      <c r="W47" s="1579"/>
      <c r="AB47" s="4756"/>
    </row>
    <row r="48" spans="1:28" ht="21" customHeight="1">
      <c r="A48" s="4801"/>
      <c r="B48" s="4802"/>
      <c r="C48" s="4640">
        <v>2</v>
      </c>
      <c r="D48" s="4630" t="s">
        <v>1475</v>
      </c>
      <c r="E48" s="4632">
        <v>46682</v>
      </c>
      <c r="F48" s="4633">
        <v>8</v>
      </c>
      <c r="G48" s="4681">
        <f>(E48*F48)</f>
        <v>373456</v>
      </c>
      <c r="H48" s="4621">
        <f>E48*2</f>
        <v>93364</v>
      </c>
      <c r="I48" s="5079"/>
      <c r="J48" s="2218"/>
      <c r="K48" s="4757">
        <f>E48*2</f>
        <v>93364</v>
      </c>
      <c r="L48" s="2217"/>
      <c r="M48" s="4129">
        <f>E48*2</f>
        <v>93364</v>
      </c>
      <c r="N48" s="2216"/>
      <c r="O48" s="4907">
        <f>E48*2</f>
        <v>93364</v>
      </c>
      <c r="P48" s="4753"/>
      <c r="Q48" s="4907"/>
      <c r="R48" s="4754"/>
      <c r="S48" s="4753"/>
      <c r="T48" s="4755">
        <f t="shared" ref="T48:T59" si="13">SUM(H48:S48)</f>
        <v>373456</v>
      </c>
      <c r="U48" s="1579"/>
      <c r="W48" s="4756"/>
      <c r="X48" s="1541"/>
      <c r="AB48" s="4756"/>
    </row>
    <row r="49" spans="1:28" ht="21" customHeight="1">
      <c r="A49" s="4801"/>
      <c r="B49" s="4802"/>
      <c r="C49" s="4640">
        <v>3</v>
      </c>
      <c r="D49" s="4630" t="s">
        <v>1476</v>
      </c>
      <c r="E49" s="4632">
        <v>37944</v>
      </c>
      <c r="F49" s="4633">
        <v>4</v>
      </c>
      <c r="G49" s="4681">
        <f>(E49*F49)</f>
        <v>151776</v>
      </c>
      <c r="H49" s="4621">
        <f>G49/2</f>
        <v>75888</v>
      </c>
      <c r="I49" s="4136"/>
      <c r="J49" s="2218"/>
      <c r="K49" s="4757">
        <f>G49/2</f>
        <v>75888</v>
      </c>
      <c r="L49" s="2217"/>
      <c r="M49" s="4621"/>
      <c r="N49" s="4757"/>
      <c r="O49" s="4754"/>
      <c r="P49" s="4753"/>
      <c r="Q49" s="4754"/>
      <c r="R49" s="4754"/>
      <c r="S49" s="4753"/>
      <c r="T49" s="4755">
        <f>SUM(H49:S49)</f>
        <v>151776</v>
      </c>
      <c r="U49" s="1579"/>
      <c r="X49" s="4756"/>
      <c r="AB49" s="4756"/>
    </row>
    <row r="50" spans="1:28" ht="21" customHeight="1">
      <c r="A50" s="4801"/>
      <c r="B50" s="4802"/>
      <c r="C50" s="4803">
        <v>4</v>
      </c>
      <c r="D50" s="4804" t="s">
        <v>1496</v>
      </c>
      <c r="E50" s="4805">
        <v>110588.23529411765</v>
      </c>
      <c r="F50" s="4806">
        <v>1</v>
      </c>
      <c r="G50" s="4807">
        <f>E50*F50</f>
        <v>110588.23529411765</v>
      </c>
      <c r="H50" s="4621">
        <f>G50/3</f>
        <v>36862.745098039217</v>
      </c>
      <c r="I50" s="4136">
        <f>G50/3</f>
        <v>36862.745098039217</v>
      </c>
      <c r="J50" s="2218">
        <f>G50/3</f>
        <v>36862.745098039217</v>
      </c>
      <c r="K50" s="4757"/>
      <c r="L50" s="2217"/>
      <c r="M50" s="4621"/>
      <c r="N50" s="4757"/>
      <c r="O50" s="4754"/>
      <c r="P50" s="4753"/>
      <c r="Q50" s="4754"/>
      <c r="R50" s="4754"/>
      <c r="S50" s="4753"/>
      <c r="T50" s="4755">
        <f>H50+I50+J50</f>
        <v>110588.23529411765</v>
      </c>
      <c r="U50" s="1579"/>
      <c r="W50" s="4756"/>
      <c r="X50" s="1541"/>
      <c r="AB50" s="4756"/>
    </row>
    <row r="51" spans="1:28" ht="21" customHeight="1">
      <c r="A51" s="4801"/>
      <c r="B51" s="4802"/>
      <c r="C51" s="4803">
        <v>5</v>
      </c>
      <c r="D51" s="4804" t="s">
        <v>1497</v>
      </c>
      <c r="E51" s="4805">
        <v>61250</v>
      </c>
      <c r="F51" s="4806">
        <v>1</v>
      </c>
      <c r="G51" s="4807">
        <f>E51*F51</f>
        <v>61250</v>
      </c>
      <c r="H51" s="4621">
        <f>G51/2</f>
        <v>30625</v>
      </c>
      <c r="I51" s="4136">
        <f>G51/2</f>
        <v>30625</v>
      </c>
      <c r="J51" s="2218"/>
      <c r="K51" s="4757"/>
      <c r="L51" s="2217"/>
      <c r="M51" s="4621"/>
      <c r="N51" s="4757"/>
      <c r="O51" s="4754"/>
      <c r="P51" s="4753"/>
      <c r="Q51" s="4754"/>
      <c r="R51" s="4754"/>
      <c r="S51" s="4753"/>
      <c r="T51" s="4755">
        <f>G51</f>
        <v>61250</v>
      </c>
      <c r="U51" s="1579"/>
      <c r="W51" s="4756"/>
      <c r="X51" s="1541"/>
      <c r="AB51" s="4756"/>
    </row>
    <row r="52" spans="1:28" ht="21" customHeight="1">
      <c r="A52" s="4801"/>
      <c r="B52" s="4802"/>
      <c r="C52" s="4803">
        <v>6</v>
      </c>
      <c r="D52" s="4804" t="s">
        <v>1498</v>
      </c>
      <c r="E52" s="4805">
        <v>112000</v>
      </c>
      <c r="F52" s="4806">
        <v>1</v>
      </c>
      <c r="G52" s="4807">
        <f>E52*F52</f>
        <v>112000</v>
      </c>
      <c r="H52" s="4621">
        <f>G52/4</f>
        <v>28000</v>
      </c>
      <c r="I52" s="4136">
        <f>G52/4</f>
        <v>28000</v>
      </c>
      <c r="J52" s="2218">
        <f>G52/4</f>
        <v>28000</v>
      </c>
      <c r="K52" s="4757">
        <f>G52/4</f>
        <v>28000</v>
      </c>
      <c r="L52" s="2217"/>
      <c r="M52" s="4621"/>
      <c r="N52" s="4757"/>
      <c r="O52" s="4754"/>
      <c r="P52" s="4753"/>
      <c r="Q52" s="4754"/>
      <c r="R52" s="4754"/>
      <c r="S52" s="4753"/>
      <c r="T52" s="4755">
        <f>G52</f>
        <v>112000</v>
      </c>
      <c r="U52" s="1579"/>
      <c r="W52" s="4756"/>
      <c r="X52" s="1541"/>
      <c r="AB52" s="4756"/>
    </row>
    <row r="53" spans="1:28" ht="21" customHeight="1">
      <c r="A53" s="4801"/>
      <c r="B53" s="4802"/>
      <c r="C53" s="4803">
        <v>7</v>
      </c>
      <c r="D53" s="4804" t="s">
        <v>1499</v>
      </c>
      <c r="E53" s="4805">
        <v>71200</v>
      </c>
      <c r="F53" s="4806">
        <v>1</v>
      </c>
      <c r="G53" s="4807">
        <f>E53*F53</f>
        <v>71200</v>
      </c>
      <c r="H53" s="4621">
        <f>G53/2</f>
        <v>35600</v>
      </c>
      <c r="I53" s="4136">
        <f>G53/2</f>
        <v>35600</v>
      </c>
      <c r="J53" s="2218"/>
      <c r="K53" s="4757"/>
      <c r="L53" s="2217"/>
      <c r="M53" s="4621"/>
      <c r="N53" s="4757"/>
      <c r="O53" s="4754"/>
      <c r="P53" s="4753"/>
      <c r="Q53" s="4754"/>
      <c r="R53" s="4754"/>
      <c r="S53" s="4753"/>
      <c r="T53" s="4755">
        <f>G53</f>
        <v>71200</v>
      </c>
      <c r="U53" s="1579"/>
      <c r="W53" s="4756"/>
      <c r="X53" s="1541"/>
      <c r="AB53" s="4756"/>
    </row>
    <row r="54" spans="1:28" ht="21" customHeight="1">
      <c r="A54" s="4801"/>
      <c r="B54" s="4802"/>
      <c r="C54" s="4803">
        <v>8</v>
      </c>
      <c r="D54" s="4804" t="s">
        <v>1500</v>
      </c>
      <c r="E54" s="4805">
        <v>32061</v>
      </c>
      <c r="F54" s="4806">
        <v>1</v>
      </c>
      <c r="G54" s="4807">
        <f>E54*F54</f>
        <v>32061</v>
      </c>
      <c r="H54" s="4621">
        <f>G54/2</f>
        <v>16030.5</v>
      </c>
      <c r="I54" s="4136">
        <f>G54/2</f>
        <v>16030.5</v>
      </c>
      <c r="J54" s="2218"/>
      <c r="K54" s="4757"/>
      <c r="L54" s="2217"/>
      <c r="M54" s="4621"/>
      <c r="N54" s="4757"/>
      <c r="O54" s="4754"/>
      <c r="P54" s="4753"/>
      <c r="Q54" s="4754"/>
      <c r="R54" s="4754"/>
      <c r="S54" s="4753"/>
      <c r="T54" s="4755">
        <f>G54</f>
        <v>32061</v>
      </c>
      <c r="U54" s="1579"/>
      <c r="W54" s="4756"/>
      <c r="X54" s="1541"/>
      <c r="AB54" s="4756"/>
    </row>
    <row r="55" spans="1:28" ht="21" customHeight="1">
      <c r="A55" s="4801"/>
      <c r="B55" s="4802"/>
      <c r="C55" s="4803">
        <v>9</v>
      </c>
      <c r="D55" s="4804" t="s">
        <v>1507</v>
      </c>
      <c r="E55" s="4805">
        <v>250000</v>
      </c>
      <c r="F55" s="4806">
        <v>1</v>
      </c>
      <c r="G55" s="4807">
        <f t="shared" si="12"/>
        <v>250000</v>
      </c>
      <c r="H55" s="4639"/>
      <c r="I55" s="4649"/>
      <c r="J55" s="4647"/>
      <c r="K55" s="4648"/>
      <c r="L55" s="4625"/>
      <c r="M55" s="4650"/>
      <c r="N55" s="4637">
        <f>$F$55*$E$55*20%</f>
        <v>50000</v>
      </c>
      <c r="O55" s="4647"/>
      <c r="P55" s="4625">
        <f>$F$55*$E$55*20%</f>
        <v>50000</v>
      </c>
      <c r="Q55" s="4719">
        <v>50000</v>
      </c>
      <c r="R55" s="4625">
        <f>$F$55*$E$55*20%</f>
        <v>50000</v>
      </c>
      <c r="S55" s="4625">
        <f>$F$55*$E$55*20%</f>
        <v>50000</v>
      </c>
      <c r="T55" s="4700">
        <f t="shared" si="13"/>
        <v>250000</v>
      </c>
      <c r="U55" s="2691"/>
      <c r="W55" s="1579"/>
      <c r="AB55" s="4756"/>
    </row>
    <row r="56" spans="1:28" ht="21" customHeight="1">
      <c r="A56" s="4801"/>
      <c r="B56" s="4802"/>
      <c r="C56" s="4640">
        <v>10</v>
      </c>
      <c r="D56" s="4630" t="s">
        <v>1379</v>
      </c>
      <c r="E56" s="4632">
        <v>150000</v>
      </c>
      <c r="F56" s="4633">
        <v>1</v>
      </c>
      <c r="G56" s="4681">
        <f t="shared" si="12"/>
        <v>150000</v>
      </c>
      <c r="H56" s="4639"/>
      <c r="I56" s="4649"/>
      <c r="J56" s="4647"/>
      <c r="K56" s="4648"/>
      <c r="L56" s="4649"/>
      <c r="M56" s="4650"/>
      <c r="N56" s="4648"/>
      <c r="O56" s="4625">
        <f>G56/5</f>
        <v>30000</v>
      </c>
      <c r="P56" s="4720">
        <f>O56</f>
        <v>30000</v>
      </c>
      <c r="Q56" s="4625">
        <f>P56</f>
        <v>30000</v>
      </c>
      <c r="R56" s="4647">
        <f>Q56</f>
        <v>30000</v>
      </c>
      <c r="S56" s="4625">
        <f>$F$56*$E$56*20%</f>
        <v>30000</v>
      </c>
      <c r="T56" s="4700">
        <f t="shared" si="13"/>
        <v>150000</v>
      </c>
      <c r="U56" s="2691"/>
      <c r="W56" s="1579"/>
      <c r="AB56" s="4756"/>
    </row>
    <row r="57" spans="1:28" ht="19.5" customHeight="1">
      <c r="A57" s="4801"/>
      <c r="B57" s="4802"/>
      <c r="C57" s="4640">
        <v>11</v>
      </c>
      <c r="D57" s="4658" t="s">
        <v>1459</v>
      </c>
      <c r="E57" s="4656">
        <v>100000</v>
      </c>
      <c r="F57" s="4657">
        <v>1</v>
      </c>
      <c r="G57" s="4685">
        <f t="shared" si="12"/>
        <v>100000</v>
      </c>
      <c r="H57" s="4623"/>
      <c r="I57" s="4624"/>
      <c r="J57" s="4641"/>
      <c r="K57" s="4623"/>
      <c r="L57" s="4625"/>
      <c r="M57" s="4623">
        <f>E57/5</f>
        <v>20000</v>
      </c>
      <c r="N57" s="4638">
        <f>M57</f>
        <v>20000</v>
      </c>
      <c r="O57" s="4625">
        <f>N57</f>
        <v>20000</v>
      </c>
      <c r="P57" s="4624">
        <f>O57</f>
        <v>20000</v>
      </c>
      <c r="Q57" s="4638">
        <f>P57</f>
        <v>20000</v>
      </c>
      <c r="R57" s="4624"/>
      <c r="S57" s="4624"/>
      <c r="T57" s="4056">
        <f t="shared" si="13"/>
        <v>100000</v>
      </c>
      <c r="U57" s="2691"/>
      <c r="W57" s="1579"/>
      <c r="AB57" s="4756"/>
    </row>
    <row r="58" spans="1:28" ht="19.5" customHeight="1">
      <c r="A58" s="4801"/>
      <c r="B58" s="4802"/>
      <c r="C58" s="4803">
        <v>12</v>
      </c>
      <c r="D58" s="4973" t="s">
        <v>1530</v>
      </c>
      <c r="E58" s="4925">
        <v>15000</v>
      </c>
      <c r="F58" s="4926">
        <v>1</v>
      </c>
      <c r="G58" s="4927">
        <f t="shared" si="12"/>
        <v>15000</v>
      </c>
      <c r="H58" s="4627">
        <f>G58</f>
        <v>15000</v>
      </c>
      <c r="I58" s="4628"/>
      <c r="J58" s="4641"/>
      <c r="K58" s="4627"/>
      <c r="L58" s="4629"/>
      <c r="M58" s="4627"/>
      <c r="N58" s="4644"/>
      <c r="O58" s="4629"/>
      <c r="P58" s="4628"/>
      <c r="Q58" s="4644"/>
      <c r="R58" s="4628"/>
      <c r="S58" s="4628"/>
      <c r="T58" s="2209">
        <f t="shared" si="13"/>
        <v>15000</v>
      </c>
      <c r="U58" s="2691"/>
      <c r="W58" s="1579"/>
      <c r="AB58" s="4756"/>
    </row>
    <row r="59" spans="1:28" ht="21" customHeight="1" thickBot="1">
      <c r="A59" s="4801"/>
      <c r="B59" s="4802"/>
      <c r="C59" s="4803">
        <v>15</v>
      </c>
      <c r="D59" s="4808" t="s">
        <v>1486</v>
      </c>
      <c r="E59" s="4809">
        <v>240000</v>
      </c>
      <c r="F59" s="4810">
        <v>1</v>
      </c>
      <c r="G59" s="4811">
        <f>(E59*F59)+71000</f>
        <v>311000</v>
      </c>
      <c r="H59" s="4651">
        <v>91000</v>
      </c>
      <c r="I59" s="4652">
        <v>20000</v>
      </c>
      <c r="J59" s="4646">
        <v>20000</v>
      </c>
      <c r="K59" s="4653">
        <v>20000</v>
      </c>
      <c r="L59" s="4652">
        <v>20000</v>
      </c>
      <c r="M59" s="4654">
        <v>20000</v>
      </c>
      <c r="N59" s="4653">
        <v>20000</v>
      </c>
      <c r="O59" s="4652">
        <v>20000</v>
      </c>
      <c r="P59" s="4721">
        <v>20000</v>
      </c>
      <c r="Q59" s="4722">
        <v>20000</v>
      </c>
      <c r="R59" s="4723">
        <v>20000</v>
      </c>
      <c r="S59" s="4721">
        <v>20000</v>
      </c>
      <c r="T59" s="4724">
        <f t="shared" si="13"/>
        <v>311000</v>
      </c>
      <c r="U59" s="2691"/>
      <c r="W59" s="1579"/>
      <c r="AB59" s="4756"/>
    </row>
    <row r="60" spans="1:28" ht="21" customHeight="1" thickBot="1">
      <c r="A60" s="4777"/>
      <c r="B60" s="4778"/>
      <c r="C60" s="4778"/>
      <c r="D60" s="4812" t="s">
        <v>345</v>
      </c>
      <c r="E60" s="4813"/>
      <c r="F60" s="4814"/>
      <c r="G60" s="4815">
        <f>SUM(G5:G59)</f>
        <v>6448877.6478815302</v>
      </c>
      <c r="H60" s="4667">
        <f t="shared" ref="H60:T60" si="14">SUM(H47:H59)</f>
        <v>422370.24509803922</v>
      </c>
      <c r="I60" s="4668">
        <f t="shared" si="14"/>
        <v>239845.51782531195</v>
      </c>
      <c r="J60" s="4669">
        <f t="shared" si="14"/>
        <v>84862.745098039217</v>
      </c>
      <c r="K60" s="4670">
        <f t="shared" si="14"/>
        <v>271797.45454545453</v>
      </c>
      <c r="L60" s="4668">
        <f t="shared" si="14"/>
        <v>74545.454545454544</v>
      </c>
      <c r="M60" s="4669">
        <f t="shared" si="14"/>
        <v>133364</v>
      </c>
      <c r="N60" s="4670">
        <f t="shared" si="14"/>
        <v>90000</v>
      </c>
      <c r="O60" s="4669">
        <f t="shared" si="14"/>
        <v>163364</v>
      </c>
      <c r="P60" s="4725">
        <f t="shared" si="14"/>
        <v>120000</v>
      </c>
      <c r="Q60" s="4670">
        <f t="shared" si="14"/>
        <v>120000</v>
      </c>
      <c r="R60" s="4669">
        <f t="shared" si="14"/>
        <v>100000</v>
      </c>
      <c r="S60" s="4725">
        <f t="shared" si="14"/>
        <v>100000</v>
      </c>
      <c r="T60" s="4726">
        <f t="shared" si="14"/>
        <v>1920149.4171122995</v>
      </c>
      <c r="U60" s="4167" t="s">
        <v>1092</v>
      </c>
      <c r="V60" s="3013" t="s">
        <v>1091</v>
      </c>
      <c r="W60" s="1579"/>
      <c r="AB60" s="4756"/>
    </row>
    <row r="61" spans="1:28" ht="20.25" customHeight="1" thickBot="1">
      <c r="A61" s="5500" t="s">
        <v>1373</v>
      </c>
      <c r="B61" s="5501"/>
      <c r="C61" s="5501"/>
      <c r="D61" s="5502"/>
      <c r="E61" s="4816"/>
      <c r="F61" s="4817"/>
      <c r="G61" s="4818"/>
      <c r="H61" s="4174">
        <f t="shared" ref="H61:S61" si="15">H60+H46+H10</f>
        <v>808730.23510802921</v>
      </c>
      <c r="I61" s="4175">
        <f t="shared" si="15"/>
        <v>571547.51782531198</v>
      </c>
      <c r="J61" s="4176">
        <f t="shared" si="15"/>
        <v>613984.59358288767</v>
      </c>
      <c r="K61" s="4177">
        <f t="shared" si="15"/>
        <v>744988.75158175163</v>
      </c>
      <c r="L61" s="4178">
        <f t="shared" si="15"/>
        <v>443049.62121212122</v>
      </c>
      <c r="M61" s="4179">
        <f t="shared" si="15"/>
        <v>762643.39393939392</v>
      </c>
      <c r="N61" s="4180">
        <f t="shared" si="15"/>
        <v>409184.16666666669</v>
      </c>
      <c r="O61" s="4175">
        <f t="shared" si="15"/>
        <v>539030.66666666663</v>
      </c>
      <c r="P61" s="4176">
        <f t="shared" si="15"/>
        <v>372666.66666666669</v>
      </c>
      <c r="Q61" s="4727">
        <f t="shared" si="15"/>
        <v>361666.66666666669</v>
      </c>
      <c r="R61" s="4176">
        <f t="shared" si="15"/>
        <v>166666.66666666669</v>
      </c>
      <c r="S61" s="4179">
        <f t="shared" si="15"/>
        <v>376666.66666666669</v>
      </c>
      <c r="T61" s="4728">
        <f>T46+T60+T10</f>
        <v>6170825.6132494956</v>
      </c>
      <c r="U61" s="3013">
        <v>4161605.6836470589</v>
      </c>
      <c r="V61" s="3014" t="e">
        <f>(#REF!-U61)/#REF!</f>
        <v>#REF!</v>
      </c>
      <c r="W61" s="1579"/>
      <c r="AB61" s="4756"/>
    </row>
    <row r="62" spans="1:28" ht="20.25" customHeight="1">
      <c r="A62" s="1993"/>
      <c r="B62" s="1993"/>
      <c r="C62" s="1993"/>
      <c r="D62" s="1993"/>
      <c r="E62" s="2383"/>
      <c r="F62" s="1993"/>
      <c r="G62" s="1993"/>
      <c r="H62" s="1555"/>
      <c r="I62" s="1555"/>
      <c r="J62" s="1555"/>
      <c r="K62" s="1555"/>
      <c r="L62" s="2692"/>
      <c r="M62" s="1555"/>
      <c r="N62" s="1555"/>
      <c r="O62" s="1555"/>
      <c r="P62" s="1555"/>
      <c r="Q62" s="1555"/>
      <c r="R62" s="1555"/>
      <c r="S62" s="1555"/>
      <c r="T62" s="1555" t="b">
        <f>SUM(H61:S61)=T61</f>
        <v>1</v>
      </c>
      <c r="U62" s="1555"/>
      <c r="W62" s="1579"/>
    </row>
    <row r="63" spans="1:28" ht="20.25" customHeight="1" thickBot="1">
      <c r="A63" s="1547" t="s">
        <v>495</v>
      </c>
      <c r="B63" s="1547"/>
      <c r="C63" s="1547"/>
      <c r="D63" s="1578"/>
      <c r="E63" s="1546"/>
      <c r="F63" s="1546"/>
      <c r="G63" s="1546"/>
      <c r="H63" s="1546"/>
      <c r="I63" s="2745"/>
      <c r="J63" s="2745"/>
      <c r="K63" s="2745"/>
      <c r="L63" s="4168"/>
      <c r="M63" s="1546"/>
      <c r="N63" s="1546"/>
      <c r="O63" s="1546"/>
      <c r="P63" s="1546"/>
      <c r="Q63" s="1546"/>
      <c r="U63" s="1546" t="s">
        <v>1371</v>
      </c>
    </row>
    <row r="64" spans="1:28" ht="20.25" customHeight="1" thickBot="1">
      <c r="A64" s="5151" t="s">
        <v>1374</v>
      </c>
      <c r="B64" s="5152"/>
      <c r="C64" s="5152"/>
      <c r="D64" s="5153"/>
      <c r="E64" s="81" t="s">
        <v>125</v>
      </c>
      <c r="F64" s="88"/>
      <c r="G64" s="88"/>
      <c r="H64" s="1548" t="s">
        <v>1350</v>
      </c>
      <c r="I64" s="81" t="s">
        <v>1351</v>
      </c>
      <c r="J64" s="1549" t="s">
        <v>1352</v>
      </c>
      <c r="K64" s="1548" t="s">
        <v>1353</v>
      </c>
      <c r="L64" s="81" t="s">
        <v>1354</v>
      </c>
      <c r="M64" s="1549" t="s">
        <v>1355</v>
      </c>
      <c r="N64" s="1548" t="s">
        <v>1356</v>
      </c>
      <c r="O64" s="72" t="s">
        <v>1357</v>
      </c>
      <c r="P64" s="1549" t="s">
        <v>1358</v>
      </c>
      <c r="Q64" s="1548" t="s">
        <v>1359</v>
      </c>
      <c r="R64" s="81" t="s">
        <v>1360</v>
      </c>
      <c r="S64" s="1549" t="s">
        <v>1361</v>
      </c>
      <c r="T64" s="1550" t="s">
        <v>1362</v>
      </c>
      <c r="U64" s="1550" t="s">
        <v>103</v>
      </c>
    </row>
    <row r="65" spans="1:22" ht="20.25" customHeight="1">
      <c r="A65" s="5503" t="s">
        <v>520</v>
      </c>
      <c r="B65" s="5504"/>
      <c r="C65" s="5504"/>
      <c r="D65" s="5505"/>
      <c r="E65" s="1999"/>
      <c r="F65" s="4110"/>
      <c r="G65" s="4110"/>
      <c r="H65" s="2693"/>
      <c r="I65" s="2694"/>
      <c r="J65" s="2695"/>
      <c r="K65" s="2694"/>
      <c r="L65" s="2694"/>
      <c r="M65" s="2694"/>
      <c r="N65" s="2696"/>
      <c r="O65" s="2697"/>
      <c r="P65" s="2695"/>
      <c r="Q65" s="2694"/>
      <c r="R65" s="2694"/>
      <c r="S65" s="2698"/>
      <c r="T65" s="3368">
        <f>SUM(H65:S65)</f>
        <v>0</v>
      </c>
      <c r="U65" s="2699"/>
    </row>
    <row r="66" spans="1:22" s="1631" customFormat="1" ht="20.25" customHeight="1" thickBot="1">
      <c r="A66" s="5506" t="s">
        <v>1376</v>
      </c>
      <c r="B66" s="5507"/>
      <c r="C66" s="5507"/>
      <c r="D66" s="5508"/>
      <c r="E66" s="2339"/>
      <c r="F66" s="2701"/>
      <c r="G66" s="2701"/>
      <c r="H66" s="4169">
        <f>+H61-H65</f>
        <v>808730.23510802921</v>
      </c>
      <c r="I66" s="4170">
        <f t="shared" ref="I66:S66" si="16">+I61-I65</f>
        <v>571547.51782531198</v>
      </c>
      <c r="J66" s="4171">
        <f t="shared" si="16"/>
        <v>613984.59358288767</v>
      </c>
      <c r="K66" s="2702">
        <f t="shared" si="16"/>
        <v>744988.75158175163</v>
      </c>
      <c r="L66" s="2703">
        <f t="shared" si="16"/>
        <v>443049.62121212122</v>
      </c>
      <c r="M66" s="2704">
        <f t="shared" si="16"/>
        <v>762643.39393939392</v>
      </c>
      <c r="N66" s="2702">
        <f t="shared" si="16"/>
        <v>409184.16666666669</v>
      </c>
      <c r="O66" s="2705">
        <f t="shared" si="16"/>
        <v>539030.66666666663</v>
      </c>
      <c r="P66" s="2704">
        <f t="shared" si="16"/>
        <v>372666.66666666669</v>
      </c>
      <c r="Q66" s="2702">
        <f t="shared" si="16"/>
        <v>361666.66666666669</v>
      </c>
      <c r="R66" s="2703">
        <f t="shared" si="16"/>
        <v>166666.66666666669</v>
      </c>
      <c r="S66" s="2704">
        <f t="shared" si="16"/>
        <v>376666.66666666669</v>
      </c>
      <c r="T66" s="3369">
        <f>SUM(H66:S66)</f>
        <v>6170825.6132494975</v>
      </c>
      <c r="U66" s="2706"/>
      <c r="V66" s="2636"/>
    </row>
    <row r="67" spans="1:22" ht="20.25" customHeight="1" thickBot="1">
      <c r="A67" s="5352" t="s">
        <v>1375</v>
      </c>
      <c r="B67" s="5373"/>
      <c r="C67" s="5373"/>
      <c r="D67" s="5353"/>
      <c r="E67" s="2605"/>
      <c r="F67" s="4906"/>
      <c r="G67" s="4678"/>
      <c r="H67" s="2708">
        <f>SUM(H65:H66)</f>
        <v>808730.23510802921</v>
      </c>
      <c r="I67" s="2709">
        <f>SUM(I65:I66)</f>
        <v>571547.51782531198</v>
      </c>
      <c r="J67" s="2710">
        <f t="shared" ref="J67:S67" si="17">SUM(J65:J66)-J65</f>
        <v>613984.59358288767</v>
      </c>
      <c r="K67" s="2708">
        <f t="shared" si="17"/>
        <v>744988.75158175163</v>
      </c>
      <c r="L67" s="4172">
        <f t="shared" si="17"/>
        <v>443049.62121212122</v>
      </c>
      <c r="M67" s="2710">
        <f t="shared" si="17"/>
        <v>762643.39393939392</v>
      </c>
      <c r="N67" s="2708">
        <f t="shared" si="17"/>
        <v>409184.16666666669</v>
      </c>
      <c r="O67" s="2711">
        <f t="shared" si="17"/>
        <v>539030.66666666663</v>
      </c>
      <c r="P67" s="2710">
        <f t="shared" si="17"/>
        <v>372666.66666666669</v>
      </c>
      <c r="Q67" s="2708">
        <f t="shared" si="17"/>
        <v>361666.66666666669</v>
      </c>
      <c r="R67" s="2709">
        <f t="shared" si="17"/>
        <v>166666.66666666669</v>
      </c>
      <c r="S67" s="2710">
        <f t="shared" si="17"/>
        <v>376666.66666666669</v>
      </c>
      <c r="T67" s="1692">
        <f>SUM(T65:T66)</f>
        <v>6170825.6132494975</v>
      </c>
      <c r="U67" s="1697"/>
    </row>
    <row r="68" spans="1:22" ht="20.25" customHeight="1">
      <c r="A68" s="2712"/>
      <c r="B68" s="2712"/>
      <c r="C68" s="2712"/>
      <c r="D68" s="2712"/>
      <c r="H68" s="2713"/>
      <c r="I68" s="2713"/>
      <c r="J68" s="2713"/>
      <c r="K68" s="2713"/>
      <c r="L68" s="2179"/>
      <c r="M68" s="2713"/>
      <c r="N68" s="2713"/>
      <c r="O68" s="2713"/>
      <c r="P68" s="2713"/>
      <c r="Q68" s="2713"/>
      <c r="R68" s="2713"/>
      <c r="S68" s="2713"/>
      <c r="T68" s="2580" t="b">
        <f>SUM(H67:S67)=T67</f>
        <v>1</v>
      </c>
    </row>
    <row r="69" spans="1:22" ht="20.25" customHeight="1" thickBot="1">
      <c r="A69" s="1547" t="s">
        <v>1377</v>
      </c>
      <c r="B69" s="1547"/>
      <c r="C69" s="1547"/>
      <c r="D69" s="1539"/>
      <c r="E69" s="1539"/>
      <c r="F69" s="1539"/>
      <c r="G69" s="1539"/>
      <c r="H69" s="1539"/>
      <c r="I69" s="2580"/>
      <c r="J69" s="4173"/>
      <c r="K69" s="1539"/>
      <c r="L69" s="2179"/>
      <c r="M69" s="1539"/>
      <c r="N69" s="1539"/>
      <c r="O69" s="1539"/>
      <c r="P69" s="1539"/>
      <c r="Q69" s="1539"/>
      <c r="R69" s="2714"/>
      <c r="S69" s="1539"/>
      <c r="T69" s="1539"/>
      <c r="U69" s="1546" t="s">
        <v>1378</v>
      </c>
    </row>
    <row r="70" spans="1:22" ht="20.25" customHeight="1" thickBot="1">
      <c r="A70" s="5151" t="s">
        <v>1374</v>
      </c>
      <c r="B70" s="5152"/>
      <c r="C70" s="5152"/>
      <c r="D70" s="5153"/>
      <c r="E70" s="79" t="s">
        <v>125</v>
      </c>
      <c r="F70" s="40"/>
      <c r="G70" s="3604"/>
      <c r="H70" s="1548" t="s">
        <v>1350</v>
      </c>
      <c r="I70" s="81" t="s">
        <v>1351</v>
      </c>
      <c r="J70" s="1549" t="s">
        <v>1352</v>
      </c>
      <c r="K70" s="1548" t="s">
        <v>1353</v>
      </c>
      <c r="L70" s="81" t="s">
        <v>1354</v>
      </c>
      <c r="M70" s="1549" t="s">
        <v>1355</v>
      </c>
      <c r="N70" s="1548" t="s">
        <v>1356</v>
      </c>
      <c r="O70" s="81" t="s">
        <v>1357</v>
      </c>
      <c r="P70" s="1549" t="s">
        <v>1358</v>
      </c>
      <c r="Q70" s="1548" t="s">
        <v>1359</v>
      </c>
      <c r="R70" s="81" t="s">
        <v>1360</v>
      </c>
      <c r="S70" s="1549" t="s">
        <v>1361</v>
      </c>
      <c r="T70" s="1550" t="s">
        <v>1362</v>
      </c>
      <c r="U70" s="1550" t="s">
        <v>103</v>
      </c>
    </row>
    <row r="71" spans="1:22" ht="20.25" customHeight="1">
      <c r="A71" s="2715" t="s">
        <v>143</v>
      </c>
      <c r="B71" s="4619"/>
      <c r="C71" s="4619"/>
      <c r="D71" s="2716"/>
      <c r="E71" s="79"/>
      <c r="F71" s="40"/>
      <c r="G71" s="3604"/>
      <c r="H71" s="2693">
        <f>SUM(H72:H76)</f>
        <v>356693.84715102834</v>
      </c>
      <c r="I71" s="2694">
        <f t="shared" ref="I71" si="18">SUM(I72:I76)</f>
        <v>366097.44349615107</v>
      </c>
      <c r="J71" s="2695">
        <f>SUM(J72:J76)</f>
        <v>370273.37312644569</v>
      </c>
      <c r="K71" s="2693">
        <f t="shared" ref="K71:S71" si="19">SUM(K72:K76)</f>
        <v>379741.52909897873</v>
      </c>
      <c r="L71" s="2694">
        <f t="shared" si="19"/>
        <v>386535.13467020635</v>
      </c>
      <c r="M71" s="2695">
        <f t="shared" si="19"/>
        <v>395943.87943851249</v>
      </c>
      <c r="N71" s="2693">
        <f t="shared" si="19"/>
        <v>402293.36496688327</v>
      </c>
      <c r="O71" s="2694">
        <f t="shared" si="19"/>
        <v>404453.3336753574</v>
      </c>
      <c r="P71" s="2695">
        <f t="shared" si="19"/>
        <v>400313.97655622289</v>
      </c>
      <c r="Q71" s="2693">
        <f t="shared" si="19"/>
        <v>398427.44107294292</v>
      </c>
      <c r="R71" s="2694">
        <f t="shared" si="19"/>
        <v>398313.72884657542</v>
      </c>
      <c r="S71" s="2695">
        <f t="shared" si="19"/>
        <v>403518.12493743014</v>
      </c>
      <c r="T71" s="3367">
        <f>SUM(T72:T76)</f>
        <v>4662605.1770367343</v>
      </c>
      <c r="U71" s="2370"/>
    </row>
    <row r="72" spans="1:22" ht="20.25" customHeight="1">
      <c r="A72" s="5498" t="s">
        <v>25</v>
      </c>
      <c r="B72" s="5499"/>
      <c r="C72" s="5499"/>
      <c r="D72" s="5466"/>
      <c r="E72" s="2717"/>
      <c r="F72" s="2718"/>
      <c r="G72" s="4679"/>
      <c r="H72" s="4612">
        <f>35000+SUM(H61)/5/12</f>
        <v>48478.837251800484</v>
      </c>
      <c r="I72" s="4613">
        <f t="shared" ref="I72:S72" si="20">H72+SUM(I61)/5/12</f>
        <v>58004.62921555568</v>
      </c>
      <c r="J72" s="4614">
        <f t="shared" si="20"/>
        <v>68237.705775270471</v>
      </c>
      <c r="K72" s="4612">
        <f t="shared" si="20"/>
        <v>80654.184968299669</v>
      </c>
      <c r="L72" s="4613">
        <f t="shared" si="20"/>
        <v>88038.345321835019</v>
      </c>
      <c r="M72" s="4614">
        <f t="shared" si="20"/>
        <v>100749.06855415825</v>
      </c>
      <c r="N72" s="4612">
        <f t="shared" si="20"/>
        <v>107568.80466526936</v>
      </c>
      <c r="O72" s="4613">
        <f t="shared" si="20"/>
        <v>116552.64910971381</v>
      </c>
      <c r="P72" s="4614">
        <f t="shared" si="20"/>
        <v>122763.76022082492</v>
      </c>
      <c r="Q72" s="4612">
        <f t="shared" si="20"/>
        <v>128791.5379986027</v>
      </c>
      <c r="R72" s="4613">
        <f t="shared" si="20"/>
        <v>131569.31577638048</v>
      </c>
      <c r="S72" s="4614">
        <f t="shared" si="20"/>
        <v>137847.09355415826</v>
      </c>
      <c r="T72" s="1566">
        <f t="shared" ref="T72:T79" si="21">SUM(H72:S72)</f>
        <v>1189255.9324118691</v>
      </c>
      <c r="U72" s="2719"/>
    </row>
    <row r="73" spans="1:22" ht="20.25" customHeight="1">
      <c r="A73" s="5498" t="s">
        <v>529</v>
      </c>
      <c r="B73" s="5499"/>
      <c r="C73" s="5499"/>
      <c r="D73" s="5466"/>
      <c r="E73" s="2717"/>
      <c r="F73" s="2718"/>
      <c r="G73" s="4679"/>
      <c r="H73" s="2530">
        <v>48226.66956900213</v>
      </c>
      <c r="I73" s="2532">
        <v>48226.66956900213</v>
      </c>
      <c r="J73" s="2531">
        <v>48226.66956900213</v>
      </c>
      <c r="K73" s="2530">
        <v>48226.66956900213</v>
      </c>
      <c r="L73" s="2532">
        <v>48226.66956900213</v>
      </c>
      <c r="M73" s="2531">
        <v>48226.66956900213</v>
      </c>
      <c r="N73" s="2530">
        <v>48226.66956900213</v>
      </c>
      <c r="O73" s="2532">
        <v>48226.66956900213</v>
      </c>
      <c r="P73" s="2531">
        <v>48226.66956900213</v>
      </c>
      <c r="Q73" s="2530">
        <v>48226.66956900213</v>
      </c>
      <c r="R73" s="2532">
        <v>48226.66956900213</v>
      </c>
      <c r="S73" s="2531">
        <v>48226.66956900213</v>
      </c>
      <c r="T73" s="1566">
        <f t="shared" si="21"/>
        <v>578720.0348280255</v>
      </c>
      <c r="U73" s="2719"/>
    </row>
    <row r="74" spans="1:22" ht="20.25" customHeight="1">
      <c r="A74" s="5498" t="s">
        <v>8</v>
      </c>
      <c r="B74" s="5499"/>
      <c r="C74" s="5499"/>
      <c r="D74" s="5466"/>
      <c r="E74" s="2010"/>
      <c r="F74" s="2720"/>
      <c r="G74" s="4012"/>
      <c r="H74" s="2530">
        <v>137008.76371776342</v>
      </c>
      <c r="I74" s="2532">
        <v>137008.76371776342</v>
      </c>
      <c r="J74" s="2531">
        <v>133850.25301199424</v>
      </c>
      <c r="K74" s="2530">
        <v>131360.93988404551</v>
      </c>
      <c r="L74" s="2532">
        <v>130770.3851017378</v>
      </c>
      <c r="M74" s="2531">
        <v>128182.66980866092</v>
      </c>
      <c r="N74" s="2530">
        <v>128182.66980866092</v>
      </c>
      <c r="O74" s="2532">
        <v>126061.42569558398</v>
      </c>
      <c r="P74" s="2531">
        <v>124493.22857481477</v>
      </c>
      <c r="Q74" s="2530">
        <v>124111.65804981478</v>
      </c>
      <c r="R74" s="2532">
        <v>123904.39477994299</v>
      </c>
      <c r="S74" s="2531">
        <v>122831.01309301989</v>
      </c>
      <c r="T74" s="1566">
        <f t="shared" si="21"/>
        <v>1547766.1652438026</v>
      </c>
      <c r="U74" s="1669"/>
    </row>
    <row r="75" spans="1:22" ht="20.25" customHeight="1">
      <c r="A75" s="5498" t="s">
        <v>9</v>
      </c>
      <c r="B75" s="5499"/>
      <c r="C75" s="5499"/>
      <c r="D75" s="5466"/>
      <c r="E75" s="2010"/>
      <c r="F75" s="2720"/>
      <c r="G75" s="4012"/>
      <c r="H75" s="2620">
        <v>60371.584522303419</v>
      </c>
      <c r="I75" s="2621">
        <v>60371.584522303419</v>
      </c>
      <c r="J75" s="2623">
        <v>60371.584522303419</v>
      </c>
      <c r="K75" s="2620">
        <v>60371.584522303419</v>
      </c>
      <c r="L75" s="2621">
        <v>60371.584522303419</v>
      </c>
      <c r="M75" s="2623">
        <v>60371.584522303419</v>
      </c>
      <c r="N75" s="2620">
        <v>60371.584522303419</v>
      </c>
      <c r="O75" s="2621">
        <v>60371.584522303419</v>
      </c>
      <c r="P75" s="2623">
        <v>60371.584522303419</v>
      </c>
      <c r="Q75" s="2620">
        <v>60371.584522303419</v>
      </c>
      <c r="R75" s="2621">
        <v>60371.584522303419</v>
      </c>
      <c r="S75" s="2623">
        <v>60371.584522303419</v>
      </c>
      <c r="T75" s="1566">
        <f t="shared" si="21"/>
        <v>724459.014267641</v>
      </c>
      <c r="U75" s="2700"/>
    </row>
    <row r="76" spans="1:22" ht="20.25" customHeight="1">
      <c r="A76" s="5498" t="s">
        <v>493</v>
      </c>
      <c r="B76" s="5499"/>
      <c r="C76" s="5499"/>
      <c r="D76" s="5466"/>
      <c r="E76" s="2010"/>
      <c r="F76" s="2720"/>
      <c r="G76" s="4012"/>
      <c r="H76" s="2530">
        <v>62607.992090158914</v>
      </c>
      <c r="I76" s="2532">
        <v>62485.796471526432</v>
      </c>
      <c r="J76" s="2531">
        <v>59587.160247875436</v>
      </c>
      <c r="K76" s="2530">
        <v>59128.150155327952</v>
      </c>
      <c r="L76" s="2532">
        <v>59128.150155327952</v>
      </c>
      <c r="M76" s="2531">
        <v>58413.886984387791</v>
      </c>
      <c r="N76" s="2530">
        <v>57943.636401647404</v>
      </c>
      <c r="O76" s="2532">
        <v>53241.00477875409</v>
      </c>
      <c r="P76" s="2531">
        <v>44458.733669277615</v>
      </c>
      <c r="Q76" s="2530">
        <v>36925.990933219917</v>
      </c>
      <c r="R76" s="2532">
        <v>34241.76419894641</v>
      </c>
      <c r="S76" s="2531">
        <v>34241.76419894641</v>
      </c>
      <c r="T76" s="1566">
        <f t="shared" si="21"/>
        <v>622404.03028539638</v>
      </c>
      <c r="U76" s="2700"/>
    </row>
    <row r="77" spans="1:22" ht="20.25" customHeight="1">
      <c r="A77" s="2721" t="s">
        <v>96</v>
      </c>
      <c r="B77" s="4620"/>
      <c r="C77" s="4620"/>
      <c r="D77" s="2394"/>
      <c r="E77" s="2010"/>
      <c r="F77" s="2720"/>
      <c r="G77" s="4012"/>
      <c r="H77" s="2530">
        <v>10613.063718039215</v>
      </c>
      <c r="I77" s="2532">
        <v>10613.063718039215</v>
      </c>
      <c r="J77" s="2531">
        <v>10613.063718039215</v>
      </c>
      <c r="K77" s="2530">
        <v>10613.063718039215</v>
      </c>
      <c r="L77" s="2532">
        <v>10613.063718039215</v>
      </c>
      <c r="M77" s="2531">
        <v>10613.063718039215</v>
      </c>
      <c r="N77" s="2530">
        <v>10613.063718039215</v>
      </c>
      <c r="O77" s="2532">
        <v>10613.063718039215</v>
      </c>
      <c r="P77" s="2531">
        <v>10613.063718039215</v>
      </c>
      <c r="Q77" s="2530">
        <v>10613.063718039215</v>
      </c>
      <c r="R77" s="2532">
        <v>10613.063718039215</v>
      </c>
      <c r="S77" s="2531">
        <v>10613.063718039215</v>
      </c>
      <c r="T77" s="1566">
        <f t="shared" si="21"/>
        <v>127356.76461647061</v>
      </c>
      <c r="U77" s="2700"/>
    </row>
    <row r="78" spans="1:22" ht="20.25" customHeight="1" thickBot="1">
      <c r="A78" s="5498" t="s">
        <v>8</v>
      </c>
      <c r="B78" s="5499"/>
      <c r="C78" s="5499"/>
      <c r="D78" s="5466"/>
      <c r="E78" s="2010"/>
      <c r="F78" s="2720"/>
      <c r="G78" s="4012"/>
      <c r="H78" s="2530">
        <v>9786</v>
      </c>
      <c r="I78" s="2532">
        <f>+H78</f>
        <v>9786</v>
      </c>
      <c r="J78" s="2531">
        <f t="shared" ref="J78:S78" si="22">+H78</f>
        <v>9786</v>
      </c>
      <c r="K78" s="2530">
        <f t="shared" si="22"/>
        <v>9786</v>
      </c>
      <c r="L78" s="2532">
        <f t="shared" si="22"/>
        <v>9786</v>
      </c>
      <c r="M78" s="2531">
        <f t="shared" si="22"/>
        <v>9786</v>
      </c>
      <c r="N78" s="2530">
        <f t="shared" si="22"/>
        <v>9786</v>
      </c>
      <c r="O78" s="2532">
        <f t="shared" si="22"/>
        <v>9786</v>
      </c>
      <c r="P78" s="2531">
        <f t="shared" si="22"/>
        <v>9786</v>
      </c>
      <c r="Q78" s="2530">
        <f t="shared" si="22"/>
        <v>9786</v>
      </c>
      <c r="R78" s="2532">
        <f t="shared" si="22"/>
        <v>9786</v>
      </c>
      <c r="S78" s="2531">
        <f t="shared" si="22"/>
        <v>9786</v>
      </c>
      <c r="T78" s="1566">
        <f t="shared" si="21"/>
        <v>117432</v>
      </c>
      <c r="U78" s="2700"/>
    </row>
    <row r="79" spans="1:22" ht="20.25" customHeight="1" thickBot="1">
      <c r="A79" s="4111" t="s">
        <v>9</v>
      </c>
      <c r="B79" s="2722"/>
      <c r="C79" s="2722"/>
      <c r="D79" s="2722"/>
      <c r="E79" s="2723"/>
      <c r="F79" s="2724"/>
      <c r="G79" s="4013"/>
      <c r="H79" s="2727">
        <v>6761.021846833446</v>
      </c>
      <c r="I79" s="2725">
        <v>6761.021846833446</v>
      </c>
      <c r="J79" s="2726">
        <v>5782.596503696197</v>
      </c>
      <c r="K79" s="2727">
        <v>4421.9321864848625</v>
      </c>
      <c r="L79" s="2725">
        <v>4323.4919179663439</v>
      </c>
      <c r="M79" s="2726">
        <v>4323.4919179663448</v>
      </c>
      <c r="N79" s="2727">
        <v>1611.6745977049054</v>
      </c>
      <c r="O79" s="2725">
        <v>1611.6745977049043</v>
      </c>
      <c r="P79" s="2726">
        <v>1524.5286282059951</v>
      </c>
      <c r="Q79" s="2727">
        <v>1524.5286282059953</v>
      </c>
      <c r="R79" s="2725">
        <v>1277.5614168770203</v>
      </c>
      <c r="S79" s="2726">
        <v>1148.9557523890014</v>
      </c>
      <c r="T79" s="1648">
        <f t="shared" si="21"/>
        <v>41072.479840868473</v>
      </c>
      <c r="U79" s="3012" t="s">
        <v>1092</v>
      </c>
      <c r="V79" s="3013" t="s">
        <v>1091</v>
      </c>
    </row>
    <row r="80" spans="1:22" ht="20.25" customHeight="1" thickBot="1">
      <c r="A80" s="5151" t="s">
        <v>1375</v>
      </c>
      <c r="B80" s="5152"/>
      <c r="C80" s="5152"/>
      <c r="D80" s="5153"/>
      <c r="E80" s="2605"/>
      <c r="F80" s="2707"/>
      <c r="G80" s="4678"/>
      <c r="H80" s="2708">
        <f>+H71+H77</f>
        <v>367306.91086906753</v>
      </c>
      <c r="I80" s="2709">
        <f t="shared" ref="I80:S80" si="23">+I71+I77</f>
        <v>376710.50721419026</v>
      </c>
      <c r="J80" s="2710">
        <f t="shared" si="23"/>
        <v>380886.43684448488</v>
      </c>
      <c r="K80" s="2708">
        <f t="shared" si="23"/>
        <v>390354.59281701792</v>
      </c>
      <c r="L80" s="4172">
        <f t="shared" si="23"/>
        <v>397148.19838824554</v>
      </c>
      <c r="M80" s="2710">
        <f t="shared" si="23"/>
        <v>406556.94315655169</v>
      </c>
      <c r="N80" s="2708">
        <f t="shared" si="23"/>
        <v>412906.42868492246</v>
      </c>
      <c r="O80" s="2709">
        <f t="shared" si="23"/>
        <v>415066.39739339659</v>
      </c>
      <c r="P80" s="2710">
        <f t="shared" si="23"/>
        <v>410927.04027426208</v>
      </c>
      <c r="Q80" s="2708">
        <f t="shared" si="23"/>
        <v>409040.50479098212</v>
      </c>
      <c r="R80" s="2709">
        <f t="shared" si="23"/>
        <v>408926.79256461462</v>
      </c>
      <c r="S80" s="2710">
        <f t="shared" si="23"/>
        <v>414131.18865546933</v>
      </c>
      <c r="T80" s="1692">
        <f>+T71+T77</f>
        <v>4789961.9416532051</v>
      </c>
      <c r="U80" s="3013">
        <v>3286870.7336353157</v>
      </c>
      <c r="V80" s="3014" t="e">
        <f>(#REF!-U80)/#REF!</f>
        <v>#REF!</v>
      </c>
    </row>
    <row r="81" spans="1:22" ht="18.75" customHeight="1">
      <c r="A81" s="9"/>
      <c r="B81" s="9"/>
      <c r="C81" s="9"/>
      <c r="H81" s="1541"/>
      <c r="I81" s="1541"/>
      <c r="J81" s="1541"/>
      <c r="K81" s="1541"/>
      <c r="L81" s="1541"/>
      <c r="M81" s="1541"/>
      <c r="N81" s="1541"/>
      <c r="O81" s="1541"/>
      <c r="P81" s="1541"/>
      <c r="Q81" s="1541"/>
      <c r="R81" s="1541"/>
      <c r="S81" s="1541"/>
      <c r="T81" s="1539" t="b">
        <f>SUM(H80:S80)=T80</f>
        <v>1</v>
      </c>
    </row>
    <row r="82" spans="1:22">
      <c r="A82" s="9"/>
      <c r="B82" s="9"/>
      <c r="C82" s="9"/>
      <c r="H82" s="1716"/>
      <c r="I82" s="1716"/>
      <c r="J82" s="1716"/>
      <c r="K82" s="1716"/>
      <c r="M82" s="1716"/>
      <c r="N82" s="2729"/>
      <c r="O82" s="2729"/>
      <c r="P82" s="2729"/>
      <c r="Q82" s="2729"/>
      <c r="R82" s="2729"/>
      <c r="S82" s="2729"/>
      <c r="T82" s="1623"/>
    </row>
    <row r="83" spans="1:22">
      <c r="A83" s="2730" t="s">
        <v>94</v>
      </c>
      <c r="B83" s="2730"/>
      <c r="C83" s="2730"/>
      <c r="H83" s="4823"/>
      <c r="I83" s="4823"/>
      <c r="J83" s="4823"/>
      <c r="K83" s="4823"/>
      <c r="L83" s="4823"/>
      <c r="M83" s="4823"/>
      <c r="N83" s="4823"/>
      <c r="O83" s="4823"/>
      <c r="P83" s="4823"/>
      <c r="Q83" s="4823"/>
      <c r="R83" s="4823"/>
      <c r="S83" s="4823"/>
      <c r="T83" s="1623"/>
    </row>
    <row r="84" spans="1:22">
      <c r="A84" s="1624" t="s">
        <v>8</v>
      </c>
      <c r="B84" s="1624"/>
      <c r="C84" s="1624"/>
      <c r="H84" s="1716"/>
      <c r="I84" s="1716"/>
      <c r="J84" s="1716"/>
      <c r="K84" s="1716"/>
      <c r="M84" s="1716"/>
      <c r="N84" s="1623"/>
      <c r="O84" s="1719"/>
      <c r="P84" s="1623"/>
      <c r="Q84" s="1623"/>
      <c r="R84" s="1623"/>
      <c r="S84" s="1623"/>
      <c r="T84" s="1623"/>
    </row>
    <row r="85" spans="1:22">
      <c r="A85" s="1624" t="s">
        <v>9</v>
      </c>
      <c r="B85" s="1624"/>
      <c r="C85" s="1624"/>
      <c r="H85" s="4828"/>
      <c r="I85" s="4828"/>
      <c r="J85" s="4828"/>
      <c r="K85" s="4828"/>
      <c r="L85" s="4828"/>
      <c r="M85" s="4828"/>
      <c r="N85" s="1579"/>
      <c r="O85" s="1579"/>
      <c r="P85" s="1579"/>
      <c r="Q85" s="1579"/>
      <c r="R85" s="1579"/>
      <c r="S85" s="1579"/>
      <c r="T85" s="1623"/>
    </row>
    <row r="86" spans="1:22">
      <c r="A86" s="1624" t="s">
        <v>96</v>
      </c>
      <c r="B86" s="1624"/>
      <c r="C86" s="1624"/>
      <c r="H86" s="4828"/>
      <c r="I86" s="4828"/>
      <c r="J86" s="4828"/>
      <c r="K86" s="4828"/>
      <c r="L86" s="4828"/>
      <c r="M86" s="4828"/>
      <c r="N86" s="1579"/>
      <c r="O86" s="1579"/>
      <c r="P86" s="1579"/>
      <c r="Q86" s="1579"/>
      <c r="R86" s="1579"/>
      <c r="S86" s="1579"/>
      <c r="T86" s="1623"/>
    </row>
    <row r="87" spans="1:22">
      <c r="H87" s="1716"/>
      <c r="I87" s="1716"/>
      <c r="J87" s="1716"/>
      <c r="K87" s="1716"/>
      <c r="M87" s="1716"/>
      <c r="N87" s="1545"/>
      <c r="O87" s="1545"/>
      <c r="P87" s="1545"/>
      <c r="Q87" s="1545"/>
      <c r="R87" s="1545"/>
      <c r="S87" s="1545"/>
      <c r="T87" s="1623"/>
    </row>
    <row r="88" spans="1:22">
      <c r="A88" s="9"/>
      <c r="B88" s="9"/>
      <c r="C88" s="9"/>
      <c r="H88" s="1716"/>
      <c r="I88" s="1716"/>
      <c r="J88" s="1716"/>
      <c r="K88" s="1716"/>
      <c r="M88" s="1716"/>
      <c r="N88" s="1716"/>
      <c r="O88" s="1716"/>
      <c r="P88" s="1716"/>
      <c r="Q88" s="1716"/>
      <c r="R88" s="1716"/>
      <c r="S88" s="1716"/>
      <c r="V88" s="9"/>
    </row>
    <row r="89" spans="1:22">
      <c r="A89" s="9"/>
      <c r="B89" s="9"/>
      <c r="C89" s="9"/>
      <c r="H89" s="1716"/>
      <c r="I89" s="1716"/>
      <c r="J89" s="1716"/>
      <c r="K89" s="1716"/>
      <c r="M89" s="1716"/>
      <c r="V89" s="9"/>
    </row>
    <row r="90" spans="1:22">
      <c r="A90" s="9"/>
      <c r="B90" s="9"/>
      <c r="C90" s="9"/>
      <c r="H90" s="1716"/>
      <c r="I90" s="1716"/>
      <c r="J90" s="1716"/>
      <c r="K90" s="1716"/>
      <c r="M90" s="1716"/>
      <c r="V90" s="9"/>
    </row>
  </sheetData>
  <mergeCells count="14">
    <mergeCell ref="A4:B4"/>
    <mergeCell ref="A75:D75"/>
    <mergeCell ref="A76:D76"/>
    <mergeCell ref="A80:D80"/>
    <mergeCell ref="A67:D67"/>
    <mergeCell ref="A72:D72"/>
    <mergeCell ref="A73:D73"/>
    <mergeCell ref="A74:D74"/>
    <mergeCell ref="A70:D70"/>
    <mergeCell ref="A61:D61"/>
    <mergeCell ref="A65:D65"/>
    <mergeCell ref="A66:D66"/>
    <mergeCell ref="A64:D64"/>
    <mergeCell ref="A78:D78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6.5"/>
  <sheetData/>
  <phoneticPr fontId="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P27"/>
  <sheetViews>
    <sheetView showGridLines="0" zoomScale="85" zoomScaleNormal="85" workbookViewId="0">
      <selection activeCell="L31" sqref="L31"/>
    </sheetView>
  </sheetViews>
  <sheetFormatPr defaultColWidth="9" defaultRowHeight="15" customHeight="1"/>
  <cols>
    <col min="1" max="1" width="3.25" style="9" customWidth="1"/>
    <col min="2" max="3" width="17.75" style="9" customWidth="1"/>
    <col min="4" max="4" width="13.125" style="2478" customWidth="1"/>
    <col min="5" max="5" width="13.125" style="3679" customWidth="1"/>
    <col min="6" max="7" width="13.125" style="1541" customWidth="1"/>
    <col min="8" max="8" width="13.125" style="1543" customWidth="1"/>
    <col min="9" max="15" width="13.125" style="1541" customWidth="1"/>
    <col min="16" max="16" width="19.125" style="1541" customWidth="1"/>
    <col min="17" max="16384" width="9" style="9"/>
  </cols>
  <sheetData>
    <row r="1" spans="2:16" ht="20.25" customHeight="1">
      <c r="B1" s="2477" t="s">
        <v>295</v>
      </c>
      <c r="C1" s="2477"/>
    </row>
    <row r="2" spans="2:16" ht="20.25" customHeight="1">
      <c r="F2" s="2562"/>
      <c r="G2" s="2486"/>
      <c r="H2" s="2486"/>
      <c r="I2" s="2486"/>
      <c r="J2" s="2486"/>
      <c r="K2" s="2486"/>
      <c r="L2" s="2486"/>
      <c r="M2" s="2486"/>
      <c r="N2" s="2486"/>
      <c r="O2" s="2486"/>
      <c r="P2" s="2486"/>
    </row>
    <row r="3" spans="2:16" ht="20.25" customHeight="1" thickBot="1">
      <c r="B3" s="2498" t="s">
        <v>304</v>
      </c>
      <c r="C3" s="2498"/>
      <c r="D3" s="3680"/>
      <c r="E3" s="3681"/>
      <c r="F3" s="2562"/>
      <c r="G3" s="2486"/>
      <c r="H3" s="2486"/>
      <c r="I3" s="2486"/>
      <c r="J3" s="2486"/>
      <c r="K3" s="2486"/>
      <c r="L3" s="2486"/>
      <c r="M3" s="2486"/>
      <c r="N3" s="2486"/>
      <c r="O3" s="2486"/>
      <c r="P3" s="1808" t="s">
        <v>87</v>
      </c>
    </row>
    <row r="4" spans="2:16" s="1537" customFormat="1" ht="20.25" customHeight="1" thickBot="1">
      <c r="B4" s="3015" t="s">
        <v>31</v>
      </c>
      <c r="C4" s="3500"/>
      <c r="D4" s="23" t="str">
        <f>'2. S Plan'!L4</f>
        <v>Jan.26</v>
      </c>
      <c r="E4" s="2425" t="str">
        <f>'2. S Plan'!M4</f>
        <v>Feb.26</v>
      </c>
      <c r="F4" s="22" t="str">
        <f>'2. S Plan'!N4</f>
        <v>Mar.26</v>
      </c>
      <c r="G4" s="23" t="str">
        <f>'2. S Plan'!O4</f>
        <v>Apr.26</v>
      </c>
      <c r="H4" s="2425" t="str">
        <f>'2. S Plan'!P4</f>
        <v>May.26</v>
      </c>
      <c r="I4" s="22" t="str">
        <f>'2. S Plan'!Q4</f>
        <v>Jun.26</v>
      </c>
      <c r="J4" s="23" t="str">
        <f>'2. S Plan'!R4</f>
        <v>Jul.26</v>
      </c>
      <c r="K4" s="2425" t="str">
        <f>'2. S Plan'!S4</f>
        <v>Aug.26</v>
      </c>
      <c r="L4" s="22" t="str">
        <f>'2. S Plan'!T4</f>
        <v>Sep.26</v>
      </c>
      <c r="M4" s="23" t="str">
        <f>'2. S Plan'!U4</f>
        <v>Oct.26</v>
      </c>
      <c r="N4" s="2425" t="str">
        <f>'2. S Plan'!V4</f>
        <v>Nov.26</v>
      </c>
      <c r="O4" s="22" t="str">
        <f>'2. S Plan'!W4</f>
        <v>Dec.26</v>
      </c>
      <c r="P4" s="2732" t="str">
        <f>'2. S Plan'!X4</f>
        <v>2026
Total</v>
      </c>
    </row>
    <row r="5" spans="2:16" ht="21" customHeight="1">
      <c r="B5" s="3523" t="s">
        <v>297</v>
      </c>
      <c r="C5" s="3524"/>
      <c r="D5" s="3668"/>
      <c r="E5" s="2644"/>
      <c r="F5" s="3669"/>
      <c r="G5" s="3543"/>
      <c r="H5" s="2646"/>
      <c r="I5" s="2648"/>
      <c r="J5" s="2645"/>
      <c r="K5" s="2646"/>
      <c r="L5" s="2647"/>
      <c r="M5" s="2645"/>
      <c r="N5" s="2646"/>
      <c r="O5" s="2647"/>
      <c r="P5" s="2649">
        <f t="shared" ref="P5:P10" si="0">SUM(D5:O5)</f>
        <v>0</v>
      </c>
    </row>
    <row r="6" spans="2:16" ht="21" customHeight="1">
      <c r="B6" s="3525" t="s">
        <v>298</v>
      </c>
      <c r="C6" s="3526"/>
      <c r="D6" s="2653"/>
      <c r="E6" s="2654"/>
      <c r="F6" s="2655"/>
      <c r="G6" s="2662"/>
      <c r="H6" s="2657"/>
      <c r="I6" s="2659"/>
      <c r="J6" s="2656"/>
      <c r="K6" s="2657"/>
      <c r="L6" s="2658"/>
      <c r="M6" s="2656"/>
      <c r="N6" s="2657"/>
      <c r="O6" s="2658"/>
      <c r="P6" s="2660">
        <f t="shared" si="0"/>
        <v>0</v>
      </c>
    </row>
    <row r="7" spans="2:16" ht="21" customHeight="1" thickBot="1">
      <c r="B7" s="3525" t="s">
        <v>299</v>
      </c>
      <c r="C7" s="3526"/>
      <c r="D7" s="3730"/>
      <c r="E7" s="3729"/>
      <c r="F7" s="3728"/>
      <c r="G7" s="2662"/>
      <c r="H7" s="2657"/>
      <c r="I7" s="2659"/>
      <c r="J7" s="2656"/>
      <c r="K7" s="2657"/>
      <c r="L7" s="2658"/>
      <c r="M7" s="2656"/>
      <c r="N7" s="2657"/>
      <c r="O7" s="2658"/>
      <c r="P7" s="2660">
        <f t="shared" si="0"/>
        <v>0</v>
      </c>
    </row>
    <row r="8" spans="2:16" ht="20.25" customHeight="1" thickBot="1">
      <c r="B8" s="5352" t="s">
        <v>123</v>
      </c>
      <c r="C8" s="5374"/>
      <c r="D8" s="2741">
        <f t="shared" ref="D8:O8" si="1">SUM(D5:D7)</f>
        <v>0</v>
      </c>
      <c r="E8" s="2670">
        <f t="shared" si="1"/>
        <v>0</v>
      </c>
      <c r="F8" s="2671">
        <f t="shared" si="1"/>
        <v>0</v>
      </c>
      <c r="G8" s="2672">
        <f t="shared" si="1"/>
        <v>0</v>
      </c>
      <c r="H8" s="2673">
        <f t="shared" si="1"/>
        <v>0</v>
      </c>
      <c r="I8" s="2674">
        <f t="shared" si="1"/>
        <v>0</v>
      </c>
      <c r="J8" s="2672">
        <f t="shared" si="1"/>
        <v>0</v>
      </c>
      <c r="K8" s="2673">
        <f t="shared" si="1"/>
        <v>0</v>
      </c>
      <c r="L8" s="2674">
        <f t="shared" si="1"/>
        <v>0</v>
      </c>
      <c r="M8" s="2672">
        <f t="shared" si="1"/>
        <v>0</v>
      </c>
      <c r="N8" s="2673">
        <f t="shared" si="1"/>
        <v>0</v>
      </c>
      <c r="O8" s="2674">
        <f t="shared" si="1"/>
        <v>0</v>
      </c>
      <c r="P8" s="1800">
        <f t="shared" si="0"/>
        <v>0</v>
      </c>
    </row>
    <row r="9" spans="2:16" ht="20.25" customHeight="1" thickBot="1">
      <c r="B9" s="5352" t="s">
        <v>1235</v>
      </c>
      <c r="C9" s="5374"/>
      <c r="D9" s="2741">
        <f t="shared" ref="D9:O9" si="2">SUM(D5:D7)*0.1</f>
        <v>0</v>
      </c>
      <c r="E9" s="2670">
        <f t="shared" si="2"/>
        <v>0</v>
      </c>
      <c r="F9" s="2671">
        <f t="shared" si="2"/>
        <v>0</v>
      </c>
      <c r="G9" s="2672">
        <f t="shared" si="2"/>
        <v>0</v>
      </c>
      <c r="H9" s="2673">
        <f t="shared" si="2"/>
        <v>0</v>
      </c>
      <c r="I9" s="2674">
        <f t="shared" si="2"/>
        <v>0</v>
      </c>
      <c r="J9" s="2672">
        <f t="shared" si="2"/>
        <v>0</v>
      </c>
      <c r="K9" s="2673">
        <f t="shared" si="2"/>
        <v>0</v>
      </c>
      <c r="L9" s="2674">
        <f t="shared" si="2"/>
        <v>0</v>
      </c>
      <c r="M9" s="2672">
        <f t="shared" si="2"/>
        <v>0</v>
      </c>
      <c r="N9" s="2673">
        <f t="shared" si="2"/>
        <v>0</v>
      </c>
      <c r="O9" s="2674">
        <f t="shared" si="2"/>
        <v>0</v>
      </c>
      <c r="P9" s="1800">
        <f t="shared" si="0"/>
        <v>0</v>
      </c>
    </row>
    <row r="10" spans="2:16" ht="20.25" customHeight="1" thickBot="1">
      <c r="B10" s="5352" t="s">
        <v>388</v>
      </c>
      <c r="C10" s="5374"/>
      <c r="D10" s="2741">
        <f>D8+D9</f>
        <v>0</v>
      </c>
      <c r="E10" s="2670">
        <f>E8+E9</f>
        <v>0</v>
      </c>
      <c r="F10" s="2671">
        <f>F8+F9</f>
        <v>0</v>
      </c>
      <c r="G10" s="2672">
        <f>G8+G9</f>
        <v>0</v>
      </c>
      <c r="H10" s="2673">
        <f t="shared" ref="H10:O10" si="3">H8+H9</f>
        <v>0</v>
      </c>
      <c r="I10" s="2674">
        <f t="shared" si="3"/>
        <v>0</v>
      </c>
      <c r="J10" s="2672">
        <f t="shared" si="3"/>
        <v>0</v>
      </c>
      <c r="K10" s="2673">
        <f t="shared" si="3"/>
        <v>0</v>
      </c>
      <c r="L10" s="2674">
        <f t="shared" si="3"/>
        <v>0</v>
      </c>
      <c r="M10" s="2672">
        <f t="shared" si="3"/>
        <v>0</v>
      </c>
      <c r="N10" s="2673">
        <f t="shared" si="3"/>
        <v>0</v>
      </c>
      <c r="O10" s="2674">
        <f t="shared" si="3"/>
        <v>0</v>
      </c>
      <c r="P10" s="1800">
        <f t="shared" si="0"/>
        <v>0</v>
      </c>
    </row>
    <row r="11" spans="2:16" ht="20.25" customHeight="1">
      <c r="B11" s="2733"/>
      <c r="C11" s="2383"/>
      <c r="D11" s="3682"/>
      <c r="E11" s="3682"/>
      <c r="F11" s="3682"/>
      <c r="G11" s="2734"/>
      <c r="H11" s="2734"/>
      <c r="I11" s="2734"/>
      <c r="J11" s="2734"/>
      <c r="K11" s="2734"/>
      <c r="L11" s="2734"/>
      <c r="M11" s="2734"/>
      <c r="N11" s="2734"/>
      <c r="O11" s="2734"/>
      <c r="P11" s="1652"/>
    </row>
    <row r="12" spans="2:16" ht="20.25" customHeight="1" thickBot="1">
      <c r="B12" s="1653" t="s">
        <v>300</v>
      </c>
      <c r="C12" s="2735"/>
      <c r="D12" s="3683"/>
      <c r="E12" s="3683"/>
      <c r="G12" s="1542"/>
      <c r="H12" s="1542"/>
      <c r="I12" s="1542"/>
      <c r="J12" s="1542"/>
      <c r="K12" s="1542"/>
      <c r="L12" s="1542"/>
      <c r="M12" s="1542"/>
      <c r="N12" s="1542"/>
      <c r="O12" s="1542"/>
      <c r="P12" s="2736" t="s">
        <v>87</v>
      </c>
    </row>
    <row r="13" spans="2:16" s="1537" customFormat="1" ht="20.25" customHeight="1" thickBot="1">
      <c r="B13" s="1798" t="s">
        <v>301</v>
      </c>
      <c r="C13" s="2737" t="s">
        <v>302</v>
      </c>
      <c r="D13" s="23" t="str">
        <f t="shared" ref="D13:P13" si="4">D4</f>
        <v>Jan.26</v>
      </c>
      <c r="E13" s="2425" t="str">
        <f t="shared" si="4"/>
        <v>Feb.26</v>
      </c>
      <c r="F13" s="2426" t="str">
        <f t="shared" si="4"/>
        <v>Mar.26</v>
      </c>
      <c r="G13" s="23" t="str">
        <f t="shared" si="4"/>
        <v>Apr.26</v>
      </c>
      <c r="H13" s="2425" t="str">
        <f t="shared" si="4"/>
        <v>May.26</v>
      </c>
      <c r="I13" s="22" t="str">
        <f t="shared" si="4"/>
        <v>Jun.26</v>
      </c>
      <c r="J13" s="23" t="str">
        <f t="shared" si="4"/>
        <v>Jul.26</v>
      </c>
      <c r="K13" s="2425" t="str">
        <f t="shared" si="4"/>
        <v>Aug.26</v>
      </c>
      <c r="L13" s="22" t="str">
        <f t="shared" si="4"/>
        <v>Sep.26</v>
      </c>
      <c r="M13" s="23" t="str">
        <f t="shared" si="4"/>
        <v>Oct.26</v>
      </c>
      <c r="N13" s="2425" t="str">
        <f t="shared" si="4"/>
        <v>Nov.26</v>
      </c>
      <c r="O13" s="22" t="str">
        <f t="shared" si="4"/>
        <v>Dec.26</v>
      </c>
      <c r="P13" s="2738" t="str">
        <f t="shared" si="4"/>
        <v>2026
Total</v>
      </c>
    </row>
    <row r="14" spans="2:16" ht="21" customHeight="1">
      <c r="B14" s="3501" t="s">
        <v>102</v>
      </c>
      <c r="C14" s="2739" t="s">
        <v>297</v>
      </c>
      <c r="D14" s="4247">
        <v>26000</v>
      </c>
      <c r="E14" s="4248">
        <v>26000</v>
      </c>
      <c r="F14" s="4249">
        <v>26000</v>
      </c>
      <c r="G14" s="4250">
        <v>26000</v>
      </c>
      <c r="H14" s="4251">
        <v>26000</v>
      </c>
      <c r="I14" s="4252">
        <v>26000</v>
      </c>
      <c r="J14" s="4250">
        <v>26000</v>
      </c>
      <c r="K14" s="4251">
        <v>26000</v>
      </c>
      <c r="L14" s="4252">
        <v>26000</v>
      </c>
      <c r="M14" s="4250">
        <v>26000</v>
      </c>
      <c r="N14" s="4251">
        <v>26000</v>
      </c>
      <c r="O14" s="4252">
        <v>26000</v>
      </c>
      <c r="P14" s="2649">
        <f>SUM(D14:O14)</f>
        <v>312000</v>
      </c>
    </row>
    <row r="15" spans="2:16" ht="21" customHeight="1" thickBot="1">
      <c r="B15" s="3502" t="s">
        <v>303</v>
      </c>
      <c r="C15" s="2740" t="s">
        <v>297</v>
      </c>
      <c r="D15" s="4247">
        <v>5500</v>
      </c>
      <c r="E15" s="4248">
        <v>5500</v>
      </c>
      <c r="F15" s="4249">
        <v>5500</v>
      </c>
      <c r="G15" s="4250">
        <v>5500</v>
      </c>
      <c r="H15" s="4251">
        <v>5500</v>
      </c>
      <c r="I15" s="4252">
        <v>5500</v>
      </c>
      <c r="J15" s="4253">
        <v>5500</v>
      </c>
      <c r="K15" s="4251">
        <v>5500</v>
      </c>
      <c r="L15" s="4252">
        <v>5500</v>
      </c>
      <c r="M15" s="4250">
        <v>5500</v>
      </c>
      <c r="N15" s="4251">
        <v>5500</v>
      </c>
      <c r="O15" s="4252">
        <v>5500</v>
      </c>
      <c r="P15" s="2668">
        <f>SUM(D15:O15)</f>
        <v>66000</v>
      </c>
    </row>
    <row r="16" spans="2:16" ht="20.25" customHeight="1" thickBot="1">
      <c r="B16" s="5352" t="s">
        <v>15</v>
      </c>
      <c r="C16" s="5374"/>
      <c r="D16" s="2741">
        <f>SUM(D14:D15)</f>
        <v>31500</v>
      </c>
      <c r="E16" s="2670">
        <f t="shared" ref="E16:O16" si="5">SUM(E14:E15)</f>
        <v>31500</v>
      </c>
      <c r="F16" s="2671">
        <f t="shared" si="5"/>
        <v>31500</v>
      </c>
      <c r="G16" s="2741">
        <f t="shared" si="5"/>
        <v>31500</v>
      </c>
      <c r="H16" s="2670">
        <f t="shared" si="5"/>
        <v>31500</v>
      </c>
      <c r="I16" s="2671">
        <f t="shared" si="5"/>
        <v>31500</v>
      </c>
      <c r="J16" s="2672">
        <f t="shared" si="5"/>
        <v>31500</v>
      </c>
      <c r="K16" s="2673">
        <f t="shared" si="5"/>
        <v>31500</v>
      </c>
      <c r="L16" s="2674">
        <f t="shared" si="5"/>
        <v>31500</v>
      </c>
      <c r="M16" s="2672">
        <f t="shared" si="5"/>
        <v>31500</v>
      </c>
      <c r="N16" s="2673">
        <f t="shared" si="5"/>
        <v>31500</v>
      </c>
      <c r="O16" s="2674">
        <f t="shared" si="5"/>
        <v>31500</v>
      </c>
      <c r="P16" s="1800">
        <f>SUM(P14:P15)</f>
        <v>378000</v>
      </c>
    </row>
    <row r="17" spans="2:16" ht="14.25" thickBot="1">
      <c r="H17" s="1541"/>
      <c r="N17" s="9"/>
      <c r="O17" s="1579"/>
      <c r="P17" s="9"/>
    </row>
    <row r="18" spans="2:16" s="1537" customFormat="1" ht="20.25" customHeight="1" thickBot="1">
      <c r="B18" s="3015" t="s">
        <v>31</v>
      </c>
      <c r="C18" s="2731"/>
      <c r="D18" s="23" t="str">
        <f t="shared" ref="D18:P18" si="6">D4</f>
        <v>Jan.26</v>
      </c>
      <c r="E18" s="2425" t="str">
        <f t="shared" si="6"/>
        <v>Feb.26</v>
      </c>
      <c r="F18" s="2426" t="str">
        <f t="shared" si="6"/>
        <v>Mar.26</v>
      </c>
      <c r="G18" s="23" t="str">
        <f t="shared" si="6"/>
        <v>Apr.26</v>
      </c>
      <c r="H18" s="2425" t="str">
        <f t="shared" si="6"/>
        <v>May.26</v>
      </c>
      <c r="I18" s="22" t="str">
        <f t="shared" si="6"/>
        <v>Jun.26</v>
      </c>
      <c r="J18" s="23" t="str">
        <f t="shared" si="6"/>
        <v>Jul.26</v>
      </c>
      <c r="K18" s="2425" t="str">
        <f t="shared" si="6"/>
        <v>Aug.26</v>
      </c>
      <c r="L18" s="22" t="str">
        <f t="shared" si="6"/>
        <v>Sep.26</v>
      </c>
      <c r="M18" s="23" t="str">
        <f t="shared" si="6"/>
        <v>Oct.26</v>
      </c>
      <c r="N18" s="2425" t="str">
        <f t="shared" si="6"/>
        <v>Nov.26</v>
      </c>
      <c r="O18" s="22" t="str">
        <f t="shared" si="6"/>
        <v>Dec.26</v>
      </c>
      <c r="P18" s="2738" t="str">
        <f t="shared" si="6"/>
        <v>2026
Total</v>
      </c>
    </row>
    <row r="19" spans="2:16" ht="20.25" customHeight="1" thickBot="1">
      <c r="B19" s="5352" t="s">
        <v>306</v>
      </c>
      <c r="C19" s="5374"/>
      <c r="D19" s="3684">
        <f t="shared" ref="D19:O19" si="7">SUM(D8,D16)</f>
        <v>31500</v>
      </c>
      <c r="E19" s="3685">
        <f t="shared" si="7"/>
        <v>31500</v>
      </c>
      <c r="F19" s="3686">
        <f t="shared" si="7"/>
        <v>31500</v>
      </c>
      <c r="G19" s="2742">
        <f t="shared" si="7"/>
        <v>31500</v>
      </c>
      <c r="H19" s="2743">
        <f t="shared" si="7"/>
        <v>31500</v>
      </c>
      <c r="I19" s="2744">
        <f t="shared" si="7"/>
        <v>31500</v>
      </c>
      <c r="J19" s="2742">
        <f t="shared" si="7"/>
        <v>31500</v>
      </c>
      <c r="K19" s="2743">
        <f t="shared" si="7"/>
        <v>31500</v>
      </c>
      <c r="L19" s="2744">
        <f t="shared" si="7"/>
        <v>31500</v>
      </c>
      <c r="M19" s="2742">
        <f t="shared" si="7"/>
        <v>31500</v>
      </c>
      <c r="N19" s="2743">
        <f t="shared" si="7"/>
        <v>31500</v>
      </c>
      <c r="O19" s="2744">
        <f t="shared" si="7"/>
        <v>31500</v>
      </c>
      <c r="P19" s="2737">
        <f>SUM(D19:O19)</f>
        <v>378000</v>
      </c>
    </row>
    <row r="20" spans="2:16" ht="20.25" customHeight="1" thickBot="1">
      <c r="P20" s="3011">
        <f>'2. S Plan'!X172</f>
        <v>44326601.42338004</v>
      </c>
    </row>
    <row r="21" spans="2:16" ht="18" customHeight="1">
      <c r="P21" s="3016">
        <f>P19/P20</f>
        <v>8.5276106866299054E-3</v>
      </c>
    </row>
    <row r="22" spans="2:16" ht="15" customHeight="1">
      <c r="D22" s="3683"/>
    </row>
    <row r="23" spans="2:16" ht="15" customHeight="1">
      <c r="D23" s="3683"/>
      <c r="O23" s="1541" t="s">
        <v>505</v>
      </c>
      <c r="P23" s="2745" t="s">
        <v>506</v>
      </c>
    </row>
    <row r="24" spans="2:16" ht="15" customHeight="1">
      <c r="D24" s="3683"/>
      <c r="O24" s="1753" t="s">
        <v>313</v>
      </c>
      <c r="P24" s="2746">
        <v>1.29</v>
      </c>
    </row>
    <row r="25" spans="2:16" ht="15" customHeight="1">
      <c r="D25" s="3683"/>
      <c r="O25" s="1753" t="s">
        <v>314</v>
      </c>
      <c r="P25" s="2746">
        <v>1400</v>
      </c>
    </row>
    <row r="26" spans="2:16" ht="15" customHeight="1">
      <c r="D26" s="3683"/>
      <c r="E26" s="3687"/>
      <c r="O26" s="1753" t="s">
        <v>315</v>
      </c>
      <c r="P26" s="2746">
        <v>7.1</v>
      </c>
    </row>
    <row r="27" spans="2:16" ht="15" customHeight="1">
      <c r="O27" s="1753" t="s">
        <v>316</v>
      </c>
      <c r="P27" s="2746">
        <v>26400</v>
      </c>
    </row>
  </sheetData>
  <mergeCells count="5">
    <mergeCell ref="B8:C8"/>
    <mergeCell ref="B16:C16"/>
    <mergeCell ref="B19:C19"/>
    <mergeCell ref="B9:C9"/>
    <mergeCell ref="B10:C10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P36"/>
  <sheetViews>
    <sheetView showGridLines="0" zoomScale="80" zoomScaleNormal="80" workbookViewId="0">
      <selection activeCell="G12" sqref="G12"/>
    </sheetView>
  </sheetViews>
  <sheetFormatPr defaultColWidth="9" defaultRowHeight="15" customHeight="1" outlineLevelRow="1"/>
  <cols>
    <col min="1" max="1" width="50.375" style="9" customWidth="1"/>
    <col min="2" max="6" width="13" style="9" customWidth="1"/>
    <col min="7" max="7" width="13" style="1545" customWidth="1"/>
    <col min="8" max="13" width="13" style="9" customWidth="1"/>
    <col min="14" max="14" width="16.75" style="9" customWidth="1"/>
    <col min="15" max="15" width="2.25" style="9" customWidth="1"/>
    <col min="16" max="17" width="11.875" style="9" hidden="1" customWidth="1"/>
    <col min="18" max="18" width="34.125" style="9" bestFit="1" customWidth="1"/>
    <col min="19" max="16384" width="9" style="9"/>
  </cols>
  <sheetData>
    <row r="1" spans="1:18" ht="15" customHeight="1">
      <c r="A1" s="1547" t="s">
        <v>555</v>
      </c>
      <c r="B1" s="1541"/>
      <c r="C1" s="1541"/>
      <c r="D1" s="1541"/>
      <c r="E1" s="1541"/>
      <c r="F1" s="1541"/>
      <c r="G1" s="1541"/>
      <c r="H1" s="1541"/>
      <c r="I1" s="1541"/>
      <c r="J1" s="1541"/>
      <c r="K1" s="1541"/>
      <c r="L1" s="1541"/>
      <c r="M1" s="1541"/>
      <c r="N1" s="1546" t="s">
        <v>87</v>
      </c>
    </row>
    <row r="2" spans="1:18" ht="15" customHeight="1" thickBot="1">
      <c r="A2" s="1547"/>
      <c r="B2" s="1541"/>
      <c r="C2" s="1541"/>
      <c r="D2" s="1541"/>
      <c r="E2" s="1541"/>
      <c r="F2" s="1541"/>
      <c r="G2" s="1541"/>
      <c r="H2" s="1541"/>
      <c r="I2" s="1541"/>
      <c r="J2" s="1541"/>
      <c r="K2" s="1541"/>
      <c r="L2" s="1541"/>
      <c r="M2" s="1541"/>
      <c r="N2" s="1546"/>
    </row>
    <row r="3" spans="1:18" s="1539" customFormat="1" ht="21.75" customHeight="1" thickBot="1">
      <c r="A3" s="41" t="s">
        <v>109</v>
      </c>
      <c r="B3" s="89" t="str">
        <f>'2. S Plan'!L4</f>
        <v>Jan.26</v>
      </c>
      <c r="C3" s="81" t="str">
        <f>'2. S Plan'!M4</f>
        <v>Feb.26</v>
      </c>
      <c r="D3" s="71" t="str">
        <f>'2. S Plan'!N4</f>
        <v>Mar.26</v>
      </c>
      <c r="E3" s="42" t="str">
        <f>'2. S Plan'!O4</f>
        <v>Apr.26</v>
      </c>
      <c r="F3" s="1698" t="str">
        <f>'2. S Plan'!P4</f>
        <v>May.26</v>
      </c>
      <c r="G3" s="1549" t="str">
        <f>'2. S Plan'!Q4</f>
        <v>Jun.26</v>
      </c>
      <c r="H3" s="87" t="str">
        <f>'2. S Plan'!R4</f>
        <v>Jul.26</v>
      </c>
      <c r="I3" s="81" t="str">
        <f>'2. S Plan'!S4</f>
        <v>Aug.26</v>
      </c>
      <c r="J3" s="1549" t="str">
        <f>'2. S Plan'!T4</f>
        <v>Sep.26</v>
      </c>
      <c r="K3" s="1548" t="str">
        <f>'2. S Plan'!U4</f>
        <v>Oct.26</v>
      </c>
      <c r="L3" s="81" t="str">
        <f>'2. S Plan'!V4</f>
        <v>Nov.26</v>
      </c>
      <c r="M3" s="1549" t="str">
        <f>'2. S Plan'!W4</f>
        <v>Dec.26</v>
      </c>
      <c r="N3" s="2370" t="str">
        <f>'2. S Plan'!X4</f>
        <v>2026
Total</v>
      </c>
      <c r="P3" s="3348" t="s">
        <v>1199</v>
      </c>
      <c r="Q3" s="3036" t="s">
        <v>1096</v>
      </c>
    </row>
    <row r="4" spans="1:18" ht="16.5" customHeight="1">
      <c r="A4" s="1689" t="s">
        <v>0</v>
      </c>
      <c r="B4" s="3688">
        <f>'2. S Plan'!L172</f>
        <v>3689370.7909659981</v>
      </c>
      <c r="C4" s="1701">
        <f>'2. S Plan'!M172</f>
        <v>3451251.7566912733</v>
      </c>
      <c r="D4" s="3689">
        <f>'2. S Plan'!N172</f>
        <v>4023114.0734396363</v>
      </c>
      <c r="E4" s="3690">
        <f>'2. S Plan'!O172</f>
        <v>3850246.6333384831</v>
      </c>
      <c r="F4" s="3691">
        <f>'2. S Plan'!P172</f>
        <v>3814590.8696524575</v>
      </c>
      <c r="G4" s="2747">
        <f>'2. S Plan'!Q172</f>
        <v>3948595.7484216876</v>
      </c>
      <c r="H4" s="2748">
        <f>'2. S Plan'!R172</f>
        <v>3843433.8374575851</v>
      </c>
      <c r="I4" s="2749">
        <f>'2. S Plan'!S172</f>
        <v>3689063.8304375857</v>
      </c>
      <c r="J4" s="2750">
        <f>'2. S Plan'!T172</f>
        <v>3689997.7635553544</v>
      </c>
      <c r="K4" s="2751">
        <f>'2. S Plan'!U172</f>
        <v>3676789.6920349244</v>
      </c>
      <c r="L4" s="2749">
        <f>'2. S Plan'!V172</f>
        <v>3418162.2204263574</v>
      </c>
      <c r="M4" s="2750">
        <f>'2. S Plan'!W172</f>
        <v>3231984.2069586907</v>
      </c>
      <c r="N4" s="3370">
        <f>SUM(B4:M4)</f>
        <v>44326601.423380032</v>
      </c>
      <c r="P4" s="3334">
        <v>43977858.618706666</v>
      </c>
      <c r="Q4" s="3350" t="e">
        <f>(#REF!-P4)/#REF!</f>
        <v>#REF!</v>
      </c>
      <c r="R4" s="1631"/>
    </row>
    <row r="5" spans="1:18" ht="16.5" customHeight="1">
      <c r="A5" s="2752" t="s">
        <v>545</v>
      </c>
      <c r="B5" s="1743">
        <f>+'7. E Plan'!E33</f>
        <v>2514357.935988253</v>
      </c>
      <c r="C5" s="1563">
        <f>+'7. E Plan'!F33</f>
        <v>2285545.3062921362</v>
      </c>
      <c r="D5" s="1660">
        <f>+'7. E Plan'!G33</f>
        <v>2572859.4660006696</v>
      </c>
      <c r="E5" s="1626">
        <f>+'7. E Plan'!H33</f>
        <v>2514410.4360572863</v>
      </c>
      <c r="F5" s="1565">
        <f>+'7. E Plan'!I33</f>
        <v>2497747.0463471897</v>
      </c>
      <c r="G5" s="2753">
        <f>+'7. E Plan'!J33</f>
        <v>2580254.0390482675</v>
      </c>
      <c r="H5" s="3341">
        <f>+'7. E Plan'!K33</f>
        <v>2533791.5785063459</v>
      </c>
      <c r="I5" s="3532">
        <f>+'7. E Plan'!L33</f>
        <v>2477824.1771474546</v>
      </c>
      <c r="J5" s="2753">
        <f>+'7. E Plan'!M33</f>
        <v>2459505.5834929259</v>
      </c>
      <c r="K5" s="3533">
        <f>+'7. E Plan'!N33</f>
        <v>2421946.9042671602</v>
      </c>
      <c r="L5" s="3532">
        <f>+'7. E Plan'!O33</f>
        <v>2306872.1092789276</v>
      </c>
      <c r="M5" s="2753">
        <f>+'7. E Plan'!P33</f>
        <v>2254777.3911067583</v>
      </c>
      <c r="N5" s="3371">
        <f>SUM(B5:M5)</f>
        <v>29419891.973533377</v>
      </c>
      <c r="O5" s="2754"/>
      <c r="P5" s="3335">
        <v>26197488.31034378</v>
      </c>
      <c r="Q5" s="3351" t="e">
        <f>(#REF!-P5)/#REF!</f>
        <v>#REF!</v>
      </c>
      <c r="R5" s="1631"/>
    </row>
    <row r="6" spans="1:18" ht="16.5" customHeight="1">
      <c r="A6" s="2752" t="s">
        <v>1226</v>
      </c>
      <c r="B6" s="1743">
        <f>'7. E Plan'!E31</f>
        <v>243017.90953449905</v>
      </c>
      <c r="C6" s="1563">
        <f>'7. E Plan'!F31</f>
        <v>200000</v>
      </c>
      <c r="D6" s="1660">
        <f>'7. E Plan'!G31</f>
        <v>250000</v>
      </c>
      <c r="E6" s="1626">
        <f>'7. E Plan'!H31</f>
        <v>200000</v>
      </c>
      <c r="F6" s="1565">
        <f>'7. E Plan'!I31</f>
        <v>200000</v>
      </c>
      <c r="G6" s="2753">
        <f>'7. E Plan'!J31</f>
        <v>300000</v>
      </c>
      <c r="H6" s="3341">
        <f>'7. E Plan'!K31</f>
        <v>0</v>
      </c>
      <c r="I6" s="3532">
        <f>'7. E Plan'!L31</f>
        <v>0</v>
      </c>
      <c r="J6" s="2753">
        <f>'7. E Plan'!M31</f>
        <v>0</v>
      </c>
      <c r="K6" s="3533">
        <f>'7. E Plan'!N31</f>
        <v>0</v>
      </c>
      <c r="L6" s="3532">
        <f>'7. E Plan'!O31</f>
        <v>0</v>
      </c>
      <c r="M6" s="2753">
        <f>'7. E Plan'!P31</f>
        <v>0</v>
      </c>
      <c r="N6" s="3371">
        <f>SUM(B6:M6)</f>
        <v>1393017.909534499</v>
      </c>
      <c r="O6" s="2754"/>
      <c r="P6" s="3335"/>
      <c r="Q6" s="3351"/>
      <c r="R6" s="3529"/>
    </row>
    <row r="7" spans="1:18" ht="16.5" customHeight="1">
      <c r="A7" s="2755"/>
      <c r="B7" s="3535">
        <f>(B5+B6)/B4</f>
        <v>0.74738376860211997</v>
      </c>
      <c r="C7" s="3692">
        <f>(C5+C6)/C4</f>
        <v>0.72018661098054371</v>
      </c>
      <c r="D7" s="3693">
        <f t="shared" ref="D7:N7" si="0">(D5+D6)/D4</f>
        <v>0.70166030951919134</v>
      </c>
      <c r="E7" s="3534">
        <f t="shared" si="0"/>
        <v>0.70499650919859835</v>
      </c>
      <c r="F7" s="2756">
        <f t="shared" si="0"/>
        <v>0.707217926779387</v>
      </c>
      <c r="G7" s="2757">
        <f t="shared" si="0"/>
        <v>0.72943755769365548</v>
      </c>
      <c r="H7" s="3534">
        <f t="shared" si="0"/>
        <v>0.65925203494134765</v>
      </c>
      <c r="I7" s="2756">
        <f t="shared" si="0"/>
        <v>0.67166747203003596</v>
      </c>
      <c r="J7" s="2757">
        <f t="shared" si="0"/>
        <v>0.66653308242744425</v>
      </c>
      <c r="K7" s="3535">
        <f t="shared" si="0"/>
        <v>0.65871238420675904</v>
      </c>
      <c r="L7" s="2756">
        <f t="shared" si="0"/>
        <v>0.67488666731305236</v>
      </c>
      <c r="M7" s="2757">
        <f t="shared" si="0"/>
        <v>0.69764492854020232</v>
      </c>
      <c r="N7" s="3372">
        <f t="shared" si="0"/>
        <v>0.69513359683866105</v>
      </c>
      <c r="O7" s="2754"/>
      <c r="P7" s="3336">
        <v>0.59569722431187844</v>
      </c>
      <c r="Q7" s="3352" t="e">
        <f>(#REF!-P7)/#REF!</f>
        <v>#REF!</v>
      </c>
      <c r="R7" s="1631"/>
    </row>
    <row r="8" spans="1:18" ht="16.5" customHeight="1">
      <c r="A8" s="2317" t="s">
        <v>1</v>
      </c>
      <c r="B8" s="1763">
        <f>B4-B5-B6</f>
        <v>931994.94544324605</v>
      </c>
      <c r="C8" s="1595">
        <f>C4-C5-C6</f>
        <v>965706.4503991371</v>
      </c>
      <c r="D8" s="1765">
        <f t="shared" ref="D8:N8" si="1">D4-D5-D6</f>
        <v>1200254.6074389666</v>
      </c>
      <c r="E8" s="1764">
        <f t="shared" si="1"/>
        <v>1135836.1972811967</v>
      </c>
      <c r="F8" s="1597">
        <f t="shared" si="1"/>
        <v>1116843.8233052678</v>
      </c>
      <c r="G8" s="1596">
        <f t="shared" si="1"/>
        <v>1068341.7093734201</v>
      </c>
      <c r="H8" s="1764">
        <f t="shared" si="1"/>
        <v>1309642.2589512393</v>
      </c>
      <c r="I8" s="1597">
        <f t="shared" si="1"/>
        <v>1211239.6532901311</v>
      </c>
      <c r="J8" s="1596">
        <f t="shared" si="1"/>
        <v>1230492.1800624286</v>
      </c>
      <c r="K8" s="1763">
        <f t="shared" si="1"/>
        <v>1254842.7877677642</v>
      </c>
      <c r="L8" s="1597">
        <f t="shared" si="1"/>
        <v>1111290.1111474298</v>
      </c>
      <c r="M8" s="1596">
        <f t="shared" si="1"/>
        <v>977206.81585193239</v>
      </c>
      <c r="N8" s="1566">
        <f t="shared" si="1"/>
        <v>13513691.540312156</v>
      </c>
      <c r="P8" s="3334">
        <v>17780370.308362886</v>
      </c>
      <c r="Q8" s="3350" t="e">
        <f>(#REF!-P8)/#REF!</f>
        <v>#REF!</v>
      </c>
      <c r="R8" s="1631"/>
    </row>
    <row r="9" spans="1:18" ht="16.5" customHeight="1">
      <c r="A9" s="2752" t="s">
        <v>451</v>
      </c>
      <c r="B9" s="1743">
        <f>'7. E Plan'!E67</f>
        <v>425621.43308559322</v>
      </c>
      <c r="C9" s="1563">
        <f>'7. E Plan'!F67</f>
        <v>427859.04675783752</v>
      </c>
      <c r="D9" s="1660">
        <f>'7. E Plan'!G67</f>
        <v>438379.32654843031</v>
      </c>
      <c r="E9" s="1626">
        <f>'7. E Plan'!H67</f>
        <v>416900.76587623375</v>
      </c>
      <c r="F9" s="1565">
        <f>'7. E Plan'!I67</f>
        <v>415586.14379205735</v>
      </c>
      <c r="G9" s="1564">
        <f>'7. E Plan'!J67</f>
        <v>423990.18541313469</v>
      </c>
      <c r="H9" s="1626">
        <f>'7. E Plan'!K67</f>
        <v>410761.54451815994</v>
      </c>
      <c r="I9" s="1565">
        <f>'7. E Plan'!L67</f>
        <v>405599.83626169438</v>
      </c>
      <c r="J9" s="1564">
        <f>'7. E Plan'!M67</f>
        <v>414352.76999787986</v>
      </c>
      <c r="K9" s="1743">
        <f>'7. E Plan'!N67</f>
        <v>404669.5039827344</v>
      </c>
      <c r="L9" s="1565">
        <f>'7. E Plan'!O67</f>
        <v>396331.17798832408</v>
      </c>
      <c r="M9" s="1564">
        <f>'7. E Plan'!P67</f>
        <v>404005.58021165989</v>
      </c>
      <c r="N9" s="1566">
        <f>SUM(B9:M9)</f>
        <v>4984057.3144337395</v>
      </c>
      <c r="P9" s="3335">
        <v>6436500.9932711581</v>
      </c>
      <c r="Q9" s="3351" t="e">
        <f>(#REF!-P9)/#REF!</f>
        <v>#REF!</v>
      </c>
      <c r="R9" s="1631"/>
    </row>
    <row r="10" spans="1:18" ht="16.5" customHeight="1">
      <c r="A10" s="2755"/>
      <c r="B10" s="3535">
        <f t="shared" ref="B10:M10" si="2">B9/B4</f>
        <v>0.11536423341557155</v>
      </c>
      <c r="C10" s="3692">
        <f t="shared" si="2"/>
        <v>0.12397213443739828</v>
      </c>
      <c r="D10" s="3693">
        <f t="shared" si="2"/>
        <v>0.10896517437638295</v>
      </c>
      <c r="E10" s="3534">
        <f t="shared" si="2"/>
        <v>0.10827897679758407</v>
      </c>
      <c r="F10" s="2756">
        <f t="shared" si="2"/>
        <v>0.10894645271090916</v>
      </c>
      <c r="G10" s="2757">
        <f t="shared" si="2"/>
        <v>0.10737746085620689</v>
      </c>
      <c r="H10" s="3534">
        <f t="shared" si="2"/>
        <v>0.10687358281413188</v>
      </c>
      <c r="I10" s="2756">
        <f t="shared" si="2"/>
        <v>0.10994654874637486</v>
      </c>
      <c r="J10" s="2757">
        <f t="shared" si="2"/>
        <v>0.11229079163415165</v>
      </c>
      <c r="K10" s="3535">
        <f t="shared" si="2"/>
        <v>0.11006055224191229</v>
      </c>
      <c r="L10" s="2756">
        <f t="shared" si="2"/>
        <v>0.11594861578538204</v>
      </c>
      <c r="M10" s="2757">
        <f t="shared" si="2"/>
        <v>0.12500233736965896</v>
      </c>
      <c r="N10" s="3372">
        <f>N9/N4</f>
        <v>0.112439419093495</v>
      </c>
      <c r="P10" s="3336">
        <v>0.14635776264316089</v>
      </c>
      <c r="Q10" s="3352" t="e">
        <f>(#REF!-P10)/#REF!</f>
        <v>#REF!</v>
      </c>
      <c r="R10" s="1631"/>
    </row>
    <row r="11" spans="1:18" ht="16.5" customHeight="1">
      <c r="A11" s="2317" t="s">
        <v>3</v>
      </c>
      <c r="B11" s="2769">
        <f>B8-B9</f>
        <v>506373.51235765283</v>
      </c>
      <c r="C11" s="3694">
        <f>C8-C9</f>
        <v>537847.40364129958</v>
      </c>
      <c r="D11" s="3695">
        <f t="shared" ref="D11:N11" si="3">D8-D9</f>
        <v>761875.28089053626</v>
      </c>
      <c r="E11" s="2770">
        <f t="shared" si="3"/>
        <v>718935.4314049629</v>
      </c>
      <c r="F11" s="2758">
        <f t="shared" si="3"/>
        <v>701257.67951321043</v>
      </c>
      <c r="G11" s="2759">
        <f t="shared" si="3"/>
        <v>644351.52396028535</v>
      </c>
      <c r="H11" s="2770">
        <f t="shared" si="3"/>
        <v>898880.71443307935</v>
      </c>
      <c r="I11" s="2758">
        <f t="shared" si="3"/>
        <v>805639.81702843681</v>
      </c>
      <c r="J11" s="2759">
        <f t="shared" si="3"/>
        <v>816139.41006454872</v>
      </c>
      <c r="K11" s="2769">
        <f t="shared" si="3"/>
        <v>850173.28378502978</v>
      </c>
      <c r="L11" s="2758">
        <f t="shared" si="3"/>
        <v>714958.93315910571</v>
      </c>
      <c r="M11" s="2759">
        <f t="shared" si="3"/>
        <v>573201.2356402725</v>
      </c>
      <c r="N11" s="3373">
        <f t="shared" si="3"/>
        <v>8529634.2258784175</v>
      </c>
      <c r="P11" s="3334">
        <v>11343869.315091729</v>
      </c>
      <c r="Q11" s="3350" t="e">
        <f>(#REF!-P11)/#REF!</f>
        <v>#REF!</v>
      </c>
      <c r="R11" s="1631"/>
    </row>
    <row r="12" spans="1:18" ht="16.5" customHeight="1">
      <c r="A12" s="2321" t="s">
        <v>237</v>
      </c>
      <c r="B12" s="3537">
        <f>'7. E Plan'!E75</f>
        <v>62839.858461630472</v>
      </c>
      <c r="C12" s="3696">
        <f>'7. E Plan'!F75</f>
        <v>62314.943599843114</v>
      </c>
      <c r="D12" s="3697">
        <f>'7. E Plan'!G75</f>
        <v>61790.028738055757</v>
      </c>
      <c r="E12" s="3536">
        <f>'7. E Plan'!H75</f>
        <v>61265.113876268399</v>
      </c>
      <c r="F12" s="2761">
        <f>'7. E Plan'!I75</f>
        <v>60740.199014481041</v>
      </c>
      <c r="G12" s="2762">
        <f>'7. E Plan'!J75</f>
        <v>60215.28415269369</v>
      </c>
      <c r="H12" s="3536">
        <f>'7. E Plan'!K75</f>
        <v>55484.429547399443</v>
      </c>
      <c r="I12" s="2761">
        <f>'7. E Plan'!L75</f>
        <v>55137.370680898923</v>
      </c>
      <c r="J12" s="2762">
        <f>'7. E Plan'!M75</f>
        <v>54790.311814398388</v>
      </c>
      <c r="K12" s="3537">
        <f>'7. E Plan'!N75</f>
        <v>54443.252947897869</v>
      </c>
      <c r="L12" s="2761">
        <f>'7. E Plan'!O75</f>
        <v>54195.624481977022</v>
      </c>
      <c r="M12" s="2762">
        <f>'7. E Plan'!P75</f>
        <v>53842.929173465433</v>
      </c>
      <c r="N12" s="3374">
        <f>SUM(B12:M12)</f>
        <v>697059.34648900956</v>
      </c>
      <c r="P12" s="3337">
        <v>863641.74307735672</v>
      </c>
      <c r="Q12" s="3352" t="e">
        <f>(#REF!-P12)/#REF!</f>
        <v>#REF!</v>
      </c>
      <c r="R12" s="1631"/>
    </row>
    <row r="13" spans="1:18" ht="26.25" customHeight="1">
      <c r="A13" s="2763" t="s">
        <v>551</v>
      </c>
      <c r="B13" s="4974">
        <f>30000+380653</f>
        <v>410653</v>
      </c>
      <c r="C13" s="3698">
        <v>30000</v>
      </c>
      <c r="D13" s="3699">
        <v>30000</v>
      </c>
      <c r="E13" s="2765">
        <v>30000</v>
      </c>
      <c r="F13" s="2766">
        <v>30000</v>
      </c>
      <c r="G13" s="2767">
        <v>30000</v>
      </c>
      <c r="H13" s="2765">
        <v>30000</v>
      </c>
      <c r="I13" s="2766">
        <v>30000</v>
      </c>
      <c r="J13" s="2767">
        <v>30000</v>
      </c>
      <c r="K13" s="2764">
        <v>30000</v>
      </c>
      <c r="L13" s="2766">
        <v>30000</v>
      </c>
      <c r="M13" s="2767">
        <v>30000</v>
      </c>
      <c r="N13" s="2768">
        <f>SUM(B13:M13)</f>
        <v>740653</v>
      </c>
      <c r="P13" s="3034">
        <v>331815</v>
      </c>
      <c r="Q13" s="3353" t="e">
        <f>(#REF!-P13)/#REF!</f>
        <v>#REF!</v>
      </c>
      <c r="R13" s="1631"/>
    </row>
    <row r="14" spans="1:18" ht="16.5" customHeight="1">
      <c r="A14" s="2317" t="s">
        <v>4</v>
      </c>
      <c r="B14" s="2769">
        <f>B11-B12-B13</f>
        <v>32880.653896022355</v>
      </c>
      <c r="C14" s="3694">
        <f>C11-C12-C13</f>
        <v>445532.46004145645</v>
      </c>
      <c r="D14" s="3695">
        <f t="shared" ref="D14:N14" si="4">D11-D12-D13</f>
        <v>670085.25215248053</v>
      </c>
      <c r="E14" s="2770">
        <f t="shared" si="4"/>
        <v>627670.31752869452</v>
      </c>
      <c r="F14" s="2758">
        <f t="shared" si="4"/>
        <v>610517.48049872939</v>
      </c>
      <c r="G14" s="2759">
        <f t="shared" si="4"/>
        <v>554136.23980759166</v>
      </c>
      <c r="H14" s="2770">
        <f t="shared" si="4"/>
        <v>813396.28488567995</v>
      </c>
      <c r="I14" s="2758">
        <f t="shared" si="4"/>
        <v>720502.44634753792</v>
      </c>
      <c r="J14" s="2759">
        <f t="shared" si="4"/>
        <v>731349.09825015033</v>
      </c>
      <c r="K14" s="2769">
        <f t="shared" si="4"/>
        <v>765730.0308371319</v>
      </c>
      <c r="L14" s="2758">
        <f t="shared" si="4"/>
        <v>630763.30867712875</v>
      </c>
      <c r="M14" s="2759">
        <f t="shared" si="4"/>
        <v>489358.30646680709</v>
      </c>
      <c r="N14" s="3374">
        <f t="shared" si="4"/>
        <v>7091921.879389408</v>
      </c>
      <c r="P14" s="3334">
        <v>10148412.572014373</v>
      </c>
      <c r="Q14" s="3350" t="e">
        <f>(#REF!-P14)/#REF!</f>
        <v>#REF!</v>
      </c>
      <c r="R14" s="1631"/>
    </row>
    <row r="15" spans="1:18" ht="16.5" customHeight="1">
      <c r="A15" s="3531" t="s">
        <v>5</v>
      </c>
      <c r="B15" s="3700">
        <f>B29</f>
        <v>0</v>
      </c>
      <c r="C15" s="3701">
        <f>C29</f>
        <v>0</v>
      </c>
      <c r="D15" s="3702">
        <f t="shared" ref="D15:M15" si="5">D29</f>
        <v>69746.181418146283</v>
      </c>
      <c r="E15" s="3703">
        <f t="shared" si="5"/>
        <v>125534.06350573892</v>
      </c>
      <c r="F15" s="3704">
        <f t="shared" si="5"/>
        <v>122103.49609974588</v>
      </c>
      <c r="G15" s="4040">
        <f t="shared" si="5"/>
        <v>110827.24796151834</v>
      </c>
      <c r="H15" s="4041">
        <f t="shared" si="5"/>
        <v>162679.25697713601</v>
      </c>
      <c r="I15" s="4042">
        <f t="shared" si="5"/>
        <v>144100.48926950758</v>
      </c>
      <c r="J15" s="4040">
        <f t="shared" si="5"/>
        <v>146269.81965003008</v>
      </c>
      <c r="K15" s="4043">
        <f t="shared" si="5"/>
        <v>153146.00616742639</v>
      </c>
      <c r="L15" s="4042">
        <f t="shared" si="5"/>
        <v>126152.66173542576</v>
      </c>
      <c r="M15" s="4040">
        <f t="shared" si="5"/>
        <v>97871.661293361423</v>
      </c>
      <c r="N15" s="4044">
        <f>SUM(B15:M15)</f>
        <v>1258430.8840780365</v>
      </c>
      <c r="P15" s="3337">
        <v>1524105.3709425544</v>
      </c>
      <c r="Q15" s="3352" t="e">
        <f>(#REF!-P15)/#REF!</f>
        <v>#REF!</v>
      </c>
      <c r="R15" s="3530"/>
    </row>
    <row r="16" spans="1:18" ht="16.5" customHeight="1">
      <c r="A16" s="2221" t="s">
        <v>6</v>
      </c>
      <c r="B16" s="3705">
        <f>B14-B15</f>
        <v>32880.653896022355</v>
      </c>
      <c r="C16" s="3706">
        <f>C14-C15</f>
        <v>445532.46004145645</v>
      </c>
      <c r="D16" s="3707">
        <f t="shared" ref="D16:N16" si="6">D14-D15</f>
        <v>600339.07073433429</v>
      </c>
      <c r="E16" s="3708">
        <f t="shared" si="6"/>
        <v>502136.2540229556</v>
      </c>
      <c r="F16" s="3709">
        <f t="shared" si="6"/>
        <v>488413.98439898354</v>
      </c>
      <c r="G16" s="3541">
        <f t="shared" si="6"/>
        <v>443308.9918460733</v>
      </c>
      <c r="H16" s="3539">
        <f t="shared" si="6"/>
        <v>650717.02790854394</v>
      </c>
      <c r="I16" s="3540">
        <f t="shared" si="6"/>
        <v>576401.95707803033</v>
      </c>
      <c r="J16" s="3541">
        <f t="shared" si="6"/>
        <v>585079.27860012022</v>
      </c>
      <c r="K16" s="3538">
        <f t="shared" si="6"/>
        <v>612584.02466970554</v>
      </c>
      <c r="L16" s="3540">
        <f t="shared" si="6"/>
        <v>504610.64694170299</v>
      </c>
      <c r="M16" s="3541">
        <f t="shared" si="6"/>
        <v>391486.64517344569</v>
      </c>
      <c r="N16" s="3542">
        <f t="shared" si="6"/>
        <v>5833490.995311372</v>
      </c>
      <c r="P16" s="3034">
        <v>8624307.2010718174</v>
      </c>
      <c r="Q16" s="3353" t="e">
        <f>(#REF!-P16)/#REF!</f>
        <v>#REF!</v>
      </c>
      <c r="R16" s="3530"/>
    </row>
    <row r="17" spans="1:42" ht="16.5" customHeight="1" thickBot="1">
      <c r="A17" s="2362" t="s">
        <v>7</v>
      </c>
      <c r="B17" s="2772">
        <f>B16+B20+B12+B15</f>
        <v>468961.38135551463</v>
      </c>
      <c r="C17" s="3710">
        <f t="shared" ref="C17:N17" si="7">C16+C20+C12+C15</f>
        <v>890491.868984284</v>
      </c>
      <c r="D17" s="3711">
        <f t="shared" si="7"/>
        <v>1117717.2505206782</v>
      </c>
      <c r="E17" s="2773">
        <f t="shared" si="7"/>
        <v>1082884.8926904264</v>
      </c>
      <c r="F17" s="2774">
        <f t="shared" si="7"/>
        <v>1071902.3061013832</v>
      </c>
      <c r="G17" s="2775">
        <f t="shared" si="7"/>
        <v>1024404.8953167642</v>
      </c>
      <c r="H17" s="2773">
        <f t="shared" si="7"/>
        <v>1282571.7539976677</v>
      </c>
      <c r="I17" s="2774">
        <f t="shared" si="7"/>
        <v>1191490.8253014991</v>
      </c>
      <c r="J17" s="2775">
        <f t="shared" si="7"/>
        <v>1197763.9152489775</v>
      </c>
      <c r="K17" s="2772">
        <f t="shared" si="7"/>
        <v>1229911.2534861788</v>
      </c>
      <c r="L17" s="2774">
        <f t="shared" si="7"/>
        <v>1094336.223422558</v>
      </c>
      <c r="M17" s="2775">
        <f t="shared" si="7"/>
        <v>957654.31633009179</v>
      </c>
      <c r="N17" s="3375">
        <f t="shared" si="7"/>
        <v>12610090.882756023</v>
      </c>
      <c r="P17" s="3035">
        <v>12450761.656542312</v>
      </c>
      <c r="Q17" s="3354" t="e">
        <f>(#REF!-P17)/#REF!</f>
        <v>#REF!</v>
      </c>
      <c r="R17" s="1631"/>
    </row>
    <row r="18" spans="1:42" ht="16.5" customHeight="1">
      <c r="A18" s="2776" t="s">
        <v>12</v>
      </c>
      <c r="B18" s="3712">
        <f>+'7. E Plan'!E25+'7. E Plan'!E57</f>
        <v>243500.27053856602</v>
      </c>
      <c r="C18" s="2777">
        <f>+'7. E Plan'!F25+'7. E Plan'!F57</f>
        <v>253026.06250232123</v>
      </c>
      <c r="D18" s="2778">
        <f>+'7. E Plan'!G25+'7. E Plan'!G57</f>
        <v>260100.62835626682</v>
      </c>
      <c r="E18" s="2779">
        <f>+'7. E Plan'!H25+'7. E Plan'!H57</f>
        <v>270027.79442134732</v>
      </c>
      <c r="F18" s="2777">
        <f>+'7. E Plan'!I25+'7. E Plan'!I57</f>
        <v>276821.39999257494</v>
      </c>
      <c r="G18" s="2778">
        <f>+'7. E Plan'!J25+'7. E Plan'!J57</f>
        <v>286944.4079318213</v>
      </c>
      <c r="H18" s="2779">
        <f>+'7. E Plan'!K25+'7. E Plan'!K57</f>
        <v>293764.14404293243</v>
      </c>
      <c r="I18" s="2777">
        <f>+'7. E Plan'!L25+'7. E Plan'!L57</f>
        <v>300626.74437429989</v>
      </c>
      <c r="J18" s="2780">
        <f>+'7. E Plan'!M25+'7. E Plan'!M57</f>
        <v>305269.65836464183</v>
      </c>
      <c r="K18" s="2781">
        <f>+'7. E Plan'!N25+'7. E Plan'!N57</f>
        <v>310915.86561741959</v>
      </c>
      <c r="L18" s="2782">
        <f>+'7. E Plan'!O25+'7. E Plan'!O57</f>
        <v>313486.38012532558</v>
      </c>
      <c r="M18" s="2780">
        <f>+'7. E Plan'!P25+'7. E Plan'!P57</f>
        <v>318690.7762161803</v>
      </c>
      <c r="N18" s="2783">
        <f>SUM(B18:M18)</f>
        <v>3433174.1324836975</v>
      </c>
      <c r="P18" s="2663"/>
      <c r="Q18" s="2591"/>
      <c r="AP18" s="9" t="s">
        <v>546</v>
      </c>
    </row>
    <row r="19" spans="1:42" ht="16.5" customHeight="1">
      <c r="A19" s="2784" t="s">
        <v>9</v>
      </c>
      <c r="B19" s="2785">
        <f>+'7. E Plan'!E26+'7. E Plan'!E27+'7. E Plan'!E58</f>
        <v>129740.59845929578</v>
      </c>
      <c r="C19" s="2786">
        <f>+'7. E Plan'!F26+'7. E Plan'!F27+'7. E Plan'!F58</f>
        <v>129618.4028406633</v>
      </c>
      <c r="D19" s="2787">
        <f>+'7. E Plan'!G26+'7. E Plan'!G27+'7. E Plan'!G58</f>
        <v>125741.34127387506</v>
      </c>
      <c r="E19" s="2788">
        <f>+'7. E Plan'!H26+'7. E Plan'!H27+'7. E Plan'!H58</f>
        <v>123921.66686411624</v>
      </c>
      <c r="F19" s="2786">
        <f>+'7. E Plan'!I26+'7. E Plan'!I27+'7. E Plan'!I58</f>
        <v>123823.22659559772</v>
      </c>
      <c r="G19" s="2787">
        <f>+'7. E Plan'!J26+'7. E Plan'!J27+'7. E Plan'!J58</f>
        <v>123108.96342465756</v>
      </c>
      <c r="H19" s="2788">
        <f>+'7. E Plan'!K26+'7. E Plan'!K27+'7. E Plan'!K58</f>
        <v>119926.89552165572</v>
      </c>
      <c r="I19" s="2786">
        <f>+'7. E Plan'!L26+'7. E Plan'!L27+'7. E Plan'!L58</f>
        <v>115224.26389876241</v>
      </c>
      <c r="J19" s="2787">
        <f>+'7. E Plan'!M26+'7. E Plan'!M27+'7. E Plan'!M58</f>
        <v>106354.84681978702</v>
      </c>
      <c r="K19" s="2785">
        <f>+'7. E Plan'!N26+'7. E Plan'!N27+'7. E Plan'!N58</f>
        <v>98822.104083729326</v>
      </c>
      <c r="L19" s="2786">
        <f>+'7. E Plan'!O26+'7. E Plan'!O27+'7. E Plan'!O58</f>
        <v>95890.910138126856</v>
      </c>
      <c r="M19" s="2787">
        <f>+'7. E Plan'!P26+'7. E Plan'!P27+'7. E Plan'!P58</f>
        <v>95762.304473638826</v>
      </c>
      <c r="N19" s="2771">
        <f>SUM(B19:M19)</f>
        <v>1387935.5243939057</v>
      </c>
      <c r="P19" s="2663"/>
      <c r="Q19" s="2591"/>
    </row>
    <row r="20" spans="1:42" ht="16.5" customHeight="1" thickBot="1">
      <c r="A20" s="2789" t="s">
        <v>13</v>
      </c>
      <c r="B20" s="2790">
        <f>SUM(B18:B19)</f>
        <v>373240.86899786181</v>
      </c>
      <c r="C20" s="2791">
        <f t="shared" ref="C20:M20" si="8">SUM(C18:C19)</f>
        <v>382644.46534298453</v>
      </c>
      <c r="D20" s="2792">
        <f t="shared" si="8"/>
        <v>385841.96963014186</v>
      </c>
      <c r="E20" s="2793">
        <f t="shared" si="8"/>
        <v>393949.46128546353</v>
      </c>
      <c r="F20" s="2791">
        <f t="shared" si="8"/>
        <v>400644.62658817263</v>
      </c>
      <c r="G20" s="2792">
        <f t="shared" si="8"/>
        <v>410053.37135647889</v>
      </c>
      <c r="H20" s="2793">
        <f t="shared" si="8"/>
        <v>413691.03956458817</v>
      </c>
      <c r="I20" s="2791">
        <f t="shared" si="8"/>
        <v>415851.0082730623</v>
      </c>
      <c r="J20" s="2792">
        <f t="shared" si="8"/>
        <v>411624.50518442888</v>
      </c>
      <c r="K20" s="2790">
        <f t="shared" si="8"/>
        <v>409737.96970114892</v>
      </c>
      <c r="L20" s="2791">
        <f t="shared" si="8"/>
        <v>409377.29026345245</v>
      </c>
      <c r="M20" s="2792">
        <f t="shared" si="8"/>
        <v>414453.08068981912</v>
      </c>
      <c r="N20" s="2794">
        <f>SUM(N18:N19)</f>
        <v>4821109.6568776034</v>
      </c>
      <c r="P20" s="2663"/>
      <c r="Q20" s="2591"/>
    </row>
    <row r="21" spans="1:42" ht="16.5" customHeight="1" thickBot="1">
      <c r="A21" s="1626"/>
      <c r="B21" s="1631"/>
      <c r="C21" s="1631"/>
      <c r="D21" s="1631"/>
      <c r="E21" s="1631"/>
      <c r="F21" s="1631"/>
      <c r="G21" s="2795"/>
      <c r="H21" s="2551"/>
      <c r="I21" s="2551"/>
      <c r="J21" s="2551"/>
      <c r="K21" s="2551"/>
      <c r="L21" s="2551"/>
      <c r="M21" s="2551"/>
      <c r="N21" s="2692"/>
      <c r="P21" s="2663"/>
      <c r="Q21" s="2591"/>
    </row>
    <row r="22" spans="1:42" ht="16.5" customHeight="1">
      <c r="A22" s="1689" t="s">
        <v>1</v>
      </c>
      <c r="B22" s="2796">
        <f>B8/B4</f>
        <v>0.25261623139787998</v>
      </c>
      <c r="C22" s="2797">
        <f>C8/C4</f>
        <v>0.27981338901945629</v>
      </c>
      <c r="D22" s="2798">
        <f t="shared" ref="D22:N22" si="9">D8/D4</f>
        <v>0.29833969048080872</v>
      </c>
      <c r="E22" s="2799">
        <f t="shared" si="9"/>
        <v>0.29500349080140159</v>
      </c>
      <c r="F22" s="2797">
        <f t="shared" si="9"/>
        <v>0.29278207322061306</v>
      </c>
      <c r="G22" s="2798">
        <f t="shared" si="9"/>
        <v>0.27056244230634452</v>
      </c>
      <c r="H22" s="2799">
        <f t="shared" si="9"/>
        <v>0.34074796505865235</v>
      </c>
      <c r="I22" s="2797">
        <f t="shared" si="9"/>
        <v>0.32833252796996398</v>
      </c>
      <c r="J22" s="2798">
        <f t="shared" si="9"/>
        <v>0.33346691757255581</v>
      </c>
      <c r="K22" s="2796">
        <f t="shared" si="9"/>
        <v>0.34128761579324102</v>
      </c>
      <c r="L22" s="2797">
        <f t="shared" si="9"/>
        <v>0.32511333268694759</v>
      </c>
      <c r="M22" s="2798">
        <f t="shared" si="9"/>
        <v>0.30235507145979768</v>
      </c>
      <c r="N22" s="2800">
        <f t="shared" si="9"/>
        <v>0.30486640316133889</v>
      </c>
      <c r="P22" s="3037">
        <v>0.40430277568812162</v>
      </c>
      <c r="Q22" s="3355" t="e">
        <f>#REF!-P22</f>
        <v>#REF!</v>
      </c>
    </row>
    <row r="23" spans="1:42" ht="16.5" customHeight="1">
      <c r="A23" s="2321" t="s">
        <v>26</v>
      </c>
      <c r="B23" s="2801">
        <f>B11/B4</f>
        <v>0.13725199798230844</v>
      </c>
      <c r="C23" s="2802">
        <f>C11/C4</f>
        <v>0.155841254582058</v>
      </c>
      <c r="D23" s="2803">
        <f t="shared" ref="D23:N23" si="10">D11/D4</f>
        <v>0.18937451610442574</v>
      </c>
      <c r="E23" s="2562">
        <f t="shared" si="10"/>
        <v>0.18672451400381754</v>
      </c>
      <c r="F23" s="2802">
        <f t="shared" si="10"/>
        <v>0.18383562050970387</v>
      </c>
      <c r="G23" s="2803">
        <f t="shared" si="10"/>
        <v>0.16318498145013763</v>
      </c>
      <c r="H23" s="2562">
        <f t="shared" si="10"/>
        <v>0.23387438224452045</v>
      </c>
      <c r="I23" s="2802">
        <f t="shared" si="10"/>
        <v>0.21838597922358916</v>
      </c>
      <c r="J23" s="2803">
        <f t="shared" si="10"/>
        <v>0.22117612593840413</v>
      </c>
      <c r="K23" s="2801">
        <f t="shared" si="10"/>
        <v>0.23122706355132872</v>
      </c>
      <c r="L23" s="2802">
        <f t="shared" si="10"/>
        <v>0.20916471690156554</v>
      </c>
      <c r="M23" s="2803">
        <f t="shared" si="10"/>
        <v>0.17735273409013871</v>
      </c>
      <c r="N23" s="2804">
        <f t="shared" si="10"/>
        <v>0.19242698406784392</v>
      </c>
      <c r="P23" s="3038">
        <v>0.2579450130449607</v>
      </c>
      <c r="Q23" s="3356" t="e">
        <f>#REF!-P23</f>
        <v>#REF!</v>
      </c>
    </row>
    <row r="24" spans="1:42" ht="16.5" customHeight="1" thickBot="1">
      <c r="A24" s="4103" t="s">
        <v>554</v>
      </c>
      <c r="B24" s="4106">
        <f>B16/B4</f>
        <v>8.9122660092977868E-3</v>
      </c>
      <c r="C24" s="4105">
        <f>C16/C4</f>
        <v>0.12909300493006917</v>
      </c>
      <c r="D24" s="4104">
        <f t="shared" ref="D24:N24" si="11">D16/D4</f>
        <v>0.14922248282685735</v>
      </c>
      <c r="E24" s="4188">
        <f t="shared" si="11"/>
        <v>0.13041664647533549</v>
      </c>
      <c r="F24" s="4189">
        <f t="shared" si="11"/>
        <v>0.12803836665279972</v>
      </c>
      <c r="G24" s="4190">
        <f t="shared" si="11"/>
        <v>0.11227003727167323</v>
      </c>
      <c r="H24" s="4188">
        <f t="shared" si="11"/>
        <v>0.1693061609560555</v>
      </c>
      <c r="I24" s="4189">
        <f t="shared" si="11"/>
        <v>0.15624613277826077</v>
      </c>
      <c r="J24" s="4190">
        <f t="shared" si="11"/>
        <v>0.15855816618067262</v>
      </c>
      <c r="K24" s="4191">
        <f t="shared" si="11"/>
        <v>0.16660839372911482</v>
      </c>
      <c r="L24" s="4189">
        <f t="shared" si="11"/>
        <v>0.14762630162086382</v>
      </c>
      <c r="M24" s="4190">
        <f t="shared" si="11"/>
        <v>0.12112888557145399</v>
      </c>
      <c r="N24" s="4107">
        <f t="shared" si="11"/>
        <v>0.13160248717454123</v>
      </c>
      <c r="P24" s="3039">
        <v>0.19610566480386415</v>
      </c>
      <c r="Q24" s="3357" t="e">
        <f>#REF!-P24</f>
        <v>#REF!</v>
      </c>
    </row>
    <row r="25" spans="1:42" ht="15" customHeight="1" thickBot="1">
      <c r="C25" s="2562"/>
      <c r="F25" s="2562"/>
      <c r="G25" s="2356"/>
      <c r="H25" s="2760"/>
      <c r="I25" s="2760"/>
    </row>
    <row r="26" spans="1:42" ht="35.25" customHeight="1" outlineLevel="1" thickBot="1">
      <c r="A26" s="90" t="s">
        <v>1038</v>
      </c>
      <c r="B26" s="1548" t="str">
        <f>B3</f>
        <v>Jan.26</v>
      </c>
      <c r="C26" s="81" t="str">
        <f t="shared" ref="C26:N26" si="12">C3</f>
        <v>Feb.26</v>
      </c>
      <c r="D26" s="1549" t="str">
        <f>D3</f>
        <v>Mar.26</v>
      </c>
      <c r="E26" s="3602" t="str">
        <f t="shared" si="12"/>
        <v>Apr.26</v>
      </c>
      <c r="F26" s="1698" t="str">
        <f t="shared" si="12"/>
        <v>May.26</v>
      </c>
      <c r="G26" s="72" t="str">
        <f t="shared" si="12"/>
        <v>Jun.26</v>
      </c>
      <c r="H26" s="1548" t="str">
        <f t="shared" si="12"/>
        <v>Jul.26</v>
      </c>
      <c r="I26" s="81" t="str">
        <f t="shared" si="12"/>
        <v>Aug.26</v>
      </c>
      <c r="J26" s="1549" t="str">
        <f t="shared" si="12"/>
        <v>Sep.26</v>
      </c>
      <c r="K26" s="87" t="str">
        <f t="shared" si="12"/>
        <v>Oct.26</v>
      </c>
      <c r="L26" s="81" t="str">
        <f t="shared" si="12"/>
        <v>Nov.26</v>
      </c>
      <c r="M26" s="72" t="str">
        <f t="shared" si="12"/>
        <v>Dec.26</v>
      </c>
      <c r="N26" s="1550" t="str">
        <f t="shared" si="12"/>
        <v>2026
Total</v>
      </c>
    </row>
    <row r="27" spans="1:42" ht="15" customHeight="1" outlineLevel="1">
      <c r="A27" s="2805" t="s">
        <v>1039</v>
      </c>
      <c r="B27" s="3713">
        <v>0.2</v>
      </c>
      <c r="C27" s="3714">
        <v>0.2</v>
      </c>
      <c r="D27" s="3715">
        <v>0.2</v>
      </c>
      <c r="E27" s="3716">
        <v>0.2</v>
      </c>
      <c r="F27" s="3714">
        <v>0.2</v>
      </c>
      <c r="G27" s="2810">
        <v>0.2</v>
      </c>
      <c r="H27" s="2806">
        <v>0.2</v>
      </c>
      <c r="I27" s="2807">
        <v>0.2</v>
      </c>
      <c r="J27" s="2808">
        <v>0.2</v>
      </c>
      <c r="K27" s="2809">
        <v>0.2</v>
      </c>
      <c r="L27" s="2807">
        <v>0.2</v>
      </c>
      <c r="M27" s="2810">
        <v>0.2</v>
      </c>
      <c r="N27" s="2811">
        <v>0.2</v>
      </c>
    </row>
    <row r="28" spans="1:42" ht="20.25" customHeight="1" outlineLevel="1" thickBot="1">
      <c r="A28" s="3505" t="s">
        <v>1040</v>
      </c>
      <c r="B28" s="3717">
        <f>B14</f>
        <v>32880.653896022355</v>
      </c>
      <c r="C28" s="3718">
        <f>C14</f>
        <v>445532.46004145645</v>
      </c>
      <c r="D28" s="3719">
        <f t="shared" ref="D28:M28" si="13">D14</f>
        <v>670085.25215248053</v>
      </c>
      <c r="E28" s="3720">
        <f t="shared" si="13"/>
        <v>627670.31752869452</v>
      </c>
      <c r="F28" s="3718">
        <f t="shared" si="13"/>
        <v>610517.48049872939</v>
      </c>
      <c r="G28" s="3509">
        <f t="shared" si="13"/>
        <v>554136.23980759166</v>
      </c>
      <c r="H28" s="3510">
        <f t="shared" si="13"/>
        <v>813396.28488567995</v>
      </c>
      <c r="I28" s="3508">
        <f t="shared" si="13"/>
        <v>720502.44634753792</v>
      </c>
      <c r="J28" s="3506">
        <f t="shared" si="13"/>
        <v>731349.09825015033</v>
      </c>
      <c r="K28" s="3507">
        <f t="shared" si="13"/>
        <v>765730.0308371319</v>
      </c>
      <c r="L28" s="3508">
        <f t="shared" si="13"/>
        <v>630763.30867712875</v>
      </c>
      <c r="M28" s="3509">
        <f t="shared" si="13"/>
        <v>489358.30646680709</v>
      </c>
      <c r="N28" s="3511">
        <f>SUM(B28:M28)</f>
        <v>7091921.8793894099</v>
      </c>
    </row>
    <row r="29" spans="1:42" ht="15.75" customHeight="1" outlineLevel="1">
      <c r="A29" s="3512" t="s">
        <v>1236</v>
      </c>
      <c r="B29" s="4761">
        <f t="shared" ref="B29" si="14">IF(B30&lt;0,0,IF(B28&gt;B30,B30,B28))*B27</f>
        <v>0</v>
      </c>
      <c r="C29" s="3721">
        <f t="shared" ref="C29:M29" si="15">IF(C30&lt;0,0,IF(C28&gt;C30,C30,C28))*C27</f>
        <v>0</v>
      </c>
      <c r="D29" s="3722">
        <f t="shared" si="15"/>
        <v>69746.181418146283</v>
      </c>
      <c r="E29" s="3723">
        <f t="shared" si="15"/>
        <v>125534.06350573892</v>
      </c>
      <c r="F29" s="3721">
        <f t="shared" si="15"/>
        <v>122103.49609974588</v>
      </c>
      <c r="G29" s="4760">
        <f t="shared" si="15"/>
        <v>110827.24796151834</v>
      </c>
      <c r="H29" s="4761">
        <f t="shared" si="15"/>
        <v>162679.25697713601</v>
      </c>
      <c r="I29" s="4762">
        <f t="shared" si="15"/>
        <v>144100.48926950758</v>
      </c>
      <c r="J29" s="4763">
        <f t="shared" si="15"/>
        <v>146269.81965003008</v>
      </c>
      <c r="K29" s="4764">
        <f t="shared" si="15"/>
        <v>153146.00616742639</v>
      </c>
      <c r="L29" s="4762">
        <f t="shared" si="15"/>
        <v>126152.66173542576</v>
      </c>
      <c r="M29" s="4760">
        <f t="shared" si="15"/>
        <v>97871.661293361423</v>
      </c>
      <c r="N29" s="4765">
        <f>SUM(B29:M29)</f>
        <v>1258430.8840780365</v>
      </c>
    </row>
    <row r="30" spans="1:42" ht="14.25" customHeight="1" outlineLevel="1" thickBot="1">
      <c r="A30" s="3486">
        <v>-799767.45899922797</v>
      </c>
      <c r="B30" s="4767">
        <f>A30+B28</f>
        <v>-766886.80510320561</v>
      </c>
      <c r="C30" s="3724">
        <f t="shared" ref="C30" si="16">B30+C28</f>
        <v>-321354.34506174916</v>
      </c>
      <c r="D30" s="3725">
        <f t="shared" ref="D30" si="17">C30+D28</f>
        <v>348730.90709073137</v>
      </c>
      <c r="E30" s="3726">
        <f t="shared" ref="E30" si="18">D30+E28</f>
        <v>976401.22461942583</v>
      </c>
      <c r="F30" s="3724">
        <f t="shared" ref="F30" si="19">E30+F28</f>
        <v>1586918.7051181551</v>
      </c>
      <c r="G30" s="4766">
        <f t="shared" ref="G30" si="20">F30+G28</f>
        <v>2141054.9449257469</v>
      </c>
      <c r="H30" s="4767">
        <f t="shared" ref="H30" si="21">G30+H28</f>
        <v>2954451.2298114267</v>
      </c>
      <c r="I30" s="4768">
        <f t="shared" ref="I30" si="22">H30+I28</f>
        <v>3674953.6761589646</v>
      </c>
      <c r="J30" s="4769">
        <f t="shared" ref="J30" si="23">I30+J28</f>
        <v>4406302.7744091153</v>
      </c>
      <c r="K30" s="4770">
        <f t="shared" ref="K30" si="24">J30+K28</f>
        <v>5172032.805246247</v>
      </c>
      <c r="L30" s="4768">
        <f t="shared" ref="L30" si="25">K30+L28</f>
        <v>5802796.1139233755</v>
      </c>
      <c r="M30" s="4766">
        <f t="shared" ref="M30" si="26">L30+M28</f>
        <v>6292154.4203901822</v>
      </c>
      <c r="N30" s="4771">
        <v>3476848.2672356348</v>
      </c>
    </row>
    <row r="31" spans="1:42" ht="14.25" customHeight="1" outlineLevel="1">
      <c r="A31" s="3503"/>
      <c r="B31" s="2760"/>
      <c r="C31" s="2760"/>
      <c r="D31" s="2760"/>
      <c r="E31" s="2760"/>
      <c r="F31" s="2760"/>
      <c r="G31" s="3504"/>
      <c r="H31" s="3504"/>
      <c r="I31" s="3504"/>
      <c r="J31" s="3504"/>
      <c r="K31" s="3504"/>
      <c r="L31" s="3504"/>
      <c r="M31" s="3504"/>
      <c r="N31" s="3504"/>
    </row>
    <row r="32" spans="1:42" ht="15" customHeight="1" thickBot="1">
      <c r="A32" s="1578"/>
    </row>
    <row r="33" spans="1:14" ht="15" customHeight="1" thickBot="1">
      <c r="A33" s="3490" t="s">
        <v>1232</v>
      </c>
      <c r="B33" s="3519">
        <f>(B16+B6)/B4</f>
        <v>7.4782010012683531E-2</v>
      </c>
      <c r="C33" s="3518">
        <f t="shared" ref="C33:N33" si="27">(C16+C6)/C4</f>
        <v>0.18704299354282128</v>
      </c>
      <c r="D33" s="3516">
        <f t="shared" si="27"/>
        <v>0.21136340039379523</v>
      </c>
      <c r="E33" s="3517">
        <f t="shared" si="27"/>
        <v>0.18236137081279527</v>
      </c>
      <c r="F33" s="3518">
        <f t="shared" si="27"/>
        <v>0.18046862898869781</v>
      </c>
      <c r="G33" s="3516">
        <f t="shared" si="27"/>
        <v>0.18824641447359733</v>
      </c>
      <c r="H33" s="3517">
        <f t="shared" si="27"/>
        <v>0.1693061609560555</v>
      </c>
      <c r="I33" s="3518">
        <f t="shared" si="27"/>
        <v>0.15624613277826077</v>
      </c>
      <c r="J33" s="3516">
        <f t="shared" si="27"/>
        <v>0.15855816618067262</v>
      </c>
      <c r="K33" s="3519">
        <f t="shared" si="27"/>
        <v>0.16660839372911482</v>
      </c>
      <c r="L33" s="3518">
        <f t="shared" si="27"/>
        <v>0.14762630162086382</v>
      </c>
      <c r="M33" s="3516">
        <f t="shared" si="27"/>
        <v>0.12112888557145399</v>
      </c>
      <c r="N33" s="3489">
        <f t="shared" si="27"/>
        <v>0.16302871577775088</v>
      </c>
    </row>
    <row r="34" spans="1:14" ht="15" customHeight="1" thickBot="1">
      <c r="A34" s="3490" t="s">
        <v>1237</v>
      </c>
      <c r="B34" s="3519">
        <f>+(B16)/B4</f>
        <v>8.9122660092977868E-3</v>
      </c>
      <c r="C34" s="3518">
        <f t="shared" ref="C34:D34" si="28">+(C16)/C4</f>
        <v>0.12909300493006917</v>
      </c>
      <c r="D34" s="3516">
        <f t="shared" si="28"/>
        <v>0.14922248282685735</v>
      </c>
      <c r="E34" s="3517">
        <f>+(E16)/E4</f>
        <v>0.13041664647533549</v>
      </c>
      <c r="F34" s="3518">
        <f t="shared" ref="F34:M34" si="29">+(F16)/F4</f>
        <v>0.12803836665279972</v>
      </c>
      <c r="G34" s="3516">
        <f t="shared" si="29"/>
        <v>0.11227003727167323</v>
      </c>
      <c r="H34" s="3517">
        <f t="shared" si="29"/>
        <v>0.1693061609560555</v>
      </c>
      <c r="I34" s="3518">
        <f t="shared" si="29"/>
        <v>0.15624613277826077</v>
      </c>
      <c r="J34" s="3516">
        <f t="shared" si="29"/>
        <v>0.15855816618067262</v>
      </c>
      <c r="K34" s="3519">
        <f t="shared" si="29"/>
        <v>0.16660839372911482</v>
      </c>
      <c r="L34" s="3518">
        <f t="shared" si="29"/>
        <v>0.14762630162086382</v>
      </c>
      <c r="M34" s="3516">
        <f t="shared" si="29"/>
        <v>0.12112888557145399</v>
      </c>
      <c r="N34" s="3489"/>
    </row>
    <row r="35" spans="1:14" ht="15" customHeight="1">
      <c r="B35" s="2350"/>
      <c r="C35" s="2350"/>
      <c r="D35" s="2350"/>
      <c r="E35" s="2587"/>
      <c r="F35" s="2587"/>
      <c r="G35" s="3494"/>
      <c r="H35" s="2587"/>
      <c r="I35" s="2587"/>
      <c r="J35" s="2587"/>
      <c r="K35" s="2587"/>
      <c r="L35" s="2587"/>
      <c r="M35" s="2587"/>
    </row>
    <row r="36" spans="1:14" ht="15" customHeight="1">
      <c r="B36" s="1578"/>
      <c r="C36" s="1578"/>
      <c r="D36" s="1578"/>
    </row>
  </sheetData>
  <phoneticPr fontId="8" type="noConversion"/>
  <conditionalFormatting sqref="A22:N24">
    <cfRule type="cellIs" dxfId="27" priority="11" operator="lessThan">
      <formula>0</formula>
    </cfRule>
  </conditionalFormatting>
  <conditionalFormatting sqref="P3">
    <cfRule type="cellIs" dxfId="26" priority="7" operator="lessThan">
      <formula>0</formula>
    </cfRule>
  </conditionalFormatting>
  <conditionalFormatting sqref="P22:Q24">
    <cfRule type="cellIs" dxfId="25" priority="4" operator="lessThan">
      <formula>0</formula>
    </cfRule>
  </conditionalFormatting>
  <conditionalFormatting sqref="Q3:Q17">
    <cfRule type="cellIs" dxfId="24" priority="3" operator="lessThan">
      <formula>0</formula>
    </cfRule>
  </conditionalFormatting>
  <pageMargins left="0.25" right="0.25" top="0.75" bottom="0.75" header="0.3" footer="0.3"/>
  <pageSetup paperSize="9" scale="77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87"/>
  <sheetViews>
    <sheetView topLeftCell="A18" zoomScale="70" zoomScaleNormal="70" workbookViewId="0">
      <selection activeCell="F32" sqref="F32"/>
    </sheetView>
  </sheetViews>
  <sheetFormatPr defaultColWidth="9.125" defaultRowHeight="13.5"/>
  <cols>
    <col min="1" max="1" width="18.375" style="2816" customWidth="1"/>
    <col min="2" max="2" width="56.25" style="2813" customWidth="1"/>
    <col min="3" max="7" width="15.25" style="5" customWidth="1"/>
    <col min="8" max="8" width="15.25" style="2814" customWidth="1"/>
    <col min="9" max="14" width="15.25" style="1626" customWidth="1"/>
    <col min="15" max="15" width="23.25" style="1626" customWidth="1"/>
    <col min="16" max="16" width="5.375" style="2815" customWidth="1"/>
    <col min="17" max="17" width="13" style="2816" customWidth="1"/>
    <col min="18" max="18" width="11" style="2816" customWidth="1"/>
    <col min="19" max="19" width="13" style="2816" bestFit="1" customWidth="1"/>
    <col min="20" max="20" width="13.875" style="2816" bestFit="1" customWidth="1"/>
    <col min="21" max="21" width="18" style="2816" customWidth="1"/>
    <col min="22" max="22" width="11.625" style="2816" bestFit="1" customWidth="1"/>
    <col min="23" max="16384" width="9.125" style="2816"/>
  </cols>
  <sheetData>
    <row r="1" spans="1:16" ht="17.25">
      <c r="A1" s="2812" t="s">
        <v>1090</v>
      </c>
    </row>
    <row r="2" spans="1:16" ht="14.25" thickBot="1">
      <c r="O2" s="1808" t="s">
        <v>87</v>
      </c>
    </row>
    <row r="3" spans="1:16" s="2825" customFormat="1" ht="18.75" customHeight="1" thickBot="1">
      <c r="A3" s="2426" t="s">
        <v>127</v>
      </c>
      <c r="B3" s="22" t="s">
        <v>128</v>
      </c>
      <c r="C3" s="4112" t="s">
        <v>1350</v>
      </c>
      <c r="D3" s="4113" t="s">
        <v>1351</v>
      </c>
      <c r="E3" s="2817" t="s">
        <v>1352</v>
      </c>
      <c r="F3" s="4112" t="s">
        <v>1353</v>
      </c>
      <c r="G3" s="4113" t="s">
        <v>1354</v>
      </c>
      <c r="H3" s="2817" t="s">
        <v>1355</v>
      </c>
      <c r="I3" s="2818" t="s">
        <v>1356</v>
      </c>
      <c r="J3" s="2819" t="s">
        <v>1357</v>
      </c>
      <c r="K3" s="2820" t="s">
        <v>1358</v>
      </c>
      <c r="L3" s="2821" t="s">
        <v>1359</v>
      </c>
      <c r="M3" s="2819" t="s">
        <v>1360</v>
      </c>
      <c r="N3" s="2822" t="s">
        <v>1361</v>
      </c>
      <c r="O3" s="2823" t="s">
        <v>95</v>
      </c>
      <c r="P3" s="2824"/>
    </row>
    <row r="4" spans="1:16" s="2835" customFormat="1" ht="18.75" customHeight="1">
      <c r="A4" s="2826"/>
      <c r="B4" s="4772" t="s">
        <v>0</v>
      </c>
      <c r="C4" s="2828">
        <f>'7. E Plan'!E5</f>
        <v>3689370.7909659981</v>
      </c>
      <c r="D4" s="4115">
        <f>'7. E Plan'!F5</f>
        <v>3451251.7566912733</v>
      </c>
      <c r="E4" s="2827">
        <f>'7. E Plan'!G5</f>
        <v>4023114.0734396363</v>
      </c>
      <c r="F4" s="4114">
        <f>'7. E Plan'!H5</f>
        <v>3850246.6333384831</v>
      </c>
      <c r="G4" s="4115">
        <f>'7. E Plan'!I5</f>
        <v>3814590.8696524575</v>
      </c>
      <c r="H4" s="2827">
        <f>'7. E Plan'!J5</f>
        <v>3948595.7484216876</v>
      </c>
      <c r="I4" s="2828">
        <f>'7. E Plan'!K5</f>
        <v>3843433.8374575851</v>
      </c>
      <c r="J4" s="2829">
        <f>'7. E Plan'!L5</f>
        <v>3689063.8304375857</v>
      </c>
      <c r="K4" s="2830">
        <f>'7. E Plan'!M5</f>
        <v>3689997.7635553544</v>
      </c>
      <c r="L4" s="2831">
        <f>'7. E Plan'!N5</f>
        <v>3676789.6920349244</v>
      </c>
      <c r="M4" s="2829">
        <f>'7. E Plan'!O5</f>
        <v>3418162.2204263574</v>
      </c>
      <c r="N4" s="2832">
        <f>'7. E Plan'!P5</f>
        <v>3231984.2069586907</v>
      </c>
      <c r="O4" s="2833">
        <f>SUM(C4:N4)</f>
        <v>44326601.423380032</v>
      </c>
      <c r="P4" s="2834"/>
    </row>
    <row r="5" spans="1:16" s="2825" customFormat="1" ht="18.75" customHeight="1">
      <c r="A5" s="2836"/>
      <c r="B5" s="2837" t="s">
        <v>181</v>
      </c>
      <c r="C5" s="4116">
        <f>C16</f>
        <v>2964058.2930965279</v>
      </c>
      <c r="D5" s="4117">
        <f t="shared" ref="D5:N5" si="0">D16</f>
        <v>2033775.6654945468</v>
      </c>
      <c r="E5" s="2838">
        <f t="shared" si="0"/>
        <v>1782945.1854936504</v>
      </c>
      <c r="F5" s="1820">
        <f t="shared" si="0"/>
        <v>2224600.9180855132</v>
      </c>
      <c r="G5" s="1738">
        <f t="shared" si="0"/>
        <v>2901665.6798001076</v>
      </c>
      <c r="H5" s="1826">
        <f t="shared" si="0"/>
        <v>3492218.1078689951</v>
      </c>
      <c r="I5" s="1825">
        <f t="shared" si="0"/>
        <v>3296787.8705855045</v>
      </c>
      <c r="J5" s="2839">
        <f t="shared" si="0"/>
        <v>3867535.0205244119</v>
      </c>
      <c r="K5" s="2840">
        <f t="shared" si="0"/>
        <v>4384727.753231952</v>
      </c>
      <c r="L5" s="2841">
        <f t="shared" si="0"/>
        <v>4940578.8372838814</v>
      </c>
      <c r="M5" s="2839">
        <f t="shared" si="0"/>
        <v>5672261.0110161714</v>
      </c>
      <c r="N5" s="2842">
        <f t="shared" si="0"/>
        <v>6547418.4998096814</v>
      </c>
      <c r="O5" s="2843">
        <f>+C5</f>
        <v>2964058.2930965279</v>
      </c>
      <c r="P5" s="2824"/>
    </row>
    <row r="6" spans="1:16" s="2825" customFormat="1" ht="18.75" customHeight="1">
      <c r="A6" s="2844" t="s">
        <v>174</v>
      </c>
      <c r="B6" s="2845" t="s">
        <v>175</v>
      </c>
      <c r="C6" s="4118">
        <f>C17+C18+C19+C20</f>
        <v>3667984.8825734188</v>
      </c>
      <c r="D6" s="4119">
        <f t="shared" ref="D6:N6" si="1">D17+D18+D19+D20</f>
        <v>3504496.5295196869</v>
      </c>
      <c r="E6" s="2846">
        <f t="shared" si="1"/>
        <v>3887800.4741625758</v>
      </c>
      <c r="F6" s="4118">
        <f t="shared" si="1"/>
        <v>4349151.9526981013</v>
      </c>
      <c r="G6" s="4119">
        <f t="shared" si="1"/>
        <v>4005106.8278202461</v>
      </c>
      <c r="H6" s="2846">
        <f t="shared" si="1"/>
        <v>4156880.9639544534</v>
      </c>
      <c r="I6" s="2847">
        <f t="shared" si="1"/>
        <v>4051419.9903265173</v>
      </c>
      <c r="J6" s="2848">
        <f t="shared" si="1"/>
        <v>3800316.5677114138</v>
      </c>
      <c r="K6" s="2849">
        <f t="shared" si="1"/>
        <v>3715589.812948944</v>
      </c>
      <c r="L6" s="2850">
        <f t="shared" si="1"/>
        <v>3711109.4870793344</v>
      </c>
      <c r="M6" s="2848">
        <f t="shared" si="1"/>
        <v>3657508.2353597409</v>
      </c>
      <c r="N6" s="2851">
        <f t="shared" si="1"/>
        <v>3400334.342577483</v>
      </c>
      <c r="O6" s="2852">
        <f t="shared" ref="O6:O11" si="2">SUM(C6:N6)</f>
        <v>45907700.066731915</v>
      </c>
      <c r="P6" s="2824"/>
    </row>
    <row r="7" spans="1:16" s="2825" customFormat="1" ht="18.75" customHeight="1">
      <c r="A7" s="2853"/>
      <c r="B7" s="2854" t="s">
        <v>176</v>
      </c>
      <c r="C7" s="4116">
        <f>+C21+C22+C23+C24</f>
        <v>2832019.6969999708</v>
      </c>
      <c r="D7" s="4117">
        <f t="shared" ref="D7:N7" si="3">+D21+D22+D23+D24</f>
        <v>2728586.8284896589</v>
      </c>
      <c r="E7" s="2838">
        <f t="shared" si="3"/>
        <v>2969692.3996440014</v>
      </c>
      <c r="F7" s="4116">
        <f t="shared" si="3"/>
        <v>2418155.6059197187</v>
      </c>
      <c r="G7" s="4117">
        <f t="shared" si="3"/>
        <v>2622806.8599189874</v>
      </c>
      <c r="H7" s="2838">
        <f t="shared" si="3"/>
        <v>3241606.0531943175</v>
      </c>
      <c r="I7" s="2855">
        <f t="shared" si="3"/>
        <v>2956286.0920677767</v>
      </c>
      <c r="J7" s="2839">
        <f t="shared" si="3"/>
        <v>2613237.6455505397</v>
      </c>
      <c r="K7" s="2840">
        <f t="shared" si="3"/>
        <v>3272563.5983101805</v>
      </c>
      <c r="L7" s="2841">
        <f t="shared" si="3"/>
        <v>2398599.2416267106</v>
      </c>
      <c r="M7" s="2839">
        <f t="shared" si="3"/>
        <v>2461770.3033118192</v>
      </c>
      <c r="N7" s="2842">
        <f t="shared" si="3"/>
        <v>3236881.7150834845</v>
      </c>
      <c r="O7" s="2843">
        <f t="shared" si="2"/>
        <v>33752206.040117167</v>
      </c>
      <c r="P7" s="2824"/>
    </row>
    <row r="8" spans="1:16" s="2866" customFormat="1" ht="18.75" customHeight="1">
      <c r="A8" s="2856"/>
      <c r="B8" s="2857" t="s">
        <v>159</v>
      </c>
      <c r="C8" s="4120">
        <f>SUM(C6:C7)</f>
        <v>6500004.5795733891</v>
      </c>
      <c r="D8" s="4121">
        <f t="shared" ref="D8:N8" si="4">SUM(D6:D7)</f>
        <v>6233083.3580093458</v>
      </c>
      <c r="E8" s="2858">
        <f t="shared" si="4"/>
        <v>6857492.8738065772</v>
      </c>
      <c r="F8" s="4120">
        <f t="shared" si="4"/>
        <v>6767307.55861782</v>
      </c>
      <c r="G8" s="4121">
        <f t="shared" si="4"/>
        <v>6627913.6877392335</v>
      </c>
      <c r="H8" s="2858">
        <f t="shared" si="4"/>
        <v>7398487.0171487704</v>
      </c>
      <c r="I8" s="2859">
        <f t="shared" si="4"/>
        <v>7007706.0823942944</v>
      </c>
      <c r="J8" s="2860">
        <f t="shared" si="4"/>
        <v>6413554.2132619536</v>
      </c>
      <c r="K8" s="2861">
        <f t="shared" si="4"/>
        <v>6988153.4112591241</v>
      </c>
      <c r="L8" s="2862">
        <f t="shared" si="4"/>
        <v>6109708.7287060451</v>
      </c>
      <c r="M8" s="2860">
        <f t="shared" si="4"/>
        <v>6119278.5386715606</v>
      </c>
      <c r="N8" s="2863">
        <f t="shared" si="4"/>
        <v>6637216.0576609671</v>
      </c>
      <c r="O8" s="2864">
        <f t="shared" si="2"/>
        <v>79659906.106849074</v>
      </c>
      <c r="P8" s="2865"/>
    </row>
    <row r="9" spans="1:16" s="2825" customFormat="1" ht="18.75" customHeight="1">
      <c r="A9" s="2867" t="s">
        <v>177</v>
      </c>
      <c r="B9" s="2868" t="s">
        <v>179</v>
      </c>
      <c r="C9" s="4118">
        <f t="shared" ref="C9:N9" si="5">SUM(C26:C39)+C43+C45</f>
        <v>4400749.9321079999</v>
      </c>
      <c r="D9" s="4119">
        <f t="shared" si="5"/>
        <v>3559234.3463149704</v>
      </c>
      <c r="E9" s="2846">
        <f t="shared" si="5"/>
        <v>3533676.9932268891</v>
      </c>
      <c r="F9" s="4118">
        <f t="shared" si="5"/>
        <v>3443144.3575014696</v>
      </c>
      <c r="G9" s="4119">
        <f t="shared" si="5"/>
        <v>3220496.4811311089</v>
      </c>
      <c r="H9" s="2846">
        <f t="shared" si="5"/>
        <v>3874249.4471337111</v>
      </c>
      <c r="I9" s="2847">
        <f t="shared" si="5"/>
        <v>3320470.2587344423</v>
      </c>
      <c r="J9" s="2848">
        <f t="shared" si="5"/>
        <v>3102268.3122172058</v>
      </c>
      <c r="K9" s="2849">
        <f t="shared" si="5"/>
        <v>3300230.2649768465</v>
      </c>
      <c r="L9" s="2850">
        <f t="shared" si="5"/>
        <v>2760265.9082933776</v>
      </c>
      <c r="M9" s="2848">
        <f t="shared" si="5"/>
        <v>2578436.9699784853</v>
      </c>
      <c r="N9" s="2851">
        <f t="shared" si="5"/>
        <v>4140748.3817501506</v>
      </c>
      <c r="O9" s="2852">
        <f t="shared" si="2"/>
        <v>41233971.653366655</v>
      </c>
      <c r="P9" s="2824"/>
    </row>
    <row r="10" spans="1:16" s="2825" customFormat="1" ht="18.75" customHeight="1">
      <c r="A10" s="2853"/>
      <c r="B10" s="2869" t="s">
        <v>178</v>
      </c>
      <c r="C10" s="4116">
        <f>SUM(C40:C42)</f>
        <v>2929537.2750673704</v>
      </c>
      <c r="D10" s="4117">
        <f t="shared" ref="D10:N10" si="6">SUM(D40:D42)</f>
        <v>2824679.4916952709</v>
      </c>
      <c r="E10" s="2838">
        <f t="shared" si="6"/>
        <v>2756160.1479878263</v>
      </c>
      <c r="F10" s="4116">
        <f t="shared" si="6"/>
        <v>2534098.439401756</v>
      </c>
      <c r="G10" s="4117">
        <f t="shared" si="6"/>
        <v>2712864.7785392376</v>
      </c>
      <c r="H10" s="2838">
        <f t="shared" si="6"/>
        <v>3617667.8072985499</v>
      </c>
      <c r="I10" s="2855">
        <f>SUM(I40:I42)</f>
        <v>3016488.6737209451</v>
      </c>
      <c r="J10" s="2839">
        <f t="shared" si="6"/>
        <v>2668093.1683372078</v>
      </c>
      <c r="K10" s="2840">
        <f t="shared" si="6"/>
        <v>3032072.0622303481</v>
      </c>
      <c r="L10" s="2841">
        <f t="shared" si="6"/>
        <v>2502760.6466803774</v>
      </c>
      <c r="M10" s="2839">
        <f t="shared" si="6"/>
        <v>2515684.0798995653</v>
      </c>
      <c r="N10" s="2842">
        <f t="shared" si="6"/>
        <v>2867642.796362719</v>
      </c>
      <c r="O10" s="2843">
        <f t="shared" si="2"/>
        <v>33977749.367221169</v>
      </c>
      <c r="P10" s="2824"/>
    </row>
    <row r="11" spans="1:16" s="2866" customFormat="1" ht="18.75" customHeight="1" thickBot="1">
      <c r="A11" s="2856"/>
      <c r="B11" s="2870" t="s">
        <v>159</v>
      </c>
      <c r="C11" s="4122">
        <f>SUM(C9:C10)</f>
        <v>7330287.2071753703</v>
      </c>
      <c r="D11" s="4123">
        <f t="shared" ref="D11:N11" si="7">SUM(D9:D10)</f>
        <v>6383913.8380102413</v>
      </c>
      <c r="E11" s="2871">
        <f t="shared" si="7"/>
        <v>6289837.1412147153</v>
      </c>
      <c r="F11" s="4122">
        <f t="shared" si="7"/>
        <v>5977242.7969032256</v>
      </c>
      <c r="G11" s="4123">
        <f t="shared" si="7"/>
        <v>5933361.259670347</v>
      </c>
      <c r="H11" s="2871">
        <f t="shared" si="7"/>
        <v>7491917.254432261</v>
      </c>
      <c r="I11" s="2872">
        <f t="shared" si="7"/>
        <v>6336958.932455387</v>
      </c>
      <c r="J11" s="2873">
        <f t="shared" si="7"/>
        <v>5770361.4805544131</v>
      </c>
      <c r="K11" s="2874">
        <f t="shared" si="7"/>
        <v>6332302.3272071946</v>
      </c>
      <c r="L11" s="2875">
        <f t="shared" si="7"/>
        <v>5263026.554973755</v>
      </c>
      <c r="M11" s="2873">
        <f t="shared" si="7"/>
        <v>5094121.0498780506</v>
      </c>
      <c r="N11" s="2876">
        <f t="shared" si="7"/>
        <v>7008391.1781128701</v>
      </c>
      <c r="O11" s="2877">
        <f t="shared" si="2"/>
        <v>75211721.020587817</v>
      </c>
      <c r="P11" s="2865"/>
    </row>
    <row r="12" spans="1:16" s="2835" customFormat="1" ht="18.75" customHeight="1" thickBot="1">
      <c r="A12" s="2878"/>
      <c r="B12" s="2879" t="s">
        <v>180</v>
      </c>
      <c r="C12" s="2880">
        <f>+C5+C8-C11</f>
        <v>2133775.6654945463</v>
      </c>
      <c r="D12" s="2881">
        <f t="shared" ref="D12:N12" si="8">+D5+D8-D11</f>
        <v>1882945.1854936508</v>
      </c>
      <c r="E12" s="1800">
        <f t="shared" si="8"/>
        <v>2350600.9180855118</v>
      </c>
      <c r="F12" s="1850">
        <f t="shared" si="8"/>
        <v>3014665.6798001071</v>
      </c>
      <c r="G12" s="1799">
        <f t="shared" si="8"/>
        <v>3596218.1078689937</v>
      </c>
      <c r="H12" s="1800">
        <f t="shared" si="8"/>
        <v>3398787.8705855049</v>
      </c>
      <c r="I12" s="2882">
        <f>+I5+I8-I11</f>
        <v>3967535.0205244124</v>
      </c>
      <c r="J12" s="2883">
        <f t="shared" si="8"/>
        <v>4510727.753231952</v>
      </c>
      <c r="K12" s="2881">
        <f t="shared" si="8"/>
        <v>5040578.8372838814</v>
      </c>
      <c r="L12" s="2880">
        <f t="shared" si="8"/>
        <v>5787261.0110161714</v>
      </c>
      <c r="M12" s="2883">
        <f t="shared" si="8"/>
        <v>6697418.4998096814</v>
      </c>
      <c r="N12" s="2884">
        <f t="shared" si="8"/>
        <v>6176243.3793577794</v>
      </c>
      <c r="O12" s="2885">
        <f>+O5+O8-O11</f>
        <v>7412243.379357785</v>
      </c>
      <c r="P12" s="2834"/>
    </row>
    <row r="13" spans="1:16" s="2891" customFormat="1" ht="6" customHeight="1">
      <c r="A13" s="2886"/>
      <c r="B13" s="2887"/>
      <c r="C13" s="2888"/>
      <c r="D13" s="2888"/>
      <c r="E13" s="2888"/>
      <c r="F13" s="2888"/>
      <c r="G13" s="2888"/>
      <c r="H13" s="2888"/>
      <c r="I13" s="2888"/>
      <c r="J13" s="2889"/>
      <c r="K13" s="2889"/>
      <c r="L13" s="2889"/>
      <c r="M13" s="2889"/>
      <c r="N13" s="2889"/>
      <c r="O13" s="2888"/>
      <c r="P13" s="2890"/>
    </row>
    <row r="14" spans="1:16" ht="18.75" customHeight="1" thickBot="1">
      <c r="A14" s="2812" t="s">
        <v>182</v>
      </c>
      <c r="B14" s="2816"/>
      <c r="H14" s="5"/>
      <c r="I14" s="5"/>
      <c r="J14" s="1871"/>
      <c r="K14" s="1871"/>
      <c r="L14" s="1871"/>
      <c r="M14" s="1871"/>
      <c r="N14" s="1871"/>
      <c r="O14" s="1808" t="s">
        <v>87</v>
      </c>
      <c r="P14" s="2892"/>
    </row>
    <row r="15" spans="1:16" s="2894" customFormat="1" ht="21" customHeight="1" thickBot="1">
      <c r="A15" s="2426" t="s">
        <v>117</v>
      </c>
      <c r="B15" s="22" t="s">
        <v>116</v>
      </c>
      <c r="C15" s="4112" t="s">
        <v>1350</v>
      </c>
      <c r="D15" s="4113" t="s">
        <v>1351</v>
      </c>
      <c r="E15" s="2817" t="s">
        <v>1352</v>
      </c>
      <c r="F15" s="4112" t="s">
        <v>1353</v>
      </c>
      <c r="G15" s="4113" t="s">
        <v>1354</v>
      </c>
      <c r="H15" s="2817" t="s">
        <v>1355</v>
      </c>
      <c r="I15" s="2818" t="s">
        <v>1356</v>
      </c>
      <c r="J15" s="2819" t="s">
        <v>1357</v>
      </c>
      <c r="K15" s="2820" t="s">
        <v>1358</v>
      </c>
      <c r="L15" s="2821" t="s">
        <v>1359</v>
      </c>
      <c r="M15" s="2819" t="s">
        <v>1360</v>
      </c>
      <c r="N15" s="2822" t="s">
        <v>1361</v>
      </c>
      <c r="O15" s="2823" t="s">
        <v>95</v>
      </c>
      <c r="P15" s="2893"/>
    </row>
    <row r="16" spans="1:16" ht="21" customHeight="1" thickBot="1">
      <c r="A16" s="1696" t="s">
        <v>152</v>
      </c>
      <c r="B16" s="1695"/>
      <c r="C16" s="4829">
        <v>2964058.2930965279</v>
      </c>
      <c r="D16" s="4124">
        <f>+C49</f>
        <v>2033775.6654945468</v>
      </c>
      <c r="E16" s="2895">
        <f t="shared" ref="E16:N16" si="9">+D49</f>
        <v>1782945.1854936504</v>
      </c>
      <c r="F16" s="2896">
        <f t="shared" si="9"/>
        <v>2224600.9180855132</v>
      </c>
      <c r="G16" s="4125">
        <f t="shared" si="9"/>
        <v>2901665.6798001076</v>
      </c>
      <c r="H16" s="2895">
        <f t="shared" si="9"/>
        <v>3492218.1078689951</v>
      </c>
      <c r="I16" s="2896">
        <f t="shared" si="9"/>
        <v>3296787.8705855045</v>
      </c>
      <c r="J16" s="2897">
        <f t="shared" si="9"/>
        <v>3867535.0205244119</v>
      </c>
      <c r="K16" s="2898">
        <f t="shared" si="9"/>
        <v>4384727.753231952</v>
      </c>
      <c r="L16" s="2899">
        <f t="shared" si="9"/>
        <v>4940578.8372838814</v>
      </c>
      <c r="M16" s="2897">
        <f t="shared" si="9"/>
        <v>5672261.0110161714</v>
      </c>
      <c r="N16" s="2898">
        <f t="shared" si="9"/>
        <v>6547418.4998096814</v>
      </c>
      <c r="O16" s="2900">
        <f>C16</f>
        <v>2964058.2930965279</v>
      </c>
      <c r="P16" s="2552"/>
    </row>
    <row r="17" spans="1:21" ht="21" customHeight="1">
      <c r="A17" s="2510" t="s">
        <v>153</v>
      </c>
      <c r="B17" s="2901" t="s">
        <v>154</v>
      </c>
      <c r="C17" s="2902">
        <f>'2. S Plan'!L260+'2. S Plan'!L261-C20-C18-C23</f>
        <v>3297984.8825734188</v>
      </c>
      <c r="D17" s="4126">
        <f>'2. S Plan'!M260+'2. S Plan'!M261-D20-D18-D23</f>
        <v>2924496.5295196869</v>
      </c>
      <c r="E17" s="2903">
        <f>'2. S Plan'!N260+'2. S Plan'!N261-E20-E18-E23</f>
        <v>3327800.4741625758</v>
      </c>
      <c r="F17" s="2902">
        <f>'2. S Plan'!O260+'2. S Plan'!O261-F20-F18-F23</f>
        <v>3869151.9526981013</v>
      </c>
      <c r="G17" s="2904">
        <f>'2. S Plan'!P260+'2. S Plan'!P261-G20-G18-G23</f>
        <v>3525106.8278202461</v>
      </c>
      <c r="H17" s="2903">
        <f>'2. S Plan'!Q260+'2. S Plan'!Q261-H20-H18-H23</f>
        <v>3676880.9639544534</v>
      </c>
      <c r="I17" s="2902">
        <f>'2. S Plan'!R260+'2. S Plan'!R261-I20-I18-I23</f>
        <v>3678374.1946122311</v>
      </c>
      <c r="J17" s="2904">
        <f>'2. S Plan'!S260+'2. S Plan'!S261-J20-J18-J23</f>
        <v>3571187.7105685566</v>
      </c>
      <c r="K17" s="2903">
        <f>'2. S Plan'!T260+'2. S Plan'!T261-K20-K18-K23</f>
        <v>3465122.4558060868</v>
      </c>
      <c r="L17" s="2902">
        <f>'2. S Plan'!U260+'2. S Plan'!U261-L20-L18-L23</f>
        <v>3498249.1299364772</v>
      </c>
      <c r="M17" s="2904">
        <f>'2. S Plan'!V260+'2. S Plan'!V261-M20-M18-M23</f>
        <v>3440532.8782168836</v>
      </c>
      <c r="N17" s="2904">
        <f>'2. S Plan'!W260+'2. S Plan'!W261-N20-N18-N23</f>
        <v>3159593.9854346258</v>
      </c>
      <c r="O17" s="2905">
        <f t="shared" ref="O17:O24" si="10">SUM(C17:N17)</f>
        <v>41434481.985303342</v>
      </c>
      <c r="P17" s="2906"/>
    </row>
    <row r="18" spans="1:21" ht="21" customHeight="1">
      <c r="A18" s="2206"/>
      <c r="B18" s="2901" t="s">
        <v>155</v>
      </c>
      <c r="C18" s="2211">
        <f>'2. S Plan'!L259</f>
        <v>250000</v>
      </c>
      <c r="D18" s="4129">
        <f>'2. S Plan'!M259</f>
        <v>450000</v>
      </c>
      <c r="E18" s="2218">
        <f>'2. S Plan'!N259</f>
        <v>450000</v>
      </c>
      <c r="F18" s="2216">
        <f>'2. S Plan'!O259</f>
        <v>350000</v>
      </c>
      <c r="G18" s="2217">
        <f>'2. S Plan'!P259</f>
        <v>350000</v>
      </c>
      <c r="H18" s="2218">
        <f>'2. S Plan'!Q259</f>
        <v>350000</v>
      </c>
      <c r="I18" s="2216">
        <f>'2. S Plan'!R259</f>
        <v>243045.79571428604</v>
      </c>
      <c r="J18" s="2908">
        <f>'2. S Plan'!S259</f>
        <v>99128.857142857145</v>
      </c>
      <c r="K18" s="2909">
        <f>'2. S Plan'!T259</f>
        <v>120467.35714285714</v>
      </c>
      <c r="L18" s="2910">
        <f>'2. S Plan'!U259</f>
        <v>82860.357142857145</v>
      </c>
      <c r="M18" s="2908">
        <f>'2. S Plan'!V259</f>
        <v>86975.357142857145</v>
      </c>
      <c r="N18" s="2909">
        <f>'2. S Plan'!W259</f>
        <v>110740.35714285714</v>
      </c>
      <c r="O18" s="2905">
        <f t="shared" si="10"/>
        <v>2943218.0814285725</v>
      </c>
      <c r="P18" s="2906"/>
    </row>
    <row r="19" spans="1:21" ht="21" hidden="1" customHeight="1">
      <c r="A19" s="2206"/>
      <c r="B19" s="2907" t="s">
        <v>286</v>
      </c>
      <c r="C19" s="2902"/>
      <c r="D19" s="4127"/>
      <c r="E19" s="2911"/>
      <c r="F19" s="2216"/>
      <c r="G19" s="2217"/>
      <c r="H19" s="2218"/>
      <c r="I19" s="2216"/>
      <c r="J19" s="2908"/>
      <c r="K19" s="2909"/>
      <c r="L19" s="2910"/>
      <c r="M19" s="1672"/>
      <c r="N19" s="2912"/>
      <c r="O19" s="2905">
        <f t="shared" si="10"/>
        <v>0</v>
      </c>
      <c r="P19" s="2552"/>
    </row>
    <row r="20" spans="1:21" ht="21" customHeight="1">
      <c r="A20" s="2206"/>
      <c r="B20" s="2907" t="s">
        <v>229</v>
      </c>
      <c r="C20" s="2902">
        <f>'2. S Plan'!L257</f>
        <v>120000</v>
      </c>
      <c r="D20" s="4127">
        <f>'2. S Plan'!M257</f>
        <v>130000</v>
      </c>
      <c r="E20" s="2218">
        <f>'2. S Plan'!N257</f>
        <v>110000</v>
      </c>
      <c r="F20" s="2216">
        <f>'2. S Plan'!O257</f>
        <v>130000</v>
      </c>
      <c r="G20" s="2217">
        <f>'2. S Plan'!P257</f>
        <v>130000</v>
      </c>
      <c r="H20" s="2218">
        <f>'2. S Plan'!Q257</f>
        <v>130000</v>
      </c>
      <c r="I20" s="2216">
        <f>'2. S Plan'!R257</f>
        <v>130000</v>
      </c>
      <c r="J20" s="2908">
        <f>'2. S Plan'!S257</f>
        <v>130000</v>
      </c>
      <c r="K20" s="2909">
        <f>'2. S Plan'!T257</f>
        <v>130000</v>
      </c>
      <c r="L20" s="2913">
        <f>'2. S Plan'!U257</f>
        <v>130000</v>
      </c>
      <c r="M20" s="2908">
        <f>'2. S Plan'!V257</f>
        <v>130000</v>
      </c>
      <c r="N20" s="2909">
        <f>'2. S Plan'!W257</f>
        <v>130000</v>
      </c>
      <c r="O20" s="2905">
        <f t="shared" si="10"/>
        <v>1530000</v>
      </c>
      <c r="P20" s="2552"/>
    </row>
    <row r="21" spans="1:21" ht="21" customHeight="1">
      <c r="A21" s="2206"/>
      <c r="B21" s="2907" t="s">
        <v>156</v>
      </c>
      <c r="C21" s="2914">
        <f t="shared" ref="C21:N21" si="11">+C40</f>
        <v>2792019.6969999708</v>
      </c>
      <c r="D21" s="4128">
        <f t="shared" si="11"/>
        <v>2687686.8284896589</v>
      </c>
      <c r="E21" s="2911">
        <f t="shared" si="11"/>
        <v>2619692.3996440014</v>
      </c>
      <c r="F21" s="2914">
        <f t="shared" si="11"/>
        <v>2398155.6059197187</v>
      </c>
      <c r="G21" s="4128">
        <f t="shared" si="11"/>
        <v>2577446.8599189874</v>
      </c>
      <c r="H21" s="2911">
        <f t="shared" si="11"/>
        <v>2911606.0531943175</v>
      </c>
      <c r="I21" s="2915">
        <f t="shared" si="11"/>
        <v>2911286.0920677767</v>
      </c>
      <c r="J21" s="1672">
        <f t="shared" si="11"/>
        <v>2563237.6455505397</v>
      </c>
      <c r="K21" s="2912">
        <f t="shared" si="11"/>
        <v>2927563.5983101805</v>
      </c>
      <c r="L21" s="2916">
        <f t="shared" si="11"/>
        <v>2398599.2416267106</v>
      </c>
      <c r="M21" s="1672">
        <f t="shared" si="11"/>
        <v>2411770.3033118192</v>
      </c>
      <c r="N21" s="2912">
        <f t="shared" si="11"/>
        <v>2764081.7150834845</v>
      </c>
      <c r="O21" s="2905">
        <f t="shared" si="10"/>
        <v>31963146.040117163</v>
      </c>
      <c r="P21" s="2552"/>
    </row>
    <row r="22" spans="1:21" ht="21" customHeight="1">
      <c r="A22" s="2206"/>
      <c r="B22" s="2907" t="s">
        <v>157</v>
      </c>
      <c r="C22" s="2914">
        <f>'8. I Plan'!H65</f>
        <v>0</v>
      </c>
      <c r="D22" s="4127">
        <f>'8. I Plan'!I65</f>
        <v>0</v>
      </c>
      <c r="E22" s="2911">
        <f>'8. I Plan'!J65</f>
        <v>0</v>
      </c>
      <c r="F22" s="2914">
        <f>'8. I Plan'!K65</f>
        <v>0</v>
      </c>
      <c r="G22" s="4128">
        <f>'8. I Plan'!L65</f>
        <v>0</v>
      </c>
      <c r="H22" s="2911">
        <f>'8. I Plan'!M65</f>
        <v>0</v>
      </c>
      <c r="I22" s="2915">
        <f>'8. I Plan'!N65</f>
        <v>0</v>
      </c>
      <c r="J22" s="1672">
        <f>'8. I Plan'!O65</f>
        <v>0</v>
      </c>
      <c r="K22" s="2912">
        <f>'8. I Plan'!P65</f>
        <v>0</v>
      </c>
      <c r="L22" s="1671">
        <f>'8. I Plan'!Q65</f>
        <v>0</v>
      </c>
      <c r="M22" s="2917">
        <f>'8. I Plan'!R65</f>
        <v>0</v>
      </c>
      <c r="N22" s="2912">
        <f>'8. I Plan'!S65</f>
        <v>0</v>
      </c>
      <c r="O22" s="2905">
        <f t="shared" si="10"/>
        <v>0</v>
      </c>
      <c r="P22" s="2552"/>
    </row>
    <row r="23" spans="1:21" ht="21" customHeight="1">
      <c r="A23" s="2206"/>
      <c r="B23" s="2907" t="s">
        <v>509</v>
      </c>
      <c r="C23" s="2216">
        <f>'2. S Plan'!L256+'2. S Plan'!L258+'2. S Plan'!L261</f>
        <v>40000</v>
      </c>
      <c r="D23" s="4129">
        <f>'2. S Plan'!M256+'2. S Plan'!M258+'2. S Plan'!M261</f>
        <v>40900</v>
      </c>
      <c r="E23" s="2218">
        <f>'2. S Plan'!N256+'2. S Plan'!N258+'2. S Plan'!N261</f>
        <v>350000</v>
      </c>
      <c r="F23" s="2216">
        <f>'2. S Plan'!O256+'2. S Plan'!O258+'2. S Plan'!O261</f>
        <v>20000</v>
      </c>
      <c r="G23" s="2217">
        <f>'2. S Plan'!P256+'2. S Plan'!P258+'2. S Plan'!P261</f>
        <v>45359.999999999993</v>
      </c>
      <c r="H23" s="2218">
        <f>'2. S Plan'!Q256+'2. S Plan'!Q258+'2. S Plan'!Q261</f>
        <v>330000</v>
      </c>
      <c r="I23" s="4757">
        <f>'2. S Plan'!R256+'2. S Plan'!R258+'2. S Plan'!R261</f>
        <v>45000</v>
      </c>
      <c r="J23" s="2908">
        <f>'2. S Plan'!S256+'2. S Plan'!S258+'2. S Plan'!S261</f>
        <v>50000</v>
      </c>
      <c r="K23" s="2909">
        <f>'2. S Plan'!T256+'2. S Plan'!T258+'2. S Plan'!T261</f>
        <v>345000</v>
      </c>
      <c r="L23" s="2910">
        <f>'2. S Plan'!U256+'2. S Plan'!U258+'2. S Plan'!U261</f>
        <v>0</v>
      </c>
      <c r="M23" s="3483">
        <f>'2. S Plan'!V256+'2. S Plan'!V258+'2. S Plan'!V261</f>
        <v>50000</v>
      </c>
      <c r="N23" s="2909">
        <f>'2. S Plan'!W256+'2. S Plan'!W258+'2. S Plan'!W261</f>
        <v>472800</v>
      </c>
      <c r="O23" s="2935">
        <f t="shared" si="10"/>
        <v>1789060</v>
      </c>
      <c r="P23" s="2552"/>
    </row>
    <row r="24" spans="1:21" ht="21" hidden="1" customHeight="1">
      <c r="A24" s="1609"/>
      <c r="B24" s="3463" t="s">
        <v>1225</v>
      </c>
      <c r="C24" s="3571"/>
      <c r="D24" s="4130"/>
      <c r="E24" s="3485"/>
      <c r="F24" s="3571"/>
      <c r="G24" s="3484"/>
      <c r="H24" s="3485"/>
      <c r="I24" s="3487"/>
      <c r="J24" s="1604"/>
      <c r="K24" s="1605"/>
      <c r="L24" s="1603"/>
      <c r="M24" s="3488"/>
      <c r="N24" s="3488"/>
      <c r="O24" s="3464">
        <f t="shared" si="10"/>
        <v>0</v>
      </c>
      <c r="P24" s="2552"/>
    </row>
    <row r="25" spans="1:21" ht="21" customHeight="1" thickBot="1">
      <c r="A25" s="2920"/>
      <c r="B25" s="2921" t="s">
        <v>159</v>
      </c>
      <c r="C25" s="2922">
        <f t="shared" ref="C25:O25" si="12">SUM(C17:C24)</f>
        <v>6500004.5795733891</v>
      </c>
      <c r="D25" s="4131">
        <f t="shared" si="12"/>
        <v>6233083.3580093458</v>
      </c>
      <c r="E25" s="2923">
        <f t="shared" si="12"/>
        <v>6857492.8738065772</v>
      </c>
      <c r="F25" s="2922">
        <f t="shared" si="12"/>
        <v>6767307.55861782</v>
      </c>
      <c r="G25" s="4132">
        <f t="shared" si="12"/>
        <v>6627913.6877392335</v>
      </c>
      <c r="H25" s="2923">
        <f t="shared" si="12"/>
        <v>7398487.0171487704</v>
      </c>
      <c r="I25" s="2924">
        <f t="shared" si="12"/>
        <v>7007706.0823942944</v>
      </c>
      <c r="J25" s="2925">
        <f t="shared" si="12"/>
        <v>6413554.2132619536</v>
      </c>
      <c r="K25" s="2279">
        <f t="shared" si="12"/>
        <v>6988153.4112591241</v>
      </c>
      <c r="L25" s="2278">
        <f t="shared" si="12"/>
        <v>6109708.7287060451</v>
      </c>
      <c r="M25" s="2926">
        <f>SUM(M17:M24)</f>
        <v>6119278.5386715606</v>
      </c>
      <c r="N25" s="2927">
        <f t="shared" si="12"/>
        <v>6637216.0576609671</v>
      </c>
      <c r="O25" s="2928">
        <f t="shared" si="12"/>
        <v>79659906.106849074</v>
      </c>
      <c r="P25" s="2552"/>
    </row>
    <row r="26" spans="1:21" ht="21" customHeight="1">
      <c r="A26" s="1688" t="s">
        <v>160</v>
      </c>
      <c r="B26" s="4038" t="s">
        <v>1338</v>
      </c>
      <c r="C26" s="2240">
        <v>1154527.9377572299</v>
      </c>
      <c r="D26" s="4133">
        <v>910790.91030670295</v>
      </c>
      <c r="E26" s="4134">
        <f>'7. E Plan'!E9</f>
        <v>881247.30777556379</v>
      </c>
      <c r="F26" s="4135">
        <f>'7. E Plan'!F9</f>
        <v>781307.05615305214</v>
      </c>
      <c r="G26" s="4135">
        <f>'7. E Plan'!G9</f>
        <v>935807.37524065911</v>
      </c>
      <c r="H26" s="1778">
        <f>'7. E Plan'!H9</f>
        <v>899902.73971175333</v>
      </c>
      <c r="I26" s="1836">
        <f>'7. E Plan'!I9</f>
        <v>886741.8200573225</v>
      </c>
      <c r="J26" s="1777">
        <f>'7. E Plan'!J9</f>
        <v>903602.25102263223</v>
      </c>
      <c r="K26" s="1778">
        <f>'7. E Plan'!K9</f>
        <v>864111.41304447537</v>
      </c>
      <c r="L26" s="2211">
        <f>'7. E Plan'!L9</f>
        <v>828501.78110623162</v>
      </c>
      <c r="M26" s="2929">
        <f>'7. E Plan'!M9</f>
        <v>843775.87180946337</v>
      </c>
      <c r="N26" s="1778">
        <f>'7. E Plan'!N9</f>
        <v>833483.10087431129</v>
      </c>
      <c r="O26" s="2905">
        <f t="shared" ref="O26:O46" si="13">SUM(C26:N26)</f>
        <v>10723799.564859398</v>
      </c>
      <c r="P26" s="2552"/>
      <c r="Q26" s="3345"/>
      <c r="S26" s="3344"/>
      <c r="T26" s="3345"/>
    </row>
    <row r="27" spans="1:21" ht="21" customHeight="1">
      <c r="A27" s="15"/>
      <c r="B27" s="2901" t="s">
        <v>347</v>
      </c>
      <c r="C27" s="2240">
        <f>+'9. C Plan'!D8</f>
        <v>0</v>
      </c>
      <c r="D27" s="1777">
        <f>+'9. C Plan'!E8</f>
        <v>0</v>
      </c>
      <c r="E27" s="2218">
        <f>+'9. C Plan'!F8</f>
        <v>0</v>
      </c>
      <c r="F27" s="2211">
        <f>+'9. C Plan'!G8</f>
        <v>0</v>
      </c>
      <c r="G27" s="1777">
        <f>+'9. C Plan'!H8</f>
        <v>0</v>
      </c>
      <c r="H27" s="1778">
        <f>+'9. C Plan'!I8</f>
        <v>0</v>
      </c>
      <c r="I27" s="1836">
        <f>+'9. C Plan'!J8</f>
        <v>0</v>
      </c>
      <c r="J27" s="1777">
        <f>+'9. C Plan'!K8</f>
        <v>0</v>
      </c>
      <c r="K27" s="1778">
        <f>+'9. C Plan'!L8</f>
        <v>0</v>
      </c>
      <c r="L27" s="1836">
        <f>+'9. C Plan'!M8</f>
        <v>0</v>
      </c>
      <c r="M27" s="1777">
        <f>+'9. C Plan'!N8</f>
        <v>0</v>
      </c>
      <c r="N27" s="1778">
        <f>+'9. C Plan'!O8</f>
        <v>0</v>
      </c>
      <c r="O27" s="2905">
        <f t="shared" si="13"/>
        <v>0</v>
      </c>
      <c r="P27" s="2552"/>
      <c r="Q27" s="3345"/>
      <c r="S27" s="3344"/>
      <c r="T27" s="3345"/>
    </row>
    <row r="28" spans="1:21" ht="21" customHeight="1">
      <c r="A28" s="2930"/>
      <c r="B28" s="2931" t="s">
        <v>1339</v>
      </c>
      <c r="C28" s="2240">
        <v>57729.670346538405</v>
      </c>
      <c r="D28" s="1777">
        <v>61369.975352512149</v>
      </c>
      <c r="E28" s="1778">
        <f>'7. E Plan'!E53+'7. E Plan'!E12</f>
        <v>59029.932655455974</v>
      </c>
      <c r="F28" s="1777">
        <f>'7. E Plan'!F53+'7. E Plan'!F12</f>
        <v>55220.028107060374</v>
      </c>
      <c r="G28" s="1777">
        <f>'7. E Plan'!G53+'7. E Plan'!G12</f>
        <v>64369.825175034188</v>
      </c>
      <c r="H28" s="1778">
        <f>'7. E Plan'!H53+'7. E Plan'!H12</f>
        <v>61603.946133415724</v>
      </c>
      <c r="I28" s="1836">
        <f>'7. E Plan'!I53+'7. E Plan'!I12</f>
        <v>61033.45391443932</v>
      </c>
      <c r="J28" s="1777">
        <f>'7. E Plan'!J53+'7. E Plan'!J12</f>
        <v>63177.531974747006</v>
      </c>
      <c r="K28" s="1778">
        <f>'7. E Plan'!K53+'7. E Plan'!K12</f>
        <v>61494.941399321367</v>
      </c>
      <c r="L28" s="1836">
        <f>'7. E Plan'!L53+'7. E Plan'!L12</f>
        <v>59025.021287001378</v>
      </c>
      <c r="M28" s="1777">
        <f>'7. E Plan'!M53+'7. E Plan'!M12</f>
        <v>59039.964216885666</v>
      </c>
      <c r="N28" s="1778">
        <f>'7. E Plan'!N53+'7. E Plan'!N12</f>
        <v>58828.635072558791</v>
      </c>
      <c r="O28" s="2905">
        <f t="shared" si="13"/>
        <v>721922.92563497031</v>
      </c>
      <c r="P28" s="2552"/>
      <c r="Q28" s="3345"/>
      <c r="S28" s="3344"/>
      <c r="T28" s="3345"/>
    </row>
    <row r="29" spans="1:21" ht="21" customHeight="1">
      <c r="A29" s="2930"/>
      <c r="B29" s="2931" t="s">
        <v>1340</v>
      </c>
      <c r="C29" s="2240">
        <v>224620.7096529151</v>
      </c>
      <c r="D29" s="1777">
        <v>256986.7717886446</v>
      </c>
      <c r="E29" s="1778">
        <f>'7. E Plan'!E17+'7. E Plan'!E18</f>
        <v>247187.84299472187</v>
      </c>
      <c r="F29" s="1777">
        <f>'7. E Plan'!F17+'7. E Plan'!F18</f>
        <v>231233.8676983153</v>
      </c>
      <c r="G29" s="1777">
        <f>'7. E Plan'!G17+'7. E Plan'!G18</f>
        <v>269548.6429204556</v>
      </c>
      <c r="H29" s="1778">
        <f>'7. E Plan'!H17+'7. E Plan'!H18</f>
        <v>257966.52443367837</v>
      </c>
      <c r="I29" s="2211">
        <f>'7. E Plan'!I17+'7. E Plan'!I18</f>
        <v>255577.58826671465</v>
      </c>
      <c r="J29" s="1777">
        <f>'7. E Plan'!J17+'7. E Plan'!J18</f>
        <v>264555.91514425306</v>
      </c>
      <c r="K29" s="1778">
        <f>'7. E Plan'!K17+'7. E Plan'!K18</f>
        <v>257510.06710965821</v>
      </c>
      <c r="L29" s="1836">
        <f>'7. E Plan'!L17+'7. E Plan'!L18</f>
        <v>247167.27663931824</v>
      </c>
      <c r="M29" s="1777">
        <f>'7. E Plan'!M17+'7. E Plan'!M18</f>
        <v>247229.85015820875</v>
      </c>
      <c r="N29" s="1778">
        <f>'7. E Plan'!N17+'7. E Plan'!N18</f>
        <v>246344.90936633991</v>
      </c>
      <c r="O29" s="2905">
        <f t="shared" si="13"/>
        <v>3005929.9661732237</v>
      </c>
      <c r="P29" s="2552"/>
      <c r="Q29" s="3345"/>
      <c r="S29" s="3344"/>
      <c r="T29" s="3345"/>
    </row>
    <row r="30" spans="1:21" ht="21" customHeight="1">
      <c r="A30" s="2930"/>
      <c r="B30" s="2931" t="s">
        <v>1341</v>
      </c>
      <c r="C30" s="2240">
        <v>86680.353846153797</v>
      </c>
      <c r="D30" s="1777">
        <v>73725.910946737276</v>
      </c>
      <c r="E30" s="1778">
        <f>'7. E Plan'!E16</f>
        <v>65928.186773386362</v>
      </c>
      <c r="F30" s="1777">
        <f>'7. E Plan'!F16</f>
        <v>67264.232227931818</v>
      </c>
      <c r="G30" s="1777">
        <f>'7. E Plan'!G16</f>
        <v>27793.40045532092</v>
      </c>
      <c r="H30" s="1778">
        <f>'7. E Plan'!H16</f>
        <v>31540.38962979674</v>
      </c>
      <c r="I30" s="2211">
        <f>'7. E Plan'!I16</f>
        <v>32804.955112720731</v>
      </c>
      <c r="J30" s="1777">
        <f>'7. E Plan'!J16</f>
        <v>32524.652082417699</v>
      </c>
      <c r="K30" s="1778">
        <f>'7. E Plan'!K16</f>
        <v>33448.165639036517</v>
      </c>
      <c r="L30" s="2211">
        <f>'7. E Plan'!L16</f>
        <v>33167.862608733492</v>
      </c>
      <c r="M30" s="1777">
        <f>'7. E Plan'!M16</f>
        <v>32143.457843815366</v>
      </c>
      <c r="N30" s="1778">
        <f>'7. E Plan'!N16</f>
        <v>31863.154813512338</v>
      </c>
      <c r="O30" s="2905">
        <f t="shared" si="13"/>
        <v>548884.72197956301</v>
      </c>
      <c r="P30" s="2552"/>
      <c r="Q30" s="3345"/>
      <c r="S30" s="3344"/>
      <c r="T30" s="3345"/>
    </row>
    <row r="31" spans="1:21" ht="21" customHeight="1">
      <c r="A31" s="2930"/>
      <c r="B31" s="2931" t="s">
        <v>1342</v>
      </c>
      <c r="C31" s="2240">
        <v>102822.46215576927</v>
      </c>
      <c r="D31" s="1777">
        <v>110287.53767507241</v>
      </c>
      <c r="E31" s="1778">
        <f>'7. E Plan'!E13+'7. E Plan'!E47+'7. E Plan'!E52</f>
        <v>119861.76232209426</v>
      </c>
      <c r="F31" s="1777">
        <f>'7. E Plan'!F13+'7. E Plan'!F47+'7. E Plan'!F52</f>
        <v>112455.18437696274</v>
      </c>
      <c r="G31" s="1777">
        <f>'7. E Plan'!G13+'7. E Plan'!G47+'7. E Plan'!G52</f>
        <v>117622.6272520123</v>
      </c>
      <c r="H31" s="1778">
        <f>'7. E Plan'!H13+'7. E Plan'!H47+'7. E Plan'!H52</f>
        <v>111469.91524546039</v>
      </c>
      <c r="I31" s="2211">
        <f>'7. E Plan'!I13+'7. E Plan'!I47+'7. E Plan'!I52</f>
        <v>110909.53729710152</v>
      </c>
      <c r="J31" s="1777">
        <f>'7. E Plan'!J13+'7. E Plan'!J47+'7. E Plan'!J52</f>
        <v>110509.39531805</v>
      </c>
      <c r="K31" s="1778">
        <f>'7. E Plan'!K13+'7. E Plan'!K47+'7. E Plan'!K52</f>
        <v>110464.18456852919</v>
      </c>
      <c r="L31" s="2211">
        <f>'7. E Plan'!L13+'7. E Plan'!L47+'7. E Plan'!L52</f>
        <v>108808.62320144719</v>
      </c>
      <c r="M31" s="1777">
        <f>'7. E Plan'!M13+'7. E Plan'!M47+'7. E Plan'!M52</f>
        <v>108639.53688386051</v>
      </c>
      <c r="N31" s="1778">
        <f>'7. E Plan'!N13+'7. E Plan'!N47+'7. E Plan'!N52</f>
        <v>108044.90172744443</v>
      </c>
      <c r="O31" s="2905">
        <f t="shared" si="13"/>
        <v>1331895.6680238044</v>
      </c>
      <c r="P31" s="2552"/>
      <c r="Q31" s="3345"/>
      <c r="S31" s="3344"/>
      <c r="T31" s="3345"/>
      <c r="U31" s="3345"/>
    </row>
    <row r="32" spans="1:21" ht="21" customHeight="1">
      <c r="A32" s="2932"/>
      <c r="B32" s="2931" t="s">
        <v>337</v>
      </c>
      <c r="C32" s="4136">
        <f>'8. I Plan'!H66</f>
        <v>808730.23510802921</v>
      </c>
      <c r="D32" s="2217">
        <f>'8. I Plan'!I66</f>
        <v>571547.51782531198</v>
      </c>
      <c r="E32" s="2218">
        <f>'8. I Plan'!J66</f>
        <v>613984.59358288767</v>
      </c>
      <c r="F32" s="4137">
        <f>'8. I Plan'!K66</f>
        <v>744988.75158175163</v>
      </c>
      <c r="G32" s="2217">
        <f>'8. I Plan'!L66</f>
        <v>443049.62121212122</v>
      </c>
      <c r="H32" s="1778">
        <f>'8. I Plan'!M66</f>
        <v>762643.39393939392</v>
      </c>
      <c r="I32" s="2216">
        <f>'8. I Plan'!N66</f>
        <v>409184.16666666669</v>
      </c>
      <c r="J32" s="2217">
        <f>'8. I Plan'!O66</f>
        <v>539030.66666666663</v>
      </c>
      <c r="K32" s="2218">
        <f>'8. I Plan'!P66</f>
        <v>372666.66666666669</v>
      </c>
      <c r="L32" s="2216">
        <f>'8. I Plan'!Q66</f>
        <v>361666.66666666669</v>
      </c>
      <c r="M32" s="2217">
        <f>'8. I Plan'!R66</f>
        <v>166666.66666666669</v>
      </c>
      <c r="N32" s="2218">
        <f>'8. I Plan'!S66</f>
        <v>376666.66666666669</v>
      </c>
      <c r="O32" s="2905">
        <f t="shared" si="13"/>
        <v>6170825.6132494975</v>
      </c>
      <c r="P32" s="2552"/>
      <c r="Q32" s="3345"/>
      <c r="S32" s="3344"/>
      <c r="T32" s="3554"/>
      <c r="U32" s="3345"/>
    </row>
    <row r="33" spans="1:22" ht="21" customHeight="1">
      <c r="A33" s="2930"/>
      <c r="B33" s="2931" t="s">
        <v>510</v>
      </c>
      <c r="C33" s="4159">
        <f>'7. E Plan'!E10+'7. E Plan'!E44-'4. L PLAN'!F76</f>
        <v>636602.72210114799</v>
      </c>
      <c r="D33" s="2217">
        <f>'7. E Plan'!F10+'7. E Plan'!F44-'4. L PLAN'!G76+193486</f>
        <v>884993.96855477965</v>
      </c>
      <c r="E33" s="1778">
        <f>'7. E Plan'!G10+'7. E Plan'!G44-'4. L PLAN'!H76</f>
        <v>635803.16002473747</v>
      </c>
      <c r="F33" s="2216">
        <f>'7. E Plan'!H10+'7. E Plan'!H44-'4. L PLAN'!I76</f>
        <v>627933.94632696873</v>
      </c>
      <c r="G33" s="2217">
        <f>'7. E Plan'!I10+'7. E Plan'!I44-'4. L PLAN'!J76</f>
        <v>620607.72667396255</v>
      </c>
      <c r="H33" s="1778">
        <f>'7. E Plan'!J10+'7. E Plan'!J44-'4. L PLAN'!K76</f>
        <v>613879.26945954072</v>
      </c>
      <c r="I33" s="2933">
        <f>'7. E Plan'!K10+'7. E Plan'!K44-'4. L PLAN'!L76</f>
        <v>607686.15997145069</v>
      </c>
      <c r="J33" s="2217">
        <f>'7. E Plan'!L10+'7. E Plan'!L44-'4. L PLAN'!M76</f>
        <v>601972.50046146091</v>
      </c>
      <c r="K33" s="2218">
        <f>'7. E Plan'!M10+'7. E Plan'!M44-'4. L PLAN'!N76</f>
        <v>596688.22968367976</v>
      </c>
      <c r="L33" s="2216">
        <f>'7. E Plan'!N10+'7. E Plan'!N44-'4. L PLAN'!O76</f>
        <v>591844.24574455852</v>
      </c>
      <c r="M33" s="2217">
        <f>'7. E Plan'!O10+'7. E Plan'!O44-'4. L PLAN'!P76</f>
        <v>587394.57657464291</v>
      </c>
      <c r="N33" s="2934">
        <f>'7. E Plan'!P10+'7. E Plan'!P44-'4. L PLAN'!Q76</f>
        <v>583298.0502279083</v>
      </c>
      <c r="O33" s="2905">
        <f t="shared" si="13"/>
        <v>7588704.5558048384</v>
      </c>
      <c r="P33" s="2552"/>
      <c r="Q33" s="3345"/>
      <c r="S33" s="3344"/>
      <c r="T33" s="3554"/>
      <c r="V33" s="3345"/>
    </row>
    <row r="34" spans="1:22" ht="21" customHeight="1">
      <c r="A34" s="2932"/>
      <c r="B34" s="2931" t="s">
        <v>1343</v>
      </c>
      <c r="C34" s="2240">
        <f>'7. E Plan'!E20+'7. E Plan'!E22+'7. E Plan'!E23+'7. E Plan'!E24+'7. E Plan'!E54+'7. E Plan'!E62</f>
        <v>312927.20187387854</v>
      </c>
      <c r="D34" s="2217">
        <f>'7. E Plan'!F20+'7. E Plan'!F22+'7. E Plan'!F23+'7. E Plan'!F24+'7. E Plan'!F54+'7. E Plan'!F62</f>
        <v>182156.48033961206</v>
      </c>
      <c r="E34" s="2218">
        <f>'7. E Plan'!G20+'7. E Plan'!G22+'7. E Plan'!G23+'7. E Plan'!G24+'7. E Plan'!G54+'7. E Plan'!G62</f>
        <v>315665.01216665818</v>
      </c>
      <c r="F34" s="2216">
        <f>'7. E Plan'!H20+'7. E Plan'!H22+'7. E Plan'!H23+'7. E Plan'!H24+'7. E Plan'!H54+'7. E Plan'!H62</f>
        <v>304833.46418646415</v>
      </c>
      <c r="G34" s="2217">
        <f>'7. E Plan'!I20+'7. E Plan'!I22+'7. E Plan'!I23+'7. E Plan'!I24+'7. E Plan'!I54+'7. E Plan'!I62</f>
        <v>304523.5568826833</v>
      </c>
      <c r="H34" s="1778">
        <f>'7. E Plan'!J20+'7. E Plan'!J22+'7. E Plan'!J23+'7. E Plan'!J24+'7. E Plan'!J54+'7. E Plan'!J62</f>
        <v>357754.21388475422</v>
      </c>
      <c r="I34" s="2211">
        <f>'7. E Plan'!K20+'7. E Plan'!K22+'7. E Plan'!K23+'7. E Plan'!K24+'7. E Plan'!K54+'7. E Plan'!K62</f>
        <v>356869.64039418817</v>
      </c>
      <c r="J34" s="1777">
        <f>'7. E Plan'!L20+'7. E Plan'!L22+'7. E Plan'!L23+'7. E Plan'!L24+'7. E Plan'!L54+'7. E Plan'!L62</f>
        <v>355577.60512472375</v>
      </c>
      <c r="K34" s="1778">
        <f>'7. E Plan'!M20+'7. E Plan'!M22+'7. E Plan'!M23+'7. E Plan'!M24+'7. E Plan'!M54+'7. E Plan'!M62</f>
        <v>333961.52279963758</v>
      </c>
      <c r="L34" s="2211">
        <f>'7. E Plan'!N20+'7. E Plan'!N22+'7. E Plan'!N23+'7. E Plan'!N24+'7. E Plan'!N54+'7. E Plan'!N62</f>
        <v>312706.86234909145</v>
      </c>
      <c r="M34" s="1777">
        <f>'7. E Plan'!O20+'7. E Plan'!O22+'7. E Plan'!O23+'7. E Plan'!O24+'7. E Plan'!O54+'7. E Plan'!O62</f>
        <v>310552.00981740881</v>
      </c>
      <c r="N34" s="1778">
        <f>'7. E Plan'!P20+'7. E Plan'!P22+'7. E Plan'!P23+'7. E Plan'!P24+'7. E Plan'!P54+'7. E Plan'!P62</f>
        <v>308999.0901810443</v>
      </c>
      <c r="O34" s="2905">
        <f t="shared" si="13"/>
        <v>3756526.6600001445</v>
      </c>
      <c r="P34" s="2552"/>
      <c r="Q34" s="3345"/>
      <c r="S34" s="3344"/>
      <c r="T34" s="3345"/>
      <c r="V34" s="3345"/>
    </row>
    <row r="35" spans="1:22" ht="21" customHeight="1">
      <c r="A35" s="2932"/>
      <c r="B35" s="2931" t="s">
        <v>1344</v>
      </c>
      <c r="C35" s="2240">
        <f>'7. E Plan'!E50+'7. E Plan'!E51</f>
        <v>13825.400549019609</v>
      </c>
      <c r="D35" s="2217">
        <f>'7. E Plan'!F50+'7. E Plan'!F51</f>
        <v>13825.400549019609</v>
      </c>
      <c r="E35" s="2218">
        <f>'7. E Plan'!G50+'7. E Plan'!G51</f>
        <v>13825.400549019609</v>
      </c>
      <c r="F35" s="1777">
        <f>'7. E Plan'!H50+'7. E Plan'!H51</f>
        <v>13825.400549019609</v>
      </c>
      <c r="G35" s="1777">
        <f>'7. E Plan'!I50+'7. E Plan'!I51</f>
        <v>13825.400549019609</v>
      </c>
      <c r="H35" s="1777">
        <f>'7. E Plan'!J50+'7. E Plan'!J51</f>
        <v>9552.6458431372557</v>
      </c>
      <c r="I35" s="2211">
        <f>'7. E Plan'!K50+'7. E Plan'!K51+'9. C Plan'!P16</f>
        <v>387552.64584313723</v>
      </c>
      <c r="J35" s="1777">
        <f>'7. E Plan'!L50+'7. E Plan'!L51</f>
        <v>9552.6458431372557</v>
      </c>
      <c r="K35" s="1778">
        <f>'7. E Plan'!M50+'7. E Plan'!M51</f>
        <v>9552.6458431372557</v>
      </c>
      <c r="L35" s="2211">
        <f>'7. E Plan'!N50+'7. E Plan'!N51</f>
        <v>9552.6458431372557</v>
      </c>
      <c r="M35" s="1777">
        <f>'7. E Plan'!O50+'7. E Plan'!O51</f>
        <v>9552.6458431372557</v>
      </c>
      <c r="N35" s="1778">
        <f>'7. E Plan'!P50+'7. E Plan'!P51</f>
        <v>9552.6458431372557</v>
      </c>
      <c r="O35" s="2905">
        <f t="shared" si="13"/>
        <v>513995.5236470587</v>
      </c>
      <c r="P35" s="2552"/>
      <c r="Q35" s="3345"/>
      <c r="S35" s="3344"/>
      <c r="T35" s="3345"/>
      <c r="V35" s="3345"/>
    </row>
    <row r="36" spans="1:22" ht="21" customHeight="1">
      <c r="A36" s="2932"/>
      <c r="B36" s="2931" t="s">
        <v>1559</v>
      </c>
      <c r="C36" s="2240">
        <f>+'7. E Plan'!E11+'7. E Plan'!E45</f>
        <v>57819.403538701248</v>
      </c>
      <c r="D36" s="2217">
        <f>+'7. E Plan'!F11+'7. E Plan'!F45</f>
        <v>28420.471455235911</v>
      </c>
      <c r="E36" s="2218">
        <f>+'7. E Plan'!G11+'7. E Plan'!G45</f>
        <v>55729.46899141332</v>
      </c>
      <c r="F36" s="2216">
        <f>+'7. E Plan'!H11+'7. E Plan'!H45</f>
        <v>52639.466465310295</v>
      </c>
      <c r="G36" s="2217">
        <f>+'7. E Plan'!I11+'7. E Plan'!I45</f>
        <v>51758.219992823695</v>
      </c>
      <c r="H36" s="1778">
        <f>+'7. E Plan'!J11+'7. E Plan'!J45</f>
        <v>50948.876365916047</v>
      </c>
      <c r="I36" s="2211">
        <f>+'7. E Plan'!K11+'7. E Plan'!K45</f>
        <v>54220.242161684859</v>
      </c>
      <c r="J36" s="1777">
        <f>+'7. E Plan'!L11+'7. E Plan'!L45</f>
        <v>51497.316961219803</v>
      </c>
      <c r="K36" s="1778">
        <f>+'7. E Plan'!M11+'7. E Plan'!M45</f>
        <v>48881.023656280471</v>
      </c>
      <c r="L36" s="2211">
        <f>+'7. E Plan'!N11+'7. E Plan'!N45</f>
        <v>52162.225582003419</v>
      </c>
      <c r="M36" s="1777">
        <f>+'7. E Plan'!O11+'7. E Plan'!O45</f>
        <v>47763.12118996658</v>
      </c>
      <c r="N36" s="1778">
        <f>+'7. E Plan'!P11+'7. E Plan'!P45</f>
        <v>51051.99282764292</v>
      </c>
      <c r="O36" s="2905">
        <f t="shared" si="13"/>
        <v>602891.82918819867</v>
      </c>
      <c r="P36" s="2552"/>
      <c r="Q36" s="3345"/>
      <c r="S36" s="3344"/>
      <c r="T36" s="3345"/>
    </row>
    <row r="37" spans="1:22" ht="21" customHeight="1">
      <c r="A37" s="2932"/>
      <c r="B37" s="2931" t="s">
        <v>1240</v>
      </c>
      <c r="C37" s="4136">
        <v>56021.433520354454</v>
      </c>
      <c r="D37" s="2217">
        <v>56021.433520354454</v>
      </c>
      <c r="E37" s="2218">
        <v>56021.433520354454</v>
      </c>
      <c r="F37" s="2933">
        <v>56021.433520354454</v>
      </c>
      <c r="G37" s="2217">
        <v>56021.433520354454</v>
      </c>
      <c r="H37" s="1778">
        <v>56021.433520354454</v>
      </c>
      <c r="I37" s="2216">
        <v>56021.433520354454</v>
      </c>
      <c r="J37" s="2217">
        <v>56021.433520354454</v>
      </c>
      <c r="K37" s="2219">
        <v>56021.433520354454</v>
      </c>
      <c r="L37" s="2216">
        <v>56021.433520354454</v>
      </c>
      <c r="M37" s="2217">
        <v>56021.433520354454</v>
      </c>
      <c r="N37" s="2218">
        <v>56021.433520354454</v>
      </c>
      <c r="O37" s="2905">
        <f t="shared" si="13"/>
        <v>672257.20224425348</v>
      </c>
      <c r="P37" s="2552"/>
      <c r="Q37" s="3345"/>
      <c r="S37" s="3344"/>
      <c r="T37" s="3345"/>
    </row>
    <row r="38" spans="1:22" ht="21" customHeight="1">
      <c r="A38" s="2932"/>
      <c r="B38" s="2931" t="s">
        <v>1234</v>
      </c>
      <c r="C38" s="2217"/>
      <c r="D38" s="2217"/>
      <c r="E38" s="2218">
        <f>'10. IS'!B15+'10. IS'!C15+'10. IS'!D15</f>
        <v>69746.181418146283</v>
      </c>
      <c r="F38" s="2933"/>
      <c r="G38" s="2217"/>
      <c r="H38" s="1778">
        <f>'10. IS'!E15+'10. IS'!F15+'10. IS'!G15</f>
        <v>358464.80756700312</v>
      </c>
      <c r="I38" s="2216"/>
      <c r="J38" s="2217"/>
      <c r="K38" s="2217">
        <f>'10. IS'!H15+'10. IS'!I15+'10. IS'!J15</f>
        <v>453049.56589667371</v>
      </c>
      <c r="L38" s="2216"/>
      <c r="M38" s="2217"/>
      <c r="N38" s="2218">
        <f>'10. IS'!K15+'10. IS'!L15+'10. IS'!M15</f>
        <v>377170.32919621363</v>
      </c>
      <c r="O38" s="2905">
        <f t="shared" si="13"/>
        <v>1258430.8840780368</v>
      </c>
      <c r="P38" s="2552"/>
      <c r="Q38" s="3345"/>
      <c r="S38" s="3344"/>
      <c r="T38" s="3345"/>
    </row>
    <row r="39" spans="1:22" ht="21" customHeight="1">
      <c r="A39" s="2932"/>
      <c r="B39" s="2931" t="s">
        <v>1346</v>
      </c>
      <c r="C39" s="4136">
        <v>88442.401658262927</v>
      </c>
      <c r="D39" s="2217">
        <v>109107.96800098749</v>
      </c>
      <c r="E39" s="2218">
        <f>'7. E Plan'!E14+'7. E Plan'!E19+'7. E Plan'!E21+'7. E Plan'!E28+'7. E Plan'!E30+'7. E Plan'!E46+'7. E Plan'!E48+'7. E Plan'!E49+'7. E Plan'!E59+'7. E Plan'!E60+'7. E Plan'!E61+'7. E Plan'!E64+'7. E Plan'!E65+'7. E Plan'!E66</f>
        <v>99646.71045244977</v>
      </c>
      <c r="F39" s="2216">
        <f>'7. E Plan'!F14+'7. E Plan'!F19+'7. E Plan'!F21+'7. E Plan'!F28+'7. E Plan'!F30+'7. E Plan'!F46+'7. E Plan'!F48+'7. E Plan'!F49+'7. E Plan'!F59+'7. E Plan'!F60+'7. E Plan'!F61+'7. E Plan'!F64+'7. E Plan'!F65+'7. E Plan'!F66</f>
        <v>95421.526308279048</v>
      </c>
      <c r="G39" s="2217">
        <f>'7. E Plan'!G14+'7. E Plan'!G19+'7. E Plan'!G21+'7. E Plan'!G28+'7. E Plan'!G30+'7. E Plan'!G46+'7. E Plan'!G48+'7. E Plan'!G49+'7. E Plan'!G59+'7. E Plan'!G60+'7. E Plan'!G61+'7. E Plan'!G64+'7. E Plan'!G65+'7. E Plan'!G66</f>
        <v>115568.65125666201</v>
      </c>
      <c r="H39" s="1778">
        <f>'7. E Plan'!H14+'7. E Plan'!H19+'7. E Plan'!H21+'7. E Plan'!H28+'7. E Plan'!H30+'7. E Plan'!H46+'7. E Plan'!H48+'7. E Plan'!H49+'7. E Plan'!H59+'7. E Plan'!H60+'7. E Plan'!H61+'7. E Plan'!H64+'7. E Plan'!H65+'7. E Plan'!H66</f>
        <v>102501.29139950714</v>
      </c>
      <c r="I39" s="2216">
        <f>'7. E Plan'!I14+'7. E Plan'!I19+'7. E Plan'!I21+'7. E Plan'!I28+'7. E Plan'!I30+'7. E Plan'!I46+'7. E Plan'!I48+'7. E Plan'!I49+'7. E Plan'!I59+'7. E Plan'!I60+'7. E Plan'!I61+'7. E Plan'!I64+'7. E Plan'!I65+'7. E Plan'!I66</f>
        <v>101868.61552866231</v>
      </c>
      <c r="J39" s="2217">
        <f>'7. E Plan'!J14+'7. E Plan'!J19+'7. E Plan'!J21+'7. E Plan'!J28+'7. E Plan'!J30+'7. E Plan'!J46+'7. E Plan'!J48+'7. E Plan'!J49+'7. E Plan'!J59+'7. E Plan'!J60+'7. E Plan'!J61+'7. E Plan'!J64+'7. E Plan'!J65+'7. E Plan'!J66</f>
        <v>114246.39809754353</v>
      </c>
      <c r="K39" s="2219">
        <f>'7. E Plan'!K14+'7. E Plan'!K19+'7. E Plan'!K21+'7. E Plan'!K28+'7. E Plan'!K30+'7. E Plan'!K46+'7. E Plan'!K48+'7. E Plan'!K49+'7. E Plan'!K59+'7. E Plan'!K60+'7. E Plan'!K61+'7. E Plan'!K64+'7. E Plan'!K65+'7. E Plan'!K66</f>
        <v>102380.40514939649</v>
      </c>
      <c r="L39" s="2216">
        <f>'7. E Plan'!L14+'7. E Plan'!L19+'7. E Plan'!L21+'7. E Plan'!L28+'7. E Plan'!L30+'7. E Plan'!L46+'7. E Plan'!L48+'7. E Plan'!L49+'7. E Plan'!L59+'7. E Plan'!L60+'7. E Plan'!L61+'7. E Plan'!L64+'7. E Plan'!L65+'7. E Plan'!L66</f>
        <v>99641.263744833632</v>
      </c>
      <c r="M39" s="2217">
        <f>'7. E Plan'!M14+'7. E Plan'!M19+'7. E Plan'!M21+'7. E Plan'!M28+'7. E Plan'!M30+'7. E Plan'!M46+'7. E Plan'!M48+'7. E Plan'!M49+'7. E Plan'!M59+'7. E Plan'!M60+'7. E Plan'!M61+'7. E Plan'!M64+'7. E Plan'!M65+'7. E Plan'!M66</f>
        <v>109657.83545407531</v>
      </c>
      <c r="N39" s="2218">
        <f>'7. E Plan'!N14+'7. E Plan'!N19+'7. E Plan'!N21+'7. E Plan'!N28+'7. E Plan'!N30+'7. E Plan'!N46+'7. E Plan'!N48+'7. E Plan'!N49+'7. E Plan'!N59+'7. E Plan'!N60+'7. E Plan'!N61+'7. E Plan'!N64+'7. E Plan'!N65+'7. E Plan'!N66</f>
        <v>99423.471433016806</v>
      </c>
      <c r="O39" s="2905">
        <f t="shared" si="13"/>
        <v>1237906.5384836763</v>
      </c>
      <c r="P39" s="2552"/>
      <c r="Q39" s="3345"/>
      <c r="S39" s="3344"/>
      <c r="T39" s="3345"/>
    </row>
    <row r="40" spans="1:22" ht="21" customHeight="1">
      <c r="A40" s="2932"/>
      <c r="B40" s="2931" t="s">
        <v>156</v>
      </c>
      <c r="C40" s="4136">
        <f t="shared" ref="C40:N40" si="14">SUM(C26:C31)+SUM(C33:C39)</f>
        <v>2792019.6969999708</v>
      </c>
      <c r="D40" s="2217">
        <f t="shared" si="14"/>
        <v>2687686.8284896589</v>
      </c>
      <c r="E40" s="2218">
        <f t="shared" si="14"/>
        <v>2619692.3996440014</v>
      </c>
      <c r="F40" s="2216">
        <f t="shared" si="14"/>
        <v>2398155.6059197187</v>
      </c>
      <c r="G40" s="2217">
        <f t="shared" si="14"/>
        <v>2577446.8599189874</v>
      </c>
      <c r="H40" s="2218">
        <f t="shared" si="14"/>
        <v>2911606.0531943175</v>
      </c>
      <c r="I40" s="2216">
        <f t="shared" si="14"/>
        <v>2911286.0920677767</v>
      </c>
      <c r="J40" s="2217">
        <f t="shared" si="14"/>
        <v>2563237.6455505397</v>
      </c>
      <c r="K40" s="2219">
        <f t="shared" si="14"/>
        <v>2927563.5983101805</v>
      </c>
      <c r="L40" s="2216">
        <f t="shared" si="14"/>
        <v>2398599.2416267106</v>
      </c>
      <c r="M40" s="2217">
        <f t="shared" si="14"/>
        <v>2411770.3033118192</v>
      </c>
      <c r="N40" s="2218">
        <f t="shared" si="14"/>
        <v>2764081.7150834845</v>
      </c>
      <c r="O40" s="2905">
        <f>SUM(C40:N40)</f>
        <v>31963146.040117163</v>
      </c>
      <c r="P40" s="2552"/>
      <c r="Q40" s="3345"/>
      <c r="S40" s="3344"/>
      <c r="T40" s="3345"/>
    </row>
    <row r="41" spans="1:22" ht="21" customHeight="1">
      <c r="A41" s="2932"/>
      <c r="B41" s="2931" t="s">
        <v>1347</v>
      </c>
      <c r="C41" s="4136">
        <f>'12. FA Loan'!L25</f>
        <v>74677.719605769234</v>
      </c>
      <c r="D41" s="4138">
        <f>'12. FA Loan'!M25</f>
        <v>74677.719605769234</v>
      </c>
      <c r="E41" s="4138">
        <f>'12. FA Loan'!N25</f>
        <v>74677.719605769234</v>
      </c>
      <c r="F41" s="2216">
        <f>'12. FA Loan'!O25</f>
        <v>74677.719605769234</v>
      </c>
      <c r="G41" s="4128">
        <f>'12. FA Loan'!P25</f>
        <v>74677.719605769234</v>
      </c>
      <c r="H41" s="2218">
        <f>'12. FA Loan'!Q25+'12. FA Loan'!K14+'12. FA Loan'!K15+'12. FA Loan'!K16+'12. FA Loan'!K17+'12. FA Loan'!K18+'12. FA Loan'!K19</f>
        <v>645846.4699515386</v>
      </c>
      <c r="I41" s="2216">
        <f>'12. FA Loan'!R25</f>
        <v>49718.15210576923</v>
      </c>
      <c r="J41" s="2217">
        <f>'12. FA Loan'!S25</f>
        <v>49718.15210576923</v>
      </c>
      <c r="K41" s="2219">
        <f>'12. FA Loan'!T25</f>
        <v>49718.15210576923</v>
      </c>
      <c r="L41" s="2216">
        <f>'12. FA Loan'!U25</f>
        <v>49718.15210576923</v>
      </c>
      <c r="M41" s="2217">
        <f>'12. FA Loan'!V25</f>
        <v>49718.15210576923</v>
      </c>
      <c r="N41" s="2218">
        <f>'12. FA Loan'!W25</f>
        <v>49718.15210576923</v>
      </c>
      <c r="O41" s="2905">
        <f t="shared" si="13"/>
        <v>1317543.9806149998</v>
      </c>
      <c r="P41" s="2552"/>
      <c r="Q41" s="3345"/>
      <c r="S41" s="3344"/>
      <c r="T41" s="3345"/>
    </row>
    <row r="42" spans="1:22" ht="21" customHeight="1">
      <c r="A42" s="2932"/>
      <c r="B42" s="2931" t="s">
        <v>1348</v>
      </c>
      <c r="C42" s="4136">
        <f>'7. E Plan'!E75</f>
        <v>62839.858461630472</v>
      </c>
      <c r="D42" s="4138">
        <f>'7. E Plan'!F75</f>
        <v>62314.943599843114</v>
      </c>
      <c r="E42" s="4138">
        <f>'7. E Plan'!G75</f>
        <v>61790.028738055757</v>
      </c>
      <c r="F42" s="2216">
        <f>'7. E Plan'!H75</f>
        <v>61265.113876268399</v>
      </c>
      <c r="G42" s="2217">
        <f>'7. E Plan'!I75</f>
        <v>60740.199014481041</v>
      </c>
      <c r="H42" s="2218">
        <f>'7. E Plan'!J75</f>
        <v>60215.28415269369</v>
      </c>
      <c r="I42" s="2216">
        <f>'7. E Plan'!K75</f>
        <v>55484.429547399443</v>
      </c>
      <c r="J42" s="2217">
        <f>'7. E Plan'!L75</f>
        <v>55137.370680898923</v>
      </c>
      <c r="K42" s="2219">
        <f>'7. E Plan'!M75</f>
        <v>54790.311814398388</v>
      </c>
      <c r="L42" s="2216">
        <f>'7. E Plan'!N75</f>
        <v>54443.252947897869</v>
      </c>
      <c r="M42" s="2217">
        <f>'7. E Plan'!O75</f>
        <v>54195.624481977022</v>
      </c>
      <c r="N42" s="2218">
        <f>'7. E Plan'!P75</f>
        <v>53842.929173465433</v>
      </c>
      <c r="O42" s="2935">
        <f t="shared" si="13"/>
        <v>697059.34648900956</v>
      </c>
      <c r="P42" s="2552"/>
      <c r="Q42" s="3345"/>
      <c r="S42" s="3344"/>
      <c r="T42" s="3345"/>
    </row>
    <row r="43" spans="1:22" ht="21" customHeight="1">
      <c r="A43" s="2932"/>
      <c r="B43" s="2907" t="s">
        <v>1150</v>
      </c>
      <c r="C43" s="2241">
        <v>300000</v>
      </c>
      <c r="D43" s="1770">
        <v>300000</v>
      </c>
      <c r="E43" s="1771">
        <v>300000</v>
      </c>
      <c r="F43" s="2208">
        <v>300000</v>
      </c>
      <c r="G43" s="1770">
        <v>200000</v>
      </c>
      <c r="H43" s="1771">
        <v>200000</v>
      </c>
      <c r="I43" s="2918"/>
      <c r="J43" s="2936"/>
      <c r="K43" s="2937"/>
      <c r="L43" s="2918"/>
      <c r="M43" s="2936"/>
      <c r="N43" s="2919"/>
      <c r="O43" s="2935">
        <f t="shared" si="13"/>
        <v>1600000</v>
      </c>
      <c r="P43" s="2552"/>
      <c r="Q43" s="3345"/>
      <c r="S43" s="3344"/>
      <c r="T43" s="3345"/>
      <c r="U43" s="3345"/>
    </row>
    <row r="44" spans="1:22" ht="21" customHeight="1">
      <c r="A44" s="2932"/>
      <c r="B44" s="4954" t="s">
        <v>1560</v>
      </c>
      <c r="C44" s="2241"/>
      <c r="D44" s="1770"/>
      <c r="E44" s="2241">
        <v>26000</v>
      </c>
      <c r="F44" s="2208">
        <v>13000</v>
      </c>
      <c r="G44" s="1770">
        <v>4000</v>
      </c>
      <c r="H44" s="1771">
        <v>2000</v>
      </c>
      <c r="I44" s="1769"/>
      <c r="J44" s="1770">
        <v>26000</v>
      </c>
      <c r="K44" s="4955"/>
      <c r="L44" s="4956">
        <v>15000</v>
      </c>
      <c r="M44" s="1770">
        <v>50000</v>
      </c>
      <c r="N44" s="2241">
        <v>109000</v>
      </c>
      <c r="O44" s="2935">
        <f t="shared" si="13"/>
        <v>245000</v>
      </c>
      <c r="P44" s="2552"/>
      <c r="Q44" s="3345"/>
      <c r="S44" s="3344"/>
      <c r="T44" s="3345"/>
      <c r="U44" s="3345"/>
    </row>
    <row r="45" spans="1:22" ht="21" customHeight="1">
      <c r="A45" s="2932"/>
      <c r="B45" s="2938" t="s">
        <v>238</v>
      </c>
      <c r="C45" s="4181">
        <v>500000</v>
      </c>
      <c r="D45" s="1770"/>
      <c r="E45" s="1770"/>
      <c r="F45" s="2208"/>
      <c r="G45" s="1770"/>
      <c r="H45" s="1771"/>
      <c r="I45" s="2241"/>
      <c r="J45" s="1770"/>
      <c r="K45" s="4182"/>
      <c r="L45" s="1770"/>
      <c r="M45" s="4183"/>
      <c r="N45" s="4183">
        <v>1000000</v>
      </c>
      <c r="O45" s="2935">
        <f t="shared" si="13"/>
        <v>1500000</v>
      </c>
      <c r="P45" s="2552"/>
      <c r="Q45" s="3345"/>
      <c r="S45" s="3344"/>
      <c r="T45" s="3345"/>
      <c r="U45" s="3345"/>
    </row>
    <row r="46" spans="1:22" ht="21" customHeight="1">
      <c r="A46" s="2932"/>
      <c r="B46" s="4162" t="s">
        <v>1349</v>
      </c>
      <c r="C46" s="1782">
        <v>100000</v>
      </c>
      <c r="D46" s="3573">
        <v>100000</v>
      </c>
      <c r="E46" s="3573">
        <v>100000</v>
      </c>
      <c r="F46" s="2594">
        <v>100000</v>
      </c>
      <c r="G46" s="3577">
        <v>100000</v>
      </c>
      <c r="H46" s="1784">
        <v>100000</v>
      </c>
      <c r="I46" s="1782">
        <v>100000</v>
      </c>
      <c r="J46" s="3577">
        <v>100000</v>
      </c>
      <c r="K46" s="4185">
        <v>100000</v>
      </c>
      <c r="L46" s="3574">
        <v>100000</v>
      </c>
      <c r="M46" s="4186">
        <v>100000</v>
      </c>
      <c r="N46" s="4187">
        <v>100000</v>
      </c>
      <c r="O46" s="4184">
        <f t="shared" si="13"/>
        <v>1200000</v>
      </c>
      <c r="P46" s="2552"/>
      <c r="Q46" s="3345"/>
      <c r="S46" s="3344"/>
      <c r="T46" s="3345"/>
      <c r="U46" s="3345"/>
    </row>
    <row r="47" spans="1:22" ht="21" customHeight="1" thickBot="1">
      <c r="A47" s="2930"/>
      <c r="B47" s="2921" t="s">
        <v>159</v>
      </c>
      <c r="C47" s="2924">
        <f>SUM(C26:C46)</f>
        <v>7430287.2071753703</v>
      </c>
      <c r="D47" s="4132">
        <f t="shared" ref="D47:N47" si="15">SUM(D26:D46)</f>
        <v>6483913.8380102422</v>
      </c>
      <c r="E47" s="2923">
        <f t="shared" si="15"/>
        <v>6415837.1412147144</v>
      </c>
      <c r="F47" s="2922">
        <f t="shared" si="15"/>
        <v>6090242.7969032256</v>
      </c>
      <c r="G47" s="4132">
        <f t="shared" si="15"/>
        <v>6037361.259670346</v>
      </c>
      <c r="H47" s="2923">
        <f t="shared" si="15"/>
        <v>7593917.254432261</v>
      </c>
      <c r="I47" s="2922">
        <f t="shared" si="15"/>
        <v>6436958.932455387</v>
      </c>
      <c r="J47" s="2925">
        <f t="shared" si="15"/>
        <v>5896361.480554414</v>
      </c>
      <c r="K47" s="2927">
        <f t="shared" si="15"/>
        <v>6432302.3272071946</v>
      </c>
      <c r="L47" s="2939">
        <f t="shared" si="15"/>
        <v>5378026.554973755</v>
      </c>
      <c r="M47" s="2925">
        <f t="shared" si="15"/>
        <v>5244121.0498780506</v>
      </c>
      <c r="N47" s="2925">
        <f t="shared" si="15"/>
        <v>7217391.1781128701</v>
      </c>
      <c r="O47" s="2928">
        <f>SUM(O26:O46)</f>
        <v>76656721.020587832</v>
      </c>
      <c r="P47" s="3394"/>
      <c r="Q47" s="3345"/>
      <c r="S47" s="3344"/>
      <c r="T47" s="3345"/>
    </row>
    <row r="48" spans="1:22" ht="22.5" customHeight="1" thickBot="1">
      <c r="A48" s="2940" t="s">
        <v>1365</v>
      </c>
      <c r="B48" s="2941"/>
      <c r="C48" s="4139">
        <f>C25-C47</f>
        <v>-930282.62760198116</v>
      </c>
      <c r="D48" s="3583">
        <f t="shared" ref="D48:O48" si="16">D25-D47</f>
        <v>-250830.48000089638</v>
      </c>
      <c r="E48" s="2942">
        <f t="shared" si="16"/>
        <v>441655.73259186279</v>
      </c>
      <c r="F48" s="4139">
        <f t="shared" si="16"/>
        <v>677064.76171459444</v>
      </c>
      <c r="G48" s="3583">
        <f t="shared" si="16"/>
        <v>590552.42806888744</v>
      </c>
      <c r="H48" s="2942">
        <f t="shared" si="16"/>
        <v>-195430.2372834906</v>
      </c>
      <c r="I48" s="4160">
        <f t="shared" si="16"/>
        <v>570747.14993890747</v>
      </c>
      <c r="J48" s="1701">
        <f t="shared" si="16"/>
        <v>517192.73270753957</v>
      </c>
      <c r="K48" s="1702">
        <f t="shared" si="16"/>
        <v>555851.08405192941</v>
      </c>
      <c r="L48" s="2196">
        <f t="shared" si="16"/>
        <v>731682.17373229004</v>
      </c>
      <c r="M48" s="1701">
        <f t="shared" si="16"/>
        <v>875157.48879351001</v>
      </c>
      <c r="N48" s="1702">
        <f t="shared" si="16"/>
        <v>-580175.12045190297</v>
      </c>
      <c r="O48" s="4820">
        <f t="shared" si="16"/>
        <v>3003185.0862612426</v>
      </c>
      <c r="P48" s="2552"/>
      <c r="S48" s="3344"/>
      <c r="T48" s="3345"/>
    </row>
    <row r="49" spans="1:20" ht="21" customHeight="1" thickBot="1">
      <c r="A49" s="5151" t="s">
        <v>1366</v>
      </c>
      <c r="B49" s="5253"/>
      <c r="C49" s="1850">
        <f>+C16+C48</f>
        <v>2033775.6654945468</v>
      </c>
      <c r="D49" s="1851">
        <f t="shared" ref="D49:N49" si="17">D48+D16</f>
        <v>1782945.1854936504</v>
      </c>
      <c r="E49" s="1800">
        <f t="shared" si="17"/>
        <v>2224600.9180855132</v>
      </c>
      <c r="F49" s="1850">
        <f t="shared" si="17"/>
        <v>2901665.6798001076</v>
      </c>
      <c r="G49" s="1799">
        <f t="shared" si="17"/>
        <v>3492218.1078689951</v>
      </c>
      <c r="H49" s="1800">
        <f t="shared" si="17"/>
        <v>3296787.8705855045</v>
      </c>
      <c r="I49" s="2411">
        <f t="shared" si="17"/>
        <v>3867535.0205244119</v>
      </c>
      <c r="J49" s="1618">
        <f t="shared" si="17"/>
        <v>4384727.753231952</v>
      </c>
      <c r="K49" s="1619">
        <f t="shared" si="17"/>
        <v>4940578.8372838814</v>
      </c>
      <c r="L49" s="1617">
        <f t="shared" si="17"/>
        <v>5672261.0110161714</v>
      </c>
      <c r="M49" s="1618">
        <f t="shared" si="17"/>
        <v>6547418.4998096814</v>
      </c>
      <c r="N49" s="1619">
        <f t="shared" si="17"/>
        <v>5967243.3793577785</v>
      </c>
      <c r="O49" s="4821">
        <f>+O16+O48</f>
        <v>5967243.3793577701</v>
      </c>
      <c r="P49" s="2552"/>
      <c r="T49" s="3345"/>
    </row>
    <row r="50" spans="1:20" ht="21" customHeight="1" thickBot="1">
      <c r="A50" s="5151" t="s">
        <v>1367</v>
      </c>
      <c r="B50" s="5253"/>
      <c r="C50" s="1850">
        <f>C46</f>
        <v>100000</v>
      </c>
      <c r="D50" s="1851">
        <f>C50+D46</f>
        <v>200000</v>
      </c>
      <c r="E50" s="1800">
        <f t="shared" ref="E50:N50" si="18">D50+E46</f>
        <v>300000</v>
      </c>
      <c r="F50" s="1850">
        <f t="shared" si="18"/>
        <v>400000</v>
      </c>
      <c r="G50" s="1799">
        <f t="shared" si="18"/>
        <v>500000</v>
      </c>
      <c r="H50" s="1800">
        <f t="shared" si="18"/>
        <v>600000</v>
      </c>
      <c r="I50" s="2411">
        <f t="shared" si="18"/>
        <v>700000</v>
      </c>
      <c r="J50" s="1618">
        <f t="shared" si="18"/>
        <v>800000</v>
      </c>
      <c r="K50" s="1619">
        <f t="shared" si="18"/>
        <v>900000</v>
      </c>
      <c r="L50" s="1617">
        <f t="shared" si="18"/>
        <v>1000000</v>
      </c>
      <c r="M50" s="1618">
        <f t="shared" si="18"/>
        <v>1100000</v>
      </c>
      <c r="N50" s="1619">
        <f t="shared" si="18"/>
        <v>1200000</v>
      </c>
      <c r="O50" s="4821">
        <f>N50</f>
        <v>1200000</v>
      </c>
      <c r="P50" s="2552"/>
      <c r="T50" s="3345"/>
    </row>
    <row r="51" spans="1:20" ht="21" customHeight="1" thickBot="1">
      <c r="A51" s="5151" t="s">
        <v>1368</v>
      </c>
      <c r="B51" s="5253"/>
      <c r="C51" s="1850">
        <f>C50+C49</f>
        <v>2133775.6654945468</v>
      </c>
      <c r="D51" s="1851">
        <f>D50+D49</f>
        <v>1982945.1854936504</v>
      </c>
      <c r="E51" s="1800">
        <f t="shared" ref="E51:N51" si="19">E50+E49</f>
        <v>2524600.9180855132</v>
      </c>
      <c r="F51" s="1850">
        <f t="shared" si="19"/>
        <v>3301665.6798001076</v>
      </c>
      <c r="G51" s="1799">
        <f t="shared" si="19"/>
        <v>3992218.1078689951</v>
      </c>
      <c r="H51" s="1800">
        <f t="shared" si="19"/>
        <v>3896787.8705855045</v>
      </c>
      <c r="I51" s="2411">
        <f t="shared" si="19"/>
        <v>4567535.0205244124</v>
      </c>
      <c r="J51" s="1618">
        <f t="shared" si="19"/>
        <v>5184727.753231952</v>
      </c>
      <c r="K51" s="1619">
        <f t="shared" si="19"/>
        <v>5840578.8372838814</v>
      </c>
      <c r="L51" s="1617">
        <f t="shared" si="19"/>
        <v>6672261.0110161714</v>
      </c>
      <c r="M51" s="1618">
        <f t="shared" si="19"/>
        <v>7647418.4998096814</v>
      </c>
      <c r="N51" s="1619">
        <f t="shared" si="19"/>
        <v>7167243.3793577785</v>
      </c>
      <c r="O51" s="4821">
        <f>O49+O50</f>
        <v>7167243.3793577701</v>
      </c>
      <c r="P51" s="2552"/>
      <c r="T51" s="3345"/>
    </row>
    <row r="52" spans="1:20" s="3552" customFormat="1" ht="16.350000000000001" customHeight="1">
      <c r="A52" s="3520"/>
      <c r="B52" s="3550"/>
      <c r="L52" s="1871"/>
      <c r="M52" s="1871"/>
      <c r="N52" s="1871"/>
      <c r="O52" s="1871"/>
      <c r="P52" s="3551"/>
    </row>
    <row r="53" spans="1:20" s="3552" customFormat="1" ht="16.350000000000001" customHeight="1" thickBot="1">
      <c r="A53" s="3553" t="s">
        <v>1205</v>
      </c>
      <c r="B53" s="3550"/>
      <c r="C53" s="4140"/>
      <c r="D53" s="4140"/>
      <c r="E53" s="4141"/>
      <c r="F53" s="4142"/>
      <c r="G53" s="4142"/>
      <c r="H53" s="4142"/>
      <c r="I53" s="4140"/>
      <c r="J53" s="3549"/>
      <c r="K53" s="3549"/>
      <c r="L53" s="1871"/>
      <c r="M53" s="1871"/>
      <c r="N53" s="1871"/>
      <c r="O53" s="1871"/>
      <c r="P53" s="3551"/>
    </row>
    <row r="54" spans="1:20" ht="20.100000000000001" customHeight="1" thickBot="1">
      <c r="A54" s="5511" t="s">
        <v>809</v>
      </c>
      <c r="B54" s="5512"/>
      <c r="C54" s="4143" t="s">
        <v>947</v>
      </c>
      <c r="D54" s="4144" t="s">
        <v>1154</v>
      </c>
      <c r="E54" s="4212" t="s">
        <v>570</v>
      </c>
      <c r="F54" s="4143" t="s">
        <v>515</v>
      </c>
      <c r="G54" s="4144" t="s">
        <v>516</v>
      </c>
      <c r="H54" s="4222" t="s">
        <v>571</v>
      </c>
      <c r="I54" s="4217" t="s">
        <v>623</v>
      </c>
      <c r="J54" s="3388" t="s">
        <v>517</v>
      </c>
      <c r="K54" s="3389" t="s">
        <v>518</v>
      </c>
      <c r="L54" s="4232" t="s">
        <v>414</v>
      </c>
      <c r="M54" s="3388" t="s">
        <v>415</v>
      </c>
      <c r="N54" s="4222" t="s">
        <v>416</v>
      </c>
      <c r="O54" s="3382" t="s">
        <v>31</v>
      </c>
    </row>
    <row r="55" spans="1:20" ht="20.100000000000001" customHeight="1">
      <c r="A55" s="5513" t="s">
        <v>1155</v>
      </c>
      <c r="B55" s="5514"/>
      <c r="C55" s="4145">
        <f t="shared" ref="C55:N55" si="20">C17+C18+C20+C23</f>
        <v>3707984.8825734188</v>
      </c>
      <c r="D55" s="4146">
        <f t="shared" si="20"/>
        <v>3545396.5295196869</v>
      </c>
      <c r="E55" s="4213">
        <f t="shared" si="20"/>
        <v>4237800.4741625758</v>
      </c>
      <c r="F55" s="4223">
        <f t="shared" si="20"/>
        <v>4369151.9526981013</v>
      </c>
      <c r="G55" s="4146">
        <f t="shared" si="20"/>
        <v>4050466.8278202461</v>
      </c>
      <c r="H55" s="4224">
        <f t="shared" si="20"/>
        <v>4486880.9639544534</v>
      </c>
      <c r="I55" s="4218">
        <f t="shared" si="20"/>
        <v>4096419.9903265173</v>
      </c>
      <c r="J55" s="3385">
        <f t="shared" si="20"/>
        <v>3850316.5677114138</v>
      </c>
      <c r="K55" s="3386">
        <f t="shared" si="20"/>
        <v>4060589.812948944</v>
      </c>
      <c r="L55" s="4233">
        <f t="shared" si="20"/>
        <v>3711109.4870793344</v>
      </c>
      <c r="M55" s="3385">
        <f t="shared" si="20"/>
        <v>3707508.2353597409</v>
      </c>
      <c r="N55" s="4224">
        <f t="shared" si="20"/>
        <v>3873134.342577483</v>
      </c>
      <c r="O55" s="3387"/>
    </row>
    <row r="56" spans="1:20" ht="20.100000000000001" customHeight="1">
      <c r="A56" s="5515" t="s">
        <v>1156</v>
      </c>
      <c r="B56" s="5516"/>
      <c r="C56" s="4147">
        <f>C26+C28+C29+C30+C31+C43+C35+C36+C39</f>
        <v>2086468.3395045903</v>
      </c>
      <c r="D56" s="4148">
        <f t="shared" ref="D56:N56" si="21">D26+D28+D29+D30+D31+D43+D35+D36+D39</f>
        <v>1864514.9460749126</v>
      </c>
      <c r="E56" s="4214">
        <f t="shared" si="21"/>
        <v>1842456.6125141049</v>
      </c>
      <c r="F56" s="4225">
        <f t="shared" si="21"/>
        <v>1709366.761885931</v>
      </c>
      <c r="G56" s="4226">
        <f t="shared" si="21"/>
        <v>1796294.1428419875</v>
      </c>
      <c r="H56" s="4227">
        <f t="shared" si="21"/>
        <v>1725486.3287626649</v>
      </c>
      <c r="I56" s="4219">
        <f t="shared" si="21"/>
        <v>1890708.8581817832</v>
      </c>
      <c r="J56" s="3339">
        <f t="shared" si="21"/>
        <v>1549666.1064440003</v>
      </c>
      <c r="K56" s="3381">
        <f t="shared" si="21"/>
        <v>1487842.8464098349</v>
      </c>
      <c r="L56" s="4234">
        <f t="shared" si="21"/>
        <v>1438026.7000127065</v>
      </c>
      <c r="M56" s="4164">
        <f t="shared" si="21"/>
        <v>1457802.2833994129</v>
      </c>
      <c r="N56" s="4227">
        <f t="shared" si="21"/>
        <v>1438592.8119579635</v>
      </c>
      <c r="O56" s="3383"/>
    </row>
    <row r="57" spans="1:20" ht="20.100000000000001" customHeight="1">
      <c r="A57" s="5515" t="s">
        <v>1157</v>
      </c>
      <c r="B57" s="5516"/>
      <c r="C57" s="4149">
        <f>'7. E Plan'!E9+'7. E Plan'!E11+'7. E Plan'!E12+'7. E Plan'!E13+'7. E Plan'!E14+'7. E Plan'!E15+'7. E Plan'!E16+'7. E Plan'!E17+'7. E Plan'!E18+'7. E Plan'!E19+'7. E Plan'!E20+'7. E Plan'!E21+'7. E Plan'!E45+'7. E Plan'!E46+'7. E Plan'!E47+'7. E Plan'!E48+'7. E Plan'!E49+'7. E Plan'!E50+'7. E Plan'!E51+'7. E Plan'!E52+'7. E Plan'!E53+'7. E Plan'!E56+'7. E Plan'!E59+'7. E Plan'!E60+'7. E Plan'!E61+'7. E Plan'!E62+'7. E Plan'!E63+'7. E Plan'!E64+'7. E Plan'!E65+'7. E Plan'!E66</f>
        <v>1577775.2036037897</v>
      </c>
      <c r="D57" s="4150">
        <f>'7. E Plan'!F9+'7. E Plan'!F11+'7. E Plan'!F12+'7. E Plan'!F13+'7. E Plan'!F14+'7. E Plan'!F15+'7. E Plan'!F16+'7. E Plan'!F17+'7. E Plan'!F18+'7. E Plan'!F19+'7. E Plan'!F20+'7. E Plan'!F21+'7. E Plan'!F45+'7. E Plan'!F46+'7. E Plan'!F47+'7. E Plan'!F48+'7. E Plan'!F49+'7. E Plan'!F50+'7. E Plan'!F51+'7. E Plan'!F52+'7. E Plan'!F53+'7. E Plan'!F56+'7. E Plan'!F59+'7. E Plan'!F60+'7. E Plan'!F61+'7. E Plan'!F62+'7. E Plan'!F63+'7. E Plan'!F64+'7. E Plan'!F65+'7. E Plan'!F66</f>
        <v>1418361.4767494337</v>
      </c>
      <c r="E57" s="4215">
        <f>'7. E Plan'!G9+'7. E Plan'!G11+'7. E Plan'!G12+'7. E Plan'!G13+'7. E Plan'!G14+'7. E Plan'!G15+'7. E Plan'!G16+'7. E Plan'!G17+'7. E Plan'!G18+'7. E Plan'!G19+'7. E Plan'!G20+'7. E Plan'!G21+'7. E Plan'!G45+'7. E Plan'!G46+'7. E Plan'!G47+'7. E Plan'!G48+'7. E Plan'!G49+'7. E Plan'!G50+'7. E Plan'!G51+'7. E Plan'!G52+'7. E Plan'!G53+'7. E Plan'!G56+'7. E Plan'!G59+'7. E Plan'!G60+'7. E Plan'!G61+'7. E Plan'!G62+'7. E Plan'!G63+'7. E Plan'!G64+'7. E Plan'!G65+'7. E Plan'!G66</f>
        <v>1633462.1231745048</v>
      </c>
      <c r="F57" s="4228">
        <f>'7. E Plan'!H9+'7. E Plan'!H11+'7. E Plan'!H12+'7. E Plan'!H13+'7. E Plan'!H14+'7. E Plan'!H15+'7. E Plan'!H16+'7. E Plan'!H17+'7. E Plan'!H18+'7. E Plan'!H19+'7. E Plan'!H20+'7. E Plan'!H21+'7. E Plan'!H45+'7. E Plan'!H46+'7. E Plan'!H47+'7. E Plan'!H48+'7. E Plan'!H49+'7. E Plan'!H50+'7. E Plan'!H51+'7. E Plan'!H52+'7. E Plan'!H53+'7. E Plan'!H56+'7. E Plan'!H59+'7. E Plan'!H60+'7. E Plan'!H61+'7. E Plan'!H62+'7. E Plan'!H63+'7. E Plan'!H64+'7. E Plan'!H65+'7. E Plan'!H66</f>
        <v>1564631.3671404086</v>
      </c>
      <c r="G57" s="4229">
        <f>'7. E Plan'!I9+'7. E Plan'!I11+'7. E Plan'!I12+'7. E Plan'!I13+'7. E Plan'!I14+'7. E Plan'!I15+'7. E Plan'!I16+'7. E Plan'!I17+'7. E Plan'!I18+'7. E Plan'!I19+'7. E Plan'!I20+'7. E Plan'!I21+'7. E Plan'!I45+'7. E Plan'!I46+'7. E Plan'!I47+'7. E Plan'!I48+'7. E Plan'!I49+'7. E Plan'!I50+'7. E Plan'!I51+'7. E Plan'!I52+'7. E Plan'!I53+'7. E Plan'!I56+'7. E Plan'!I59+'7. E Plan'!I60+'7. E Plan'!I61+'7. E Plan'!I62+'7. E Plan'!I63+'7. E Plan'!I64+'7. E Plan'!I65+'7. E Plan'!I66</f>
        <v>1547687.2841703207</v>
      </c>
      <c r="H57" s="4230">
        <f>'7. E Plan'!J9+'7. E Plan'!J11+'7. E Plan'!J12+'7. E Plan'!J13+'7. E Plan'!J14+'7. E Plan'!J15+'7. E Plan'!J16+'7. E Plan'!J17+'7. E Plan'!J18+'7. E Plan'!J19+'7. E Plan'!J20+'7. E Plan'!J21+'7. E Plan'!J45+'7. E Plan'!J46+'7. E Plan'!J47+'7. E Plan'!J48+'7. E Plan'!J49+'7. E Plan'!J50+'7. E Plan'!J51+'7. E Plan'!J52+'7. E Plan'!J53+'7. E Plan'!J56+'7. E Plan'!J59+'7. E Plan'!J60+'7. E Plan'!J61+'7. E Plan'!J62+'7. E Plan'!J63+'7. E Plan'!J64+'7. E Plan'!J65+'7. E Plan'!J66</f>
        <v>1582272.5014800448</v>
      </c>
      <c r="I57" s="4220">
        <f>'7. E Plan'!K9+'7. E Plan'!K11+'7. E Plan'!K12+'7. E Plan'!K13+'7. E Plan'!K14+'7. E Plan'!K15+'7. E Plan'!K16+'7. E Plan'!K17+'7. E Plan'!K18+'7. E Plan'!K19+'7. E Plan'!K20+'7. E Plan'!K21+'7. E Plan'!K45+'7. E Plan'!K46+'7. E Plan'!K47+'7. E Plan'!K48+'7. E Plan'!K49+'7. E Plan'!K50+'7. E Plan'!K51+'7. E Plan'!K52+'7. E Plan'!K53+'7. E Plan'!K56+'7. E Plan'!K59+'7. E Plan'!K60+'7. E Plan'!K61+'7. E Plan'!K62+'7. E Plan'!K63+'7. E Plan'!K64+'7. E Plan'!K65+'7. E Plan'!K66</f>
        <v>1526325.0657551121</v>
      </c>
      <c r="J57" s="3338">
        <f>'7. E Plan'!L9+'7. E Plan'!L11+'7. E Plan'!L12+'7. E Plan'!L13+'7. E Plan'!L14+'7. E Plan'!L15+'7. E Plan'!L16+'7. E Plan'!L17+'7. E Plan'!L18+'7. E Plan'!L19+'7. E Plan'!L20+'7. E Plan'!L21+'7. E Plan'!L45+'7. E Plan'!L46+'7. E Plan'!L47+'7. E Plan'!L48+'7. E Plan'!L49+'7. E Plan'!L50+'7. E Plan'!L51+'7. E Plan'!L52+'7. E Plan'!L53+'7. E Plan'!L56+'7. E Plan'!L59+'7. E Plan'!L60+'7. E Plan'!L61+'7. E Plan'!L62+'7. E Plan'!L63+'7. E Plan'!L64+'7. E Plan'!L65+'7. E Plan'!L66</f>
        <v>1470493.87365059</v>
      </c>
      <c r="K57" s="3380">
        <f>'7. E Plan'!M9+'7. E Plan'!M11+'7. E Plan'!M12+'7. E Plan'!M13+'7. E Plan'!M14+'7. E Plan'!M15+'7. E Plan'!M16+'7. E Plan'!M17+'7. E Plan'!M18+'7. E Plan'!M19+'7. E Plan'!M20+'7. E Plan'!M21+'7. E Plan'!M45+'7. E Plan'!M46+'7. E Plan'!M47+'7. E Plan'!M48+'7. E Plan'!M49+'7. E Plan'!M50+'7. E Plan'!M51+'7. E Plan'!M52+'7. E Plan'!M53+'7. E Plan'!M56+'7. E Plan'!M59+'7. E Plan'!M60+'7. E Plan'!M61+'7. E Plan'!M62+'7. E Plan'!M63+'7. E Plan'!M64+'7. E Plan'!M65+'7. E Plan'!M66</f>
        <v>1492042.1700883636</v>
      </c>
      <c r="L57" s="4235">
        <f>'7. E Plan'!N9+'7. E Plan'!N11+'7. E Plan'!N12+'7. E Plan'!N13+'7. E Plan'!N14+'7. E Plan'!N15+'7. E Plan'!N16+'7. E Plan'!N17+'7. E Plan'!N18+'7. E Plan'!N19+'7. E Plan'!N20+'7. E Plan'!N21+'7. E Plan'!N45+'7. E Plan'!N46+'7. E Plan'!N47+'7. E Plan'!N48+'7. E Plan'!N49+'7. E Plan'!N50+'7. E Plan'!N51+'7. E Plan'!N52+'7. E Plan'!N53+'7. E Plan'!N56+'7. E Plan'!N59+'7. E Plan'!N60+'7. E Plan'!N61+'7. E Plan'!N62+'7. E Plan'!N63+'7. E Plan'!N64+'7. E Plan'!N65+'7. E Plan'!N66</f>
        <v>1472815.7722699633</v>
      </c>
      <c r="M57" s="4165">
        <f>'7. E Plan'!O9+'7. E Plan'!O11+'7. E Plan'!O12+'7. E Plan'!O13+'7. E Plan'!O14+'7. E Plan'!O15+'7. E Plan'!O16+'7. E Plan'!O17+'7. E Plan'!O18+'7. E Plan'!O19+'7. E Plan'!O20+'7. E Plan'!O21+'7. E Plan'!O45+'7. E Plan'!O46+'7. E Plan'!O47+'7. E Plan'!O48+'7. E Plan'!O49+'7. E Plan'!O50+'7. E Plan'!O51+'7. E Plan'!O52+'7. E Plan'!O53+'7. E Plan'!O56+'7. E Plan'!O59+'7. E Plan'!O60+'7. E Plan'!O61+'7. E Plan'!O62+'7. E Plan'!O63+'7. E Plan'!O64+'7. E Plan'!O65+'7. E Plan'!O66</f>
        <v>1357135.2316966376</v>
      </c>
      <c r="N57" s="4230">
        <f>'7. E Plan'!P9+'7. E Plan'!P11+'7. E Plan'!P12+'7. E Plan'!P13+'7. E Plan'!P14+'7. E Plan'!P15+'7. E Plan'!P16+'7. E Plan'!P17+'7. E Plan'!P18+'7. E Plan'!P19+'7. E Plan'!P20+'7. E Plan'!P21+'7. E Plan'!P45+'7. E Plan'!P46+'7. E Plan'!P47+'7. E Plan'!P48+'7. E Plan'!P49+'7. E Plan'!P50+'7. E Plan'!P51+'7. E Plan'!P52+'7. E Plan'!P53+'7. E Plan'!P56+'7. E Plan'!P59+'7. E Plan'!P60+'7. E Plan'!P61+'7. E Plan'!P62+'7. E Plan'!P63+'7. E Plan'!P64+'7. E Plan'!P65+'7. E Plan'!P66</f>
        <v>1313839.277042343</v>
      </c>
      <c r="O57" s="3383"/>
    </row>
    <row r="58" spans="1:20" ht="20.100000000000001" customHeight="1" thickBot="1">
      <c r="A58" s="5515" t="s">
        <v>1158</v>
      </c>
      <c r="B58" s="5516"/>
      <c r="C58" s="4149">
        <f>C56-C57</f>
        <v>508693.13590080058</v>
      </c>
      <c r="D58" s="4150">
        <f t="shared" ref="D58:N58" si="22">D56-D57</f>
        <v>446153.46932547889</v>
      </c>
      <c r="E58" s="4215">
        <f t="shared" si="22"/>
        <v>208994.48933960008</v>
      </c>
      <c r="F58" s="4228">
        <f t="shared" si="22"/>
        <v>144735.39474552241</v>
      </c>
      <c r="G58" s="4229">
        <f t="shared" si="22"/>
        <v>248606.85867166682</v>
      </c>
      <c r="H58" s="4230">
        <f t="shared" si="22"/>
        <v>143213.82728262013</v>
      </c>
      <c r="I58" s="4220">
        <f t="shared" si="22"/>
        <v>364383.79242667113</v>
      </c>
      <c r="J58" s="3338">
        <f t="shared" si="22"/>
        <v>79172.232793410309</v>
      </c>
      <c r="K58" s="3380">
        <f t="shared" si="22"/>
        <v>-4199.3236785286572</v>
      </c>
      <c r="L58" s="4235">
        <f t="shared" si="22"/>
        <v>-34789.072257256834</v>
      </c>
      <c r="M58" s="4165">
        <f t="shared" si="22"/>
        <v>100667.05170277529</v>
      </c>
      <c r="N58" s="4230">
        <f t="shared" si="22"/>
        <v>124753.53491562046</v>
      </c>
      <c r="O58" s="3383"/>
    </row>
    <row r="59" spans="1:20" ht="20.100000000000001" customHeight="1" thickBot="1">
      <c r="A59" s="5517" t="s">
        <v>1159</v>
      </c>
      <c r="B59" s="5518"/>
      <c r="C59" s="4151">
        <f>B60-C56+C57</f>
        <v>8752761.1962718591</v>
      </c>
      <c r="D59" s="4152">
        <f t="shared" ref="D59:N59" si="23">C59-D56+D57</f>
        <v>8306607.72694638</v>
      </c>
      <c r="E59" s="4216">
        <f t="shared" si="23"/>
        <v>8097613.2376067806</v>
      </c>
      <c r="F59" s="4231">
        <f t="shared" si="23"/>
        <v>7952877.8428612584</v>
      </c>
      <c r="G59" s="4152">
        <f t="shared" si="23"/>
        <v>7704270.9841895923</v>
      </c>
      <c r="H59" s="1722">
        <f t="shared" si="23"/>
        <v>7561057.1569069717</v>
      </c>
      <c r="I59" s="4221">
        <f t="shared" si="23"/>
        <v>7196673.3644803008</v>
      </c>
      <c r="J59" s="3384">
        <f t="shared" si="23"/>
        <v>7117501.1316868905</v>
      </c>
      <c r="K59" s="1814">
        <f t="shared" si="23"/>
        <v>7121700.4553654194</v>
      </c>
      <c r="L59" s="3641">
        <f t="shared" si="23"/>
        <v>7156489.5276226765</v>
      </c>
      <c r="M59" s="3384">
        <f t="shared" si="23"/>
        <v>7055822.4759199005</v>
      </c>
      <c r="N59" s="1722">
        <f t="shared" si="23"/>
        <v>6931068.94100428</v>
      </c>
      <c r="O59" s="3382"/>
    </row>
    <row r="60" spans="1:20" ht="20.100000000000001" customHeight="1" thickBot="1">
      <c r="A60" s="1993" t="s">
        <v>1469</v>
      </c>
      <c r="B60" s="4163">
        <v>9261454.3321726602</v>
      </c>
      <c r="C60" s="4140"/>
      <c r="D60" s="4140"/>
      <c r="E60" s="4140"/>
      <c r="F60" s="4140"/>
      <c r="G60" s="4140"/>
      <c r="H60" s="3340"/>
      <c r="I60" s="3340"/>
      <c r="J60" s="3340"/>
      <c r="K60" s="3340"/>
    </row>
    <row r="61" spans="1:20" ht="20.100000000000001" customHeight="1">
      <c r="A61" s="5519" t="s">
        <v>1160</v>
      </c>
      <c r="B61" s="5520"/>
      <c r="C61" s="4153">
        <f t="shared" ref="C61:N61" si="24">C57/C55</f>
        <v>0.42550745312337435</v>
      </c>
      <c r="D61" s="4154">
        <f t="shared" si="24"/>
        <v>0.4000572192531554</v>
      </c>
      <c r="E61" s="4236">
        <f t="shared" si="24"/>
        <v>0.3854504555213375</v>
      </c>
      <c r="F61" s="4240">
        <f t="shared" si="24"/>
        <v>0.35810870944284623</v>
      </c>
      <c r="G61" s="4154">
        <f t="shared" si="24"/>
        <v>0.38210096513818553</v>
      </c>
      <c r="H61" s="4241">
        <f t="shared" si="24"/>
        <v>0.35264418962555444</v>
      </c>
      <c r="I61" s="4238">
        <f t="shared" si="24"/>
        <v>0.37259975035749493</v>
      </c>
      <c r="J61" s="3390">
        <f t="shared" si="24"/>
        <v>0.38191505757788519</v>
      </c>
      <c r="K61" s="3392">
        <f t="shared" si="24"/>
        <v>0.36744469124419876</v>
      </c>
      <c r="L61" s="4244">
        <f t="shared" si="24"/>
        <v>0.39686669913613304</v>
      </c>
      <c r="M61" s="3390">
        <f t="shared" si="24"/>
        <v>0.3660504968682704</v>
      </c>
      <c r="N61" s="4241">
        <f t="shared" si="24"/>
        <v>0.33921861749004367</v>
      </c>
      <c r="O61" s="5509" t="s">
        <v>1206</v>
      </c>
    </row>
    <row r="62" spans="1:20" ht="20.100000000000001" customHeight="1" thickBot="1">
      <c r="A62" s="5521" t="s">
        <v>1200</v>
      </c>
      <c r="B62" s="5522"/>
      <c r="C62" s="4155">
        <f t="shared" ref="C62:N62" si="25">C59/C4</f>
        <v>2.3724265443051604</v>
      </c>
      <c r="D62" s="4156">
        <f t="shared" si="25"/>
        <v>2.406839115935707</v>
      </c>
      <c r="E62" s="4237">
        <f t="shared" si="25"/>
        <v>2.0127724667482707</v>
      </c>
      <c r="F62" s="4242">
        <f t="shared" si="25"/>
        <v>2.0655502361845985</v>
      </c>
      <c r="G62" s="4156">
        <f t="shared" si="25"/>
        <v>2.0196847440395405</v>
      </c>
      <c r="H62" s="4243">
        <f t="shared" si="25"/>
        <v>1.91487243532824</v>
      </c>
      <c r="I62" s="4239">
        <f t="shared" si="25"/>
        <v>1.8724592822029347</v>
      </c>
      <c r="J62" s="3391">
        <f t="shared" si="25"/>
        <v>1.9293515804638799</v>
      </c>
      <c r="K62" s="3393">
        <f t="shared" si="25"/>
        <v>1.9300012931453869</v>
      </c>
      <c r="L62" s="4245">
        <f t="shared" si="25"/>
        <v>1.9463962116532989</v>
      </c>
      <c r="M62" s="3391">
        <f t="shared" si="25"/>
        <v>2.0642152188551797</v>
      </c>
      <c r="N62" s="4243">
        <f t="shared" si="25"/>
        <v>2.1445243841480406</v>
      </c>
      <c r="O62" s="5510"/>
    </row>
    <row r="63" spans="1:20" ht="20.100000000000001" customHeight="1">
      <c r="H63" s="1626"/>
    </row>
    <row r="64" spans="1:20" ht="20.100000000000001" hidden="1" customHeight="1">
      <c r="B64" s="2813" t="s">
        <v>1161</v>
      </c>
      <c r="C64" s="5" t="s">
        <v>1162</v>
      </c>
      <c r="H64" s="1626"/>
    </row>
    <row r="65" spans="2:11" ht="20.100000000000001" hidden="1" customHeight="1">
      <c r="C65" s="5" t="s">
        <v>1163</v>
      </c>
      <c r="H65" s="1626"/>
      <c r="J65" s="3341" t="s">
        <v>1164</v>
      </c>
      <c r="K65" s="1626">
        <f>O4/12*2.5</f>
        <v>9234708.6298708394</v>
      </c>
    </row>
    <row r="66" spans="2:11" ht="20.100000000000001" hidden="1" customHeight="1">
      <c r="C66" s="5" t="s">
        <v>1165</v>
      </c>
      <c r="G66" s="5" t="s">
        <v>1166</v>
      </c>
      <c r="H66" s="1626"/>
    </row>
    <row r="67" spans="2:11" ht="20.100000000000001" hidden="1" customHeight="1">
      <c r="C67" s="5" t="s">
        <v>1167</v>
      </c>
      <c r="H67" s="1626"/>
    </row>
    <row r="68" spans="2:11" ht="20.100000000000001" hidden="1" customHeight="1">
      <c r="C68" s="5" t="s">
        <v>1168</v>
      </c>
      <c r="H68" s="1626"/>
    </row>
    <row r="69" spans="2:11" ht="20.100000000000001" hidden="1" customHeight="1">
      <c r="H69" s="1626"/>
    </row>
    <row r="70" spans="2:11" ht="20.100000000000001" hidden="1" customHeight="1">
      <c r="B70" s="2813" t="s">
        <v>1169</v>
      </c>
      <c r="C70" s="5" t="s">
        <v>1170</v>
      </c>
      <c r="H70" s="1626"/>
    </row>
    <row r="71" spans="2:11" ht="20.100000000000001" hidden="1" customHeight="1">
      <c r="B71" s="2813" t="s">
        <v>1171</v>
      </c>
      <c r="C71" s="5" t="s">
        <v>1172</v>
      </c>
      <c r="H71" s="1626"/>
    </row>
    <row r="72" spans="2:11" ht="20.100000000000001" hidden="1" customHeight="1">
      <c r="B72" s="3342" t="s">
        <v>1173</v>
      </c>
      <c r="C72" s="5" t="s">
        <v>1174</v>
      </c>
      <c r="H72" s="1626"/>
    </row>
    <row r="73" spans="2:11" ht="20.100000000000001" hidden="1" customHeight="1">
      <c r="B73" s="3342" t="s">
        <v>1175</v>
      </c>
      <c r="C73" s="5" t="s">
        <v>1176</v>
      </c>
      <c r="H73" s="1626"/>
    </row>
    <row r="74" spans="2:11" ht="20.100000000000001" hidden="1" customHeight="1">
      <c r="H74" s="1626"/>
    </row>
    <row r="75" spans="2:11" ht="13.5" hidden="1" customHeight="1">
      <c r="B75" s="2813" t="s">
        <v>1177</v>
      </c>
      <c r="C75" s="5" t="s">
        <v>1178</v>
      </c>
    </row>
    <row r="76" spans="2:11" ht="13.5" hidden="1" customHeight="1">
      <c r="C76" s="5" t="s">
        <v>1179</v>
      </c>
    </row>
    <row r="77" spans="2:11" ht="13.5" hidden="1" customHeight="1">
      <c r="C77" s="5" t="s">
        <v>1180</v>
      </c>
    </row>
    <row r="78" spans="2:11" ht="13.5" hidden="1" customHeight="1">
      <c r="C78" s="5" t="s">
        <v>1181</v>
      </c>
    </row>
    <row r="79" spans="2:11" ht="13.5" hidden="1" customHeight="1"/>
    <row r="80" spans="2:11" ht="13.5" hidden="1" customHeight="1">
      <c r="B80" s="2813" t="s">
        <v>1182</v>
      </c>
      <c r="C80" s="5" t="s">
        <v>1183</v>
      </c>
    </row>
    <row r="81" spans="2:3" ht="13.5" hidden="1" customHeight="1">
      <c r="C81" s="5" t="s">
        <v>1184</v>
      </c>
    </row>
    <row r="82" spans="2:3" ht="13.5" hidden="1" customHeight="1"/>
    <row r="83" spans="2:3" ht="13.5" hidden="1" customHeight="1"/>
    <row r="84" spans="2:3" ht="13.5" hidden="1" customHeight="1"/>
    <row r="85" spans="2:3" ht="13.5" hidden="1" customHeight="1">
      <c r="B85" s="2813" t="s">
        <v>1185</v>
      </c>
      <c r="C85" s="5" t="s">
        <v>1186</v>
      </c>
    </row>
    <row r="86" spans="2:3" ht="13.5" hidden="1" customHeight="1">
      <c r="C86" s="5" t="s">
        <v>1187</v>
      </c>
    </row>
    <row r="87" spans="2:3" ht="13.5" hidden="1" customHeight="1"/>
  </sheetData>
  <mergeCells count="12">
    <mergeCell ref="A49:B49"/>
    <mergeCell ref="A50:B50"/>
    <mergeCell ref="A51:B51"/>
    <mergeCell ref="O61:O62"/>
    <mergeCell ref="A54:B54"/>
    <mergeCell ref="A55:B55"/>
    <mergeCell ref="A56:B56"/>
    <mergeCell ref="A57:B57"/>
    <mergeCell ref="A58:B58"/>
    <mergeCell ref="A59:B59"/>
    <mergeCell ref="A61:B61"/>
    <mergeCell ref="A62:B62"/>
  </mergeCells>
  <phoneticPr fontId="8" type="noConversion"/>
  <conditionalFormatting sqref="A3:B3 C16:O25 B18:B24 D26:O31 D32:E32 G32:O32 D43:N45 O43:O46 C46:N46 L52:O53">
    <cfRule type="cellIs" dxfId="23" priority="86" operator="lessThan">
      <formula>0</formula>
    </cfRule>
  </conditionalFormatting>
  <conditionalFormatting sqref="A15:B17">
    <cfRule type="cellIs" dxfId="22" priority="109" operator="lessThan">
      <formula>0</formula>
    </cfRule>
  </conditionalFormatting>
  <conditionalFormatting sqref="A26:B27">
    <cfRule type="cellIs" dxfId="21" priority="63" operator="lessThan">
      <formula>0</formula>
    </cfRule>
  </conditionalFormatting>
  <conditionalFormatting sqref="B43:B44">
    <cfRule type="cellIs" dxfId="20" priority="51" operator="lessThan">
      <formula>0</formula>
    </cfRule>
  </conditionalFormatting>
  <conditionalFormatting sqref="C26:C45">
    <cfRule type="cellIs" dxfId="19" priority="45" operator="lessThan">
      <formula>0</formula>
    </cfRule>
  </conditionalFormatting>
  <conditionalFormatting sqref="C49:N49">
    <cfRule type="cellIs" dxfId="18" priority="48" operator="lessThan">
      <formula>600000</formula>
    </cfRule>
  </conditionalFormatting>
  <conditionalFormatting sqref="C51:N51">
    <cfRule type="cellIs" dxfId="17" priority="47" operator="lessThan">
      <formula>600000</formula>
    </cfRule>
  </conditionalFormatting>
  <conditionalFormatting sqref="C47:O48">
    <cfRule type="cellIs" dxfId="16" priority="49" operator="lessThan">
      <formula>0</formula>
    </cfRule>
  </conditionalFormatting>
  <conditionalFormatting sqref="C63:O78 D79:O79 C80:O1048576">
    <cfRule type="cellIs" dxfId="15" priority="53" operator="lessThan">
      <formula>0</formula>
    </cfRule>
  </conditionalFormatting>
  <conditionalFormatting sqref="D33:O42">
    <cfRule type="cellIs" dxfId="14" priority="1" operator="lessThan">
      <formula>0</formula>
    </cfRule>
  </conditionalFormatting>
  <conditionalFormatting sqref="E12:H12">
    <cfRule type="cellIs" dxfId="13" priority="90" operator="lessThan">
      <formula>0</formula>
    </cfRule>
  </conditionalFormatting>
  <conditionalFormatting sqref="F5:I5">
    <cfRule type="cellIs" dxfId="12" priority="88" operator="lessThan">
      <formula>0</formula>
    </cfRule>
  </conditionalFormatting>
  <conditionalFormatting sqref="L60:O60 O61">
    <cfRule type="cellIs" dxfId="11" priority="54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ignoredErrors>
    <ignoredError sqref="O5:O12" formula="1"/>
  </ignoredError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54"/>
  <sheetViews>
    <sheetView zoomScale="70" zoomScaleNormal="70" workbookViewId="0">
      <selection activeCell="O39" sqref="O39"/>
    </sheetView>
  </sheetViews>
  <sheetFormatPr defaultColWidth="9.125" defaultRowHeight="16.5"/>
  <cols>
    <col min="1" max="1" width="12.75" style="1516" customWidth="1"/>
    <col min="2" max="2" width="42.875" style="2943" bestFit="1" customWidth="1"/>
    <col min="3" max="3" width="13.375" style="2943" bestFit="1" customWidth="1"/>
    <col min="4" max="4" width="5" style="2944" bestFit="1" customWidth="1"/>
    <col min="5" max="5" width="11.25" style="1501" bestFit="1" customWidth="1"/>
    <col min="6" max="6" width="8.125" style="1516" bestFit="1" customWidth="1"/>
    <col min="7" max="7" width="7.75" style="1516" bestFit="1" customWidth="1"/>
    <col min="8" max="8" width="7.75" style="1516" customWidth="1"/>
    <col min="9" max="9" width="11.25" style="1501" customWidth="1"/>
    <col min="10" max="10" width="10" style="1516" customWidth="1"/>
    <col min="11" max="11" width="11.25" style="1501" customWidth="1"/>
    <col min="12" max="23" width="12.875" style="1501" customWidth="1"/>
    <col min="24" max="24" width="11.25" style="1501" customWidth="1"/>
    <col min="25" max="25" width="13.375" style="1501" customWidth="1"/>
    <col min="26" max="26" width="22.875" style="1501" hidden="1" customWidth="1"/>
    <col min="27" max="27" width="11.125" style="4968" customWidth="1"/>
    <col min="28" max="28" width="15.75" style="1516" hidden="1" customWidth="1"/>
    <col min="29" max="29" width="9.125" style="1501" customWidth="1"/>
    <col min="30" max="30" width="11" style="1501" bestFit="1" customWidth="1"/>
    <col min="31" max="33" width="9.125" style="1501"/>
    <col min="34" max="34" width="11.625" style="1501" bestFit="1" customWidth="1"/>
    <col min="35" max="35" width="9.125" style="1501"/>
    <col min="36" max="36" width="12" style="1501" customWidth="1"/>
    <col min="37" max="16384" width="9.125" style="1501"/>
  </cols>
  <sheetData>
    <row r="1" spans="1:36" ht="17.25">
      <c r="A1" s="2812" t="s">
        <v>548</v>
      </c>
    </row>
    <row r="3" spans="1:36" ht="17.25" thickBot="1">
      <c r="A3" s="2945" t="s">
        <v>825</v>
      </c>
      <c r="E3" s="2946"/>
      <c r="F3" s="2947"/>
      <c r="G3" s="2947"/>
      <c r="H3" s="2947"/>
      <c r="I3" s="2946"/>
      <c r="J3" s="2947"/>
      <c r="L3" s="2946"/>
      <c r="M3" s="2946"/>
      <c r="N3" s="2946"/>
      <c r="O3" s="2946"/>
      <c r="P3" s="2946"/>
      <c r="Q3" s="2946"/>
      <c r="R3" s="2946"/>
      <c r="S3" s="2946"/>
      <c r="T3" s="2946"/>
      <c r="U3" s="2946"/>
      <c r="V3" s="2946"/>
      <c r="W3" s="2946"/>
      <c r="X3" s="1808" t="s">
        <v>87</v>
      </c>
    </row>
    <row r="4" spans="1:36" s="1631" customFormat="1" ht="45.75" customHeight="1" thickBot="1">
      <c r="A4" s="5352" t="s">
        <v>137</v>
      </c>
      <c r="B4" s="5353"/>
      <c r="C4" s="81" t="s">
        <v>530</v>
      </c>
      <c r="D4" s="72" t="s">
        <v>522</v>
      </c>
      <c r="E4" s="1720" t="s">
        <v>531</v>
      </c>
      <c r="F4" s="4699" t="s">
        <v>532</v>
      </c>
      <c r="G4" s="4846" t="s">
        <v>1517</v>
      </c>
      <c r="H4" s="2106" t="s">
        <v>1516</v>
      </c>
      <c r="I4" s="1720" t="s">
        <v>1471</v>
      </c>
      <c r="J4" s="1699" t="s">
        <v>761</v>
      </c>
      <c r="K4" s="1699" t="s">
        <v>1414</v>
      </c>
      <c r="L4" s="87" t="str">
        <f>'[1]2. S Plan'!L4</f>
        <v>Jan.26</v>
      </c>
      <c r="M4" s="81" t="str">
        <f>'[1]2. S Plan'!M4</f>
        <v>Feb.26</v>
      </c>
      <c r="N4" s="1549" t="str">
        <f>'[1]2. S Plan'!N4</f>
        <v>Mar.26</v>
      </c>
      <c r="O4" s="1548" t="str">
        <f>'[1]2. S Plan'!O4</f>
        <v>Apr.26</v>
      </c>
      <c r="P4" s="81" t="str">
        <f>'[1]2. S Plan'!P4</f>
        <v>May.26</v>
      </c>
      <c r="Q4" s="1549" t="str">
        <f>'[1]2. S Plan'!Q4</f>
        <v>Jun.26</v>
      </c>
      <c r="R4" s="1548" t="str">
        <f>'[1]2. S Plan'!R4</f>
        <v>Jul.26</v>
      </c>
      <c r="S4" s="81" t="str">
        <f>'[1]2. S Plan'!S4</f>
        <v>Aug.26</v>
      </c>
      <c r="T4" s="1549" t="str">
        <f>'[1]2. S Plan'!T4</f>
        <v>Sep.26</v>
      </c>
      <c r="U4" s="1548" t="str">
        <f>'[1]2. S Plan'!U4</f>
        <v>Oct.26</v>
      </c>
      <c r="V4" s="81" t="str">
        <f>'[1]2. S Plan'!V4</f>
        <v>Nov.26</v>
      </c>
      <c r="W4" s="1549" t="str">
        <f>'[1]2. S Plan'!W4</f>
        <v>Dec.26</v>
      </c>
      <c r="X4" s="1550" t="str">
        <f>'[1]2. S Plan'!X4</f>
        <v>2026
Total</v>
      </c>
      <c r="Y4" s="1501" t="s">
        <v>1518</v>
      </c>
      <c r="AA4" s="4967"/>
      <c r="AB4" s="4987" t="s">
        <v>1583</v>
      </c>
      <c r="AC4" s="1501"/>
      <c r="AD4" s="1501"/>
      <c r="AE4" s="1501"/>
    </row>
    <row r="5" spans="1:36" s="1631" customFormat="1" ht="13.5">
      <c r="A5" s="5525"/>
      <c r="B5" s="61" t="s">
        <v>547</v>
      </c>
      <c r="C5" s="1786" t="s">
        <v>533</v>
      </c>
      <c r="D5" s="67">
        <v>5</v>
      </c>
      <c r="E5" s="67">
        <v>398660.11200000002</v>
      </c>
      <c r="F5" s="2948">
        <v>48</v>
      </c>
      <c r="G5" s="4847">
        <v>8.1000000000000003E-2</v>
      </c>
      <c r="H5" s="4843">
        <v>8.1000000000000003E-2</v>
      </c>
      <c r="I5" s="67">
        <v>53002.092000000019</v>
      </c>
      <c r="J5" s="2395">
        <v>8305.42</v>
      </c>
      <c r="K5" s="3395">
        <f>ROUND((I5-X5),0)</f>
        <v>0</v>
      </c>
      <c r="L5" s="1562">
        <v>8305.42</v>
      </c>
      <c r="M5" s="1610">
        <v>8305.42</v>
      </c>
      <c r="N5" s="1564">
        <v>8305.42</v>
      </c>
      <c r="O5" s="1562">
        <v>8305.42</v>
      </c>
      <c r="P5" s="1610">
        <v>8305.42</v>
      </c>
      <c r="Q5" s="1564">
        <f>8305.42+3170</f>
        <v>11475.42</v>
      </c>
      <c r="R5" s="4972"/>
      <c r="S5" s="5024"/>
      <c r="T5" s="4971"/>
      <c r="U5" s="4972"/>
      <c r="V5" s="5024"/>
      <c r="W5" s="4971"/>
      <c r="X5" s="1669">
        <f t="shared" ref="X5:X10" si="0">SUM(L5:W5)</f>
        <v>53002.52</v>
      </c>
      <c r="AA5" s="4967"/>
      <c r="AB5" s="2298"/>
    </row>
    <row r="6" spans="1:36" s="1631" customFormat="1" ht="13.5">
      <c r="A6" s="5525"/>
      <c r="B6" s="61" t="s">
        <v>534</v>
      </c>
      <c r="C6" s="1786" t="s">
        <v>535</v>
      </c>
      <c r="D6" s="67">
        <v>1</v>
      </c>
      <c r="E6" s="67">
        <v>84000</v>
      </c>
      <c r="F6" s="2948">
        <v>48</v>
      </c>
      <c r="G6" s="4847">
        <v>8.1000000000000003E-2</v>
      </c>
      <c r="H6" s="4843">
        <v>8.1000000000000003E-2</v>
      </c>
      <c r="I6" s="67">
        <v>21000</v>
      </c>
      <c r="J6" s="2395">
        <v>1750</v>
      </c>
      <c r="K6" s="3395">
        <f t="shared" ref="K6:K7" si="1">ROUND((I6-X6),0)</f>
        <v>0</v>
      </c>
      <c r="L6" s="1562">
        <v>1750</v>
      </c>
      <c r="M6" s="1610">
        <v>1750</v>
      </c>
      <c r="N6" s="1564">
        <v>1750</v>
      </c>
      <c r="O6" s="1562">
        <v>1750</v>
      </c>
      <c r="P6" s="1610">
        <v>1750</v>
      </c>
      <c r="Q6" s="1564">
        <v>1750</v>
      </c>
      <c r="R6" s="1562">
        <v>1750</v>
      </c>
      <c r="S6" s="1610">
        <v>1750</v>
      </c>
      <c r="T6" s="1564">
        <v>1750</v>
      </c>
      <c r="U6" s="1562">
        <v>1750</v>
      </c>
      <c r="V6" s="1610">
        <v>1750</v>
      </c>
      <c r="W6" s="1564">
        <v>1750</v>
      </c>
      <c r="X6" s="1669">
        <f t="shared" si="0"/>
        <v>21000</v>
      </c>
      <c r="AA6" s="4967"/>
      <c r="AB6" s="2298"/>
    </row>
    <row r="7" spans="1:36" s="1631" customFormat="1" ht="13.5">
      <c r="A7" s="5525"/>
      <c r="B7" s="61" t="s">
        <v>521</v>
      </c>
      <c r="C7" s="1786" t="s">
        <v>536</v>
      </c>
      <c r="D7" s="67">
        <v>40</v>
      </c>
      <c r="E7" s="67">
        <v>252000</v>
      </c>
      <c r="F7" s="2948">
        <v>48</v>
      </c>
      <c r="G7" s="4847">
        <v>8.1000000000000003E-2</v>
      </c>
      <c r="H7" s="4843">
        <v>8.1000000000000003E-2</v>
      </c>
      <c r="I7" s="67">
        <v>63000</v>
      </c>
      <c r="J7" s="2395">
        <f>+I7/12</f>
        <v>5250</v>
      </c>
      <c r="K7" s="3395">
        <f t="shared" si="1"/>
        <v>0</v>
      </c>
      <c r="L7" s="1562">
        <v>5250</v>
      </c>
      <c r="M7" s="1610">
        <v>5250</v>
      </c>
      <c r="N7" s="1564">
        <v>5250</v>
      </c>
      <c r="O7" s="1562">
        <v>5250</v>
      </c>
      <c r="P7" s="1563">
        <v>5250</v>
      </c>
      <c r="Q7" s="1564">
        <v>5250</v>
      </c>
      <c r="R7" s="1562">
        <v>5250</v>
      </c>
      <c r="S7" s="1563">
        <v>5250</v>
      </c>
      <c r="T7" s="1564">
        <v>5250</v>
      </c>
      <c r="U7" s="1562">
        <v>5250</v>
      </c>
      <c r="V7" s="1563">
        <v>5250</v>
      </c>
      <c r="W7" s="1564">
        <v>5250</v>
      </c>
      <c r="X7" s="1669">
        <f t="shared" si="0"/>
        <v>63000</v>
      </c>
      <c r="AA7" s="4967"/>
      <c r="AB7" s="2298"/>
    </row>
    <row r="8" spans="1:36" s="1631" customFormat="1" ht="13.5">
      <c r="A8" s="5525"/>
      <c r="B8" s="61" t="s">
        <v>537</v>
      </c>
      <c r="C8" s="1786" t="s">
        <v>538</v>
      </c>
      <c r="D8" s="67">
        <v>1</v>
      </c>
      <c r="E8" s="67">
        <v>33863.019</v>
      </c>
      <c r="F8" s="2948">
        <v>48</v>
      </c>
      <c r="G8" s="4847">
        <v>8.1000000000000003E-2</v>
      </c>
      <c r="H8" s="4843">
        <v>8.1000000000000003E-2</v>
      </c>
      <c r="I8" s="67">
        <v>11994.378999999994</v>
      </c>
      <c r="J8" s="2395">
        <v>705.44000000000017</v>
      </c>
      <c r="K8" s="1662">
        <f t="shared" ref="K8:K10" si="2">I8-X8</f>
        <v>3529.0989999999911</v>
      </c>
      <c r="L8" s="1562">
        <v>705.44</v>
      </c>
      <c r="M8" s="1610">
        <v>705.44</v>
      </c>
      <c r="N8" s="1564">
        <v>705.44</v>
      </c>
      <c r="O8" s="1562">
        <v>705.44</v>
      </c>
      <c r="P8" s="1610">
        <v>705.44</v>
      </c>
      <c r="Q8" s="1564">
        <v>705.44</v>
      </c>
      <c r="R8" s="1562">
        <v>705.44</v>
      </c>
      <c r="S8" s="1610">
        <v>705.44</v>
      </c>
      <c r="T8" s="1564">
        <v>705.44</v>
      </c>
      <c r="U8" s="1562">
        <v>705.44</v>
      </c>
      <c r="V8" s="1610">
        <v>705.44</v>
      </c>
      <c r="W8" s="1564">
        <v>705.44</v>
      </c>
      <c r="X8" s="1669">
        <f t="shared" si="0"/>
        <v>8465.2800000000025</v>
      </c>
      <c r="AA8" s="4967"/>
      <c r="AB8" s="2298"/>
    </row>
    <row r="9" spans="1:36" s="1631" customFormat="1" ht="13.5">
      <c r="A9" s="5525"/>
      <c r="B9" s="61" t="s">
        <v>1492</v>
      </c>
      <c r="C9" s="1786" t="s">
        <v>1494</v>
      </c>
      <c r="D9" s="67">
        <v>2</v>
      </c>
      <c r="E9" s="67">
        <v>179446.15384615384</v>
      </c>
      <c r="F9" s="2948">
        <v>48</v>
      </c>
      <c r="G9" s="4847">
        <v>7.8E-2</v>
      </c>
      <c r="H9" s="4843">
        <v>7.8E-2</v>
      </c>
      <c r="I9" s="4830">
        <f>+E9-J9</f>
        <v>175707.69230769231</v>
      </c>
      <c r="J9" s="4831">
        <f>+E9/F9</f>
        <v>3738.4615384615386</v>
      </c>
      <c r="K9" s="1662">
        <f t="shared" si="2"/>
        <v>130846.15384615384</v>
      </c>
      <c r="L9" s="1562">
        <f>+J9</f>
        <v>3738.4615384615386</v>
      </c>
      <c r="M9" s="1610">
        <f>+L9</f>
        <v>3738.4615384615386</v>
      </c>
      <c r="N9" s="1564">
        <f t="shared" ref="N9:W10" si="3">+M9</f>
        <v>3738.4615384615386</v>
      </c>
      <c r="O9" s="1562">
        <f t="shared" si="3"/>
        <v>3738.4615384615386</v>
      </c>
      <c r="P9" s="1610">
        <f t="shared" si="3"/>
        <v>3738.4615384615386</v>
      </c>
      <c r="Q9" s="1564">
        <f t="shared" si="3"/>
        <v>3738.4615384615386</v>
      </c>
      <c r="R9" s="1562">
        <f t="shared" si="3"/>
        <v>3738.4615384615386</v>
      </c>
      <c r="S9" s="1610">
        <f t="shared" si="3"/>
        <v>3738.4615384615386</v>
      </c>
      <c r="T9" s="1564">
        <f t="shared" si="3"/>
        <v>3738.4615384615386</v>
      </c>
      <c r="U9" s="1562">
        <f t="shared" si="3"/>
        <v>3738.4615384615386</v>
      </c>
      <c r="V9" s="1610">
        <f t="shared" si="3"/>
        <v>3738.4615384615386</v>
      </c>
      <c r="W9" s="1564">
        <f t="shared" si="3"/>
        <v>3738.4615384615386</v>
      </c>
      <c r="X9" s="1669">
        <f t="shared" si="0"/>
        <v>44861.538461538461</v>
      </c>
      <c r="AA9" s="4967"/>
      <c r="AB9" s="2298"/>
    </row>
    <row r="10" spans="1:36" s="1631" customFormat="1" ht="13.5">
      <c r="A10" s="5525"/>
      <c r="B10" s="61" t="s">
        <v>1493</v>
      </c>
      <c r="C10" s="1786" t="s">
        <v>1494</v>
      </c>
      <c r="D10" s="67">
        <v>1</v>
      </c>
      <c r="E10" s="67">
        <v>125707.41</v>
      </c>
      <c r="F10" s="2948">
        <v>48</v>
      </c>
      <c r="G10" s="4847">
        <v>7.8E-2</v>
      </c>
      <c r="H10" s="4843">
        <v>7.8E-2</v>
      </c>
      <c r="I10" s="4830">
        <f>+E10-J10</f>
        <v>123088.50562500001</v>
      </c>
      <c r="J10" s="4831">
        <f>+E10/F10</f>
        <v>2618.9043750000001</v>
      </c>
      <c r="K10" s="1662">
        <f t="shared" si="2"/>
        <v>91661.653125000012</v>
      </c>
      <c r="L10" s="1562">
        <f>+J10</f>
        <v>2618.9043750000001</v>
      </c>
      <c r="M10" s="1610">
        <f>+L10</f>
        <v>2618.9043750000001</v>
      </c>
      <c r="N10" s="1564">
        <f t="shared" si="3"/>
        <v>2618.9043750000001</v>
      </c>
      <c r="O10" s="1562">
        <f t="shared" si="3"/>
        <v>2618.9043750000001</v>
      </c>
      <c r="P10" s="1610">
        <f t="shared" si="3"/>
        <v>2618.9043750000001</v>
      </c>
      <c r="Q10" s="1564">
        <f t="shared" si="3"/>
        <v>2618.9043750000001</v>
      </c>
      <c r="R10" s="1562">
        <f t="shared" si="3"/>
        <v>2618.9043750000001</v>
      </c>
      <c r="S10" s="1610">
        <f t="shared" si="3"/>
        <v>2618.9043750000001</v>
      </c>
      <c r="T10" s="1564">
        <f t="shared" si="3"/>
        <v>2618.9043750000001</v>
      </c>
      <c r="U10" s="1562">
        <f t="shared" si="3"/>
        <v>2618.9043750000001</v>
      </c>
      <c r="V10" s="1610">
        <f t="shared" si="3"/>
        <v>2618.9043750000001</v>
      </c>
      <c r="W10" s="1564">
        <f t="shared" si="3"/>
        <v>2618.9043750000001</v>
      </c>
      <c r="X10" s="1669">
        <f t="shared" si="0"/>
        <v>31426.852499999994</v>
      </c>
      <c r="AA10" s="4967"/>
      <c r="AB10" s="2298"/>
      <c r="AI10" s="1631" t="s">
        <v>1588</v>
      </c>
    </row>
    <row r="11" spans="1:36" s="1631" customFormat="1" ht="27" customHeight="1">
      <c r="A11" s="5526"/>
      <c r="B11" s="29" t="s">
        <v>363</v>
      </c>
      <c r="C11" s="4988"/>
      <c r="D11" s="4989"/>
      <c r="E11" s="4989">
        <f>SUM(E5:E10)</f>
        <v>1073676.6948461537</v>
      </c>
      <c r="F11" s="2950"/>
      <c r="G11" s="4848"/>
      <c r="H11" s="4844"/>
      <c r="I11" s="4989">
        <f t="shared" ref="I11:K11" si="4">SUM(I5:I10)</f>
        <v>447792.66893269226</v>
      </c>
      <c r="J11" s="4990">
        <f t="shared" si="4"/>
        <v>22368.225913461538</v>
      </c>
      <c r="K11" s="2409">
        <f t="shared" si="4"/>
        <v>226036.90597115384</v>
      </c>
      <c r="L11" s="2951">
        <f>SUM(L5:L10)</f>
        <v>22368.225913461538</v>
      </c>
      <c r="M11" s="2952">
        <f t="shared" ref="M11:X11" si="5">SUM(M5:M10)</f>
        <v>22368.225913461538</v>
      </c>
      <c r="N11" s="2409">
        <f t="shared" si="5"/>
        <v>22368.225913461538</v>
      </c>
      <c r="O11" s="2952">
        <f t="shared" si="5"/>
        <v>22368.225913461538</v>
      </c>
      <c r="P11" s="4517">
        <f t="shared" si="5"/>
        <v>22368.225913461538</v>
      </c>
      <c r="Q11" s="2409">
        <f t="shared" si="5"/>
        <v>25538.225913461538</v>
      </c>
      <c r="R11" s="2952">
        <f t="shared" si="5"/>
        <v>14062.80591346154</v>
      </c>
      <c r="S11" s="4517">
        <f t="shared" si="5"/>
        <v>14062.80591346154</v>
      </c>
      <c r="T11" s="2409">
        <f t="shared" si="5"/>
        <v>14062.80591346154</v>
      </c>
      <c r="U11" s="2952">
        <f t="shared" si="5"/>
        <v>14062.80591346154</v>
      </c>
      <c r="V11" s="4517">
        <f t="shared" si="5"/>
        <v>14062.80591346154</v>
      </c>
      <c r="W11" s="2409">
        <f t="shared" si="5"/>
        <v>14062.80591346154</v>
      </c>
      <c r="X11" s="2953">
        <f t="shared" si="5"/>
        <v>221756.19096153846</v>
      </c>
      <c r="AA11" s="4991" t="s">
        <v>1584</v>
      </c>
      <c r="AB11" s="4992" t="s">
        <v>1585</v>
      </c>
      <c r="AC11" s="4993" t="s">
        <v>1355</v>
      </c>
      <c r="AD11" s="4993" t="s">
        <v>1356</v>
      </c>
      <c r="AE11" s="4993" t="s">
        <v>1357</v>
      </c>
      <c r="AF11" s="4993" t="s">
        <v>1358</v>
      </c>
      <c r="AG11" s="4993" t="s">
        <v>1359</v>
      </c>
      <c r="AH11" s="4993" t="s">
        <v>1360</v>
      </c>
      <c r="AI11" s="4993" t="s">
        <v>1361</v>
      </c>
    </row>
    <row r="12" spans="1:36" s="1631" customFormat="1" ht="13.5">
      <c r="A12" s="4994" t="s">
        <v>539</v>
      </c>
      <c r="B12" s="4312" t="s">
        <v>525</v>
      </c>
      <c r="C12" s="4988" t="s">
        <v>527</v>
      </c>
      <c r="D12" s="4989">
        <v>5</v>
      </c>
      <c r="E12" s="4989">
        <v>114375.98787</v>
      </c>
      <c r="F12" s="2950">
        <v>48</v>
      </c>
      <c r="G12" s="4848">
        <v>8.6400000000000005E-2</v>
      </c>
      <c r="H12" s="4844">
        <v>9.0700000000000003E-2</v>
      </c>
      <c r="I12" s="4989">
        <v>63786.608619807688</v>
      </c>
      <c r="J12" s="4995">
        <f>+E12/F12</f>
        <v>2382.8330806250001</v>
      </c>
      <c r="K12" s="4061">
        <f t="shared" ref="K12:K23" si="6">I12-X12</f>
        <v>38271.965171884614</v>
      </c>
      <c r="L12" s="5042">
        <v>2126.220287326923</v>
      </c>
      <c r="M12" s="1838">
        <f t="shared" ref="M12:W23" si="7">+L12</f>
        <v>2126.220287326923</v>
      </c>
      <c r="N12" s="3944">
        <f t="shared" si="7"/>
        <v>2126.220287326923</v>
      </c>
      <c r="O12" s="5042">
        <f t="shared" si="7"/>
        <v>2126.220287326923</v>
      </c>
      <c r="P12" s="3943">
        <f t="shared" si="7"/>
        <v>2126.220287326923</v>
      </c>
      <c r="Q12" s="5043">
        <f t="shared" si="7"/>
        <v>2126.220287326923</v>
      </c>
      <c r="R12" s="5044">
        <f t="shared" si="7"/>
        <v>2126.220287326923</v>
      </c>
      <c r="S12" s="3943">
        <f t="shared" si="7"/>
        <v>2126.220287326923</v>
      </c>
      <c r="T12" s="3944">
        <f t="shared" si="7"/>
        <v>2126.220287326923</v>
      </c>
      <c r="U12" s="5042">
        <f t="shared" si="7"/>
        <v>2126.220287326923</v>
      </c>
      <c r="V12" s="3943">
        <f t="shared" si="7"/>
        <v>2126.220287326923</v>
      </c>
      <c r="W12" s="3944">
        <f t="shared" si="7"/>
        <v>2126.220287326923</v>
      </c>
      <c r="X12" s="2318">
        <f t="shared" ref="X12:X23" si="8">SUM(L12:W12)</f>
        <v>25514.643447923077</v>
      </c>
      <c r="Y12" s="4996" t="s">
        <v>1508</v>
      </c>
      <c r="Z12" s="4997" t="s">
        <v>1576</v>
      </c>
      <c r="AA12" s="4998">
        <v>18</v>
      </c>
      <c r="AB12" s="4999">
        <f>+F12-AA12</f>
        <v>30</v>
      </c>
      <c r="AC12" s="5000">
        <f>+AA12+6</f>
        <v>24</v>
      </c>
      <c r="AD12" s="5001">
        <f>+AC12+1</f>
        <v>25</v>
      </c>
      <c r="AE12" s="5001">
        <f t="shared" ref="AE12:AI12" si="9">+AD12+1</f>
        <v>26</v>
      </c>
      <c r="AF12" s="5001">
        <f t="shared" si="9"/>
        <v>27</v>
      </c>
      <c r="AG12" s="5001">
        <f t="shared" si="9"/>
        <v>28</v>
      </c>
      <c r="AH12" s="5001">
        <f t="shared" si="9"/>
        <v>29</v>
      </c>
      <c r="AI12" s="5001">
        <f t="shared" si="9"/>
        <v>30</v>
      </c>
      <c r="AJ12" s="2551"/>
    </row>
    <row r="13" spans="1:36" s="1631" customFormat="1" ht="13.5">
      <c r="A13" s="2321"/>
      <c r="B13" s="2140" t="s">
        <v>526</v>
      </c>
      <c r="C13" s="5023" t="s">
        <v>527</v>
      </c>
      <c r="D13" s="5022">
        <v>51</v>
      </c>
      <c r="E13" s="5022">
        <v>745911.81365999999</v>
      </c>
      <c r="F13" s="5045">
        <v>48</v>
      </c>
      <c r="G13" s="5046">
        <v>8.6400000000000005E-2</v>
      </c>
      <c r="H13" s="5047">
        <v>9.0700000000000003E-2</v>
      </c>
      <c r="I13" s="5022">
        <v>435979.9426975</v>
      </c>
      <c r="J13" s="5048">
        <f t="shared" ref="J13:J22" si="10">+E13/F13</f>
        <v>15539.82945125</v>
      </c>
      <c r="K13" s="4062">
        <f t="shared" si="6"/>
        <v>254694.63399157688</v>
      </c>
      <c r="L13" s="5049">
        <v>15107.109058826922</v>
      </c>
      <c r="M13" s="1780">
        <f t="shared" si="7"/>
        <v>15107.109058826922</v>
      </c>
      <c r="N13" s="1589">
        <f t="shared" si="7"/>
        <v>15107.109058826922</v>
      </c>
      <c r="O13" s="5049">
        <f t="shared" si="7"/>
        <v>15107.109058826922</v>
      </c>
      <c r="P13" s="1588">
        <f t="shared" si="7"/>
        <v>15107.109058826922</v>
      </c>
      <c r="Q13" s="5050">
        <f t="shared" si="7"/>
        <v>15107.109058826922</v>
      </c>
      <c r="R13" s="5051">
        <f t="shared" si="7"/>
        <v>15107.109058826922</v>
      </c>
      <c r="S13" s="1588">
        <f t="shared" si="7"/>
        <v>15107.109058826922</v>
      </c>
      <c r="T13" s="1589">
        <f t="shared" si="7"/>
        <v>15107.109058826922</v>
      </c>
      <c r="U13" s="5049">
        <f t="shared" si="7"/>
        <v>15107.109058826922</v>
      </c>
      <c r="V13" s="1588">
        <f t="shared" si="7"/>
        <v>15107.109058826922</v>
      </c>
      <c r="W13" s="1589">
        <f t="shared" si="7"/>
        <v>15107.109058826922</v>
      </c>
      <c r="X13" s="5052">
        <f t="shared" si="8"/>
        <v>181285.30870592312</v>
      </c>
      <c r="Y13" s="5002" t="s">
        <v>1508</v>
      </c>
      <c r="Z13" s="5003" t="s">
        <v>1576</v>
      </c>
      <c r="AA13" s="5004">
        <v>18</v>
      </c>
      <c r="AB13" s="5005">
        <f t="shared" ref="AB13:AB23" si="11">+F13-AA13</f>
        <v>30</v>
      </c>
      <c r="AC13" s="5006">
        <f t="shared" ref="AC13:AC23" si="12">+AA13+6</f>
        <v>24</v>
      </c>
      <c r="AD13" s="5007">
        <f t="shared" ref="AD13:AI23" si="13">+AC13+1</f>
        <v>25</v>
      </c>
      <c r="AE13" s="5007">
        <f t="shared" si="13"/>
        <v>26</v>
      </c>
      <c r="AF13" s="5007">
        <f t="shared" si="13"/>
        <v>27</v>
      </c>
      <c r="AG13" s="5007">
        <f t="shared" si="13"/>
        <v>28</v>
      </c>
      <c r="AH13" s="5007">
        <f t="shared" si="13"/>
        <v>29</v>
      </c>
      <c r="AI13" s="5007">
        <f t="shared" si="13"/>
        <v>30</v>
      </c>
      <c r="AJ13" s="2551"/>
    </row>
    <row r="14" spans="1:36" s="1631" customFormat="1" ht="13.5">
      <c r="A14" s="2321"/>
      <c r="B14" s="4822" t="s">
        <v>525</v>
      </c>
      <c r="C14" s="4850" t="s">
        <v>528</v>
      </c>
      <c r="D14" s="4851">
        <v>2</v>
      </c>
      <c r="E14" s="4851">
        <v>54586.687408199999</v>
      </c>
      <c r="F14" s="4852">
        <v>60</v>
      </c>
      <c r="G14" s="4853">
        <v>9.0399999999999994E-2</v>
      </c>
      <c r="H14" s="4849">
        <v>9.3299999999999994E-2</v>
      </c>
      <c r="I14" s="4861">
        <v>35271.398017606167</v>
      </c>
      <c r="J14" s="4854">
        <f>+E14/F14</f>
        <v>909.77812346999997</v>
      </c>
      <c r="K14" s="4855">
        <f t="shared" si="6"/>
        <v>30349.807596544844</v>
      </c>
      <c r="L14" s="1562">
        <v>820.26507017688755</v>
      </c>
      <c r="M14" s="1610">
        <f t="shared" si="7"/>
        <v>820.26507017688755</v>
      </c>
      <c r="N14" s="1564">
        <f t="shared" si="7"/>
        <v>820.26507017688755</v>
      </c>
      <c r="O14" s="1562">
        <f t="shared" si="7"/>
        <v>820.26507017688755</v>
      </c>
      <c r="P14" s="1563">
        <f t="shared" si="7"/>
        <v>820.26507017688755</v>
      </c>
      <c r="Q14" s="1564">
        <f t="shared" si="7"/>
        <v>820.26507017688755</v>
      </c>
      <c r="R14" s="4972"/>
      <c r="S14" s="4970"/>
      <c r="T14" s="4971"/>
      <c r="U14" s="4972"/>
      <c r="V14" s="4970"/>
      <c r="W14" s="4971"/>
      <c r="X14" s="1669">
        <f t="shared" si="8"/>
        <v>4921.5904210613244</v>
      </c>
      <c r="Y14" s="5008" t="s">
        <v>1509</v>
      </c>
      <c r="Z14" s="5009" t="s">
        <v>1577</v>
      </c>
      <c r="AA14" s="5004">
        <v>17</v>
      </c>
      <c r="AB14" s="5005">
        <f t="shared" si="11"/>
        <v>43</v>
      </c>
      <c r="AC14" s="5006">
        <f t="shared" si="12"/>
        <v>23</v>
      </c>
      <c r="AD14" s="5080">
        <f t="shared" si="13"/>
        <v>24</v>
      </c>
      <c r="AE14" s="5007">
        <f t="shared" si="13"/>
        <v>25</v>
      </c>
      <c r="AF14" s="5007">
        <f t="shared" si="13"/>
        <v>26</v>
      </c>
      <c r="AG14" s="5007">
        <f t="shared" si="13"/>
        <v>27</v>
      </c>
      <c r="AH14" s="5007">
        <f t="shared" si="13"/>
        <v>28</v>
      </c>
      <c r="AI14" s="5007">
        <f t="shared" si="13"/>
        <v>29</v>
      </c>
      <c r="AJ14" s="2551"/>
    </row>
    <row r="15" spans="1:36" s="1631" customFormat="1" ht="13.5">
      <c r="A15" s="2321"/>
      <c r="B15" s="4822" t="s">
        <v>526</v>
      </c>
      <c r="C15" s="4850" t="s">
        <v>992</v>
      </c>
      <c r="D15" s="4851">
        <v>25</v>
      </c>
      <c r="E15" s="4851">
        <v>599814.19570499996</v>
      </c>
      <c r="F15" s="4852">
        <v>60</v>
      </c>
      <c r="G15" s="4853">
        <v>9.0399999999999994E-2</v>
      </c>
      <c r="H15" s="4849">
        <v>9.3299999999999994E-2</v>
      </c>
      <c r="I15" s="4861">
        <v>405190.7347835477</v>
      </c>
      <c r="J15" s="4854">
        <f>+E15/F15</f>
        <v>9996.9032617499997</v>
      </c>
      <c r="K15" s="4855">
        <f t="shared" si="6"/>
        <v>347189.16328153212</v>
      </c>
      <c r="L15" s="1562">
        <v>9666.928583669267</v>
      </c>
      <c r="M15" s="1610">
        <f t="shared" si="7"/>
        <v>9666.928583669267</v>
      </c>
      <c r="N15" s="1564">
        <f t="shared" si="7"/>
        <v>9666.928583669267</v>
      </c>
      <c r="O15" s="1562">
        <f t="shared" si="7"/>
        <v>9666.928583669267</v>
      </c>
      <c r="P15" s="1563">
        <f t="shared" si="7"/>
        <v>9666.928583669267</v>
      </c>
      <c r="Q15" s="1564">
        <f t="shared" si="7"/>
        <v>9666.928583669267</v>
      </c>
      <c r="R15" s="4972"/>
      <c r="S15" s="4970"/>
      <c r="T15" s="4971"/>
      <c r="U15" s="4972"/>
      <c r="V15" s="4970"/>
      <c r="W15" s="4971"/>
      <c r="X15" s="1669">
        <f t="shared" si="8"/>
        <v>58001.571502015599</v>
      </c>
      <c r="Y15" s="5008" t="s">
        <v>1509</v>
      </c>
      <c r="Z15" s="5009" t="s">
        <v>1577</v>
      </c>
      <c r="AA15" s="5004">
        <v>17</v>
      </c>
      <c r="AB15" s="5005">
        <f t="shared" si="11"/>
        <v>43</v>
      </c>
      <c r="AC15" s="5006">
        <f t="shared" si="12"/>
        <v>23</v>
      </c>
      <c r="AD15" s="5080">
        <f t="shared" si="13"/>
        <v>24</v>
      </c>
      <c r="AE15" s="5007">
        <f t="shared" si="13"/>
        <v>25</v>
      </c>
      <c r="AF15" s="5007">
        <f t="shared" si="13"/>
        <v>26</v>
      </c>
      <c r="AG15" s="5007">
        <f t="shared" si="13"/>
        <v>27</v>
      </c>
      <c r="AH15" s="5007">
        <f t="shared" si="13"/>
        <v>28</v>
      </c>
      <c r="AI15" s="5007">
        <f t="shared" si="13"/>
        <v>29</v>
      </c>
      <c r="AJ15" s="2551"/>
    </row>
    <row r="16" spans="1:36" s="1631" customFormat="1" ht="13.5">
      <c r="A16" s="2321"/>
      <c r="B16" s="5055" t="s">
        <v>991</v>
      </c>
      <c r="C16" s="5056" t="s">
        <v>992</v>
      </c>
      <c r="D16" s="5057">
        <v>2</v>
      </c>
      <c r="E16" s="5057">
        <f>1589522078.16/25000</f>
        <v>63580.883126400004</v>
      </c>
      <c r="F16" s="5058">
        <v>48</v>
      </c>
      <c r="G16" s="5059">
        <v>8.7800000000000003E-2</v>
      </c>
      <c r="H16" s="5060">
        <v>9.0700000000000003E-2</v>
      </c>
      <c r="I16" s="5057">
        <v>37903.988017661548</v>
      </c>
      <c r="J16" s="5061">
        <f t="shared" si="10"/>
        <v>1324.6017318000002</v>
      </c>
      <c r="K16" s="5062">
        <f t="shared" si="6"/>
        <v>30796.990264350006</v>
      </c>
      <c r="L16" s="1581">
        <v>1184.4996255519234</v>
      </c>
      <c r="M16" s="1772">
        <f t="shared" si="7"/>
        <v>1184.4996255519234</v>
      </c>
      <c r="N16" s="1583">
        <f t="shared" si="7"/>
        <v>1184.4996255519234</v>
      </c>
      <c r="O16" s="1581">
        <f t="shared" si="7"/>
        <v>1184.4996255519234</v>
      </c>
      <c r="P16" s="1582">
        <f t="shared" si="7"/>
        <v>1184.4996255519234</v>
      </c>
      <c r="Q16" s="1583">
        <f t="shared" si="7"/>
        <v>1184.4996255519234</v>
      </c>
      <c r="R16" s="5063"/>
      <c r="S16" s="5064"/>
      <c r="T16" s="5065"/>
      <c r="U16" s="5063"/>
      <c r="V16" s="5064"/>
      <c r="W16" s="5065"/>
      <c r="X16" s="5066">
        <f t="shared" si="8"/>
        <v>7106.9977533115407</v>
      </c>
      <c r="Y16" s="5010" t="s">
        <v>1510</v>
      </c>
      <c r="Z16" s="5011" t="s">
        <v>1578</v>
      </c>
      <c r="AA16" s="5004">
        <v>17</v>
      </c>
      <c r="AB16" s="5005">
        <f t="shared" si="11"/>
        <v>31</v>
      </c>
      <c r="AC16" s="5006">
        <f t="shared" si="12"/>
        <v>23</v>
      </c>
      <c r="AD16" s="5080">
        <f t="shared" si="13"/>
        <v>24</v>
      </c>
      <c r="AE16" s="5007">
        <f t="shared" si="13"/>
        <v>25</v>
      </c>
      <c r="AF16" s="5007">
        <f t="shared" si="13"/>
        <v>26</v>
      </c>
      <c r="AG16" s="5007">
        <f t="shared" si="13"/>
        <v>27</v>
      </c>
      <c r="AH16" s="5007">
        <f t="shared" si="13"/>
        <v>28</v>
      </c>
      <c r="AI16" s="5007">
        <f t="shared" si="13"/>
        <v>29</v>
      </c>
      <c r="AJ16" s="2551"/>
    </row>
    <row r="17" spans="1:36" s="1631" customFormat="1" ht="13.5">
      <c r="A17" s="2321"/>
      <c r="B17" s="4822" t="s">
        <v>993</v>
      </c>
      <c r="C17" s="4850" t="s">
        <v>992</v>
      </c>
      <c r="D17" s="4851">
        <v>5</v>
      </c>
      <c r="E17" s="4851">
        <f>1903386870/25000</f>
        <v>76135.474799999996</v>
      </c>
      <c r="F17" s="4852">
        <v>48</v>
      </c>
      <c r="G17" s="4853">
        <v>8.7800000000000003E-2</v>
      </c>
      <c r="H17" s="4849">
        <v>9.0700000000000003E-2</v>
      </c>
      <c r="I17" s="4851">
        <v>45658.516130769211</v>
      </c>
      <c r="J17" s="4854">
        <f t="shared" si="10"/>
        <v>1586.1557249999998</v>
      </c>
      <c r="K17" s="4855">
        <f t="shared" si="6"/>
        <v>37097.544356249986</v>
      </c>
      <c r="L17" s="1562">
        <v>1426.8286290865378</v>
      </c>
      <c r="M17" s="1610">
        <f t="shared" si="7"/>
        <v>1426.8286290865378</v>
      </c>
      <c r="N17" s="1564">
        <f t="shared" si="7"/>
        <v>1426.8286290865378</v>
      </c>
      <c r="O17" s="1562">
        <f t="shared" si="7"/>
        <v>1426.8286290865378</v>
      </c>
      <c r="P17" s="1563">
        <f t="shared" si="7"/>
        <v>1426.8286290865378</v>
      </c>
      <c r="Q17" s="1564">
        <f t="shared" si="7"/>
        <v>1426.8286290865378</v>
      </c>
      <c r="R17" s="4972"/>
      <c r="S17" s="4970"/>
      <c r="T17" s="4971"/>
      <c r="U17" s="4972"/>
      <c r="V17" s="4970"/>
      <c r="W17" s="4971"/>
      <c r="X17" s="1669">
        <f t="shared" si="8"/>
        <v>8560.9717745192265</v>
      </c>
      <c r="Y17" s="5010" t="s">
        <v>1510</v>
      </c>
      <c r="Z17" s="5011" t="s">
        <v>1578</v>
      </c>
      <c r="AA17" s="5004">
        <v>17</v>
      </c>
      <c r="AB17" s="5005">
        <f t="shared" si="11"/>
        <v>31</v>
      </c>
      <c r="AC17" s="5006">
        <f t="shared" si="12"/>
        <v>23</v>
      </c>
      <c r="AD17" s="5080">
        <f t="shared" si="13"/>
        <v>24</v>
      </c>
      <c r="AE17" s="5007">
        <f t="shared" si="13"/>
        <v>25</v>
      </c>
      <c r="AF17" s="5007">
        <f t="shared" si="13"/>
        <v>26</v>
      </c>
      <c r="AG17" s="5007">
        <f t="shared" si="13"/>
        <v>27</v>
      </c>
      <c r="AH17" s="5007">
        <f t="shared" si="13"/>
        <v>28</v>
      </c>
      <c r="AI17" s="5007">
        <f t="shared" si="13"/>
        <v>29</v>
      </c>
      <c r="AJ17" s="2551"/>
    </row>
    <row r="18" spans="1:36" s="1631" customFormat="1" ht="13.5">
      <c r="A18" s="2321"/>
      <c r="B18" s="4822" t="s">
        <v>994</v>
      </c>
      <c r="C18" s="4850" t="s">
        <v>992</v>
      </c>
      <c r="D18" s="4851">
        <v>1</v>
      </c>
      <c r="E18" s="4851">
        <f>720000000/25000</f>
        <v>28800</v>
      </c>
      <c r="F18" s="4852">
        <v>48</v>
      </c>
      <c r="G18" s="4853">
        <v>8.7800000000000003E-2</v>
      </c>
      <c r="H18" s="4849">
        <v>9.0700000000000003E-2</v>
      </c>
      <c r="I18" s="4851">
        <v>21085.074011569232</v>
      </c>
      <c r="J18" s="4854">
        <f t="shared" si="10"/>
        <v>600</v>
      </c>
      <c r="K18" s="4855">
        <f t="shared" si="6"/>
        <v>16498.673693246154</v>
      </c>
      <c r="L18" s="1562">
        <v>764.40005305384625</v>
      </c>
      <c r="M18" s="1610">
        <f t="shared" si="7"/>
        <v>764.40005305384625</v>
      </c>
      <c r="N18" s="1564">
        <f t="shared" si="7"/>
        <v>764.40005305384625</v>
      </c>
      <c r="O18" s="1562">
        <f t="shared" si="7"/>
        <v>764.40005305384625</v>
      </c>
      <c r="P18" s="1563">
        <f t="shared" si="7"/>
        <v>764.40005305384625</v>
      </c>
      <c r="Q18" s="1564">
        <f t="shared" si="7"/>
        <v>764.40005305384625</v>
      </c>
      <c r="R18" s="4972"/>
      <c r="S18" s="4970"/>
      <c r="T18" s="4971"/>
      <c r="U18" s="4972"/>
      <c r="V18" s="4970"/>
      <c r="W18" s="4971"/>
      <c r="X18" s="1669">
        <f t="shared" si="8"/>
        <v>4586.400318323077</v>
      </c>
      <c r="Y18" s="5010" t="s">
        <v>1510</v>
      </c>
      <c r="Z18" s="5011" t="s">
        <v>1578</v>
      </c>
      <c r="AA18" s="5004">
        <v>17</v>
      </c>
      <c r="AB18" s="5005">
        <f t="shared" si="11"/>
        <v>31</v>
      </c>
      <c r="AC18" s="5012">
        <f t="shared" si="12"/>
        <v>23</v>
      </c>
      <c r="AD18" s="5081">
        <f t="shared" si="13"/>
        <v>24</v>
      </c>
      <c r="AE18" s="5014">
        <f t="shared" si="13"/>
        <v>25</v>
      </c>
      <c r="AF18" s="5014">
        <f t="shared" si="13"/>
        <v>26</v>
      </c>
      <c r="AG18" s="5014">
        <f t="shared" si="13"/>
        <v>27</v>
      </c>
      <c r="AH18" s="5014">
        <f t="shared" si="13"/>
        <v>28</v>
      </c>
      <c r="AI18" s="5014">
        <f t="shared" si="13"/>
        <v>29</v>
      </c>
      <c r="AJ18" s="2551"/>
    </row>
    <row r="19" spans="1:36" s="1631" customFormat="1" ht="13.5">
      <c r="A19" s="2321"/>
      <c r="B19" s="5067" t="s">
        <v>821</v>
      </c>
      <c r="C19" s="5068" t="s">
        <v>822</v>
      </c>
      <c r="D19" s="5069">
        <v>1</v>
      </c>
      <c r="E19" s="5069">
        <f>4354311864/25000</f>
        <v>174172.47456</v>
      </c>
      <c r="F19" s="5070">
        <v>60</v>
      </c>
      <c r="G19" s="5071">
        <v>8.8400000000000006E-2</v>
      </c>
      <c r="H19" s="5072">
        <v>9.1300000000000006E-2</v>
      </c>
      <c r="I19" s="5069">
        <v>122813.92438461538</v>
      </c>
      <c r="J19" s="5073">
        <f t="shared" si="10"/>
        <v>2902.8745760000002</v>
      </c>
      <c r="K19" s="5074">
        <f t="shared" si="6"/>
        <v>106066.57115384616</v>
      </c>
      <c r="L19" s="5049">
        <v>2791.2255384615382</v>
      </c>
      <c r="M19" s="1780">
        <f t="shared" si="7"/>
        <v>2791.2255384615382</v>
      </c>
      <c r="N19" s="1589">
        <f t="shared" si="7"/>
        <v>2791.2255384615382</v>
      </c>
      <c r="O19" s="5049">
        <f t="shared" si="7"/>
        <v>2791.2255384615382</v>
      </c>
      <c r="P19" s="1588">
        <f t="shared" si="7"/>
        <v>2791.2255384615382</v>
      </c>
      <c r="Q19" s="1589">
        <f t="shared" si="7"/>
        <v>2791.2255384615382</v>
      </c>
      <c r="R19" s="5075"/>
      <c r="S19" s="5076"/>
      <c r="T19" s="5077"/>
      <c r="U19" s="5075"/>
      <c r="V19" s="5076"/>
      <c r="W19" s="5077"/>
      <c r="X19" s="5052">
        <f t="shared" si="8"/>
        <v>16747.353230769229</v>
      </c>
      <c r="Y19" s="5015" t="s">
        <v>1511</v>
      </c>
      <c r="Z19" s="5016" t="s">
        <v>821</v>
      </c>
      <c r="AA19" s="5004">
        <v>15</v>
      </c>
      <c r="AB19" s="5005">
        <f t="shared" si="11"/>
        <v>45</v>
      </c>
      <c r="AC19" s="5012">
        <f t="shared" si="12"/>
        <v>21</v>
      </c>
      <c r="AD19" s="5013">
        <f t="shared" si="13"/>
        <v>22</v>
      </c>
      <c r="AE19" s="5013">
        <f t="shared" si="13"/>
        <v>23</v>
      </c>
      <c r="AF19" s="5013">
        <f t="shared" si="13"/>
        <v>24</v>
      </c>
      <c r="AG19" s="5014">
        <f t="shared" si="13"/>
        <v>25</v>
      </c>
      <c r="AH19" s="5014">
        <f t="shared" si="13"/>
        <v>26</v>
      </c>
      <c r="AI19" s="5014">
        <f t="shared" si="13"/>
        <v>27</v>
      </c>
      <c r="AJ19" s="2551"/>
    </row>
    <row r="20" spans="1:36" s="1631" customFormat="1" ht="13.5">
      <c r="A20" s="2321"/>
      <c r="B20" s="2140" t="s">
        <v>995</v>
      </c>
      <c r="C20" s="5023" t="s">
        <v>996</v>
      </c>
      <c r="D20" s="5022">
        <v>8</v>
      </c>
      <c r="E20" s="5022">
        <f>6184328000/25000</f>
        <v>247373.12</v>
      </c>
      <c r="F20" s="5045">
        <v>60</v>
      </c>
      <c r="G20" s="5046">
        <v>9.1600000000000001E-2</v>
      </c>
      <c r="H20" s="5053">
        <v>9.1300000000000006E-2</v>
      </c>
      <c r="I20" s="5054">
        <v>174429.76403846155</v>
      </c>
      <c r="J20" s="5048">
        <f>+E20/F20</f>
        <v>4122.8853333333336</v>
      </c>
      <c r="K20" s="4062">
        <f>I20-X20</f>
        <v>126858.01034615384</v>
      </c>
      <c r="L20" s="5049">
        <v>3964.3128076923076</v>
      </c>
      <c r="M20" s="1780">
        <f>+L20</f>
        <v>3964.3128076923076</v>
      </c>
      <c r="N20" s="1589">
        <f>+M20</f>
        <v>3964.3128076923076</v>
      </c>
      <c r="O20" s="5049">
        <f>+N20</f>
        <v>3964.3128076923076</v>
      </c>
      <c r="P20" s="1588">
        <f>+O20</f>
        <v>3964.3128076923076</v>
      </c>
      <c r="Q20" s="1589">
        <f>+P20</f>
        <v>3964.3128076923076</v>
      </c>
      <c r="R20" s="5049">
        <f t="shared" ref="R20:W20" si="14">+Q20</f>
        <v>3964.3128076923076</v>
      </c>
      <c r="S20" s="1588">
        <f t="shared" si="14"/>
        <v>3964.3128076923076</v>
      </c>
      <c r="T20" s="1589">
        <f t="shared" si="14"/>
        <v>3964.3128076923076</v>
      </c>
      <c r="U20" s="5049">
        <f t="shared" si="14"/>
        <v>3964.3128076923076</v>
      </c>
      <c r="V20" s="1588">
        <f t="shared" si="14"/>
        <v>3964.3128076923076</v>
      </c>
      <c r="W20" s="1589">
        <f t="shared" si="14"/>
        <v>3964.3128076923076</v>
      </c>
      <c r="X20" s="1669">
        <f>SUM(L20:W20)</f>
        <v>47571.753692307706</v>
      </c>
      <c r="Y20" s="5017" t="s">
        <v>1512</v>
      </c>
      <c r="Z20" s="5004" t="s">
        <v>995</v>
      </c>
      <c r="AA20" s="5004">
        <v>15</v>
      </c>
      <c r="AB20" s="5005">
        <f t="shared" si="11"/>
        <v>45</v>
      </c>
      <c r="AC20" s="5012">
        <f t="shared" si="12"/>
        <v>21</v>
      </c>
      <c r="AD20" s="5013">
        <f t="shared" si="13"/>
        <v>22</v>
      </c>
      <c r="AE20" s="5013">
        <f t="shared" si="13"/>
        <v>23</v>
      </c>
      <c r="AF20" s="5013">
        <f t="shared" si="13"/>
        <v>24</v>
      </c>
      <c r="AG20" s="5014">
        <f t="shared" si="13"/>
        <v>25</v>
      </c>
      <c r="AH20" s="5014">
        <f t="shared" si="13"/>
        <v>26</v>
      </c>
      <c r="AI20" s="5014">
        <f t="shared" si="13"/>
        <v>27</v>
      </c>
      <c r="AJ20" s="2551"/>
    </row>
    <row r="21" spans="1:36" s="1631" customFormat="1" ht="13.5">
      <c r="A21" s="2321"/>
      <c r="B21" s="5031" t="s">
        <v>1152</v>
      </c>
      <c r="C21" s="5032" t="s">
        <v>1153</v>
      </c>
      <c r="D21" s="5033">
        <v>4</v>
      </c>
      <c r="E21" s="5033">
        <v>137899.95791999999</v>
      </c>
      <c r="F21" s="5034">
        <v>60</v>
      </c>
      <c r="G21" s="5035">
        <v>8.9099999999999999E-2</v>
      </c>
      <c r="H21" s="5036">
        <v>8.8800000000000004E-2</v>
      </c>
      <c r="I21" s="5037">
        <v>86408.467384615389</v>
      </c>
      <c r="J21" s="5038">
        <f t="shared" si="10"/>
        <v>2298.3326319999996</v>
      </c>
      <c r="K21" s="2907">
        <f t="shared" si="6"/>
        <v>63867.128307692314</v>
      </c>
      <c r="L21" s="2910">
        <v>1878.444923076923</v>
      </c>
      <c r="M21" s="3483">
        <f t="shared" si="7"/>
        <v>1878.444923076923</v>
      </c>
      <c r="N21" s="2909">
        <f t="shared" si="7"/>
        <v>1878.444923076923</v>
      </c>
      <c r="O21" s="2910">
        <f t="shared" si="7"/>
        <v>1878.444923076923</v>
      </c>
      <c r="P21" s="2908">
        <f t="shared" si="7"/>
        <v>1878.444923076923</v>
      </c>
      <c r="Q21" s="2909">
        <f t="shared" si="7"/>
        <v>1878.444923076923</v>
      </c>
      <c r="R21" s="2910">
        <f t="shared" si="7"/>
        <v>1878.444923076923</v>
      </c>
      <c r="S21" s="2908">
        <f t="shared" si="7"/>
        <v>1878.444923076923</v>
      </c>
      <c r="T21" s="2909">
        <f t="shared" si="7"/>
        <v>1878.444923076923</v>
      </c>
      <c r="U21" s="2910">
        <f t="shared" si="7"/>
        <v>1878.444923076923</v>
      </c>
      <c r="V21" s="2908">
        <f t="shared" si="7"/>
        <v>1878.444923076923</v>
      </c>
      <c r="W21" s="2909">
        <f t="shared" si="7"/>
        <v>1878.444923076923</v>
      </c>
      <c r="X21" s="1669">
        <f t="shared" si="8"/>
        <v>22541.339076923079</v>
      </c>
      <c r="Y21" s="5017" t="s">
        <v>1513</v>
      </c>
      <c r="Z21" s="5004" t="s">
        <v>1152</v>
      </c>
      <c r="AA21" s="5004">
        <v>13</v>
      </c>
      <c r="AB21" s="5005">
        <f t="shared" si="11"/>
        <v>47</v>
      </c>
      <c r="AC21" s="5012">
        <f t="shared" si="12"/>
        <v>19</v>
      </c>
      <c r="AD21" s="5013">
        <f t="shared" si="13"/>
        <v>20</v>
      </c>
      <c r="AE21" s="5013">
        <f t="shared" si="13"/>
        <v>21</v>
      </c>
      <c r="AF21" s="5013">
        <f t="shared" si="13"/>
        <v>22</v>
      </c>
      <c r="AG21" s="5013">
        <f t="shared" si="13"/>
        <v>23</v>
      </c>
      <c r="AH21" s="5013">
        <f t="shared" si="13"/>
        <v>24</v>
      </c>
      <c r="AI21" s="5014">
        <f t="shared" si="13"/>
        <v>25</v>
      </c>
      <c r="AJ21" s="2551"/>
    </row>
    <row r="22" spans="1:36" s="1631" customFormat="1" ht="13.5">
      <c r="A22" s="2321"/>
      <c r="B22" s="5031" t="s">
        <v>1189</v>
      </c>
      <c r="C22" s="5032" t="s">
        <v>1188</v>
      </c>
      <c r="D22" s="5033">
        <v>4</v>
      </c>
      <c r="E22" s="5033">
        <f>+I22</f>
        <v>330528.23031923076</v>
      </c>
      <c r="F22" s="5034">
        <v>60</v>
      </c>
      <c r="G22" s="5035">
        <v>8.6099999999999996E-2</v>
      </c>
      <c r="H22" s="5039">
        <v>8.5800000000000001E-2</v>
      </c>
      <c r="I22" s="5040">
        <v>330528.23031923076</v>
      </c>
      <c r="J22" s="5038">
        <f t="shared" si="10"/>
        <v>5508.8038386538456</v>
      </c>
      <c r="K22" s="2907">
        <f t="shared" si="6"/>
        <v>247896.17262692307</v>
      </c>
      <c r="L22" s="2910">
        <v>6886.0048076923076</v>
      </c>
      <c r="M22" s="3483">
        <f t="shared" si="7"/>
        <v>6886.0048076923076</v>
      </c>
      <c r="N22" s="2909">
        <f t="shared" si="7"/>
        <v>6886.0048076923076</v>
      </c>
      <c r="O22" s="2910">
        <f t="shared" si="7"/>
        <v>6886.0048076923076</v>
      </c>
      <c r="P22" s="2908">
        <f t="shared" si="7"/>
        <v>6886.0048076923076</v>
      </c>
      <c r="Q22" s="2909">
        <f t="shared" si="7"/>
        <v>6886.0048076923076</v>
      </c>
      <c r="R22" s="2910">
        <f t="shared" si="7"/>
        <v>6886.0048076923076</v>
      </c>
      <c r="S22" s="2908">
        <f t="shared" si="7"/>
        <v>6886.0048076923076</v>
      </c>
      <c r="T22" s="2909">
        <f t="shared" si="7"/>
        <v>6886.0048076923076</v>
      </c>
      <c r="U22" s="2910">
        <f t="shared" si="7"/>
        <v>6886.0048076923076</v>
      </c>
      <c r="V22" s="2908">
        <f t="shared" si="7"/>
        <v>6886.0048076923076</v>
      </c>
      <c r="W22" s="2909">
        <f t="shared" si="7"/>
        <v>6886.0048076923076</v>
      </c>
      <c r="X22" s="1669">
        <f t="shared" si="8"/>
        <v>82632.057692307688</v>
      </c>
      <c r="Y22" s="5017" t="s">
        <v>1514</v>
      </c>
      <c r="Z22" s="5004" t="s">
        <v>1189</v>
      </c>
      <c r="AA22" s="5004">
        <v>11</v>
      </c>
      <c r="AB22" s="5005">
        <f t="shared" si="11"/>
        <v>49</v>
      </c>
      <c r="AC22" s="5012">
        <f t="shared" si="12"/>
        <v>17</v>
      </c>
      <c r="AD22" s="5013">
        <f t="shared" si="13"/>
        <v>18</v>
      </c>
      <c r="AE22" s="5013">
        <f t="shared" si="13"/>
        <v>19</v>
      </c>
      <c r="AF22" s="5013">
        <f t="shared" si="13"/>
        <v>20</v>
      </c>
      <c r="AG22" s="5013">
        <f t="shared" si="13"/>
        <v>21</v>
      </c>
      <c r="AH22" s="5013">
        <f t="shared" si="13"/>
        <v>22</v>
      </c>
      <c r="AI22" s="5013">
        <f t="shared" si="13"/>
        <v>23</v>
      </c>
      <c r="AJ22" s="2551"/>
    </row>
    <row r="23" spans="1:36" s="1631" customFormat="1" ht="13.5">
      <c r="A23" s="2321"/>
      <c r="B23" s="4302" t="s">
        <v>1202</v>
      </c>
      <c r="C23" s="5025" t="s">
        <v>1201</v>
      </c>
      <c r="D23" s="5026">
        <v>1</v>
      </c>
      <c r="E23" s="5026">
        <f>8074069755/25000</f>
        <v>322962.79019999999</v>
      </c>
      <c r="F23" s="5027">
        <v>60</v>
      </c>
      <c r="G23" s="5028">
        <v>8.6099999999999996E-2</v>
      </c>
      <c r="H23" s="5029">
        <v>8.5800000000000001E-2</v>
      </c>
      <c r="I23" s="5041">
        <v>253608.60136461537</v>
      </c>
      <c r="J23" s="5030">
        <f>+E23/F23</f>
        <v>5382.71317</v>
      </c>
      <c r="K23" s="3463">
        <f t="shared" si="6"/>
        <v>185289.54967230768</v>
      </c>
      <c r="L23" s="1603">
        <v>5693.2543076923075</v>
      </c>
      <c r="M23" s="3488">
        <f>+L23</f>
        <v>5693.2543076923075</v>
      </c>
      <c r="N23" s="1605">
        <f>M23</f>
        <v>5693.2543076923075</v>
      </c>
      <c r="O23" s="1603">
        <f t="shared" si="7"/>
        <v>5693.2543076923075</v>
      </c>
      <c r="P23" s="1604">
        <f t="shared" si="7"/>
        <v>5693.2543076923075</v>
      </c>
      <c r="Q23" s="1605">
        <f t="shared" si="7"/>
        <v>5693.2543076923075</v>
      </c>
      <c r="R23" s="1603">
        <f t="shared" si="7"/>
        <v>5693.2543076923075</v>
      </c>
      <c r="S23" s="1604">
        <f t="shared" si="7"/>
        <v>5693.2543076923075</v>
      </c>
      <c r="T23" s="1605">
        <f t="shared" si="7"/>
        <v>5693.2543076923075</v>
      </c>
      <c r="U23" s="1603">
        <f t="shared" si="7"/>
        <v>5693.2543076923075</v>
      </c>
      <c r="V23" s="1604">
        <f t="shared" si="7"/>
        <v>5693.2543076923075</v>
      </c>
      <c r="W23" s="1605">
        <f t="shared" si="7"/>
        <v>5693.2543076923075</v>
      </c>
      <c r="X23" s="1669">
        <f t="shared" si="8"/>
        <v>68319.051692307708</v>
      </c>
      <c r="Y23" s="5018" t="s">
        <v>1515</v>
      </c>
      <c r="Z23" s="5019" t="s">
        <v>1579</v>
      </c>
      <c r="AA23" s="5004">
        <v>10</v>
      </c>
      <c r="AB23" s="5005">
        <f t="shared" si="11"/>
        <v>50</v>
      </c>
      <c r="AC23" s="5012">
        <f t="shared" si="12"/>
        <v>16</v>
      </c>
      <c r="AD23" s="5013">
        <f t="shared" si="13"/>
        <v>17</v>
      </c>
      <c r="AE23" s="5013">
        <f t="shared" si="13"/>
        <v>18</v>
      </c>
      <c r="AF23" s="5013">
        <f t="shared" si="13"/>
        <v>19</v>
      </c>
      <c r="AG23" s="5013">
        <f t="shared" si="13"/>
        <v>20</v>
      </c>
      <c r="AH23" s="5013">
        <f t="shared" si="13"/>
        <v>21</v>
      </c>
      <c r="AI23" s="5013">
        <f t="shared" si="13"/>
        <v>22</v>
      </c>
      <c r="AJ23" s="2551"/>
    </row>
    <row r="24" spans="1:36" s="1631" customFormat="1" ht="14.25" thickBot="1">
      <c r="A24" s="4859"/>
      <c r="B24" s="29" t="s">
        <v>363</v>
      </c>
      <c r="C24" s="4517"/>
      <c r="D24" s="4517"/>
      <c r="E24" s="2408">
        <f>SUM(E12:E23)</f>
        <v>2896141.6155688306</v>
      </c>
      <c r="F24" s="2951"/>
      <c r="G24" s="4517">
        <v>9.5</v>
      </c>
      <c r="H24" s="2408"/>
      <c r="I24" s="2408">
        <f>SUM(I12:I23)</f>
        <v>2012665.2497699999</v>
      </c>
      <c r="J24" s="2409">
        <f>SUM(J12:J19)</f>
        <v>35242.975949895001</v>
      </c>
      <c r="K24" s="2953">
        <f t="shared" ref="K24:W24" si="15">SUM(K12:K23)</f>
        <v>1484876.2104623078</v>
      </c>
      <c r="L24" s="2951">
        <f t="shared" si="15"/>
        <v>52309.493692307697</v>
      </c>
      <c r="M24" s="2952">
        <f t="shared" si="15"/>
        <v>52309.493692307697</v>
      </c>
      <c r="N24" s="2409">
        <f t="shared" si="15"/>
        <v>52309.493692307697</v>
      </c>
      <c r="O24" s="2951">
        <f t="shared" si="15"/>
        <v>52309.493692307697</v>
      </c>
      <c r="P24" s="4517">
        <f t="shared" si="15"/>
        <v>52309.493692307697</v>
      </c>
      <c r="Q24" s="2409">
        <f t="shared" si="15"/>
        <v>52309.493692307697</v>
      </c>
      <c r="R24" s="2951">
        <f t="shared" si="15"/>
        <v>35655.34619230769</v>
      </c>
      <c r="S24" s="4517">
        <f t="shared" si="15"/>
        <v>35655.34619230769</v>
      </c>
      <c r="T24" s="2409">
        <f t="shared" si="15"/>
        <v>35655.34619230769</v>
      </c>
      <c r="U24" s="2951">
        <f t="shared" si="15"/>
        <v>35655.34619230769</v>
      </c>
      <c r="V24" s="4517">
        <f t="shared" si="15"/>
        <v>35655.34619230769</v>
      </c>
      <c r="W24" s="2409">
        <f t="shared" si="15"/>
        <v>35655.34619230769</v>
      </c>
      <c r="X24" s="2953">
        <f>SUM(L24:W24)</f>
        <v>527789.03930769244</v>
      </c>
      <c r="AA24" s="4967"/>
      <c r="AB24" s="5020"/>
    </row>
    <row r="25" spans="1:36" s="1631" customFormat="1" ht="18.75" customHeight="1" thickBot="1">
      <c r="A25" s="5527" t="s">
        <v>826</v>
      </c>
      <c r="B25" s="5528"/>
      <c r="C25" s="5528"/>
      <c r="D25" s="5528"/>
      <c r="E25" s="2955">
        <f>+E11+E24</f>
        <v>3969818.3104149844</v>
      </c>
      <c r="F25" s="2956"/>
      <c r="G25" s="2957"/>
      <c r="H25" s="2957"/>
      <c r="I25" s="2958">
        <f t="shared" ref="I25:X25" si="16">+I11+I24</f>
        <v>2460457.9187026923</v>
      </c>
      <c r="J25" s="2959">
        <f t="shared" si="16"/>
        <v>57611.201863356539</v>
      </c>
      <c r="K25" s="2962">
        <f t="shared" si="16"/>
        <v>1710913.1164334617</v>
      </c>
      <c r="L25" s="2960">
        <f t="shared" si="16"/>
        <v>74677.719605769234</v>
      </c>
      <c r="M25" s="2961">
        <f t="shared" si="16"/>
        <v>74677.719605769234</v>
      </c>
      <c r="N25" s="2955">
        <f t="shared" si="16"/>
        <v>74677.719605769234</v>
      </c>
      <c r="O25" s="2960">
        <f t="shared" si="16"/>
        <v>74677.719605769234</v>
      </c>
      <c r="P25" s="2958">
        <f t="shared" si="16"/>
        <v>74677.719605769234</v>
      </c>
      <c r="Q25" s="2955">
        <f t="shared" si="16"/>
        <v>77847.719605769234</v>
      </c>
      <c r="R25" s="2960">
        <f t="shared" si="16"/>
        <v>49718.15210576923</v>
      </c>
      <c r="S25" s="2958">
        <f t="shared" si="16"/>
        <v>49718.15210576923</v>
      </c>
      <c r="T25" s="2955">
        <f t="shared" si="16"/>
        <v>49718.15210576923</v>
      </c>
      <c r="U25" s="2960">
        <f t="shared" si="16"/>
        <v>49718.15210576923</v>
      </c>
      <c r="V25" s="2958">
        <f t="shared" si="16"/>
        <v>49718.15210576923</v>
      </c>
      <c r="W25" s="2955">
        <f t="shared" si="16"/>
        <v>49718.15210576923</v>
      </c>
      <c r="X25" s="2962">
        <f t="shared" si="16"/>
        <v>749545.2302692309</v>
      </c>
      <c r="AA25" s="4967"/>
      <c r="AB25" s="2298"/>
    </row>
    <row r="26" spans="1:36" s="2965" customFormat="1" ht="12">
      <c r="A26" s="2963"/>
      <c r="B26" s="2963"/>
      <c r="C26" s="2963"/>
      <c r="D26" s="2963"/>
      <c r="E26" s="2964"/>
      <c r="F26" s="2964"/>
      <c r="G26" s="2964"/>
      <c r="H26" s="2964"/>
      <c r="I26" s="2964"/>
      <c r="J26" s="2963"/>
      <c r="K26" s="2964"/>
      <c r="L26" s="2964"/>
      <c r="M26" s="2964"/>
      <c r="N26" s="2964"/>
      <c r="O26" s="2964"/>
      <c r="P26" s="2964"/>
      <c r="Q26" s="2964"/>
      <c r="R26" s="2964"/>
      <c r="S26" s="2964"/>
      <c r="T26" s="2964"/>
      <c r="U26" s="2964"/>
      <c r="V26" s="2964"/>
      <c r="W26" s="2964"/>
      <c r="X26" s="2964"/>
      <c r="AA26" s="4969"/>
      <c r="AB26" s="5021"/>
    </row>
    <row r="27" spans="1:36" ht="17.25" thickBot="1">
      <c r="A27" s="2945" t="s">
        <v>540</v>
      </c>
      <c r="E27" s="2946"/>
      <c r="F27" s="2947"/>
      <c r="G27" s="2947"/>
      <c r="H27" s="2947"/>
      <c r="I27" s="2946"/>
      <c r="J27" s="2947"/>
      <c r="K27" s="2946"/>
      <c r="L27" s="2966"/>
      <c r="M27" s="2966"/>
      <c r="N27" s="2966"/>
      <c r="O27" s="2966"/>
      <c r="P27" s="2966"/>
      <c r="Q27" s="2966"/>
      <c r="R27" s="2946"/>
      <c r="S27" s="2946"/>
      <c r="T27" s="2946"/>
      <c r="U27" s="2946"/>
      <c r="V27" s="2946"/>
      <c r="W27" s="2946"/>
      <c r="X27" s="2946"/>
    </row>
    <row r="28" spans="1:36" s="1631" customFormat="1" ht="42.6" customHeight="1" thickBot="1">
      <c r="A28" s="5352" t="s">
        <v>137</v>
      </c>
      <c r="B28" s="5353"/>
      <c r="C28" s="81" t="s">
        <v>530</v>
      </c>
      <c r="D28" s="72" t="s">
        <v>522</v>
      </c>
      <c r="E28" s="1720" t="s">
        <v>541</v>
      </c>
      <c r="F28" s="4699" t="s">
        <v>532</v>
      </c>
      <c r="G28" s="2106" t="s">
        <v>759</v>
      </c>
      <c r="H28" s="2106" t="s">
        <v>1516</v>
      </c>
      <c r="I28" s="2106" t="s">
        <v>1472</v>
      </c>
      <c r="J28" s="1699" t="s">
        <v>760</v>
      </c>
      <c r="K28" s="1699" t="s">
        <v>542</v>
      </c>
      <c r="L28" s="87" t="str">
        <f t="shared" ref="L28:X28" si="17">L4</f>
        <v>Jan.26</v>
      </c>
      <c r="M28" s="81" t="str">
        <f t="shared" si="17"/>
        <v>Feb.26</v>
      </c>
      <c r="N28" s="1549" t="str">
        <f t="shared" si="17"/>
        <v>Mar.26</v>
      </c>
      <c r="O28" s="1548" t="str">
        <f t="shared" si="17"/>
        <v>Apr.26</v>
      </c>
      <c r="P28" s="81" t="str">
        <f t="shared" si="17"/>
        <v>May.26</v>
      </c>
      <c r="Q28" s="1549" t="str">
        <f t="shared" si="17"/>
        <v>Jun.26</v>
      </c>
      <c r="R28" s="1548" t="str">
        <f t="shared" si="17"/>
        <v>Jul.26</v>
      </c>
      <c r="S28" s="81" t="str">
        <f t="shared" si="17"/>
        <v>Aug.26</v>
      </c>
      <c r="T28" s="1549" t="str">
        <f t="shared" si="17"/>
        <v>Sep.26</v>
      </c>
      <c r="U28" s="1548" t="str">
        <f t="shared" si="17"/>
        <v>Oct.26</v>
      </c>
      <c r="V28" s="81" t="str">
        <f t="shared" si="17"/>
        <v>Nov.26</v>
      </c>
      <c r="W28" s="1549" t="str">
        <f t="shared" si="17"/>
        <v>Dec.26</v>
      </c>
      <c r="X28" s="1550" t="str">
        <f t="shared" si="17"/>
        <v>2026
Total</v>
      </c>
      <c r="AA28" s="4967"/>
      <c r="AB28" s="2298"/>
    </row>
    <row r="29" spans="1:36" s="1631" customFormat="1" ht="13.5">
      <c r="A29" s="5525"/>
      <c r="B29" s="61" t="str">
        <f>B5</f>
        <v xml:space="preserve">Casting Machine 350V7EX </v>
      </c>
      <c r="C29" s="1786" t="s">
        <v>533</v>
      </c>
      <c r="D29" s="67">
        <v>5</v>
      </c>
      <c r="E29" s="67">
        <v>398660.11200000002</v>
      </c>
      <c r="F29" s="2948">
        <v>48</v>
      </c>
      <c r="G29" s="2949">
        <v>8.1000000000000003E-2</v>
      </c>
      <c r="H29" s="2949">
        <v>8.1000000000000003E-2</v>
      </c>
      <c r="I29" s="1786">
        <f>I5</f>
        <v>53002.092000000019</v>
      </c>
      <c r="J29" s="2013">
        <f t="shared" ref="J29:J47" si="18">X29/12</f>
        <v>107.31459871232882</v>
      </c>
      <c r="K29" s="1662"/>
      <c r="L29" s="1562">
        <f t="shared" ref="L29:L34" si="19">$I5*$G5/365*30</f>
        <v>352.86324263013717</v>
      </c>
      <c r="M29" s="1610">
        <f t="shared" ref="M29:M34" si="20">($I5-L5)*$G5/365*30</f>
        <v>297.56962454794535</v>
      </c>
      <c r="N29" s="1564">
        <f>($I5-SUM($L5:M5))*$G5/365*30</f>
        <v>242.27600646575357</v>
      </c>
      <c r="O29" s="1562">
        <f>($I5-SUM($L5:N5))*$G5/365*30</f>
        <v>186.98238838356176</v>
      </c>
      <c r="P29" s="1610">
        <f>($I5-SUM($L5:O5))*$G5/365*30</f>
        <v>131.68877030137</v>
      </c>
      <c r="Q29" s="1564">
        <f>($I5-SUM($L5:P5))*$G5/365*30</f>
        <v>76.395152219178215</v>
      </c>
      <c r="R29" s="1562"/>
      <c r="S29" s="1610"/>
      <c r="T29" s="1564"/>
      <c r="U29" s="1562"/>
      <c r="V29" s="1610"/>
      <c r="W29" s="1564"/>
      <c r="X29" s="1669">
        <f t="shared" ref="X29:X34" si="21">SUM(L29:W29)</f>
        <v>1287.7751845479459</v>
      </c>
      <c r="AA29" s="4967"/>
      <c r="AB29" s="2298"/>
    </row>
    <row r="30" spans="1:36" s="1631" customFormat="1" ht="13.5">
      <c r="A30" s="5525"/>
      <c r="B30" s="61" t="str">
        <f>B6</f>
        <v>Supplying and installing transformer</v>
      </c>
      <c r="C30" s="1786" t="s">
        <v>535</v>
      </c>
      <c r="D30" s="67">
        <v>1</v>
      </c>
      <c r="E30" s="67">
        <v>84000</v>
      </c>
      <c r="F30" s="2948">
        <v>48</v>
      </c>
      <c r="G30" s="2949">
        <v>8.1000000000000003E-2</v>
      </c>
      <c r="H30" s="2949">
        <v>8.1000000000000003E-2</v>
      </c>
      <c r="I30" s="1786">
        <f>I6</f>
        <v>21000</v>
      </c>
      <c r="J30" s="2013">
        <f t="shared" si="18"/>
        <v>75.729452054794521</v>
      </c>
      <c r="K30" s="1662"/>
      <c r="L30" s="1562">
        <f t="shared" si="19"/>
        <v>139.8082191780822</v>
      </c>
      <c r="M30" s="1610">
        <f t="shared" si="20"/>
        <v>128.15753424657535</v>
      </c>
      <c r="N30" s="1564">
        <f>($I6-SUM($L6:M6))*$G6/365*30</f>
        <v>116.50684931506849</v>
      </c>
      <c r="O30" s="1562">
        <f>($I6-SUM($L6:N6))*$G6/365*30</f>
        <v>104.85616438356165</v>
      </c>
      <c r="P30" s="1610">
        <f>($I6-SUM($L6:O6))*$G6/365*30</f>
        <v>93.205479452054789</v>
      </c>
      <c r="Q30" s="1564">
        <f>($I6-SUM($L6:P6))*$G6/365*30</f>
        <v>81.554794520547944</v>
      </c>
      <c r="R30" s="1562">
        <f>($I6-SUM($L6:Q6))*$G6/365*30</f>
        <v>69.904109589041099</v>
      </c>
      <c r="S30" s="1610">
        <f>($I6-SUM($L6:R6))*$G6/365*30</f>
        <v>58.253424657534246</v>
      </c>
      <c r="T30" s="1564">
        <f>($I6-SUM($L6:S6))*$G6/365*30</f>
        <v>46.602739726027394</v>
      </c>
      <c r="U30" s="1562">
        <f>($I6-SUM($L6:T6))*$G6/365*30</f>
        <v>34.952054794520549</v>
      </c>
      <c r="V30" s="1610">
        <f>($I6-SUM($L6:U6))*$H6/365*30</f>
        <v>23.301369863013697</v>
      </c>
      <c r="W30" s="1564">
        <f>($I6-SUM($L6:V6))*$H6/365*30</f>
        <v>11.650684931506849</v>
      </c>
      <c r="X30" s="1669">
        <f t="shared" si="21"/>
        <v>908.75342465753431</v>
      </c>
      <c r="AA30" s="4967"/>
      <c r="AB30" s="2298"/>
    </row>
    <row r="31" spans="1:36" s="1631" customFormat="1" ht="13.5">
      <c r="A31" s="5525"/>
      <c r="B31" s="61" t="str">
        <f>B7</f>
        <v>Ugint PT400SS Samchully machine</v>
      </c>
      <c r="C31" s="1786" t="s">
        <v>536</v>
      </c>
      <c r="D31" s="67">
        <v>40</v>
      </c>
      <c r="E31" s="67">
        <v>252000</v>
      </c>
      <c r="F31" s="2948">
        <v>48</v>
      </c>
      <c r="G31" s="2949">
        <v>8.1000000000000003E-2</v>
      </c>
      <c r="H31" s="2949">
        <v>8.1000000000000003E-2</v>
      </c>
      <c r="I31" s="1786">
        <f>I7</f>
        <v>63000</v>
      </c>
      <c r="J31" s="2013">
        <f t="shared" si="18"/>
        <v>227.18835616438352</v>
      </c>
      <c r="K31" s="1662"/>
      <c r="L31" s="1562">
        <f t="shared" si="19"/>
        <v>419.42465753424659</v>
      </c>
      <c r="M31" s="1610">
        <f t="shared" si="20"/>
        <v>384.47260273972603</v>
      </c>
      <c r="N31" s="1564">
        <f>($I7-SUM($L7:M7))*$G7/365*30</f>
        <v>349.52054794520546</v>
      </c>
      <c r="O31" s="1562">
        <f>($I7-SUM($L7:N7))*$G7/365*30</f>
        <v>314.5684931506849</v>
      </c>
      <c r="P31" s="1563">
        <f>($I7-SUM($L7:O7))*$G7/365*30</f>
        <v>279.61643835616439</v>
      </c>
      <c r="Q31" s="1564">
        <f>($I7-SUM($L7:P7))*$G7/365*30</f>
        <v>244.66438356164386</v>
      </c>
      <c r="R31" s="1562">
        <f>($I7-SUM($L7:Q7))*$G7/365*30</f>
        <v>209.7123287671233</v>
      </c>
      <c r="S31" s="1563">
        <f>($I7-SUM($L7:R7))*$G7/365*30</f>
        <v>174.76027397260273</v>
      </c>
      <c r="T31" s="1564">
        <f>($I7-SUM($L7:S7))*$G7/365*30</f>
        <v>139.8082191780822</v>
      </c>
      <c r="U31" s="1562">
        <f>($I7-SUM($L7:T7))*$G7/365*30</f>
        <v>104.85616438356165</v>
      </c>
      <c r="V31" s="1563">
        <f>($I7-SUM($L7:U7))*$H7/365*30</f>
        <v>69.904109589041099</v>
      </c>
      <c r="W31" s="1564">
        <f>($I7-SUM($L7:V7))*$H7/365*30</f>
        <v>34.952054794520549</v>
      </c>
      <c r="X31" s="1669">
        <f t="shared" si="21"/>
        <v>2726.2602739726021</v>
      </c>
      <c r="AA31" s="4967"/>
      <c r="AB31" s="2298"/>
    </row>
    <row r="32" spans="1:36" s="1631" customFormat="1" ht="13.5">
      <c r="A32" s="5525"/>
      <c r="B32" s="61" t="str">
        <f>B8</f>
        <v>3D measuring machine</v>
      </c>
      <c r="C32" s="1786" t="s">
        <v>538</v>
      </c>
      <c r="D32" s="67">
        <v>1</v>
      </c>
      <c r="E32" s="67">
        <v>33863.019</v>
      </c>
      <c r="F32" s="2948">
        <v>48</v>
      </c>
      <c r="G32" s="2949">
        <v>8.1000000000000003E-2</v>
      </c>
      <c r="H32" s="2949">
        <v>8.1000000000000003E-2</v>
      </c>
      <c r="I32" s="1786">
        <f>I8</f>
        <v>11994.378999999994</v>
      </c>
      <c r="J32" s="2013">
        <f t="shared" si="18"/>
        <v>54.022288684931475</v>
      </c>
      <c r="K32" s="1662"/>
      <c r="L32" s="1562">
        <f t="shared" si="19"/>
        <v>79.852988958904064</v>
      </c>
      <c r="M32" s="1610">
        <f t="shared" si="20"/>
        <v>75.156497999999957</v>
      </c>
      <c r="N32" s="1564">
        <f>($I8-SUM($L8:M8))*$G8/365*30</f>
        <v>70.460007041095849</v>
      </c>
      <c r="O32" s="1562">
        <f>($I8-SUM($L8:N8))*$G8/365*30</f>
        <v>65.763516082191757</v>
      </c>
      <c r="P32" s="1610">
        <f>($I8-SUM($L8:O8))*$G8/365*30</f>
        <v>61.067025123287635</v>
      </c>
      <c r="Q32" s="1564">
        <f>($I8-SUM($L8:P8))*$G8/365*30</f>
        <v>56.370534164383514</v>
      </c>
      <c r="R32" s="1562">
        <f>($I8-SUM($L8:Q8))*$G8/365*30</f>
        <v>51.674043205479407</v>
      </c>
      <c r="S32" s="1610">
        <f>($I8-SUM($L8:R8))*$G8/365*30</f>
        <v>46.977552246575307</v>
      </c>
      <c r="T32" s="1564">
        <f>($I8-SUM($L8:S8))*$G8/365*30</f>
        <v>42.281061287671186</v>
      </c>
      <c r="U32" s="1562">
        <f>($I8-SUM($L8:T8))*$G8/365*30</f>
        <v>37.584570328767079</v>
      </c>
      <c r="V32" s="1610">
        <f>($I8-SUM($L8:U8))*$H8/365*30</f>
        <v>32.888079369862965</v>
      </c>
      <c r="W32" s="1564">
        <f>($I8-SUM($L8:V8))*$H8/365*30</f>
        <v>28.191588410958847</v>
      </c>
      <c r="X32" s="1669">
        <f t="shared" si="21"/>
        <v>648.26746421917767</v>
      </c>
      <c r="AA32" s="4967"/>
      <c r="AB32" s="2298"/>
    </row>
    <row r="33" spans="1:28" s="1631" customFormat="1" ht="13.5">
      <c r="A33" s="5525"/>
      <c r="B33" s="61" t="s">
        <v>1492</v>
      </c>
      <c r="C33" s="1786" t="s">
        <v>1494</v>
      </c>
      <c r="D33" s="67">
        <v>2</v>
      </c>
      <c r="E33" s="67">
        <v>179446.15384615384</v>
      </c>
      <c r="F33" s="2948">
        <v>48</v>
      </c>
      <c r="G33" s="2949">
        <v>7.8E-2</v>
      </c>
      <c r="H33" s="2949">
        <v>7.8E-2</v>
      </c>
      <c r="I33" s="1786">
        <f>+E33-J33</f>
        <v>175707.69230769231</v>
      </c>
      <c r="J33" s="2013">
        <f>+E33/F33</f>
        <v>3738.4615384615386</v>
      </c>
      <c r="K33" s="1662"/>
      <c r="L33" s="1562">
        <f t="shared" si="19"/>
        <v>1126.4547945205479</v>
      </c>
      <c r="M33" s="1610">
        <f t="shared" si="20"/>
        <v>1102.4876712328767</v>
      </c>
      <c r="N33" s="1564">
        <f>($I9-SUM($L9:M9))*$G9/365*30</f>
        <v>1078.5205479452056</v>
      </c>
      <c r="O33" s="1562">
        <f>($I9-SUM($L9:N9))*$G9/365*30</f>
        <v>1054.5534246575344</v>
      </c>
      <c r="P33" s="1610">
        <f>($I9-SUM($L9:O9))*$G9/365*30</f>
        <v>1030.5863013698629</v>
      </c>
      <c r="Q33" s="1564">
        <f>($I9-SUM($L9:P9))*$G9/365*30</f>
        <v>1006.6191780821918</v>
      </c>
      <c r="R33" s="1562">
        <f>($I9-SUM($L9:Q9))*$G9/365*30</f>
        <v>982.65205479452061</v>
      </c>
      <c r="S33" s="1610">
        <f>($I9-SUM($L9:R9))*$G9/365*30</f>
        <v>958.68493150684924</v>
      </c>
      <c r="T33" s="1564">
        <f>($I9-SUM($L9:S9))*$G9/365*30</f>
        <v>934.71780821917798</v>
      </c>
      <c r="U33" s="1562">
        <f>($I9-SUM($L9:T9))*$G9/365*30</f>
        <v>910.75068493150695</v>
      </c>
      <c r="V33" s="1610">
        <f>($I9-SUM($L9:U9))*$H9/365*30</f>
        <v>886.7835616438357</v>
      </c>
      <c r="W33" s="1564">
        <f>($I9-SUM($L9:V9))*$H9/365*30</f>
        <v>862.81643835616421</v>
      </c>
      <c r="X33" s="1669">
        <f t="shared" si="21"/>
        <v>11935.627397260272</v>
      </c>
      <c r="AA33" s="4967"/>
      <c r="AB33" s="2298"/>
    </row>
    <row r="34" spans="1:28" s="1631" customFormat="1" ht="13.5">
      <c r="A34" s="5525"/>
      <c r="B34" s="61" t="s">
        <v>1493</v>
      </c>
      <c r="C34" s="1786" t="s">
        <v>1494</v>
      </c>
      <c r="D34" s="67">
        <v>1</v>
      </c>
      <c r="E34" s="67">
        <v>125707.41</v>
      </c>
      <c r="F34" s="2948">
        <v>48</v>
      </c>
      <c r="G34" s="2949">
        <v>7.8E-2</v>
      </c>
      <c r="H34" s="2949">
        <v>7.8E-2</v>
      </c>
      <c r="I34" s="1786">
        <f>+E34-J34</f>
        <v>123088.50562500001</v>
      </c>
      <c r="J34" s="2013">
        <f>+E34/F34</f>
        <v>2618.9043750000001</v>
      </c>
      <c r="K34" s="1662"/>
      <c r="L34" s="1562">
        <f t="shared" si="19"/>
        <v>789.1153511301369</v>
      </c>
      <c r="M34" s="1610">
        <f t="shared" si="20"/>
        <v>772.32566280821925</v>
      </c>
      <c r="N34" s="1564">
        <f>($I10-SUM($L10:M10))*$G10/365*30</f>
        <v>755.53597448630137</v>
      </c>
      <c r="O34" s="1562">
        <f>($I10-SUM($L10:N10))*$G10/365*30</f>
        <v>738.74628616438372</v>
      </c>
      <c r="P34" s="1610">
        <f>($I10-SUM($L10:O10))*$G10/365*30</f>
        <v>721.95659784246584</v>
      </c>
      <c r="Q34" s="1564">
        <f>($I10-SUM($L10:P10))*$G10/365*30</f>
        <v>705.16690952054796</v>
      </c>
      <c r="R34" s="1562">
        <f>($I10-SUM($L10:Q10))*$G10/365*30</f>
        <v>688.37722119863008</v>
      </c>
      <c r="S34" s="1610">
        <f>($I10-SUM($L10:R10))*$G10/365*30</f>
        <v>671.58753287671232</v>
      </c>
      <c r="T34" s="1564">
        <f>($I10-SUM($L10:S10))*$G10/365*30</f>
        <v>654.79784455479455</v>
      </c>
      <c r="U34" s="1562">
        <f>($I10-SUM($L10:T10))*$G10/365*30</f>
        <v>638.00815623287679</v>
      </c>
      <c r="V34" s="1610">
        <f>($I10-SUM($L10:U10))*$H10/365*30</f>
        <v>621.21846791095902</v>
      </c>
      <c r="W34" s="1564">
        <f>($I10-SUM($L10:V10))*$H10/365*30</f>
        <v>604.42877958904126</v>
      </c>
      <c r="X34" s="1669">
        <f t="shared" si="21"/>
        <v>8361.264784315068</v>
      </c>
      <c r="AA34" s="4967"/>
      <c r="AB34" s="2298"/>
    </row>
    <row r="35" spans="1:28" s="1631" customFormat="1" ht="13.5">
      <c r="A35" s="5526"/>
      <c r="B35" s="29" t="s">
        <v>363</v>
      </c>
      <c r="C35" s="4988"/>
      <c r="D35" s="4989"/>
      <c r="E35" s="4989">
        <f>SUM(E29:E32)</f>
        <v>768523.13099999994</v>
      </c>
      <c r="F35" s="2950"/>
      <c r="G35" s="4845"/>
      <c r="H35" s="4845"/>
      <c r="I35" s="4988">
        <f>SUM(I29:I32)</f>
        <v>148996.47099999999</v>
      </c>
      <c r="J35" s="4196">
        <f>SUM(J29:J32)</f>
        <v>464.25469561643831</v>
      </c>
      <c r="K35" s="21"/>
      <c r="L35" s="2952">
        <f>SUM(L29:L34)</f>
        <v>2907.5192539520544</v>
      </c>
      <c r="M35" s="4517">
        <f t="shared" ref="M35:X35" si="22">SUM(M29:M34)</f>
        <v>2760.1695935753423</v>
      </c>
      <c r="N35" s="2409">
        <f t="shared" si="22"/>
        <v>2612.8199331986302</v>
      </c>
      <c r="O35" s="2952">
        <f t="shared" si="22"/>
        <v>2465.4702728219181</v>
      </c>
      <c r="P35" s="4517">
        <f t="shared" si="22"/>
        <v>2318.1206124452056</v>
      </c>
      <c r="Q35" s="2409">
        <f t="shared" si="22"/>
        <v>2170.770952068493</v>
      </c>
      <c r="R35" s="2952">
        <f t="shared" si="22"/>
        <v>2002.3197575547947</v>
      </c>
      <c r="S35" s="4517">
        <f t="shared" si="22"/>
        <v>1910.2637152602738</v>
      </c>
      <c r="T35" s="2409">
        <f t="shared" si="22"/>
        <v>1818.2076729657533</v>
      </c>
      <c r="U35" s="2951">
        <f t="shared" si="22"/>
        <v>1726.1516306712329</v>
      </c>
      <c r="V35" s="4517">
        <f t="shared" si="22"/>
        <v>1634.0955883767124</v>
      </c>
      <c r="W35" s="2409">
        <f t="shared" si="22"/>
        <v>1542.0395460821917</v>
      </c>
      <c r="X35" s="2953">
        <f t="shared" si="22"/>
        <v>25867.9485289726</v>
      </c>
      <c r="AA35" s="4967"/>
      <c r="AB35" s="2298"/>
    </row>
    <row r="36" spans="1:28" s="1631" customFormat="1" ht="13.5">
      <c r="A36" s="4994" t="s">
        <v>539</v>
      </c>
      <c r="B36" s="4312" t="s">
        <v>525</v>
      </c>
      <c r="C36" s="4988" t="s">
        <v>527</v>
      </c>
      <c r="D36" s="4989">
        <v>5</v>
      </c>
      <c r="E36" s="4989">
        <f>+E12</f>
        <v>114375.98787</v>
      </c>
      <c r="F36" s="2950">
        <v>48</v>
      </c>
      <c r="G36" s="4848">
        <f t="shared" ref="G36:G47" si="23">+H12</f>
        <v>9.0700000000000003E-2</v>
      </c>
      <c r="H36" s="4844">
        <f t="shared" ref="H36:H47" si="24">+H12</f>
        <v>9.0700000000000003E-2</v>
      </c>
      <c r="I36" s="4989">
        <v>63786.608619807688</v>
      </c>
      <c r="J36" s="4995">
        <f t="shared" si="18"/>
        <v>372.36961912841304</v>
      </c>
      <c r="K36" s="4061"/>
      <c r="L36" s="5042">
        <f t="shared" ref="L36:L47" si="25">$I12*$G12/365*30</f>
        <v>452.97230011655211</v>
      </c>
      <c r="M36" s="1838">
        <f t="shared" ref="M36:M47" si="26">($I12-L12)*$G12/365*30</f>
        <v>437.87322344600045</v>
      </c>
      <c r="N36" s="3944">
        <f>($I12-SUM($L12:M12))*$G12/365*30</f>
        <v>422.77414677544863</v>
      </c>
      <c r="O36" s="5042">
        <f>($I12-SUM($L12:N12))*$G12/365*30</f>
        <v>407.67507010489692</v>
      </c>
      <c r="P36" s="3943">
        <f>($I12-SUM($L12:O12))*$G12/365*30</f>
        <v>392.57599343434521</v>
      </c>
      <c r="Q36" s="5043">
        <f>($I12-SUM($L12:P12))*$G12/365*30</f>
        <v>377.4769167637935</v>
      </c>
      <c r="R36" s="5044">
        <f>($I12-SUM($L12:Q12))*$G12/365*30</f>
        <v>362.37784009324173</v>
      </c>
      <c r="S36" s="3943">
        <f>($I12-SUM($L12:R12))*$G12/365*30</f>
        <v>347.27876342269002</v>
      </c>
      <c r="T36" s="3944">
        <f>($I12-SUM($L12:S12))*$G12/365*30</f>
        <v>332.17968675213825</v>
      </c>
      <c r="U36" s="5042">
        <f>($I12-SUM($L12:T12))*$G12/365*30</f>
        <v>317.08061008158654</v>
      </c>
      <c r="V36" s="3943">
        <f>($I12-SUM($L12:U12))*$H12/365*30</f>
        <v>317.01070694885243</v>
      </c>
      <c r="W36" s="3944">
        <f>($I12-SUM($L12:V12))*$H12/365*30</f>
        <v>301.16017160140984</v>
      </c>
      <c r="X36" s="2318">
        <f t="shared" ref="X36:X47" si="27">SUM(L36:W36)</f>
        <v>4468.4354295409566</v>
      </c>
      <c r="AA36" s="4967"/>
      <c r="AB36" s="2298"/>
    </row>
    <row r="37" spans="1:28" s="1631" customFormat="1" ht="13.5">
      <c r="A37" s="2321"/>
      <c r="B37" s="2140" t="s">
        <v>526</v>
      </c>
      <c r="C37" s="5023" t="s">
        <v>527</v>
      </c>
      <c r="D37" s="5022">
        <v>51</v>
      </c>
      <c r="E37" s="5022">
        <v>745911.81365999999</v>
      </c>
      <c r="F37" s="5045">
        <v>48</v>
      </c>
      <c r="G37" s="5046">
        <f t="shared" si="23"/>
        <v>9.0700000000000003E-2</v>
      </c>
      <c r="H37" s="5047">
        <f t="shared" si="24"/>
        <v>9.0700000000000003E-2</v>
      </c>
      <c r="I37" s="5022">
        <v>435979.9426975</v>
      </c>
      <c r="J37" s="5048">
        <f t="shared" si="18"/>
        <v>2522.3457633623275</v>
      </c>
      <c r="K37" s="4062"/>
      <c r="L37" s="5049">
        <f t="shared" si="25"/>
        <v>3096.0548259504658</v>
      </c>
      <c r="M37" s="1780">
        <f t="shared" si="26"/>
        <v>2988.773656962851</v>
      </c>
      <c r="N37" s="1589">
        <f>($I13-SUM($L13:M13))*$G13/365*30</f>
        <v>2881.4924879752361</v>
      </c>
      <c r="O37" s="5049">
        <f>($I13-SUM($L13:N13))*$G13/365*30</f>
        <v>2774.2113189876213</v>
      </c>
      <c r="P37" s="1588">
        <f>($I13-SUM($L13:O13))*$G13/365*30</f>
        <v>2666.9301500000065</v>
      </c>
      <c r="Q37" s="5050">
        <f>($I13-SUM($L13:P13))*$G13/365*30</f>
        <v>2559.6489810123917</v>
      </c>
      <c r="R37" s="5051">
        <f>($I13-SUM($L13:Q13))*$G13/365*30</f>
        <v>2452.3678120247773</v>
      </c>
      <c r="S37" s="1588">
        <f>($I13-SUM($L13:R13))*$G13/365*30</f>
        <v>2345.0866430371625</v>
      </c>
      <c r="T37" s="1589">
        <f>($I13-SUM($L13:S13))*$G13/365*30</f>
        <v>2237.8054740495477</v>
      </c>
      <c r="U37" s="5049">
        <f>($I13-SUM($L13:T13))*$G13/365*30</f>
        <v>2130.5243050619329</v>
      </c>
      <c r="V37" s="1588">
        <f>($I13-SUM($L13:U13))*$H13/365*30</f>
        <v>2123.9369495594979</v>
      </c>
      <c r="W37" s="1589">
        <f>($I13-SUM($L13:V13))*$H13/365*30</f>
        <v>2011.3165557264351</v>
      </c>
      <c r="X37" s="5052">
        <f t="shared" si="27"/>
        <v>30268.14916034793</v>
      </c>
      <c r="AA37" s="4967"/>
      <c r="AB37" s="2298"/>
    </row>
    <row r="38" spans="1:28" s="1631" customFormat="1" ht="13.5">
      <c r="A38" s="2321"/>
      <c r="B38" s="4822" t="s">
        <v>525</v>
      </c>
      <c r="C38" s="4850" t="s">
        <v>528</v>
      </c>
      <c r="D38" s="4851">
        <v>2</v>
      </c>
      <c r="E38" s="4851">
        <v>54586.687408199999</v>
      </c>
      <c r="F38" s="4852">
        <v>60</v>
      </c>
      <c r="G38" s="4853">
        <f t="shared" si="23"/>
        <v>9.3299999999999994E-2</v>
      </c>
      <c r="H38" s="4849">
        <f t="shared" si="24"/>
        <v>9.3299999999999994E-2</v>
      </c>
      <c r="I38" s="4861">
        <v>35271.398017606167</v>
      </c>
      <c r="J38" s="4854">
        <f t="shared" si="18"/>
        <v>123.41730718897072</v>
      </c>
      <c r="K38" s="4855"/>
      <c r="L38" s="1562">
        <f t="shared" si="25"/>
        <v>262.07131896917241</v>
      </c>
      <c r="M38" s="1610">
        <f t="shared" si="26"/>
        <v>255.97663713268</v>
      </c>
      <c r="N38" s="1564">
        <f>($I14-SUM($L14:M14))*$G14/365*30</f>
        <v>249.88195529618767</v>
      </c>
      <c r="O38" s="1562">
        <f>($I14-SUM($L14:N14))*$G14/365*30</f>
        <v>243.78727345969526</v>
      </c>
      <c r="P38" s="1563">
        <f>($I14-SUM($L14:O14))*$G14/365*30</f>
        <v>237.69259162320287</v>
      </c>
      <c r="Q38" s="1564">
        <f>($I14-SUM($L14:P14))*$G14/365*30</f>
        <v>231.59790978671049</v>
      </c>
      <c r="R38" s="4972"/>
      <c r="S38" s="4970"/>
      <c r="T38" s="4971"/>
      <c r="U38" s="4972"/>
      <c r="V38" s="4970"/>
      <c r="W38" s="4971"/>
      <c r="X38" s="1669">
        <f t="shared" si="27"/>
        <v>1481.0076862676488</v>
      </c>
      <c r="AA38" s="4967"/>
      <c r="AB38" s="2298"/>
    </row>
    <row r="39" spans="1:28" s="1631" customFormat="1" ht="13.5">
      <c r="A39" s="2321"/>
      <c r="B39" s="4822" t="s">
        <v>526</v>
      </c>
      <c r="C39" s="4850" t="s">
        <v>992</v>
      </c>
      <c r="D39" s="4851">
        <v>25</v>
      </c>
      <c r="E39" s="4851">
        <v>599814.19570499996</v>
      </c>
      <c r="F39" s="4852">
        <v>60</v>
      </c>
      <c r="G39" s="4853">
        <f t="shared" si="23"/>
        <v>9.3299999999999994E-2</v>
      </c>
      <c r="H39" s="4849">
        <f t="shared" si="24"/>
        <v>9.3299999999999994E-2</v>
      </c>
      <c r="I39" s="4861">
        <v>405190.7347835477</v>
      </c>
      <c r="J39" s="4854">
        <f t="shared" si="18"/>
        <v>1415.5280779941147</v>
      </c>
      <c r="K39" s="4855"/>
      <c r="L39" s="1562">
        <f t="shared" si="25"/>
        <v>3010.6226650218669</v>
      </c>
      <c r="M39" s="1610">
        <f t="shared" si="26"/>
        <v>2938.7960614084118</v>
      </c>
      <c r="N39" s="1564">
        <f>($I15-SUM($L15:M15))*$G15/365*30</f>
        <v>2866.9694577949567</v>
      </c>
      <c r="O39" s="1562">
        <f>($I15-SUM($L15:N15))*$G15/365*30</f>
        <v>2795.1428541815017</v>
      </c>
      <c r="P39" s="1563">
        <f>($I15-SUM($L15:O15))*$G15/365*30</f>
        <v>2723.3162505680466</v>
      </c>
      <c r="Q39" s="1564">
        <f>($I15-SUM($L15:P15))*$G15/365*30</f>
        <v>2651.489646954592</v>
      </c>
      <c r="R39" s="4972"/>
      <c r="S39" s="4970"/>
      <c r="T39" s="4971"/>
      <c r="U39" s="4972"/>
      <c r="V39" s="4970"/>
      <c r="W39" s="4971"/>
      <c r="X39" s="1669">
        <f t="shared" si="27"/>
        <v>16986.336935929376</v>
      </c>
      <c r="AA39" s="4967"/>
      <c r="AB39" s="2298"/>
    </row>
    <row r="40" spans="1:28" s="1631" customFormat="1" ht="13.5">
      <c r="A40" s="2321"/>
      <c r="B40" s="5055" t="s">
        <v>991</v>
      </c>
      <c r="C40" s="5056" t="s">
        <v>992</v>
      </c>
      <c r="D40" s="5057">
        <v>2</v>
      </c>
      <c r="E40" s="5057">
        <f>1589522078.16/25000</f>
        <v>63580.883126400004</v>
      </c>
      <c r="F40" s="5058">
        <v>48</v>
      </c>
      <c r="G40" s="5059">
        <f t="shared" si="23"/>
        <v>9.0700000000000003E-2</v>
      </c>
      <c r="H40" s="5060">
        <f t="shared" si="24"/>
        <v>9.0700000000000003E-2</v>
      </c>
      <c r="I40" s="5057">
        <v>37903.988017661548</v>
      </c>
      <c r="J40" s="5061">
        <f t="shared" si="18"/>
        <v>126.08106082775494</v>
      </c>
      <c r="K40" s="5062"/>
      <c r="L40" s="1581">
        <f t="shared" si="25"/>
        <v>273.53179298224802</v>
      </c>
      <c r="M40" s="1772">
        <f t="shared" si="26"/>
        <v>264.98392445155275</v>
      </c>
      <c r="N40" s="1583">
        <f>($I16-SUM($L16:M16))*$G16/365*30</f>
        <v>256.43605592085754</v>
      </c>
      <c r="O40" s="1581">
        <f>($I16-SUM($L16:N16))*$G16/365*30</f>
        <v>247.88818739016219</v>
      </c>
      <c r="P40" s="1582">
        <f>($I16-SUM($L16:O16))*$G16/365*30</f>
        <v>239.34031885946698</v>
      </c>
      <c r="Q40" s="1583">
        <f>($I16-SUM($L16:P16))*$G16/365*30</f>
        <v>230.79245032877176</v>
      </c>
      <c r="R40" s="5063"/>
      <c r="S40" s="5064"/>
      <c r="T40" s="5065"/>
      <c r="U40" s="5063"/>
      <c r="V40" s="5064"/>
      <c r="W40" s="5065"/>
      <c r="X40" s="5066">
        <f t="shared" si="27"/>
        <v>1512.9727299330593</v>
      </c>
      <c r="AA40" s="4967"/>
      <c r="AB40" s="2298"/>
    </row>
    <row r="41" spans="1:28" s="1631" customFormat="1" ht="13.5">
      <c r="A41" s="2321"/>
      <c r="B41" s="4822" t="s">
        <v>993</v>
      </c>
      <c r="C41" s="4850" t="s">
        <v>992</v>
      </c>
      <c r="D41" s="4851">
        <v>5</v>
      </c>
      <c r="E41" s="4851">
        <f>1903386870/25000</f>
        <v>76135.474799999996</v>
      </c>
      <c r="F41" s="4852">
        <v>48</v>
      </c>
      <c r="G41" s="4853">
        <f t="shared" si="23"/>
        <v>9.0700000000000003E-2</v>
      </c>
      <c r="H41" s="4849">
        <f t="shared" si="24"/>
        <v>9.0700000000000003E-2</v>
      </c>
      <c r="I41" s="4851">
        <v>45658.516130769211</v>
      </c>
      <c r="J41" s="4854">
        <f t="shared" si="18"/>
        <v>151.87515748754967</v>
      </c>
      <c r="K41" s="4855"/>
      <c r="L41" s="1562">
        <f t="shared" si="25"/>
        <v>329.49186709163314</v>
      </c>
      <c r="M41" s="1610">
        <f t="shared" si="26"/>
        <v>319.19524624501963</v>
      </c>
      <c r="N41" s="1564">
        <f>($I17-SUM($L17:M17))*$G17/365*30</f>
        <v>308.89862539840612</v>
      </c>
      <c r="O41" s="1562">
        <f>($I17-SUM($L17:N17))*$G17/365*30</f>
        <v>298.6020045517925</v>
      </c>
      <c r="P41" s="1563">
        <f>($I17-SUM($L17:O17))*$G17/365*30</f>
        <v>288.30538370517905</v>
      </c>
      <c r="Q41" s="1564">
        <f>($I17-SUM($L17:P17))*$G17/365*30</f>
        <v>278.00876285856549</v>
      </c>
      <c r="R41" s="4972"/>
      <c r="S41" s="4970"/>
      <c r="T41" s="4971"/>
      <c r="U41" s="4972"/>
      <c r="V41" s="4970"/>
      <c r="W41" s="4971"/>
      <c r="X41" s="1669">
        <f t="shared" si="27"/>
        <v>1822.5018898505959</v>
      </c>
      <c r="AA41" s="4967"/>
      <c r="AB41" s="2298"/>
    </row>
    <row r="42" spans="1:28" s="1631" customFormat="1" ht="13.5">
      <c r="A42" s="2321"/>
      <c r="B42" s="4822" t="s">
        <v>994</v>
      </c>
      <c r="C42" s="4850" t="s">
        <v>992</v>
      </c>
      <c r="D42" s="4851">
        <v>1</v>
      </c>
      <c r="E42" s="4851">
        <f>720000000/25000</f>
        <v>28800</v>
      </c>
      <c r="F42" s="4852">
        <v>48</v>
      </c>
      <c r="G42" s="4853">
        <f t="shared" si="23"/>
        <v>9.0700000000000003E-2</v>
      </c>
      <c r="H42" s="4849">
        <f t="shared" si="24"/>
        <v>9.0700000000000003E-2</v>
      </c>
      <c r="I42" s="4851">
        <v>21085.074011569232</v>
      </c>
      <c r="J42" s="4854">
        <f t="shared" si="18"/>
        <v>69.184261091936705</v>
      </c>
      <c r="K42" s="4855"/>
      <c r="L42" s="1562">
        <f t="shared" si="25"/>
        <v>152.15913683965306</v>
      </c>
      <c r="M42" s="1610">
        <f t="shared" si="26"/>
        <v>146.64289097734118</v>
      </c>
      <c r="N42" s="1564">
        <f>($I18-SUM($L18:M18))*$G18/365*30</f>
        <v>141.12664511502931</v>
      </c>
      <c r="O42" s="1562">
        <f>($I18-SUM($L18:N18))*$G18/365*30</f>
        <v>135.61039925271743</v>
      </c>
      <c r="P42" s="1563">
        <f>($I18-SUM($L18:O18))*$G18/365*30</f>
        <v>130.09415339040558</v>
      </c>
      <c r="Q42" s="1564">
        <f>($I18-SUM($L18:P18))*$G18/365*30</f>
        <v>124.5779075280937</v>
      </c>
      <c r="R42" s="4972"/>
      <c r="S42" s="4970"/>
      <c r="T42" s="4971"/>
      <c r="U42" s="4972"/>
      <c r="V42" s="4970"/>
      <c r="W42" s="4971"/>
      <c r="X42" s="1669">
        <f t="shared" si="27"/>
        <v>830.2111331032404</v>
      </c>
      <c r="AA42" s="4967"/>
      <c r="AB42" s="2298"/>
    </row>
    <row r="43" spans="1:28" s="1631" customFormat="1" ht="13.5">
      <c r="A43" s="2321"/>
      <c r="B43" s="5067" t="s">
        <v>821</v>
      </c>
      <c r="C43" s="5068" t="s">
        <v>822</v>
      </c>
      <c r="D43" s="5069">
        <v>1</v>
      </c>
      <c r="E43" s="5069">
        <f>4354311864/25000</f>
        <v>174172.47456</v>
      </c>
      <c r="F43" s="5070">
        <v>60</v>
      </c>
      <c r="G43" s="5071">
        <f t="shared" si="23"/>
        <v>9.1300000000000006E-2</v>
      </c>
      <c r="H43" s="5072">
        <f t="shared" si="24"/>
        <v>9.1300000000000006E-2</v>
      </c>
      <c r="I43" s="5069">
        <v>122813.92438461538</v>
      </c>
      <c r="J43" s="5073">
        <f t="shared" si="18"/>
        <v>420.81740020273975</v>
      </c>
      <c r="K43" s="5074"/>
      <c r="L43" s="5049">
        <f t="shared" si="25"/>
        <v>892.33569169315081</v>
      </c>
      <c r="M43" s="1780">
        <f t="shared" si="26"/>
        <v>872.05533517808226</v>
      </c>
      <c r="N43" s="1589">
        <f>($I19-SUM($L19:M19))*$G19/365*30</f>
        <v>851.77497866301371</v>
      </c>
      <c r="O43" s="5049">
        <f>($I19-SUM($L19:N19))*$G19/365*30</f>
        <v>831.49462214794517</v>
      </c>
      <c r="P43" s="1588">
        <f>($I19-SUM($L19:O19))*$G19/365*30</f>
        <v>811.21426563287673</v>
      </c>
      <c r="Q43" s="1589">
        <f>($I19-SUM($L19:P19))*$G19/365*30</f>
        <v>790.9339091178083</v>
      </c>
      <c r="R43" s="5075"/>
      <c r="S43" s="5076"/>
      <c r="T43" s="5077"/>
      <c r="U43" s="5075"/>
      <c r="V43" s="5076"/>
      <c r="W43" s="5077"/>
      <c r="X43" s="5052">
        <f t="shared" si="27"/>
        <v>5049.8088024328772</v>
      </c>
      <c r="AA43" s="4967"/>
      <c r="AB43" s="2298"/>
    </row>
    <row r="44" spans="1:28" s="1631" customFormat="1" ht="13.5">
      <c r="A44" s="2321"/>
      <c r="B44" s="2140" t="s">
        <v>995</v>
      </c>
      <c r="C44" s="5023" t="s">
        <v>996</v>
      </c>
      <c r="D44" s="5022">
        <v>8</v>
      </c>
      <c r="E44" s="5022">
        <f>6184328000/25000</f>
        <v>247373.12</v>
      </c>
      <c r="F44" s="5045">
        <v>60</v>
      </c>
      <c r="G44" s="5046">
        <f t="shared" si="23"/>
        <v>9.1300000000000006E-2</v>
      </c>
      <c r="H44" s="5053">
        <f t="shared" si="24"/>
        <v>9.1300000000000006E-2</v>
      </c>
      <c r="I44" s="5054">
        <v>174429.76403846155</v>
      </c>
      <c r="J44" s="5048">
        <f>X44/12</f>
        <v>1148.5401673503952</v>
      </c>
      <c r="K44" s="4062"/>
      <c r="L44" s="5049">
        <f t="shared" si="25"/>
        <v>1313.2410728155953</v>
      </c>
      <c r="M44" s="1780">
        <f t="shared" si="26"/>
        <v>1283.3946848826133</v>
      </c>
      <c r="N44" s="1589">
        <f>($I20-SUM($L20:M20))*$G20/365*30</f>
        <v>1253.5482969496315</v>
      </c>
      <c r="O44" s="5049">
        <f>($I20-SUM($L20:N20))*$G20/365*30</f>
        <v>1223.7019090166491</v>
      </c>
      <c r="P44" s="1588">
        <f>($I20-SUM($L20:O20))*$G20/365*30</f>
        <v>1193.8555210836671</v>
      </c>
      <c r="Q44" s="1589">
        <f>($I20-SUM($L20:P20))*$G20/365*30</f>
        <v>1164.0091331506851</v>
      </c>
      <c r="R44" s="5049">
        <f>($I20-SUM($L20:Q20))*$G20/365*30</f>
        <v>1134.1627452177029</v>
      </c>
      <c r="S44" s="1588">
        <f>($I20-SUM($L20:R20))*$G20/365*30</f>
        <v>1104.3163572847211</v>
      </c>
      <c r="T44" s="1589">
        <f>($I20-SUM($L20:S20))*$G20/365*30</f>
        <v>1074.4699693517387</v>
      </c>
      <c r="U44" s="5049">
        <f>($I20-SUM($L20:T20))*$G20/365*30</f>
        <v>1044.6235814187567</v>
      </c>
      <c r="V44" s="1588">
        <f>($I20-SUM($L20:U20))*$H20/365*30</f>
        <v>1011.4536873935724</v>
      </c>
      <c r="W44" s="1589">
        <f>($I20-SUM($L20:V20))*$H20/365*30</f>
        <v>981.70504963940982</v>
      </c>
      <c r="X44" s="1669">
        <f>SUM(L44:W44)</f>
        <v>13782.482008204743</v>
      </c>
      <c r="AA44" s="4967"/>
      <c r="AB44" s="2298"/>
    </row>
    <row r="45" spans="1:28" s="1631" customFormat="1" ht="13.5">
      <c r="A45" s="2321"/>
      <c r="B45" s="5031" t="s">
        <v>1152</v>
      </c>
      <c r="C45" s="5032" t="s">
        <v>1153</v>
      </c>
      <c r="D45" s="5033">
        <v>4</v>
      </c>
      <c r="E45" s="5033">
        <v>137899.95791999999</v>
      </c>
      <c r="F45" s="5034">
        <v>60</v>
      </c>
      <c r="G45" s="5035">
        <f t="shared" si="23"/>
        <v>8.8800000000000004E-2</v>
      </c>
      <c r="H45" s="5036">
        <f t="shared" si="24"/>
        <v>8.8800000000000004E-2</v>
      </c>
      <c r="I45" s="5037">
        <v>86408.467384615389</v>
      </c>
      <c r="J45" s="5038">
        <f t="shared" si="18"/>
        <v>556.85985777787153</v>
      </c>
      <c r="K45" s="2907"/>
      <c r="L45" s="2910">
        <f t="shared" si="25"/>
        <v>632.79406388788198</v>
      </c>
      <c r="M45" s="3483">
        <f t="shared" si="26"/>
        <v>619.03767134162274</v>
      </c>
      <c r="N45" s="2909">
        <f>($I21-SUM($L21:M21))*$G21/365*30</f>
        <v>605.28127879536351</v>
      </c>
      <c r="O45" s="2910">
        <f>($I21-SUM($L21:N21))*$G21/365*30</f>
        <v>591.52488624910427</v>
      </c>
      <c r="P45" s="2908">
        <f>($I21-SUM($L21:O21))*$G21/365*30</f>
        <v>577.76849370284503</v>
      </c>
      <c r="Q45" s="2909">
        <f>($I21-SUM($L21:P21))*$G21/365*30</f>
        <v>564.0121011565858</v>
      </c>
      <c r="R45" s="2910">
        <f>($I21-SUM($L21:Q21))*$G21/365*30</f>
        <v>550.25570861032668</v>
      </c>
      <c r="S45" s="2908">
        <f>($I21-SUM($L21:R21))*$G21/365*30</f>
        <v>536.49931606406756</v>
      </c>
      <c r="T45" s="2909">
        <f>($I21-SUM($L21:S21))*$G21/365*30</f>
        <v>522.74292351780832</v>
      </c>
      <c r="U45" s="2910">
        <f>($I21-SUM($L21:T21))*$G21/365*30</f>
        <v>508.98653097154897</v>
      </c>
      <c r="V45" s="2908">
        <f>($I21-SUM($L21:U21))*$H21/365*30</f>
        <v>493.56269688177031</v>
      </c>
      <c r="W45" s="2909">
        <f>($I21-SUM($L21:V21))*$H21/365*30</f>
        <v>479.85262215553223</v>
      </c>
      <c r="X45" s="1669">
        <f t="shared" si="27"/>
        <v>6682.3182933344578</v>
      </c>
      <c r="AA45" s="4967"/>
      <c r="AB45" s="2298"/>
    </row>
    <row r="46" spans="1:28" s="1631" customFormat="1" ht="13.5">
      <c r="A46" s="2321"/>
      <c r="B46" s="5031" t="s">
        <v>1189</v>
      </c>
      <c r="C46" s="5032" t="s">
        <v>1188</v>
      </c>
      <c r="D46" s="5033">
        <v>4</v>
      </c>
      <c r="E46" s="5033">
        <f>+I46</f>
        <v>330528.23031923076</v>
      </c>
      <c r="F46" s="5034">
        <v>60</v>
      </c>
      <c r="G46" s="5035">
        <f t="shared" si="23"/>
        <v>8.5800000000000001E-2</v>
      </c>
      <c r="H46" s="5039">
        <f t="shared" si="24"/>
        <v>8.5800000000000001E-2</v>
      </c>
      <c r="I46" s="5040">
        <v>330528.23031923076</v>
      </c>
      <c r="J46" s="5038">
        <f t="shared" si="18"/>
        <v>2069.9754899844779</v>
      </c>
      <c r="K46" s="2907"/>
      <c r="L46" s="2910">
        <f t="shared" si="25"/>
        <v>2339.0532025056796</v>
      </c>
      <c r="M46" s="3483">
        <f t="shared" si="26"/>
        <v>2290.3229273871334</v>
      </c>
      <c r="N46" s="2909">
        <f>($I22-SUM($L22:M22))*$G22/365*30</f>
        <v>2241.5926522685877</v>
      </c>
      <c r="O46" s="2910">
        <f>($I22-SUM($L22:N22))*$G22/365*30</f>
        <v>2192.862377150042</v>
      </c>
      <c r="P46" s="2908">
        <f>($I22-SUM($L22:O22))*$G22/365*30</f>
        <v>2144.1321020314963</v>
      </c>
      <c r="Q46" s="2909">
        <f>($I22-SUM($L22:P22))*$G22/365*30</f>
        <v>2095.4018269129506</v>
      </c>
      <c r="R46" s="2910">
        <f>($I22-SUM($L22:Q22))*$G22/365*30</f>
        <v>2046.6715517944046</v>
      </c>
      <c r="S46" s="2908">
        <f>($I22-SUM($L22:R22))*$G22/365*30</f>
        <v>1997.9412766758585</v>
      </c>
      <c r="T46" s="2909">
        <f>($I22-SUM($L22:S22))*$G22/365*30</f>
        <v>1949.2110015573128</v>
      </c>
      <c r="U46" s="2910">
        <f>($I22-SUM($L22:T22))*$G22/365*30</f>
        <v>1900.4807264387669</v>
      </c>
      <c r="V46" s="2908">
        <f>($I22-SUM($L22:U22))*$H22/365*30</f>
        <v>1845.2983591553425</v>
      </c>
      <c r="W46" s="2909">
        <f>($I22-SUM($L22:V22))*$H22/365*30</f>
        <v>1796.7378759361643</v>
      </c>
      <c r="X46" s="1669">
        <f t="shared" si="27"/>
        <v>24839.705879813737</v>
      </c>
      <c r="AA46" s="4967"/>
      <c r="AB46" s="2298"/>
    </row>
    <row r="47" spans="1:28" s="1631" customFormat="1" ht="13.5">
      <c r="A47" s="2321"/>
      <c r="B47" s="4302" t="s">
        <v>1202</v>
      </c>
      <c r="C47" s="5025" t="s">
        <v>1201</v>
      </c>
      <c r="D47" s="5026">
        <v>1</v>
      </c>
      <c r="E47" s="5026">
        <f>8074069755/25000</f>
        <v>322962.79019999999</v>
      </c>
      <c r="F47" s="5027">
        <v>60</v>
      </c>
      <c r="G47" s="5028">
        <f t="shared" si="23"/>
        <v>8.5800000000000001E-2</v>
      </c>
      <c r="H47" s="5029">
        <f t="shared" si="24"/>
        <v>8.5800000000000001E-2</v>
      </c>
      <c r="I47" s="5041">
        <v>253608.60136461537</v>
      </c>
      <c r="J47" s="5030">
        <f t="shared" si="18"/>
        <v>1572.3261804270412</v>
      </c>
      <c r="K47" s="3463"/>
      <c r="L47" s="1603">
        <f t="shared" si="25"/>
        <v>1794.7151159583602</v>
      </c>
      <c r="M47" s="3488">
        <f t="shared" si="26"/>
        <v>1754.4255930083075</v>
      </c>
      <c r="N47" s="1605">
        <f>($I23-SUM($L23:M23))*$G23/365*30</f>
        <v>1714.1360700582547</v>
      </c>
      <c r="O47" s="1603">
        <f>($I23-SUM($L23:N23))*$G23/365*30</f>
        <v>1673.846547108202</v>
      </c>
      <c r="P47" s="1604">
        <f>($I23-SUM($L23:O23))*$G23/365*30</f>
        <v>1633.5570241581495</v>
      </c>
      <c r="Q47" s="1605">
        <f>($I23-SUM($L23:P23))*$G23/365*30</f>
        <v>1593.267501208097</v>
      </c>
      <c r="R47" s="1603">
        <f>($I23-SUM($L23:Q23))*$G23/365*30</f>
        <v>1552.977978258044</v>
      </c>
      <c r="S47" s="1604">
        <f>($I23-SUM($L23:R23))*$G23/365*30</f>
        <v>1512.6884553079913</v>
      </c>
      <c r="T47" s="1605">
        <f>($I23-SUM($L23:S23))*$G23/365*30</f>
        <v>1472.3989323579385</v>
      </c>
      <c r="U47" s="1603">
        <f>($I23-SUM($L23:T23))*$G23/365*30</f>
        <v>1432.1094094078862</v>
      </c>
      <c r="V47" s="1604">
        <f>($I23-SUM($L23:U23))*$H23/365*30</f>
        <v>1386.9703398151232</v>
      </c>
      <c r="W47" s="1605">
        <f>($I23-SUM($L23:V23))*$H23/365*30</f>
        <v>1346.8211984781367</v>
      </c>
      <c r="X47" s="1669">
        <f t="shared" si="27"/>
        <v>18867.914165124494</v>
      </c>
      <c r="AA47" s="4967"/>
      <c r="AB47" s="2298"/>
    </row>
    <row r="48" spans="1:28" s="1631" customFormat="1" ht="14.25" thickBot="1">
      <c r="A48" s="4859"/>
      <c r="B48" s="2968" t="s">
        <v>363</v>
      </c>
      <c r="C48" s="4517"/>
      <c r="D48" s="4517"/>
      <c r="E48" s="2408">
        <f>SUM(E36:E47)</f>
        <v>2896141.6155688306</v>
      </c>
      <c r="F48" s="2951"/>
      <c r="G48" s="4517"/>
      <c r="H48" s="4517"/>
      <c r="I48" s="4517">
        <f>SUM(I36:I47)</f>
        <v>2012665.2497699999</v>
      </c>
      <c r="J48" s="2969">
        <f>SUM(J36:J47)</f>
        <v>10549.320342823592</v>
      </c>
      <c r="K48" s="2953"/>
      <c r="L48" s="2951">
        <f t="shared" ref="L48:X48" si="28">SUM(L36:L47)</f>
        <v>14549.043053832262</v>
      </c>
      <c r="M48" s="4517">
        <f t="shared" si="28"/>
        <v>14171.477852421614</v>
      </c>
      <c r="N48" s="2409">
        <f t="shared" si="28"/>
        <v>13793.912651010975</v>
      </c>
      <c r="O48" s="2951">
        <f t="shared" si="28"/>
        <v>13416.347449600331</v>
      </c>
      <c r="P48" s="4517">
        <f t="shared" si="28"/>
        <v>13038.782248189686</v>
      </c>
      <c r="Q48" s="2409">
        <f t="shared" si="28"/>
        <v>12661.217046779044</v>
      </c>
      <c r="R48" s="2951">
        <f t="shared" si="28"/>
        <v>8098.8136359984983</v>
      </c>
      <c r="S48" s="4517">
        <f t="shared" si="28"/>
        <v>7843.8108117924912</v>
      </c>
      <c r="T48" s="2409">
        <f t="shared" si="28"/>
        <v>7588.8079875864842</v>
      </c>
      <c r="U48" s="2951">
        <f t="shared" si="28"/>
        <v>7333.805163380478</v>
      </c>
      <c r="V48" s="4517">
        <f t="shared" si="28"/>
        <v>7178.2327397541594</v>
      </c>
      <c r="W48" s="2409">
        <f t="shared" si="28"/>
        <v>6917.5934735370874</v>
      </c>
      <c r="X48" s="2953">
        <f t="shared" si="28"/>
        <v>126591.84411388313</v>
      </c>
      <c r="AA48" s="4967"/>
      <c r="AB48" s="2298"/>
    </row>
    <row r="49" spans="1:28" s="1631" customFormat="1" ht="20.100000000000001" customHeight="1" thickBot="1">
      <c r="A49" s="5352" t="s">
        <v>549</v>
      </c>
      <c r="B49" s="5373"/>
      <c r="C49" s="5373"/>
      <c r="D49" s="5373"/>
      <c r="E49" s="1619">
        <f>+E35+E48</f>
        <v>3664664.7465688307</v>
      </c>
      <c r="F49" s="1802"/>
      <c r="G49" s="1691"/>
      <c r="H49" s="1691"/>
      <c r="I49" s="1618">
        <f>+I35+I48</f>
        <v>2161661.72077</v>
      </c>
      <c r="J49" s="22">
        <f>+J35+J48</f>
        <v>11013.575038440031</v>
      </c>
      <c r="K49" s="1692"/>
      <c r="L49" s="1617">
        <f t="shared" ref="L49:X49" si="29">+L35+L48</f>
        <v>17456.562307784316</v>
      </c>
      <c r="M49" s="1618">
        <f t="shared" si="29"/>
        <v>16931.647445996958</v>
      </c>
      <c r="N49" s="1619">
        <f t="shared" si="29"/>
        <v>16406.732584209603</v>
      </c>
      <c r="O49" s="1617">
        <f t="shared" si="29"/>
        <v>15881.817722422249</v>
      </c>
      <c r="P49" s="1618">
        <f t="shared" si="29"/>
        <v>15356.902860634891</v>
      </c>
      <c r="Q49" s="1619">
        <f t="shared" si="29"/>
        <v>14831.987998847537</v>
      </c>
      <c r="R49" s="1617">
        <f t="shared" si="29"/>
        <v>10101.133393553293</v>
      </c>
      <c r="S49" s="1618">
        <f t="shared" si="29"/>
        <v>9754.0745270527659</v>
      </c>
      <c r="T49" s="1619">
        <f t="shared" si="29"/>
        <v>9407.015660552237</v>
      </c>
      <c r="U49" s="1617">
        <f t="shared" si="29"/>
        <v>9059.9567940517118</v>
      </c>
      <c r="V49" s="1618">
        <f t="shared" si="29"/>
        <v>8812.3283281308723</v>
      </c>
      <c r="W49" s="1619">
        <f t="shared" si="29"/>
        <v>8459.6330196192794</v>
      </c>
      <c r="X49" s="1692">
        <f t="shared" si="29"/>
        <v>152459.79264285573</v>
      </c>
      <c r="AA49" s="4967"/>
      <c r="AB49" s="2298"/>
    </row>
    <row r="50" spans="1:28" s="1631" customFormat="1" ht="20.100000000000001" customHeight="1" thickBot="1">
      <c r="A50" s="5529" t="s">
        <v>599</v>
      </c>
      <c r="B50" s="5530"/>
      <c r="C50" s="5530"/>
      <c r="D50" s="5530"/>
      <c r="E50" s="2971"/>
      <c r="F50" s="2972"/>
      <c r="G50" s="2973"/>
      <c r="H50" s="2973"/>
      <c r="I50" s="2974"/>
      <c r="J50" s="2975"/>
      <c r="K50" s="2977"/>
      <c r="L50" s="2976">
        <f>+L49</f>
        <v>17456.562307784316</v>
      </c>
      <c r="M50" s="2974">
        <f t="shared" ref="M50:N50" si="30">+M49</f>
        <v>16931.647445996958</v>
      </c>
      <c r="N50" s="2971">
        <f t="shared" si="30"/>
        <v>16406.732584209603</v>
      </c>
      <c r="O50" s="2976">
        <f>+O49</f>
        <v>15881.817722422249</v>
      </c>
      <c r="P50" s="2974">
        <f t="shared" ref="P50:X50" si="31">+P49</f>
        <v>15356.902860634891</v>
      </c>
      <c r="Q50" s="2971">
        <f t="shared" si="31"/>
        <v>14831.987998847537</v>
      </c>
      <c r="R50" s="2976">
        <f t="shared" si="31"/>
        <v>10101.133393553293</v>
      </c>
      <c r="S50" s="2974">
        <f t="shared" si="31"/>
        <v>9754.0745270527659</v>
      </c>
      <c r="T50" s="2971">
        <f t="shared" si="31"/>
        <v>9407.015660552237</v>
      </c>
      <c r="U50" s="2976">
        <f t="shared" si="31"/>
        <v>9059.9567940517118</v>
      </c>
      <c r="V50" s="2974">
        <f t="shared" si="31"/>
        <v>8812.3283281308723</v>
      </c>
      <c r="W50" s="2971">
        <f t="shared" si="31"/>
        <v>8459.6330196192794</v>
      </c>
      <c r="X50" s="3727">
        <f t="shared" si="31"/>
        <v>152459.79264285573</v>
      </c>
      <c r="AA50" s="4967"/>
      <c r="AB50" s="2298"/>
    </row>
    <row r="51" spans="1:28" s="1631" customFormat="1" ht="16.5" customHeight="1" thickBot="1">
      <c r="A51" s="2978"/>
      <c r="B51" s="2978"/>
      <c r="C51" s="2978"/>
      <c r="D51" s="2978"/>
      <c r="E51" s="2979"/>
      <c r="F51" s="2979"/>
      <c r="G51" s="2979"/>
      <c r="H51" s="2979"/>
      <c r="I51" s="2979"/>
      <c r="J51" s="2978"/>
      <c r="K51" s="2980"/>
      <c r="L51" s="2979"/>
      <c r="M51" s="2979"/>
      <c r="N51" s="2979"/>
      <c r="O51" s="2979"/>
      <c r="P51" s="2979"/>
      <c r="Q51" s="2979"/>
      <c r="R51" s="2979"/>
      <c r="S51" s="2979"/>
      <c r="T51" s="2979"/>
      <c r="U51" s="2979"/>
      <c r="V51" s="2979"/>
      <c r="W51" s="2979"/>
      <c r="X51" s="2979"/>
      <c r="AA51" s="4967"/>
      <c r="AB51" s="2298"/>
    </row>
    <row r="52" spans="1:28" s="1631" customFormat="1" ht="19.5" customHeight="1" thickBot="1">
      <c r="A52" s="5523" t="s">
        <v>600</v>
      </c>
      <c r="B52" s="5524"/>
      <c r="C52" s="5524"/>
      <c r="D52" s="5524"/>
      <c r="E52" s="2981"/>
      <c r="F52" s="2982"/>
      <c r="G52" s="2983"/>
      <c r="H52" s="2983"/>
      <c r="I52" s="2984"/>
      <c r="J52" s="2985"/>
      <c r="K52" s="2987"/>
      <c r="L52" s="2986">
        <f t="shared" ref="L52:X52" si="32">+L25+L50</f>
        <v>92134.281913553554</v>
      </c>
      <c r="M52" s="2984">
        <f t="shared" si="32"/>
        <v>91609.367051766196</v>
      </c>
      <c r="N52" s="2981">
        <f t="shared" si="32"/>
        <v>91084.452189978838</v>
      </c>
      <c r="O52" s="2986">
        <f t="shared" si="32"/>
        <v>90559.53732819148</v>
      </c>
      <c r="P52" s="2984">
        <f t="shared" si="32"/>
        <v>90034.622466404122</v>
      </c>
      <c r="Q52" s="2981">
        <f t="shared" si="32"/>
        <v>92679.707604616764</v>
      </c>
      <c r="R52" s="2986">
        <f t="shared" si="32"/>
        <v>59819.285499322519</v>
      </c>
      <c r="S52" s="2984">
        <f t="shared" si="32"/>
        <v>59472.226632821999</v>
      </c>
      <c r="T52" s="2981">
        <f t="shared" si="32"/>
        <v>59125.167766321465</v>
      </c>
      <c r="U52" s="2986">
        <f t="shared" si="32"/>
        <v>58778.108899820945</v>
      </c>
      <c r="V52" s="2984">
        <f t="shared" si="32"/>
        <v>58530.480433900098</v>
      </c>
      <c r="W52" s="2981">
        <f t="shared" si="32"/>
        <v>58177.785125388509</v>
      </c>
      <c r="X52" s="2987">
        <f t="shared" si="32"/>
        <v>902005.02291208669</v>
      </c>
      <c r="AA52" s="4967"/>
      <c r="AB52" s="2298"/>
    </row>
    <row r="53" spans="1:28">
      <c r="X53" s="1503" t="b">
        <f>ROUND(SUM(L52:W52),0)=ROUND(X52,0)</f>
        <v>1</v>
      </c>
    </row>
    <row r="54" spans="1:28">
      <c r="A54" s="2988"/>
    </row>
  </sheetData>
  <mergeCells count="8">
    <mergeCell ref="A49:D49"/>
    <mergeCell ref="A52:D52"/>
    <mergeCell ref="A4:B4"/>
    <mergeCell ref="A5:A11"/>
    <mergeCell ref="A25:D25"/>
    <mergeCell ref="A28:B28"/>
    <mergeCell ref="A29:A35"/>
    <mergeCell ref="A50:D50"/>
  </mergeCells>
  <phoneticPr fontId="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D128"/>
  <sheetViews>
    <sheetView topLeftCell="A27" workbookViewId="0">
      <selection activeCell="E39" sqref="E39"/>
    </sheetView>
  </sheetViews>
  <sheetFormatPr defaultColWidth="9.125" defaultRowHeight="16.5"/>
  <cols>
    <col min="1" max="1" width="9" style="9" customWidth="1"/>
    <col min="2" max="2" width="27.375" style="9" customWidth="1"/>
    <col min="3" max="3" width="9.625" style="9" customWidth="1"/>
    <col min="4" max="4" width="20.375" style="9" customWidth="1"/>
    <col min="5" max="5" width="16.875" style="9" customWidth="1"/>
    <col min="6" max="8" width="9.625" style="2989" customWidth="1"/>
    <col min="9" max="9" width="9.625" style="1715" customWidth="1"/>
    <col min="10" max="10" width="9.625" style="2613" customWidth="1"/>
    <col min="11" max="11" width="9.625" style="2587" customWidth="1"/>
    <col min="12" max="14" width="9.625" style="1541" customWidth="1"/>
    <col min="15" max="15" width="9.625" style="9" customWidth="1"/>
    <col min="16" max="16" width="18.375" style="1520" customWidth="1"/>
    <col min="17" max="17" width="19.25" style="1520" hidden="1" customWidth="1"/>
    <col min="18" max="18" width="11" style="1520" hidden="1" customWidth="1"/>
    <col min="19" max="25" width="9" style="1520" hidden="1" customWidth="1"/>
    <col min="26" max="29" width="0" style="1520" hidden="1" customWidth="1"/>
    <col min="30" max="16384" width="9.125" style="1520"/>
  </cols>
  <sheetData>
    <row r="1" spans="1:29" hidden="1">
      <c r="A1" s="9" t="s">
        <v>1030</v>
      </c>
    </row>
    <row r="2" spans="1:29" hidden="1">
      <c r="A2" s="9" t="s">
        <v>1063</v>
      </c>
      <c r="B2" s="1520"/>
      <c r="C2" s="1520"/>
    </row>
    <row r="3" spans="1:29" hidden="1">
      <c r="A3" s="2463" t="s">
        <v>209</v>
      </c>
      <c r="B3" s="2463" t="s">
        <v>1048</v>
      </c>
      <c r="C3" s="2463" t="s">
        <v>1049</v>
      </c>
    </row>
    <row r="4" spans="1:29" hidden="1">
      <c r="A4" s="10" t="s">
        <v>1050</v>
      </c>
      <c r="B4" s="2990">
        <v>-3110525.9136316306</v>
      </c>
      <c r="C4" s="2991" t="e">
        <f>'10. IS'!#REF!</f>
        <v>#REF!</v>
      </c>
    </row>
    <row r="5" spans="1:29" hidden="1">
      <c r="A5" s="10" t="s">
        <v>1051</v>
      </c>
      <c r="B5" s="2990">
        <v>1055696.6006127601</v>
      </c>
      <c r="C5" s="2991">
        <f>'11. CF-2026'!O49</f>
        <v>5967243.3793577701</v>
      </c>
    </row>
    <row r="6" spans="1:29" hidden="1">
      <c r="A6" s="2992" t="s">
        <v>1052</v>
      </c>
      <c r="B6" s="1520"/>
      <c r="C6" s="1520"/>
    </row>
    <row r="7" spans="1:29" hidden="1">
      <c r="A7" s="1541"/>
      <c r="B7" s="1541"/>
      <c r="C7" s="1541"/>
      <c r="D7" s="1541"/>
      <c r="E7" s="1541"/>
      <c r="K7" s="1541"/>
      <c r="O7" s="1541"/>
      <c r="Q7" s="1520" t="s">
        <v>1066</v>
      </c>
    </row>
    <row r="8" spans="1:29">
      <c r="A8" s="9" t="s">
        <v>1064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  <c r="I8" s="9">
        <v>9</v>
      </c>
      <c r="J8" s="9">
        <v>10</v>
      </c>
      <c r="K8" s="9">
        <v>11</v>
      </c>
      <c r="L8" s="9">
        <v>12</v>
      </c>
      <c r="M8" s="9">
        <v>13</v>
      </c>
      <c r="N8" s="9">
        <v>14</v>
      </c>
      <c r="O8" s="9">
        <v>15</v>
      </c>
      <c r="Q8" s="1520">
        <v>1</v>
      </c>
      <c r="R8" s="1520">
        <v>2</v>
      </c>
      <c r="S8" s="1520">
        <v>3</v>
      </c>
      <c r="T8" s="1520">
        <v>4</v>
      </c>
      <c r="U8" s="1520">
        <v>5</v>
      </c>
      <c r="V8" s="1520">
        <v>6</v>
      </c>
      <c r="W8" s="1520">
        <v>7</v>
      </c>
      <c r="X8" s="1520">
        <v>8</v>
      </c>
      <c r="Y8" s="1520">
        <v>9</v>
      </c>
      <c r="Z8" s="1520">
        <v>10</v>
      </c>
      <c r="AA8" s="1520">
        <v>11</v>
      </c>
      <c r="AB8" s="1520">
        <v>12</v>
      </c>
      <c r="AC8" s="1520">
        <v>13</v>
      </c>
    </row>
    <row r="9" spans="1:29" s="1521" customFormat="1" ht="43.5" customHeight="1">
      <c r="A9" s="1615" t="s">
        <v>1027</v>
      </c>
      <c r="B9" s="1615" t="s">
        <v>101</v>
      </c>
      <c r="C9" s="1615" t="s">
        <v>1053</v>
      </c>
      <c r="D9" s="1615" t="s">
        <v>1006</v>
      </c>
      <c r="E9" s="1615" t="s">
        <v>46</v>
      </c>
      <c r="F9" s="2993" t="s">
        <v>89</v>
      </c>
      <c r="G9" s="2993" t="s">
        <v>1031</v>
      </c>
      <c r="H9" s="2993" t="s">
        <v>1032</v>
      </c>
      <c r="I9" s="2994" t="s">
        <v>1045</v>
      </c>
      <c r="J9" s="2995" t="s">
        <v>1046</v>
      </c>
      <c r="K9" s="2996" t="s">
        <v>1047</v>
      </c>
      <c r="L9" s="2997" t="s">
        <v>185</v>
      </c>
      <c r="M9" s="2997" t="s">
        <v>186</v>
      </c>
      <c r="N9" s="2997" t="s">
        <v>187</v>
      </c>
      <c r="O9" s="1615" t="s">
        <v>1033</v>
      </c>
      <c r="Q9" s="1615" t="s">
        <v>101</v>
      </c>
      <c r="R9" s="1615" t="s">
        <v>1006</v>
      </c>
      <c r="S9" s="1615" t="s">
        <v>46</v>
      </c>
      <c r="T9" s="1615" t="s">
        <v>89</v>
      </c>
      <c r="U9" s="1615" t="s">
        <v>1031</v>
      </c>
      <c r="V9" s="1615" t="s">
        <v>1032</v>
      </c>
      <c r="W9" s="1615" t="s">
        <v>1045</v>
      </c>
      <c r="X9" s="2998" t="s">
        <v>1046</v>
      </c>
      <c r="Y9" s="2996" t="s">
        <v>1047</v>
      </c>
      <c r="Z9" s="1615" t="s">
        <v>185</v>
      </c>
      <c r="AA9" s="1615" t="s">
        <v>186</v>
      </c>
      <c r="AB9" s="1615" t="s">
        <v>187</v>
      </c>
      <c r="AC9" s="1615" t="s">
        <v>1033</v>
      </c>
    </row>
    <row r="10" spans="1:29">
      <c r="A10" s="1707">
        <f>IFERROR(INDEX('2. S Plan'!$E$5:$E$75, MATCH(B.BasicInfomation!B10, '2. S Plan'!$F$5:$F$75, 0)),"")</f>
        <v>0</v>
      </c>
      <c r="B10" s="10" t="s">
        <v>1213</v>
      </c>
      <c r="C10" s="2999">
        <f>A10</f>
        <v>0</v>
      </c>
      <c r="D10" s="10" t="str">
        <f>_xlfn.XLOOKUP(B10,'2. S Plan'!$F$5:$F$83,'2. S Plan'!$AC$5:$AC$83,0,0)</f>
        <v>Mobile</v>
      </c>
      <c r="E10" s="10" t="str">
        <f>_xlfn.XLOOKUP(B10,'2. S Plan'!$F$5:$F$83,'2. S Plan'!$AB$5:$AB$83,0,0)</f>
        <v>Samsung</v>
      </c>
      <c r="F10" s="3006">
        <v>0.95</v>
      </c>
      <c r="G10" s="3006">
        <v>0.95</v>
      </c>
      <c r="H10" s="3006">
        <v>0.90249999999999997</v>
      </c>
      <c r="I10" s="8">
        <v>0.19</v>
      </c>
      <c r="J10" s="7">
        <v>3.7560000000000003E-2</v>
      </c>
      <c r="K10" s="3009">
        <v>0.1976842105263158</v>
      </c>
      <c r="L10" s="6">
        <v>7000</v>
      </c>
      <c r="M10" s="6">
        <v>350</v>
      </c>
      <c r="N10" s="6">
        <v>2</v>
      </c>
      <c r="O10" s="3005" t="s">
        <v>1059</v>
      </c>
      <c r="Q10" s="10" t="s">
        <v>862</v>
      </c>
      <c r="R10" s="10" t="s">
        <v>861</v>
      </c>
      <c r="S10" s="10" t="s">
        <v>19</v>
      </c>
      <c r="T10" s="3000">
        <v>0.95</v>
      </c>
      <c r="U10" s="3000">
        <v>0.95</v>
      </c>
      <c r="V10" s="3000">
        <v>0.90249999999999997</v>
      </c>
      <c r="W10" s="3003">
        <v>0.19</v>
      </c>
      <c r="X10" s="3004">
        <v>3.7560000000000003E-2</v>
      </c>
      <c r="Y10" s="3001">
        <v>0.1976842105263158</v>
      </c>
      <c r="Z10" s="2999">
        <v>7000</v>
      </c>
      <c r="AA10" s="2999">
        <v>350</v>
      </c>
      <c r="AB10" s="2999">
        <v>2</v>
      </c>
      <c r="AC10" s="2999" t="s">
        <v>1059</v>
      </c>
    </row>
    <row r="11" spans="1:29">
      <c r="A11" s="1707">
        <f>IFERROR(INDEX('2. S Plan'!$E$5:$E$75, MATCH(B.BasicInfomation!B11, '2. S Plan'!$F$5:$F$75, 0)),"")</f>
        <v>1</v>
      </c>
      <c r="B11" s="10" t="s">
        <v>1312</v>
      </c>
      <c r="C11" s="2999">
        <f>A11</f>
        <v>1</v>
      </c>
      <c r="D11" s="10" t="str">
        <f>_xlfn.XLOOKUP(B11,'2. S Plan'!$F$5:$F$83,'2. S Plan'!$AC$5:$AC$83,0,0)</f>
        <v>Mobile</v>
      </c>
      <c r="E11" s="10" t="str">
        <f>_xlfn.XLOOKUP(B11,'2. S Plan'!$F$5:$F$83,'2. S Plan'!$AB$5:$AB$83,0,0)</f>
        <v>Samsung</v>
      </c>
      <c r="F11" s="3006">
        <v>0.95</v>
      </c>
      <c r="G11" s="3006">
        <v>0.95</v>
      </c>
      <c r="H11" s="3006">
        <v>0.90249999999999997</v>
      </c>
      <c r="I11" s="8">
        <v>0.19</v>
      </c>
      <c r="J11" s="7">
        <v>3.7560000000000003E-2</v>
      </c>
      <c r="K11" s="3009">
        <v>0.1976842105263158</v>
      </c>
      <c r="L11" s="6">
        <v>7000</v>
      </c>
      <c r="M11" s="6">
        <v>350</v>
      </c>
      <c r="N11" s="6">
        <v>2</v>
      </c>
      <c r="O11" s="3005" t="s">
        <v>1059</v>
      </c>
      <c r="Q11" s="10" t="s">
        <v>92</v>
      </c>
      <c r="R11" s="10" t="s">
        <v>861</v>
      </c>
      <c r="S11" s="10" t="s">
        <v>19</v>
      </c>
      <c r="T11" s="3000">
        <v>0.95</v>
      </c>
      <c r="U11" s="3000">
        <v>0.99</v>
      </c>
      <c r="V11" s="3000">
        <v>0.9405</v>
      </c>
      <c r="W11" s="3003"/>
      <c r="X11" s="3004"/>
      <c r="Y11" s="3001"/>
      <c r="Z11" s="2999"/>
      <c r="AA11" s="2999"/>
      <c r="AB11" s="2999"/>
      <c r="AC11" s="2999"/>
    </row>
    <row r="12" spans="1:29">
      <c r="A12" s="1707">
        <f>IFERROR(INDEX('2. S Plan'!$E$5:$E$75, MATCH(B.BasicInfomation!B12, '2. S Plan'!$F$5:$F$75, 0)),"")</f>
        <v>2</v>
      </c>
      <c r="B12" s="10" t="s">
        <v>1214</v>
      </c>
      <c r="C12" s="2999">
        <f>A12</f>
        <v>2</v>
      </c>
      <c r="D12" s="10" t="str">
        <f>_xlfn.XLOOKUP(B12,'2. S Plan'!$F$5:$F$83,'2. S Plan'!$AC$5:$AC$83,0,0)</f>
        <v>Mobile</v>
      </c>
      <c r="E12" s="10" t="str">
        <f>_xlfn.XLOOKUP(B12,'2. S Plan'!$F$5:$F$83,'2. S Plan'!$AB$5:$AB$83,0,0)</f>
        <v>Samsung</v>
      </c>
      <c r="F12" s="3006">
        <v>0.95</v>
      </c>
      <c r="G12" s="3006">
        <v>0.95</v>
      </c>
      <c r="H12" s="3006">
        <v>0.90249999999999997</v>
      </c>
      <c r="I12" s="8">
        <v>0.19</v>
      </c>
      <c r="J12" s="7">
        <v>3.7560000000000003E-2</v>
      </c>
      <c r="K12" s="3009">
        <v>0.1976842105263158</v>
      </c>
      <c r="L12" s="6">
        <v>7000</v>
      </c>
      <c r="M12" s="6">
        <v>350</v>
      </c>
      <c r="N12" s="6">
        <v>2</v>
      </c>
      <c r="O12" s="3005" t="s">
        <v>1059</v>
      </c>
      <c r="Q12" s="10" t="s">
        <v>863</v>
      </c>
      <c r="R12" s="10" t="s">
        <v>861</v>
      </c>
      <c r="S12" s="10" t="s">
        <v>24</v>
      </c>
      <c r="T12" s="3000">
        <v>1</v>
      </c>
      <c r="U12" s="3000">
        <v>1</v>
      </c>
      <c r="V12" s="3000">
        <v>1</v>
      </c>
      <c r="W12" s="3003"/>
      <c r="X12" s="3004"/>
      <c r="Y12" s="3001"/>
      <c r="Z12" s="2999"/>
      <c r="AA12" s="2999"/>
      <c r="AB12" s="2999"/>
      <c r="AC12" s="2999" t="s">
        <v>1054</v>
      </c>
    </row>
    <row r="13" spans="1:29">
      <c r="A13" s="1707">
        <f>IFERROR(INDEX('2. S Plan'!$E$5:$E$75, MATCH(B.BasicInfomation!B13, '2. S Plan'!$F$5:$F$75, 0)),"")</f>
        <v>3</v>
      </c>
      <c r="B13" s="10" t="s">
        <v>1215</v>
      </c>
      <c r="C13" s="2999">
        <f>A13</f>
        <v>3</v>
      </c>
      <c r="D13" s="10" t="str">
        <f>_xlfn.XLOOKUP(B13,'2. S Plan'!$F$5:$F$83,'2. S Plan'!$AC$5:$AC$83,0,0)</f>
        <v>Mobile</v>
      </c>
      <c r="E13" s="10" t="str">
        <f>_xlfn.XLOOKUP(B13,'2. S Plan'!$F$5:$F$83,'2. S Plan'!$AB$5:$AB$83,0,0)</f>
        <v>Samsung</v>
      </c>
      <c r="F13" s="3006">
        <v>0.95</v>
      </c>
      <c r="G13" s="3006">
        <v>0.95</v>
      </c>
      <c r="H13" s="3006">
        <v>0.90249999999999997</v>
      </c>
      <c r="I13" s="8">
        <v>0.19</v>
      </c>
      <c r="J13" s="7">
        <v>3.7560000000000003E-2</v>
      </c>
      <c r="K13" s="3009">
        <v>0.1976842105263158</v>
      </c>
      <c r="L13" s="6">
        <v>7000</v>
      </c>
      <c r="M13" s="6">
        <v>350</v>
      </c>
      <c r="N13" s="6">
        <v>2</v>
      </c>
      <c r="O13" s="3005" t="s">
        <v>1059</v>
      </c>
      <c r="Q13" s="10" t="s">
        <v>864</v>
      </c>
      <c r="R13" s="10" t="s">
        <v>861</v>
      </c>
      <c r="S13" s="10" t="s">
        <v>24</v>
      </c>
      <c r="T13" s="3000">
        <v>1</v>
      </c>
      <c r="U13" s="3000">
        <v>1</v>
      </c>
      <c r="V13" s="3000">
        <v>1</v>
      </c>
      <c r="W13" s="3003"/>
      <c r="X13" s="3004"/>
      <c r="Y13" s="3001"/>
      <c r="Z13" s="2999"/>
      <c r="AA13" s="2999"/>
      <c r="AB13" s="2999"/>
      <c r="AC13" s="2999" t="s">
        <v>1054</v>
      </c>
    </row>
    <row r="14" spans="1:29">
      <c r="A14" s="1707">
        <f>IFERROR(INDEX('2. S Plan'!$E$5:$E$75, MATCH(B.BasicInfomation!B14, '2. S Plan'!$F$5:$F$75, 0)),"")</f>
        <v>4</v>
      </c>
      <c r="B14" s="10" t="s">
        <v>1242</v>
      </c>
      <c r="C14" s="2999">
        <f>A14</f>
        <v>4</v>
      </c>
      <c r="D14" s="10" t="str">
        <f>_xlfn.XLOOKUP(B14,'2. S Plan'!$F$5:$F$83,'2. S Plan'!$AC$5:$AC$83,0,0)</f>
        <v>Mobile</v>
      </c>
      <c r="E14" s="10" t="str">
        <f>_xlfn.XLOOKUP(B14,'2. S Plan'!$F$5:$F$83,'2. S Plan'!$AB$5:$AB$83,0,0)</f>
        <v>Samsung</v>
      </c>
      <c r="F14" s="3006">
        <v>0.95</v>
      </c>
      <c r="G14" s="3006">
        <v>0.95</v>
      </c>
      <c r="H14" s="3006">
        <v>0.90249999999999997</v>
      </c>
      <c r="I14" s="8">
        <v>0.19</v>
      </c>
      <c r="J14" s="7">
        <v>3.7560000000000003E-2</v>
      </c>
      <c r="K14" s="3009">
        <v>0.1976842105263158</v>
      </c>
      <c r="L14" s="6">
        <v>7000</v>
      </c>
      <c r="M14" s="6">
        <v>350</v>
      </c>
      <c r="N14" s="6">
        <v>2</v>
      </c>
      <c r="O14" s="3005" t="s">
        <v>1059</v>
      </c>
      <c r="Q14" s="3005" t="s">
        <v>1067</v>
      </c>
      <c r="R14" s="3005" t="s">
        <v>861</v>
      </c>
      <c r="S14" s="3005" t="s">
        <v>24</v>
      </c>
      <c r="T14" s="3006">
        <v>1</v>
      </c>
      <c r="U14" s="3006">
        <v>1</v>
      </c>
      <c r="V14" s="3006">
        <v>1</v>
      </c>
      <c r="W14" s="3007"/>
      <c r="X14" s="3008"/>
      <c r="Y14" s="3009"/>
      <c r="Z14" s="3010"/>
      <c r="AA14" s="3010"/>
      <c r="AB14" s="3010"/>
      <c r="AC14" s="3010" t="s">
        <v>1060</v>
      </c>
    </row>
    <row r="15" spans="1:29">
      <c r="A15" s="1707">
        <f>IFERROR(INDEX('2. S Plan'!$E$5:$E$75, MATCH(B.BasicInfomation!B15, '2. S Plan'!$F$5:$F$75, 0)),"")</f>
        <v>5</v>
      </c>
      <c r="B15" s="10" t="s">
        <v>1243</v>
      </c>
      <c r="C15" s="2999">
        <f t="shared" ref="C15:C80" si="0">A15</f>
        <v>5</v>
      </c>
      <c r="D15" s="10" t="str">
        <f>_xlfn.XLOOKUP(B15,'2. S Plan'!$F$5:$F$83,'2. S Plan'!$AC$5:$AC$83,0,0)</f>
        <v>Mobile</v>
      </c>
      <c r="E15" s="10" t="str">
        <f>_xlfn.XLOOKUP(B15,'2. S Plan'!$F$5:$F$83,'2. S Plan'!$AB$5:$AB$83,0,0)</f>
        <v>Samsung</v>
      </c>
      <c r="F15" s="3006">
        <v>0.95</v>
      </c>
      <c r="G15" s="3006">
        <v>0.95</v>
      </c>
      <c r="H15" s="3006">
        <v>0.90249999999999997</v>
      </c>
      <c r="I15" s="8">
        <v>0.19</v>
      </c>
      <c r="J15" s="7">
        <v>3.7560000000000003E-2</v>
      </c>
      <c r="K15" s="3009">
        <v>0.1976842105263158</v>
      </c>
      <c r="L15" s="6">
        <v>7000</v>
      </c>
      <c r="M15" s="6">
        <v>350</v>
      </c>
      <c r="N15" s="6">
        <v>2</v>
      </c>
      <c r="O15" s="3005" t="s">
        <v>1059</v>
      </c>
      <c r="Q15" s="3005" t="s">
        <v>1068</v>
      </c>
      <c r="R15" s="3005" t="s">
        <v>861</v>
      </c>
      <c r="S15" s="3005" t="s">
        <v>24</v>
      </c>
      <c r="T15" s="3006">
        <v>1</v>
      </c>
      <c r="U15" s="3006">
        <v>1</v>
      </c>
      <c r="V15" s="3006">
        <v>1</v>
      </c>
      <c r="W15" s="3007"/>
      <c r="X15" s="3008"/>
      <c r="Y15" s="3009"/>
      <c r="Z15" s="3010"/>
      <c r="AA15" s="3010"/>
      <c r="AB15" s="3010"/>
      <c r="AC15" s="3010" t="s">
        <v>1060</v>
      </c>
    </row>
    <row r="16" spans="1:29">
      <c r="A16" s="1707">
        <f>IFERROR(INDEX('2. S Plan'!$E$5:$E$75, MATCH(B.BasicInfomation!B16, '2. S Plan'!$F$5:$F$75, 0)),"")</f>
        <v>6</v>
      </c>
      <c r="B16" s="10" t="s">
        <v>1244</v>
      </c>
      <c r="C16" s="2999">
        <f t="shared" si="0"/>
        <v>6</v>
      </c>
      <c r="D16" s="10" t="str">
        <f>_xlfn.XLOOKUP(B16,'2. S Plan'!$F$5:$F$83,'2. S Plan'!$AC$5:$AC$83,0,0)</f>
        <v>Mobile</v>
      </c>
      <c r="E16" s="10" t="str">
        <f>_xlfn.XLOOKUP(B16,'2. S Plan'!$F$5:$F$83,'2. S Plan'!$AB$5:$AB$83,0,0)</f>
        <v>Samsung</v>
      </c>
      <c r="F16" s="3006">
        <v>0.95</v>
      </c>
      <c r="G16" s="3006">
        <v>0.95</v>
      </c>
      <c r="H16" s="3006">
        <v>0.90249999999999997</v>
      </c>
      <c r="I16" s="8">
        <v>0.19</v>
      </c>
      <c r="J16" s="7">
        <v>3.7560000000000003E-2</v>
      </c>
      <c r="K16" s="3009">
        <v>0.1976842105263158</v>
      </c>
      <c r="L16" s="6">
        <v>7000</v>
      </c>
      <c r="M16" s="6">
        <v>350</v>
      </c>
      <c r="N16" s="6">
        <v>2</v>
      </c>
      <c r="O16" s="3005" t="s">
        <v>1059</v>
      </c>
      <c r="Q16" s="10" t="s">
        <v>397</v>
      </c>
      <c r="R16" s="10" t="s">
        <v>861</v>
      </c>
      <c r="S16" s="10" t="s">
        <v>24</v>
      </c>
      <c r="T16" s="3000">
        <v>0.95</v>
      </c>
      <c r="U16" s="3000">
        <v>0.85</v>
      </c>
      <c r="V16" s="3000">
        <v>0.8075</v>
      </c>
      <c r="W16" s="3003"/>
      <c r="X16" s="3004"/>
      <c r="Y16" s="3001"/>
      <c r="Z16" s="2999"/>
      <c r="AA16" s="2999"/>
      <c r="AB16" s="2999"/>
      <c r="AC16" s="2999"/>
    </row>
    <row r="17" spans="1:29">
      <c r="A17" s="1707" t="str">
        <f>IFERROR(INDEX('2. S Plan'!$E$5:$E$75, MATCH(B.BasicInfomation!B17, '2. S Plan'!$F$5:$F$75, 0)),"")</f>
        <v/>
      </c>
      <c r="B17" s="10" t="s">
        <v>1245</v>
      </c>
      <c r="C17" s="2999" t="str">
        <f t="shared" si="0"/>
        <v/>
      </c>
      <c r="D17" s="10">
        <f>_xlfn.XLOOKUP(B17,'2. S Plan'!$F$5:$F$83,'2. S Plan'!$AC$5:$AC$83,0,0)</f>
        <v>0</v>
      </c>
      <c r="E17" s="10">
        <f>_xlfn.XLOOKUP(B17,'2. S Plan'!$F$5:$F$83,'2. S Plan'!$AB$5:$AB$83,0,0)</f>
        <v>0</v>
      </c>
      <c r="F17" s="3006">
        <v>0.95</v>
      </c>
      <c r="G17" s="3006">
        <v>0.95</v>
      </c>
      <c r="H17" s="3006">
        <v>0.90249999999999997</v>
      </c>
      <c r="I17" s="8">
        <v>0.19</v>
      </c>
      <c r="J17" s="7">
        <v>3.7560000000000003E-2</v>
      </c>
      <c r="K17" s="3009">
        <v>0.1976842105263158</v>
      </c>
      <c r="L17" s="6">
        <v>7000</v>
      </c>
      <c r="M17" s="6">
        <v>350</v>
      </c>
      <c r="N17" s="6">
        <v>2</v>
      </c>
      <c r="O17" s="3005" t="s">
        <v>1059</v>
      </c>
      <c r="Q17" s="10" t="s">
        <v>866</v>
      </c>
      <c r="R17" s="10" t="s">
        <v>865</v>
      </c>
      <c r="S17" s="10" t="s">
        <v>20</v>
      </c>
      <c r="T17" s="3000">
        <v>0.95</v>
      </c>
      <c r="U17" s="3000">
        <v>0.85</v>
      </c>
      <c r="V17" s="3000">
        <v>0.8075</v>
      </c>
      <c r="W17" s="3003">
        <v>0.72733999999999999</v>
      </c>
      <c r="X17" s="3008">
        <v>0.33524999999999999</v>
      </c>
      <c r="Y17" s="3001">
        <v>0.47080460413141073</v>
      </c>
      <c r="Z17" s="2999">
        <v>3700</v>
      </c>
      <c r="AA17" s="2999">
        <v>350</v>
      </c>
      <c r="AB17" s="2999">
        <v>2</v>
      </c>
      <c r="AC17" s="2999" t="s">
        <v>1054</v>
      </c>
    </row>
    <row r="18" spans="1:29">
      <c r="A18" s="1707" t="str">
        <f>IFERROR(INDEX('2. S Plan'!$E$5:$E$75, MATCH(B.BasicInfomation!B18, '2. S Plan'!$F$5:$F$75, 0)),"")</f>
        <v/>
      </c>
      <c r="B18" s="10" t="s">
        <v>1246</v>
      </c>
      <c r="C18" s="2999" t="str">
        <f t="shared" si="0"/>
        <v/>
      </c>
      <c r="D18" s="10">
        <f>_xlfn.XLOOKUP(B18,'2. S Plan'!$F$5:$F$83,'2. S Plan'!$AC$5:$AC$83,0,0)</f>
        <v>0</v>
      </c>
      <c r="E18" s="10">
        <f>_xlfn.XLOOKUP(B18,'2. S Plan'!$F$5:$F$83,'2. S Plan'!$AB$5:$AB$83,0,0)</f>
        <v>0</v>
      </c>
      <c r="F18" s="3006">
        <v>0.95</v>
      </c>
      <c r="G18" s="3006">
        <v>0.95</v>
      </c>
      <c r="H18" s="3006">
        <v>0.90249999999999997</v>
      </c>
      <c r="I18" s="8">
        <v>0.19</v>
      </c>
      <c r="J18" s="7">
        <v>3.7560000000000003E-2</v>
      </c>
      <c r="K18" s="3009">
        <v>0.1976842105263158</v>
      </c>
      <c r="L18" s="6">
        <v>7000</v>
      </c>
      <c r="M18" s="6">
        <v>350</v>
      </c>
      <c r="N18" s="6">
        <v>2</v>
      </c>
      <c r="O18" s="3005" t="s">
        <v>1059</v>
      </c>
      <c r="Q18" s="10" t="s">
        <v>867</v>
      </c>
      <c r="R18" s="10" t="s">
        <v>865</v>
      </c>
      <c r="S18" s="10" t="s">
        <v>20</v>
      </c>
      <c r="T18" s="3000">
        <v>0.95</v>
      </c>
      <c r="U18" s="3000">
        <v>0.85</v>
      </c>
      <c r="V18" s="3000">
        <v>0.8075</v>
      </c>
      <c r="W18" s="3003">
        <v>0.74354999999999993</v>
      </c>
      <c r="X18" s="3004">
        <v>0.36447000000000002</v>
      </c>
      <c r="Y18" s="3001">
        <v>0.49017550938067384</v>
      </c>
      <c r="Z18" s="2999">
        <v>3700</v>
      </c>
      <c r="AA18" s="2999">
        <v>350</v>
      </c>
      <c r="AB18" s="2999">
        <v>2</v>
      </c>
      <c r="AC18" s="2999" t="s">
        <v>1054</v>
      </c>
    </row>
    <row r="19" spans="1:29">
      <c r="A19" s="1707" t="str">
        <f>IFERROR(INDEX('2. S Plan'!$E$5:$E$75, MATCH(B.BasicInfomation!B19, '2. S Plan'!$F$5:$F$75, 0)),"")</f>
        <v/>
      </c>
      <c r="B19" s="10" t="s">
        <v>1247</v>
      </c>
      <c r="C19" s="2999" t="str">
        <f t="shared" si="0"/>
        <v/>
      </c>
      <c r="D19" s="10">
        <f>_xlfn.XLOOKUP(B19,'2. S Plan'!$F$5:$F$83,'2. S Plan'!$AC$5:$AC$83,0,0)</f>
        <v>0</v>
      </c>
      <c r="E19" s="10">
        <f>_xlfn.XLOOKUP(B19,'2. S Plan'!$F$5:$F$83,'2. S Plan'!$AB$5:$AB$83,0,0)</f>
        <v>0</v>
      </c>
      <c r="F19" s="3006">
        <v>0.95</v>
      </c>
      <c r="G19" s="3006">
        <v>0.95</v>
      </c>
      <c r="H19" s="3006">
        <v>0.90249999999999997</v>
      </c>
      <c r="I19" s="8">
        <v>0.19</v>
      </c>
      <c r="J19" s="7">
        <v>3.7560000000000003E-2</v>
      </c>
      <c r="K19" s="3009">
        <v>0.1976842105263158</v>
      </c>
      <c r="L19" s="6">
        <v>7000</v>
      </c>
      <c r="M19" s="6">
        <v>350</v>
      </c>
      <c r="N19" s="6">
        <v>2</v>
      </c>
      <c r="O19" s="3005" t="s">
        <v>1059</v>
      </c>
      <c r="Q19" s="10" t="s">
        <v>868</v>
      </c>
      <c r="R19" s="10" t="s">
        <v>865</v>
      </c>
      <c r="S19" s="10" t="s">
        <v>20</v>
      </c>
      <c r="T19" s="3000">
        <v>0.95</v>
      </c>
      <c r="U19" s="3000">
        <v>0.85</v>
      </c>
      <c r="V19" s="3000">
        <v>0.8075</v>
      </c>
      <c r="W19" s="3003">
        <v>0.71501000000000003</v>
      </c>
      <c r="X19" s="3004">
        <v>0.33662999999999998</v>
      </c>
      <c r="Y19" s="3001">
        <v>0.47080460413141073</v>
      </c>
      <c r="Z19" s="2999">
        <v>3700</v>
      </c>
      <c r="AA19" s="2999">
        <v>350</v>
      </c>
      <c r="AB19" s="2999">
        <v>2</v>
      </c>
      <c r="AC19" s="2999" t="s">
        <v>1054</v>
      </c>
    </row>
    <row r="20" spans="1:29">
      <c r="A20" s="1707" t="str">
        <f>IFERROR(INDEX('2. S Plan'!$E$5:$E$75, MATCH(B.BasicInfomation!B20, '2. S Plan'!$F$5:$F$75, 0)),"")</f>
        <v/>
      </c>
      <c r="B20" s="10" t="s">
        <v>1248</v>
      </c>
      <c r="C20" s="2999" t="str">
        <f t="shared" si="0"/>
        <v/>
      </c>
      <c r="D20" s="10">
        <f>_xlfn.XLOOKUP(B20,'2. S Plan'!$F$5:$F$83,'2. S Plan'!$AC$5:$AC$83,0,0)</f>
        <v>0</v>
      </c>
      <c r="E20" s="10">
        <f>_xlfn.XLOOKUP(B20,'2. S Plan'!$F$5:$F$83,'2. S Plan'!$AB$5:$AB$83,0,0)</f>
        <v>0</v>
      </c>
      <c r="F20" s="3006">
        <v>0.95</v>
      </c>
      <c r="G20" s="3006">
        <v>0.95</v>
      </c>
      <c r="H20" s="3006">
        <v>0.90249999999999997</v>
      </c>
      <c r="I20" s="8">
        <v>0.19</v>
      </c>
      <c r="J20" s="7">
        <v>3.7560000000000003E-2</v>
      </c>
      <c r="K20" s="3009">
        <v>0.1976842105263158</v>
      </c>
      <c r="L20" s="6">
        <v>7000</v>
      </c>
      <c r="M20" s="6">
        <v>350</v>
      </c>
      <c r="N20" s="6">
        <v>2</v>
      </c>
      <c r="O20" s="3005" t="s">
        <v>1059</v>
      </c>
      <c r="Q20" s="10" t="s">
        <v>869</v>
      </c>
      <c r="R20" s="10" t="s">
        <v>865</v>
      </c>
      <c r="S20" s="10" t="s">
        <v>20</v>
      </c>
      <c r="T20" s="3000">
        <v>0.95</v>
      </c>
      <c r="U20" s="3000">
        <v>0.85</v>
      </c>
      <c r="V20" s="3000">
        <v>0.8075</v>
      </c>
      <c r="W20" s="3003">
        <v>0.74354999999999993</v>
      </c>
      <c r="X20" s="3004">
        <v>0.36447000000000002</v>
      </c>
      <c r="Y20" s="3001">
        <v>0.49017550938067384</v>
      </c>
      <c r="Z20" s="2999">
        <v>3700</v>
      </c>
      <c r="AA20" s="2999">
        <v>350</v>
      </c>
      <c r="AB20" s="2999">
        <v>2</v>
      </c>
      <c r="AC20" s="2999" t="s">
        <v>1054</v>
      </c>
    </row>
    <row r="21" spans="1:29">
      <c r="A21" s="1707" t="str">
        <f>IFERROR(INDEX('2. S Plan'!$E$5:$E$75, MATCH(B.BasicInfomation!B21, '2. S Plan'!$F$5:$F$75, 0)),"")</f>
        <v/>
      </c>
      <c r="B21" s="10" t="s">
        <v>1249</v>
      </c>
      <c r="C21" s="2999" t="str">
        <f t="shared" si="0"/>
        <v/>
      </c>
      <c r="D21" s="10">
        <f>_xlfn.XLOOKUP(B21,'2. S Plan'!$F$5:$F$83,'2. S Plan'!$AC$5:$AC$83,0,0)</f>
        <v>0</v>
      </c>
      <c r="E21" s="10">
        <f>_xlfn.XLOOKUP(B21,'2. S Plan'!$F$5:$F$83,'2. S Plan'!$AB$5:$AB$83,0,0)</f>
        <v>0</v>
      </c>
      <c r="F21" s="3006">
        <v>0.95</v>
      </c>
      <c r="G21" s="3006">
        <v>0.95</v>
      </c>
      <c r="H21" s="3006">
        <v>0.90249999999999997</v>
      </c>
      <c r="I21" s="8">
        <v>0.19</v>
      </c>
      <c r="J21" s="7">
        <v>3.7560000000000003E-2</v>
      </c>
      <c r="K21" s="3009">
        <v>0.1976842105263158</v>
      </c>
      <c r="L21" s="6">
        <v>7000</v>
      </c>
      <c r="M21" s="6">
        <v>350</v>
      </c>
      <c r="N21" s="6">
        <v>2</v>
      </c>
      <c r="O21" s="3005" t="s">
        <v>1059</v>
      </c>
      <c r="Q21" s="10" t="s">
        <v>870</v>
      </c>
      <c r="R21" s="10" t="s">
        <v>865</v>
      </c>
      <c r="S21" s="10" t="s">
        <v>20</v>
      </c>
      <c r="T21" s="3000">
        <v>0.95</v>
      </c>
      <c r="U21" s="3000">
        <v>0.7</v>
      </c>
      <c r="V21" s="3000">
        <v>0.66499999999999992</v>
      </c>
      <c r="W21" s="3003">
        <v>1.6369100000000001</v>
      </c>
      <c r="X21" s="3004">
        <v>0.48318</v>
      </c>
      <c r="Y21" s="3001">
        <v>0.29517810997550259</v>
      </c>
      <c r="Z21" s="2999">
        <v>1700</v>
      </c>
      <c r="AA21" s="2999">
        <v>350</v>
      </c>
      <c r="AB21" s="2999">
        <v>1</v>
      </c>
      <c r="AC21" s="2999" t="s">
        <v>1054</v>
      </c>
    </row>
    <row r="22" spans="1:29">
      <c r="A22" s="1707" t="str">
        <f>IFERROR(INDEX('2. S Plan'!$E$5:$E$75, MATCH(B.BasicInfomation!B22, '2. S Plan'!$F$5:$F$75, 0)),"")</f>
        <v/>
      </c>
      <c r="B22" s="10" t="s">
        <v>1250</v>
      </c>
      <c r="C22" s="2999" t="str">
        <f t="shared" si="0"/>
        <v/>
      </c>
      <c r="D22" s="10">
        <f>_xlfn.XLOOKUP(B22,'2. S Plan'!$F$5:$F$83,'2. S Plan'!$AC$5:$AC$83,0,0)</f>
        <v>0</v>
      </c>
      <c r="E22" s="10">
        <f>_xlfn.XLOOKUP(B22,'2. S Plan'!$F$5:$F$83,'2. S Plan'!$AB$5:$AB$83,0,0)</f>
        <v>0</v>
      </c>
      <c r="F22" s="3006">
        <v>0.95</v>
      </c>
      <c r="G22" s="3006">
        <v>0.95</v>
      </c>
      <c r="H22" s="3006">
        <v>0.90249999999999997</v>
      </c>
      <c r="I22" s="8">
        <v>0.19</v>
      </c>
      <c r="J22" s="7">
        <v>3.7560000000000003E-2</v>
      </c>
      <c r="K22" s="3009">
        <v>0.1976842105263158</v>
      </c>
      <c r="L22" s="6">
        <v>7000</v>
      </c>
      <c r="M22" s="6">
        <v>350</v>
      </c>
      <c r="N22" s="6">
        <v>2</v>
      </c>
      <c r="O22" s="3005" t="s">
        <v>1059</v>
      </c>
      <c r="Q22" s="10" t="s">
        <v>871</v>
      </c>
      <c r="R22" s="10" t="s">
        <v>865</v>
      </c>
      <c r="S22" s="10" t="s">
        <v>20</v>
      </c>
      <c r="T22" s="3000">
        <v>0.95</v>
      </c>
      <c r="U22" s="3000">
        <v>0.8</v>
      </c>
      <c r="V22" s="3000">
        <v>0.76</v>
      </c>
      <c r="W22" s="3003">
        <v>1.0215099999999999</v>
      </c>
      <c r="X22" s="3004">
        <v>0.40526000000000001</v>
      </c>
      <c r="Y22" s="3001">
        <v>0.41263940520446096</v>
      </c>
      <c r="Z22" s="2999">
        <v>1800</v>
      </c>
      <c r="AA22" s="2999">
        <v>350</v>
      </c>
      <c r="AB22" s="2999">
        <v>1</v>
      </c>
      <c r="AC22" s="2999" t="s">
        <v>1054</v>
      </c>
    </row>
    <row r="23" spans="1:29">
      <c r="A23" s="1707" t="str">
        <f>IFERROR(INDEX('2. S Plan'!$E$5:$E$75, MATCH(B.BasicInfomation!B23, '2. S Plan'!$F$5:$F$75, 0)),"")</f>
        <v/>
      </c>
      <c r="B23" s="10" t="s">
        <v>1251</v>
      </c>
      <c r="C23" s="2999" t="str">
        <f t="shared" si="0"/>
        <v/>
      </c>
      <c r="D23" s="10">
        <f>_xlfn.XLOOKUP(B23,'2. S Plan'!$F$5:$F$83,'2. S Plan'!$AC$5:$AC$83,0,0)</f>
        <v>0</v>
      </c>
      <c r="E23" s="10">
        <f>_xlfn.XLOOKUP(B23,'2. S Plan'!$F$5:$F$83,'2. S Plan'!$AB$5:$AB$83,0,0)</f>
        <v>0</v>
      </c>
      <c r="F23" s="3006">
        <v>0.95</v>
      </c>
      <c r="G23" s="3006">
        <v>0.95</v>
      </c>
      <c r="H23" s="3006">
        <v>0.90249999999999997</v>
      </c>
      <c r="I23" s="8">
        <v>0.19</v>
      </c>
      <c r="J23" s="7">
        <v>3.7560000000000003E-2</v>
      </c>
      <c r="K23" s="3009">
        <v>0.1976842105263158</v>
      </c>
      <c r="L23" s="6">
        <v>7000</v>
      </c>
      <c r="M23" s="6">
        <v>350</v>
      </c>
      <c r="N23" s="6">
        <v>2</v>
      </c>
      <c r="O23" s="3005" t="s">
        <v>1059</v>
      </c>
      <c r="Q23" s="10" t="s">
        <v>872</v>
      </c>
      <c r="R23" s="10" t="s">
        <v>865</v>
      </c>
      <c r="S23" s="10" t="s">
        <v>20</v>
      </c>
      <c r="T23" s="3000">
        <v>0.95</v>
      </c>
      <c r="U23" s="3000">
        <v>0.8</v>
      </c>
      <c r="V23" s="3000">
        <v>0.76</v>
      </c>
      <c r="W23" s="3003">
        <v>1.1446099999999999</v>
      </c>
      <c r="X23" s="3004">
        <v>0.44851999999999997</v>
      </c>
      <c r="Y23" s="3001">
        <v>0.42455581332513442</v>
      </c>
      <c r="Z23" s="2999">
        <v>6700</v>
      </c>
      <c r="AA23" s="2999">
        <v>350</v>
      </c>
      <c r="AB23" s="2999">
        <v>1</v>
      </c>
      <c r="AC23" s="2999" t="s">
        <v>1054</v>
      </c>
    </row>
    <row r="24" spans="1:29">
      <c r="A24" s="1707" t="str">
        <f>IFERROR(INDEX('2. S Plan'!$E$5:$E$75, MATCH(B.BasicInfomation!B24, '2. S Plan'!$F$5:$F$75, 0)),"")</f>
        <v/>
      </c>
      <c r="B24" s="10" t="s">
        <v>1252</v>
      </c>
      <c r="C24" s="2999" t="str">
        <f t="shared" si="0"/>
        <v/>
      </c>
      <c r="D24" s="10">
        <f>_xlfn.XLOOKUP(B24,'2. S Plan'!$F$5:$F$83,'2. S Plan'!$AC$5:$AC$83,0,0)</f>
        <v>0</v>
      </c>
      <c r="E24" s="10">
        <f>_xlfn.XLOOKUP(B24,'2. S Plan'!$F$5:$F$83,'2. S Plan'!$AB$5:$AB$83,0,0)</f>
        <v>0</v>
      </c>
      <c r="F24" s="3006">
        <v>0.95</v>
      </c>
      <c r="G24" s="3006">
        <v>0.95</v>
      </c>
      <c r="H24" s="3006">
        <v>0.90249999999999997</v>
      </c>
      <c r="I24" s="8">
        <v>0.19</v>
      </c>
      <c r="J24" s="7">
        <v>3.7560000000000003E-2</v>
      </c>
      <c r="K24" s="3009">
        <v>0.1976842105263158</v>
      </c>
      <c r="L24" s="6">
        <v>7000</v>
      </c>
      <c r="M24" s="6">
        <v>350</v>
      </c>
      <c r="N24" s="6">
        <v>2</v>
      </c>
      <c r="O24" s="3005" t="s">
        <v>1059</v>
      </c>
      <c r="Q24" s="10" t="s">
        <v>696</v>
      </c>
      <c r="R24" s="10" t="s">
        <v>865</v>
      </c>
      <c r="S24" s="10" t="s">
        <v>20</v>
      </c>
      <c r="T24" s="3000">
        <v>0.95</v>
      </c>
      <c r="U24" s="3000">
        <v>0.75</v>
      </c>
      <c r="V24" s="3000">
        <v>0.71249999999999991</v>
      </c>
      <c r="W24" s="3003">
        <v>1.0815899999999998</v>
      </c>
      <c r="X24" s="3004">
        <v>0.45612000000000003</v>
      </c>
      <c r="Y24" s="3001">
        <v>0.42171247885058116</v>
      </c>
      <c r="Z24" s="2999">
        <v>2700</v>
      </c>
      <c r="AA24" s="2999">
        <v>350</v>
      </c>
      <c r="AB24" s="2999">
        <v>1</v>
      </c>
      <c r="AC24" s="2999" t="s">
        <v>1054</v>
      </c>
    </row>
    <row r="25" spans="1:29">
      <c r="A25" s="1707" t="str">
        <f>IFERROR(INDEX('2. S Plan'!$E$5:$E$75, MATCH(B.BasicInfomation!B25, '2. S Plan'!$F$5:$F$75, 0)),"")</f>
        <v/>
      </c>
      <c r="B25" s="10" t="s">
        <v>1253</v>
      </c>
      <c r="C25" s="2999" t="str">
        <f t="shared" si="0"/>
        <v/>
      </c>
      <c r="D25" s="10">
        <f>_xlfn.XLOOKUP(B25,'2. S Plan'!$F$5:$F$83,'2. S Plan'!$AC$5:$AC$83,0,0)</f>
        <v>0</v>
      </c>
      <c r="E25" s="10">
        <f>_xlfn.XLOOKUP(B25,'2. S Plan'!$F$5:$F$83,'2. S Plan'!$AB$5:$AB$83,0,0)</f>
        <v>0</v>
      </c>
      <c r="F25" s="3006">
        <v>0.95</v>
      </c>
      <c r="G25" s="3006">
        <v>0.95</v>
      </c>
      <c r="H25" s="3006">
        <v>0.90249999999999997</v>
      </c>
      <c r="I25" s="8">
        <v>0.19</v>
      </c>
      <c r="J25" s="7">
        <v>3.7560000000000003E-2</v>
      </c>
      <c r="K25" s="3009">
        <v>0.1976842105263158</v>
      </c>
      <c r="L25" s="6">
        <v>7000</v>
      </c>
      <c r="M25" s="6">
        <v>350</v>
      </c>
      <c r="N25" s="6">
        <v>2</v>
      </c>
      <c r="O25" s="3005" t="s">
        <v>1059</v>
      </c>
      <c r="Q25" s="10" t="s">
        <v>873</v>
      </c>
      <c r="R25" s="10" t="s">
        <v>865</v>
      </c>
      <c r="S25" s="10" t="s">
        <v>20</v>
      </c>
      <c r="T25" s="3000">
        <v>0.95</v>
      </c>
      <c r="U25" s="3000">
        <v>0.75</v>
      </c>
      <c r="V25" s="3000">
        <v>0.71249999999999991</v>
      </c>
      <c r="W25" s="3003">
        <v>0.63349999999999995</v>
      </c>
      <c r="X25" s="3004">
        <v>0.26606999999999997</v>
      </c>
      <c r="Y25" s="3001">
        <v>0.42</v>
      </c>
      <c r="Z25" s="2999">
        <v>3500</v>
      </c>
      <c r="AA25" s="2999">
        <v>350</v>
      </c>
      <c r="AB25" s="2999">
        <v>2</v>
      </c>
      <c r="AC25" s="2999" t="s">
        <v>1054</v>
      </c>
    </row>
    <row r="26" spans="1:29">
      <c r="A26" s="1707">
        <f>IFERROR(INDEX('2. S Plan'!$E$5:$E$75, MATCH(B.BasicInfomation!B26, '2. S Plan'!$F$5:$F$75, 0)),"")</f>
        <v>0</v>
      </c>
      <c r="B26" s="10" t="s">
        <v>92</v>
      </c>
      <c r="C26" s="2999">
        <f t="shared" si="0"/>
        <v>0</v>
      </c>
      <c r="D26" s="10" t="str">
        <f>_xlfn.XLOOKUP(B26,'2. S Plan'!$F$5:$F$83,'2. S Plan'!$AC$5:$AC$83,0,0)</f>
        <v>Mobile</v>
      </c>
      <c r="E26" s="10" t="str">
        <f>_xlfn.XLOOKUP(B26,'2. S Plan'!$F$5:$F$83,'2. S Plan'!$AB$5:$AB$83,0,0)</f>
        <v>Samsung</v>
      </c>
      <c r="F26" s="3006">
        <v>0.95</v>
      </c>
      <c r="G26" s="3006">
        <v>0.95</v>
      </c>
      <c r="H26" s="3006">
        <v>0.90249999999999997</v>
      </c>
      <c r="I26" s="8"/>
      <c r="J26" s="7"/>
      <c r="K26" s="3009">
        <v>0.1976842105263158</v>
      </c>
      <c r="L26" s="6">
        <v>7000</v>
      </c>
      <c r="M26" s="6">
        <v>350</v>
      </c>
      <c r="N26" s="6">
        <v>2</v>
      </c>
      <c r="O26" s="3005"/>
      <c r="Q26" s="10" t="s">
        <v>875</v>
      </c>
      <c r="R26" s="10" t="s">
        <v>874</v>
      </c>
      <c r="S26" s="10" t="s">
        <v>20</v>
      </c>
      <c r="T26" s="3000">
        <v>0.95</v>
      </c>
      <c r="U26" s="3000">
        <v>0.85</v>
      </c>
      <c r="V26" s="3000">
        <v>0.8075</v>
      </c>
      <c r="W26" s="3003">
        <v>0.48707499999999998</v>
      </c>
      <c r="X26" s="3004">
        <v>0.18358000000000002</v>
      </c>
      <c r="Y26" s="3001">
        <v>0.37690294102550947</v>
      </c>
      <c r="Z26" s="2999">
        <v>6400</v>
      </c>
      <c r="AA26" s="2999">
        <v>350</v>
      </c>
      <c r="AB26" s="2999">
        <v>4</v>
      </c>
      <c r="AC26" s="2999" t="s">
        <v>1054</v>
      </c>
    </row>
    <row r="27" spans="1:29">
      <c r="A27" s="1707">
        <f>IFERROR(INDEX('2. S Plan'!$E$5:$E$75, MATCH(B.BasicInfomation!B27, '2. S Plan'!$F$5:$F$75, 0)),"")</f>
        <v>7</v>
      </c>
      <c r="B27" s="10" t="s">
        <v>863</v>
      </c>
      <c r="C27" s="2999">
        <f t="shared" si="0"/>
        <v>7</v>
      </c>
      <c r="D27" s="10" t="str">
        <f>_xlfn.XLOOKUP(B27,'2. S Plan'!$F$5:$F$83,'2. S Plan'!$AC$5:$AC$83,0,0)</f>
        <v>Mobile</v>
      </c>
      <c r="E27" s="10" t="str">
        <f>_xlfn.XLOOKUP(B27,'2. S Plan'!$F$5:$F$83,'2. S Plan'!$AB$5:$AB$83,0,0)</f>
        <v>Qualcomm</v>
      </c>
      <c r="F27" s="3006">
        <v>1</v>
      </c>
      <c r="G27" s="3006">
        <v>1</v>
      </c>
      <c r="H27" s="3006">
        <v>1</v>
      </c>
      <c r="I27" s="8">
        <v>0.2</v>
      </c>
      <c r="J27" s="7">
        <v>0.1</v>
      </c>
      <c r="K27" s="3009" t="s">
        <v>1196</v>
      </c>
      <c r="L27" s="6">
        <v>3500</v>
      </c>
      <c r="M27" s="6">
        <v>350</v>
      </c>
      <c r="N27" s="6">
        <v>1</v>
      </c>
      <c r="O27" s="3005" t="s">
        <v>1054</v>
      </c>
      <c r="Q27" s="10" t="s">
        <v>876</v>
      </c>
      <c r="R27" s="10" t="s">
        <v>874</v>
      </c>
      <c r="S27" s="10" t="s">
        <v>20</v>
      </c>
      <c r="T27" s="3000">
        <v>0.95</v>
      </c>
      <c r="U27" s="3000">
        <v>0.85</v>
      </c>
      <c r="V27" s="3000">
        <v>0.8075</v>
      </c>
      <c r="W27" s="3003">
        <v>0.30774499999999999</v>
      </c>
      <c r="X27" s="3004">
        <v>9.826E-2</v>
      </c>
      <c r="Y27" s="3001">
        <v>0.31929032153243758</v>
      </c>
      <c r="Z27" s="2999">
        <v>6000</v>
      </c>
      <c r="AA27" s="2999">
        <v>350</v>
      </c>
      <c r="AB27" s="2999">
        <v>4</v>
      </c>
      <c r="AC27" s="2999" t="s">
        <v>1054</v>
      </c>
    </row>
    <row r="28" spans="1:29">
      <c r="A28" s="1707">
        <f>IFERROR(INDEX('2. S Plan'!$E$5:$E$75, MATCH(B.BasicInfomation!B28, '2. S Plan'!$F$5:$F$75, 0)),"")</f>
        <v>8</v>
      </c>
      <c r="B28" s="10" t="s">
        <v>864</v>
      </c>
      <c r="C28" s="2999">
        <f t="shared" si="0"/>
        <v>8</v>
      </c>
      <c r="D28" s="10" t="str">
        <f>_xlfn.XLOOKUP(B28,'2. S Plan'!$F$5:$F$83,'2. S Plan'!$AC$5:$AC$83,0,0)</f>
        <v>Mobile</v>
      </c>
      <c r="E28" s="10" t="str">
        <f>_xlfn.XLOOKUP(B28,'2. S Plan'!$F$5:$F$83,'2. S Plan'!$AB$5:$AB$83,0,0)</f>
        <v>Qualcomm</v>
      </c>
      <c r="F28" s="3006">
        <v>1</v>
      </c>
      <c r="G28" s="3006">
        <v>1</v>
      </c>
      <c r="H28" s="3006">
        <v>1</v>
      </c>
      <c r="I28" s="8">
        <v>1.7107999999999999</v>
      </c>
      <c r="J28" s="7">
        <v>0.51861000000000002</v>
      </c>
      <c r="K28" s="3009" t="s">
        <v>1196</v>
      </c>
      <c r="L28" s="6">
        <v>585</v>
      </c>
      <c r="M28" s="6">
        <v>350</v>
      </c>
      <c r="N28" s="6">
        <v>1</v>
      </c>
      <c r="O28" s="3005" t="s">
        <v>1054</v>
      </c>
      <c r="Q28" s="10" t="s">
        <v>877</v>
      </c>
      <c r="R28" s="10" t="s">
        <v>874</v>
      </c>
      <c r="S28" s="10" t="s">
        <v>20</v>
      </c>
      <c r="T28" s="3000">
        <v>0.95</v>
      </c>
      <c r="U28" s="3000">
        <v>0.85</v>
      </c>
      <c r="V28" s="3000">
        <v>0.8075</v>
      </c>
      <c r="W28" s="3003">
        <v>0.97</v>
      </c>
      <c r="X28" s="3004">
        <v>0.40906110448506372</v>
      </c>
      <c r="Y28" s="3001">
        <v>0.42171247885058116</v>
      </c>
      <c r="Z28" s="2999">
        <v>4000</v>
      </c>
      <c r="AA28" s="2999">
        <v>350</v>
      </c>
      <c r="AB28" s="2999">
        <v>2</v>
      </c>
      <c r="AC28" s="2999" t="s">
        <v>1054</v>
      </c>
    </row>
    <row r="29" spans="1:29">
      <c r="A29" s="1707">
        <f>IFERROR(INDEX('2. S Plan'!$E$5:$E$75, MATCH(B.BasicInfomation!B29, '2. S Plan'!$F$5:$F$75, 0)),"")</f>
        <v>0</v>
      </c>
      <c r="B29" s="10" t="s">
        <v>1194</v>
      </c>
      <c r="C29" s="2999">
        <f t="shared" si="0"/>
        <v>0</v>
      </c>
      <c r="D29" s="10" t="str">
        <f>_xlfn.XLOOKUP(B29,'2. S Plan'!$F$5:$F$83,'2. S Plan'!$AC$5:$AC$83,0,0)</f>
        <v>Mobile</v>
      </c>
      <c r="E29" s="10" t="str">
        <f>_xlfn.XLOOKUP(B29,'2. S Plan'!$F$5:$F$83,'2. S Plan'!$AB$5:$AB$83,0,0)</f>
        <v>Qualcomm</v>
      </c>
      <c r="F29" s="3006">
        <v>1</v>
      </c>
      <c r="G29" s="3006">
        <v>1</v>
      </c>
      <c r="H29" s="3006">
        <v>1</v>
      </c>
      <c r="I29" s="8">
        <v>2.7107999999999999</v>
      </c>
      <c r="J29" s="7">
        <v>1.51861</v>
      </c>
      <c r="K29" s="3009" t="s">
        <v>1196</v>
      </c>
      <c r="L29" s="6">
        <v>585</v>
      </c>
      <c r="M29" s="6">
        <v>350</v>
      </c>
      <c r="N29" s="6">
        <v>1</v>
      </c>
      <c r="O29" s="3005" t="s">
        <v>1054</v>
      </c>
      <c r="Q29" s="3005" t="s">
        <v>967</v>
      </c>
      <c r="R29" s="3005" t="s">
        <v>905</v>
      </c>
      <c r="S29" s="3005" t="s">
        <v>20</v>
      </c>
      <c r="T29" s="3006">
        <v>0.95</v>
      </c>
      <c r="U29" s="3006">
        <v>0.85</v>
      </c>
      <c r="V29" s="3006">
        <v>0.8075</v>
      </c>
      <c r="W29" s="3007">
        <v>0.19533</v>
      </c>
      <c r="X29" s="3008">
        <v>2.1819999999999999E-2</v>
      </c>
      <c r="Y29" s="3009">
        <v>0.11170839092817283</v>
      </c>
      <c r="Z29" s="3010">
        <v>6200</v>
      </c>
      <c r="AA29" s="3010">
        <v>125</v>
      </c>
      <c r="AB29" s="3010">
        <v>2</v>
      </c>
      <c r="AC29" s="3010" t="s">
        <v>1054</v>
      </c>
    </row>
    <row r="30" spans="1:29">
      <c r="A30" s="1707">
        <f>IFERROR(INDEX('2. S Plan'!$E$5:$E$75, MATCH(B.BasicInfomation!B30, '2. S Plan'!$F$5:$F$75, 0)),"")</f>
        <v>9</v>
      </c>
      <c r="B30" s="10" t="s">
        <v>1067</v>
      </c>
      <c r="C30" s="2999">
        <f t="shared" si="0"/>
        <v>9</v>
      </c>
      <c r="D30" s="10" t="str">
        <f>_xlfn.XLOOKUP(B30,'2. S Plan'!$F$5:$F$83,'2. S Plan'!$AC$5:$AC$83,0,0)</f>
        <v>Mobile</v>
      </c>
      <c r="E30" s="10" t="str">
        <f>_xlfn.XLOOKUP(B30,'2. S Plan'!$F$5:$F$83,'2. S Plan'!$AB$5:$AB$83,0,0)</f>
        <v>Qualcomm</v>
      </c>
      <c r="F30" s="3006">
        <v>1</v>
      </c>
      <c r="G30" s="3006">
        <v>1</v>
      </c>
      <c r="H30" s="3006">
        <v>1</v>
      </c>
      <c r="I30" s="8">
        <v>2.7107999999999999</v>
      </c>
      <c r="J30" s="7">
        <v>0.51861000000000002</v>
      </c>
      <c r="K30" s="3009" t="s">
        <v>1196</v>
      </c>
      <c r="L30" s="6">
        <v>585</v>
      </c>
      <c r="M30" s="6">
        <v>350</v>
      </c>
      <c r="N30" s="6">
        <v>1</v>
      </c>
      <c r="O30" s="3005" t="s">
        <v>1054</v>
      </c>
      <c r="Q30" s="10" t="s">
        <v>878</v>
      </c>
      <c r="R30" s="10" t="s">
        <v>874</v>
      </c>
      <c r="S30" s="10" t="s">
        <v>20</v>
      </c>
      <c r="T30" s="3000">
        <v>0.95</v>
      </c>
      <c r="U30" s="3000">
        <v>0.85</v>
      </c>
      <c r="V30" s="3000">
        <v>0.8075</v>
      </c>
      <c r="W30" s="3003">
        <v>0.346225</v>
      </c>
      <c r="X30" s="3004">
        <v>0.14038</v>
      </c>
      <c r="Y30" s="3001">
        <v>0.4054588778973211</v>
      </c>
      <c r="Z30" s="2999">
        <v>6400</v>
      </c>
      <c r="AA30" s="2999">
        <v>350</v>
      </c>
      <c r="AB30" s="2999">
        <v>4</v>
      </c>
      <c r="AC30" s="2999" t="s">
        <v>1054</v>
      </c>
    </row>
    <row r="31" spans="1:29">
      <c r="A31" s="1707">
        <f>IFERROR(INDEX('2. S Plan'!$E$5:$E$75, MATCH(B.BasicInfomation!B31, '2. S Plan'!$F$5:$F$75, 0)),"")</f>
        <v>10</v>
      </c>
      <c r="B31" s="10" t="s">
        <v>1068</v>
      </c>
      <c r="C31" s="2999">
        <f t="shared" si="0"/>
        <v>10</v>
      </c>
      <c r="D31" s="10" t="str">
        <f>_xlfn.XLOOKUP(B31,'2. S Plan'!$F$5:$F$83,'2. S Plan'!$AC$5:$AC$83,0,0)</f>
        <v>Mobile</v>
      </c>
      <c r="E31" s="10" t="str">
        <f>_xlfn.XLOOKUP(B31,'2. S Plan'!$F$5:$F$83,'2. S Plan'!$AB$5:$AB$83,0,0)</f>
        <v>Qualcomm</v>
      </c>
      <c r="F31" s="3006">
        <v>1</v>
      </c>
      <c r="G31" s="3006">
        <v>1</v>
      </c>
      <c r="H31" s="3006">
        <v>1</v>
      </c>
      <c r="I31" s="8">
        <v>3.7107999999999999</v>
      </c>
      <c r="J31" s="7">
        <v>0.51861000000000002</v>
      </c>
      <c r="K31" s="3009" t="s">
        <v>1196</v>
      </c>
      <c r="L31" s="6">
        <v>585</v>
      </c>
      <c r="M31" s="6">
        <v>350</v>
      </c>
      <c r="N31" s="6">
        <v>1</v>
      </c>
      <c r="O31" s="3005" t="s">
        <v>1054</v>
      </c>
      <c r="Q31" s="10" t="s">
        <v>879</v>
      </c>
      <c r="R31" s="10" t="s">
        <v>874</v>
      </c>
      <c r="S31" s="10" t="s">
        <v>20</v>
      </c>
      <c r="T31" s="3000">
        <v>0.95</v>
      </c>
      <c r="U31" s="3000">
        <v>0.85</v>
      </c>
      <c r="V31" s="3000">
        <v>0.8075</v>
      </c>
      <c r="W31" s="3003">
        <v>0.37648000000000004</v>
      </c>
      <c r="X31" s="3004">
        <v>0.14524999999999999</v>
      </c>
      <c r="Y31" s="3001">
        <v>0.38581066723331908</v>
      </c>
      <c r="Z31" s="2999">
        <v>6400</v>
      </c>
      <c r="AA31" s="2999">
        <v>125</v>
      </c>
      <c r="AB31" s="2999">
        <v>4</v>
      </c>
      <c r="AC31" s="2999" t="s">
        <v>1054</v>
      </c>
    </row>
    <row r="32" spans="1:29">
      <c r="A32" s="1707">
        <f>IFERROR(INDEX('2. S Plan'!$E$5:$E$75, MATCH(B.BasicInfomation!B32, '2. S Plan'!$F$5:$F$75, 0)),"")</f>
        <v>0</v>
      </c>
      <c r="B32" s="10" t="s">
        <v>397</v>
      </c>
      <c r="C32" s="2999">
        <f t="shared" si="0"/>
        <v>0</v>
      </c>
      <c r="D32" s="10" t="str">
        <f>_xlfn.XLOOKUP(B32,'2. S Plan'!$F$5:$F$83,'2. S Plan'!$AC$5:$AC$83,0,0)</f>
        <v>Mobile</v>
      </c>
      <c r="E32" s="10" t="str">
        <f>_xlfn.XLOOKUP(B32,'2. S Plan'!$F$5:$F$83,'2. S Plan'!$AB$5:$AB$83,0,0)</f>
        <v>Qualcomm</v>
      </c>
      <c r="F32" s="3006">
        <v>1</v>
      </c>
      <c r="G32" s="3006">
        <v>1</v>
      </c>
      <c r="H32" s="3006">
        <v>1</v>
      </c>
      <c r="I32" s="8">
        <v>3.7107999999999999</v>
      </c>
      <c r="J32" s="7">
        <v>0.51861000000000002</v>
      </c>
      <c r="K32" s="3009" t="s">
        <v>1196</v>
      </c>
      <c r="L32" s="6">
        <v>585</v>
      </c>
      <c r="M32" s="6">
        <v>350</v>
      </c>
      <c r="N32" s="6">
        <v>1</v>
      </c>
      <c r="O32" s="3005" t="s">
        <v>1054</v>
      </c>
      <c r="Q32" s="3005" t="s">
        <v>968</v>
      </c>
      <c r="R32" s="3005" t="s">
        <v>882</v>
      </c>
      <c r="S32" s="3005" t="s">
        <v>20</v>
      </c>
      <c r="T32" s="3006">
        <v>0.95</v>
      </c>
      <c r="U32" s="3006">
        <v>0.85</v>
      </c>
      <c r="V32" s="3006">
        <v>0.8075</v>
      </c>
      <c r="W32" s="3007">
        <v>0.13100000000000001</v>
      </c>
      <c r="X32" s="3008">
        <v>2.1819999999999999E-2</v>
      </c>
      <c r="Y32" s="3009">
        <v>0.1665648854961832</v>
      </c>
      <c r="Z32" s="3010">
        <v>6750</v>
      </c>
      <c r="AA32" s="3010">
        <v>125</v>
      </c>
      <c r="AB32" s="3010">
        <v>2</v>
      </c>
      <c r="AC32" s="3010" t="s">
        <v>1054</v>
      </c>
    </row>
    <row r="33" spans="1:29">
      <c r="A33" s="1707">
        <f>IFERROR(INDEX('2. S Plan'!$E$5:$E$75, MATCH(B.BasicInfomation!B33, '2. S Plan'!$F$5:$F$75, 0)),"")</f>
        <v>11</v>
      </c>
      <c r="B33" s="10" t="s">
        <v>866</v>
      </c>
      <c r="C33" s="2999">
        <f t="shared" si="0"/>
        <v>11</v>
      </c>
      <c r="D33" s="10">
        <f>_xlfn.XLOOKUP(B33,'2. S Plan'!$F$5:$F$83,'2. S Plan'!$AC$5:$AC$83,0,0)</f>
        <v>0</v>
      </c>
      <c r="E33" s="10">
        <f>_xlfn.XLOOKUP(B33,'2. S Plan'!$F$5:$F$83,'2. S Plan'!$AB$5:$AB$83,0,0)</f>
        <v>0</v>
      </c>
      <c r="F33" s="3006">
        <v>0.95</v>
      </c>
      <c r="G33" s="3006">
        <v>0.85</v>
      </c>
      <c r="H33" s="3006">
        <v>0.8075</v>
      </c>
      <c r="I33" s="8">
        <v>0.71501000000000003</v>
      </c>
      <c r="J33" s="7">
        <v>0.33662999999999998</v>
      </c>
      <c r="K33" s="3009">
        <v>0.47080460413141073</v>
      </c>
      <c r="L33" s="6">
        <v>3700</v>
      </c>
      <c r="M33" s="6">
        <v>350</v>
      </c>
      <c r="N33" s="6">
        <v>2</v>
      </c>
      <c r="O33" s="3005" t="s">
        <v>1054</v>
      </c>
      <c r="Q33" s="10" t="s">
        <v>880</v>
      </c>
      <c r="R33" s="10" t="s">
        <v>874</v>
      </c>
      <c r="S33" s="10" t="s">
        <v>20</v>
      </c>
      <c r="T33" s="3000">
        <v>0.95</v>
      </c>
      <c r="U33" s="3000">
        <v>0.85</v>
      </c>
      <c r="V33" s="3000">
        <v>0.8075</v>
      </c>
      <c r="W33" s="3003">
        <v>0.71750000000000003</v>
      </c>
      <c r="X33" s="3004">
        <v>0.27265</v>
      </c>
      <c r="Y33" s="3001">
        <v>0.38</v>
      </c>
      <c r="Z33" s="2999">
        <v>3700</v>
      </c>
      <c r="AA33" s="2999">
        <v>350</v>
      </c>
      <c r="AB33" s="2999">
        <v>2</v>
      </c>
      <c r="AC33" s="2999" t="s">
        <v>1054</v>
      </c>
    </row>
    <row r="34" spans="1:29">
      <c r="A34" s="1707">
        <f>IFERROR(INDEX('2. S Plan'!$E$5:$E$75, MATCH(B.BasicInfomation!B34, '2. S Plan'!$F$5:$F$75, 0)),"")</f>
        <v>12</v>
      </c>
      <c r="B34" s="10" t="s">
        <v>867</v>
      </c>
      <c r="C34" s="2999">
        <f t="shared" si="0"/>
        <v>12</v>
      </c>
      <c r="D34" s="10">
        <f>_xlfn.XLOOKUP(B34,'2. S Plan'!$F$5:$F$83,'2. S Plan'!$AC$5:$AC$83,0,0)</f>
        <v>0</v>
      </c>
      <c r="E34" s="10">
        <f>_xlfn.XLOOKUP(B34,'2. S Plan'!$F$5:$F$83,'2. S Plan'!$AB$5:$AB$83,0,0)</f>
        <v>0</v>
      </c>
      <c r="F34" s="3006">
        <v>0.95</v>
      </c>
      <c r="G34" s="3006">
        <v>0.85</v>
      </c>
      <c r="H34" s="3006">
        <v>0.8075</v>
      </c>
      <c r="I34" s="8">
        <v>0.71501000000000003</v>
      </c>
      <c r="J34" s="7">
        <v>0.33662999999999998</v>
      </c>
      <c r="K34" s="3009">
        <v>0.47080460413141073</v>
      </c>
      <c r="L34" s="6">
        <v>3700</v>
      </c>
      <c r="M34" s="6">
        <v>350</v>
      </c>
      <c r="N34" s="6">
        <v>2</v>
      </c>
      <c r="O34" s="3005" t="s">
        <v>1054</v>
      </c>
      <c r="Q34" s="10" t="s">
        <v>967</v>
      </c>
      <c r="R34" s="10" t="s">
        <v>874</v>
      </c>
      <c r="S34" s="10" t="s">
        <v>20</v>
      </c>
      <c r="T34" s="3000">
        <v>0.95</v>
      </c>
      <c r="U34" s="3000">
        <v>0.85</v>
      </c>
      <c r="V34" s="3000">
        <v>0.8075</v>
      </c>
      <c r="W34" s="3003">
        <v>0.22500000000000001</v>
      </c>
      <c r="X34" s="3004">
        <v>6.1249999999999999E-2</v>
      </c>
      <c r="Y34" s="3001">
        <v>0.2722222222222222</v>
      </c>
      <c r="Z34" s="2999">
        <v>4600</v>
      </c>
      <c r="AA34" s="2999">
        <v>125</v>
      </c>
      <c r="AB34" s="2999">
        <v>2</v>
      </c>
      <c r="AC34" s="2999" t="s">
        <v>1054</v>
      </c>
    </row>
    <row r="35" spans="1:29">
      <c r="A35" s="1707">
        <f>IFERROR(INDEX('2. S Plan'!$E$5:$E$75, MATCH(B.BasicInfomation!B35, '2. S Plan'!$F$5:$F$75, 0)),"")</f>
        <v>0</v>
      </c>
      <c r="B35" s="10" t="s">
        <v>868</v>
      </c>
      <c r="C35" s="2999">
        <f t="shared" si="0"/>
        <v>0</v>
      </c>
      <c r="D35" s="10" t="str">
        <f>_xlfn.XLOOKUP(B35,'2. S Plan'!$F$5:$F$83,'2. S Plan'!$AC$5:$AC$83,0,0)</f>
        <v>Motor HSG</v>
      </c>
      <c r="E35" s="10" t="str">
        <f>_xlfn.XLOOKUP(B35,'2. S Plan'!$F$5:$F$83,'2. S Plan'!$AB$5:$AB$83,0,0)</f>
        <v>LGIT</v>
      </c>
      <c r="F35" s="3006">
        <v>0.95</v>
      </c>
      <c r="G35" s="3006">
        <v>0.85</v>
      </c>
      <c r="H35" s="3006">
        <v>0.8075</v>
      </c>
      <c r="I35" s="8">
        <v>0.71501000000000003</v>
      </c>
      <c r="J35" s="7">
        <v>0.33662999999999998</v>
      </c>
      <c r="K35" s="3009">
        <v>0.47080460413141073</v>
      </c>
      <c r="L35" s="6">
        <v>3700</v>
      </c>
      <c r="M35" s="6">
        <v>350</v>
      </c>
      <c r="N35" s="6">
        <v>2</v>
      </c>
      <c r="O35" s="3005" t="s">
        <v>1054</v>
      </c>
      <c r="Q35" s="10" t="s">
        <v>881</v>
      </c>
      <c r="R35" s="10" t="s">
        <v>905</v>
      </c>
      <c r="S35" s="10" t="s">
        <v>20</v>
      </c>
      <c r="T35" s="3000">
        <v>0.95</v>
      </c>
      <c r="U35" s="3000">
        <v>0.85</v>
      </c>
      <c r="V35" s="3000">
        <v>0.8075</v>
      </c>
      <c r="W35" s="3003">
        <v>0.229325</v>
      </c>
      <c r="X35" s="3004">
        <v>6.0950000000000004E-2</v>
      </c>
      <c r="Y35" s="3001">
        <v>0.11170839092817283</v>
      </c>
      <c r="Z35" s="2999">
        <v>6200</v>
      </c>
      <c r="AA35" s="2999">
        <v>125</v>
      </c>
      <c r="AB35" s="2999">
        <v>2</v>
      </c>
      <c r="AC35" s="2999" t="s">
        <v>1054</v>
      </c>
    </row>
    <row r="36" spans="1:29">
      <c r="A36" s="1707">
        <f>IFERROR(INDEX('2. S Plan'!$E$5:$E$75, MATCH(B.BasicInfomation!B36, '2. S Plan'!$F$5:$F$75, 0)),"")</f>
        <v>0</v>
      </c>
      <c r="B36" s="10" t="s">
        <v>1195</v>
      </c>
      <c r="C36" s="2999">
        <f t="shared" si="0"/>
        <v>0</v>
      </c>
      <c r="D36" s="10" t="str">
        <f>_xlfn.XLOOKUP(B36,'2. S Plan'!$F$5:$F$83,'2. S Plan'!$AC$5:$AC$83,0,0)</f>
        <v>Motor HSG</v>
      </c>
      <c r="E36" s="10" t="str">
        <f>_xlfn.XLOOKUP(B36,'2. S Plan'!$F$5:$F$83,'2. S Plan'!$AB$5:$AB$83,0,0)</f>
        <v>LGIT</v>
      </c>
      <c r="F36" s="3006">
        <v>0.95</v>
      </c>
      <c r="G36" s="3006">
        <v>0.85</v>
      </c>
      <c r="H36" s="3006">
        <v>0.8075</v>
      </c>
      <c r="I36" s="8">
        <v>0.71501000000000003</v>
      </c>
      <c r="J36" s="7">
        <v>0.33662999999999998</v>
      </c>
      <c r="K36" s="3009">
        <v>0.47080460413141073</v>
      </c>
      <c r="L36" s="6">
        <v>3700</v>
      </c>
      <c r="M36" s="6">
        <v>350</v>
      </c>
      <c r="N36" s="6">
        <v>2</v>
      </c>
      <c r="O36" s="3005" t="s">
        <v>1054</v>
      </c>
      <c r="Q36" s="10" t="s">
        <v>883</v>
      </c>
      <c r="R36" s="10" t="s">
        <v>882</v>
      </c>
      <c r="S36" s="10" t="s">
        <v>20</v>
      </c>
      <c r="T36" s="3000">
        <v>0.95</v>
      </c>
      <c r="U36" s="3000">
        <v>0.85</v>
      </c>
      <c r="V36" s="3000">
        <v>0.8075</v>
      </c>
      <c r="W36" s="3003">
        <v>0.13100000000000001</v>
      </c>
      <c r="X36" s="3004">
        <v>2.1819999999999999E-2</v>
      </c>
      <c r="Y36" s="3001">
        <v>0.1665648854961832</v>
      </c>
      <c r="Z36" s="2999">
        <v>6750</v>
      </c>
      <c r="AA36" s="2999">
        <v>125</v>
      </c>
      <c r="AB36" s="2999">
        <v>2</v>
      </c>
      <c r="AC36" s="2999" t="s">
        <v>1054</v>
      </c>
    </row>
    <row r="37" spans="1:29">
      <c r="A37" s="1707">
        <f>IFERROR(INDEX('2. S Plan'!$E$5:$E$75, MATCH(B.BasicInfomation!B37, '2. S Plan'!$F$5:$F$75, 0)),"")</f>
        <v>0</v>
      </c>
      <c r="B37" s="10" t="s">
        <v>870</v>
      </c>
      <c r="C37" s="2999">
        <f t="shared" si="0"/>
        <v>0</v>
      </c>
      <c r="D37" s="10" t="str">
        <f>_xlfn.XLOOKUP(B37,'2. S Plan'!$F$5:$F$83,'2. S Plan'!$AC$5:$AC$83,0,0)</f>
        <v>Motor HSG</v>
      </c>
      <c r="E37" s="10" t="str">
        <f>_xlfn.XLOOKUP(B37,'2. S Plan'!$F$5:$F$83,'2. S Plan'!$AB$5:$AB$83,0,0)</f>
        <v>LGIT</v>
      </c>
      <c r="F37" s="3006">
        <v>0.95</v>
      </c>
      <c r="G37" s="3006">
        <v>0.8</v>
      </c>
      <c r="H37" s="3006">
        <v>0.76</v>
      </c>
      <c r="I37" s="8">
        <v>1.1446099999999999</v>
      </c>
      <c r="J37" s="7">
        <v>0.44851999999999997</v>
      </c>
      <c r="K37" s="3009">
        <v>0.39185399393679943</v>
      </c>
      <c r="L37" s="6">
        <v>6700</v>
      </c>
      <c r="M37" s="6">
        <v>350</v>
      </c>
      <c r="N37" s="6">
        <v>1</v>
      </c>
      <c r="O37" s="3005" t="s">
        <v>1054</v>
      </c>
      <c r="Q37" s="3005" t="s">
        <v>969</v>
      </c>
      <c r="R37" s="3005" t="s">
        <v>885</v>
      </c>
      <c r="S37" s="3005" t="s">
        <v>20</v>
      </c>
      <c r="T37" s="3006">
        <v>0.95</v>
      </c>
      <c r="U37" s="3006">
        <v>0.85</v>
      </c>
      <c r="V37" s="3006">
        <v>0.8075</v>
      </c>
      <c r="W37" s="3007">
        <v>4.335E-2</v>
      </c>
      <c r="X37" s="3008">
        <v>2.0099999999999996E-3</v>
      </c>
      <c r="Y37" s="3009">
        <v>4.6366782006920404E-2</v>
      </c>
      <c r="Z37" s="3010">
        <v>14000</v>
      </c>
      <c r="AA37" s="3010">
        <v>125</v>
      </c>
      <c r="AB37" s="3010">
        <v>4</v>
      </c>
      <c r="AC37" s="3010" t="s">
        <v>1054</v>
      </c>
    </row>
    <row r="38" spans="1:29">
      <c r="A38" s="1707">
        <f>IFERROR(INDEX('2. S Plan'!$E$5:$E$75, MATCH(B.BasicInfomation!B38, '2. S Plan'!$F$5:$F$75, 0)),"")</f>
        <v>13</v>
      </c>
      <c r="B38" s="10" t="s">
        <v>1534</v>
      </c>
      <c r="C38" s="2999">
        <f t="shared" si="0"/>
        <v>13</v>
      </c>
      <c r="D38" s="10" t="str">
        <f>_xlfn.XLOOKUP(B38,'2. S Plan'!$F$5:$F$83,'2. S Plan'!$AC$5:$AC$83,0,0)</f>
        <v>Motor HSG</v>
      </c>
      <c r="E38" s="10" t="str">
        <f>_xlfn.XLOOKUP(B38,'2. S Plan'!$F$5:$F$83,'2. S Plan'!$AB$5:$AB$83,0,0)</f>
        <v>LGIT</v>
      </c>
      <c r="F38" s="3006">
        <v>0.95</v>
      </c>
      <c r="G38" s="3006">
        <v>0.8</v>
      </c>
      <c r="H38" s="3006">
        <v>0.76</v>
      </c>
      <c r="I38" s="8">
        <v>1.1446099999999999</v>
      </c>
      <c r="J38" s="7">
        <v>0.44851999999999997</v>
      </c>
      <c r="K38" s="3009">
        <v>0.39185399393679943</v>
      </c>
      <c r="L38" s="6">
        <v>6700</v>
      </c>
      <c r="M38" s="6">
        <v>350</v>
      </c>
      <c r="N38" s="6">
        <v>1</v>
      </c>
      <c r="O38" s="3005" t="s">
        <v>1054</v>
      </c>
      <c r="Q38" s="10" t="s">
        <v>968</v>
      </c>
      <c r="R38" s="10" t="s">
        <v>882</v>
      </c>
      <c r="S38" s="10" t="s">
        <v>20</v>
      </c>
      <c r="T38" s="3000">
        <v>0.95</v>
      </c>
      <c r="U38" s="3000">
        <v>0.85</v>
      </c>
      <c r="V38" s="3000">
        <v>0.8075</v>
      </c>
      <c r="W38" s="3003">
        <v>0.14599999999999999</v>
      </c>
      <c r="X38" s="3004">
        <v>2.4820000000000002E-2</v>
      </c>
      <c r="Y38" s="3001">
        <v>0.16382416526543359</v>
      </c>
      <c r="Z38" s="2999">
        <v>14000</v>
      </c>
      <c r="AA38" s="2999">
        <v>125</v>
      </c>
      <c r="AB38" s="2999">
        <v>4</v>
      </c>
      <c r="AC38" s="2999" t="s">
        <v>1054</v>
      </c>
    </row>
    <row r="39" spans="1:29">
      <c r="A39" s="1707">
        <f>IFERROR(INDEX('2. S Plan'!$E$5:$E$75, MATCH(B.BasicInfomation!B39, '2. S Plan'!$F$5:$F$75, 0)),"")</f>
        <v>0</v>
      </c>
      <c r="B39" s="3947" t="s">
        <v>1532</v>
      </c>
      <c r="C39" s="4918"/>
      <c r="D39" s="10">
        <f>_xlfn.XLOOKUP(B39,'2. S Plan'!$F$5:$F$83,'2. S Plan'!$AC$5:$AC$83,0,0)</f>
        <v>0</v>
      </c>
      <c r="E39" s="10">
        <f>_xlfn.XLOOKUP(B39,'2. S Plan'!$F$5:$F$83,'2. S Plan'!$AB$5:$AB$83,0,0)</f>
        <v>0</v>
      </c>
      <c r="F39" s="3006">
        <v>0.95</v>
      </c>
      <c r="G39" s="3006">
        <v>0.8</v>
      </c>
      <c r="H39" s="3006">
        <v>0.76</v>
      </c>
      <c r="I39" s="8">
        <v>1.1446099999999999</v>
      </c>
      <c r="J39" s="7">
        <v>0.44851999999999997</v>
      </c>
      <c r="K39" s="3009">
        <v>0.39185399393679943</v>
      </c>
      <c r="L39" s="6">
        <v>6700</v>
      </c>
      <c r="M39" s="6">
        <v>350</v>
      </c>
      <c r="N39" s="6">
        <v>1</v>
      </c>
      <c r="O39" s="3005" t="s">
        <v>1054</v>
      </c>
      <c r="Q39" s="3947"/>
      <c r="R39" s="3947"/>
      <c r="S39" s="3947"/>
      <c r="T39" s="4919"/>
      <c r="U39" s="4919"/>
      <c r="V39" s="4919"/>
      <c r="W39" s="4920"/>
      <c r="X39" s="4921"/>
      <c r="Y39" s="4922"/>
      <c r="Z39" s="4918"/>
      <c r="AA39" s="4918"/>
      <c r="AB39" s="4918"/>
      <c r="AC39" s="4918"/>
    </row>
    <row r="40" spans="1:29">
      <c r="A40" s="1707">
        <f>IFERROR(INDEX('2. S Plan'!$E$5:$E$75, MATCH(B.BasicInfomation!B40, '2. S Plan'!$F$5:$F$75, 0)),"")</f>
        <v>14</v>
      </c>
      <c r="B40" s="10" t="s">
        <v>1544</v>
      </c>
      <c r="C40" s="2999">
        <f t="shared" si="0"/>
        <v>14</v>
      </c>
      <c r="D40" s="10" t="str">
        <f>_xlfn.XLOOKUP(B40,'2. S Plan'!$F$5:$F$83,'2. S Plan'!$AC$5:$AC$83,0,0)</f>
        <v>Motor HSG</v>
      </c>
      <c r="E40" s="10" t="str">
        <f>_xlfn.XLOOKUP(B40,'2. S Plan'!$F$5:$F$83,'2. S Plan'!$AB$5:$AB$83,0,0)</f>
        <v>LGIT</v>
      </c>
      <c r="F40" s="3006">
        <v>0.95</v>
      </c>
      <c r="G40" s="3006">
        <v>0.8</v>
      </c>
      <c r="H40" s="3006">
        <v>0.76</v>
      </c>
      <c r="I40" s="8">
        <v>1.1446099999999999</v>
      </c>
      <c r="J40" s="7">
        <v>0.44851999999999997</v>
      </c>
      <c r="K40" s="3009">
        <v>0.39185399393679943</v>
      </c>
      <c r="L40" s="6">
        <v>6700</v>
      </c>
      <c r="M40" s="6">
        <v>350</v>
      </c>
      <c r="N40" s="6">
        <v>1</v>
      </c>
      <c r="O40" s="3005" t="s">
        <v>1054</v>
      </c>
      <c r="Q40" s="10" t="s">
        <v>884</v>
      </c>
      <c r="R40" s="10" t="s">
        <v>882</v>
      </c>
      <c r="S40" s="10" t="s">
        <v>20</v>
      </c>
      <c r="T40" s="3000">
        <v>0.95</v>
      </c>
      <c r="U40" s="3000">
        <v>0.85</v>
      </c>
      <c r="V40" s="3000">
        <v>0.8075</v>
      </c>
      <c r="W40" s="3003">
        <v>6.4329999999999998E-2</v>
      </c>
      <c r="X40" s="3004">
        <v>4.4400000000000004E-3</v>
      </c>
      <c r="Y40" s="3001">
        <v>6.901912016166642E-2</v>
      </c>
      <c r="Z40" s="2999">
        <v>7200</v>
      </c>
      <c r="AA40" s="2999">
        <v>125</v>
      </c>
      <c r="AB40" s="2999">
        <v>2</v>
      </c>
      <c r="AC40" s="2999" t="s">
        <v>1054</v>
      </c>
    </row>
    <row r="41" spans="1:29">
      <c r="A41" s="1707">
        <f>IFERROR(INDEX('2. S Plan'!$E$5:$E$75, MATCH(B.BasicInfomation!B41, '2. S Plan'!$F$5:$F$75, 0)),"")</f>
        <v>0</v>
      </c>
      <c r="B41" s="3947" t="s">
        <v>1546</v>
      </c>
      <c r="C41" s="4918"/>
      <c r="D41" s="10">
        <f>_xlfn.XLOOKUP(B41,'2. S Plan'!$F$5:$F$83,'2. S Plan'!$AC$5:$AC$83,0,0)</f>
        <v>0</v>
      </c>
      <c r="E41" s="10">
        <f>_xlfn.XLOOKUP(B41,'2. S Plan'!$F$5:$F$83,'2. S Plan'!$AB$5:$AB$83,0,0)</f>
        <v>0</v>
      </c>
      <c r="F41" s="3006">
        <v>0.95</v>
      </c>
      <c r="G41" s="3006">
        <v>0.8</v>
      </c>
      <c r="H41" s="3006">
        <v>0.76</v>
      </c>
      <c r="I41" s="8">
        <v>1.1446099999999999</v>
      </c>
      <c r="J41" s="7">
        <v>0.44851999999999997</v>
      </c>
      <c r="K41" s="3009">
        <v>0.39185399393679943</v>
      </c>
      <c r="L41" s="6">
        <v>6700</v>
      </c>
      <c r="M41" s="6">
        <v>350</v>
      </c>
      <c r="N41" s="6">
        <v>1</v>
      </c>
      <c r="O41" s="3005" t="s">
        <v>1054</v>
      </c>
      <c r="Q41" s="3947"/>
      <c r="R41" s="3947"/>
      <c r="S41" s="3947"/>
      <c r="T41" s="4919"/>
      <c r="U41" s="4919"/>
      <c r="V41" s="4919"/>
      <c r="W41" s="4920"/>
      <c r="X41" s="4921"/>
      <c r="Y41" s="4922"/>
      <c r="Z41" s="4918"/>
      <c r="AA41" s="4918"/>
      <c r="AB41" s="4918"/>
      <c r="AC41" s="4918"/>
    </row>
    <row r="42" spans="1:29">
      <c r="A42" s="1707">
        <f>IFERROR(INDEX('2. S Plan'!$E$5:$E$75, MATCH(B.BasicInfomation!B42, '2. S Plan'!$F$5:$F$75, 0)),"")</f>
        <v>0</v>
      </c>
      <c r="B42" s="10" t="s">
        <v>692</v>
      </c>
      <c r="C42" s="2999">
        <f t="shared" si="0"/>
        <v>0</v>
      </c>
      <c r="D42" s="10" t="str">
        <f>_xlfn.XLOOKUP(B42,'2. S Plan'!$F$5:$F$83,'2. S Plan'!$AC$5:$AC$83,0,0)</f>
        <v>Motor HSG</v>
      </c>
      <c r="E42" s="10" t="str">
        <f>_xlfn.XLOOKUP(B42,'2. S Plan'!$F$5:$F$83,'2. S Plan'!$AB$5:$AB$83,0,0)</f>
        <v>LGIT</v>
      </c>
      <c r="F42" s="3006">
        <v>0.95</v>
      </c>
      <c r="G42" s="3006">
        <v>0.8</v>
      </c>
      <c r="H42" s="3006">
        <v>0.76</v>
      </c>
      <c r="I42" s="8">
        <v>1.1446099999999999</v>
      </c>
      <c r="J42" s="7">
        <v>0.44851999999999997</v>
      </c>
      <c r="K42" s="3009">
        <v>0.39185399393679943</v>
      </c>
      <c r="L42" s="6">
        <v>6700</v>
      </c>
      <c r="M42" s="6">
        <v>350</v>
      </c>
      <c r="N42" s="6">
        <v>1</v>
      </c>
      <c r="O42" s="3005" t="s">
        <v>1054</v>
      </c>
      <c r="Q42" s="10" t="s">
        <v>69</v>
      </c>
      <c r="R42" s="10" t="s">
        <v>882</v>
      </c>
      <c r="S42" s="10" t="s">
        <v>20</v>
      </c>
      <c r="T42" s="3000">
        <v>0.95</v>
      </c>
      <c r="U42" s="3000">
        <v>0.85</v>
      </c>
      <c r="V42" s="3000">
        <v>0.8075</v>
      </c>
      <c r="W42" s="3003">
        <v>9.8229999999999998E-2</v>
      </c>
      <c r="X42" s="3004">
        <v>1.256E-2</v>
      </c>
      <c r="Y42" s="3001">
        <v>0.12786317825511556</v>
      </c>
      <c r="Z42" s="2999">
        <v>7020</v>
      </c>
      <c r="AA42" s="2999">
        <v>125</v>
      </c>
      <c r="AB42" s="2999">
        <v>2</v>
      </c>
      <c r="AC42" s="2999" t="s">
        <v>1054</v>
      </c>
    </row>
    <row r="43" spans="1:29">
      <c r="A43" s="1707">
        <f>IFERROR(INDEX('2. S Plan'!$E$5:$E$75, MATCH(B.BasicInfomation!B43, '2. S Plan'!$F$5:$F$75, 0)),"")</f>
        <v>15</v>
      </c>
      <c r="B43" s="10" t="s">
        <v>1310</v>
      </c>
      <c r="C43" s="2999">
        <f t="shared" si="0"/>
        <v>15</v>
      </c>
      <c r="D43" s="10" t="str">
        <f>_xlfn.XLOOKUP(B43,'2. S Plan'!$F$5:$F$83,'2. S Plan'!$AC$5:$AC$83,0,0)</f>
        <v>Motor HSG</v>
      </c>
      <c r="E43" s="10" t="str">
        <f>_xlfn.XLOOKUP(B43,'2. S Plan'!$F$5:$F$83,'2. S Plan'!$AB$5:$AB$83,0,0)</f>
        <v>LGIT</v>
      </c>
      <c r="F43" s="3006">
        <v>0.95</v>
      </c>
      <c r="G43" s="3006">
        <v>0.8</v>
      </c>
      <c r="H43" s="3006">
        <v>0.76</v>
      </c>
      <c r="I43" s="8">
        <v>1.1446099999999999</v>
      </c>
      <c r="J43" s="7">
        <v>0.44569999999999999</v>
      </c>
      <c r="K43" s="3009">
        <f t="shared" ref="K43:K53" si="1">IFERROR(J43/I43,"")</f>
        <v>0.38939027266929349</v>
      </c>
      <c r="L43" s="6">
        <v>6000</v>
      </c>
      <c r="M43" s="6">
        <v>350</v>
      </c>
      <c r="N43" s="6">
        <v>1</v>
      </c>
      <c r="O43" s="3005" t="s">
        <v>1054</v>
      </c>
      <c r="Q43" s="10" t="s">
        <v>886</v>
      </c>
      <c r="R43" s="10" t="s">
        <v>885</v>
      </c>
      <c r="S43" s="10" t="s">
        <v>20</v>
      </c>
      <c r="T43" s="3000">
        <v>0.95</v>
      </c>
      <c r="U43" s="3000">
        <v>0.85</v>
      </c>
      <c r="V43" s="3000">
        <v>0.8075</v>
      </c>
      <c r="W43" s="3003">
        <v>4.335E-2</v>
      </c>
      <c r="X43" s="3004">
        <v>2.0099999999999996E-3</v>
      </c>
      <c r="Y43" s="3001">
        <v>4.6366782006920404E-2</v>
      </c>
      <c r="Z43" s="2999">
        <v>14000</v>
      </c>
      <c r="AA43" s="2999">
        <v>125</v>
      </c>
      <c r="AB43" s="2999">
        <v>4</v>
      </c>
      <c r="AC43" s="2999" t="s">
        <v>1054</v>
      </c>
    </row>
    <row r="44" spans="1:29">
      <c r="A44" s="1707">
        <f>IFERROR(INDEX('2. S Plan'!$E$5:$E$75, MATCH(B.BasicInfomation!B44, '2. S Plan'!$F$5:$F$75, 0)),"")</f>
        <v>0</v>
      </c>
      <c r="B44" s="10" t="s">
        <v>875</v>
      </c>
      <c r="C44" s="2999">
        <f t="shared" si="0"/>
        <v>0</v>
      </c>
      <c r="D44" s="10" t="str">
        <f>_xlfn.XLOOKUP(B44,'2. S Plan'!$F$5:$F$83,'2. S Plan'!$AC$5:$AC$83,0,0)</f>
        <v>Motor CVR</v>
      </c>
      <c r="E44" s="10" t="str">
        <f>_xlfn.XLOOKUP(B44,'2. S Plan'!$F$5:$F$83,'2. S Plan'!$AB$5:$AB$83,0,0)</f>
        <v>LGIT</v>
      </c>
      <c r="F44" s="3006">
        <v>0.95</v>
      </c>
      <c r="G44" s="3006">
        <v>0.85</v>
      </c>
      <c r="H44" s="3006">
        <v>0.8075</v>
      </c>
      <c r="I44" s="8">
        <v>1.1446099999999999</v>
      </c>
      <c r="J44" s="7">
        <v>0.1162</v>
      </c>
      <c r="K44" s="3009">
        <f t="shared" ref="K44:K52" si="2">IFERROR(J44/I44,"")</f>
        <v>0.10151929478162869</v>
      </c>
      <c r="L44" s="6">
        <v>6000</v>
      </c>
      <c r="M44" s="6">
        <v>350</v>
      </c>
      <c r="N44" s="6">
        <v>4</v>
      </c>
      <c r="O44" s="3005" t="s">
        <v>1054</v>
      </c>
      <c r="Q44" s="10" t="s">
        <v>887</v>
      </c>
      <c r="R44" s="10" t="s">
        <v>885</v>
      </c>
      <c r="S44" s="10" t="s">
        <v>20</v>
      </c>
      <c r="T44" s="3000">
        <v>0.95</v>
      </c>
      <c r="U44" s="3000">
        <v>0.85</v>
      </c>
      <c r="V44" s="3000">
        <v>0.8075</v>
      </c>
      <c r="W44" s="3003">
        <v>4.163E-2</v>
      </c>
      <c r="X44" s="3004">
        <v>6.8200000000000005E-3</v>
      </c>
      <c r="Y44" s="3001">
        <v>0.16382416526543359</v>
      </c>
      <c r="Z44" s="2999">
        <v>14000</v>
      </c>
      <c r="AA44" s="2999">
        <v>125</v>
      </c>
      <c r="AB44" s="2999">
        <v>4</v>
      </c>
      <c r="AC44" s="2999" t="s">
        <v>1054</v>
      </c>
    </row>
    <row r="45" spans="1:29">
      <c r="A45" s="1707">
        <f>IFERROR(INDEX('2. S Plan'!$E$5:$E$75, MATCH(B.BasicInfomation!B45, '2. S Plan'!$F$5:$F$75, 0)),"")</f>
        <v>0</v>
      </c>
      <c r="B45" s="10" t="s">
        <v>876</v>
      </c>
      <c r="C45" s="2999">
        <f t="shared" si="0"/>
        <v>0</v>
      </c>
      <c r="D45" s="10" t="str">
        <f>_xlfn.XLOOKUP(B45,'2. S Plan'!$F$5:$F$83,'2. S Plan'!$AC$5:$AC$83,0,0)</f>
        <v>Motor CVR</v>
      </c>
      <c r="E45" s="10" t="str">
        <f>_xlfn.XLOOKUP(B45,'2. S Plan'!$F$5:$F$83,'2. S Plan'!$AB$5:$AB$83,0,0)</f>
        <v>LGIT</v>
      </c>
      <c r="F45" s="3006">
        <v>0.95</v>
      </c>
      <c r="G45" s="3006">
        <v>0.85</v>
      </c>
      <c r="H45" s="3006">
        <v>0.8075</v>
      </c>
      <c r="I45" s="8">
        <v>1.1446099999999999</v>
      </c>
      <c r="J45" s="7">
        <v>0.1162</v>
      </c>
      <c r="K45" s="3009">
        <f t="shared" si="2"/>
        <v>0.10151929478162869</v>
      </c>
      <c r="L45" s="6">
        <v>6000</v>
      </c>
      <c r="M45" s="6">
        <v>350</v>
      </c>
      <c r="N45" s="6">
        <v>4</v>
      </c>
      <c r="O45" s="3005" t="s">
        <v>1054</v>
      </c>
      <c r="Q45" s="10" t="s">
        <v>76</v>
      </c>
      <c r="R45" s="10" t="s">
        <v>885</v>
      </c>
      <c r="S45" s="10" t="s">
        <v>20</v>
      </c>
      <c r="T45" s="3000">
        <v>0.95</v>
      </c>
      <c r="U45" s="3000">
        <v>0.8</v>
      </c>
      <c r="V45" s="3000">
        <v>0.76</v>
      </c>
      <c r="W45" s="3003">
        <v>5.8847499999999997E-2</v>
      </c>
      <c r="X45" s="3004">
        <v>1.4267500000000001E-2</v>
      </c>
      <c r="Y45" s="3001">
        <v>0.23064516129032259</v>
      </c>
      <c r="Z45" s="2999">
        <v>14000</v>
      </c>
      <c r="AA45" s="2999">
        <v>125</v>
      </c>
      <c r="AB45" s="2999">
        <v>4</v>
      </c>
      <c r="AC45" s="2999" t="s">
        <v>1054</v>
      </c>
    </row>
    <row r="46" spans="1:29">
      <c r="A46" s="1707">
        <f>IFERROR(INDEX('2. S Plan'!$E$5:$E$75, MATCH(B.BasicInfomation!B46, '2. S Plan'!$F$5:$F$75, 0)),"")</f>
        <v>16</v>
      </c>
      <c r="B46" s="10" t="s">
        <v>877</v>
      </c>
      <c r="C46" s="2999">
        <f t="shared" si="0"/>
        <v>16</v>
      </c>
      <c r="D46" s="10">
        <f>_xlfn.XLOOKUP(B46,'2. S Plan'!$F$5:$F$83,'2. S Plan'!$AC$5:$AC$83,0,0)</f>
        <v>0</v>
      </c>
      <c r="E46" s="10">
        <f>_xlfn.XLOOKUP(B46,'2. S Plan'!$F$5:$F$83,'2. S Plan'!$AB$5:$AB$83,0,0)</f>
        <v>0</v>
      </c>
      <c r="F46" s="3006">
        <v>0.95</v>
      </c>
      <c r="G46" s="3006">
        <v>0.85</v>
      </c>
      <c r="H46" s="3006">
        <v>0.8075</v>
      </c>
      <c r="I46" s="8">
        <v>1.1446099999999999</v>
      </c>
      <c r="J46" s="7">
        <v>0.1162</v>
      </c>
      <c r="K46" s="3009">
        <f t="shared" si="2"/>
        <v>0.10151929478162869</v>
      </c>
      <c r="L46" s="6">
        <v>6000</v>
      </c>
      <c r="M46" s="6">
        <v>350</v>
      </c>
      <c r="N46" s="6">
        <v>4</v>
      </c>
      <c r="O46" s="3005" t="s">
        <v>1054</v>
      </c>
      <c r="Q46" s="10" t="s">
        <v>969</v>
      </c>
      <c r="R46" s="10" t="s">
        <v>885</v>
      </c>
      <c r="S46" s="10" t="s">
        <v>20</v>
      </c>
      <c r="T46" s="3000">
        <v>0.95</v>
      </c>
      <c r="U46" s="3000">
        <v>0.8</v>
      </c>
      <c r="V46" s="3000">
        <v>0.76</v>
      </c>
      <c r="W46" s="3003">
        <v>5.5E-2</v>
      </c>
      <c r="X46" s="3004">
        <v>0.84699999999999998</v>
      </c>
      <c r="Y46" s="3001">
        <v>15.4</v>
      </c>
      <c r="Z46" s="2999">
        <v>9000</v>
      </c>
      <c r="AA46" s="2999">
        <v>125</v>
      </c>
      <c r="AB46" s="2999">
        <v>4</v>
      </c>
      <c r="AC46" s="2999" t="s">
        <v>1054</v>
      </c>
    </row>
    <row r="47" spans="1:29">
      <c r="A47" s="1707">
        <f>IFERROR(INDEX('2. S Plan'!$E$5:$E$75, MATCH(B.BasicInfomation!B47, '2. S Plan'!$F$5:$F$75, 0)),"")</f>
        <v>0</v>
      </c>
      <c r="B47" s="10" t="s">
        <v>1062</v>
      </c>
      <c r="C47" s="2999">
        <f t="shared" si="0"/>
        <v>0</v>
      </c>
      <c r="D47" s="10">
        <f>_xlfn.XLOOKUP(B47,'2. S Plan'!$F$5:$F$83,'2. S Plan'!$AC$5:$AC$83,0,0)</f>
        <v>0</v>
      </c>
      <c r="E47" s="10">
        <f>_xlfn.XLOOKUP(B47,'2. S Plan'!$F$5:$F$83,'2. S Plan'!$AB$5:$AB$83,0,0)</f>
        <v>0</v>
      </c>
      <c r="F47" s="3006">
        <v>0.95</v>
      </c>
      <c r="G47" s="3006">
        <v>0.85</v>
      </c>
      <c r="H47" s="3006">
        <v>0.8075</v>
      </c>
      <c r="I47" s="8">
        <v>1.1446099999999999</v>
      </c>
      <c r="J47" s="7">
        <v>0.1162</v>
      </c>
      <c r="K47" s="3009">
        <f t="shared" si="2"/>
        <v>0.10151929478162869</v>
      </c>
      <c r="L47" s="6">
        <v>6000</v>
      </c>
      <c r="M47" s="6">
        <v>350</v>
      </c>
      <c r="N47" s="6">
        <v>4</v>
      </c>
      <c r="O47" s="3005" t="s">
        <v>1054</v>
      </c>
      <c r="Q47" s="10" t="s">
        <v>401</v>
      </c>
      <c r="R47" s="10" t="s">
        <v>865</v>
      </c>
      <c r="S47" s="10" t="s">
        <v>904</v>
      </c>
      <c r="T47" s="3000">
        <v>0.95</v>
      </c>
      <c r="U47" s="3000">
        <v>0.85</v>
      </c>
      <c r="V47" s="3000">
        <v>0.8075</v>
      </c>
      <c r="W47" s="3003">
        <v>1.04026</v>
      </c>
      <c r="X47" s="3004">
        <v>0.45685999999999999</v>
      </c>
      <c r="Y47" s="3001">
        <v>0.4563346130531421</v>
      </c>
      <c r="Z47" s="2999">
        <v>2000</v>
      </c>
      <c r="AA47" s="2999">
        <v>350</v>
      </c>
      <c r="AB47" s="2999">
        <v>1</v>
      </c>
      <c r="AC47" s="2999" t="s">
        <v>1054</v>
      </c>
    </row>
    <row r="48" spans="1:29">
      <c r="A48" s="1707">
        <f>IFERROR(INDEX('2. S Plan'!$E$5:$E$75, MATCH(B.BasicInfomation!B48, '2. S Plan'!$F$5:$F$75, 0)),"")</f>
        <v>17</v>
      </c>
      <c r="B48" s="10" t="s">
        <v>1536</v>
      </c>
      <c r="C48" s="2999">
        <f t="shared" si="0"/>
        <v>17</v>
      </c>
      <c r="D48" s="10">
        <f>_xlfn.XLOOKUP(B48,'2. S Plan'!$F$5:$F$83,'2. S Plan'!$AC$5:$AC$83,0,0)</f>
        <v>0</v>
      </c>
      <c r="E48" s="10">
        <f>_xlfn.XLOOKUP(B48,'2. S Plan'!$F$5:$F$83,'2. S Plan'!$AB$5:$AB$83,0,0)</f>
        <v>0</v>
      </c>
      <c r="F48" s="3006">
        <v>0.95</v>
      </c>
      <c r="G48" s="3006">
        <v>0.85</v>
      </c>
      <c r="H48" s="3006">
        <v>0.8075</v>
      </c>
      <c r="I48" s="8">
        <v>1.1446099999999999</v>
      </c>
      <c r="J48" s="7">
        <v>0.1162</v>
      </c>
      <c r="K48" s="3009">
        <f t="shared" si="2"/>
        <v>0.10151929478162869</v>
      </c>
      <c r="L48" s="6">
        <v>6000</v>
      </c>
      <c r="M48" s="6">
        <v>350</v>
      </c>
      <c r="N48" s="6">
        <v>4</v>
      </c>
      <c r="O48" s="3005" t="s">
        <v>1054</v>
      </c>
      <c r="Q48" s="10" t="s">
        <v>265</v>
      </c>
      <c r="R48" s="10" t="s">
        <v>865</v>
      </c>
      <c r="S48" s="10" t="s">
        <v>904</v>
      </c>
      <c r="T48" s="3000">
        <v>0.95</v>
      </c>
      <c r="U48" s="3000">
        <v>0.85</v>
      </c>
      <c r="V48" s="3000">
        <v>0.8075</v>
      </c>
      <c r="W48" s="3003">
        <v>0.97750000000000004</v>
      </c>
      <c r="X48" s="3004">
        <v>0.44779000000000002</v>
      </c>
      <c r="Y48" s="3001">
        <v>0.45809718670076727</v>
      </c>
      <c r="Z48" s="2999">
        <v>3600</v>
      </c>
      <c r="AA48" s="2999">
        <v>350</v>
      </c>
      <c r="AB48" s="2999">
        <v>2</v>
      </c>
      <c r="AC48" s="2999" t="s">
        <v>1054</v>
      </c>
    </row>
    <row r="49" spans="1:29">
      <c r="A49" s="1707">
        <f>IFERROR(INDEX('2. S Plan'!$E$5:$E$75, MATCH(B.BasicInfomation!B49, '2. S Plan'!$F$5:$F$75, 0)),"")</f>
        <v>0</v>
      </c>
      <c r="B49" s="3947" t="s">
        <v>1538</v>
      </c>
      <c r="C49" s="4918"/>
      <c r="D49" s="3947"/>
      <c r="E49" s="3947"/>
      <c r="F49" s="3006">
        <v>0.95</v>
      </c>
      <c r="G49" s="3006">
        <v>0.85</v>
      </c>
      <c r="H49" s="3006">
        <v>0.8075</v>
      </c>
      <c r="I49" s="8">
        <v>1.1446099999999999</v>
      </c>
      <c r="J49" s="7">
        <v>0.1162</v>
      </c>
      <c r="K49" s="3009">
        <f t="shared" ref="K49" si="3">IFERROR(J49/I49,"")</f>
        <v>0.10151929478162869</v>
      </c>
      <c r="L49" s="6">
        <v>6000</v>
      </c>
      <c r="M49" s="6">
        <v>350</v>
      </c>
      <c r="N49" s="6">
        <v>4</v>
      </c>
      <c r="O49" s="3005" t="s">
        <v>1054</v>
      </c>
      <c r="Q49" s="3947"/>
      <c r="R49" s="3947"/>
      <c r="S49" s="3947"/>
      <c r="T49" s="4919"/>
      <c r="U49" s="4919"/>
      <c r="V49" s="4919"/>
      <c r="W49" s="4920"/>
      <c r="X49" s="4921"/>
      <c r="Y49" s="4922"/>
      <c r="Z49" s="4918"/>
      <c r="AA49" s="4918"/>
      <c r="AB49" s="4918"/>
      <c r="AC49" s="4918"/>
    </row>
    <row r="50" spans="1:29">
      <c r="A50" s="1707">
        <f>IFERROR(INDEX('2. S Plan'!$E$5:$E$75, MATCH(B.BasicInfomation!B50, '2. S Plan'!$F$5:$F$75, 0)),"")</f>
        <v>18</v>
      </c>
      <c r="B50" s="10" t="s">
        <v>1540</v>
      </c>
      <c r="C50" s="2999">
        <f t="shared" si="0"/>
        <v>18</v>
      </c>
      <c r="D50" s="10">
        <f>_xlfn.XLOOKUP(B50,'2. S Plan'!$F$5:$F$83,'2. S Plan'!$AC$5:$AC$83,0,0)</f>
        <v>0</v>
      </c>
      <c r="E50" s="10">
        <f>_xlfn.XLOOKUP(B50,'2. S Plan'!$F$5:$F$83,'2. S Plan'!$AB$5:$AB$83,0,0)</f>
        <v>0</v>
      </c>
      <c r="F50" s="3006">
        <v>0.95</v>
      </c>
      <c r="G50" s="3006">
        <v>0.85</v>
      </c>
      <c r="H50" s="3006">
        <v>0.8075</v>
      </c>
      <c r="I50" s="8">
        <v>1.1446099999999999</v>
      </c>
      <c r="J50" s="7">
        <v>0.1162</v>
      </c>
      <c r="K50" s="3009">
        <f t="shared" si="2"/>
        <v>0.10151929478162869</v>
      </c>
      <c r="L50" s="6">
        <v>6000</v>
      </c>
      <c r="M50" s="6">
        <v>350</v>
      </c>
      <c r="N50" s="6">
        <v>4</v>
      </c>
      <c r="O50" s="3005" t="s">
        <v>1054</v>
      </c>
      <c r="Q50" s="10" t="s">
        <v>888</v>
      </c>
      <c r="R50" s="10" t="s">
        <v>865</v>
      </c>
      <c r="S50" s="10" t="s">
        <v>904</v>
      </c>
      <c r="T50" s="3000">
        <v>0.95</v>
      </c>
      <c r="U50" s="3000">
        <v>0.7</v>
      </c>
      <c r="V50" s="3000">
        <v>0.66499999999999992</v>
      </c>
      <c r="W50" s="3003">
        <v>1.0724400000000001</v>
      </c>
      <c r="X50" s="3004">
        <v>0.45062000000000002</v>
      </c>
      <c r="Y50" s="3001">
        <v>0.45822352810508993</v>
      </c>
      <c r="Z50" s="2999">
        <v>1700</v>
      </c>
      <c r="AA50" s="2999">
        <v>350</v>
      </c>
      <c r="AB50" s="2999">
        <v>1</v>
      </c>
      <c r="AC50" s="2999" t="s">
        <v>1054</v>
      </c>
    </row>
    <row r="51" spans="1:29">
      <c r="A51" s="1707">
        <f>IFERROR(INDEX('2. S Plan'!$E$5:$E$75, MATCH(B.BasicInfomation!B51, '2. S Plan'!$F$5:$F$75, 0)),"")</f>
        <v>0</v>
      </c>
      <c r="B51" s="3947" t="s">
        <v>1542</v>
      </c>
      <c r="C51" s="4918"/>
      <c r="D51" s="3947"/>
      <c r="E51" s="3947"/>
      <c r="F51" s="3006">
        <v>0.95</v>
      </c>
      <c r="G51" s="3006">
        <v>0.85</v>
      </c>
      <c r="H51" s="3006">
        <v>0.8075</v>
      </c>
      <c r="I51" s="8">
        <v>1.1446099999999999</v>
      </c>
      <c r="J51" s="7">
        <v>0.1162</v>
      </c>
      <c r="K51" s="3009">
        <f t="shared" ref="K51" si="4">IFERROR(J51/I51,"")</f>
        <v>0.10151929478162869</v>
      </c>
      <c r="L51" s="6">
        <v>6000</v>
      </c>
      <c r="M51" s="6">
        <v>350</v>
      </c>
      <c r="N51" s="6">
        <v>4</v>
      </c>
      <c r="O51" s="3005" t="s">
        <v>1054</v>
      </c>
      <c r="Q51" s="3947"/>
      <c r="R51" s="3947"/>
      <c r="S51" s="3947"/>
      <c r="T51" s="4919"/>
      <c r="U51" s="4919"/>
      <c r="V51" s="4919"/>
      <c r="W51" s="4920"/>
      <c r="X51" s="4921"/>
      <c r="Y51" s="4922"/>
      <c r="Z51" s="4918"/>
      <c r="AA51" s="4918"/>
      <c r="AB51" s="4918"/>
      <c r="AC51" s="4918"/>
    </row>
    <row r="52" spans="1:29">
      <c r="A52" s="1707">
        <f>IFERROR(INDEX('2. S Plan'!$E$5:$E$75, MATCH(B.BasicInfomation!B52, '2. S Plan'!$F$5:$F$75, 0)),"")</f>
        <v>0</v>
      </c>
      <c r="B52" s="10" t="s">
        <v>880</v>
      </c>
      <c r="C52" s="2999">
        <f t="shared" si="0"/>
        <v>0</v>
      </c>
      <c r="D52" s="10">
        <f>_xlfn.XLOOKUP(B52,'2. S Plan'!$F$5:$F$83,'2. S Plan'!$AC$5:$AC$83,0,0)</f>
        <v>0</v>
      </c>
      <c r="E52" s="10">
        <f>_xlfn.XLOOKUP(B52,'2. S Plan'!$F$5:$F$83,'2. S Plan'!$AB$5:$AB$83,0,0)</f>
        <v>0</v>
      </c>
      <c r="F52" s="3006">
        <v>0.95</v>
      </c>
      <c r="G52" s="3006">
        <v>0.85</v>
      </c>
      <c r="H52" s="3006">
        <v>0.8075</v>
      </c>
      <c r="I52" s="8">
        <v>1.1446099999999999</v>
      </c>
      <c r="J52" s="7">
        <v>0.1162</v>
      </c>
      <c r="K52" s="3009">
        <f t="shared" si="2"/>
        <v>0.10151929478162869</v>
      </c>
      <c r="L52" s="6">
        <v>6000</v>
      </c>
      <c r="M52" s="6">
        <v>350</v>
      </c>
      <c r="N52" s="6">
        <v>4</v>
      </c>
      <c r="O52" s="3005" t="s">
        <v>1054</v>
      </c>
      <c r="Q52" s="10" t="s">
        <v>889</v>
      </c>
      <c r="R52" s="10" t="s">
        <v>874</v>
      </c>
      <c r="S52" s="10" t="s">
        <v>904</v>
      </c>
      <c r="T52" s="3000">
        <v>0.95</v>
      </c>
      <c r="U52" s="3000">
        <v>0.85</v>
      </c>
      <c r="V52" s="3000">
        <v>0.8075</v>
      </c>
      <c r="W52" s="3003">
        <v>0.31975999999999999</v>
      </c>
      <c r="X52" s="3004">
        <v>0.12453</v>
      </c>
      <c r="Y52" s="3001">
        <v>0.38468911356398605</v>
      </c>
      <c r="Z52" s="2999">
        <v>4900</v>
      </c>
      <c r="AA52" s="2999">
        <v>350</v>
      </c>
      <c r="AB52" s="2999">
        <v>2</v>
      </c>
      <c r="AC52" s="2999" t="s">
        <v>1054</v>
      </c>
    </row>
    <row r="53" spans="1:29">
      <c r="A53" s="1707">
        <f>IFERROR(INDEX('2. S Plan'!$E$5:$E$75, MATCH(B.BasicInfomation!B53, '2. S Plan'!$F$5:$F$75, 0)),"")</f>
        <v>19</v>
      </c>
      <c r="B53" s="10" t="s">
        <v>1311</v>
      </c>
      <c r="C53" s="2999">
        <f t="shared" si="0"/>
        <v>19</v>
      </c>
      <c r="D53" s="10">
        <f>_xlfn.XLOOKUP(B53,'2. S Plan'!$F$5:$F$83,'2. S Plan'!$AC$5:$AC$83,0,0)</f>
        <v>0</v>
      </c>
      <c r="E53" s="10">
        <f>_xlfn.XLOOKUP(B53,'2. S Plan'!$F$5:$F$83,'2. S Plan'!$AB$5:$AB$83,0,0)</f>
        <v>0</v>
      </c>
      <c r="F53" s="3006">
        <v>0.95</v>
      </c>
      <c r="G53" s="3006">
        <v>0.85</v>
      </c>
      <c r="H53" s="3006">
        <v>0.8075</v>
      </c>
      <c r="I53" s="8">
        <v>1.1446099999999999</v>
      </c>
      <c r="J53" s="7">
        <v>0.1162</v>
      </c>
      <c r="K53" s="3009">
        <f t="shared" si="1"/>
        <v>0.10151929478162869</v>
      </c>
      <c r="L53" s="6">
        <v>6000</v>
      </c>
      <c r="M53" s="6">
        <v>350</v>
      </c>
      <c r="N53" s="6">
        <v>4</v>
      </c>
      <c r="O53" s="3005" t="s">
        <v>1054</v>
      </c>
      <c r="Q53" s="10" t="s">
        <v>890</v>
      </c>
      <c r="R53" s="10" t="s">
        <v>874</v>
      </c>
      <c r="S53" s="10" t="s">
        <v>904</v>
      </c>
      <c r="T53" s="3000">
        <v>0.95</v>
      </c>
      <c r="U53" s="3000">
        <v>0.85</v>
      </c>
      <c r="V53" s="3000">
        <v>0.8075</v>
      </c>
      <c r="W53" s="3003">
        <v>0.67000499999999996</v>
      </c>
      <c r="X53" s="3004">
        <v>0.25529000000000002</v>
      </c>
      <c r="Y53" s="3001">
        <v>0.37720694097143287</v>
      </c>
      <c r="Z53" s="2999">
        <v>3600</v>
      </c>
      <c r="AA53" s="2999">
        <v>350</v>
      </c>
      <c r="AB53" s="2999">
        <v>2</v>
      </c>
      <c r="AC53" s="2999" t="s">
        <v>1054</v>
      </c>
    </row>
    <row r="54" spans="1:29">
      <c r="A54" s="1707">
        <f>IFERROR(INDEX('2. S Plan'!$E$5:$E$75, MATCH(B.BasicInfomation!B54, '2. S Plan'!$F$5:$F$75, 0)),"")</f>
        <v>0</v>
      </c>
      <c r="B54" s="10" t="s">
        <v>967</v>
      </c>
      <c r="C54" s="2999">
        <f t="shared" si="0"/>
        <v>0</v>
      </c>
      <c r="D54" s="10">
        <f>_xlfn.XLOOKUP(B54,'2. S Plan'!$F$5:$F$83,'2. S Plan'!$AC$5:$AC$83,0,0)</f>
        <v>0</v>
      </c>
      <c r="E54" s="10">
        <f>_xlfn.XLOOKUP(B54,'2. S Plan'!$F$5:$F$83,'2. S Plan'!$AB$5:$AB$83,0,0)</f>
        <v>0</v>
      </c>
      <c r="F54" s="3006">
        <v>0.95</v>
      </c>
      <c r="G54" s="3006">
        <v>0.85</v>
      </c>
      <c r="H54" s="3006">
        <v>0.8075</v>
      </c>
      <c r="I54" s="8">
        <v>6.4329999999999998E-2</v>
      </c>
      <c r="J54" s="7">
        <v>4.4400000000000004E-3</v>
      </c>
      <c r="K54" s="3009">
        <v>6.901912016166642E-2</v>
      </c>
      <c r="L54" s="6">
        <v>7200</v>
      </c>
      <c r="M54" s="6">
        <v>125</v>
      </c>
      <c r="N54" s="6">
        <v>2</v>
      </c>
      <c r="O54" s="3005" t="s">
        <v>1054</v>
      </c>
      <c r="Q54" s="10" t="s">
        <v>891</v>
      </c>
      <c r="R54" s="10" t="s">
        <v>874</v>
      </c>
      <c r="S54" s="10" t="s">
        <v>236</v>
      </c>
      <c r="T54" s="3000">
        <v>0.95</v>
      </c>
      <c r="U54" s="3000">
        <v>0.85</v>
      </c>
      <c r="V54" s="3000">
        <v>0.8075</v>
      </c>
      <c r="W54" s="3003">
        <v>0.74</v>
      </c>
      <c r="X54" s="3004">
        <v>0.25159999999999999</v>
      </c>
      <c r="Y54" s="3001">
        <v>0.33999999999999997</v>
      </c>
      <c r="Z54" s="2999">
        <v>4000</v>
      </c>
      <c r="AA54" s="2999">
        <v>350</v>
      </c>
      <c r="AB54" s="2999">
        <v>2</v>
      </c>
      <c r="AC54" s="2999" t="s">
        <v>1054</v>
      </c>
    </row>
    <row r="55" spans="1:29">
      <c r="A55" s="1707">
        <f>IFERROR(INDEX('2. S Plan'!$E$5:$E$75, MATCH(B.BasicInfomation!B55, '2. S Plan'!$F$5:$F$75, 0)),"")</f>
        <v>20</v>
      </c>
      <c r="B55" s="10" t="s">
        <v>881</v>
      </c>
      <c r="C55" s="2999">
        <f t="shared" si="0"/>
        <v>20</v>
      </c>
      <c r="D55" s="10">
        <f>_xlfn.XLOOKUP(B55,'2. S Plan'!$F$5:$F$83,'2. S Plan'!$AC$5:$AC$83,0,0)</f>
        <v>0</v>
      </c>
      <c r="E55" s="10">
        <f>_xlfn.XLOOKUP(B55,'2. S Plan'!$F$5:$F$83,'2. S Plan'!$AB$5:$AB$83,0,0)</f>
        <v>0</v>
      </c>
      <c r="F55" s="3006">
        <v>0.95</v>
      </c>
      <c r="G55" s="3006">
        <v>0.85</v>
      </c>
      <c r="H55" s="3006">
        <v>0.8075</v>
      </c>
      <c r="I55" s="8">
        <v>6.4329999999999998E-2</v>
      </c>
      <c r="J55" s="7">
        <v>4.4400000000000004E-3</v>
      </c>
      <c r="K55" s="3009">
        <v>6.901912016166642E-2</v>
      </c>
      <c r="L55" s="6">
        <v>7200</v>
      </c>
      <c r="M55" s="6">
        <v>125</v>
      </c>
      <c r="N55" s="6">
        <v>2</v>
      </c>
      <c r="O55" s="3005" t="s">
        <v>1054</v>
      </c>
      <c r="Q55" s="10" t="s">
        <v>893</v>
      </c>
      <c r="R55" s="10" t="s">
        <v>892</v>
      </c>
      <c r="S55" s="10" t="s">
        <v>236</v>
      </c>
      <c r="T55" s="3000">
        <v>0.95</v>
      </c>
      <c r="U55" s="3000">
        <v>0.85</v>
      </c>
      <c r="V55" s="3000">
        <v>0.8075</v>
      </c>
      <c r="W55" s="3003">
        <v>0.37734500000000004</v>
      </c>
      <c r="X55" s="3004">
        <v>0.13162499999999999</v>
      </c>
      <c r="Y55" s="3001">
        <v>0.33811624286455638</v>
      </c>
      <c r="Z55" s="2999">
        <v>4000</v>
      </c>
      <c r="AA55" s="2999">
        <v>350</v>
      </c>
      <c r="AB55" s="2999">
        <v>2</v>
      </c>
      <c r="AC55" s="2999" t="s">
        <v>1054</v>
      </c>
    </row>
    <row r="56" spans="1:29">
      <c r="A56" s="1707">
        <f>IFERROR(INDEX('2. S Plan'!$E$5:$E$75, MATCH(B.BasicInfomation!B56, '2. S Plan'!$F$5:$F$75, 0)),"")</f>
        <v>21</v>
      </c>
      <c r="B56" s="10" t="s">
        <v>883</v>
      </c>
      <c r="C56" s="2999">
        <f t="shared" si="0"/>
        <v>21</v>
      </c>
      <c r="D56" s="10">
        <f>_xlfn.XLOOKUP(B56,'2. S Plan'!$F$5:$F$83,'2. S Plan'!$AC$5:$AC$83,0,0)</f>
        <v>0</v>
      </c>
      <c r="E56" s="10">
        <f>_xlfn.XLOOKUP(B56,'2. S Plan'!$F$5:$F$83,'2. S Plan'!$AB$5:$AB$83,0,0)</f>
        <v>0</v>
      </c>
      <c r="F56" s="3006">
        <v>0.95</v>
      </c>
      <c r="G56" s="3006">
        <v>0.85</v>
      </c>
      <c r="H56" s="3006">
        <v>0.8075</v>
      </c>
      <c r="I56" s="8">
        <v>6.4329999999999998E-2</v>
      </c>
      <c r="J56" s="7">
        <v>4.4400000000000004E-3</v>
      </c>
      <c r="K56" s="3009">
        <v>6.901912016166642E-2</v>
      </c>
      <c r="L56" s="6">
        <v>7200</v>
      </c>
      <c r="M56" s="6">
        <v>125</v>
      </c>
      <c r="N56" s="6">
        <v>2</v>
      </c>
      <c r="O56" s="3005" t="s">
        <v>1054</v>
      </c>
      <c r="Q56" s="10" t="s">
        <v>894</v>
      </c>
      <c r="R56" s="10" t="s">
        <v>865</v>
      </c>
      <c r="S56" s="10" t="s">
        <v>22</v>
      </c>
      <c r="T56" s="3000">
        <v>0.95</v>
      </c>
      <c r="U56" s="3000">
        <v>0.85</v>
      </c>
      <c r="V56" s="3000">
        <v>0.8075</v>
      </c>
      <c r="W56" s="3003">
        <v>0.25709500000000002</v>
      </c>
      <c r="X56" s="3004">
        <v>7.2260000000000005E-2</v>
      </c>
      <c r="Y56" s="3001">
        <v>0.28590350853411511</v>
      </c>
      <c r="Z56" s="2999">
        <v>4200</v>
      </c>
      <c r="AA56" s="2999">
        <v>350</v>
      </c>
      <c r="AB56" s="2999">
        <v>2</v>
      </c>
      <c r="AC56" s="2999" t="s">
        <v>1060</v>
      </c>
    </row>
    <row r="57" spans="1:29">
      <c r="A57" s="1707">
        <f>IFERROR(INDEX('2. S Plan'!$E$5:$E$75, MATCH(B.BasicInfomation!B57, '2. S Plan'!$F$5:$F$75, 0)),"")</f>
        <v>0</v>
      </c>
      <c r="B57" s="10" t="s">
        <v>968</v>
      </c>
      <c r="C57" s="2999">
        <f t="shared" si="0"/>
        <v>0</v>
      </c>
      <c r="D57" s="10">
        <f>_xlfn.XLOOKUP(B57,'2. S Plan'!$F$5:$F$83,'2. S Plan'!$AC$5:$AC$83,0,0)</f>
        <v>0</v>
      </c>
      <c r="E57" s="10">
        <f>_xlfn.XLOOKUP(B57,'2. S Plan'!$F$5:$F$83,'2. S Plan'!$AB$5:$AB$83,0,0)</f>
        <v>0</v>
      </c>
      <c r="F57" s="3006">
        <v>0.95</v>
      </c>
      <c r="G57" s="3006">
        <v>0.85</v>
      </c>
      <c r="H57" s="3006">
        <v>0.8075</v>
      </c>
      <c r="I57" s="8">
        <v>6.4329999999999998E-2</v>
      </c>
      <c r="J57" s="7">
        <v>4.4400000000000004E-3</v>
      </c>
      <c r="K57" s="3009">
        <v>6.901912016166642E-2</v>
      </c>
      <c r="L57" s="6">
        <v>7200</v>
      </c>
      <c r="M57" s="6">
        <v>125</v>
      </c>
      <c r="N57" s="6">
        <v>2</v>
      </c>
      <c r="O57" s="3005" t="s">
        <v>1054</v>
      </c>
      <c r="Q57" s="10" t="s">
        <v>895</v>
      </c>
      <c r="R57" s="10" t="s">
        <v>865</v>
      </c>
      <c r="S57" s="10" t="s">
        <v>22</v>
      </c>
      <c r="T57" s="3000">
        <v>0.95</v>
      </c>
      <c r="U57" s="3000">
        <v>0.85</v>
      </c>
      <c r="V57" s="3000">
        <v>0.8075</v>
      </c>
      <c r="W57" s="3003">
        <v>0.210785</v>
      </c>
      <c r="X57" s="3004">
        <v>7.1415000000000006E-2</v>
      </c>
      <c r="Y57" s="3001">
        <v>0.31611597518588586</v>
      </c>
      <c r="Z57" s="2999">
        <v>3800</v>
      </c>
      <c r="AA57" s="2999">
        <v>350</v>
      </c>
      <c r="AB57" s="2999">
        <v>2</v>
      </c>
      <c r="AC57" s="2999" t="s">
        <v>1060</v>
      </c>
    </row>
    <row r="58" spans="1:29">
      <c r="A58" s="1707">
        <f>IFERROR(INDEX('2. S Plan'!$E$5:$E$75, MATCH(B.BasicInfomation!B58, '2. S Plan'!$F$5:$F$75, 0)),"")</f>
        <v>0</v>
      </c>
      <c r="B58" s="10" t="s">
        <v>884</v>
      </c>
      <c r="C58" s="2999">
        <f t="shared" si="0"/>
        <v>0</v>
      </c>
      <c r="D58" s="10">
        <f>_xlfn.XLOOKUP(B58,'2. S Plan'!$F$5:$F$83,'2. S Plan'!$AC$5:$AC$83,0,0)</f>
        <v>0</v>
      </c>
      <c r="E58" s="10">
        <f>_xlfn.XLOOKUP(B58,'2. S Plan'!$F$5:$F$83,'2. S Plan'!$AB$5:$AB$83,0,0)</f>
        <v>0</v>
      </c>
      <c r="F58" s="3006">
        <v>0.95</v>
      </c>
      <c r="G58" s="3006">
        <v>0.85</v>
      </c>
      <c r="H58" s="3006">
        <v>0.8075</v>
      </c>
      <c r="I58" s="8">
        <v>6.4329999999999998E-2</v>
      </c>
      <c r="J58" s="7">
        <v>2E-3</v>
      </c>
      <c r="K58" s="3009">
        <f t="shared" ref="K58" si="5">IFERROR(J58/I58,"")</f>
        <v>3.1089693766516401E-2</v>
      </c>
      <c r="L58" s="6">
        <v>7200</v>
      </c>
      <c r="M58" s="6">
        <v>125</v>
      </c>
      <c r="N58" s="6">
        <v>2</v>
      </c>
      <c r="O58" s="3005" t="s">
        <v>1054</v>
      </c>
      <c r="Q58" s="10" t="s">
        <v>896</v>
      </c>
      <c r="R58" s="10" t="s">
        <v>865</v>
      </c>
      <c r="S58" s="10" t="s">
        <v>22</v>
      </c>
      <c r="T58" s="3000">
        <v>0.95</v>
      </c>
      <c r="U58" s="3000">
        <v>0.85</v>
      </c>
      <c r="V58" s="3000">
        <v>0.8075</v>
      </c>
      <c r="W58" s="3003">
        <v>0.24384500000000001</v>
      </c>
      <c r="X58" s="3004">
        <v>7.2654999999999997E-2</v>
      </c>
      <c r="Y58" s="3001">
        <v>0.32372739671784945</v>
      </c>
      <c r="Z58" s="2999">
        <v>4000</v>
      </c>
      <c r="AA58" s="2999">
        <v>350</v>
      </c>
      <c r="AB58" s="2999">
        <v>2</v>
      </c>
      <c r="AC58" s="2999" t="s">
        <v>1060</v>
      </c>
    </row>
    <row r="59" spans="1:29">
      <c r="A59" s="1707">
        <f>IFERROR(INDEX('2. S Plan'!$E$5:$E$75, MATCH(B.BasicInfomation!B59, '2. S Plan'!$F$5:$F$75, 0)),"")</f>
        <v>0</v>
      </c>
      <c r="B59" s="10" t="s">
        <v>67</v>
      </c>
      <c r="C59" s="2999">
        <f t="shared" si="0"/>
        <v>0</v>
      </c>
      <c r="D59" s="10">
        <f>_xlfn.XLOOKUP(B59,'2. S Plan'!$F$5:$F$83,'2. S Plan'!$AC$5:$AC$83,0,0)</f>
        <v>0</v>
      </c>
      <c r="E59" s="10">
        <f>_xlfn.XLOOKUP(B59,'2. S Plan'!$F$5:$F$83,'2. S Plan'!$AB$5:$AB$83,0,0)</f>
        <v>0</v>
      </c>
      <c r="F59" s="3006">
        <v>0.95</v>
      </c>
      <c r="G59" s="3006">
        <v>0.85</v>
      </c>
      <c r="H59" s="3006">
        <v>0.8075</v>
      </c>
      <c r="I59" s="8">
        <v>6.4329999999999998E-2</v>
      </c>
      <c r="J59" s="7">
        <v>2E-3</v>
      </c>
      <c r="K59" s="3009">
        <f t="shared" ref="K59:K63" si="6">IFERROR(J59/I59,"")</f>
        <v>3.1089693766516401E-2</v>
      </c>
      <c r="L59" s="6">
        <v>7200</v>
      </c>
      <c r="M59" s="6">
        <v>125</v>
      </c>
      <c r="N59" s="6">
        <v>2</v>
      </c>
      <c r="O59" s="3005" t="s">
        <v>1054</v>
      </c>
      <c r="Q59" s="10" t="s">
        <v>404</v>
      </c>
      <c r="R59" s="10" t="s">
        <v>874</v>
      </c>
      <c r="S59" s="10" t="s">
        <v>22</v>
      </c>
      <c r="T59" s="3000">
        <v>0.95</v>
      </c>
      <c r="U59" s="3000">
        <v>0.85</v>
      </c>
      <c r="V59" s="3000">
        <v>0.8075</v>
      </c>
      <c r="W59" s="3003">
        <v>0.14834</v>
      </c>
      <c r="X59" s="3004">
        <v>2.9415E-2</v>
      </c>
      <c r="Y59" s="3001">
        <v>0.19049434489769984</v>
      </c>
      <c r="Z59" s="2999">
        <v>7000</v>
      </c>
      <c r="AA59" s="2999">
        <v>125</v>
      </c>
      <c r="AB59" s="2999">
        <v>2</v>
      </c>
      <c r="AC59" s="2999" t="s">
        <v>1060</v>
      </c>
    </row>
    <row r="60" spans="1:29">
      <c r="A60" s="1707">
        <f>IFERROR(INDEX('2. S Plan'!$E$5:$E$75, MATCH(B.BasicInfomation!B60, '2. S Plan'!$F$5:$F$75, 0)),"")</f>
        <v>0</v>
      </c>
      <c r="B60" s="10" t="s">
        <v>886</v>
      </c>
      <c r="C60" s="2999">
        <f t="shared" si="0"/>
        <v>0</v>
      </c>
      <c r="D60" s="10">
        <f>_xlfn.XLOOKUP(B60,'2. S Plan'!$F$5:$F$83,'2. S Plan'!$AC$5:$AC$83,0,0)</f>
        <v>0</v>
      </c>
      <c r="E60" s="10">
        <f>_xlfn.XLOOKUP(B60,'2. S Plan'!$F$5:$F$83,'2. S Plan'!$AB$5:$AB$83,0,0)</f>
        <v>0</v>
      </c>
      <c r="F60" s="3006">
        <v>0.95</v>
      </c>
      <c r="G60" s="3006">
        <v>0.85</v>
      </c>
      <c r="H60" s="3006">
        <v>0.8075</v>
      </c>
      <c r="I60" s="8">
        <v>6.4329999999999998E-2</v>
      </c>
      <c r="J60" s="7">
        <v>2E-3</v>
      </c>
      <c r="K60" s="3009">
        <f t="shared" si="6"/>
        <v>3.1089693766516401E-2</v>
      </c>
      <c r="L60" s="6">
        <v>7200</v>
      </c>
      <c r="M60" s="6">
        <v>125</v>
      </c>
      <c r="N60" s="6">
        <v>2</v>
      </c>
      <c r="O60" s="3005" t="s">
        <v>1054</v>
      </c>
      <c r="Q60" s="10" t="s">
        <v>897</v>
      </c>
      <c r="R60" s="10" t="s">
        <v>874</v>
      </c>
      <c r="S60" s="10" t="s">
        <v>22</v>
      </c>
      <c r="T60" s="3000">
        <v>0.95</v>
      </c>
      <c r="U60" s="3000">
        <v>0.85</v>
      </c>
      <c r="V60" s="3000">
        <v>0.8075</v>
      </c>
      <c r="W60" s="3003">
        <v>0.14130999999999999</v>
      </c>
      <c r="X60" s="3004">
        <v>2.9250000000000002E-2</v>
      </c>
      <c r="Y60" s="3001">
        <v>0.20699172033118679</v>
      </c>
      <c r="Z60" s="2999">
        <v>6900</v>
      </c>
      <c r="AA60" s="2999">
        <v>125</v>
      </c>
      <c r="AB60" s="2999">
        <v>2</v>
      </c>
      <c r="AC60" s="2999" t="s">
        <v>1060</v>
      </c>
    </row>
    <row r="61" spans="1:29">
      <c r="A61" s="1707">
        <f>IFERROR(INDEX('2. S Plan'!$E$5:$E$75, MATCH(B.BasicInfomation!B61, '2. S Plan'!$F$5:$F$75, 0)),"")</f>
        <v>0</v>
      </c>
      <c r="B61" s="10" t="s">
        <v>887</v>
      </c>
      <c r="C61" s="2999">
        <f t="shared" si="0"/>
        <v>0</v>
      </c>
      <c r="D61" s="10">
        <f>_xlfn.XLOOKUP(B61,'2. S Plan'!$F$5:$F$83,'2. S Plan'!$AC$5:$AC$83,0,0)</f>
        <v>0</v>
      </c>
      <c r="E61" s="10">
        <f>_xlfn.XLOOKUP(B61,'2. S Plan'!$F$5:$F$83,'2. S Plan'!$AB$5:$AB$83,0,0)</f>
        <v>0</v>
      </c>
      <c r="F61" s="3006">
        <v>0.95</v>
      </c>
      <c r="G61" s="3006">
        <v>0.85</v>
      </c>
      <c r="H61" s="3006">
        <v>0.8075</v>
      </c>
      <c r="I61" s="8">
        <v>6.4329999999999998E-2</v>
      </c>
      <c r="J61" s="7">
        <v>2E-3</v>
      </c>
      <c r="K61" s="3009">
        <f t="shared" si="6"/>
        <v>3.1089693766516401E-2</v>
      </c>
      <c r="L61" s="6">
        <v>7200</v>
      </c>
      <c r="M61" s="6">
        <v>125</v>
      </c>
      <c r="N61" s="6">
        <v>2</v>
      </c>
      <c r="O61" s="3005" t="s">
        <v>1054</v>
      </c>
      <c r="Q61" s="10" t="s">
        <v>898</v>
      </c>
      <c r="R61" s="10" t="s">
        <v>874</v>
      </c>
      <c r="S61" s="10" t="s">
        <v>22</v>
      </c>
      <c r="T61" s="3000">
        <v>0.95</v>
      </c>
      <c r="U61" s="3000">
        <v>0.85</v>
      </c>
      <c r="V61" s="3000">
        <v>0.8075</v>
      </c>
      <c r="W61" s="3003">
        <v>0.15474000000000002</v>
      </c>
      <c r="X61" s="3004">
        <v>2.9190000000000001E-2</v>
      </c>
      <c r="Y61" s="3001">
        <v>0.18540409382193743</v>
      </c>
      <c r="Z61" s="2999">
        <v>6600</v>
      </c>
      <c r="AA61" s="2999">
        <v>125</v>
      </c>
      <c r="AB61" s="2999">
        <v>2</v>
      </c>
      <c r="AC61" s="2999" t="s">
        <v>1060</v>
      </c>
    </row>
    <row r="62" spans="1:29">
      <c r="A62" s="1707">
        <f>IFERROR(INDEX('2. S Plan'!$E$5:$E$75, MATCH(B.BasicInfomation!B62, '2. S Plan'!$F$5:$F$75, 0)),"")</f>
        <v>22</v>
      </c>
      <c r="B62" s="10" t="s">
        <v>76</v>
      </c>
      <c r="C62" s="2999">
        <f t="shared" si="0"/>
        <v>22</v>
      </c>
      <c r="D62" s="10">
        <f>_xlfn.XLOOKUP(B62,'2. S Plan'!$F$5:$F$83,'2. S Plan'!$AC$5:$AC$83,0,0)</f>
        <v>0</v>
      </c>
      <c r="E62" s="10">
        <f>_xlfn.XLOOKUP(B62,'2. S Plan'!$F$5:$F$83,'2. S Plan'!$AB$5:$AB$83,0,0)</f>
        <v>0</v>
      </c>
      <c r="F62" s="3006">
        <v>0.95</v>
      </c>
      <c r="G62" s="3006">
        <v>0.85</v>
      </c>
      <c r="H62" s="3006">
        <v>0.8075</v>
      </c>
      <c r="I62" s="8">
        <v>6.4329999999999998E-2</v>
      </c>
      <c r="J62" s="7">
        <v>2E-3</v>
      </c>
      <c r="K62" s="3009">
        <f t="shared" si="6"/>
        <v>3.1089693766516401E-2</v>
      </c>
      <c r="L62" s="6">
        <v>7200</v>
      </c>
      <c r="M62" s="6">
        <v>125</v>
      </c>
      <c r="N62" s="6">
        <v>2</v>
      </c>
      <c r="O62" s="3005" t="s">
        <v>1054</v>
      </c>
      <c r="Q62" s="10" t="s">
        <v>899</v>
      </c>
      <c r="R62" s="10" t="s">
        <v>885</v>
      </c>
      <c r="S62" s="10" t="s">
        <v>22</v>
      </c>
      <c r="T62" s="3000">
        <v>0.95</v>
      </c>
      <c r="U62" s="3000">
        <v>0.85</v>
      </c>
      <c r="V62" s="3000">
        <v>0.8075</v>
      </c>
      <c r="W62" s="3003">
        <v>4.6962499999999997E-2</v>
      </c>
      <c r="X62" s="3004">
        <v>3.1624999999999999E-3</v>
      </c>
      <c r="Y62" s="3001">
        <v>6.2547819433817903E-2</v>
      </c>
      <c r="Z62" s="2999">
        <v>14000</v>
      </c>
      <c r="AA62" s="2999">
        <v>125</v>
      </c>
      <c r="AB62" s="2999">
        <v>4</v>
      </c>
      <c r="AC62" s="2999" t="s">
        <v>1060</v>
      </c>
    </row>
    <row r="63" spans="1:29">
      <c r="A63" s="1707">
        <f>IFERROR(INDEX('2. S Plan'!$E$5:$E$75, MATCH(B.BasicInfomation!B63, '2. S Plan'!$F$5:$F$75, 0)),"")</f>
        <v>0</v>
      </c>
      <c r="B63" s="10" t="s">
        <v>969</v>
      </c>
      <c r="C63" s="2999">
        <f t="shared" si="0"/>
        <v>0</v>
      </c>
      <c r="D63" s="10">
        <f>_xlfn.XLOOKUP(B63,'2. S Plan'!$F$5:$F$83,'2. S Plan'!$AC$5:$AC$83,0,0)</f>
        <v>0</v>
      </c>
      <c r="E63" s="10">
        <f>_xlfn.XLOOKUP(B63,'2. S Plan'!$F$5:$F$83,'2. S Plan'!$AB$5:$AB$83,0,0)</f>
        <v>0</v>
      </c>
      <c r="F63" s="3006">
        <v>0.95</v>
      </c>
      <c r="G63" s="3006">
        <v>0.85</v>
      </c>
      <c r="H63" s="3006">
        <v>0.8075</v>
      </c>
      <c r="I63" s="8">
        <v>6.4329999999999998E-2</v>
      </c>
      <c r="J63" s="7">
        <v>2E-3</v>
      </c>
      <c r="K63" s="3009">
        <f t="shared" si="6"/>
        <v>3.1089693766516401E-2</v>
      </c>
      <c r="L63" s="6">
        <v>7200</v>
      </c>
      <c r="M63" s="6">
        <v>125</v>
      </c>
      <c r="N63" s="6">
        <v>2</v>
      </c>
      <c r="O63" s="3005" t="s">
        <v>1054</v>
      </c>
      <c r="Q63" s="10" t="s">
        <v>900</v>
      </c>
      <c r="R63" s="10" t="s">
        <v>892</v>
      </c>
      <c r="S63" s="10" t="s">
        <v>22</v>
      </c>
      <c r="T63" s="3000">
        <v>0.95</v>
      </c>
      <c r="U63" s="3000">
        <v>0.85</v>
      </c>
      <c r="V63" s="3000">
        <v>0.8075</v>
      </c>
      <c r="W63" s="3003">
        <v>0.6522</v>
      </c>
      <c r="X63" s="3004">
        <v>0.26254500000000003</v>
      </c>
      <c r="Y63" s="3001">
        <v>0.40485968514715948</v>
      </c>
      <c r="Z63" s="2999">
        <v>3400</v>
      </c>
      <c r="AA63" s="2999">
        <v>350</v>
      </c>
      <c r="AB63" s="2999">
        <v>2</v>
      </c>
      <c r="AC63" s="2999" t="s">
        <v>1054</v>
      </c>
    </row>
    <row r="64" spans="1:29">
      <c r="A64" s="1707">
        <f>IFERROR(INDEX('2. S Plan'!$E$5:$E$75, MATCH(B.BasicInfomation!B64, '2. S Plan'!$F$5:$F$75, 0)),"")</f>
        <v>23</v>
      </c>
      <c r="B64" s="10" t="s">
        <v>401</v>
      </c>
      <c r="C64" s="2999">
        <f t="shared" si="0"/>
        <v>23</v>
      </c>
      <c r="D64" s="10">
        <f>_xlfn.XLOOKUP(B64,'2. S Plan'!$F$5:$F$83,'2. S Plan'!$AC$5:$AC$83,0,0)</f>
        <v>0</v>
      </c>
      <c r="E64" s="10">
        <f>_xlfn.XLOOKUP(B64,'2. S Plan'!$F$5:$F$83,'2. S Plan'!$AB$5:$AB$83,0,0)</f>
        <v>0</v>
      </c>
      <c r="F64" s="3006">
        <v>0.95</v>
      </c>
      <c r="G64" s="3006">
        <v>0.7</v>
      </c>
      <c r="H64" s="3006">
        <v>0.66499999999999992</v>
      </c>
      <c r="I64" s="8">
        <v>1.0724400000000001</v>
      </c>
      <c r="J64" s="7">
        <v>0.42599999999999999</v>
      </c>
      <c r="K64" s="3009">
        <f t="shared" ref="K64:K66" si="7">IFERROR(J64/I64,"")</f>
        <v>0.39722501958151502</v>
      </c>
      <c r="L64" s="6">
        <v>1800</v>
      </c>
      <c r="M64" s="6">
        <v>350</v>
      </c>
      <c r="N64" s="6">
        <v>1</v>
      </c>
      <c r="O64" s="3005" t="s">
        <v>1054</v>
      </c>
      <c r="Q64" s="10" t="s">
        <v>901</v>
      </c>
      <c r="R64" s="10" t="s">
        <v>892</v>
      </c>
      <c r="S64" s="10" t="s">
        <v>22</v>
      </c>
      <c r="T64" s="3000">
        <v>0.95</v>
      </c>
      <c r="U64" s="3000">
        <v>0.8</v>
      </c>
      <c r="V64" s="3000">
        <v>0.76</v>
      </c>
      <c r="W64" s="3003">
        <v>0.38314999999999999</v>
      </c>
      <c r="X64" s="3004">
        <v>0.33673999999999998</v>
      </c>
      <c r="Y64" s="3001">
        <v>0.87887250424115881</v>
      </c>
      <c r="Z64" s="2999">
        <v>1700</v>
      </c>
      <c r="AA64" s="2999">
        <v>350</v>
      </c>
      <c r="AB64" s="2999">
        <v>1</v>
      </c>
      <c r="AC64" s="2999" t="s">
        <v>1054</v>
      </c>
    </row>
    <row r="65" spans="1:30">
      <c r="A65" s="1707">
        <f>IFERROR(INDEX('2. S Plan'!$E$5:$E$75, MATCH(B.BasicInfomation!B65, '2. S Plan'!$F$5:$F$75, 0)),"")</f>
        <v>24</v>
      </c>
      <c r="B65" s="10" t="s">
        <v>265</v>
      </c>
      <c r="C65" s="2999">
        <f t="shared" si="0"/>
        <v>24</v>
      </c>
      <c r="D65" s="10">
        <f>_xlfn.XLOOKUP(B65,'2. S Plan'!$F$5:$F$83,'2. S Plan'!$AC$5:$AC$83,0,0)</f>
        <v>0</v>
      </c>
      <c r="E65" s="10">
        <f>_xlfn.XLOOKUP(B65,'2. S Plan'!$F$5:$F$83,'2. S Plan'!$AB$5:$AB$83,0,0)</f>
        <v>0</v>
      </c>
      <c r="F65" s="3006">
        <v>0.95</v>
      </c>
      <c r="G65" s="3006">
        <v>0.7</v>
      </c>
      <c r="H65" s="3006">
        <v>0.66499999999999992</v>
      </c>
      <c r="I65" s="8">
        <v>1.0724400000000001</v>
      </c>
      <c r="J65" s="7">
        <v>0.42599999999999999</v>
      </c>
      <c r="K65" s="3009">
        <f t="shared" si="7"/>
        <v>0.39722501958151502</v>
      </c>
      <c r="L65" s="6">
        <v>1800</v>
      </c>
      <c r="M65" s="6">
        <v>350</v>
      </c>
      <c r="N65" s="6">
        <v>1</v>
      </c>
      <c r="O65" s="3005" t="s">
        <v>1054</v>
      </c>
      <c r="Q65" s="10" t="s">
        <v>902</v>
      </c>
      <c r="R65" s="10" t="s">
        <v>874</v>
      </c>
      <c r="S65" s="10" t="s">
        <v>903</v>
      </c>
      <c r="T65" s="3000">
        <v>0.95</v>
      </c>
      <c r="U65" s="3000">
        <v>0.9</v>
      </c>
      <c r="V65" s="3000">
        <v>0.85499999999999998</v>
      </c>
      <c r="W65" s="3003">
        <v>0.22936000000000001</v>
      </c>
      <c r="X65" s="3004">
        <v>9.2909999999999993E-2</v>
      </c>
      <c r="Y65" s="3001">
        <v>0.40508371119637249</v>
      </c>
      <c r="Z65" s="2999">
        <v>5100</v>
      </c>
      <c r="AA65" s="2999">
        <v>350</v>
      </c>
      <c r="AB65" s="2999">
        <v>2</v>
      </c>
      <c r="AC65" s="2999" t="s">
        <v>1054</v>
      </c>
    </row>
    <row r="66" spans="1:30">
      <c r="A66" s="1707">
        <f>IFERROR(INDEX('2. S Plan'!$E$5:$E$75, MATCH(B.BasicInfomation!B66, '2. S Plan'!$F$5:$F$75, 0)),"")</f>
        <v>25</v>
      </c>
      <c r="B66" s="10" t="s">
        <v>888</v>
      </c>
      <c r="C66" s="2999">
        <f t="shared" si="0"/>
        <v>25</v>
      </c>
      <c r="D66" s="10">
        <f>_xlfn.XLOOKUP(B66,'2. S Plan'!$F$5:$F$83,'2. S Plan'!$AC$5:$AC$83,0,0)</f>
        <v>0</v>
      </c>
      <c r="E66" s="10">
        <f>_xlfn.XLOOKUP(B66,'2. S Plan'!$F$5:$F$83,'2. S Plan'!$AB$5:$AB$83,0,0)</f>
        <v>0</v>
      </c>
      <c r="F66" s="3006">
        <v>0.95</v>
      </c>
      <c r="G66" s="3006">
        <v>0.7</v>
      </c>
      <c r="H66" s="3006">
        <v>0.66499999999999992</v>
      </c>
      <c r="I66" s="8">
        <v>1.0724400000000001</v>
      </c>
      <c r="J66" s="7">
        <v>0.42599999999999999</v>
      </c>
      <c r="K66" s="3009">
        <f t="shared" si="7"/>
        <v>0.39722501958151502</v>
      </c>
      <c r="L66" s="6">
        <v>1800</v>
      </c>
      <c r="M66" s="6">
        <v>350</v>
      </c>
      <c r="N66" s="6">
        <v>1</v>
      </c>
      <c r="O66" s="3005" t="s">
        <v>1054</v>
      </c>
      <c r="Q66" s="3005" t="s">
        <v>1062</v>
      </c>
      <c r="R66" s="3005" t="s">
        <v>874</v>
      </c>
      <c r="S66" s="3005" t="s">
        <v>20</v>
      </c>
      <c r="T66" s="3006">
        <v>0.95</v>
      </c>
      <c r="U66" s="3006">
        <v>0.85</v>
      </c>
      <c r="V66" s="3006">
        <v>0.8075</v>
      </c>
      <c r="W66" s="3007">
        <v>0.346225</v>
      </c>
      <c r="X66" s="3008">
        <v>0.14038</v>
      </c>
      <c r="Y66" s="3009">
        <v>0.4054588778973211</v>
      </c>
      <c r="Z66" s="3010">
        <v>6400</v>
      </c>
      <c r="AA66" s="3010">
        <v>350</v>
      </c>
      <c r="AB66" s="3010">
        <v>4</v>
      </c>
      <c r="AC66" s="3010" t="s">
        <v>1054</v>
      </c>
      <c r="AD66" s="1520" t="s">
        <v>1065</v>
      </c>
    </row>
    <row r="67" spans="1:30">
      <c r="A67" s="1707">
        <f>IFERROR(INDEX('2. S Plan'!$E$5:$E$75, MATCH(B.BasicInfomation!B67, '2. S Plan'!$F$5:$F$75, 0)),"")</f>
        <v>0</v>
      </c>
      <c r="B67" s="10" t="s">
        <v>1256</v>
      </c>
      <c r="C67" s="2999">
        <f t="shared" si="0"/>
        <v>0</v>
      </c>
      <c r="D67" s="10">
        <f>_xlfn.XLOOKUP(B67,'2. S Plan'!$F$5:$F$83,'2. S Plan'!$AC$5:$AC$83,0,0)</f>
        <v>0</v>
      </c>
      <c r="E67" s="10">
        <f>_xlfn.XLOOKUP(B67,'2. S Plan'!$F$5:$F$83,'2. S Plan'!$AB$5:$AB$83,0,0)</f>
        <v>0</v>
      </c>
      <c r="F67" s="3006">
        <v>0.95</v>
      </c>
      <c r="G67" s="3006">
        <v>0.7</v>
      </c>
      <c r="H67" s="3006">
        <v>0.66499999999999992</v>
      </c>
      <c r="I67" s="8">
        <v>1.0724400000000001</v>
      </c>
      <c r="J67" s="7">
        <v>0.42599999999999999</v>
      </c>
      <c r="K67" s="3009">
        <f t="shared" ref="K67:K118" si="8">IFERROR(J67/I67,"")</f>
        <v>0.39722501958151502</v>
      </c>
      <c r="L67" s="6">
        <v>1800</v>
      </c>
      <c r="M67" s="6">
        <v>350</v>
      </c>
      <c r="N67" s="6">
        <v>1</v>
      </c>
      <c r="O67" s="3005" t="s">
        <v>1054</v>
      </c>
    </row>
    <row r="68" spans="1:30" hidden="1">
      <c r="A68" s="1707">
        <f>IFERROR(INDEX('2. S Plan'!$E$5:$E$75, MATCH(B.BasicInfomation!B68, '2. S Plan'!$F$5:$F$75, 0)),"")</f>
        <v>0</v>
      </c>
      <c r="B68" s="10" t="s">
        <v>1257</v>
      </c>
      <c r="C68" s="2999">
        <f t="shared" si="0"/>
        <v>0</v>
      </c>
      <c r="D68" s="10">
        <f>_xlfn.XLOOKUP(B68,'2. S Plan'!$F$5:$F$83,'2. S Plan'!$AC$5:$AC$83,0,0)</f>
        <v>0</v>
      </c>
      <c r="E68" s="10">
        <f>_xlfn.XLOOKUP(B68,'2. S Plan'!$F$5:$F$83,'2. S Plan'!$AB$5:$AB$83,0,0)</f>
        <v>0</v>
      </c>
      <c r="F68" s="3006">
        <v>0.95</v>
      </c>
      <c r="G68" s="3006">
        <v>0.7</v>
      </c>
      <c r="H68" s="3006">
        <v>0.66499999999999992</v>
      </c>
      <c r="I68" s="8">
        <v>1.0724400000000001</v>
      </c>
      <c r="J68" s="7">
        <v>0.42599999999999999</v>
      </c>
      <c r="K68" s="3009">
        <f t="shared" si="8"/>
        <v>0.39722501958151502</v>
      </c>
      <c r="L68" s="6">
        <v>1800</v>
      </c>
      <c r="M68" s="6">
        <v>350</v>
      </c>
      <c r="N68" s="6">
        <v>1</v>
      </c>
      <c r="O68" s="3005" t="s">
        <v>1054</v>
      </c>
    </row>
    <row r="69" spans="1:30" hidden="1">
      <c r="A69" s="1707">
        <f>IFERROR(INDEX('2. S Plan'!$E$5:$E$75, MATCH(B.BasicInfomation!B69, '2. S Plan'!$F$5:$F$75, 0)),"")</f>
        <v>0</v>
      </c>
      <c r="B69" s="10" t="s">
        <v>1258</v>
      </c>
      <c r="C69" s="2999">
        <f t="shared" si="0"/>
        <v>0</v>
      </c>
      <c r="D69" s="10" t="str">
        <f>_xlfn.XLOOKUP(B69,'2. S Plan'!$F$5:$F$83,'2. S Plan'!$AC$5:$AC$83,0,0)</f>
        <v>Motor HSG</v>
      </c>
      <c r="E69" s="10" t="str">
        <f>_xlfn.XLOOKUP(B69,'2. S Plan'!$F$5:$F$83,'2. S Plan'!$AB$5:$AB$83,0,0)</f>
        <v>Mando</v>
      </c>
      <c r="F69" s="3006">
        <v>0.95</v>
      </c>
      <c r="G69" s="3006">
        <v>0.7</v>
      </c>
      <c r="H69" s="3006">
        <v>0.66499999999999992</v>
      </c>
      <c r="I69" s="8">
        <v>1.0724400000000001</v>
      </c>
      <c r="J69" s="7">
        <v>0.48799999999999999</v>
      </c>
      <c r="K69" s="3009">
        <f t="shared" si="8"/>
        <v>0.45503711163328481</v>
      </c>
      <c r="L69" s="6">
        <v>1800</v>
      </c>
      <c r="M69" s="6">
        <v>350</v>
      </c>
      <c r="N69" s="6">
        <v>1</v>
      </c>
      <c r="O69" s="3005" t="s">
        <v>1054</v>
      </c>
    </row>
    <row r="70" spans="1:30" hidden="1">
      <c r="A70" s="1707" t="str">
        <f>IFERROR(INDEX('2. S Plan'!$E$5:$E$75, MATCH(B.BasicInfomation!B70, '2. S Plan'!$F$5:$F$75, 0)),"")</f>
        <v/>
      </c>
      <c r="B70" s="10" t="s">
        <v>1259</v>
      </c>
      <c r="C70" s="2999" t="str">
        <f t="shared" si="0"/>
        <v/>
      </c>
      <c r="D70" s="10">
        <f>_xlfn.XLOOKUP(B70,'2. S Plan'!$F$5:$F$83,'2. S Plan'!$AC$5:$AC$83,0,0)</f>
        <v>0</v>
      </c>
      <c r="E70" s="10">
        <f>_xlfn.XLOOKUP(B70,'2. S Plan'!$F$5:$F$83,'2. S Plan'!$AB$5:$AB$83,0,0)</f>
        <v>0</v>
      </c>
      <c r="F70" s="3006">
        <v>0.95</v>
      </c>
      <c r="G70" s="3006">
        <v>0.7</v>
      </c>
      <c r="H70" s="3006">
        <v>0.66499999999999992</v>
      </c>
      <c r="I70" s="8">
        <v>1.0724400000000001</v>
      </c>
      <c r="J70" s="7">
        <v>0.36</v>
      </c>
      <c r="K70" s="3009">
        <f t="shared" si="8"/>
        <v>0.33568311513930849</v>
      </c>
      <c r="L70" s="6">
        <v>1800</v>
      </c>
      <c r="M70" s="6">
        <v>350</v>
      </c>
      <c r="N70" s="6">
        <v>1</v>
      </c>
      <c r="O70" s="3005" t="s">
        <v>1054</v>
      </c>
    </row>
    <row r="71" spans="1:30">
      <c r="A71" s="1707" t="str">
        <f>IFERROR(INDEX('2. S Plan'!$E$5:$E$75, MATCH(B.BasicInfomation!B71, '2. S Plan'!$F$5:$F$75, 0)),"")</f>
        <v/>
      </c>
      <c r="B71" s="10" t="s">
        <v>1260</v>
      </c>
      <c r="C71" s="2999" t="str">
        <f t="shared" si="0"/>
        <v/>
      </c>
      <c r="D71" s="10">
        <f>_xlfn.XLOOKUP(B71,'2. S Plan'!$F$5:$F$83,'2. S Plan'!$AC$5:$AC$83,0,0)</f>
        <v>0</v>
      </c>
      <c r="E71" s="10">
        <f>_xlfn.XLOOKUP(B71,'2. S Plan'!$F$5:$F$83,'2. S Plan'!$AB$5:$AB$83,0,0)</f>
        <v>0</v>
      </c>
      <c r="F71" s="3006">
        <v>0.95</v>
      </c>
      <c r="G71" s="3006">
        <v>0.7</v>
      </c>
      <c r="H71" s="3006">
        <v>0.66499999999999992</v>
      </c>
      <c r="I71" s="8">
        <v>1.0724400000000001</v>
      </c>
      <c r="J71" s="7">
        <v>0.374</v>
      </c>
      <c r="K71" s="3009">
        <f t="shared" si="8"/>
        <v>0.34873745850583715</v>
      </c>
      <c r="L71" s="6">
        <v>1800</v>
      </c>
      <c r="M71" s="6">
        <v>350</v>
      </c>
      <c r="N71" s="6">
        <v>1</v>
      </c>
      <c r="O71" s="3005" t="s">
        <v>1054</v>
      </c>
    </row>
    <row r="72" spans="1:30">
      <c r="A72" s="1707" t="str">
        <f>IFERROR(INDEX('2. S Plan'!$E$5:$E$75, MATCH(B.BasicInfomation!B72, '2. S Plan'!$F$5:$F$75, 0)),"")</f>
        <v/>
      </c>
      <c r="B72" s="10" t="s">
        <v>1261</v>
      </c>
      <c r="C72" s="2999" t="str">
        <f t="shared" si="0"/>
        <v/>
      </c>
      <c r="D72" s="10">
        <f>_xlfn.XLOOKUP(B72,'2. S Plan'!$F$5:$F$83,'2. S Plan'!$AC$5:$AC$83,0,0)</f>
        <v>0</v>
      </c>
      <c r="E72" s="10">
        <f>_xlfn.XLOOKUP(B72,'2. S Plan'!$F$5:$F$83,'2. S Plan'!$AB$5:$AB$83,0,0)</f>
        <v>0</v>
      </c>
      <c r="F72" s="3006">
        <v>0.95</v>
      </c>
      <c r="G72" s="3006">
        <v>0.7</v>
      </c>
      <c r="H72" s="3006">
        <v>0.66499999999999992</v>
      </c>
      <c r="I72" s="8">
        <v>1.0724400000000001</v>
      </c>
      <c r="J72" s="7">
        <v>0.38700000000000001</v>
      </c>
      <c r="K72" s="3009">
        <f t="shared" si="8"/>
        <v>0.36085934877475662</v>
      </c>
      <c r="L72" s="6">
        <v>1800</v>
      </c>
      <c r="M72" s="6">
        <v>350</v>
      </c>
      <c r="N72" s="6">
        <v>1</v>
      </c>
      <c r="O72" s="3005" t="s">
        <v>1054</v>
      </c>
    </row>
    <row r="73" spans="1:30">
      <c r="A73" s="1707" t="str">
        <f>IFERROR(INDEX('2. S Plan'!$E$5:$E$75, MATCH(B.BasicInfomation!B73, '2. S Plan'!$F$5:$F$75, 0)),"")</f>
        <v/>
      </c>
      <c r="B73" s="10" t="s">
        <v>1262</v>
      </c>
      <c r="C73" s="2999" t="str">
        <f t="shared" si="0"/>
        <v/>
      </c>
      <c r="D73" s="10">
        <f>_xlfn.XLOOKUP(B73,'2. S Plan'!$F$5:$F$83,'2. S Plan'!$AC$5:$AC$83,0,0)</f>
        <v>0</v>
      </c>
      <c r="E73" s="10">
        <f>_xlfn.XLOOKUP(B73,'2. S Plan'!$F$5:$F$83,'2. S Plan'!$AB$5:$AB$83,0,0)</f>
        <v>0</v>
      </c>
      <c r="F73" s="3006">
        <v>0.95</v>
      </c>
      <c r="G73" s="3006">
        <v>0.7</v>
      </c>
      <c r="H73" s="3006">
        <v>0.66499999999999992</v>
      </c>
      <c r="I73" s="8">
        <v>1.0724400000000001</v>
      </c>
      <c r="J73" s="7">
        <v>0.34899999999999998</v>
      </c>
      <c r="K73" s="3009">
        <f t="shared" si="8"/>
        <v>0.32542613106560736</v>
      </c>
      <c r="L73" s="6">
        <v>1800</v>
      </c>
      <c r="M73" s="6">
        <v>350</v>
      </c>
      <c r="N73" s="6">
        <v>1</v>
      </c>
      <c r="O73" s="3005" t="s">
        <v>1054</v>
      </c>
    </row>
    <row r="74" spans="1:30">
      <c r="A74" s="1707" t="str">
        <f>IFERROR(INDEX('2. S Plan'!$E$5:$E$75, MATCH(B.BasicInfomation!B74, '2. S Plan'!$F$5:$F$75, 0)),"")</f>
        <v/>
      </c>
      <c r="B74" s="10" t="s">
        <v>1263</v>
      </c>
      <c r="C74" s="2999" t="str">
        <f t="shared" si="0"/>
        <v/>
      </c>
      <c r="D74" s="10">
        <f>_xlfn.XLOOKUP(B74,'2. S Plan'!$F$5:$F$83,'2. S Plan'!$AC$5:$AC$83,0,0)</f>
        <v>0</v>
      </c>
      <c r="E74" s="10">
        <f>_xlfn.XLOOKUP(B74,'2. S Plan'!$F$5:$F$83,'2. S Plan'!$AB$5:$AB$83,0,0)</f>
        <v>0</v>
      </c>
      <c r="F74" s="3006">
        <v>0.95</v>
      </c>
      <c r="G74" s="3006">
        <v>0.7</v>
      </c>
      <c r="H74" s="3006">
        <v>0.66499999999999992</v>
      </c>
      <c r="I74" s="8">
        <v>1.0724400000000001</v>
      </c>
      <c r="J74" s="7">
        <v>0.38700000000000001</v>
      </c>
      <c r="K74" s="3009">
        <f t="shared" si="8"/>
        <v>0.36085934877475662</v>
      </c>
      <c r="L74" s="6">
        <v>1800</v>
      </c>
      <c r="M74" s="6">
        <v>350</v>
      </c>
      <c r="N74" s="6">
        <v>1</v>
      </c>
      <c r="O74" s="3005" t="s">
        <v>1054</v>
      </c>
    </row>
    <row r="75" spans="1:30">
      <c r="A75" s="1707" t="str">
        <f>IFERROR(INDEX('2. S Plan'!$E$5:$E$75, MATCH(B.BasicInfomation!B75, '2. S Plan'!$F$5:$F$75, 0)),"")</f>
        <v/>
      </c>
      <c r="B75" s="10" t="s">
        <v>1264</v>
      </c>
      <c r="C75" s="2999" t="str">
        <f t="shared" si="0"/>
        <v/>
      </c>
      <c r="D75" s="10">
        <f>_xlfn.XLOOKUP(B75,'2. S Plan'!$F$5:$F$83,'2. S Plan'!$AC$5:$AC$83,0,0)</f>
        <v>0</v>
      </c>
      <c r="E75" s="10">
        <f>_xlfn.XLOOKUP(B75,'2. S Plan'!$F$5:$F$83,'2. S Plan'!$AB$5:$AB$83,0,0)</f>
        <v>0</v>
      </c>
      <c r="F75" s="3006">
        <v>0.95</v>
      </c>
      <c r="G75" s="3006">
        <v>0.7</v>
      </c>
      <c r="H75" s="3006">
        <v>0.66499999999999992</v>
      </c>
      <c r="I75" s="8">
        <v>1.0724400000000001</v>
      </c>
      <c r="J75" s="7">
        <v>0.53700000000000003</v>
      </c>
      <c r="K75" s="3009">
        <f t="shared" si="8"/>
        <v>0.50072731341613519</v>
      </c>
      <c r="L75" s="6">
        <v>1800</v>
      </c>
      <c r="M75" s="6">
        <v>350</v>
      </c>
      <c r="N75" s="6">
        <v>1</v>
      </c>
      <c r="O75" s="3005" t="s">
        <v>1054</v>
      </c>
    </row>
    <row r="76" spans="1:30">
      <c r="A76" s="1707" t="str">
        <f>IFERROR(INDEX('2. S Plan'!$E$5:$E$75, MATCH(B.BasicInfomation!B76, '2. S Plan'!$F$5:$F$75, 0)),"")</f>
        <v/>
      </c>
      <c r="B76" s="10" t="s">
        <v>1265</v>
      </c>
      <c r="C76" s="2999" t="str">
        <f t="shared" si="0"/>
        <v/>
      </c>
      <c r="D76" s="10">
        <f>_xlfn.XLOOKUP(B76,'2. S Plan'!$F$5:$F$83,'2. S Plan'!$AC$5:$AC$83,0,0)</f>
        <v>0</v>
      </c>
      <c r="E76" s="10">
        <f>_xlfn.XLOOKUP(B76,'2. S Plan'!$F$5:$F$83,'2. S Plan'!$AB$5:$AB$83,0,0)</f>
        <v>0</v>
      </c>
      <c r="F76" s="3006">
        <v>0.95</v>
      </c>
      <c r="G76" s="3006">
        <v>0.7</v>
      </c>
      <c r="H76" s="3006">
        <v>0.66499999999999992</v>
      </c>
      <c r="I76" s="8">
        <v>1.0724400000000001</v>
      </c>
      <c r="J76" s="7">
        <v>0.41810000000000003</v>
      </c>
      <c r="K76" s="3009">
        <f t="shared" si="8"/>
        <v>0.38985864011040244</v>
      </c>
      <c r="L76" s="6">
        <v>1800</v>
      </c>
      <c r="M76" s="6">
        <v>350</v>
      </c>
      <c r="N76" s="6">
        <v>1</v>
      </c>
      <c r="O76" s="3005" t="s">
        <v>1054</v>
      </c>
    </row>
    <row r="77" spans="1:30">
      <c r="A77" s="1707" t="str">
        <f>IFERROR(INDEX('2. S Plan'!$E$5:$E$75, MATCH(B.BasicInfomation!B77, '2. S Plan'!$F$5:$F$75, 0)),"")</f>
        <v/>
      </c>
      <c r="B77" s="10" t="s">
        <v>1266</v>
      </c>
      <c r="C77" s="2999" t="str">
        <f t="shared" si="0"/>
        <v/>
      </c>
      <c r="D77" s="10">
        <f>_xlfn.XLOOKUP(B77,'2. S Plan'!$F$5:$F$83,'2. S Plan'!$AC$5:$AC$83,0,0)</f>
        <v>0</v>
      </c>
      <c r="E77" s="10">
        <f>_xlfn.XLOOKUP(B77,'2. S Plan'!$F$5:$F$83,'2. S Plan'!$AB$5:$AB$83,0,0)</f>
        <v>0</v>
      </c>
      <c r="F77" s="3006">
        <v>0.95</v>
      </c>
      <c r="G77" s="3006">
        <v>0.7</v>
      </c>
      <c r="H77" s="3006">
        <v>0.66499999999999992</v>
      </c>
      <c r="I77" s="8">
        <v>1.0724400000000001</v>
      </c>
      <c r="J77" s="7">
        <v>0.41710000000000003</v>
      </c>
      <c r="K77" s="3009">
        <f t="shared" si="8"/>
        <v>0.38892618701279325</v>
      </c>
      <c r="L77" s="6">
        <v>1800</v>
      </c>
      <c r="M77" s="6">
        <v>350</v>
      </c>
      <c r="N77" s="6">
        <v>1</v>
      </c>
      <c r="O77" s="3005" t="s">
        <v>1054</v>
      </c>
    </row>
    <row r="78" spans="1:30">
      <c r="A78" s="1707" t="str">
        <f>IFERROR(INDEX('2. S Plan'!$E$5:$E$75, MATCH(B.BasicInfomation!B78, '2. S Plan'!$F$5:$F$75, 0)),"")</f>
        <v/>
      </c>
      <c r="B78" s="10" t="s">
        <v>1267</v>
      </c>
      <c r="C78" s="2999" t="str">
        <f t="shared" si="0"/>
        <v/>
      </c>
      <c r="D78" s="10">
        <f>_xlfn.XLOOKUP(B78,'2. S Plan'!$F$5:$F$83,'2. S Plan'!$AC$5:$AC$83,0,0)</f>
        <v>0</v>
      </c>
      <c r="E78" s="10">
        <f>_xlfn.XLOOKUP(B78,'2. S Plan'!$F$5:$F$83,'2. S Plan'!$AB$5:$AB$83,0,0)</f>
        <v>0</v>
      </c>
      <c r="F78" s="3006">
        <v>0.95</v>
      </c>
      <c r="G78" s="3006">
        <v>0.7</v>
      </c>
      <c r="H78" s="3006">
        <v>0.66499999999999992</v>
      </c>
      <c r="I78" s="8">
        <v>1.0724400000000001</v>
      </c>
      <c r="J78" s="7">
        <v>0.53700000000000003</v>
      </c>
      <c r="K78" s="3009">
        <f t="shared" si="8"/>
        <v>0.50072731341613519</v>
      </c>
      <c r="L78" s="6">
        <v>1800</v>
      </c>
      <c r="M78" s="6">
        <v>350</v>
      </c>
      <c r="N78" s="6">
        <v>1</v>
      </c>
      <c r="O78" s="3005" t="s">
        <v>1054</v>
      </c>
    </row>
    <row r="79" spans="1:30">
      <c r="A79" s="1707">
        <f>IFERROR(INDEX('2. S Plan'!$E$5:$E$75, MATCH(B.BasicInfomation!B79, '2. S Plan'!$F$5:$F$75, 0)),"")</f>
        <v>26</v>
      </c>
      <c r="B79" s="10" t="s">
        <v>889</v>
      </c>
      <c r="C79" s="2999">
        <f t="shared" si="0"/>
        <v>26</v>
      </c>
      <c r="D79" s="10" t="str">
        <f>_xlfn.XLOOKUP(B79,'2. S Plan'!$F$5:$F$83,'2. S Plan'!$AC$5:$AC$83,0,0)</f>
        <v>Motor CVR</v>
      </c>
      <c r="E79" s="10" t="str">
        <f>_xlfn.XLOOKUP(B79,'2. S Plan'!$F$5:$F$83,'2. S Plan'!$AB$5:$AB$83,0,0)</f>
        <v>Mando</v>
      </c>
      <c r="F79" s="3006">
        <v>0.95</v>
      </c>
      <c r="G79" s="3006">
        <v>0.85</v>
      </c>
      <c r="H79" s="3006">
        <v>0.8075</v>
      </c>
      <c r="I79" s="8">
        <v>0.3</v>
      </c>
      <c r="J79" s="7">
        <v>0.13</v>
      </c>
      <c r="K79" s="3009">
        <f t="shared" ref="K79:K80" si="9">IFERROR(J79/I79,"")</f>
        <v>0.43333333333333335</v>
      </c>
      <c r="L79" s="6">
        <v>7200</v>
      </c>
      <c r="M79" s="6">
        <v>350</v>
      </c>
      <c r="N79" s="6">
        <v>4</v>
      </c>
      <c r="O79" s="3005" t="s">
        <v>1054</v>
      </c>
    </row>
    <row r="80" spans="1:30">
      <c r="A80" s="1707">
        <f>IFERROR(INDEX('2. S Plan'!$E$5:$E$75, MATCH(B.BasicInfomation!B80, '2. S Plan'!$F$5:$F$75, 0)),"")</f>
        <v>27</v>
      </c>
      <c r="B80" s="10" t="s">
        <v>890</v>
      </c>
      <c r="C80" s="2999">
        <f t="shared" si="0"/>
        <v>27</v>
      </c>
      <c r="D80" s="10" t="str">
        <f>_xlfn.XLOOKUP(B80,'2. S Plan'!$F$5:$F$83,'2. S Plan'!$AC$5:$AC$83,0,0)</f>
        <v>Motor CVR</v>
      </c>
      <c r="E80" s="10" t="str">
        <f>_xlfn.XLOOKUP(B80,'2. S Plan'!$F$5:$F$83,'2. S Plan'!$AB$5:$AB$83,0,0)</f>
        <v>Mando</v>
      </c>
      <c r="F80" s="3006">
        <v>0.95</v>
      </c>
      <c r="G80" s="3006">
        <v>0.85</v>
      </c>
      <c r="H80" s="3006">
        <v>0.8075</v>
      </c>
      <c r="I80" s="8">
        <v>0.3</v>
      </c>
      <c r="J80" s="7">
        <v>0.13</v>
      </c>
      <c r="K80" s="3009">
        <f t="shared" si="9"/>
        <v>0.43333333333333335</v>
      </c>
      <c r="L80" s="6">
        <v>7200</v>
      </c>
      <c r="M80" s="6">
        <v>350</v>
      </c>
      <c r="N80" s="6">
        <v>4</v>
      </c>
      <c r="O80" s="3005" t="s">
        <v>1054</v>
      </c>
    </row>
    <row r="81" spans="1:15">
      <c r="A81" s="1707" t="str">
        <f>IFERROR(INDEX('2. S Plan'!$E$5:$E$75, MATCH(B.BasicInfomation!B81, '2. S Plan'!$F$5:$F$75, 0)),"")</f>
        <v/>
      </c>
      <c r="B81" s="10" t="s">
        <v>1268</v>
      </c>
      <c r="C81" s="2999" t="str">
        <f>A81</f>
        <v/>
      </c>
      <c r="D81" s="10">
        <f>_xlfn.XLOOKUP(B81,'2. S Plan'!$F$5:$F$83,'2. S Plan'!$AC$5:$AC$83,0,0)</f>
        <v>0</v>
      </c>
      <c r="E81" s="10">
        <f>_xlfn.XLOOKUP(B81,'2. S Plan'!$F$5:$F$83,'2. S Plan'!$AB$5:$AB$83,0,0)</f>
        <v>0</v>
      </c>
      <c r="F81" s="3006">
        <v>0.95</v>
      </c>
      <c r="G81" s="3006">
        <v>0.85</v>
      </c>
      <c r="H81" s="3006">
        <v>0.8075</v>
      </c>
      <c r="I81" s="8">
        <v>0.3</v>
      </c>
      <c r="J81" s="7">
        <v>0.13</v>
      </c>
      <c r="K81" s="3009">
        <f t="shared" si="8"/>
        <v>0.43333333333333335</v>
      </c>
      <c r="L81" s="6">
        <v>7200</v>
      </c>
      <c r="M81" s="6">
        <v>350</v>
      </c>
      <c r="N81" s="6">
        <v>4</v>
      </c>
      <c r="O81" s="3005" t="s">
        <v>1054</v>
      </c>
    </row>
    <row r="82" spans="1:15">
      <c r="A82" s="1707">
        <f>IFERROR(INDEX('2. S Plan'!$E$5:$E$75, MATCH(B.BasicInfomation!B82, '2. S Plan'!$F$5:$F$75, 0)),"")</f>
        <v>28</v>
      </c>
      <c r="B82" s="10" t="s">
        <v>1269</v>
      </c>
      <c r="C82" s="2999">
        <f>A82</f>
        <v>28</v>
      </c>
      <c r="D82" s="10" t="str">
        <f>_xlfn.XLOOKUP(B82,'2. S Plan'!$F$5:$F$83,'2. S Plan'!$AC$5:$AC$83,0,0)</f>
        <v>Motor CVR</v>
      </c>
      <c r="E82" s="10" t="str">
        <f>_xlfn.XLOOKUP(B82,'2. S Plan'!$F$5:$F$83,'2. S Plan'!$AB$5:$AB$83,0,0)</f>
        <v>Mando</v>
      </c>
      <c r="F82" s="3006">
        <v>0.95</v>
      </c>
      <c r="G82" s="3006">
        <v>0.85</v>
      </c>
      <c r="H82" s="3006">
        <v>0.8075</v>
      </c>
      <c r="I82" s="8">
        <v>0.67000499999999996</v>
      </c>
      <c r="J82" s="7">
        <v>0.27400000000000002</v>
      </c>
      <c r="K82" s="3009">
        <f t="shared" si="8"/>
        <v>0.40895217199871647</v>
      </c>
      <c r="L82" s="6">
        <v>3600</v>
      </c>
      <c r="M82" s="6">
        <v>350</v>
      </c>
      <c r="N82" s="6">
        <v>2</v>
      </c>
      <c r="O82" s="3005" t="s">
        <v>1054</v>
      </c>
    </row>
    <row r="83" spans="1:15">
      <c r="A83" s="1707">
        <f>IFERROR(INDEX('2. S Plan'!$E$5:$E$75, MATCH(B.BasicInfomation!B83, '2. S Plan'!$F$5:$F$75, 0)),"")</f>
        <v>29</v>
      </c>
      <c r="B83" s="10" t="s">
        <v>1270</v>
      </c>
      <c r="C83" s="2999">
        <f>A83</f>
        <v>29</v>
      </c>
      <c r="D83" s="10" t="str">
        <f>_xlfn.XLOOKUP(B83,'2. S Plan'!$F$5:$F$83,'2. S Plan'!$AC$5:$AC$83,0,0)</f>
        <v>Motor CVR</v>
      </c>
      <c r="E83" s="10" t="str">
        <f>_xlfn.XLOOKUP(B83,'2. S Plan'!$F$5:$F$83,'2. S Plan'!$AB$5:$AB$83,0,0)</f>
        <v>Mando</v>
      </c>
      <c r="F83" s="3006">
        <v>0.95</v>
      </c>
      <c r="G83" s="3006">
        <v>0.85</v>
      </c>
      <c r="H83" s="3006">
        <v>0.8075</v>
      </c>
      <c r="I83" s="8">
        <v>0.67000499999999996</v>
      </c>
      <c r="J83" s="7">
        <v>0.29899999999999999</v>
      </c>
      <c r="K83" s="3009">
        <f t="shared" si="8"/>
        <v>0.44626532637816135</v>
      </c>
      <c r="L83" s="6">
        <v>3600</v>
      </c>
      <c r="M83" s="6">
        <v>350</v>
      </c>
      <c r="N83" s="6">
        <v>2</v>
      </c>
      <c r="O83" s="3005" t="s">
        <v>1054</v>
      </c>
    </row>
    <row r="84" spans="1:15">
      <c r="A84" s="1707">
        <f>IFERROR(INDEX('2. S Plan'!$E$5:$E$75, MATCH(B.BasicInfomation!B84, '2. S Plan'!$F$5:$F$75, 0)),"")</f>
        <v>30</v>
      </c>
      <c r="B84" s="10" t="s">
        <v>1271</v>
      </c>
      <c r="C84" s="2999">
        <f>A84</f>
        <v>30</v>
      </c>
      <c r="D84" s="10" t="str">
        <f>_xlfn.XLOOKUP(B84,'2. S Plan'!$F$5:$F$83,'2. S Plan'!$AC$5:$AC$83,0,0)</f>
        <v>Motor CVR</v>
      </c>
      <c r="E84" s="10" t="str">
        <f>_xlfn.XLOOKUP(B84,'2. S Plan'!$F$5:$F$83,'2. S Plan'!$AB$5:$AB$83,0,0)</f>
        <v>Mando</v>
      </c>
      <c r="F84" s="3006">
        <v>0.95</v>
      </c>
      <c r="G84" s="3006">
        <v>0.85</v>
      </c>
      <c r="H84" s="3006">
        <v>0.8075</v>
      </c>
      <c r="I84" s="8">
        <v>0.67000499999999996</v>
      </c>
      <c r="J84" s="7">
        <v>0.27300000000000002</v>
      </c>
      <c r="K84" s="3009">
        <f t="shared" si="8"/>
        <v>0.40745964582353866</v>
      </c>
      <c r="L84" s="6">
        <v>3600</v>
      </c>
      <c r="M84" s="6">
        <v>350</v>
      </c>
      <c r="N84" s="6">
        <v>2</v>
      </c>
      <c r="O84" s="3005" t="s">
        <v>1054</v>
      </c>
    </row>
    <row r="85" spans="1:15">
      <c r="A85" s="1707">
        <f>IFERROR(INDEX('2. S Plan'!$E$5:$E$75, MATCH(B.BasicInfomation!B85, '2. S Plan'!$F$5:$F$75, 0)),"")</f>
        <v>31</v>
      </c>
      <c r="B85" s="10" t="s">
        <v>1272</v>
      </c>
      <c r="C85" s="2999">
        <f>A85</f>
        <v>31</v>
      </c>
      <c r="D85" s="10" t="str">
        <f>_xlfn.XLOOKUP(B85,'2. S Plan'!$F$5:$F$83,'2. S Plan'!$AC$5:$AC$83,0,0)</f>
        <v>Motor CVR</v>
      </c>
      <c r="E85" s="10" t="str">
        <f>_xlfn.XLOOKUP(B85,'2. S Plan'!$F$5:$F$83,'2. S Plan'!$AB$5:$AB$83,0,0)</f>
        <v>Mando</v>
      </c>
      <c r="F85" s="3006">
        <v>0.95</v>
      </c>
      <c r="G85" s="3006">
        <v>0.85</v>
      </c>
      <c r="H85" s="3006">
        <v>0.8075</v>
      </c>
      <c r="I85" s="8">
        <v>0.67000499999999996</v>
      </c>
      <c r="J85" s="7">
        <v>0.29899999999999999</v>
      </c>
      <c r="K85" s="3009">
        <f t="shared" si="8"/>
        <v>0.44626532637816135</v>
      </c>
      <c r="L85" s="6">
        <v>3600</v>
      </c>
      <c r="M85" s="6">
        <v>350</v>
      </c>
      <c r="N85" s="6">
        <v>2</v>
      </c>
      <c r="O85" s="3005" t="s">
        <v>1054</v>
      </c>
    </row>
    <row r="86" spans="1:15">
      <c r="A86" s="1707" t="str">
        <f>IFERROR(INDEX('2. S Plan'!$E$5:$E$75, MATCH(B.BasicInfomation!B86, '2. S Plan'!$F$5:$F$75, 0)),"")</f>
        <v/>
      </c>
      <c r="B86" s="10" t="s">
        <v>1273</v>
      </c>
      <c r="C86" s="2999" t="str">
        <f t="shared" ref="C86:C127" si="10">A86</f>
        <v/>
      </c>
      <c r="D86" s="10">
        <f>_xlfn.XLOOKUP(B86,'2. S Plan'!$F$5:$F$83,'2. S Plan'!$AC$5:$AC$83,0,0)</f>
        <v>0</v>
      </c>
      <c r="E86" s="10">
        <f>_xlfn.XLOOKUP(B86,'2. S Plan'!$F$5:$F$83,'2. S Plan'!$AB$5:$AB$83,0,0)</f>
        <v>0</v>
      </c>
      <c r="F86" s="3006">
        <v>0.95</v>
      </c>
      <c r="G86" s="3006">
        <v>0.85</v>
      </c>
      <c r="H86" s="3006">
        <v>0.8075</v>
      </c>
      <c r="I86" s="8">
        <v>0.67000499999999996</v>
      </c>
      <c r="J86" s="7">
        <v>0.28149999999999997</v>
      </c>
      <c r="K86" s="3009">
        <f t="shared" si="8"/>
        <v>0.42014611831254989</v>
      </c>
      <c r="L86" s="6">
        <v>3600</v>
      </c>
      <c r="M86" s="6">
        <v>350</v>
      </c>
      <c r="N86" s="6">
        <v>2</v>
      </c>
      <c r="O86" s="3005" t="s">
        <v>1054</v>
      </c>
    </row>
    <row r="87" spans="1:15">
      <c r="A87" s="1707" t="str">
        <f>IFERROR(INDEX('2. S Plan'!$E$5:$E$75, MATCH(B.BasicInfomation!B87, '2. S Plan'!$F$5:$F$75, 0)),"")</f>
        <v/>
      </c>
      <c r="B87" s="10" t="s">
        <v>1274</v>
      </c>
      <c r="C87" s="2999" t="str">
        <f t="shared" si="10"/>
        <v/>
      </c>
      <c r="D87" s="10">
        <f>_xlfn.XLOOKUP(B87,'2. S Plan'!$F$5:$F$83,'2. S Plan'!$AC$5:$AC$83,0,0)</f>
        <v>0</v>
      </c>
      <c r="E87" s="10">
        <f>_xlfn.XLOOKUP(B87,'2. S Plan'!$F$5:$F$83,'2. S Plan'!$AB$5:$AB$83,0,0)</f>
        <v>0</v>
      </c>
      <c r="F87" s="3006">
        <v>0.95</v>
      </c>
      <c r="G87" s="3006">
        <v>0.85</v>
      </c>
      <c r="H87" s="3006">
        <v>0.8075</v>
      </c>
      <c r="I87" s="8">
        <v>0.67000499999999996</v>
      </c>
      <c r="J87" s="7">
        <v>0.28050000000000003</v>
      </c>
      <c r="K87" s="3009">
        <f t="shared" si="8"/>
        <v>0.41865359213737219</v>
      </c>
      <c r="L87" s="6">
        <v>3600</v>
      </c>
      <c r="M87" s="6">
        <v>350</v>
      </c>
      <c r="N87" s="6">
        <v>2</v>
      </c>
      <c r="O87" s="3005" t="s">
        <v>1054</v>
      </c>
    </row>
    <row r="88" spans="1:15">
      <c r="A88" s="1707" t="str">
        <f>IFERROR(INDEX('2. S Plan'!$E$5:$E$75, MATCH(B.BasicInfomation!B88, '2. S Plan'!$F$5:$F$75, 0)),"")</f>
        <v/>
      </c>
      <c r="B88" s="10" t="s">
        <v>1275</v>
      </c>
      <c r="C88" s="2999" t="str">
        <f t="shared" si="10"/>
        <v/>
      </c>
      <c r="D88" s="10">
        <f>_xlfn.XLOOKUP(B88,'2. S Plan'!$F$5:$F$83,'2. S Plan'!$AC$5:$AC$83,0,0)</f>
        <v>0</v>
      </c>
      <c r="E88" s="10">
        <f>_xlfn.XLOOKUP(B88,'2. S Plan'!$F$5:$F$83,'2. S Plan'!$AB$5:$AB$83,0,0)</f>
        <v>0</v>
      </c>
      <c r="F88" s="3006">
        <v>0.95</v>
      </c>
      <c r="G88" s="3006">
        <v>0.85</v>
      </c>
      <c r="H88" s="3006">
        <v>0.8075</v>
      </c>
      <c r="I88" s="8">
        <v>0.42</v>
      </c>
      <c r="J88" s="7">
        <v>0.19120000000000001</v>
      </c>
      <c r="K88" s="3009">
        <f t="shared" si="8"/>
        <v>0.45523809523809527</v>
      </c>
      <c r="L88" s="6">
        <v>3600</v>
      </c>
      <c r="M88" s="6">
        <v>350</v>
      </c>
      <c r="N88" s="6">
        <v>2</v>
      </c>
      <c r="O88" s="3005" t="s">
        <v>1054</v>
      </c>
    </row>
    <row r="89" spans="1:15">
      <c r="A89" s="1707" t="str">
        <f>IFERROR(INDEX('2. S Plan'!$E$5:$E$75, MATCH(B.BasicInfomation!B89, '2. S Plan'!$F$5:$F$75, 0)),"")</f>
        <v/>
      </c>
      <c r="B89" s="10" t="s">
        <v>1276</v>
      </c>
      <c r="C89" s="2999" t="str">
        <f t="shared" si="10"/>
        <v/>
      </c>
      <c r="D89" s="10">
        <f>_xlfn.XLOOKUP(B89,'2. S Plan'!$F$5:$F$83,'2. S Plan'!$AC$5:$AC$83,0,0)</f>
        <v>0</v>
      </c>
      <c r="E89" s="10">
        <f>_xlfn.XLOOKUP(B89,'2. S Plan'!$F$5:$F$83,'2. S Plan'!$AB$5:$AB$83,0,0)</f>
        <v>0</v>
      </c>
      <c r="F89" s="3006">
        <v>0.95</v>
      </c>
      <c r="G89" s="3006">
        <v>0.85</v>
      </c>
      <c r="H89" s="3006">
        <v>0.8075</v>
      </c>
      <c r="I89" s="8">
        <v>0.3</v>
      </c>
      <c r="J89" s="7">
        <v>0.1167</v>
      </c>
      <c r="K89" s="3009">
        <f t="shared" si="8"/>
        <v>0.38900000000000001</v>
      </c>
      <c r="L89" s="6">
        <v>5500</v>
      </c>
      <c r="M89" s="6">
        <v>350</v>
      </c>
      <c r="N89" s="6">
        <v>2</v>
      </c>
      <c r="O89" s="3005" t="s">
        <v>1054</v>
      </c>
    </row>
    <row r="90" spans="1:15">
      <c r="A90" s="1707" t="str">
        <f>IFERROR(INDEX('2. S Plan'!$E$5:$E$75, MATCH(B.BasicInfomation!B90, '2. S Plan'!$F$5:$F$75, 0)),"")</f>
        <v/>
      </c>
      <c r="B90" s="10" t="s">
        <v>1277</v>
      </c>
      <c r="C90" s="2999" t="str">
        <f t="shared" si="10"/>
        <v/>
      </c>
      <c r="D90" s="10">
        <f>_xlfn.XLOOKUP(B90,'2. S Plan'!$F$5:$F$83,'2. S Plan'!$AC$5:$AC$83,0,0)</f>
        <v>0</v>
      </c>
      <c r="E90" s="9">
        <f>_xlfn.XLOOKUP(B90,'2. S Plan'!$F$5:$F$83,'2. S Plan'!$AB$5:$AB$83,0,0)</f>
        <v>0</v>
      </c>
      <c r="F90" s="3006">
        <v>0.95</v>
      </c>
      <c r="G90" s="3006">
        <v>0.85</v>
      </c>
      <c r="H90" s="3006">
        <v>0.8075</v>
      </c>
      <c r="I90" s="8">
        <v>0.67000499999999996</v>
      </c>
      <c r="J90" s="7">
        <v>0.27300000000000002</v>
      </c>
      <c r="K90" s="3009">
        <f t="shared" si="8"/>
        <v>0.40745964582353866</v>
      </c>
      <c r="L90" s="6">
        <v>3600</v>
      </c>
      <c r="M90" s="6">
        <v>350</v>
      </c>
      <c r="N90" s="6">
        <v>2</v>
      </c>
      <c r="O90" s="3005" t="s">
        <v>1054</v>
      </c>
    </row>
    <row r="91" spans="1:15">
      <c r="A91" s="1707" t="str">
        <f>IFERROR(INDEX('2. S Plan'!$E$5:$E$75, MATCH(B.BasicInfomation!B91, '2. S Plan'!$F$5:$F$75, 0)),"")</f>
        <v/>
      </c>
      <c r="B91" s="10" t="s">
        <v>1278</v>
      </c>
      <c r="C91" s="2999" t="str">
        <f t="shared" si="10"/>
        <v/>
      </c>
      <c r="D91" s="10">
        <f>_xlfn.XLOOKUP(B91,'2. S Plan'!$F$5:$F$83,'2. S Plan'!$AC$5:$AC$83,0,0)</f>
        <v>0</v>
      </c>
      <c r="E91" s="10">
        <f>_xlfn.XLOOKUP(B91,'2. S Plan'!$F$5:$F$83,'2. S Plan'!$AB$5:$AB$83,0,0)</f>
        <v>0</v>
      </c>
      <c r="F91" s="3006">
        <v>0.95</v>
      </c>
      <c r="G91" s="3006">
        <v>0.85</v>
      </c>
      <c r="H91" s="3006">
        <v>0.8075</v>
      </c>
      <c r="I91" s="8">
        <v>0.3</v>
      </c>
      <c r="J91" s="7">
        <v>0.11020000000000001</v>
      </c>
      <c r="K91" s="3009">
        <f t="shared" si="8"/>
        <v>0.36733333333333335</v>
      </c>
      <c r="L91" s="6">
        <v>5500</v>
      </c>
      <c r="M91" s="6">
        <v>350</v>
      </c>
      <c r="N91" s="6">
        <v>2</v>
      </c>
      <c r="O91" s="3005" t="s">
        <v>1054</v>
      </c>
    </row>
    <row r="92" spans="1:15">
      <c r="A92" s="1707" t="str">
        <f>IFERROR(INDEX('2. S Plan'!$E$5:$E$75, MATCH(B.BasicInfomation!B92, '2. S Plan'!$F$5:$F$75, 0)),"")</f>
        <v/>
      </c>
      <c r="B92" s="10" t="s">
        <v>1279</v>
      </c>
      <c r="C92" s="2999" t="str">
        <f t="shared" si="10"/>
        <v/>
      </c>
      <c r="D92" s="10">
        <f>_xlfn.XLOOKUP(B92,'2. S Plan'!$F$5:$F$83,'2. S Plan'!$AC$5:$AC$83,0,0)</f>
        <v>0</v>
      </c>
      <c r="E92" s="10">
        <f>_xlfn.XLOOKUP(B92,'2. S Plan'!$F$5:$F$83,'2. S Plan'!$AB$5:$AB$83,0,0)</f>
        <v>0</v>
      </c>
      <c r="F92" s="3006">
        <v>0.95</v>
      </c>
      <c r="G92" s="3006">
        <v>0.85</v>
      </c>
      <c r="H92" s="3006">
        <v>0.8075</v>
      </c>
      <c r="I92" s="8">
        <v>0.3</v>
      </c>
      <c r="J92" s="7">
        <v>0.113</v>
      </c>
      <c r="K92" s="3009">
        <f t="shared" si="8"/>
        <v>0.37666666666666671</v>
      </c>
      <c r="L92" s="6">
        <v>6500</v>
      </c>
      <c r="M92" s="6">
        <v>350</v>
      </c>
      <c r="N92" s="6">
        <v>2</v>
      </c>
      <c r="O92" s="3005" t="s">
        <v>1054</v>
      </c>
    </row>
    <row r="93" spans="1:15">
      <c r="A93" s="1707" t="str">
        <f>IFERROR(INDEX('2. S Plan'!$E$5:$E$75, MATCH(B.BasicInfomation!B93, '2. S Plan'!$F$5:$F$75, 0)),"")</f>
        <v/>
      </c>
      <c r="B93" s="10" t="s">
        <v>1280</v>
      </c>
      <c r="C93" s="2999" t="str">
        <f t="shared" si="10"/>
        <v/>
      </c>
      <c r="D93" s="10">
        <f>_xlfn.XLOOKUP(B93,'2. S Plan'!$F$5:$F$83,'2. S Plan'!$AC$5:$AC$83,0,0)</f>
        <v>0</v>
      </c>
      <c r="E93" s="10">
        <f>_xlfn.XLOOKUP(B93,'2. S Plan'!$F$5:$F$83,'2. S Plan'!$AB$5:$AB$83,0,0)</f>
        <v>0</v>
      </c>
      <c r="F93" s="3006">
        <v>0.95</v>
      </c>
      <c r="G93" s="3006">
        <v>0.85</v>
      </c>
      <c r="H93" s="3006">
        <v>0.8075</v>
      </c>
      <c r="I93" s="8">
        <v>0.3</v>
      </c>
      <c r="J93" s="7">
        <v>9.0300000000000005E-2</v>
      </c>
      <c r="K93" s="3009">
        <f t="shared" si="8"/>
        <v>0.30100000000000005</v>
      </c>
      <c r="L93" s="6">
        <v>6500</v>
      </c>
      <c r="M93" s="6">
        <v>350</v>
      </c>
      <c r="N93" s="6">
        <v>2</v>
      </c>
      <c r="O93" s="3005" t="s">
        <v>1054</v>
      </c>
    </row>
    <row r="94" spans="1:15">
      <c r="A94" s="1707" t="str">
        <f>IFERROR(INDEX('2. S Plan'!$E$5:$E$75, MATCH(B.BasicInfomation!B94, '2. S Plan'!$F$5:$F$75, 0)),"")</f>
        <v/>
      </c>
      <c r="B94" s="10" t="s">
        <v>1281</v>
      </c>
      <c r="C94" s="2999" t="str">
        <f t="shared" si="10"/>
        <v/>
      </c>
      <c r="D94" s="10">
        <f>_xlfn.XLOOKUP(B94,'2. S Plan'!$F$5:$F$83,'2. S Plan'!$AC$5:$AC$83,0,0)</f>
        <v>0</v>
      </c>
      <c r="E94" s="10">
        <f>_xlfn.XLOOKUP(B94,'2. S Plan'!$F$5:$F$83,'2. S Plan'!$AB$5:$AB$83,0,0)</f>
        <v>0</v>
      </c>
      <c r="F94" s="3006">
        <v>0.95</v>
      </c>
      <c r="G94" s="3006">
        <v>0.85</v>
      </c>
      <c r="H94" s="3006">
        <v>0.8075</v>
      </c>
      <c r="I94" s="8">
        <v>0.3</v>
      </c>
      <c r="J94" s="7">
        <v>0.113</v>
      </c>
      <c r="K94" s="3009">
        <f t="shared" si="8"/>
        <v>0.37666666666666671</v>
      </c>
      <c r="L94" s="6">
        <v>6500</v>
      </c>
      <c r="M94" s="6">
        <v>350</v>
      </c>
      <c r="N94" s="6">
        <v>2</v>
      </c>
      <c r="O94" s="3005" t="s">
        <v>1054</v>
      </c>
    </row>
    <row r="95" spans="1:15">
      <c r="A95" s="1707" t="str">
        <f>IFERROR(INDEX('2. S Plan'!$E$5:$E$75, MATCH(B.BasicInfomation!B95, '2. S Plan'!$F$5:$F$75, 0)),"")</f>
        <v/>
      </c>
      <c r="B95" s="10" t="s">
        <v>1282</v>
      </c>
      <c r="C95" s="2999" t="str">
        <f t="shared" si="10"/>
        <v/>
      </c>
      <c r="D95" s="10">
        <f>_xlfn.XLOOKUP(B95,'2. S Plan'!$F$5:$F$83,'2. S Plan'!$AC$5:$AC$83,0,0)</f>
        <v>0</v>
      </c>
      <c r="E95" s="10">
        <f>_xlfn.XLOOKUP(B95,'2. S Plan'!$F$5:$F$83,'2. S Plan'!$AB$5:$AB$83,0,0)</f>
        <v>0</v>
      </c>
      <c r="F95" s="3006">
        <v>0.95</v>
      </c>
      <c r="G95" s="3006">
        <v>0.85</v>
      </c>
      <c r="H95" s="3006">
        <v>0.8075</v>
      </c>
      <c r="I95" s="8">
        <v>0.3</v>
      </c>
      <c r="J95" s="7">
        <v>9.0300000000000005E-2</v>
      </c>
      <c r="K95" s="3009">
        <f t="shared" si="8"/>
        <v>0.30100000000000005</v>
      </c>
      <c r="L95" s="6">
        <v>6500</v>
      </c>
      <c r="M95" s="6">
        <v>350</v>
      </c>
      <c r="N95" s="6">
        <v>2</v>
      </c>
      <c r="O95" s="3005" t="s">
        <v>1054</v>
      </c>
    </row>
    <row r="96" spans="1:15">
      <c r="A96" s="1707">
        <f>IFERROR(INDEX('2. S Plan'!$E$5:$E$75, MATCH(B.BasicInfomation!B96, '2. S Plan'!$F$5:$F$75, 0)),"")</f>
        <v>32</v>
      </c>
      <c r="B96" s="10" t="s">
        <v>893</v>
      </c>
      <c r="C96" s="2999">
        <f t="shared" si="10"/>
        <v>32</v>
      </c>
      <c r="D96" s="10" t="str">
        <f>_xlfn.XLOOKUP(B96,'2. S Plan'!$F$5:$F$83,'2. S Plan'!$AC$5:$AC$83,0,0)</f>
        <v>Heatsink</v>
      </c>
      <c r="E96" s="10" t="str">
        <f>_xlfn.XLOOKUP(B96,'2. S Plan'!$F$5:$F$83,'2. S Plan'!$AB$5:$AB$83,0,0)</f>
        <v>Mando</v>
      </c>
      <c r="F96" s="3006">
        <v>0.95</v>
      </c>
      <c r="G96" s="3006">
        <v>0.85</v>
      </c>
      <c r="H96" s="3006">
        <v>0.8075</v>
      </c>
      <c r="I96" s="8">
        <v>0.3</v>
      </c>
      <c r="J96" s="7">
        <f t="shared" ref="J96:J99" si="11">I96*0.4</f>
        <v>0.12</v>
      </c>
      <c r="K96" s="3009">
        <f t="shared" ref="K96:K104" si="12">IFERROR(J96/I96,"")</f>
        <v>0.4</v>
      </c>
      <c r="L96" s="6">
        <v>6500</v>
      </c>
      <c r="M96" s="6">
        <v>350</v>
      </c>
      <c r="N96" s="6">
        <v>2</v>
      </c>
      <c r="O96" s="3005" t="s">
        <v>1054</v>
      </c>
    </row>
    <row r="97" spans="1:15">
      <c r="A97" s="1707">
        <f>IFERROR(INDEX('2. S Plan'!$E$5:$E$75, MATCH(B.BasicInfomation!B97, '2. S Plan'!$F$5:$F$75, 0)),"")</f>
        <v>33</v>
      </c>
      <c r="B97" s="10" t="s">
        <v>894</v>
      </c>
      <c r="C97" s="2999">
        <f t="shared" si="10"/>
        <v>33</v>
      </c>
      <c r="D97" s="10" t="str">
        <f>_xlfn.XLOOKUP(B97,'2. S Plan'!$F$5:$F$83,'2. S Plan'!$AC$5:$AC$83,0,0)</f>
        <v>Motor HSG</v>
      </c>
      <c r="E97" s="10" t="str">
        <f>_xlfn.XLOOKUP(B97,'2. S Plan'!$F$5:$F$83,'2. S Plan'!$AB$5:$AB$83,0,0)</f>
        <v>ZF TRW</v>
      </c>
      <c r="F97" s="3006">
        <v>0.95</v>
      </c>
      <c r="G97" s="3006">
        <v>0.85</v>
      </c>
      <c r="H97" s="3006">
        <v>0.8075</v>
      </c>
      <c r="I97" s="8">
        <v>0.3</v>
      </c>
      <c r="J97" s="7">
        <f t="shared" si="11"/>
        <v>0.12</v>
      </c>
      <c r="K97" s="3009">
        <f t="shared" si="12"/>
        <v>0.4</v>
      </c>
      <c r="L97" s="6">
        <v>6500</v>
      </c>
      <c r="M97" s="6">
        <v>350</v>
      </c>
      <c r="N97" s="6">
        <v>2</v>
      </c>
      <c r="O97" s="3005" t="s">
        <v>1054</v>
      </c>
    </row>
    <row r="98" spans="1:15">
      <c r="A98" s="1707">
        <f>IFERROR(INDEX('2. S Plan'!$E$5:$E$75, MATCH(B.BasicInfomation!B98, '2. S Plan'!$F$5:$F$75, 0)),"")</f>
        <v>34</v>
      </c>
      <c r="B98" s="10" t="s">
        <v>895</v>
      </c>
      <c r="C98" s="2999">
        <f t="shared" si="10"/>
        <v>34</v>
      </c>
      <c r="D98" s="10" t="str">
        <f>_xlfn.XLOOKUP(B98,'2. S Plan'!$F$5:$F$83,'2. S Plan'!$AC$5:$AC$83,0,0)</f>
        <v>Motor HSG</v>
      </c>
      <c r="E98" s="10" t="str">
        <f>_xlfn.XLOOKUP(B98,'2. S Plan'!$F$5:$F$83,'2. S Plan'!$AB$5:$AB$83,0,0)</f>
        <v>ZF TRW</v>
      </c>
      <c r="F98" s="3006">
        <v>0.95</v>
      </c>
      <c r="G98" s="3006">
        <v>0.85</v>
      </c>
      <c r="H98" s="3006">
        <v>0.8075</v>
      </c>
      <c r="I98" s="8">
        <v>0.3</v>
      </c>
      <c r="J98" s="7">
        <f t="shared" si="11"/>
        <v>0.12</v>
      </c>
      <c r="K98" s="3009">
        <f t="shared" si="12"/>
        <v>0.4</v>
      </c>
      <c r="L98" s="6">
        <v>6500</v>
      </c>
      <c r="M98" s="6">
        <v>350</v>
      </c>
      <c r="N98" s="6">
        <v>2</v>
      </c>
      <c r="O98" s="3005" t="s">
        <v>1054</v>
      </c>
    </row>
    <row r="99" spans="1:15">
      <c r="A99" s="1707">
        <f>IFERROR(INDEX('2. S Plan'!$E$5:$E$75, MATCH(B.BasicInfomation!B99, '2. S Plan'!$F$5:$F$75, 0)),"")</f>
        <v>35</v>
      </c>
      <c r="B99" s="10" t="s">
        <v>896</v>
      </c>
      <c r="C99" s="2999">
        <f t="shared" si="10"/>
        <v>35</v>
      </c>
      <c r="D99" s="10" t="str">
        <f>_xlfn.XLOOKUP(B99,'2. S Plan'!$F$5:$F$83,'2. S Plan'!$AC$5:$AC$83,0,0)</f>
        <v>Motor HSG</v>
      </c>
      <c r="E99" s="10" t="str">
        <f>_xlfn.XLOOKUP(B99,'2. S Plan'!$F$5:$F$83,'2. S Plan'!$AB$5:$AB$83,0,0)</f>
        <v>ZF TRW</v>
      </c>
      <c r="F99" s="3006">
        <v>0.95</v>
      </c>
      <c r="G99" s="3006">
        <v>0.85</v>
      </c>
      <c r="H99" s="3006">
        <v>0.8075</v>
      </c>
      <c r="I99" s="8">
        <v>0.3</v>
      </c>
      <c r="J99" s="7">
        <f t="shared" si="11"/>
        <v>0.12</v>
      </c>
      <c r="K99" s="3009">
        <f t="shared" si="12"/>
        <v>0.4</v>
      </c>
      <c r="L99" s="6">
        <v>6500</v>
      </c>
      <c r="M99" s="6">
        <v>350</v>
      </c>
      <c r="N99" s="6">
        <v>2</v>
      </c>
      <c r="O99" s="3005" t="s">
        <v>1054</v>
      </c>
    </row>
    <row r="100" spans="1:15">
      <c r="A100" s="1707">
        <f>IFERROR(INDEX('2. S Plan'!$E$5:$E$75, MATCH(B.BasicInfomation!B100, '2. S Plan'!$F$5:$F$75, 0)),"")</f>
        <v>36</v>
      </c>
      <c r="B100" s="10" t="s">
        <v>404</v>
      </c>
      <c r="C100" s="2999">
        <f t="shared" si="10"/>
        <v>36</v>
      </c>
      <c r="D100" s="10" t="str">
        <f>_xlfn.XLOOKUP(B100,'2. S Plan'!$F$5:$F$83,'2. S Plan'!$AC$5:$AC$83,0,0)</f>
        <v>Motor CVR</v>
      </c>
      <c r="E100" s="10" t="str">
        <f>_xlfn.XLOOKUP(B100,'2. S Plan'!$F$5:$F$83,'2. S Plan'!$AB$5:$AB$83,0,0)</f>
        <v>ZF TRW</v>
      </c>
      <c r="F100" s="3006">
        <v>0.95</v>
      </c>
      <c r="G100" s="3006">
        <v>0.85</v>
      </c>
      <c r="H100" s="3006">
        <v>0.8075</v>
      </c>
      <c r="I100" s="8">
        <v>0.08</v>
      </c>
      <c r="J100" s="7">
        <f>I100*0.4</f>
        <v>3.2000000000000001E-2</v>
      </c>
      <c r="K100" s="3009">
        <f t="shared" si="12"/>
        <v>0.4</v>
      </c>
      <c r="L100" s="6">
        <v>6500</v>
      </c>
      <c r="M100" s="6">
        <v>350</v>
      </c>
      <c r="N100" s="6">
        <v>2</v>
      </c>
      <c r="O100" s="3005" t="s">
        <v>1054</v>
      </c>
    </row>
    <row r="101" spans="1:15">
      <c r="A101" s="1707">
        <f>IFERROR(INDEX('2. S Plan'!$E$5:$E$75, MATCH(B.BasicInfomation!B101, '2. S Plan'!$F$5:$F$75, 0)),"")</f>
        <v>37</v>
      </c>
      <c r="B101" s="10" t="s">
        <v>897</v>
      </c>
      <c r="C101" s="2999">
        <f t="shared" si="10"/>
        <v>37</v>
      </c>
      <c r="D101" s="10" t="str">
        <f>_xlfn.XLOOKUP(B101,'2. S Plan'!$F$5:$F$83,'2. S Plan'!$AC$5:$AC$83,0,0)</f>
        <v>Motor CVR</v>
      </c>
      <c r="E101" s="10" t="str">
        <f>_xlfn.XLOOKUP(B101,'2. S Plan'!$F$5:$F$83,'2. S Plan'!$AB$5:$AB$83,0,0)</f>
        <v>ZF TRW</v>
      </c>
      <c r="F101" s="3006">
        <v>0.95</v>
      </c>
      <c r="G101" s="3006">
        <v>0.85</v>
      </c>
      <c r="H101" s="3006">
        <v>0.8075</v>
      </c>
      <c r="I101" s="8">
        <v>0.1</v>
      </c>
      <c r="J101" s="7">
        <f t="shared" ref="J101:J104" si="13">I101*0.4</f>
        <v>4.0000000000000008E-2</v>
      </c>
      <c r="K101" s="3009">
        <f t="shared" si="12"/>
        <v>0.40000000000000008</v>
      </c>
      <c r="L101" s="6">
        <v>6500</v>
      </c>
      <c r="M101" s="6">
        <v>350</v>
      </c>
      <c r="N101" s="6">
        <v>2</v>
      </c>
      <c r="O101" s="3005" t="s">
        <v>1054</v>
      </c>
    </row>
    <row r="102" spans="1:15">
      <c r="A102" s="1707">
        <f>IFERROR(INDEX('2. S Plan'!$E$5:$E$75, MATCH(B.BasicInfomation!B102, '2. S Plan'!$F$5:$F$75, 0)),"")</f>
        <v>38</v>
      </c>
      <c r="B102" s="10" t="s">
        <v>898</v>
      </c>
      <c r="C102" s="2999">
        <f t="shared" si="10"/>
        <v>38</v>
      </c>
      <c r="D102" s="10" t="str">
        <f>_xlfn.XLOOKUP(B102,'2. S Plan'!$F$5:$F$83,'2. S Plan'!$AC$5:$AC$83,0,0)</f>
        <v>Motor CVR</v>
      </c>
      <c r="E102" s="10" t="str">
        <f>_xlfn.XLOOKUP(B102,'2. S Plan'!$F$5:$F$83,'2. S Plan'!$AB$5:$AB$83,0,0)</f>
        <v>ZF TRW</v>
      </c>
      <c r="F102" s="3006">
        <v>0.95</v>
      </c>
      <c r="G102" s="3006">
        <v>0.85</v>
      </c>
      <c r="H102" s="3006">
        <v>0.8075</v>
      </c>
      <c r="I102" s="8">
        <v>0.08</v>
      </c>
      <c r="J102" s="7">
        <f t="shared" si="13"/>
        <v>3.2000000000000001E-2</v>
      </c>
      <c r="K102" s="3009">
        <f t="shared" si="12"/>
        <v>0.4</v>
      </c>
      <c r="L102" s="6">
        <v>6500</v>
      </c>
      <c r="M102" s="6">
        <v>350</v>
      </c>
      <c r="N102" s="6">
        <v>2</v>
      </c>
      <c r="O102" s="3005" t="s">
        <v>1054</v>
      </c>
    </row>
    <row r="103" spans="1:15">
      <c r="A103" s="1707">
        <f>IFERROR(INDEX('2. S Plan'!$E$5:$E$75, MATCH(B.BasicInfomation!B103, '2. S Plan'!$F$5:$F$75, 0)),"")</f>
        <v>39</v>
      </c>
      <c r="B103" s="10" t="s">
        <v>899</v>
      </c>
      <c r="C103" s="2999">
        <f t="shared" si="10"/>
        <v>39</v>
      </c>
      <c r="D103" s="10" t="str">
        <f>_xlfn.XLOOKUP(B103,'2. S Plan'!$F$5:$F$83,'2. S Plan'!$AC$5:$AC$83,0,0)</f>
        <v>CAM L.Mount</v>
      </c>
      <c r="E103" s="10" t="str">
        <f>_xlfn.XLOOKUP(B103,'2. S Plan'!$F$5:$F$83,'2. S Plan'!$AB$5:$AB$83,0,0)</f>
        <v>ZF TRW</v>
      </c>
      <c r="F103" s="3006">
        <v>0.95</v>
      </c>
      <c r="G103" s="3006">
        <v>0.85</v>
      </c>
      <c r="H103" s="3006">
        <v>0.8075</v>
      </c>
      <c r="I103" s="8">
        <v>8.0000000000000002E-3</v>
      </c>
      <c r="J103" s="7">
        <f t="shared" si="13"/>
        <v>3.2000000000000002E-3</v>
      </c>
      <c r="K103" s="3009">
        <f t="shared" si="12"/>
        <v>0.4</v>
      </c>
      <c r="L103" s="6">
        <v>6500</v>
      </c>
      <c r="M103" s="6">
        <v>350</v>
      </c>
      <c r="N103" s="6">
        <v>2</v>
      </c>
      <c r="O103" s="3005" t="s">
        <v>1054</v>
      </c>
    </row>
    <row r="104" spans="1:15">
      <c r="A104" s="1707">
        <f>IFERROR(INDEX('2. S Plan'!$E$5:$E$75, MATCH(B.BasicInfomation!B104, '2. S Plan'!$F$5:$F$75, 0)),"")</f>
        <v>40</v>
      </c>
      <c r="B104" s="10" t="s">
        <v>900</v>
      </c>
      <c r="C104" s="2999">
        <f t="shared" si="10"/>
        <v>40</v>
      </c>
      <c r="D104" s="10" t="str">
        <f>_xlfn.XLOOKUP(B104,'2. S Plan'!$F$5:$F$83,'2. S Plan'!$AC$5:$AC$83,0,0)</f>
        <v>Heatsink</v>
      </c>
      <c r="E104" s="10" t="str">
        <f>_xlfn.XLOOKUP(B104,'2. S Plan'!$F$5:$F$83,'2. S Plan'!$AB$5:$AB$83,0,0)</f>
        <v>ZF TRW</v>
      </c>
      <c r="F104" s="3006">
        <v>0.95</v>
      </c>
      <c r="G104" s="3006">
        <v>0.85</v>
      </c>
      <c r="H104" s="3006">
        <v>0.8075</v>
      </c>
      <c r="I104" s="8">
        <v>8.0000000000000002E-3</v>
      </c>
      <c r="J104" s="7">
        <f t="shared" si="13"/>
        <v>3.2000000000000002E-3</v>
      </c>
      <c r="K104" s="3009">
        <f t="shared" si="12"/>
        <v>0.4</v>
      </c>
      <c r="L104" s="6">
        <v>6500</v>
      </c>
      <c r="M104" s="6">
        <v>350</v>
      </c>
      <c r="N104" s="6">
        <v>2</v>
      </c>
      <c r="O104" s="3005" t="s">
        <v>1054</v>
      </c>
    </row>
    <row r="105" spans="1:15">
      <c r="A105" s="1707">
        <f>IFERROR(INDEX('2. S Plan'!$E$5:$E$75, MATCH(B.BasicInfomation!B105, '2. S Plan'!$F$5:$F$75, 0)),"")</f>
        <v>41</v>
      </c>
      <c r="B105" s="10" t="s">
        <v>901</v>
      </c>
      <c r="C105" s="2999">
        <f t="shared" si="10"/>
        <v>41</v>
      </c>
      <c r="D105" s="10" t="str">
        <f>_xlfn.XLOOKUP(B105,'2. S Plan'!$F$5:$F$83,'2. S Plan'!$AC$5:$AC$83,0,0)</f>
        <v>Heatsink</v>
      </c>
      <c r="E105" s="10" t="str">
        <f>_xlfn.XLOOKUP(B105,'2. S Plan'!$F$5:$F$83,'2. S Plan'!$AB$5:$AB$83,0,0)</f>
        <v>ZF TRW</v>
      </c>
      <c r="F105" s="3006">
        <v>0.95</v>
      </c>
      <c r="G105" s="3006">
        <v>0.8</v>
      </c>
      <c r="H105" s="3006">
        <v>0.76</v>
      </c>
      <c r="I105" s="8">
        <v>0.6</v>
      </c>
      <c r="J105" s="7">
        <v>0.33673999999999998</v>
      </c>
      <c r="K105" s="3009">
        <f t="shared" si="8"/>
        <v>0.56123333333333336</v>
      </c>
      <c r="L105" s="6">
        <v>1700</v>
      </c>
      <c r="M105" s="6">
        <v>350</v>
      </c>
      <c r="N105" s="6">
        <v>1</v>
      </c>
      <c r="O105" s="3005" t="s">
        <v>1054</v>
      </c>
    </row>
    <row r="106" spans="1:15">
      <c r="A106" s="1707">
        <f>IFERROR(INDEX('2. S Plan'!$E$5:$E$75, MATCH(B.BasicInfomation!B106, '2. S Plan'!$F$5:$F$75, 0)),"")</f>
        <v>0</v>
      </c>
      <c r="B106" s="10" t="s">
        <v>1283</v>
      </c>
      <c r="C106" s="2999">
        <f t="shared" si="10"/>
        <v>0</v>
      </c>
      <c r="D106" s="10" t="str">
        <f>_xlfn.XLOOKUP(B106,'2. S Plan'!$F$5:$F$83,'2. S Plan'!$AC$5:$AC$83,0,0)</f>
        <v>Heatsink</v>
      </c>
      <c r="E106" s="10" t="str">
        <f>_xlfn.XLOOKUP(B106,'2. S Plan'!$F$5:$F$83,'2. S Plan'!$AB$5:$AB$83,0,0)</f>
        <v>ZF TRW</v>
      </c>
      <c r="F106" s="3006">
        <v>0.95</v>
      </c>
      <c r="G106" s="3006">
        <v>0.8</v>
      </c>
      <c r="H106" s="3006">
        <v>0.76</v>
      </c>
      <c r="I106" s="8">
        <v>0.66</v>
      </c>
      <c r="J106" s="7">
        <v>0.33673999999999998</v>
      </c>
      <c r="K106" s="3009">
        <f t="shared" si="8"/>
        <v>0.51021212121212112</v>
      </c>
      <c r="L106" s="6">
        <v>1700</v>
      </c>
      <c r="M106" s="6">
        <v>350</v>
      </c>
      <c r="N106" s="6">
        <v>1</v>
      </c>
      <c r="O106" s="3005" t="s">
        <v>1054</v>
      </c>
    </row>
    <row r="107" spans="1:15">
      <c r="A107" s="1707">
        <f>IFERROR(INDEX('2. S Plan'!$E$5:$E$75, MATCH(B.BasicInfomation!B107, '2. S Plan'!$F$5:$F$75, 0)),"")</f>
        <v>0</v>
      </c>
      <c r="B107" s="10" t="s">
        <v>1284</v>
      </c>
      <c r="C107" s="2999">
        <f t="shared" si="10"/>
        <v>0</v>
      </c>
      <c r="D107" s="10" t="str">
        <f>_xlfn.XLOOKUP(B107,'2. S Plan'!$F$5:$F$83,'2. S Plan'!$AC$5:$AC$83,0,0)</f>
        <v>Heatsink</v>
      </c>
      <c r="E107" s="10" t="str">
        <f>_xlfn.XLOOKUP(B107,'2. S Plan'!$F$5:$F$83,'2. S Plan'!$AB$5:$AB$83,0,0)</f>
        <v>ZF TRW</v>
      </c>
      <c r="F107" s="3006">
        <v>0.95</v>
      </c>
      <c r="G107" s="3006">
        <v>0.8</v>
      </c>
      <c r="H107" s="3006">
        <v>0.76</v>
      </c>
      <c r="I107" s="8">
        <v>0.66</v>
      </c>
      <c r="J107" s="7">
        <v>0.33673999999999998</v>
      </c>
      <c r="K107" s="3009">
        <f t="shared" si="8"/>
        <v>0.51021212121212112</v>
      </c>
      <c r="L107" s="6">
        <v>1700</v>
      </c>
      <c r="M107" s="6">
        <v>350</v>
      </c>
      <c r="N107" s="6">
        <v>1</v>
      </c>
      <c r="O107" s="3005" t="s">
        <v>1054</v>
      </c>
    </row>
    <row r="108" spans="1:15">
      <c r="A108" s="1707">
        <f>IFERROR(INDEX('2. S Plan'!$E$5:$E$75, MATCH(B.BasicInfomation!B108, '2. S Plan'!$F$5:$F$75, 0)),"")</f>
        <v>0</v>
      </c>
      <c r="B108" s="10" t="s">
        <v>1285</v>
      </c>
      <c r="C108" s="2999">
        <f t="shared" si="10"/>
        <v>0</v>
      </c>
      <c r="D108" s="10" t="str">
        <f>_xlfn.XLOOKUP(B108,'2. S Plan'!$F$5:$F$83,'2. S Plan'!$AC$5:$AC$83,0,0)</f>
        <v>Heatsink</v>
      </c>
      <c r="E108" s="10" t="str">
        <f>_xlfn.XLOOKUP(B108,'2. S Plan'!$F$5:$F$83,'2. S Plan'!$AB$5:$AB$83,0,0)</f>
        <v>ZF TRW</v>
      </c>
      <c r="F108" s="3006">
        <v>0.95</v>
      </c>
      <c r="G108" s="3006">
        <v>0.8</v>
      </c>
      <c r="H108" s="3006">
        <v>0.76</v>
      </c>
      <c r="I108" s="8">
        <v>0.66</v>
      </c>
      <c r="J108" s="7">
        <v>0.33673999999999998</v>
      </c>
      <c r="K108" s="3009">
        <f t="shared" si="8"/>
        <v>0.51021212121212112</v>
      </c>
      <c r="L108" s="6">
        <v>1700</v>
      </c>
      <c r="M108" s="6">
        <v>350</v>
      </c>
      <c r="N108" s="6">
        <v>1</v>
      </c>
      <c r="O108" s="3005" t="s">
        <v>1054</v>
      </c>
    </row>
    <row r="109" spans="1:15">
      <c r="A109" s="1707" t="str">
        <f>IFERROR(INDEX('2. S Plan'!$E$5:$E$75, MATCH(B.BasicInfomation!B109, '2. S Plan'!$F$5:$F$75, 0)),"")</f>
        <v/>
      </c>
      <c r="B109" s="10" t="s">
        <v>1286</v>
      </c>
      <c r="C109" s="2999" t="str">
        <f t="shared" si="10"/>
        <v/>
      </c>
      <c r="D109" s="10">
        <f>_xlfn.XLOOKUP(B109,'2. S Plan'!$F$5:$F$83,'2. S Plan'!$AC$5:$AC$83,0,0)</f>
        <v>0</v>
      </c>
      <c r="E109" s="10">
        <f>_xlfn.XLOOKUP(B109,'2. S Plan'!$F$5:$F$83,'2. S Plan'!$AB$5:$AB$83,0,0)</f>
        <v>0</v>
      </c>
      <c r="F109" s="3006">
        <v>0.95</v>
      </c>
      <c r="G109" s="3006">
        <v>0.8</v>
      </c>
      <c r="H109" s="3006">
        <v>0.76</v>
      </c>
      <c r="I109" s="8">
        <v>0.66</v>
      </c>
      <c r="J109" s="7">
        <v>0.33673999999999998</v>
      </c>
      <c r="K109" s="3009">
        <f t="shared" si="8"/>
        <v>0.51021212121212112</v>
      </c>
      <c r="L109" s="6">
        <v>1700</v>
      </c>
      <c r="M109" s="6">
        <v>350</v>
      </c>
      <c r="N109" s="6">
        <v>1</v>
      </c>
      <c r="O109" s="3005" t="s">
        <v>1054</v>
      </c>
    </row>
    <row r="110" spans="1:15">
      <c r="A110" s="1707" t="str">
        <f>IFERROR(INDEX('2. S Plan'!$E$5:$E$75, MATCH(B.BasicInfomation!B110, '2. S Plan'!$F$5:$F$75, 0)),"")</f>
        <v/>
      </c>
      <c r="B110" s="10" t="s">
        <v>1287</v>
      </c>
      <c r="C110" s="2999" t="str">
        <f t="shared" si="10"/>
        <v/>
      </c>
      <c r="D110" s="10">
        <f>_xlfn.XLOOKUP(B110,'2. S Plan'!$F$5:$F$83,'2. S Plan'!$AC$5:$AC$83,0,0)</f>
        <v>0</v>
      </c>
      <c r="E110" s="10">
        <f>_xlfn.XLOOKUP(B110,'2. S Plan'!$F$5:$F$83,'2. S Plan'!$AB$5:$AB$83,0,0)</f>
        <v>0</v>
      </c>
      <c r="F110" s="3006">
        <v>0.95</v>
      </c>
      <c r="G110" s="3006">
        <v>0.8</v>
      </c>
      <c r="H110" s="3006">
        <v>0.76</v>
      </c>
      <c r="I110" s="8">
        <v>0.66</v>
      </c>
      <c r="J110" s="7">
        <v>0.33673999999999998</v>
      </c>
      <c r="K110" s="3009">
        <f t="shared" si="8"/>
        <v>0.51021212121212112</v>
      </c>
      <c r="L110" s="6">
        <v>1700</v>
      </c>
      <c r="M110" s="6">
        <v>350</v>
      </c>
      <c r="N110" s="6">
        <v>1</v>
      </c>
      <c r="O110" s="3005" t="s">
        <v>1054</v>
      </c>
    </row>
    <row r="111" spans="1:15">
      <c r="A111" s="1707" t="str">
        <f>IFERROR(INDEX('2. S Plan'!$E$5:$E$75, MATCH(B.BasicInfomation!B111, '2. S Plan'!$F$5:$F$75, 0)),"")</f>
        <v/>
      </c>
      <c r="B111" s="10" t="s">
        <v>1288</v>
      </c>
      <c r="C111" s="2999" t="str">
        <f t="shared" si="10"/>
        <v/>
      </c>
      <c r="D111" s="10">
        <f>_xlfn.XLOOKUP(B111,'2. S Plan'!$F$5:$F$83,'2. S Plan'!$AC$5:$AC$83,0,0)</f>
        <v>0</v>
      </c>
      <c r="E111" s="10">
        <f>_xlfn.XLOOKUP(B111,'2. S Plan'!$F$5:$F$83,'2. S Plan'!$AB$5:$AB$83,0,0)</f>
        <v>0</v>
      </c>
      <c r="F111" s="3006">
        <v>0.95</v>
      </c>
      <c r="G111" s="3006">
        <v>0.8</v>
      </c>
      <c r="H111" s="3006">
        <v>0.76</v>
      </c>
      <c r="I111" s="8">
        <v>0.1</v>
      </c>
      <c r="J111" s="7">
        <v>4.1599999999999998E-2</v>
      </c>
      <c r="K111" s="3009">
        <f t="shared" si="8"/>
        <v>0.41599999999999998</v>
      </c>
      <c r="L111" s="6">
        <v>5000</v>
      </c>
      <c r="M111" s="6">
        <v>125</v>
      </c>
      <c r="N111" s="6">
        <v>2</v>
      </c>
      <c r="O111" s="3005" t="s">
        <v>1054</v>
      </c>
    </row>
    <row r="112" spans="1:15">
      <c r="A112" s="1707" t="str">
        <f>IFERROR(INDEX('2. S Plan'!$E$5:$E$75, MATCH(B.BasicInfomation!B112, '2. S Plan'!$F$5:$F$75, 0)),"")</f>
        <v/>
      </c>
      <c r="B112" s="10" t="s">
        <v>1289</v>
      </c>
      <c r="C112" s="2999" t="str">
        <f t="shared" si="10"/>
        <v/>
      </c>
      <c r="D112" s="10">
        <f>_xlfn.XLOOKUP(B112,'2. S Plan'!$F$5:$F$83,'2. S Plan'!$AC$5:$AC$83,0,0)</f>
        <v>0</v>
      </c>
      <c r="E112" s="10">
        <f>_xlfn.XLOOKUP(B112,'2. S Plan'!$F$5:$F$83,'2. S Plan'!$AB$5:$AB$83,0,0)</f>
        <v>0</v>
      </c>
      <c r="F112" s="3006">
        <v>0.95</v>
      </c>
      <c r="G112" s="3006">
        <v>0.8</v>
      </c>
      <c r="H112" s="3006">
        <v>0.76</v>
      </c>
      <c r="I112" s="8">
        <v>0.69</v>
      </c>
      <c r="J112" s="7">
        <v>0.33673999999999998</v>
      </c>
      <c r="K112" s="3009">
        <f t="shared" si="8"/>
        <v>0.48802898550724638</v>
      </c>
      <c r="L112" s="6">
        <v>1700</v>
      </c>
      <c r="M112" s="6">
        <v>350</v>
      </c>
      <c r="N112" s="6">
        <v>1</v>
      </c>
      <c r="O112" s="3005" t="s">
        <v>1054</v>
      </c>
    </row>
    <row r="113" spans="1:15">
      <c r="A113" s="1707" t="str">
        <f>IFERROR(INDEX('2. S Plan'!$E$5:$E$75, MATCH(B.BasicInfomation!B113, '2. S Plan'!$F$5:$F$75, 0)),"")</f>
        <v/>
      </c>
      <c r="B113" s="10" t="s">
        <v>1290</v>
      </c>
      <c r="C113" s="2999" t="str">
        <f t="shared" si="10"/>
        <v/>
      </c>
      <c r="D113" s="10">
        <f>_xlfn.XLOOKUP(B113,'2. S Plan'!$F$5:$F$83,'2. S Plan'!$AC$5:$AC$83,0,0)</f>
        <v>0</v>
      </c>
      <c r="E113" s="10">
        <f>_xlfn.XLOOKUP(B113,'2. S Plan'!$F$5:$F$83,'2. S Plan'!$AB$5:$AB$83,0,0)</f>
        <v>0</v>
      </c>
      <c r="F113" s="3006">
        <v>0.95</v>
      </c>
      <c r="G113" s="3006">
        <v>0.8</v>
      </c>
      <c r="H113" s="3006">
        <v>0.76</v>
      </c>
      <c r="I113" s="8">
        <v>1.4</v>
      </c>
      <c r="J113" s="7">
        <v>0.71499999999999997</v>
      </c>
      <c r="K113" s="3009">
        <f t="shared" si="8"/>
        <v>0.51071428571428568</v>
      </c>
      <c r="L113" s="6">
        <v>1600</v>
      </c>
      <c r="M113" s="6">
        <v>350</v>
      </c>
      <c r="N113" s="6">
        <v>1</v>
      </c>
      <c r="O113" s="3005" t="s">
        <v>1054</v>
      </c>
    </row>
    <row r="114" spans="1:15">
      <c r="A114" s="1707" t="str">
        <f>IFERROR(INDEX('2. S Plan'!$E$5:$E$75, MATCH(B.BasicInfomation!B114, '2. S Plan'!$F$5:$F$75, 0)),"")</f>
        <v/>
      </c>
      <c r="B114" s="10" t="s">
        <v>1291</v>
      </c>
      <c r="C114" s="2999" t="str">
        <f t="shared" si="10"/>
        <v/>
      </c>
      <c r="D114" s="10">
        <f>_xlfn.XLOOKUP(B114,'2. S Plan'!$F$5:$F$83,'2. S Plan'!$AC$5:$AC$83,0,0)</f>
        <v>0</v>
      </c>
      <c r="E114" s="10">
        <f>_xlfn.XLOOKUP(B114,'2. S Plan'!$F$5:$F$83,'2. S Plan'!$AB$5:$AB$83,0,0)</f>
        <v>0</v>
      </c>
      <c r="F114" s="3006">
        <v>0.95</v>
      </c>
      <c r="G114" s="3006">
        <v>0.8</v>
      </c>
      <c r="H114" s="3006">
        <v>0.76</v>
      </c>
      <c r="I114" s="8">
        <v>4.4999999999999998E-2</v>
      </c>
      <c r="J114" s="7">
        <v>1.6E-2</v>
      </c>
      <c r="K114" s="3009">
        <f t="shared" si="8"/>
        <v>0.35555555555555557</v>
      </c>
      <c r="L114" s="6">
        <v>5000</v>
      </c>
      <c r="M114" s="6">
        <v>350</v>
      </c>
      <c r="N114" s="6">
        <v>2</v>
      </c>
      <c r="O114" s="3005" t="s">
        <v>1054</v>
      </c>
    </row>
    <row r="115" spans="1:15">
      <c r="A115" s="1707" t="str">
        <f>IFERROR(INDEX('2. S Plan'!$E$5:$E$75, MATCH(B.BasicInfomation!B115, '2. S Plan'!$F$5:$F$75, 0)),"")</f>
        <v/>
      </c>
      <c r="B115" s="10" t="s">
        <v>1292</v>
      </c>
      <c r="C115" s="2999" t="str">
        <f t="shared" si="10"/>
        <v/>
      </c>
      <c r="D115" s="10">
        <f>_xlfn.XLOOKUP(B115,'2. S Plan'!$F$5:$F$83,'2. S Plan'!$AC$5:$AC$83,0,0)</f>
        <v>0</v>
      </c>
      <c r="E115" s="10">
        <f>_xlfn.XLOOKUP(B115,'2. S Plan'!$F$5:$F$83,'2. S Plan'!$AB$5:$AB$83,0,0)</f>
        <v>0</v>
      </c>
      <c r="F115" s="3006">
        <v>0.95</v>
      </c>
      <c r="G115" s="3006">
        <v>0.8</v>
      </c>
      <c r="H115" s="3006">
        <v>0.76</v>
      </c>
      <c r="I115" s="8">
        <v>4.5999999999999999E-2</v>
      </c>
      <c r="J115" s="7">
        <v>1.8700000000000001E-2</v>
      </c>
      <c r="K115" s="3009">
        <f t="shared" si="8"/>
        <v>0.40652173913043482</v>
      </c>
      <c r="L115" s="6">
        <v>5000</v>
      </c>
      <c r="M115" s="6">
        <v>350</v>
      </c>
      <c r="N115" s="6">
        <v>2</v>
      </c>
      <c r="O115" s="3005" t="s">
        <v>1054</v>
      </c>
    </row>
    <row r="116" spans="1:15">
      <c r="A116" s="1707" t="str">
        <f>IFERROR(INDEX('2. S Plan'!$E$5:$E$75, MATCH(B.BasicInfomation!B116, '2. S Plan'!$F$5:$F$75, 0)),"")</f>
        <v/>
      </c>
      <c r="B116" s="10" t="s">
        <v>1293</v>
      </c>
      <c r="C116" s="2999" t="str">
        <f t="shared" si="10"/>
        <v/>
      </c>
      <c r="D116" s="10">
        <f>_xlfn.XLOOKUP(B116,'2. S Plan'!$F$5:$F$83,'2. S Plan'!$AC$5:$AC$83,0,0)</f>
        <v>0</v>
      </c>
      <c r="E116" s="10">
        <f>_xlfn.XLOOKUP(B116,'2. S Plan'!$F$5:$F$83,'2. S Plan'!$AB$5:$AB$83,0,0)</f>
        <v>0</v>
      </c>
      <c r="F116" s="3006">
        <v>0.95</v>
      </c>
      <c r="G116" s="3006">
        <v>0.8</v>
      </c>
      <c r="H116" s="3006">
        <v>0.76</v>
      </c>
      <c r="I116" s="8">
        <v>0.55000000000000004</v>
      </c>
      <c r="J116" s="7">
        <v>0.314</v>
      </c>
      <c r="K116" s="3009">
        <f t="shared" si="8"/>
        <v>0.57090909090909081</v>
      </c>
      <c r="L116" s="6">
        <v>1800</v>
      </c>
      <c r="M116" s="6">
        <v>350</v>
      </c>
      <c r="N116" s="6">
        <v>1</v>
      </c>
      <c r="O116" s="3005" t="s">
        <v>1054</v>
      </c>
    </row>
    <row r="117" spans="1:15">
      <c r="A117" s="1707" t="str">
        <f>IFERROR(INDEX('2. S Plan'!$E$5:$E$75, MATCH(B.BasicInfomation!B117, '2. S Plan'!$F$5:$F$75, 0)),"")</f>
        <v/>
      </c>
      <c r="B117" s="10" t="s">
        <v>1294</v>
      </c>
      <c r="C117" s="2999" t="str">
        <f t="shared" si="10"/>
        <v/>
      </c>
      <c r="D117" s="10">
        <f>_xlfn.XLOOKUP(B117,'2. S Plan'!$F$5:$F$83,'2. S Plan'!$AC$5:$AC$83,0,0)</f>
        <v>0</v>
      </c>
      <c r="E117" s="10">
        <f>_xlfn.XLOOKUP(B117,'2. S Plan'!$F$5:$F$83,'2. S Plan'!$AB$5:$AB$83,0,0)</f>
        <v>0</v>
      </c>
      <c r="F117" s="3006">
        <v>0.95</v>
      </c>
      <c r="G117" s="3006">
        <v>0.8</v>
      </c>
      <c r="H117" s="3006">
        <v>0.76</v>
      </c>
      <c r="I117" s="8">
        <v>0.62</v>
      </c>
      <c r="J117" s="7">
        <v>0.35099999999999998</v>
      </c>
      <c r="K117" s="3009">
        <f t="shared" si="8"/>
        <v>0.56612903225806444</v>
      </c>
      <c r="L117" s="6">
        <v>1800</v>
      </c>
      <c r="M117" s="6">
        <v>350</v>
      </c>
      <c r="N117" s="6">
        <v>1</v>
      </c>
      <c r="O117" s="3005" t="s">
        <v>1054</v>
      </c>
    </row>
    <row r="118" spans="1:15">
      <c r="A118" s="1707" t="str">
        <f>IFERROR(INDEX('2. S Plan'!$E$5:$E$75, MATCH(B.BasicInfomation!B118, '2. S Plan'!$F$5:$F$75, 0)),"")</f>
        <v/>
      </c>
      <c r="B118" s="10" t="s">
        <v>1295</v>
      </c>
      <c r="C118" s="2999" t="str">
        <f t="shared" si="10"/>
        <v/>
      </c>
      <c r="D118" s="10">
        <f>_xlfn.XLOOKUP(B118,'2. S Plan'!$F$5:$F$83,'2. S Plan'!$AC$5:$AC$83,0,0)</f>
        <v>0</v>
      </c>
      <c r="E118" s="10">
        <f>_xlfn.XLOOKUP(B118,'2. S Plan'!$F$5:$F$83,'2. S Plan'!$AB$5:$AB$83,0,0)</f>
        <v>0</v>
      </c>
      <c r="F118" s="3006">
        <v>0.95</v>
      </c>
      <c r="G118" s="3006">
        <v>0.8</v>
      </c>
      <c r="H118" s="3006">
        <v>0.76</v>
      </c>
      <c r="I118" s="8">
        <v>0.38314999999999999</v>
      </c>
      <c r="J118" s="7">
        <v>0.16500000000000001</v>
      </c>
      <c r="K118" s="3009">
        <f t="shared" si="8"/>
        <v>0.43064074122406371</v>
      </c>
      <c r="L118" s="6">
        <v>3600</v>
      </c>
      <c r="M118" s="6">
        <v>125</v>
      </c>
      <c r="N118" s="6">
        <v>2</v>
      </c>
      <c r="O118" s="3005" t="s">
        <v>1054</v>
      </c>
    </row>
    <row r="119" spans="1:15">
      <c r="A119" s="1707" t="str">
        <f>IFERROR(INDEX('2. S Plan'!$E$5:$E$75, MATCH(B.BasicInfomation!B119, '2. S Plan'!$F$5:$F$75, 0)),"")</f>
        <v/>
      </c>
      <c r="B119" s="3947" t="s">
        <v>1326</v>
      </c>
      <c r="C119" s="2999" t="str">
        <f t="shared" si="10"/>
        <v/>
      </c>
      <c r="D119" s="10">
        <f>_xlfn.XLOOKUP(B119,'2. S Plan'!$F$5:$F$83,'2. S Plan'!$AC$5:$AC$83,0,0)</f>
        <v>0</v>
      </c>
      <c r="E119" s="10">
        <f>_xlfn.XLOOKUP(B119,'2. S Plan'!$F$5:$F$83,'2. S Plan'!$AB$5:$AB$83,0,0)</f>
        <v>0</v>
      </c>
      <c r="F119" s="3948"/>
      <c r="G119" s="3948">
        <v>0.8</v>
      </c>
      <c r="H119" s="3948"/>
      <c r="I119" s="3949"/>
      <c r="J119" s="3950"/>
      <c r="K119" s="3951"/>
      <c r="L119" s="3952"/>
      <c r="M119" s="3952"/>
      <c r="N119" s="3952"/>
      <c r="O119" s="3953"/>
    </row>
    <row r="120" spans="1:15">
      <c r="A120" s="1707" t="str">
        <f>IFERROR(INDEX('2. S Plan'!$E$5:$E$75, MATCH(B.BasicInfomation!B120, '2. S Plan'!$F$5:$F$75, 0)),"")</f>
        <v/>
      </c>
      <c r="B120" s="3947" t="s">
        <v>1319</v>
      </c>
      <c r="C120" s="2999" t="str">
        <f t="shared" si="10"/>
        <v/>
      </c>
      <c r="D120" s="10">
        <f>_xlfn.XLOOKUP(B120,'2. S Plan'!$F$5:$F$83,'2. S Plan'!$AC$5:$AC$83,0,0)</f>
        <v>0</v>
      </c>
      <c r="E120" s="10">
        <f>_xlfn.XLOOKUP(B120,'2. S Plan'!$F$5:$F$83,'2. S Plan'!$AB$5:$AB$83,0,0)</f>
        <v>0</v>
      </c>
      <c r="F120" s="3948"/>
      <c r="G120" s="3948">
        <v>0.8</v>
      </c>
      <c r="H120" s="3948"/>
      <c r="I120" s="3949"/>
      <c r="J120" s="3950"/>
      <c r="K120" s="3951"/>
      <c r="L120" s="3952"/>
      <c r="M120" s="3952"/>
      <c r="N120" s="3952"/>
      <c r="O120" s="3953"/>
    </row>
    <row r="121" spans="1:15">
      <c r="A121" s="1707" t="str">
        <f>IFERROR(INDEX('2. S Plan'!$E$5:$E$75, MATCH(B.BasicInfomation!B121, '2. S Plan'!$F$5:$F$75, 0)),"")</f>
        <v/>
      </c>
      <c r="B121" s="3947" t="s">
        <v>1320</v>
      </c>
      <c r="C121" s="2999" t="str">
        <f t="shared" si="10"/>
        <v/>
      </c>
      <c r="D121" s="10">
        <f>_xlfn.XLOOKUP(B121,'2. S Plan'!$F$5:$F$83,'2. S Plan'!$AC$5:$AC$83,0,0)</f>
        <v>0</v>
      </c>
      <c r="E121" s="10">
        <f>_xlfn.XLOOKUP(B121,'2. S Plan'!$F$5:$F$83,'2. S Plan'!$AB$5:$AB$83,0,0)</f>
        <v>0</v>
      </c>
      <c r="F121" s="3948"/>
      <c r="G121" s="3948">
        <v>0.8</v>
      </c>
      <c r="H121" s="3948"/>
      <c r="I121" s="3949"/>
      <c r="J121" s="3950"/>
      <c r="K121" s="3951"/>
      <c r="L121" s="3952"/>
      <c r="M121" s="3952"/>
      <c r="N121" s="3952"/>
      <c r="O121" s="3953"/>
    </row>
    <row r="122" spans="1:15">
      <c r="A122" s="1707" t="str">
        <f>IFERROR(INDEX('2. S Plan'!$E$5:$E$75, MATCH(B.BasicInfomation!B122, '2. S Plan'!$F$5:$F$75, 0)),"")</f>
        <v/>
      </c>
      <c r="B122" s="3947" t="s">
        <v>1321</v>
      </c>
      <c r="C122" s="2999" t="str">
        <f t="shared" si="10"/>
        <v/>
      </c>
      <c r="D122" s="10">
        <f>_xlfn.XLOOKUP(B122,'2. S Plan'!$F$5:$F$83,'2. S Plan'!$AC$5:$AC$83,0,0)</f>
        <v>0</v>
      </c>
      <c r="E122" s="10">
        <f>_xlfn.XLOOKUP(B122,'2. S Plan'!$F$5:$F$83,'2. S Plan'!$AB$5:$AB$83,0,0)</f>
        <v>0</v>
      </c>
      <c r="F122" s="3948"/>
      <c r="G122" s="3948">
        <v>0.8</v>
      </c>
      <c r="H122" s="3948"/>
      <c r="I122" s="3949"/>
      <c r="J122" s="3950"/>
      <c r="K122" s="3951"/>
      <c r="L122" s="3952"/>
      <c r="M122" s="3952"/>
      <c r="N122" s="3952"/>
      <c r="O122" s="3953"/>
    </row>
    <row r="123" spans="1:15">
      <c r="A123" s="1707" t="str">
        <f>IFERROR(INDEX('2. S Plan'!$E$5:$E$75, MATCH(B.BasicInfomation!B123, '2. S Plan'!$F$5:$F$75, 0)),"")</f>
        <v/>
      </c>
      <c r="B123" s="3947" t="s">
        <v>1322</v>
      </c>
      <c r="C123" s="2999" t="str">
        <f t="shared" si="10"/>
        <v/>
      </c>
      <c r="D123" s="10">
        <f>_xlfn.XLOOKUP(B123,'2. S Plan'!$F$5:$F$83,'2. S Plan'!$AC$5:$AC$83,0,0)</f>
        <v>0</v>
      </c>
      <c r="E123" s="10">
        <f>_xlfn.XLOOKUP(B123,'2. S Plan'!$F$5:$F$83,'2. S Plan'!$AB$5:$AB$83,0,0)</f>
        <v>0</v>
      </c>
      <c r="F123" s="3948"/>
      <c r="G123" s="3948">
        <v>0.8</v>
      </c>
      <c r="H123" s="3948"/>
      <c r="I123" s="3949"/>
      <c r="J123" s="3950"/>
      <c r="K123" s="3951"/>
      <c r="L123" s="3952"/>
      <c r="M123" s="3952"/>
      <c r="N123" s="3952"/>
      <c r="O123" s="3953"/>
    </row>
    <row r="124" spans="1:15">
      <c r="A124" s="1707" t="str">
        <f>IFERROR(INDEX('2. S Plan'!$E$5:$E$75, MATCH(B.BasicInfomation!B124, '2. S Plan'!$F$5:$F$75, 0)),"")</f>
        <v/>
      </c>
      <c r="B124" s="3947" t="s">
        <v>1323</v>
      </c>
      <c r="C124" s="2999" t="str">
        <f t="shared" si="10"/>
        <v/>
      </c>
      <c r="D124" s="10">
        <f>_xlfn.XLOOKUP(B124,'2. S Plan'!$F$5:$F$83,'2. S Plan'!$AC$5:$AC$83,0,0)</f>
        <v>0</v>
      </c>
      <c r="E124" s="10">
        <f>_xlfn.XLOOKUP(B124,'2. S Plan'!$F$5:$F$83,'2. S Plan'!$AB$5:$AB$83,0,0)</f>
        <v>0</v>
      </c>
      <c r="F124" s="3948"/>
      <c r="G124" s="3948">
        <v>0.8</v>
      </c>
      <c r="H124" s="3948"/>
      <c r="I124" s="3949"/>
      <c r="J124" s="3950"/>
      <c r="K124" s="3951"/>
      <c r="L124" s="3952"/>
      <c r="M124" s="3952"/>
      <c r="N124" s="3952"/>
      <c r="O124" s="3953"/>
    </row>
    <row r="125" spans="1:15">
      <c r="A125" s="1707" t="str">
        <f>IFERROR(INDEX('2. S Plan'!$E$5:$E$75, MATCH(B.BasicInfomation!B125, '2. S Plan'!$F$5:$F$75, 0)),"")</f>
        <v/>
      </c>
      <c r="B125" s="3947" t="s">
        <v>1324</v>
      </c>
      <c r="C125" s="2999" t="str">
        <f t="shared" si="10"/>
        <v/>
      </c>
      <c r="D125" s="10">
        <f>_xlfn.XLOOKUP(B125,'2. S Plan'!$F$5:$F$83,'2. S Plan'!$AC$5:$AC$83,0,0)</f>
        <v>0</v>
      </c>
      <c r="E125" s="10">
        <f>_xlfn.XLOOKUP(B125,'2. S Plan'!$F$5:$F$83,'2. S Plan'!$AB$5:$AB$83,0,0)</f>
        <v>0</v>
      </c>
      <c r="F125" s="3948"/>
      <c r="G125" s="3948">
        <v>0.8</v>
      </c>
      <c r="H125" s="3948"/>
      <c r="I125" s="3949"/>
      <c r="J125" s="3950"/>
      <c r="K125" s="3951"/>
      <c r="L125" s="3952"/>
      <c r="M125" s="3952"/>
      <c r="N125" s="3952"/>
      <c r="O125" s="3953"/>
    </row>
    <row r="126" spans="1:15">
      <c r="A126" s="1707" t="str">
        <f>IFERROR(INDEX('2. S Plan'!$E$5:$E$75, MATCH(B.BasicInfomation!B126, '2. S Plan'!$F$5:$F$75, 0)),"")</f>
        <v/>
      </c>
      <c r="B126" s="3947" t="s">
        <v>1325</v>
      </c>
      <c r="C126" s="2999" t="str">
        <f t="shared" si="10"/>
        <v/>
      </c>
      <c r="D126" s="10">
        <f>_xlfn.XLOOKUP(B126,'2. S Plan'!$F$5:$F$83,'2. S Plan'!$AC$5:$AC$83,0,0)</f>
        <v>0</v>
      </c>
      <c r="E126" s="10">
        <f>_xlfn.XLOOKUP(B126,'2. S Plan'!$F$5:$F$83,'2. S Plan'!$AB$5:$AB$83,0,0)</f>
        <v>0</v>
      </c>
      <c r="F126" s="3948"/>
      <c r="G126" s="3948">
        <v>0.8</v>
      </c>
      <c r="H126" s="3948"/>
      <c r="I126" s="3949"/>
      <c r="J126" s="3950"/>
      <c r="K126" s="3951"/>
      <c r="L126" s="3952"/>
      <c r="M126" s="3952"/>
      <c r="N126" s="3952"/>
      <c r="O126" s="3953"/>
    </row>
    <row r="127" spans="1:15">
      <c r="A127" s="1707" t="str">
        <f>IFERROR(INDEX('2. S Plan'!$E$5:$E$75, MATCH(B.BasicInfomation!B127, '2. S Plan'!$F$5:$F$75, 0)),"")</f>
        <v/>
      </c>
      <c r="B127" s="10" t="s">
        <v>1313</v>
      </c>
      <c r="C127" s="2999" t="str">
        <f t="shared" si="10"/>
        <v/>
      </c>
      <c r="D127" s="10">
        <f>_xlfn.XLOOKUP(B127,'2. S Plan'!$F$5:$F$83,'2. S Plan'!$AC$5:$AC$83,0,0)</f>
        <v>0</v>
      </c>
      <c r="E127" s="10">
        <f>_xlfn.XLOOKUP(B127,'2. S Plan'!$F$5:$F$83,'2. S Plan'!$AB$5:$AB$83,0,0)</f>
        <v>0</v>
      </c>
      <c r="F127" s="3006">
        <v>0.95</v>
      </c>
      <c r="G127" s="3006">
        <v>0.8</v>
      </c>
      <c r="H127" s="3006">
        <v>0.76</v>
      </c>
      <c r="I127" s="8">
        <v>0.38314999999999999</v>
      </c>
      <c r="J127" s="7">
        <v>0.16500000000000001</v>
      </c>
      <c r="K127" s="3009">
        <v>0.43064074122406371</v>
      </c>
      <c r="L127" s="6">
        <v>3600</v>
      </c>
      <c r="M127" s="6">
        <v>125</v>
      </c>
      <c r="N127" s="6">
        <v>2</v>
      </c>
      <c r="O127" s="3005"/>
    </row>
    <row r="128" spans="1:15">
      <c r="A128" s="1707" t="str">
        <f>IFERROR(INDEX('2. S Plan'!$E$5:$E$75, MATCH(B.BasicInfomation!B128, '2. S Plan'!$F$5:$F$75, 0)),"")</f>
        <v/>
      </c>
      <c r="B128" s="10" t="s">
        <v>1487</v>
      </c>
      <c r="C128" s="2999" t="str">
        <f t="shared" ref="C128" si="14">A128</f>
        <v/>
      </c>
      <c r="D128" s="10">
        <f>_xlfn.XLOOKUP(B128,'2. S Plan'!$F$5:$F$83,'2. S Plan'!$AC$5:$AC$83,0,0)</f>
        <v>0</v>
      </c>
      <c r="E128" s="10">
        <f>_xlfn.XLOOKUP(B128,'2. S Plan'!$F$5:$F$83,'2. S Plan'!$AB$5:$AB$83,0,0)</f>
        <v>0</v>
      </c>
      <c r="F128" s="3006">
        <v>0.95</v>
      </c>
      <c r="G128" s="3006">
        <v>0.8</v>
      </c>
      <c r="H128" s="3006">
        <v>0.76</v>
      </c>
      <c r="I128" s="8"/>
      <c r="J128" s="7"/>
      <c r="K128" s="3009"/>
      <c r="L128" s="6"/>
      <c r="M128" s="6">
        <v>0</v>
      </c>
      <c r="N128" s="6">
        <v>1</v>
      </c>
      <c r="O128" s="3005" t="s">
        <v>1488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37"/>
  <sheetViews>
    <sheetView topLeftCell="E12" workbookViewId="0">
      <selection activeCell="L39" sqref="L39"/>
    </sheetView>
  </sheetViews>
  <sheetFormatPr defaultColWidth="9.125" defaultRowHeight="12.75"/>
  <cols>
    <col min="1" max="3" width="0" style="620" hidden="1" customWidth="1"/>
    <col min="4" max="4" width="20.75" style="620" hidden="1" customWidth="1"/>
    <col min="5" max="5" width="9.125" style="620"/>
    <col min="6" max="6" width="13.125" style="620" customWidth="1"/>
    <col min="7" max="7" width="14.875" style="620" customWidth="1"/>
    <col min="8" max="8" width="14.125" style="620" customWidth="1"/>
    <col min="9" max="9" width="17.75" style="620" customWidth="1"/>
    <col min="10" max="11" width="14.125" style="620" bestFit="1" customWidth="1"/>
    <col min="12" max="12" width="15.75" style="620" bestFit="1" customWidth="1"/>
    <col min="13" max="13" width="15" style="620" bestFit="1" customWidth="1"/>
    <col min="14" max="14" width="10.375" style="620" bestFit="1" customWidth="1"/>
    <col min="15" max="15" width="16.625" style="663" bestFit="1" customWidth="1"/>
    <col min="16" max="16" width="11.375" style="620" bestFit="1" customWidth="1"/>
    <col min="17" max="17" width="13.875" style="620" customWidth="1"/>
    <col min="18" max="18" width="11" style="620" customWidth="1"/>
    <col min="19" max="19" width="10.125" style="620" hidden="1" customWidth="1"/>
    <col min="20" max="20" width="9.125" style="620"/>
    <col min="21" max="21" width="10.125" style="620" bestFit="1" customWidth="1"/>
    <col min="22" max="16384" width="9.125" style="620"/>
  </cols>
  <sheetData>
    <row r="1" spans="6:20" hidden="1">
      <c r="F1" s="619" t="s">
        <v>408</v>
      </c>
      <c r="O1" s="620"/>
      <c r="R1" s="621"/>
    </row>
    <row r="2" spans="6:20" ht="16.5" hidden="1">
      <c r="F2" s="622"/>
      <c r="G2" s="5538" t="s">
        <v>1011</v>
      </c>
      <c r="H2" s="5540" t="s">
        <v>409</v>
      </c>
      <c r="I2" s="5541"/>
      <c r="J2" s="5542"/>
      <c r="K2" s="5541" t="s">
        <v>410</v>
      </c>
      <c r="L2" s="5541"/>
      <c r="M2" s="5541"/>
      <c r="N2" s="5543" t="s">
        <v>411</v>
      </c>
      <c r="O2" s="5545" t="s">
        <v>412</v>
      </c>
      <c r="P2" s="5547" t="s">
        <v>452</v>
      </c>
      <c r="Q2" s="5531" t="s">
        <v>453</v>
      </c>
      <c r="R2" s="5533" t="s">
        <v>413</v>
      </c>
    </row>
    <row r="3" spans="6:20" ht="16.5" hidden="1">
      <c r="F3" s="623"/>
      <c r="G3" s="5539"/>
      <c r="H3" s="19" t="s">
        <v>414</v>
      </c>
      <c r="I3" s="624" t="s">
        <v>415</v>
      </c>
      <c r="J3" s="18" t="s">
        <v>416</v>
      </c>
      <c r="K3" s="625" t="s">
        <v>414</v>
      </c>
      <c r="L3" s="624" t="s">
        <v>415</v>
      </c>
      <c r="M3" s="626" t="s">
        <v>416</v>
      </c>
      <c r="N3" s="5544"/>
      <c r="O3" s="5546"/>
      <c r="P3" s="5548"/>
      <c r="Q3" s="5532"/>
      <c r="R3" s="5534"/>
    </row>
    <row r="4" spans="6:20" ht="16.5" hidden="1">
      <c r="F4" s="5535" t="s">
        <v>417</v>
      </c>
      <c r="G4" s="627" t="s">
        <v>418</v>
      </c>
      <c r="H4" s="628">
        <v>5</v>
      </c>
      <c r="I4" s="629">
        <v>5</v>
      </c>
      <c r="J4" s="630">
        <v>5</v>
      </c>
      <c r="K4" s="631">
        <v>35107938</v>
      </c>
      <c r="L4" s="629">
        <v>61225295</v>
      </c>
      <c r="M4" s="632">
        <v>43773147</v>
      </c>
      <c r="N4" s="628">
        <v>15</v>
      </c>
      <c r="O4" s="630">
        <v>140106380</v>
      </c>
      <c r="P4" s="633">
        <f t="shared" ref="P4:P10" si="0">+O4/N4</f>
        <v>9340425.333333334</v>
      </c>
      <c r="Q4" s="634">
        <f>+P4/24500</f>
        <v>381.24185034013607</v>
      </c>
      <c r="R4" s="635">
        <v>0.22064915063591428</v>
      </c>
    </row>
    <row r="5" spans="6:20" ht="16.5" hidden="1">
      <c r="F5" s="5536"/>
      <c r="G5" s="636" t="s">
        <v>419</v>
      </c>
      <c r="H5" s="637">
        <v>8</v>
      </c>
      <c r="I5" s="638">
        <v>8</v>
      </c>
      <c r="J5" s="639">
        <v>9</v>
      </c>
      <c r="K5" s="640">
        <v>38597957</v>
      </c>
      <c r="L5" s="638">
        <v>62027019</v>
      </c>
      <c r="M5" s="641">
        <v>69835577</v>
      </c>
      <c r="N5" s="637">
        <v>25</v>
      </c>
      <c r="O5" s="639">
        <v>170460553</v>
      </c>
      <c r="P5" s="642">
        <f t="shared" si="0"/>
        <v>6818422.1200000001</v>
      </c>
      <c r="Q5" s="643">
        <f t="shared" ref="Q5:Q10" si="1">+P5/24500</f>
        <v>278.30294367346937</v>
      </c>
      <c r="R5" s="644">
        <v>0.29048412408567759</v>
      </c>
    </row>
    <row r="6" spans="6:20" ht="16.5" hidden="1">
      <c r="F6" s="5537"/>
      <c r="G6" s="645" t="s">
        <v>362</v>
      </c>
      <c r="H6" s="646">
        <v>54</v>
      </c>
      <c r="I6" s="647">
        <v>52</v>
      </c>
      <c r="J6" s="648">
        <v>57</v>
      </c>
      <c r="K6" s="649">
        <v>113875090</v>
      </c>
      <c r="L6" s="647">
        <v>162050784</v>
      </c>
      <c r="M6" s="650">
        <v>160014852</v>
      </c>
      <c r="N6" s="646">
        <v>163</v>
      </c>
      <c r="O6" s="648">
        <v>435940726</v>
      </c>
      <c r="P6" s="651">
        <f t="shared" si="0"/>
        <v>2674482.981595092</v>
      </c>
      <c r="Q6" s="652">
        <f t="shared" si="1"/>
        <v>109.16257067735069</v>
      </c>
      <c r="R6" s="653">
        <v>0.23652342290231049</v>
      </c>
    </row>
    <row r="7" spans="6:20" ht="16.5" hidden="1">
      <c r="F7" s="5535" t="s">
        <v>420</v>
      </c>
      <c r="G7" s="627" t="s">
        <v>418</v>
      </c>
      <c r="H7" s="628">
        <v>3</v>
      </c>
      <c r="I7" s="629">
        <v>3</v>
      </c>
      <c r="J7" s="630">
        <v>3</v>
      </c>
      <c r="K7" s="631">
        <v>20683726</v>
      </c>
      <c r="L7" s="629">
        <v>32360625</v>
      </c>
      <c r="M7" s="632">
        <v>25701900</v>
      </c>
      <c r="N7" s="628">
        <v>9</v>
      </c>
      <c r="O7" s="630">
        <v>78746251</v>
      </c>
      <c r="P7" s="633">
        <f t="shared" si="0"/>
        <v>8749583.444444444</v>
      </c>
      <c r="Q7" s="634">
        <f t="shared" si="1"/>
        <v>357.12585487528344</v>
      </c>
      <c r="R7" s="635">
        <v>0.34592010698268122</v>
      </c>
    </row>
    <row r="8" spans="6:20" ht="16.5" hidden="1">
      <c r="F8" s="5536"/>
      <c r="G8" s="636" t="s">
        <v>419</v>
      </c>
      <c r="H8" s="637">
        <v>7</v>
      </c>
      <c r="I8" s="638">
        <v>7</v>
      </c>
      <c r="J8" s="639">
        <v>7</v>
      </c>
      <c r="K8" s="640">
        <v>67397224</v>
      </c>
      <c r="L8" s="638">
        <v>81093678</v>
      </c>
      <c r="M8" s="641">
        <v>69763557</v>
      </c>
      <c r="N8" s="637">
        <v>21</v>
      </c>
      <c r="O8" s="639">
        <v>218254459</v>
      </c>
      <c r="P8" s="642">
        <f t="shared" si="0"/>
        <v>10393069.476190476</v>
      </c>
      <c r="Q8" s="643">
        <f t="shared" si="1"/>
        <v>424.20691739552962</v>
      </c>
      <c r="R8" s="644">
        <v>0.53551627377185207</v>
      </c>
    </row>
    <row r="9" spans="6:20" ht="16.5" hidden="1">
      <c r="F9" s="5536"/>
      <c r="G9" s="627" t="s">
        <v>421</v>
      </c>
      <c r="H9" s="628">
        <v>172</v>
      </c>
      <c r="I9" s="629">
        <v>178</v>
      </c>
      <c r="J9" s="630">
        <v>179</v>
      </c>
      <c r="K9" s="631">
        <v>978664277</v>
      </c>
      <c r="L9" s="629">
        <v>1104252462</v>
      </c>
      <c r="M9" s="632">
        <v>1170341138</v>
      </c>
      <c r="N9" s="628">
        <v>529</v>
      </c>
      <c r="O9" s="630">
        <v>3253257877</v>
      </c>
      <c r="P9" s="633">
        <f t="shared" si="0"/>
        <v>6149825.854442344</v>
      </c>
      <c r="Q9" s="634">
        <f t="shared" si="1"/>
        <v>251.01330018132018</v>
      </c>
      <c r="R9" s="644">
        <v>0.56231270780975928</v>
      </c>
    </row>
    <row r="10" spans="6:20" ht="16.5" hidden="1">
      <c r="F10" s="5537"/>
      <c r="G10" s="645" t="s">
        <v>422</v>
      </c>
      <c r="H10" s="646">
        <v>638</v>
      </c>
      <c r="I10" s="647">
        <v>942</v>
      </c>
      <c r="J10" s="648">
        <v>958</v>
      </c>
      <c r="K10" s="649">
        <v>3184624737</v>
      </c>
      <c r="L10" s="647">
        <v>3227928724</v>
      </c>
      <c r="M10" s="650">
        <v>3931664167</v>
      </c>
      <c r="N10" s="646">
        <v>2864</v>
      </c>
      <c r="O10" s="648">
        <v>10344217628</v>
      </c>
      <c r="P10" s="651">
        <f t="shared" si="0"/>
        <v>3611807.8310055868</v>
      </c>
      <c r="Q10" s="652">
        <f t="shared" si="1"/>
        <v>147.42072779614639</v>
      </c>
      <c r="R10" s="653">
        <v>0.59751855139171162</v>
      </c>
    </row>
    <row r="11" spans="6:20" ht="16.5" hidden="1">
      <c r="F11" s="654"/>
      <c r="G11" s="655" t="s">
        <v>45</v>
      </c>
      <c r="H11" s="656">
        <f t="shared" ref="H11:N11" si="2">SUM(H4:H10)</f>
        <v>887</v>
      </c>
      <c r="I11" s="657">
        <f t="shared" si="2"/>
        <v>1195</v>
      </c>
      <c r="J11" s="658">
        <f t="shared" si="2"/>
        <v>1218</v>
      </c>
      <c r="K11" s="659">
        <f t="shared" si="2"/>
        <v>4438950949</v>
      </c>
      <c r="L11" s="657">
        <f t="shared" si="2"/>
        <v>4730938587</v>
      </c>
      <c r="M11" s="660">
        <f t="shared" si="2"/>
        <v>5471094338</v>
      </c>
      <c r="N11" s="656">
        <f t="shared" si="2"/>
        <v>3626</v>
      </c>
      <c r="O11" s="658">
        <f>SUM(O4:O10)</f>
        <v>14640983874</v>
      </c>
      <c r="P11" s="659">
        <f>SUM(P4:P10)</f>
        <v>47737617.041011274</v>
      </c>
      <c r="Q11" s="660">
        <f>SUM(Q4:Q10)</f>
        <v>1948.4741649392358</v>
      </c>
      <c r="R11" s="661"/>
    </row>
    <row r="12" spans="6:20" ht="17.25" thickBot="1">
      <c r="G12" s="662"/>
      <c r="H12" s="662"/>
      <c r="I12" s="662"/>
      <c r="J12" s="662"/>
      <c r="K12" s="662"/>
      <c r="L12" s="662"/>
      <c r="M12" s="662"/>
      <c r="N12" s="662"/>
      <c r="O12" s="662"/>
      <c r="P12" s="688"/>
      <c r="Q12" s="662"/>
      <c r="R12" s="663"/>
    </row>
    <row r="13" spans="6:20" ht="26.25" thickTop="1">
      <c r="F13" s="619" t="s">
        <v>488</v>
      </c>
      <c r="K13" s="763"/>
      <c r="M13" s="779">
        <v>25000</v>
      </c>
      <c r="O13" s="735" t="s">
        <v>473</v>
      </c>
      <c r="P13" s="736"/>
      <c r="Q13" s="736"/>
      <c r="R13" s="737"/>
      <c r="S13" s="738"/>
      <c r="T13" s="739"/>
    </row>
    <row r="14" spans="6:20" ht="42" customHeight="1">
      <c r="F14" s="664"/>
      <c r="G14" s="664" t="s">
        <v>423</v>
      </c>
      <c r="H14" s="664" t="s">
        <v>424</v>
      </c>
      <c r="I14" s="665" t="s">
        <v>425</v>
      </c>
      <c r="J14" s="665" t="s">
        <v>426</v>
      </c>
      <c r="K14" s="665" t="s">
        <v>427</v>
      </c>
      <c r="L14" s="666" t="s">
        <v>454</v>
      </c>
      <c r="M14" s="667" t="s">
        <v>428</v>
      </c>
      <c r="N14" s="769" t="s">
        <v>429</v>
      </c>
      <c r="O14" s="740" t="s">
        <v>474</v>
      </c>
      <c r="P14" s="730" t="s">
        <v>476</v>
      </c>
      <c r="Q14" s="731" t="s">
        <v>475</v>
      </c>
      <c r="R14" s="746" t="s">
        <v>478</v>
      </c>
      <c r="S14" s="746" t="s">
        <v>477</v>
      </c>
      <c r="T14" s="747" t="s">
        <v>480</v>
      </c>
    </row>
    <row r="15" spans="6:20" ht="16.5">
      <c r="F15" s="668"/>
      <c r="G15" s="669" t="s">
        <v>418</v>
      </c>
      <c r="H15" s="670">
        <v>5</v>
      </c>
      <c r="I15" s="671">
        <v>243798224.40000001</v>
      </c>
      <c r="J15" s="672">
        <f t="shared" ref="J15:J21" si="3">+I15*70%/12</f>
        <v>14221563.089999998</v>
      </c>
      <c r="K15" s="764">
        <v>49935857</v>
      </c>
      <c r="L15" s="673">
        <f t="shared" ref="L15:L21" si="4">(I15+I15*R4)/$M$13/H15</f>
        <v>2380.7367643232324</v>
      </c>
      <c r="M15" s="770">
        <f t="shared" ref="M15:M21" si="5">+K15/$M$13</f>
        <v>1997.4342799999999</v>
      </c>
      <c r="N15" s="771">
        <f>+K15/I15</f>
        <v>0.20482453111746288</v>
      </c>
      <c r="O15" s="741">
        <v>180000000</v>
      </c>
      <c r="P15" s="727">
        <f t="shared" ref="P15:P21" si="6">+O15/$M$13</f>
        <v>7200</v>
      </c>
      <c r="Q15" s="732">
        <f t="shared" ref="Q15:Q21" si="7">+P15/H15</f>
        <v>1440</v>
      </c>
      <c r="R15" s="748">
        <f>+Q15*21.5%</f>
        <v>309.60000000000002</v>
      </c>
      <c r="S15" s="749">
        <f>+Q15*10.5%</f>
        <v>151.19999999999999</v>
      </c>
      <c r="T15" s="750">
        <v>3</v>
      </c>
    </row>
    <row r="16" spans="6:20" ht="16.5">
      <c r="F16" s="675" t="s">
        <v>417</v>
      </c>
      <c r="G16" s="676" t="s">
        <v>419</v>
      </c>
      <c r="H16" s="677">
        <v>7</v>
      </c>
      <c r="I16" s="672">
        <v>175885970</v>
      </c>
      <c r="J16" s="672">
        <f t="shared" si="3"/>
        <v>10260014.916666666</v>
      </c>
      <c r="K16" s="764">
        <v>26303581</v>
      </c>
      <c r="L16" s="678">
        <f t="shared" si="4"/>
        <v>1297.0174396251987</v>
      </c>
      <c r="M16" s="772">
        <f t="shared" si="5"/>
        <v>1052.1432400000001</v>
      </c>
      <c r="N16" s="773">
        <f t="shared" ref="N16:N21" si="8">+K16/I16</f>
        <v>0.14954905726704637</v>
      </c>
      <c r="O16" s="742">
        <v>174400000</v>
      </c>
      <c r="P16" s="728">
        <f t="shared" si="6"/>
        <v>6976</v>
      </c>
      <c r="Q16" s="733">
        <f t="shared" si="7"/>
        <v>996.57142857142856</v>
      </c>
      <c r="R16" s="751">
        <f t="shared" ref="R16:R21" si="9">+Q16*21.5%</f>
        <v>214.26285714285714</v>
      </c>
      <c r="S16" s="752">
        <f t="shared" ref="S16:S21" si="10">+Q16*10.5%</f>
        <v>104.64</v>
      </c>
      <c r="T16" s="753">
        <v>3</v>
      </c>
    </row>
    <row r="17" spans="1:20" ht="16.5">
      <c r="F17" s="679"/>
      <c r="G17" s="680" t="s">
        <v>362</v>
      </c>
      <c r="H17" s="681">
        <v>53</v>
      </c>
      <c r="I17" s="682">
        <v>590631443.31834614</v>
      </c>
      <c r="J17" s="682">
        <f t="shared" si="3"/>
        <v>34453500.860236861</v>
      </c>
      <c r="K17" s="765">
        <v>117640902</v>
      </c>
      <c r="L17" s="683">
        <f t="shared" si="4"/>
        <v>551.19216148357225</v>
      </c>
      <c r="M17" s="774">
        <f t="shared" si="5"/>
        <v>4705.6360800000002</v>
      </c>
      <c r="N17" s="775">
        <f t="shared" si="8"/>
        <v>0.19917819027557662</v>
      </c>
      <c r="O17" s="742">
        <v>554284856.5</v>
      </c>
      <c r="P17" s="728">
        <f t="shared" si="6"/>
        <v>22171.394260000001</v>
      </c>
      <c r="Q17" s="733">
        <f t="shared" si="7"/>
        <v>418.3281935849057</v>
      </c>
      <c r="R17" s="751">
        <f t="shared" si="9"/>
        <v>89.940561620754721</v>
      </c>
      <c r="S17" s="752">
        <f t="shared" si="10"/>
        <v>43.924460326415094</v>
      </c>
      <c r="T17" s="753">
        <v>3</v>
      </c>
    </row>
    <row r="18" spans="1:20" ht="16.5">
      <c r="F18" s="668"/>
      <c r="G18" s="669" t="s">
        <v>418</v>
      </c>
      <c r="H18" s="670">
        <v>5</v>
      </c>
      <c r="I18" s="671">
        <v>97011500</v>
      </c>
      <c r="J18" s="671">
        <f t="shared" si="3"/>
        <v>5659004.166666667</v>
      </c>
      <c r="K18" s="766">
        <v>38880686</v>
      </c>
      <c r="L18" s="673">
        <f t="shared" si="4"/>
        <v>1044.5578276684032</v>
      </c>
      <c r="M18" s="770">
        <f t="shared" si="5"/>
        <v>1555.2274399999999</v>
      </c>
      <c r="N18" s="771">
        <f t="shared" si="8"/>
        <v>0.4007842987687027</v>
      </c>
      <c r="O18" s="742">
        <v>95461500</v>
      </c>
      <c r="P18" s="728">
        <f t="shared" si="6"/>
        <v>3818.46</v>
      </c>
      <c r="Q18" s="733">
        <f t="shared" si="7"/>
        <v>763.69200000000001</v>
      </c>
      <c r="R18" s="751">
        <f t="shared" si="9"/>
        <v>164.19378</v>
      </c>
      <c r="S18" s="752">
        <f t="shared" si="10"/>
        <v>80.187659999999994</v>
      </c>
      <c r="T18" s="753">
        <v>3</v>
      </c>
    </row>
    <row r="19" spans="1:20" ht="16.5">
      <c r="F19" s="675" t="s">
        <v>420</v>
      </c>
      <c r="G19" s="676" t="s">
        <v>419</v>
      </c>
      <c r="H19" s="677">
        <v>9</v>
      </c>
      <c r="I19" s="672">
        <v>207765472.59999999</v>
      </c>
      <c r="J19" s="672">
        <f t="shared" si="3"/>
        <v>12119652.568333333</v>
      </c>
      <c r="K19" s="764">
        <v>110534488</v>
      </c>
      <c r="L19" s="678">
        <f t="shared" si="4"/>
        <v>1417.8989524675546</v>
      </c>
      <c r="M19" s="772">
        <f t="shared" si="5"/>
        <v>4421.3795200000004</v>
      </c>
      <c r="N19" s="773">
        <f t="shared" si="8"/>
        <v>0.53201567429255325</v>
      </c>
      <c r="O19" s="742">
        <v>195341900</v>
      </c>
      <c r="P19" s="728">
        <f t="shared" si="6"/>
        <v>7813.6760000000004</v>
      </c>
      <c r="Q19" s="733">
        <f t="shared" si="7"/>
        <v>868.18622222222223</v>
      </c>
      <c r="R19" s="751">
        <f t="shared" si="9"/>
        <v>186.66003777777777</v>
      </c>
      <c r="S19" s="752">
        <f t="shared" si="10"/>
        <v>91.159553333333335</v>
      </c>
      <c r="T19" s="753">
        <v>3</v>
      </c>
    </row>
    <row r="20" spans="1:20" ht="16.5">
      <c r="F20" s="668"/>
      <c r="G20" s="669" t="s">
        <v>421</v>
      </c>
      <c r="H20" s="670">
        <v>165</v>
      </c>
      <c r="I20" s="671">
        <v>2343173233.9458537</v>
      </c>
      <c r="J20" s="671">
        <f t="shared" si="3"/>
        <v>136685105.31350812</v>
      </c>
      <c r="K20" s="766">
        <v>1494851904</v>
      </c>
      <c r="L20" s="678">
        <f t="shared" si="4"/>
        <v>887.45922908928424</v>
      </c>
      <c r="M20" s="772">
        <f t="shared" si="5"/>
        <v>59794.076159999997</v>
      </c>
      <c r="N20" s="773">
        <f t="shared" si="8"/>
        <v>0.6379604727230096</v>
      </c>
      <c r="O20" s="742">
        <v>2055253549.1700001</v>
      </c>
      <c r="P20" s="728">
        <f t="shared" si="6"/>
        <v>82210.141966800002</v>
      </c>
      <c r="Q20" s="733">
        <f t="shared" si="7"/>
        <v>498.24328464727273</v>
      </c>
      <c r="R20" s="751">
        <f t="shared" si="9"/>
        <v>107.12230619916363</v>
      </c>
      <c r="S20" s="752">
        <f t="shared" si="10"/>
        <v>52.315544887963632</v>
      </c>
      <c r="T20" s="753">
        <v>3</v>
      </c>
    </row>
    <row r="21" spans="1:20" ht="16.5">
      <c r="F21" s="679"/>
      <c r="G21" s="680" t="s">
        <v>422</v>
      </c>
      <c r="H21" s="681">
        <v>638</v>
      </c>
      <c r="I21" s="682">
        <v>2090896900</v>
      </c>
      <c r="J21" s="682">
        <f t="shared" si="3"/>
        <v>121968985.83333333</v>
      </c>
      <c r="K21" s="765">
        <v>4326098752</v>
      </c>
      <c r="L21" s="683">
        <f t="shared" si="4"/>
        <v>209.41984870203265</v>
      </c>
      <c r="M21" s="1416">
        <f t="shared" si="5"/>
        <v>173043.95008000001</v>
      </c>
      <c r="N21" s="775">
        <f t="shared" si="8"/>
        <v>2.0690158142182908</v>
      </c>
      <c r="O21" s="743">
        <v>4877290000</v>
      </c>
      <c r="P21" s="729">
        <f t="shared" si="6"/>
        <v>195091.6</v>
      </c>
      <c r="Q21" s="734">
        <f t="shared" si="7"/>
        <v>305.78620689655173</v>
      </c>
      <c r="R21" s="754">
        <f t="shared" si="9"/>
        <v>65.744034482758622</v>
      </c>
      <c r="S21" s="752">
        <f t="shared" si="10"/>
        <v>32.107551724137927</v>
      </c>
      <c r="T21" s="755">
        <v>3</v>
      </c>
    </row>
    <row r="22" spans="1:20" ht="13.5" thickBot="1">
      <c r="F22" s="684" t="s">
        <v>45</v>
      </c>
      <c r="G22" s="684"/>
      <c r="H22" s="685">
        <f>SUM(H15:H21)</f>
        <v>882</v>
      </c>
      <c r="I22" s="685">
        <f t="shared" ref="I22:T22" si="11">SUM(I15:I21)</f>
        <v>5749162744.2642002</v>
      </c>
      <c r="J22" s="685"/>
      <c r="K22" s="767">
        <f t="shared" si="11"/>
        <v>6164246170</v>
      </c>
      <c r="L22" s="686">
        <f t="shared" si="11"/>
        <v>7788.2822233592788</v>
      </c>
      <c r="M22" s="776">
        <f t="shared" si="11"/>
        <v>246569.8468</v>
      </c>
      <c r="N22" s="777"/>
      <c r="O22" s="744">
        <f t="shared" si="11"/>
        <v>8132031805.6700001</v>
      </c>
      <c r="P22" s="745">
        <f t="shared" si="11"/>
        <v>325281.27222679998</v>
      </c>
      <c r="Q22" s="745">
        <f t="shared" si="11"/>
        <v>5290.8073359223808</v>
      </c>
      <c r="R22" s="756">
        <f t="shared" si="11"/>
        <v>1137.5235772233118</v>
      </c>
      <c r="S22" s="756">
        <f t="shared" si="11"/>
        <v>555.53477027184999</v>
      </c>
      <c r="T22" s="757">
        <f t="shared" si="11"/>
        <v>21</v>
      </c>
    </row>
    <row r="23" spans="1:20" ht="13.5" thickTop="1">
      <c r="I23" s="714"/>
      <c r="J23" s="714"/>
      <c r="K23" s="768"/>
      <c r="M23" s="778"/>
      <c r="N23" s="778"/>
      <c r="O23" s="620"/>
      <c r="S23" s="663"/>
    </row>
    <row r="24" spans="1:20">
      <c r="I24" s="687"/>
      <c r="J24" s="687"/>
      <c r="K24" s="763"/>
      <c r="M24" s="763"/>
      <c r="N24" s="763"/>
      <c r="O24" s="620"/>
      <c r="R24" s="663"/>
    </row>
    <row r="25" spans="1:20">
      <c r="I25" s="674"/>
      <c r="O25" s="620"/>
      <c r="R25" s="663"/>
    </row>
    <row r="26" spans="1:20">
      <c r="O26" s="620"/>
      <c r="R26" s="663"/>
    </row>
    <row r="28" spans="1:20" ht="16.5">
      <c r="A28" s="689" t="s">
        <v>420</v>
      </c>
      <c r="B28" s="690" t="s">
        <v>466</v>
      </c>
      <c r="C28" s="691" t="s">
        <v>460</v>
      </c>
      <c r="D28" s="692">
        <v>6250.65</v>
      </c>
      <c r="F28"/>
      <c r="G28"/>
      <c r="H28"/>
    </row>
    <row r="29" spans="1:20" ht="16.5">
      <c r="A29" s="700" t="s">
        <v>417</v>
      </c>
      <c r="B29" s="690" t="s">
        <v>419</v>
      </c>
      <c r="C29" s="691" t="s">
        <v>461</v>
      </c>
      <c r="D29" s="692">
        <v>6741.23</v>
      </c>
      <c r="F29" s="619" t="s">
        <v>550</v>
      </c>
      <c r="G29"/>
      <c r="H29"/>
      <c r="I29"/>
    </row>
    <row r="30" spans="1:20" ht="16.5">
      <c r="A30" s="700" t="s">
        <v>417</v>
      </c>
      <c r="B30" s="690" t="s">
        <v>419</v>
      </c>
      <c r="C30" s="691" t="s">
        <v>462</v>
      </c>
      <c r="D30" s="692">
        <v>6596</v>
      </c>
      <c r="F30" s="693" t="s">
        <v>455</v>
      </c>
      <c r="G30" s="693" t="s">
        <v>456</v>
      </c>
      <c r="H30" s="693" t="s">
        <v>409</v>
      </c>
      <c r="I30" s="693" t="s">
        <v>458</v>
      </c>
      <c r="J30" s="694" t="s">
        <v>459</v>
      </c>
      <c r="K30" s="694" t="s">
        <v>479</v>
      </c>
      <c r="L30" s="620" t="s">
        <v>552</v>
      </c>
    </row>
    <row r="31" spans="1:20" ht="16.5">
      <c r="A31" s="689" t="s">
        <v>417</v>
      </c>
      <c r="B31" s="690" t="s">
        <v>419</v>
      </c>
      <c r="C31" s="691" t="s">
        <v>463</v>
      </c>
      <c r="D31" s="692">
        <v>4572.05</v>
      </c>
      <c r="F31" s="695" t="s">
        <v>417</v>
      </c>
      <c r="G31" s="695" t="s">
        <v>457</v>
      </c>
      <c r="H31" s="696">
        <v>4</v>
      </c>
      <c r="I31" s="802">
        <f>62060.075714229+7866</f>
        <v>69926.075714228995</v>
      </c>
      <c r="J31" s="697">
        <f>+I31/H31</f>
        <v>17481.518928557249</v>
      </c>
      <c r="K31" s="697">
        <f t="shared" ref="K31:K36" si="12">10800000/25000</f>
        <v>432</v>
      </c>
    </row>
    <row r="32" spans="1:20" ht="16.5">
      <c r="A32" s="689" t="s">
        <v>420</v>
      </c>
      <c r="B32" s="690" t="s">
        <v>419</v>
      </c>
      <c r="C32" s="691" t="s">
        <v>464</v>
      </c>
      <c r="D32" s="692">
        <v>3399.91</v>
      </c>
      <c r="F32" s="698"/>
      <c r="G32" s="698" t="s">
        <v>466</v>
      </c>
      <c r="H32" s="699">
        <v>2</v>
      </c>
      <c r="I32" s="803">
        <v>26966.785391462581</v>
      </c>
      <c r="J32" s="697">
        <v>13483.392695731291</v>
      </c>
      <c r="K32" s="697">
        <f t="shared" si="12"/>
        <v>432</v>
      </c>
      <c r="L32" s="687" t="s">
        <v>553</v>
      </c>
      <c r="M32" s="687"/>
    </row>
    <row r="33" spans="1:11" ht="16.5">
      <c r="A33" s="703" t="s">
        <v>417</v>
      </c>
      <c r="B33" s="704" t="s">
        <v>419</v>
      </c>
      <c r="C33" s="705" t="s">
        <v>465</v>
      </c>
      <c r="D33" s="706">
        <v>5000</v>
      </c>
      <c r="F33" s="701"/>
      <c r="G33" s="701" t="s">
        <v>419</v>
      </c>
      <c r="H33" s="702">
        <v>3</v>
      </c>
      <c r="I33" s="804">
        <v>26117.205223666988</v>
      </c>
      <c r="J33" s="726">
        <f>+I33/H33</f>
        <v>8705.7350745556632</v>
      </c>
      <c r="K33" s="726">
        <f t="shared" si="12"/>
        <v>432</v>
      </c>
    </row>
    <row r="34" spans="1:11" ht="16.5">
      <c r="F34" s="695" t="s">
        <v>420</v>
      </c>
      <c r="G34" s="695" t="s">
        <v>457</v>
      </c>
      <c r="H34" s="696">
        <v>2</v>
      </c>
      <c r="I34" s="802">
        <v>21735.048407208164</v>
      </c>
      <c r="J34" s="697">
        <f>+I34/H34</f>
        <v>10867.524203604082</v>
      </c>
      <c r="K34" s="697">
        <f t="shared" si="12"/>
        <v>432</v>
      </c>
    </row>
    <row r="35" spans="1:11" ht="16.5">
      <c r="F35" s="698"/>
      <c r="G35" s="698" t="s">
        <v>466</v>
      </c>
      <c r="H35" s="699">
        <v>2</v>
      </c>
      <c r="I35" s="803">
        <v>22154.186146861677</v>
      </c>
      <c r="J35" s="697">
        <f>+I35/H35</f>
        <v>11077.093073430839</v>
      </c>
      <c r="K35" s="697">
        <f t="shared" si="12"/>
        <v>432</v>
      </c>
    </row>
    <row r="36" spans="1:11" ht="16.5">
      <c r="F36" s="701"/>
      <c r="G36" s="701" t="s">
        <v>419</v>
      </c>
      <c r="H36" s="702">
        <v>1</v>
      </c>
      <c r="I36" s="804">
        <v>4534.563022743765</v>
      </c>
      <c r="J36" s="726">
        <f>+I36/H36</f>
        <v>4534.563022743765</v>
      </c>
      <c r="K36" s="726">
        <f t="shared" si="12"/>
        <v>432</v>
      </c>
    </row>
    <row r="37" spans="1:11" ht="16.5">
      <c r="F37" s="278" t="s">
        <v>45</v>
      </c>
      <c r="G37" s="278"/>
      <c r="H37" s="799">
        <v>14</v>
      </c>
      <c r="I37" s="805">
        <f>SUM(I31:I36)</f>
        <v>171433.86390617216</v>
      </c>
      <c r="J37" s="801">
        <f>SUM(J31:J36)</f>
        <v>66149.826998622884</v>
      </c>
      <c r="K37" s="800"/>
    </row>
  </sheetData>
  <mergeCells count="10">
    <mergeCell ref="Q2:Q3"/>
    <mergeCell ref="R2:R3"/>
    <mergeCell ref="F4:F6"/>
    <mergeCell ref="F7:F10"/>
    <mergeCell ref="G2:G3"/>
    <mergeCell ref="H2:J2"/>
    <mergeCell ref="K2:M2"/>
    <mergeCell ref="N2:N3"/>
    <mergeCell ref="O2:O3"/>
    <mergeCell ref="P2:P3"/>
  </mergeCells>
  <phoneticPr fontId="8" type="noConversion"/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7"/>
  <sheetViews>
    <sheetView topLeftCell="A28" workbookViewId="0">
      <selection activeCell="G14" sqref="G14"/>
    </sheetView>
  </sheetViews>
  <sheetFormatPr defaultRowHeight="16.5"/>
  <cols>
    <col min="1" max="1" width="3.75" customWidth="1"/>
    <col min="2" max="2" width="21" style="1248" customWidth="1"/>
    <col min="3" max="3" width="12.75" style="1248" customWidth="1"/>
  </cols>
  <sheetData>
    <row r="1" spans="1:6">
      <c r="A1" t="s">
        <v>942</v>
      </c>
    </row>
    <row r="2" spans="1:6">
      <c r="B2" s="1311" t="s">
        <v>941</v>
      </c>
      <c r="C2" s="1311" t="s">
        <v>940</v>
      </c>
    </row>
    <row r="3" spans="1:6">
      <c r="B3" s="1368" t="s">
        <v>392</v>
      </c>
      <c r="C3" s="1369">
        <v>0.92999999999999994</v>
      </c>
    </row>
    <row r="4" spans="1:6">
      <c r="B4" s="1368" t="s">
        <v>393</v>
      </c>
      <c r="C4" s="1369">
        <v>0.98</v>
      </c>
      <c r="F4" s="1372">
        <v>0.01</v>
      </c>
    </row>
    <row r="5" spans="1:6">
      <c r="B5" s="1368" t="s">
        <v>394</v>
      </c>
      <c r="C5" s="1369">
        <v>0.97</v>
      </c>
    </row>
    <row r="6" spans="1:6">
      <c r="B6" s="1368" t="s">
        <v>336</v>
      </c>
      <c r="C6" s="1369">
        <v>0.94</v>
      </c>
    </row>
    <row r="7" spans="1:6">
      <c r="B7" s="1368" t="s">
        <v>572</v>
      </c>
      <c r="C7" s="1369">
        <v>0.97</v>
      </c>
    </row>
    <row r="8" spans="1:6">
      <c r="B8" s="1368" t="s">
        <v>573</v>
      </c>
      <c r="C8" s="1369">
        <v>0.94</v>
      </c>
    </row>
    <row r="9" spans="1:6">
      <c r="B9" s="1368" t="s">
        <v>574</v>
      </c>
      <c r="C9" s="1369">
        <v>0.97</v>
      </c>
    </row>
    <row r="10" spans="1:6">
      <c r="B10" s="1368" t="s">
        <v>575</v>
      </c>
      <c r="C10" s="1369">
        <v>0.97</v>
      </c>
    </row>
    <row r="11" spans="1:6">
      <c r="B11" s="1368" t="s">
        <v>576</v>
      </c>
      <c r="C11" s="1369">
        <v>0.94</v>
      </c>
    </row>
    <row r="12" spans="1:6">
      <c r="B12" s="1368" t="s">
        <v>577</v>
      </c>
      <c r="C12" s="1369">
        <v>0.94</v>
      </c>
    </row>
    <row r="13" spans="1:6">
      <c r="B13" s="1368" t="s">
        <v>943</v>
      </c>
      <c r="C13" s="1369">
        <v>0.98</v>
      </c>
    </row>
    <row r="14" spans="1:6">
      <c r="B14" s="1368" t="s">
        <v>578</v>
      </c>
      <c r="C14" s="1369">
        <v>0.98</v>
      </c>
    </row>
    <row r="15" spans="1:6">
      <c r="B15" s="1368" t="s">
        <v>579</v>
      </c>
      <c r="C15" s="1369">
        <v>0.98</v>
      </c>
    </row>
    <row r="16" spans="1:6">
      <c r="B16" s="1368" t="s">
        <v>581</v>
      </c>
      <c r="C16" s="1369">
        <v>0.98</v>
      </c>
    </row>
    <row r="17" spans="2:3">
      <c r="B17" s="1368" t="s">
        <v>582</v>
      </c>
      <c r="C17" s="1369">
        <v>0.98</v>
      </c>
    </row>
    <row r="18" spans="2:3">
      <c r="B18" s="1368" t="s">
        <v>583</v>
      </c>
      <c r="C18" s="1369">
        <v>0.98</v>
      </c>
    </row>
    <row r="19" spans="2:3">
      <c r="B19" s="1370" t="s">
        <v>584</v>
      </c>
      <c r="C19" s="1369">
        <v>0.98</v>
      </c>
    </row>
    <row r="20" spans="2:3">
      <c r="B20" s="1370" t="s">
        <v>580</v>
      </c>
      <c r="C20" s="1369">
        <v>0.98</v>
      </c>
    </row>
    <row r="21" spans="2:3">
      <c r="B21" s="1370" t="s">
        <v>585</v>
      </c>
      <c r="C21" s="1369">
        <v>0.98</v>
      </c>
    </row>
    <row r="22" spans="2:3">
      <c r="B22" s="1371" t="s">
        <v>944</v>
      </c>
      <c r="C22" s="1369">
        <v>0.98</v>
      </c>
    </row>
    <row r="23" spans="2:3">
      <c r="B23" s="1371" t="s">
        <v>586</v>
      </c>
      <c r="C23" s="1369">
        <v>0.98</v>
      </c>
    </row>
    <row r="24" spans="2:3">
      <c r="B24" s="1371" t="s">
        <v>587</v>
      </c>
      <c r="C24" s="1369">
        <v>0.98</v>
      </c>
    </row>
    <row r="25" spans="2:3">
      <c r="B25" s="1371" t="s">
        <v>588</v>
      </c>
      <c r="C25" s="1369">
        <v>0.98</v>
      </c>
    </row>
    <row r="26" spans="2:3">
      <c r="B26" s="1371" t="s">
        <v>589</v>
      </c>
      <c r="C26" s="1369">
        <v>0.98</v>
      </c>
    </row>
    <row r="27" spans="2:3">
      <c r="B27" s="1370" t="s">
        <v>590</v>
      </c>
      <c r="C27" s="1369">
        <v>0.98</v>
      </c>
    </row>
    <row r="28" spans="2:3">
      <c r="B28" s="1370" t="s">
        <v>591</v>
      </c>
      <c r="C28" s="1369">
        <v>0.98</v>
      </c>
    </row>
    <row r="29" spans="2:3">
      <c r="B29" s="1370" t="s">
        <v>592</v>
      </c>
      <c r="C29" s="1369">
        <v>0.98</v>
      </c>
    </row>
    <row r="30" spans="2:3">
      <c r="B30" s="1368" t="s">
        <v>593</v>
      </c>
      <c r="C30" s="1369">
        <v>0.98</v>
      </c>
    </row>
    <row r="31" spans="2:3">
      <c r="B31" s="1368" t="s">
        <v>395</v>
      </c>
      <c r="C31" s="1369">
        <v>0.98</v>
      </c>
    </row>
    <row r="32" spans="2:3">
      <c r="B32" s="1368" t="s">
        <v>396</v>
      </c>
      <c r="C32" s="1369">
        <v>0.98</v>
      </c>
    </row>
    <row r="33" spans="2:3">
      <c r="B33" s="1368" t="s">
        <v>594</v>
      </c>
      <c r="C33" s="1369">
        <v>0.98</v>
      </c>
    </row>
    <row r="34" spans="2:3">
      <c r="B34" s="1368" t="s">
        <v>595</v>
      </c>
      <c r="C34" s="1369">
        <v>0.98</v>
      </c>
    </row>
    <row r="35" spans="2:3">
      <c r="B35" s="1368" t="s">
        <v>596</v>
      </c>
      <c r="C35" s="1369">
        <v>0.98</v>
      </c>
    </row>
    <row r="36" spans="2:3">
      <c r="B36" s="1370" t="s">
        <v>597</v>
      </c>
      <c r="C36" s="1369">
        <v>0.98</v>
      </c>
    </row>
    <row r="37" spans="2:3">
      <c r="B37" s="1370" t="s">
        <v>598</v>
      </c>
      <c r="C37" s="1369">
        <v>0.98</v>
      </c>
    </row>
  </sheetData>
  <phoneticPr fontId="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63"/>
  <sheetViews>
    <sheetView workbookViewId="0"/>
  </sheetViews>
  <sheetFormatPr defaultColWidth="9.125" defaultRowHeight="13.5"/>
  <cols>
    <col min="1" max="1" width="11.75" style="131" customWidth="1"/>
    <col min="2" max="2" width="29.75" style="127" customWidth="1"/>
    <col min="3" max="5" width="14.125" style="235" customWidth="1"/>
    <col min="6" max="10" width="14.125" style="128" customWidth="1"/>
    <col min="11" max="11" width="14.125" style="235" customWidth="1"/>
    <col min="12" max="15" width="14.125" style="128" customWidth="1"/>
    <col min="16" max="16" width="11.125" style="129" customWidth="1"/>
    <col min="17" max="17" width="11.125" style="130" customWidth="1"/>
    <col min="18" max="18" width="9.875" style="131" bestFit="1" customWidth="1"/>
    <col min="19" max="16384" width="9.125" style="131"/>
  </cols>
  <sheetData>
    <row r="1" spans="1:17" ht="17.25">
      <c r="A1" s="227" t="s">
        <v>305</v>
      </c>
    </row>
    <row r="2" spans="1:17" ht="14.25" thickBot="1">
      <c r="C2" s="128" t="s">
        <v>331</v>
      </c>
      <c r="D2" s="128" t="s">
        <v>331</v>
      </c>
      <c r="E2" s="128" t="s">
        <v>331</v>
      </c>
      <c r="F2" s="128" t="s">
        <v>331</v>
      </c>
      <c r="G2" s="128" t="s">
        <v>331</v>
      </c>
      <c r="H2" s="128" t="s">
        <v>331</v>
      </c>
      <c r="I2" s="128" t="s">
        <v>346</v>
      </c>
      <c r="J2" s="128" t="s">
        <v>346</v>
      </c>
      <c r="K2" s="128" t="s">
        <v>346</v>
      </c>
      <c r="L2" s="128" t="s">
        <v>346</v>
      </c>
      <c r="M2" s="128" t="s">
        <v>231</v>
      </c>
      <c r="N2" s="128" t="s">
        <v>231</v>
      </c>
      <c r="O2" s="123" t="s">
        <v>87</v>
      </c>
    </row>
    <row r="3" spans="1:17" s="138" customFormat="1" ht="18.75" customHeight="1" thickBot="1">
      <c r="A3" s="132" t="s">
        <v>117</v>
      </c>
      <c r="B3" s="133" t="s">
        <v>116</v>
      </c>
      <c r="C3" s="279" t="s">
        <v>319</v>
      </c>
      <c r="D3" s="280" t="s">
        <v>320</v>
      </c>
      <c r="E3" s="281" t="s">
        <v>321</v>
      </c>
      <c r="F3" s="279" t="s">
        <v>322</v>
      </c>
      <c r="G3" s="280" t="s">
        <v>323</v>
      </c>
      <c r="H3" s="281" t="s">
        <v>324</v>
      </c>
      <c r="I3" s="388" t="s">
        <v>325</v>
      </c>
      <c r="J3" s="280" t="s">
        <v>326</v>
      </c>
      <c r="K3" s="380" t="s">
        <v>327</v>
      </c>
      <c r="L3" s="279" t="s">
        <v>328</v>
      </c>
      <c r="M3" s="134" t="s">
        <v>329</v>
      </c>
      <c r="N3" s="135" t="s">
        <v>330</v>
      </c>
      <c r="O3" s="136" t="s">
        <v>95</v>
      </c>
      <c r="P3" s="137"/>
    </row>
    <row r="4" spans="1:17" s="145" customFormat="1" ht="18.75" customHeight="1">
      <c r="A4" s="139"/>
      <c r="B4" s="140" t="s">
        <v>0</v>
      </c>
      <c r="C4" s="282">
        <v>2382233.4634940429</v>
      </c>
      <c r="D4" s="283">
        <v>3645233.9966791486</v>
      </c>
      <c r="E4" s="284">
        <v>3819447.1811000006</v>
      </c>
      <c r="F4" s="282">
        <v>3459820.0749695627</v>
      </c>
      <c r="G4" s="283">
        <v>3142999.3160617021</v>
      </c>
      <c r="H4" s="284">
        <v>2995835.3464136906</v>
      </c>
      <c r="I4" s="285">
        <v>3939691.1767953201</v>
      </c>
      <c r="J4" s="283">
        <v>4058553.4506052714</v>
      </c>
      <c r="K4" s="381">
        <v>3950745.1369227665</v>
      </c>
      <c r="L4" s="282">
        <v>3953758.9416891676</v>
      </c>
      <c r="M4" s="141">
        <v>3646360.51983921</v>
      </c>
      <c r="N4" s="142">
        <v>3848384.2391816219</v>
      </c>
      <c r="O4" s="143">
        <f>SUM(C4:N4)</f>
        <v>42843062.843751505</v>
      </c>
      <c r="P4" s="144"/>
    </row>
    <row r="5" spans="1:17" s="152" customFormat="1" ht="18.75" customHeight="1">
      <c r="A5" s="146"/>
      <c r="B5" s="147" t="s">
        <v>181</v>
      </c>
      <c r="C5" s="286">
        <f>C16</f>
        <v>1710220.5515372981</v>
      </c>
      <c r="D5" s="287">
        <f>+C12</f>
        <v>1596401.0129682878</v>
      </c>
      <c r="E5" s="288">
        <f t="shared" ref="E5:N5" si="0">+D12</f>
        <v>1398474.9527851688</v>
      </c>
      <c r="F5" s="289">
        <f t="shared" si="0"/>
        <v>1583030.9610108407</v>
      </c>
      <c r="G5" s="290">
        <f t="shared" si="0"/>
        <v>1076354.9459895622</v>
      </c>
      <c r="H5" s="291">
        <f t="shared" si="0"/>
        <v>1889060.1654295642</v>
      </c>
      <c r="I5" s="292">
        <f t="shared" si="0"/>
        <v>1131597.1547912657</v>
      </c>
      <c r="J5" s="287">
        <f t="shared" si="0"/>
        <v>1126976.1390674198</v>
      </c>
      <c r="K5" s="382">
        <f t="shared" si="0"/>
        <v>735966.23387593124</v>
      </c>
      <c r="L5" s="286">
        <f t="shared" si="0"/>
        <v>1257165.6762585705</v>
      </c>
      <c r="M5" s="148">
        <f t="shared" si="0"/>
        <v>1605623.7631316902</v>
      </c>
      <c r="N5" s="149">
        <f t="shared" si="0"/>
        <v>523547.18586368859</v>
      </c>
      <c r="O5" s="150">
        <f>+C5</f>
        <v>1710220.5515372981</v>
      </c>
      <c r="P5" s="151"/>
    </row>
    <row r="6" spans="1:17" s="138" customFormat="1" ht="18.75" customHeight="1">
      <c r="A6" s="153" t="s">
        <v>174</v>
      </c>
      <c r="B6" s="154" t="s">
        <v>175</v>
      </c>
      <c r="C6" s="293">
        <f>C17+C18+C19+C20</f>
        <v>2067283.2955333334</v>
      </c>
      <c r="D6" s="294">
        <f t="shared" ref="D6:N6" si="1">D17+D18+D19+D20</f>
        <v>2563595.3656170219</v>
      </c>
      <c r="E6" s="295">
        <f t="shared" si="1"/>
        <v>3480668.3244680855</v>
      </c>
      <c r="F6" s="293">
        <f t="shared" si="1"/>
        <v>3529522.1245106384</v>
      </c>
      <c r="G6" s="294">
        <f t="shared" si="1"/>
        <v>4095523.8748936169</v>
      </c>
      <c r="H6" s="295">
        <f t="shared" si="1"/>
        <v>3451563.4054042557</v>
      </c>
      <c r="I6" s="296">
        <f t="shared" si="1"/>
        <v>4477303.5183829777</v>
      </c>
      <c r="J6" s="294">
        <f t="shared" si="1"/>
        <v>3471218.41706383</v>
      </c>
      <c r="K6" s="383">
        <f t="shared" si="1"/>
        <v>4410739.5764007084</v>
      </c>
      <c r="L6" s="293">
        <f t="shared" si="1"/>
        <v>4046499.2824999993</v>
      </c>
      <c r="M6" s="155">
        <f t="shared" si="1"/>
        <v>3926093.85787935</v>
      </c>
      <c r="N6" s="156">
        <f t="shared" si="1"/>
        <v>3461692.384767394</v>
      </c>
      <c r="O6" s="157">
        <f t="shared" ref="O6:O11" si="2">SUM(C6:N6)</f>
        <v>42981703.427421205</v>
      </c>
      <c r="P6" s="137"/>
    </row>
    <row r="7" spans="1:17" s="138" customFormat="1" ht="18.75" customHeight="1">
      <c r="A7" s="158"/>
      <c r="B7" s="159" t="s">
        <v>176</v>
      </c>
      <c r="C7" s="286">
        <f>+C21+C22+C23+C24</f>
        <v>3100228.3251666673</v>
      </c>
      <c r="D7" s="287">
        <f t="shared" ref="D7:N7" si="3">+D21+D22+D23+D24</f>
        <v>2089995.8499999999</v>
      </c>
      <c r="E7" s="288">
        <f t="shared" si="3"/>
        <v>2822399.0638297871</v>
      </c>
      <c r="F7" s="286">
        <f t="shared" si="3"/>
        <v>3624526.3986382978</v>
      </c>
      <c r="G7" s="287">
        <f t="shared" si="3"/>
        <v>2796616.2280851062</v>
      </c>
      <c r="H7" s="288">
        <f t="shared" si="3"/>
        <v>3575964.8085106383</v>
      </c>
      <c r="I7" s="297">
        <f t="shared" si="3"/>
        <v>3356586.0212765955</v>
      </c>
      <c r="J7" s="287">
        <f t="shared" si="3"/>
        <v>876321.29787234042</v>
      </c>
      <c r="K7" s="382">
        <f t="shared" si="3"/>
        <v>1479167</v>
      </c>
      <c r="L7" s="286">
        <f t="shared" si="3"/>
        <v>2714068.165541667</v>
      </c>
      <c r="M7" s="148">
        <f t="shared" si="3"/>
        <v>4235000</v>
      </c>
      <c r="N7" s="149">
        <f t="shared" si="3"/>
        <v>250000</v>
      </c>
      <c r="O7" s="150">
        <f t="shared" si="2"/>
        <v>30920873.158921104</v>
      </c>
      <c r="P7" s="137"/>
    </row>
    <row r="8" spans="1:17" s="166" customFormat="1" ht="18.75" customHeight="1">
      <c r="A8" s="160"/>
      <c r="B8" s="161" t="s">
        <v>159</v>
      </c>
      <c r="C8" s="298">
        <f>SUM(C6:C7)</f>
        <v>5167511.6207000008</v>
      </c>
      <c r="D8" s="299">
        <f t="shared" ref="D8:N8" si="4">SUM(D6:D7)</f>
        <v>4653591.2156170215</v>
      </c>
      <c r="E8" s="300">
        <f t="shared" si="4"/>
        <v>6303067.3882978726</v>
      </c>
      <c r="F8" s="298">
        <f t="shared" si="4"/>
        <v>7154048.5231489362</v>
      </c>
      <c r="G8" s="299">
        <f t="shared" si="4"/>
        <v>6892140.1029787231</v>
      </c>
      <c r="H8" s="300">
        <f t="shared" si="4"/>
        <v>7027528.2139148936</v>
      </c>
      <c r="I8" s="301">
        <f t="shared" si="4"/>
        <v>7833889.5396595728</v>
      </c>
      <c r="J8" s="299">
        <f t="shared" si="4"/>
        <v>4347539.7149361707</v>
      </c>
      <c r="K8" s="384">
        <f t="shared" si="4"/>
        <v>5889906.5764007084</v>
      </c>
      <c r="L8" s="298">
        <f t="shared" si="4"/>
        <v>6760567.4480416663</v>
      </c>
      <c r="M8" s="162">
        <f t="shared" si="4"/>
        <v>8161093.85787935</v>
      </c>
      <c r="N8" s="163">
        <f t="shared" si="4"/>
        <v>3711692.384767394</v>
      </c>
      <c r="O8" s="164">
        <f t="shared" si="2"/>
        <v>73902576.58634232</v>
      </c>
      <c r="P8" s="165"/>
    </row>
    <row r="9" spans="1:17" s="138" customFormat="1" ht="18.75" customHeight="1">
      <c r="A9" s="167" t="s">
        <v>177</v>
      </c>
      <c r="B9" s="168" t="s">
        <v>179</v>
      </c>
      <c r="C9" s="293">
        <f t="shared" ref="C9:N9" si="5">SUM(C26:C39)+C43+C44</f>
        <v>2979197.6169338338</v>
      </c>
      <c r="D9" s="294">
        <f t="shared" si="5"/>
        <v>2684550.0684214178</v>
      </c>
      <c r="E9" s="295">
        <f t="shared" si="5"/>
        <v>3276576.3162424136</v>
      </c>
      <c r="F9" s="293">
        <f t="shared" si="5"/>
        <v>3913688.2112765978</v>
      </c>
      <c r="G9" s="294">
        <f t="shared" si="5"/>
        <v>3357092.093842553</v>
      </c>
      <c r="H9" s="295">
        <f t="shared" si="5"/>
        <v>4086461.8612340423</v>
      </c>
      <c r="I9" s="296">
        <f t="shared" si="5"/>
        <v>4387868.9381787293</v>
      </c>
      <c r="J9" s="294">
        <f t="shared" si="5"/>
        <v>3626699.7536085099</v>
      </c>
      <c r="K9" s="383">
        <f t="shared" si="5"/>
        <v>3580160.4511766867</v>
      </c>
      <c r="L9" s="293">
        <f t="shared" si="5"/>
        <v>3778098.5927900001</v>
      </c>
      <c r="M9" s="155">
        <f t="shared" si="5"/>
        <v>6482804.6233086288</v>
      </c>
      <c r="N9" s="156">
        <f t="shared" si="5"/>
        <v>3430858.2314256807</v>
      </c>
      <c r="O9" s="157">
        <f t="shared" si="2"/>
        <v>45584056.758439094</v>
      </c>
      <c r="P9" s="137"/>
    </row>
    <row r="10" spans="1:17" s="138" customFormat="1" ht="18.75" customHeight="1">
      <c r="A10" s="158"/>
      <c r="B10" s="169" t="s">
        <v>178</v>
      </c>
      <c r="C10" s="286">
        <f>SUM(C40:C42)</f>
        <v>2302133.5423351778</v>
      </c>
      <c r="D10" s="287">
        <f t="shared" ref="D10:N10" si="6">SUM(D40:D42)</f>
        <v>2166967.2073787232</v>
      </c>
      <c r="E10" s="288">
        <f t="shared" si="6"/>
        <v>2841935.0638297871</v>
      </c>
      <c r="F10" s="286">
        <f t="shared" si="6"/>
        <v>3747036.3268936169</v>
      </c>
      <c r="G10" s="287">
        <f t="shared" si="6"/>
        <v>2722342.7896961682</v>
      </c>
      <c r="H10" s="288">
        <f t="shared" si="6"/>
        <v>3698529.3633191492</v>
      </c>
      <c r="I10" s="297">
        <f>SUM(I40:I42)</f>
        <v>3450641.6172046894</v>
      </c>
      <c r="J10" s="287">
        <f t="shared" si="6"/>
        <v>1111849.8665191489</v>
      </c>
      <c r="K10" s="382">
        <f t="shared" si="6"/>
        <v>1788546.6828413827</v>
      </c>
      <c r="L10" s="286">
        <f t="shared" si="6"/>
        <v>2634010.7683785465</v>
      </c>
      <c r="M10" s="148">
        <f t="shared" si="6"/>
        <v>2760365.8118387237</v>
      </c>
      <c r="N10" s="149">
        <f t="shared" si="6"/>
        <v>100365.8118387234</v>
      </c>
      <c r="O10" s="150">
        <f t="shared" si="2"/>
        <v>29324724.852073833</v>
      </c>
      <c r="P10" s="137"/>
    </row>
    <row r="11" spans="1:17" s="166" customFormat="1" ht="18.75" customHeight="1" thickBot="1">
      <c r="A11" s="160"/>
      <c r="B11" s="170" t="s">
        <v>159</v>
      </c>
      <c r="C11" s="302">
        <f>SUM(C9:C10)</f>
        <v>5281331.1592690116</v>
      </c>
      <c r="D11" s="303">
        <f t="shared" ref="D11:N11" si="7">SUM(D9:D10)</f>
        <v>4851517.2758001406</v>
      </c>
      <c r="E11" s="304">
        <f t="shared" si="7"/>
        <v>6118511.3800722007</v>
      </c>
      <c r="F11" s="302">
        <f t="shared" si="7"/>
        <v>7660724.5381702147</v>
      </c>
      <c r="G11" s="303">
        <f t="shared" si="7"/>
        <v>6079434.8835387211</v>
      </c>
      <c r="H11" s="304">
        <f t="shared" si="7"/>
        <v>7784991.224553192</v>
      </c>
      <c r="I11" s="305">
        <f t="shared" si="7"/>
        <v>7838510.5553834187</v>
      </c>
      <c r="J11" s="303">
        <f t="shared" si="7"/>
        <v>4738549.6201276593</v>
      </c>
      <c r="K11" s="385">
        <f t="shared" si="7"/>
        <v>5368707.1340180691</v>
      </c>
      <c r="L11" s="302">
        <f t="shared" si="7"/>
        <v>6412109.3611685466</v>
      </c>
      <c r="M11" s="171">
        <f t="shared" si="7"/>
        <v>9243170.4351473525</v>
      </c>
      <c r="N11" s="172">
        <f t="shared" si="7"/>
        <v>3531224.0432644039</v>
      </c>
      <c r="O11" s="173">
        <f t="shared" si="2"/>
        <v>74908781.610512942</v>
      </c>
      <c r="P11" s="165"/>
    </row>
    <row r="12" spans="1:17" s="178" customFormat="1" ht="18.75" customHeight="1" thickBot="1">
      <c r="A12" s="264"/>
      <c r="B12" s="265" t="s">
        <v>180</v>
      </c>
      <c r="C12" s="306">
        <f>+C5+C8-C11</f>
        <v>1596401.0129682878</v>
      </c>
      <c r="D12" s="307">
        <f t="shared" ref="D12:N12" si="8">+D5+D8-D11</f>
        <v>1398474.9527851688</v>
      </c>
      <c r="E12" s="308">
        <f t="shared" si="8"/>
        <v>1583030.9610108407</v>
      </c>
      <c r="F12" s="309">
        <f t="shared" si="8"/>
        <v>1076354.9459895622</v>
      </c>
      <c r="G12" s="310">
        <f t="shared" si="8"/>
        <v>1889060.1654295642</v>
      </c>
      <c r="H12" s="308">
        <f t="shared" si="8"/>
        <v>1131597.1547912657</v>
      </c>
      <c r="I12" s="311">
        <f>+I5+I8-I11</f>
        <v>1126976.1390674198</v>
      </c>
      <c r="J12" s="378">
        <f t="shared" si="8"/>
        <v>735966.23387593124</v>
      </c>
      <c r="K12" s="307">
        <f t="shared" si="8"/>
        <v>1257165.6762585705</v>
      </c>
      <c r="L12" s="306">
        <f t="shared" si="8"/>
        <v>1605623.7631316902</v>
      </c>
      <c r="M12" s="175">
        <f t="shared" si="8"/>
        <v>523547.18586368859</v>
      </c>
      <c r="N12" s="176">
        <f t="shared" si="8"/>
        <v>704015.52736667916</v>
      </c>
      <c r="O12" s="272">
        <f>+O5+O8-O11</f>
        <v>704015.52736668289</v>
      </c>
      <c r="P12" s="177"/>
    </row>
    <row r="13" spans="1:17" s="184" customFormat="1" ht="18.75" customHeight="1">
      <c r="A13" s="179"/>
      <c r="B13" s="180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2"/>
      <c r="Q13" s="183"/>
    </row>
    <row r="14" spans="1:17" ht="18.75" customHeight="1" thickBot="1">
      <c r="A14" s="227" t="s">
        <v>182</v>
      </c>
      <c r="B14" s="131"/>
      <c r="F14" s="235"/>
      <c r="G14" s="185"/>
      <c r="H14" s="235"/>
      <c r="I14" s="185"/>
      <c r="J14" s="185"/>
      <c r="L14" s="185"/>
      <c r="M14" s="185"/>
      <c r="N14" s="185"/>
      <c r="O14" s="123" t="s">
        <v>87</v>
      </c>
      <c r="P14" s="186"/>
    </row>
    <row r="15" spans="1:17" s="126" customFormat="1" ht="20.25" customHeight="1" thickBot="1">
      <c r="A15" s="132" t="s">
        <v>117</v>
      </c>
      <c r="B15" s="133" t="s">
        <v>116</v>
      </c>
      <c r="C15" s="377" t="s">
        <v>319</v>
      </c>
      <c r="D15" s="376" t="s">
        <v>320</v>
      </c>
      <c r="E15" s="312" t="s">
        <v>321</v>
      </c>
      <c r="F15" s="313" t="s">
        <v>322</v>
      </c>
      <c r="G15" s="314" t="s">
        <v>323</v>
      </c>
      <c r="H15" s="312" t="s">
        <v>324</v>
      </c>
      <c r="I15" s="313" t="s">
        <v>325</v>
      </c>
      <c r="J15" s="314" t="s">
        <v>326</v>
      </c>
      <c r="K15" s="312" t="s">
        <v>327</v>
      </c>
      <c r="L15" s="313" t="s">
        <v>328</v>
      </c>
      <c r="M15" s="315" t="s">
        <v>329</v>
      </c>
      <c r="N15" s="316" t="s">
        <v>330</v>
      </c>
      <c r="O15" s="317" t="s">
        <v>343</v>
      </c>
      <c r="P15" s="187"/>
      <c r="Q15" s="188"/>
    </row>
    <row r="16" spans="1:17" ht="20.25" customHeight="1" thickBot="1">
      <c r="A16" s="189" t="s">
        <v>152</v>
      </c>
      <c r="B16" s="174"/>
      <c r="C16" s="318">
        <v>1710220.5515372981</v>
      </c>
      <c r="D16" s="319">
        <f>+C47</f>
        <v>1596401.0129682892</v>
      </c>
      <c r="E16" s="320">
        <f t="shared" ref="E16:N16" si="9">+D47</f>
        <v>1398474.9527851692</v>
      </c>
      <c r="F16" s="318">
        <f t="shared" si="9"/>
        <v>1583030.9610108412</v>
      </c>
      <c r="G16" s="321">
        <f t="shared" si="9"/>
        <v>1076354.9459895627</v>
      </c>
      <c r="H16" s="320">
        <f t="shared" si="9"/>
        <v>1889060.1654295647</v>
      </c>
      <c r="I16" s="318">
        <f t="shared" si="9"/>
        <v>1131597.1547912671</v>
      </c>
      <c r="J16" s="321">
        <f t="shared" si="9"/>
        <v>1126976.1390674221</v>
      </c>
      <c r="K16" s="320">
        <f t="shared" si="9"/>
        <v>735966.2338759345</v>
      </c>
      <c r="L16" s="318">
        <f t="shared" si="9"/>
        <v>1257165.6762585728</v>
      </c>
      <c r="M16" s="190">
        <f t="shared" si="9"/>
        <v>1605623.7631316916</v>
      </c>
      <c r="N16" s="191">
        <f t="shared" si="9"/>
        <v>523547.18586368905</v>
      </c>
      <c r="O16" s="192">
        <f>+C16</f>
        <v>1710220.5515372981</v>
      </c>
      <c r="P16" s="193"/>
    </row>
    <row r="17" spans="1:17" ht="20.25" customHeight="1">
      <c r="A17" s="194" t="s">
        <v>153</v>
      </c>
      <c r="B17" s="195" t="s">
        <v>154</v>
      </c>
      <c r="C17" s="322">
        <v>1936330.3655333335</v>
      </c>
      <c r="D17" s="323">
        <v>2284086.07612766</v>
      </c>
      <c r="E17" s="324">
        <v>3448033.5344680855</v>
      </c>
      <c r="F17" s="322">
        <v>3084757.2245106385</v>
      </c>
      <c r="G17" s="325">
        <v>3828833.5648936168</v>
      </c>
      <c r="H17" s="324">
        <v>2921435.7947234046</v>
      </c>
      <c r="I17" s="322">
        <v>3414597.3620851054</v>
      </c>
      <c r="J17" s="325">
        <v>3103400.0038723405</v>
      </c>
      <c r="K17" s="324">
        <v>4196361.3017907795</v>
      </c>
      <c r="L17" s="322">
        <v>3784884.2824999993</v>
      </c>
      <c r="M17" s="196">
        <v>3711093.85787935</v>
      </c>
      <c r="N17" s="197">
        <v>3261692.384767394</v>
      </c>
      <c r="O17" s="198">
        <f t="shared" ref="O17:O24" si="10">SUM(C17:N17)</f>
        <v>38975505.7531517</v>
      </c>
      <c r="P17" s="239" t="b">
        <v>0</v>
      </c>
    </row>
    <row r="18" spans="1:17" ht="20.25" customHeight="1">
      <c r="A18" s="199"/>
      <c r="B18" s="200" t="s">
        <v>155</v>
      </c>
      <c r="C18" s="322">
        <v>121402</v>
      </c>
      <c r="D18" s="326">
        <v>161402.14000000001</v>
      </c>
      <c r="E18" s="327">
        <v>0</v>
      </c>
      <c r="F18" s="328">
        <v>424722.9</v>
      </c>
      <c r="G18" s="329">
        <v>173340.76</v>
      </c>
      <c r="H18" s="327">
        <v>204082</v>
      </c>
      <c r="I18" s="328"/>
      <c r="J18" s="329">
        <v>240400.63</v>
      </c>
      <c r="K18" s="327">
        <v>200000</v>
      </c>
      <c r="L18" s="328">
        <v>85048</v>
      </c>
      <c r="M18" s="201">
        <v>215000</v>
      </c>
      <c r="N18" s="202">
        <v>200000</v>
      </c>
      <c r="O18" s="198">
        <f t="shared" si="10"/>
        <v>2025398.4300000002</v>
      </c>
      <c r="P18" s="239"/>
    </row>
    <row r="19" spans="1:17" ht="20.25" customHeight="1">
      <c r="A19" s="199"/>
      <c r="B19" s="200" t="s">
        <v>286</v>
      </c>
      <c r="C19" s="322"/>
      <c r="D19" s="326"/>
      <c r="E19" s="327"/>
      <c r="F19" s="328"/>
      <c r="G19" s="329"/>
      <c r="H19" s="330">
        <v>0</v>
      </c>
      <c r="I19" s="357">
        <v>800000</v>
      </c>
      <c r="J19" s="329"/>
      <c r="K19" s="327"/>
      <c r="L19" s="328"/>
      <c r="M19" s="331"/>
      <c r="N19" s="202"/>
      <c r="O19" s="198">
        <f t="shared" si="10"/>
        <v>800000</v>
      </c>
      <c r="P19" s="193"/>
    </row>
    <row r="20" spans="1:17" ht="20.25" customHeight="1">
      <c r="A20" s="199"/>
      <c r="B20" s="200" t="s">
        <v>229</v>
      </c>
      <c r="C20" s="322">
        <v>9550.93</v>
      </c>
      <c r="D20" s="326">
        <v>118107.14948936171</v>
      </c>
      <c r="E20" s="327">
        <v>32634.79</v>
      </c>
      <c r="F20" s="328">
        <v>20042</v>
      </c>
      <c r="G20" s="329">
        <v>93349.55</v>
      </c>
      <c r="H20" s="327">
        <v>326045.61068085104</v>
      </c>
      <c r="I20" s="328">
        <v>262706.15629787231</v>
      </c>
      <c r="J20" s="329">
        <v>127417.78319148936</v>
      </c>
      <c r="K20" s="327">
        <v>14378.274609929078</v>
      </c>
      <c r="L20" s="328">
        <v>176567</v>
      </c>
      <c r="M20" s="331">
        <v>0</v>
      </c>
      <c r="N20" s="202">
        <v>0</v>
      </c>
      <c r="O20" s="198">
        <f t="shared" si="10"/>
        <v>1180799.2442695035</v>
      </c>
      <c r="P20" s="193"/>
    </row>
    <row r="21" spans="1:17" ht="20.25" customHeight="1">
      <c r="A21" s="199"/>
      <c r="B21" s="200" t="s">
        <v>156</v>
      </c>
      <c r="C21" s="328">
        <v>2276056.666666667</v>
      </c>
      <c r="D21" s="329">
        <v>2073872.5899999999</v>
      </c>
      <c r="E21" s="327">
        <v>2822399.0638297871</v>
      </c>
      <c r="F21" s="328">
        <v>3624526.3986382978</v>
      </c>
      <c r="G21" s="329">
        <v>2650858.6193617019</v>
      </c>
      <c r="H21" s="327">
        <v>3575964.8085106383</v>
      </c>
      <c r="I21" s="332">
        <v>3289351.978723404</v>
      </c>
      <c r="J21" s="329">
        <v>876321.29787234042</v>
      </c>
      <c r="K21" s="327">
        <v>1479167</v>
      </c>
      <c r="L21" s="586">
        <v>2453245.8322083335</v>
      </c>
      <c r="M21" s="331">
        <v>2660000</v>
      </c>
      <c r="N21" s="202"/>
      <c r="O21" s="198">
        <f t="shared" si="10"/>
        <v>27781764.25581117</v>
      </c>
      <c r="P21" s="193"/>
    </row>
    <row r="22" spans="1:17" ht="20.25" customHeight="1">
      <c r="A22" s="199"/>
      <c r="B22" s="200" t="s">
        <v>157</v>
      </c>
      <c r="C22" s="328">
        <v>0</v>
      </c>
      <c r="D22" s="326">
        <v>0</v>
      </c>
      <c r="E22" s="327">
        <v>0</v>
      </c>
      <c r="F22" s="328">
        <v>0</v>
      </c>
      <c r="G22" s="329">
        <v>35917.5</v>
      </c>
      <c r="H22" s="327"/>
      <c r="I22" s="332">
        <v>0</v>
      </c>
      <c r="J22" s="329">
        <v>0</v>
      </c>
      <c r="K22" s="327">
        <v>0</v>
      </c>
      <c r="L22" s="586">
        <v>0</v>
      </c>
      <c r="M22" s="331">
        <v>0</v>
      </c>
      <c r="N22" s="202">
        <v>0</v>
      </c>
      <c r="O22" s="198">
        <f t="shared" si="10"/>
        <v>35917.5</v>
      </c>
      <c r="P22" s="193"/>
      <c r="Q22" s="203"/>
    </row>
    <row r="23" spans="1:17" ht="20.25" customHeight="1">
      <c r="A23" s="199"/>
      <c r="B23" s="204" t="s">
        <v>287</v>
      </c>
      <c r="C23" s="333"/>
      <c r="D23" s="334"/>
      <c r="E23" s="335"/>
      <c r="F23" s="333"/>
      <c r="G23" s="329">
        <v>106382.97872340426</v>
      </c>
      <c r="H23" s="327"/>
      <c r="I23" s="329">
        <v>67234.042553191495</v>
      </c>
      <c r="J23" s="379"/>
      <c r="K23" s="335"/>
      <c r="L23" s="587">
        <v>208333.33333333334</v>
      </c>
      <c r="M23" s="336">
        <v>200000</v>
      </c>
      <c r="N23" s="205">
        <v>250000</v>
      </c>
      <c r="O23" s="198">
        <f t="shared" si="10"/>
        <v>831950.35460992914</v>
      </c>
      <c r="P23" s="193"/>
      <c r="Q23" s="203"/>
    </row>
    <row r="24" spans="1:17" ht="20.25" customHeight="1">
      <c r="A24" s="199"/>
      <c r="B24" s="204" t="s">
        <v>158</v>
      </c>
      <c r="C24" s="333">
        <v>824171.65850000037</v>
      </c>
      <c r="D24" s="334">
        <v>16123.26</v>
      </c>
      <c r="E24" s="335">
        <v>0</v>
      </c>
      <c r="F24" s="333">
        <v>0</v>
      </c>
      <c r="G24" s="329">
        <v>3457.1299999997427</v>
      </c>
      <c r="H24" s="327"/>
      <c r="I24" s="337"/>
      <c r="J24" s="379"/>
      <c r="K24" s="386"/>
      <c r="L24" s="588">
        <v>52489</v>
      </c>
      <c r="M24" s="338">
        <v>1375000</v>
      </c>
      <c r="N24" s="205"/>
      <c r="O24" s="206">
        <f t="shared" si="10"/>
        <v>2271241.0485</v>
      </c>
      <c r="P24" s="193"/>
      <c r="Q24" s="203"/>
    </row>
    <row r="25" spans="1:17" ht="20.25" customHeight="1" thickBot="1">
      <c r="A25" s="207"/>
      <c r="B25" s="208" t="s">
        <v>159</v>
      </c>
      <c r="C25" s="339">
        <f t="shared" ref="C25:O25" si="11">SUM(C17:C24)</f>
        <v>5167511.6207000017</v>
      </c>
      <c r="D25" s="340">
        <f t="shared" si="11"/>
        <v>4653591.2156170215</v>
      </c>
      <c r="E25" s="341">
        <f t="shared" si="11"/>
        <v>6303067.3882978726</v>
      </c>
      <c r="F25" s="339">
        <f t="shared" si="11"/>
        <v>7154048.5231489362</v>
      </c>
      <c r="G25" s="342">
        <f t="shared" si="11"/>
        <v>6892140.1029787231</v>
      </c>
      <c r="H25" s="341">
        <f t="shared" si="11"/>
        <v>7027528.2139148936</v>
      </c>
      <c r="I25" s="343">
        <f t="shared" si="11"/>
        <v>7833889.5396595728</v>
      </c>
      <c r="J25" s="342">
        <f t="shared" si="11"/>
        <v>4347539.7149361707</v>
      </c>
      <c r="K25" s="387">
        <f>SUM(K17:K24)</f>
        <v>5889906.5764007084</v>
      </c>
      <c r="L25" s="589">
        <f>SUM(L17:L24)</f>
        <v>6760567.4480416654</v>
      </c>
      <c r="M25" s="344">
        <f>SUM(M17:M24)</f>
        <v>8161093.85787935</v>
      </c>
      <c r="N25" s="210">
        <f t="shared" si="11"/>
        <v>3711692.384767394</v>
      </c>
      <c r="O25" s="211">
        <f t="shared" si="11"/>
        <v>73902576.586342305</v>
      </c>
      <c r="P25" s="193"/>
      <c r="Q25" s="203"/>
    </row>
    <row r="26" spans="1:17" ht="20.25" customHeight="1">
      <c r="A26" s="212" t="s">
        <v>160</v>
      </c>
      <c r="B26" s="345" t="s">
        <v>161</v>
      </c>
      <c r="C26" s="346">
        <f>1218454.11241667-24255.97</f>
        <v>1194198.14241667</v>
      </c>
      <c r="D26" s="347">
        <v>1043064.647319149</v>
      </c>
      <c r="E26" s="348">
        <v>656323.20510638307</v>
      </c>
      <c r="F26" s="322">
        <v>1529981.822680851</v>
      </c>
      <c r="G26" s="325">
        <v>783693.05429787259</v>
      </c>
      <c r="H26" s="324">
        <v>1542881.4429361701</v>
      </c>
      <c r="I26" s="349">
        <f>1297123.49246809+280000</f>
        <v>1577123.49246809</v>
      </c>
      <c r="J26" s="353">
        <f>1139298.77774468-108977.76+1432.1</f>
        <v>1031753.1177446799</v>
      </c>
      <c r="K26" s="354">
        <f>1372798.6292633-45385.74</f>
        <v>1327412.8892633</v>
      </c>
      <c r="L26" s="352">
        <f>1568780.11684-58341.99</f>
        <v>1510438.12684</v>
      </c>
      <c r="M26" s="350">
        <v>964330.95600833336</v>
      </c>
      <c r="N26" s="125">
        <v>965966.42102701659</v>
      </c>
      <c r="O26" s="198">
        <f t="shared" ref="O26:O44" si="12">SUM(C26:N26)</f>
        <v>14127167.318108514</v>
      </c>
      <c r="P26" s="193"/>
      <c r="Q26" s="203"/>
    </row>
    <row r="27" spans="1:17" ht="20.25" customHeight="1">
      <c r="A27" s="213"/>
      <c r="B27" s="351" t="s">
        <v>344</v>
      </c>
      <c r="C27" s="352">
        <v>35094.439350000001</v>
      </c>
      <c r="D27" s="353">
        <v>5071.4842902127666</v>
      </c>
      <c r="E27" s="354">
        <v>5191.484170212766</v>
      </c>
      <c r="F27" s="352">
        <v>35041.129710638299</v>
      </c>
      <c r="G27" s="353">
        <v>4851.0589787234039</v>
      </c>
      <c r="H27" s="354">
        <v>44751.768297872339</v>
      </c>
      <c r="I27" s="355">
        <v>49898.1512</v>
      </c>
      <c r="J27" s="353">
        <v>71744.959794042545</v>
      </c>
      <c r="K27" s="354">
        <v>71656.9397875</v>
      </c>
      <c r="L27" s="352">
        <v>71647.217575000002</v>
      </c>
      <c r="M27" s="350">
        <v>75700</v>
      </c>
      <c r="N27" s="125">
        <v>75700</v>
      </c>
      <c r="O27" s="198">
        <f t="shared" si="12"/>
        <v>546348.63315420214</v>
      </c>
      <c r="P27" s="193"/>
      <c r="Q27" s="203"/>
    </row>
    <row r="28" spans="1:17" ht="20.25" customHeight="1">
      <c r="A28" s="214"/>
      <c r="B28" s="356" t="s">
        <v>162</v>
      </c>
      <c r="C28" s="352">
        <v>169011.91916666666</v>
      </c>
      <c r="D28" s="353">
        <v>2984.4255319148933</v>
      </c>
      <c r="E28" s="354">
        <v>48475.872978723397</v>
      </c>
      <c r="F28" s="352">
        <v>30930.11234042553</v>
      </c>
      <c r="G28" s="353">
        <v>57332.842553191476</v>
      </c>
      <c r="H28" s="354">
        <v>65448.201361702122</v>
      </c>
      <c r="I28" s="355">
        <v>50985.081489361699</v>
      </c>
      <c r="J28" s="353">
        <v>31724.670553191492</v>
      </c>
      <c r="K28" s="354">
        <v>21481.773049645391</v>
      </c>
      <c r="L28" s="352">
        <v>39717.207208333333</v>
      </c>
      <c r="M28" s="350">
        <v>22112.023458333329</v>
      </c>
      <c r="N28" s="125">
        <v>29161.508916666666</v>
      </c>
      <c r="O28" s="198">
        <f t="shared" si="12"/>
        <v>569365.638608156</v>
      </c>
      <c r="P28" s="193"/>
      <c r="Q28" s="203"/>
    </row>
    <row r="29" spans="1:17" ht="20.25" customHeight="1">
      <c r="A29" s="214"/>
      <c r="B29" s="356" t="s">
        <v>163</v>
      </c>
      <c r="C29" s="352">
        <v>134478.65845833332</v>
      </c>
      <c r="D29" s="353">
        <v>14893.753191489361</v>
      </c>
      <c r="E29" s="354">
        <v>239189.3427659575</v>
      </c>
      <c r="F29" s="352">
        <v>280205.37046808511</v>
      </c>
      <c r="G29" s="353">
        <v>274022.88595744676</v>
      </c>
      <c r="H29" s="354">
        <v>194102.84978723404</v>
      </c>
      <c r="I29" s="352">
        <v>298380.96646808513</v>
      </c>
      <c r="J29" s="353">
        <v>234890.14991489361</v>
      </c>
      <c r="K29" s="354">
        <v>229289.41026241134</v>
      </c>
      <c r="L29" s="352">
        <v>180479.81295833332</v>
      </c>
      <c r="M29" s="350">
        <v>294632.93678274995</v>
      </c>
      <c r="N29" s="125">
        <v>321906.73545080825</v>
      </c>
      <c r="O29" s="198">
        <f t="shared" si="12"/>
        <v>2696472.872465828</v>
      </c>
      <c r="P29" s="193"/>
      <c r="Q29" s="203"/>
    </row>
    <row r="30" spans="1:17" ht="20.25" customHeight="1">
      <c r="A30" s="214"/>
      <c r="B30" s="356" t="s">
        <v>164</v>
      </c>
      <c r="C30" s="352">
        <v>381109.93233333336</v>
      </c>
      <c r="D30" s="353">
        <v>304648.4374468085</v>
      </c>
      <c r="E30" s="354">
        <v>274985.23208510643</v>
      </c>
      <c r="F30" s="352">
        <v>445958.84102127666</v>
      </c>
      <c r="G30" s="353">
        <v>454974.34319148934</v>
      </c>
      <c r="H30" s="354">
        <v>739176.71191489359</v>
      </c>
      <c r="I30" s="352">
        <v>471492.83136170212</v>
      </c>
      <c r="J30" s="353">
        <v>715853.87374468078</v>
      </c>
      <c r="K30" s="354">
        <v>432906.83987234044</v>
      </c>
      <c r="L30" s="352">
        <v>481799.66737499996</v>
      </c>
      <c r="M30" s="350">
        <v>617271.9923647102</v>
      </c>
      <c r="N30" s="125">
        <v>608181.55450375797</v>
      </c>
      <c r="O30" s="198">
        <f t="shared" si="12"/>
        <v>5928360.2572150994</v>
      </c>
      <c r="P30" s="193"/>
      <c r="Q30" s="203"/>
    </row>
    <row r="31" spans="1:17" ht="20.25" customHeight="1">
      <c r="A31" s="214"/>
      <c r="B31" s="215" t="s">
        <v>342</v>
      </c>
      <c r="C31" s="352">
        <v>102516.46820833333</v>
      </c>
      <c r="D31" s="353">
        <v>64440.185531914853</v>
      </c>
      <c r="E31" s="354">
        <v>117236.08540425533</v>
      </c>
      <c r="F31" s="352">
        <v>46561.842255319149</v>
      </c>
      <c r="G31" s="353">
        <v>127251.05012765958</v>
      </c>
      <c r="H31" s="354">
        <v>54399.357574468093</v>
      </c>
      <c r="I31" s="352">
        <v>147973.16940425531</v>
      </c>
      <c r="J31" s="353">
        <v>128236.34025531913</v>
      </c>
      <c r="K31" s="354">
        <v>220302.51962322695</v>
      </c>
      <c r="L31" s="352">
        <v>161521.94575000001</v>
      </c>
      <c r="M31" s="350">
        <v>63924.128375</v>
      </c>
      <c r="N31" s="125">
        <v>63924.128375</v>
      </c>
      <c r="O31" s="198">
        <f t="shared" si="12"/>
        <v>1298287.2208847518</v>
      </c>
      <c r="P31" s="193"/>
      <c r="Q31" s="203"/>
    </row>
    <row r="32" spans="1:17" ht="20.25" customHeight="1">
      <c r="A32" s="216"/>
      <c r="B32" s="215" t="s">
        <v>337</v>
      </c>
      <c r="C32" s="357">
        <v>0</v>
      </c>
      <c r="D32" s="358">
        <f>22400+10000+D22</f>
        <v>32400</v>
      </c>
      <c r="E32" s="330">
        <v>55399.4</v>
      </c>
      <c r="F32" s="357">
        <v>85900.774042553181</v>
      </c>
      <c r="G32" s="358">
        <v>231145.4</v>
      </c>
      <c r="H32" s="354">
        <v>261700.04</v>
      </c>
      <c r="I32" s="357">
        <v>63845.32106382979</v>
      </c>
      <c r="J32" s="358">
        <v>95858.489702127656</v>
      </c>
      <c r="K32" s="330">
        <v>84662.45</v>
      </c>
      <c r="L32" s="357">
        <v>133063.38416666666</v>
      </c>
      <c r="M32" s="359">
        <v>309833</v>
      </c>
      <c r="N32" s="238">
        <v>139000</v>
      </c>
      <c r="O32" s="198">
        <f t="shared" si="12"/>
        <v>1492808.2589751773</v>
      </c>
      <c r="P32" s="193"/>
      <c r="Q32" s="203"/>
    </row>
    <row r="33" spans="1:18" ht="20.25" customHeight="1">
      <c r="A33" s="214"/>
      <c r="B33" s="215" t="s">
        <v>165</v>
      </c>
      <c r="C33" s="357">
        <f>889836.112194444-462712</f>
        <v>427124.11219444405</v>
      </c>
      <c r="D33" s="358">
        <v>698277.82932269503</v>
      </c>
      <c r="E33" s="330">
        <v>1292958.9349787235</v>
      </c>
      <c r="F33" s="357">
        <v>762421.34872340434</v>
      </c>
      <c r="G33" s="358">
        <v>605382.71804255317</v>
      </c>
      <c r="H33" s="354">
        <v>570327.57612765953</v>
      </c>
      <c r="I33" s="357">
        <v>567551.88327659573</v>
      </c>
      <c r="J33" s="358">
        <v>613168.31646808505</v>
      </c>
      <c r="K33" s="330">
        <v>607558.79181294329</v>
      </c>
      <c r="L33" s="357">
        <v>617594.18816666666</v>
      </c>
      <c r="M33" s="359">
        <v>717365.43352893624</v>
      </c>
      <c r="N33" s="360">
        <v>807500.86647893628</v>
      </c>
      <c r="O33" s="198">
        <f t="shared" si="12"/>
        <v>8287231.9991216436</v>
      </c>
      <c r="P33" s="193"/>
      <c r="Q33" s="203"/>
      <c r="R33" s="130"/>
    </row>
    <row r="34" spans="1:18" ht="20.25" customHeight="1">
      <c r="A34" s="216"/>
      <c r="B34" s="215" t="s">
        <v>239</v>
      </c>
      <c r="C34" s="352">
        <v>16165.622916666667</v>
      </c>
      <c r="D34" s="353">
        <v>60095.731063829786</v>
      </c>
      <c r="E34" s="330">
        <v>76514.435744680857</v>
      </c>
      <c r="F34" s="357">
        <v>56766.914042553195</v>
      </c>
      <c r="G34" s="358">
        <v>120576.0855319149</v>
      </c>
      <c r="H34" s="354">
        <v>30454.323404255316</v>
      </c>
      <c r="I34" s="352">
        <v>97049.540425531915</v>
      </c>
      <c r="J34" s="353">
        <v>150708.1995319149</v>
      </c>
      <c r="K34" s="354">
        <v>64759.160815602838</v>
      </c>
      <c r="L34" s="352">
        <v>1847.3333333333333</v>
      </c>
      <c r="M34" s="124">
        <v>59392.872280851007</v>
      </c>
      <c r="N34" s="125">
        <v>57314.782608695656</v>
      </c>
      <c r="O34" s="198">
        <f t="shared" si="12"/>
        <v>791645.00169983041</v>
      </c>
      <c r="P34" s="193"/>
      <c r="Q34" s="203"/>
    </row>
    <row r="35" spans="1:18" ht="20.25" customHeight="1">
      <c r="A35" s="216"/>
      <c r="B35" s="215" t="s">
        <v>166</v>
      </c>
      <c r="C35" s="357">
        <v>194061.40875</v>
      </c>
      <c r="D35" s="358">
        <v>228694.21029787231</v>
      </c>
      <c r="E35" s="330">
        <v>253959.50327659576</v>
      </c>
      <c r="F35" s="357">
        <v>250576.28153191489</v>
      </c>
      <c r="G35" s="358">
        <v>246027.26204255322</v>
      </c>
      <c r="H35" s="354">
        <v>260710.65178723403</v>
      </c>
      <c r="I35" s="352">
        <v>313642.09093617031</v>
      </c>
      <c r="J35" s="353">
        <v>293933.83910638298</v>
      </c>
      <c r="K35" s="354">
        <v>264974.29589450354</v>
      </c>
      <c r="L35" s="352">
        <v>292788.48699999996</v>
      </c>
      <c r="M35" s="124">
        <v>267628.65637836198</v>
      </c>
      <c r="N35" s="125">
        <v>283137.38220157899</v>
      </c>
      <c r="O35" s="198">
        <f t="shared" si="12"/>
        <v>3150134.0692031672</v>
      </c>
      <c r="P35" s="193"/>
      <c r="Q35" s="203"/>
    </row>
    <row r="36" spans="1:18" ht="20.25" customHeight="1">
      <c r="A36" s="216"/>
      <c r="B36" s="215" t="s">
        <v>167</v>
      </c>
      <c r="C36" s="357">
        <v>70273.682936170211</v>
      </c>
      <c r="D36" s="358">
        <v>18872.336212765957</v>
      </c>
      <c r="E36" s="330">
        <v>120138.57431914893</v>
      </c>
      <c r="F36" s="357">
        <v>67904.00089361702</v>
      </c>
      <c r="G36" s="358">
        <v>100767.57889361701</v>
      </c>
      <c r="H36" s="354">
        <v>74519.242851063827</v>
      </c>
      <c r="I36" s="352">
        <v>367771.23042553192</v>
      </c>
      <c r="J36" s="353">
        <v>19210.430042553191</v>
      </c>
      <c r="K36" s="354">
        <v>37773.964666666667</v>
      </c>
      <c r="L36" s="352">
        <v>9646.5529166666674</v>
      </c>
      <c r="M36" s="124">
        <v>42931.876583333331</v>
      </c>
      <c r="N36" s="125">
        <v>42931.876583333331</v>
      </c>
      <c r="O36" s="198">
        <f t="shared" si="12"/>
        <v>972741.3473244682</v>
      </c>
      <c r="P36" s="193"/>
      <c r="Q36" s="203"/>
    </row>
    <row r="37" spans="1:18" ht="20.25" customHeight="1">
      <c r="A37" s="216"/>
      <c r="B37" s="215" t="s">
        <v>168</v>
      </c>
      <c r="C37" s="357">
        <v>110774.02166666667</v>
      </c>
      <c r="D37" s="358">
        <v>107782.79</v>
      </c>
      <c r="E37" s="330">
        <v>7925.1971489361704</v>
      </c>
      <c r="F37" s="357">
        <v>109760.68744680852</v>
      </c>
      <c r="G37" s="358">
        <v>230394.23940425529</v>
      </c>
      <c r="H37" s="354">
        <v>110613.79663829788</v>
      </c>
      <c r="I37" s="352">
        <v>102936.70804255319</v>
      </c>
      <c r="J37" s="353">
        <v>116027.30310638298</v>
      </c>
      <c r="K37" s="354">
        <v>122635.80642641845</v>
      </c>
      <c r="L37" s="352">
        <v>106633.43783333333</v>
      </c>
      <c r="M37" s="124">
        <v>100431.16069405107</v>
      </c>
      <c r="N37" s="125">
        <v>99396.761307051085</v>
      </c>
      <c r="O37" s="198">
        <f t="shared" si="12"/>
        <v>1325311.9097147547</v>
      </c>
      <c r="P37" s="193"/>
      <c r="Q37" s="203"/>
    </row>
    <row r="38" spans="1:18" ht="20.25" customHeight="1">
      <c r="A38" s="216"/>
      <c r="B38" s="215" t="s">
        <v>230</v>
      </c>
      <c r="C38" s="357">
        <v>21814.367958333332</v>
      </c>
      <c r="D38" s="358">
        <v>35012.867234042555</v>
      </c>
      <c r="E38" s="330">
        <v>29688.56710638298</v>
      </c>
      <c r="F38" s="357">
        <v>71292.951319148939</v>
      </c>
      <c r="G38" s="358">
        <v>87547.398851063816</v>
      </c>
      <c r="H38" s="354">
        <v>85081.26395744679</v>
      </c>
      <c r="I38" s="357">
        <v>94989.276042553189</v>
      </c>
      <c r="J38" s="358">
        <v>87764.005063829783</v>
      </c>
      <c r="K38" s="330">
        <v>70650.19389184397</v>
      </c>
      <c r="L38" s="357">
        <v>95808.906624999989</v>
      </c>
      <c r="M38" s="244">
        <f>+M27*0.1</f>
        <v>7570</v>
      </c>
      <c r="N38" s="238">
        <v>7570</v>
      </c>
      <c r="O38" s="198">
        <f t="shared" si="12"/>
        <v>694789.79804964527</v>
      </c>
      <c r="P38" s="193"/>
      <c r="Q38" s="203"/>
    </row>
    <row r="39" spans="1:18" ht="20.25" customHeight="1">
      <c r="A39" s="216"/>
      <c r="B39" s="215" t="s">
        <v>169</v>
      </c>
      <c r="C39" s="357">
        <v>51428.885833333334</v>
      </c>
      <c r="D39" s="358">
        <v>14192.720978723404</v>
      </c>
      <c r="E39" s="330">
        <v>72997.896893617028</v>
      </c>
      <c r="F39" s="357">
        <v>60709.54587234043</v>
      </c>
      <c r="G39" s="358">
        <v>33126.175970212767</v>
      </c>
      <c r="H39" s="354">
        <v>45274.634595744683</v>
      </c>
      <c r="I39" s="357">
        <v>112083.00557446812</v>
      </c>
      <c r="J39" s="358">
        <v>35826.058580425532</v>
      </c>
      <c r="K39" s="330">
        <v>24095.415810283688</v>
      </c>
      <c r="L39" s="357">
        <v>45126.325041666663</v>
      </c>
      <c r="M39" s="244">
        <v>48891.036853967846</v>
      </c>
      <c r="N39" s="238">
        <v>48745.213972836325</v>
      </c>
      <c r="O39" s="198">
        <f t="shared" si="12"/>
        <v>592496.91597761982</v>
      </c>
      <c r="P39" s="193"/>
      <c r="Q39" s="203"/>
    </row>
    <row r="40" spans="1:18" ht="20.25" customHeight="1">
      <c r="A40" s="216"/>
      <c r="B40" s="215" t="s">
        <v>170</v>
      </c>
      <c r="C40" s="357">
        <v>2203753.666666667</v>
      </c>
      <c r="D40" s="358">
        <v>2068348</v>
      </c>
      <c r="E40" s="330">
        <v>2750289.0638297871</v>
      </c>
      <c r="F40" s="357">
        <v>3653739.3135319147</v>
      </c>
      <c r="G40" s="358">
        <v>2627233.4893617001</v>
      </c>
      <c r="H40" s="330">
        <v>3608080.5085106385</v>
      </c>
      <c r="I40" s="357">
        <v>3354446.9977246891</v>
      </c>
      <c r="J40" s="358">
        <v>1020089.2602978724</v>
      </c>
      <c r="K40" s="330">
        <v>1688180.8710026594</v>
      </c>
      <c r="L40" s="357">
        <v>2548299.8322083335</v>
      </c>
      <c r="M40" s="244">
        <v>2660000</v>
      </c>
      <c r="N40" s="238"/>
      <c r="O40" s="198">
        <f t="shared" si="12"/>
        <v>28182461.003134258</v>
      </c>
      <c r="P40" s="193"/>
      <c r="Q40" s="203"/>
    </row>
    <row r="41" spans="1:18" ht="20.25" customHeight="1">
      <c r="A41" s="216"/>
      <c r="B41" s="215" t="s">
        <v>171</v>
      </c>
      <c r="C41" s="361">
        <v>23898</v>
      </c>
      <c r="D41" s="362">
        <v>24406</v>
      </c>
      <c r="E41" s="363">
        <v>24406</v>
      </c>
      <c r="F41" s="357">
        <v>25133.468085106386</v>
      </c>
      <c r="G41" s="358">
        <v>25133.468085106386</v>
      </c>
      <c r="H41" s="330">
        <v>25133.468085106386</v>
      </c>
      <c r="I41" s="357">
        <v>25883.936170212764</v>
      </c>
      <c r="J41" s="358">
        <f>I41+$C$22/48</f>
        <v>25883.936170212764</v>
      </c>
      <c r="K41" s="330">
        <v>25883.936170212764</v>
      </c>
      <c r="L41" s="357">
        <f>K41+$C$22/48</f>
        <v>25883.936170212764</v>
      </c>
      <c r="M41" s="244">
        <f>L41+$C$22/48</f>
        <v>25883.936170212764</v>
      </c>
      <c r="N41" s="238">
        <f>M41+$C$22/48</f>
        <v>25883.936170212764</v>
      </c>
      <c r="O41" s="198">
        <f t="shared" si="12"/>
        <v>303414.02127659565</v>
      </c>
      <c r="P41" s="193"/>
      <c r="Q41" s="203"/>
    </row>
    <row r="42" spans="1:18" ht="20.25" customHeight="1">
      <c r="A42" s="216"/>
      <c r="B42" s="215" t="s">
        <v>18</v>
      </c>
      <c r="C42" s="357">
        <v>74481.875668510635</v>
      </c>
      <c r="D42" s="358">
        <v>74213.207378723411</v>
      </c>
      <c r="E42" s="330">
        <v>67240</v>
      </c>
      <c r="F42" s="357">
        <v>68163.545276595745</v>
      </c>
      <c r="G42" s="358">
        <v>69975.832249361687</v>
      </c>
      <c r="H42" s="330">
        <v>65315.386723404255</v>
      </c>
      <c r="I42" s="357">
        <v>70310.68330978723</v>
      </c>
      <c r="J42" s="358">
        <v>65876.670051063818</v>
      </c>
      <c r="K42" s="330">
        <v>74481.875668510635</v>
      </c>
      <c r="L42" s="357">
        <v>59827</v>
      </c>
      <c r="M42" s="244">
        <v>74481.875668510635</v>
      </c>
      <c r="N42" s="238">
        <v>74481.875668510635</v>
      </c>
      <c r="O42" s="248">
        <f t="shared" si="12"/>
        <v>838849.82766297879</v>
      </c>
      <c r="P42" s="193"/>
      <c r="Q42" s="203"/>
    </row>
    <row r="43" spans="1:18" ht="20.25" customHeight="1">
      <c r="A43" s="216"/>
      <c r="B43" s="215" t="s">
        <v>247</v>
      </c>
      <c r="C43" s="369"/>
      <c r="D43" s="370"/>
      <c r="E43" s="371"/>
      <c r="F43" s="369">
        <v>0</v>
      </c>
      <c r="G43" s="370">
        <v>0</v>
      </c>
      <c r="H43" s="371">
        <v>0</v>
      </c>
      <c r="I43" s="369"/>
      <c r="J43" s="370"/>
      <c r="K43" s="371"/>
      <c r="L43" s="369"/>
      <c r="M43" s="367">
        <v>2879122.55</v>
      </c>
      <c r="N43" s="368">
        <v>-200000</v>
      </c>
      <c r="O43" s="248">
        <f t="shared" si="12"/>
        <v>2679122.5499999998</v>
      </c>
      <c r="P43" s="193"/>
      <c r="Q43" s="203"/>
    </row>
    <row r="44" spans="1:18" ht="20.25" customHeight="1">
      <c r="A44" s="216"/>
      <c r="B44" s="246" t="s">
        <v>238</v>
      </c>
      <c r="C44" s="372">
        <v>71145.954744883347</v>
      </c>
      <c r="D44" s="373">
        <v>54118.65</v>
      </c>
      <c r="E44" s="374">
        <v>25592.58426368935</v>
      </c>
      <c r="F44" s="372">
        <v>79676.588927661534</v>
      </c>
      <c r="G44" s="373">
        <v>0</v>
      </c>
      <c r="H44" s="374">
        <v>7020</v>
      </c>
      <c r="I44" s="375">
        <v>72146.19</v>
      </c>
      <c r="J44" s="373"/>
      <c r="K44" s="374"/>
      <c r="L44" s="372">
        <v>29986</v>
      </c>
      <c r="M44" s="260">
        <v>11666</v>
      </c>
      <c r="N44" s="259">
        <f>50000+18755+11666</f>
        <v>80421</v>
      </c>
      <c r="O44" s="248">
        <f t="shared" si="12"/>
        <v>431772.9679362342</v>
      </c>
      <c r="P44" s="193"/>
      <c r="Q44" s="203"/>
    </row>
    <row r="45" spans="1:18" ht="20.25" customHeight="1" thickBot="1">
      <c r="A45" s="214"/>
      <c r="B45" s="208" t="s">
        <v>159</v>
      </c>
      <c r="C45" s="339">
        <f t="shared" ref="C45:O45" si="13">SUM(C26:C44)</f>
        <v>5281331.1592690106</v>
      </c>
      <c r="D45" s="342">
        <f t="shared" si="13"/>
        <v>4851517.2758001415</v>
      </c>
      <c r="E45" s="341">
        <f t="shared" si="13"/>
        <v>6118511.3800722007</v>
      </c>
      <c r="F45" s="339">
        <f t="shared" si="13"/>
        <v>7660724.5381702147</v>
      </c>
      <c r="G45" s="342">
        <f t="shared" si="13"/>
        <v>6079434.8835387211</v>
      </c>
      <c r="H45" s="341">
        <f t="shared" si="13"/>
        <v>7784991.2245531911</v>
      </c>
      <c r="I45" s="339">
        <f t="shared" si="13"/>
        <v>7838510.5553834178</v>
      </c>
      <c r="J45" s="342">
        <f t="shared" si="13"/>
        <v>4738549.6201276584</v>
      </c>
      <c r="K45" s="341">
        <f t="shared" si="13"/>
        <v>5368707.1340180701</v>
      </c>
      <c r="L45" s="339">
        <f t="shared" si="13"/>
        <v>6412109.3611685466</v>
      </c>
      <c r="M45" s="209">
        <f t="shared" si="13"/>
        <v>9243170.4351473525</v>
      </c>
      <c r="N45" s="210">
        <f t="shared" si="13"/>
        <v>3531224.0432644044</v>
      </c>
      <c r="O45" s="211">
        <f t="shared" si="13"/>
        <v>74908781.610512912</v>
      </c>
      <c r="P45" s="193"/>
      <c r="Q45" s="203"/>
    </row>
    <row r="46" spans="1:18" ht="20.25" customHeight="1" thickBot="1">
      <c r="A46" s="262" t="s">
        <v>172</v>
      </c>
      <c r="B46" s="263"/>
      <c r="C46" s="247">
        <f t="shared" ref="C46:O46" si="14">C25-C45</f>
        <v>-113819.53856900893</v>
      </c>
      <c r="D46" s="364">
        <f t="shared" si="14"/>
        <v>-197926.06018311996</v>
      </c>
      <c r="E46" s="365">
        <f t="shared" si="14"/>
        <v>184556.00822567195</v>
      </c>
      <c r="F46" s="247">
        <f t="shared" si="14"/>
        <v>-506676.01502127852</v>
      </c>
      <c r="G46" s="217">
        <f t="shared" si="14"/>
        <v>812705.21944000199</v>
      </c>
      <c r="H46" s="365">
        <f t="shared" si="14"/>
        <v>-757463.01063829754</v>
      </c>
      <c r="I46" s="247">
        <f t="shared" si="14"/>
        <v>-4621.0157238449901</v>
      </c>
      <c r="J46" s="217">
        <f t="shared" si="14"/>
        <v>-391009.90519148763</v>
      </c>
      <c r="K46" s="365">
        <f t="shared" si="14"/>
        <v>521199.44238263834</v>
      </c>
      <c r="L46" s="247">
        <f t="shared" si="14"/>
        <v>348458.08687311877</v>
      </c>
      <c r="M46" s="217">
        <f t="shared" si="14"/>
        <v>-1082076.5772680026</v>
      </c>
      <c r="N46" s="218">
        <f t="shared" si="14"/>
        <v>180468.34150298964</v>
      </c>
      <c r="O46" s="219">
        <f t="shared" si="14"/>
        <v>-1006205.0241706073</v>
      </c>
      <c r="P46" s="193"/>
      <c r="Q46" s="203"/>
    </row>
    <row r="47" spans="1:18" ht="20.25" customHeight="1" thickBot="1">
      <c r="A47" s="55" t="s">
        <v>173</v>
      </c>
      <c r="B47" s="261"/>
      <c r="C47" s="309">
        <f t="shared" ref="C47:O47" si="15">C46+C16</f>
        <v>1596401.0129682892</v>
      </c>
      <c r="D47" s="366">
        <f t="shared" si="15"/>
        <v>1398474.9527851692</v>
      </c>
      <c r="E47" s="308">
        <f t="shared" si="15"/>
        <v>1583030.9610108412</v>
      </c>
      <c r="F47" s="309">
        <f t="shared" si="15"/>
        <v>1076354.9459895627</v>
      </c>
      <c r="G47" s="310">
        <f t="shared" si="15"/>
        <v>1889060.1654295647</v>
      </c>
      <c r="H47" s="308">
        <f t="shared" si="15"/>
        <v>1131597.1547912671</v>
      </c>
      <c r="I47" s="309">
        <f t="shared" si="15"/>
        <v>1126976.1390674221</v>
      </c>
      <c r="J47" s="310">
        <f t="shared" si="15"/>
        <v>735966.2338759345</v>
      </c>
      <c r="K47" s="308">
        <f t="shared" si="15"/>
        <v>1257165.6762585728</v>
      </c>
      <c r="L47" s="309">
        <f t="shared" si="15"/>
        <v>1605623.7631316916</v>
      </c>
      <c r="M47" s="221">
        <f t="shared" si="15"/>
        <v>523547.18586368905</v>
      </c>
      <c r="N47" s="222">
        <f t="shared" si="15"/>
        <v>704015.5273666787</v>
      </c>
      <c r="O47" s="223">
        <f t="shared" si="15"/>
        <v>704015.5273666908</v>
      </c>
      <c r="P47" s="193"/>
      <c r="Q47" s="203"/>
    </row>
    <row r="48" spans="1:18" s="242" customFormat="1" ht="18.75" customHeight="1">
      <c r="A48" s="249"/>
      <c r="B48" s="240"/>
      <c r="C48" s="254"/>
      <c r="D48" s="254"/>
      <c r="E48" s="254"/>
      <c r="F48" s="250"/>
      <c r="G48" s="250"/>
      <c r="H48" s="254"/>
      <c r="I48" s="250"/>
      <c r="J48" s="250"/>
      <c r="K48" s="254"/>
      <c r="L48" s="250"/>
      <c r="M48" s="250"/>
      <c r="N48" s="243"/>
      <c r="O48" s="241"/>
      <c r="P48" s="251"/>
      <c r="Q48" s="252"/>
    </row>
    <row r="49" spans="1:17" s="242" customFormat="1" ht="18.75" customHeight="1">
      <c r="A49" s="249"/>
      <c r="B49" s="240"/>
      <c r="C49" s="254"/>
      <c r="D49" s="254"/>
      <c r="E49" s="254"/>
      <c r="F49" s="250"/>
      <c r="G49" s="250"/>
      <c r="H49" s="254"/>
      <c r="I49" s="250"/>
      <c r="J49" s="250"/>
      <c r="K49" s="254"/>
      <c r="L49" s="250"/>
      <c r="M49" s="250"/>
      <c r="N49" s="250"/>
      <c r="O49" s="241"/>
      <c r="P49" s="251"/>
      <c r="Q49" s="252"/>
    </row>
    <row r="50" spans="1:17" ht="18.75" customHeight="1">
      <c r="A50" s="249"/>
      <c r="B50" s="240"/>
      <c r="C50" s="254"/>
      <c r="D50" s="254"/>
      <c r="E50" s="254"/>
      <c r="F50" s="250"/>
      <c r="G50" s="250"/>
      <c r="H50" s="254"/>
      <c r="I50" s="250"/>
      <c r="J50" s="250"/>
      <c r="K50" s="254"/>
      <c r="L50" s="224"/>
      <c r="M50" s="121"/>
      <c r="N50" s="121"/>
      <c r="O50" s="224"/>
      <c r="P50" s="225"/>
    </row>
    <row r="51" spans="1:17" ht="18.75" customHeight="1">
      <c r="A51" s="249"/>
      <c r="B51" s="240"/>
      <c r="C51" s="254"/>
      <c r="D51" s="254"/>
      <c r="E51" s="254"/>
      <c r="F51" s="250"/>
      <c r="G51" s="250"/>
      <c r="H51" s="254"/>
      <c r="I51" s="250"/>
      <c r="J51" s="250"/>
      <c r="K51" s="254"/>
      <c r="L51" s="224"/>
      <c r="M51" s="226"/>
      <c r="N51" s="226"/>
      <c r="O51" s="121"/>
    </row>
    <row r="52" spans="1:17" ht="16.350000000000001" customHeight="1">
      <c r="A52" s="249"/>
      <c r="B52" s="240"/>
      <c r="C52" s="254"/>
      <c r="D52" s="254"/>
      <c r="E52" s="254"/>
      <c r="F52" s="250"/>
      <c r="G52" s="250"/>
      <c r="H52" s="254"/>
      <c r="I52" s="250"/>
      <c r="J52" s="250"/>
      <c r="K52" s="254"/>
      <c r="L52" s="121"/>
      <c r="M52" s="121"/>
      <c r="N52" s="121"/>
      <c r="O52" s="121"/>
    </row>
    <row r="53" spans="1:17" ht="16.350000000000001" customHeight="1">
      <c r="A53" s="249"/>
      <c r="B53" s="240"/>
      <c r="C53" s="254"/>
      <c r="D53" s="254"/>
      <c r="E53" s="254"/>
      <c r="F53" s="250"/>
      <c r="G53" s="250"/>
      <c r="H53" s="254"/>
      <c r="I53" s="250"/>
      <c r="J53" s="250"/>
      <c r="K53" s="254"/>
      <c r="L53" s="121"/>
      <c r="M53" s="121"/>
      <c r="N53" s="121"/>
      <c r="O53" s="121"/>
    </row>
    <row r="54" spans="1:17">
      <c r="A54" s="249"/>
      <c r="B54" s="240"/>
      <c r="C54" s="254"/>
      <c r="D54" s="254"/>
      <c r="E54" s="254"/>
      <c r="F54" s="250"/>
      <c r="G54" s="250"/>
      <c r="H54" s="254"/>
      <c r="I54" s="250"/>
      <c r="J54" s="250"/>
      <c r="K54" s="254"/>
      <c r="L54" s="121"/>
      <c r="M54" s="121"/>
      <c r="N54" s="121"/>
      <c r="O54" s="121"/>
    </row>
    <row r="55" spans="1:17">
      <c r="A55" s="249"/>
      <c r="B55" s="240"/>
      <c r="C55" s="254"/>
      <c r="D55" s="254"/>
      <c r="E55" s="254"/>
      <c r="F55" s="250"/>
      <c r="G55" s="250"/>
      <c r="H55" s="254"/>
      <c r="I55" s="250"/>
      <c r="J55" s="250"/>
      <c r="K55" s="254"/>
      <c r="L55" s="121"/>
      <c r="M55" s="121"/>
      <c r="N55" s="121"/>
      <c r="O55" s="121"/>
    </row>
    <row r="56" spans="1:17">
      <c r="A56" s="249"/>
      <c r="B56" s="240"/>
      <c r="C56" s="254"/>
      <c r="D56" s="254"/>
      <c r="E56" s="254"/>
      <c r="F56" s="250"/>
      <c r="G56" s="250"/>
      <c r="H56" s="254"/>
      <c r="I56" s="250"/>
      <c r="J56" s="250"/>
      <c r="K56" s="254"/>
      <c r="L56" s="121"/>
      <c r="M56" s="121"/>
      <c r="N56" s="121"/>
      <c r="O56" s="121"/>
    </row>
    <row r="57" spans="1:17">
      <c r="A57" s="249"/>
      <c r="B57" s="240"/>
      <c r="C57" s="254"/>
      <c r="D57" s="254"/>
      <c r="E57" s="254"/>
      <c r="F57" s="250"/>
      <c r="G57" s="250"/>
      <c r="H57" s="254"/>
      <c r="I57" s="250"/>
      <c r="J57" s="250"/>
      <c r="K57" s="254"/>
      <c r="L57" s="121"/>
      <c r="M57" s="121"/>
      <c r="N57" s="121"/>
      <c r="O57" s="121"/>
    </row>
    <row r="58" spans="1:17">
      <c r="A58" s="249"/>
      <c r="B58" s="240"/>
      <c r="C58" s="254"/>
      <c r="D58" s="254"/>
      <c r="E58" s="254"/>
      <c r="F58" s="250"/>
      <c r="G58" s="250"/>
      <c r="H58" s="254"/>
      <c r="I58" s="250"/>
      <c r="J58" s="250"/>
      <c r="K58" s="254"/>
      <c r="L58" s="121"/>
      <c r="M58" s="121"/>
      <c r="N58" s="121"/>
      <c r="O58" s="121"/>
    </row>
    <row r="59" spans="1:17">
      <c r="A59" s="249"/>
      <c r="B59" s="240"/>
      <c r="C59" s="254"/>
      <c r="D59" s="254"/>
      <c r="E59" s="254"/>
      <c r="F59" s="250"/>
      <c r="G59" s="250"/>
      <c r="H59" s="254"/>
      <c r="I59" s="250"/>
      <c r="J59" s="250"/>
      <c r="K59" s="254"/>
      <c r="L59" s="121"/>
      <c r="M59" s="121"/>
      <c r="N59" s="121"/>
      <c r="O59" s="121"/>
    </row>
    <row r="60" spans="1:17">
      <c r="A60" s="249"/>
      <c r="B60" s="240"/>
      <c r="C60" s="254"/>
      <c r="D60" s="254"/>
      <c r="E60" s="254"/>
      <c r="F60" s="250"/>
      <c r="G60" s="250"/>
      <c r="H60" s="254"/>
      <c r="I60" s="250"/>
      <c r="J60" s="250"/>
      <c r="K60" s="254"/>
      <c r="L60" s="121"/>
      <c r="M60" s="121"/>
      <c r="N60" s="121"/>
      <c r="O60" s="121"/>
    </row>
    <row r="61" spans="1:17">
      <c r="A61" s="249"/>
      <c r="B61" s="240"/>
      <c r="C61" s="254"/>
      <c r="D61" s="254"/>
      <c r="E61" s="254"/>
      <c r="F61" s="250"/>
      <c r="G61" s="250"/>
      <c r="H61" s="254"/>
      <c r="I61" s="250"/>
      <c r="J61" s="250"/>
      <c r="K61" s="254"/>
      <c r="L61" s="121"/>
      <c r="M61" s="121"/>
      <c r="N61" s="121"/>
      <c r="O61" s="121"/>
    </row>
    <row r="62" spans="1:17">
      <c r="A62" s="249"/>
      <c r="B62" s="240"/>
      <c r="C62" s="254"/>
      <c r="D62" s="254"/>
      <c r="E62" s="254"/>
      <c r="F62" s="250"/>
      <c r="G62" s="250"/>
      <c r="H62" s="254"/>
      <c r="I62" s="250"/>
      <c r="J62" s="250"/>
      <c r="K62" s="254"/>
      <c r="L62" s="121"/>
      <c r="M62" s="121"/>
      <c r="N62" s="121"/>
      <c r="O62" s="121"/>
    </row>
    <row r="63" spans="1:17">
      <c r="A63" s="249"/>
      <c r="B63" s="240"/>
      <c r="C63" s="254"/>
      <c r="D63" s="254"/>
      <c r="E63" s="254"/>
      <c r="F63" s="250"/>
      <c r="G63" s="250"/>
      <c r="H63" s="254"/>
      <c r="I63" s="250"/>
      <c r="J63" s="250"/>
      <c r="K63" s="254"/>
      <c r="L63" s="121"/>
      <c r="M63" s="121"/>
      <c r="N63" s="121"/>
      <c r="O63" s="121"/>
    </row>
  </sheetData>
  <phoneticPr fontId="8" type="noConversion"/>
  <conditionalFormatting sqref="A3:B3">
    <cfRule type="cellIs" dxfId="10" priority="14" operator="lessThan">
      <formula>0</formula>
    </cfRule>
  </conditionalFormatting>
  <conditionalFormatting sqref="A15:N17 B18:C21">
    <cfRule type="cellIs" dxfId="9" priority="25" operator="lessThan">
      <formula>0</formula>
    </cfRule>
  </conditionalFormatting>
  <conditionalFormatting sqref="B22:O24">
    <cfRule type="cellIs" dxfId="8" priority="1" operator="lessThan">
      <formula>0</formula>
    </cfRule>
  </conditionalFormatting>
  <conditionalFormatting sqref="C47:N47">
    <cfRule type="cellIs" dxfId="7" priority="13" operator="lessThan">
      <formula>600000</formula>
    </cfRule>
  </conditionalFormatting>
  <conditionalFormatting sqref="C25:O46">
    <cfRule type="cellIs" dxfId="6" priority="2" operator="lessThan">
      <formula>0</formula>
    </cfRule>
  </conditionalFormatting>
  <conditionalFormatting sqref="D18:N20">
    <cfRule type="cellIs" dxfId="5" priority="9" operator="lessThan">
      <formula>0</formula>
    </cfRule>
  </conditionalFormatting>
  <conditionalFormatting sqref="D21:O21">
    <cfRule type="cellIs" dxfId="4" priority="12" operator="lessThan">
      <formula>0</formula>
    </cfRule>
  </conditionalFormatting>
  <conditionalFormatting sqref="E12:H12">
    <cfRule type="cellIs" dxfId="3" priority="18" operator="lessThan">
      <formula>0</formula>
    </cfRule>
  </conditionalFormatting>
  <conditionalFormatting sqref="F5:I5">
    <cfRule type="cellIs" dxfId="2" priority="16" operator="lessThan">
      <formula>0</formula>
    </cfRule>
  </conditionalFormatting>
  <conditionalFormatting sqref="O15:O20 A26:B27 O48:O50 L50:L51 M51:O51 L52:O63 C64:O1048576">
    <cfRule type="cellIs" dxfId="1" priority="30" operator="lessThan">
      <formula>0</formula>
    </cfRule>
  </conditionalFormatting>
  <conditionalFormatting sqref="P50">
    <cfRule type="cellIs" dxfId="0" priority="29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A27"/>
  <sheetViews>
    <sheetView showGridLines="0" zoomScale="80" zoomScaleNormal="80" workbookViewId="0">
      <selection activeCell="AD23" sqref="AD23"/>
    </sheetView>
  </sheetViews>
  <sheetFormatPr defaultRowHeight="16.5"/>
  <cols>
    <col min="1" max="1" width="36.75" customWidth="1"/>
    <col min="2" max="13" width="10.875" hidden="1" customWidth="1"/>
    <col min="14" max="14" width="13.125" hidden="1" customWidth="1"/>
    <col min="15" max="15" width="11.375" customWidth="1"/>
    <col min="16" max="26" width="10.375" customWidth="1"/>
    <col min="27" max="27" width="11.375" customWidth="1"/>
  </cols>
  <sheetData>
    <row r="1" spans="1:27">
      <c r="A1" s="233" t="s">
        <v>189</v>
      </c>
    </row>
    <row r="2" spans="1:27">
      <c r="A2" s="231"/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</row>
    <row r="3" spans="1:27" ht="12.75" customHeight="1">
      <c r="A3" s="231"/>
      <c r="B3" s="5553" t="s">
        <v>832</v>
      </c>
      <c r="C3" s="5554"/>
      <c r="D3" s="5553" t="s">
        <v>833</v>
      </c>
      <c r="E3" s="5554"/>
      <c r="F3" s="5555" t="s">
        <v>191</v>
      </c>
      <c r="G3" s="5556"/>
    </row>
    <row r="4" spans="1:27" ht="12.75" customHeight="1">
      <c r="A4" s="1496" t="s">
        <v>1075</v>
      </c>
      <c r="B4" s="5549">
        <v>106000</v>
      </c>
      <c r="C4" s="5550"/>
      <c r="D4" s="5549">
        <f>111000*1.1</f>
        <v>122100.00000000001</v>
      </c>
      <c r="E4" s="5550"/>
      <c r="F4" s="5551">
        <f>2236/'1-1.Assumption'!F29*1.045</f>
        <v>8.8508333333333328E-2</v>
      </c>
      <c r="G4" s="5552"/>
    </row>
    <row r="5" spans="1:27" ht="12.75" customHeight="1">
      <c r="A5" s="1496" t="s">
        <v>1076</v>
      </c>
      <c r="B5" s="5549">
        <v>45000</v>
      </c>
      <c r="C5" s="5550"/>
      <c r="D5" s="5549">
        <f>55000*1.1</f>
        <v>60500.000000000007</v>
      </c>
      <c r="E5" s="5550"/>
      <c r="F5" s="5551">
        <f>2236/'1-1.Assumption'!F29*1.045</f>
        <v>8.8508333333333328E-2</v>
      </c>
      <c r="G5" s="5552"/>
      <c r="H5" s="230"/>
      <c r="I5" s="230"/>
      <c r="J5" s="230"/>
      <c r="K5" s="230"/>
      <c r="L5" s="230"/>
    </row>
    <row r="6" spans="1:27" ht="18" customHeight="1" thickBot="1">
      <c r="A6" s="230"/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</row>
    <row r="7" spans="1:27" ht="17.25" customHeight="1" thickBot="1">
      <c r="A7" s="1216"/>
      <c r="B7" s="1217" t="e">
        <f>'2. S Plan'!#REF!</f>
        <v>#REF!</v>
      </c>
      <c r="C7" s="1217" t="e">
        <f>'2. S Plan'!#REF!</f>
        <v>#REF!</v>
      </c>
      <c r="D7" s="1217" t="e">
        <f>'2. S Plan'!#REF!</f>
        <v>#REF!</v>
      </c>
      <c r="E7" s="1217" t="e">
        <f>'2. S Plan'!#REF!</f>
        <v>#REF!</v>
      </c>
      <c r="F7" s="1217" t="e">
        <f>'2. S Plan'!#REF!</f>
        <v>#REF!</v>
      </c>
      <c r="G7" s="1217" t="e">
        <f>'2. S Plan'!#REF!</f>
        <v>#REF!</v>
      </c>
      <c r="H7" s="1217" t="e">
        <f>'2. S Plan'!#REF!</f>
        <v>#REF!</v>
      </c>
      <c r="I7" s="1217" t="e">
        <f>'2. S Plan'!#REF!</f>
        <v>#REF!</v>
      </c>
      <c r="J7" s="1217" t="e">
        <f>'2. S Plan'!#REF!</f>
        <v>#REF!</v>
      </c>
      <c r="K7" s="1217" t="e">
        <f>'2. S Plan'!#REF!</f>
        <v>#REF!</v>
      </c>
      <c r="L7" s="1217" t="e">
        <f>'2. S Plan'!#REF!</f>
        <v>#REF!</v>
      </c>
      <c r="M7" s="1217" t="e">
        <f>'2. S Plan'!#REF!</f>
        <v>#REF!</v>
      </c>
      <c r="N7" s="1218" t="e">
        <f>'2. S Plan'!#REF!</f>
        <v>#REF!</v>
      </c>
      <c r="O7" s="1217" t="str">
        <f>'2. S Plan'!L4</f>
        <v>Jan.26</v>
      </c>
      <c r="P7" s="1217" t="str">
        <f>'2. S Plan'!M4</f>
        <v>Feb.26</v>
      </c>
      <c r="Q7" s="1217" t="str">
        <f>'2. S Plan'!N4</f>
        <v>Mar.26</v>
      </c>
      <c r="R7" s="1217" t="str">
        <f>'2. S Plan'!O4</f>
        <v>Apr.26</v>
      </c>
      <c r="S7" s="1217" t="str">
        <f>'2. S Plan'!P4</f>
        <v>May.26</v>
      </c>
      <c r="T7" s="1217" t="str">
        <f>'2. S Plan'!Q4</f>
        <v>Jun.26</v>
      </c>
      <c r="U7" s="1217" t="str">
        <f>'2. S Plan'!R4</f>
        <v>Jul.26</v>
      </c>
      <c r="V7" s="1217" t="str">
        <f>'2. S Plan'!S4</f>
        <v>Aug.26</v>
      </c>
      <c r="W7" s="1217" t="str">
        <f>'2. S Plan'!T4</f>
        <v>Sep.26</v>
      </c>
      <c r="X7" s="1217" t="str">
        <f>'2. S Plan'!U4</f>
        <v>Oct.26</v>
      </c>
      <c r="Y7" s="1217" t="str">
        <f>'2. S Plan'!V4</f>
        <v>Nov.26</v>
      </c>
      <c r="Z7" s="1217" t="str">
        <f>'2. S Plan'!W4</f>
        <v>Dec.26</v>
      </c>
      <c r="AA7" s="1218" t="str">
        <f>'2. S Plan'!X4</f>
        <v>2026
Total</v>
      </c>
    </row>
    <row r="8" spans="1:27" ht="17.25" customHeight="1" thickBot="1">
      <c r="A8" s="1188" t="s">
        <v>831</v>
      </c>
      <c r="B8" s="1497">
        <f>($B$4*$F$4*B9)+($B$5*B10*$F$4)</f>
        <v>219755.85719126518</v>
      </c>
      <c r="C8" s="1189">
        <f>($B$4*$F$4*C9)+($B$5*C10*$F$4)</f>
        <v>222556.0281089771</v>
      </c>
      <c r="D8" s="1189">
        <f>($B$4*$F$4*D9)+($B$5*D10*$F$4)</f>
        <v>274641.35833333334</v>
      </c>
      <c r="E8" s="1189">
        <f>($B$4*$F$4*E9)+($B$5*E10*$F$4)</f>
        <v>270658.48333333334</v>
      </c>
      <c r="F8" s="1189">
        <f>($B$4*$F$4*F9)+($B$5*F10*$F$4)</f>
        <v>274641.35833333334</v>
      </c>
      <c r="G8" s="1189">
        <f>($D$4*$F$4*G9)+($D$5*G10*$F$4)</f>
        <v>313301.7983333334</v>
      </c>
      <c r="H8" s="1189">
        <f>($D$4*$F$4*H9)+($D$5*H10*$F$4)</f>
        <v>326889.37099461519</v>
      </c>
      <c r="I8" s="1189">
        <f>($D$4*$F$4*I9)+($D$5*I10*$F$4)</f>
        <v>313947.47630173358</v>
      </c>
      <c r="J8" s="1189">
        <f>($D$4*$F$4*J9)+($D$5*J10*$F$4)</f>
        <v>329463.42000000004</v>
      </c>
      <c r="K8" s="1189">
        <f>($B$4*$F$4*K9)+($B$5*K10*$F$4)</f>
        <v>284023.24166666664</v>
      </c>
      <c r="L8" s="1189">
        <f>($B$4*$F$4*L9)+($B$5*L10*$F$4)</f>
        <v>284023.24166666664</v>
      </c>
      <c r="M8" s="1189">
        <f>($B$4*$F$4*M9)+($B$5*M10*$F$4)</f>
        <v>297388</v>
      </c>
      <c r="N8" s="1190">
        <f>SUM(B8:M8)</f>
        <v>3411289.6342632575</v>
      </c>
      <c r="O8" s="1497">
        <f>($B$4*$F$4*O9)+($B$5*O10*$F$4)</f>
        <v>281456.5</v>
      </c>
      <c r="P8" s="1189">
        <f>($B$4*$F$4*P9)+($B$5*P10*$F$4)</f>
        <v>152676.875</v>
      </c>
      <c r="Q8" s="1189">
        <f>($B$4*$F$4*Q9)+($B$5*Q10*$F$4)</f>
        <v>281456.5</v>
      </c>
      <c r="R8" s="1189">
        <f>($B$4*$F$4*R9)+($B$5*R10*$F$4)</f>
        <v>272074.61666666664</v>
      </c>
      <c r="S8" s="1189">
        <f>($B$4*$F$4*S9)+($B$5*S10*$F$4)</f>
        <v>272074.61666666664</v>
      </c>
      <c r="T8" s="1189">
        <f>($D$4*$F$4*T9)+($D$5*T10*$F$4)</f>
        <v>324206.02500000002</v>
      </c>
      <c r="U8" s="1189">
        <f>($D$4*$F$4*U9)+($D$5*U10*$F$4)</f>
        <v>324206.02500000002</v>
      </c>
      <c r="V8" s="1189">
        <f>($D$4*$F$4*V9)+($D$5*V10*$F$4)</f>
        <v>324206.02500000002</v>
      </c>
      <c r="W8" s="1189">
        <f>($D$4*$F$4*W9)+($D$5*W10*$F$4)</f>
        <v>302592.29000000004</v>
      </c>
      <c r="X8" s="1189">
        <f>($B$4*$F$4*X9)+($B$5*X10*$F$4)</f>
        <v>281456.5</v>
      </c>
      <c r="Y8" s="1189">
        <f>($B$4*$F$4*Y9)+($B$5*Y10*$F$4)</f>
        <v>281456.5</v>
      </c>
      <c r="Z8" s="1189">
        <f>($B$4*$F$4*Z9)+($B$5*Z10*$F$4)</f>
        <v>281456.5</v>
      </c>
      <c r="AA8" s="1190">
        <f>SUM(O8:Z8)</f>
        <v>3379318.9733333332</v>
      </c>
    </row>
    <row r="9" spans="1:27" ht="17.25" customHeight="1">
      <c r="A9" s="1191" t="s">
        <v>834</v>
      </c>
      <c r="B9" s="1192">
        <v>21.522676020676361</v>
      </c>
      <c r="C9" s="1192">
        <v>20.565911599625942</v>
      </c>
      <c r="D9" s="1192">
        <v>28</v>
      </c>
      <c r="E9" s="1192">
        <v>28</v>
      </c>
      <c r="F9" s="1192">
        <v>28</v>
      </c>
      <c r="G9" s="1192">
        <v>28</v>
      </c>
      <c r="H9" s="1192">
        <v>28.761813587019105</v>
      </c>
      <c r="I9" s="1192">
        <v>27.564251509675081</v>
      </c>
      <c r="J9" s="1192">
        <v>29</v>
      </c>
      <c r="K9" s="1192">
        <v>29</v>
      </c>
      <c r="L9" s="1192">
        <v>29</v>
      </c>
      <c r="M9" s="1192">
        <v>30</v>
      </c>
      <c r="N9" s="1193">
        <f>SUM(B9:M9)</f>
        <v>327.41465271699644</v>
      </c>
      <c r="O9" s="1192">
        <v>30</v>
      </c>
      <c r="P9" s="1192">
        <v>15</v>
      </c>
      <c r="Q9" s="1192">
        <v>30</v>
      </c>
      <c r="R9" s="1192">
        <v>29</v>
      </c>
      <c r="S9" s="1192">
        <v>29</v>
      </c>
      <c r="T9" s="1192">
        <v>30</v>
      </c>
      <c r="U9" s="1192">
        <v>30</v>
      </c>
      <c r="V9" s="1192">
        <v>30</v>
      </c>
      <c r="W9" s="1192">
        <v>28</v>
      </c>
      <c r="X9" s="1192">
        <v>30</v>
      </c>
      <c r="Y9" s="1192">
        <v>30</v>
      </c>
      <c r="Z9" s="1192">
        <v>30</v>
      </c>
      <c r="AA9" s="1193">
        <f>SUM(O9:Z9)</f>
        <v>341</v>
      </c>
    </row>
    <row r="10" spans="1:27" ht="17.25" customHeight="1">
      <c r="A10" s="1191" t="s">
        <v>1077</v>
      </c>
      <c r="B10" s="1192">
        <f>31-B9-5</f>
        <v>4.4773239793236392</v>
      </c>
      <c r="C10" s="1192">
        <f>28-C9</f>
        <v>7.4340884003740584</v>
      </c>
      <c r="D10" s="1192">
        <f t="shared" ref="D10:F10" si="0">31-D9</f>
        <v>3</v>
      </c>
      <c r="E10" s="1192">
        <f>30-E9</f>
        <v>2</v>
      </c>
      <c r="F10" s="1192">
        <f t="shared" si="0"/>
        <v>3</v>
      </c>
      <c r="G10" s="1192">
        <f>30-G9</f>
        <v>2</v>
      </c>
      <c r="H10" s="1192">
        <v>3</v>
      </c>
      <c r="I10" s="1192">
        <v>3</v>
      </c>
      <c r="J10" s="1192">
        <v>3</v>
      </c>
      <c r="K10" s="1192">
        <v>3</v>
      </c>
      <c r="L10" s="1192">
        <v>3</v>
      </c>
      <c r="M10" s="1192">
        <v>4</v>
      </c>
      <c r="N10" s="1193">
        <f>SUM(B10:M10)</f>
        <v>40.911412379697694</v>
      </c>
      <c r="O10" s="1192">
        <f>'4. L PLAN'!F109</f>
        <v>0</v>
      </c>
      <c r="P10" s="1192">
        <f>'4. L PLAN'!G109</f>
        <v>3</v>
      </c>
      <c r="Q10" s="1192">
        <f>'4. L PLAN'!H109</f>
        <v>0</v>
      </c>
      <c r="R10" s="1192">
        <f>'4. L PLAN'!I109</f>
        <v>0</v>
      </c>
      <c r="S10" s="1192">
        <f>'4. L PLAN'!J109</f>
        <v>0</v>
      </c>
      <c r="T10" s="1192">
        <f>'4. L PLAN'!K109</f>
        <v>0</v>
      </c>
      <c r="U10" s="1192">
        <f>'4. L PLAN'!L109</f>
        <v>0</v>
      </c>
      <c r="V10" s="1192">
        <f>'4. L PLAN'!M109</f>
        <v>0</v>
      </c>
      <c r="W10" s="1192">
        <f>'4. L PLAN'!N109</f>
        <v>0</v>
      </c>
      <c r="X10" s="1192">
        <f>'4. L PLAN'!O109</f>
        <v>0</v>
      </c>
      <c r="Y10" s="1192">
        <f>'4. L PLAN'!P109</f>
        <v>0</v>
      </c>
      <c r="Z10" s="1192">
        <f>'4. L PLAN'!Q109</f>
        <v>0</v>
      </c>
      <c r="AA10" s="1193">
        <f>SUM(O10:Z10)</f>
        <v>3</v>
      </c>
    </row>
    <row r="11" spans="1:27" ht="17.25" customHeight="1" thickBot="1">
      <c r="A11" s="1194" t="s">
        <v>1078</v>
      </c>
      <c r="B11" s="4161">
        <v>16.161366498288409</v>
      </c>
      <c r="C11" s="4161">
        <v>21.240738309250389</v>
      </c>
      <c r="D11" s="4161">
        <v>25.221663622874168</v>
      </c>
      <c r="E11" s="4161">
        <v>23.220126432344109</v>
      </c>
      <c r="F11" s="4161">
        <v>20.560183360428653</v>
      </c>
      <c r="G11" s="4161">
        <v>20.186033601419371</v>
      </c>
      <c r="H11" s="4161">
        <v>21.795813526428297</v>
      </c>
      <c r="I11" s="4161">
        <v>28</v>
      </c>
      <c r="J11" s="4161">
        <v>26</v>
      </c>
      <c r="K11" s="4161">
        <v>26.271741590349258</v>
      </c>
      <c r="L11" s="4161">
        <v>28</v>
      </c>
      <c r="M11" s="4161">
        <v>28</v>
      </c>
      <c r="N11" s="1196">
        <f>SUM(B11:M11)</f>
        <v>284.65766694138267</v>
      </c>
      <c r="O11" s="1195">
        <f>'3. P PLAN'!J269</f>
        <v>21.048359697229998</v>
      </c>
      <c r="P11" s="1195">
        <f>'3. P PLAN'!K269</f>
        <v>33.025897124808338</v>
      </c>
      <c r="Q11" s="1195">
        <f>'3. P PLAN'!L269</f>
        <v>25.50281790891222</v>
      </c>
      <c r="R11" s="1195">
        <f>'3. P PLAN'!M269</f>
        <v>25.645584619697416</v>
      </c>
      <c r="S11" s="1195">
        <f>'3. P PLAN'!N269</f>
        <v>25.420605324557467</v>
      </c>
      <c r="T11" s="1195">
        <f>'3. P PLAN'!O269</f>
        <v>26.378032774009387</v>
      </c>
      <c r="U11" s="1195">
        <f>'3. P PLAN'!P269</f>
        <v>23.266308025012151</v>
      </c>
      <c r="V11" s="1195">
        <f>'3. P PLAN'!Q269</f>
        <v>23.09053411630353</v>
      </c>
      <c r="W11" s="1195">
        <f>'3. P PLAN'!R269</f>
        <v>24.66134200137515</v>
      </c>
      <c r="X11" s="1195">
        <f>'3. P PLAN'!S269</f>
        <v>22.581214669422224</v>
      </c>
      <c r="Y11" s="1195">
        <f>'3. P PLAN'!T269</f>
        <v>21.597470236577806</v>
      </c>
      <c r="Z11" s="1195">
        <f>'3. P PLAN'!U269</f>
        <v>18.74861200028219</v>
      </c>
      <c r="AA11" s="1196">
        <f>SUM(O11:Z11)</f>
        <v>290.96677849818792</v>
      </c>
    </row>
    <row r="12" spans="1:27" ht="17.25" customHeight="1" thickBot="1">
      <c r="A12" s="1188" t="s">
        <v>1079</v>
      </c>
      <c r="B12" s="1197">
        <f>B8*0.6/28*B11</f>
        <v>76104.748890290677</v>
      </c>
      <c r="C12" s="1197">
        <f t="shared" ref="C12:M12" si="1">C8*0.6/28*C11</f>
        <v>101298.30754733477</v>
      </c>
      <c r="D12" s="1197">
        <f t="shared" si="1"/>
        <v>148433.8276459839</v>
      </c>
      <c r="E12" s="1197">
        <f t="shared" si="1"/>
        <v>134672.66149256789</v>
      </c>
      <c r="F12" s="1197">
        <f t="shared" si="1"/>
        <v>121000.21469336835</v>
      </c>
      <c r="G12" s="1197">
        <f t="shared" si="1"/>
        <v>135521.15632589534</v>
      </c>
      <c r="H12" s="1197">
        <f t="shared" si="1"/>
        <v>152674.7094422158</v>
      </c>
      <c r="I12" s="1197">
        <f t="shared" si="1"/>
        <v>188368.48578104013</v>
      </c>
      <c r="J12" s="1197">
        <f t="shared" si="1"/>
        <v>183558.19114285716</v>
      </c>
      <c r="K12" s="1197">
        <f t="shared" si="1"/>
        <v>159895.39737257108</v>
      </c>
      <c r="L12" s="1197">
        <f t="shared" si="1"/>
        <v>170413.94499999998</v>
      </c>
      <c r="M12" s="1197">
        <f t="shared" si="1"/>
        <v>178432.8</v>
      </c>
      <c r="N12" s="1190">
        <f t="shared" ref="N12:N18" si="2">SUM(B12:M12)</f>
        <v>1750374.4453341248</v>
      </c>
      <c r="O12" s="1197">
        <f>O8*0.6/28*O11</f>
        <v>126947.09252407317</v>
      </c>
      <c r="P12" s="1197">
        <f t="shared" ref="P12:Z12" si="3">P8*0.6/28*P11</f>
        <v>108049.08786615476</v>
      </c>
      <c r="Q12" s="1197">
        <f t="shared" si="3"/>
        <v>153812.86861670896</v>
      </c>
      <c r="R12" s="1197">
        <f t="shared" si="3"/>
        <v>149518.12724135866</v>
      </c>
      <c r="S12" s="1197">
        <f t="shared" si="3"/>
        <v>148206.45962386281</v>
      </c>
      <c r="T12" s="1197">
        <f t="shared" si="3"/>
        <v>183255.36756388514</v>
      </c>
      <c r="U12" s="1197">
        <f t="shared" si="3"/>
        <v>161637.36945460265</v>
      </c>
      <c r="V12" s="1197">
        <f t="shared" si="3"/>
        <v>160416.22030657833</v>
      </c>
      <c r="W12" s="1197">
        <f t="shared" si="3"/>
        <v>159907.11322862763</v>
      </c>
      <c r="X12" s="1197">
        <f t="shared" si="3"/>
        <v>136192.06385580506</v>
      </c>
      <c r="Y12" s="1197">
        <f t="shared" si="3"/>
        <v>130258.89389231488</v>
      </c>
      <c r="Z12" s="1197">
        <f t="shared" si="3"/>
        <v>113076.82957408765</v>
      </c>
      <c r="AA12" s="1190">
        <f t="shared" ref="AA12" si="4">SUM(O12:Z12)</f>
        <v>1731277.49374806</v>
      </c>
    </row>
    <row r="13" spans="1:27" ht="17.25" customHeight="1" thickBot="1">
      <c r="A13" s="1219"/>
      <c r="B13" s="1220">
        <f>B12/B8</f>
        <v>0.34631499639189445</v>
      </c>
      <c r="C13" s="1220">
        <f t="shared" ref="C13:M13" si="5">C12/C8</f>
        <v>0.45515867805536542</v>
      </c>
      <c r="D13" s="1220">
        <f t="shared" si="5"/>
        <v>0.54046422049016063</v>
      </c>
      <c r="E13" s="1220">
        <f t="shared" si="5"/>
        <v>0.49757413783594523</v>
      </c>
      <c r="F13" s="1220">
        <f t="shared" si="5"/>
        <v>0.44057535772347112</v>
      </c>
      <c r="G13" s="1220">
        <f t="shared" si="5"/>
        <v>0.43255786288755788</v>
      </c>
      <c r="H13" s="1220">
        <f t="shared" si="5"/>
        <v>0.46705314699489203</v>
      </c>
      <c r="I13" s="1220">
        <f t="shared" si="5"/>
        <v>0.6</v>
      </c>
      <c r="J13" s="1220">
        <f t="shared" si="5"/>
        <v>0.55714285714285716</v>
      </c>
      <c r="K13" s="1220">
        <f t="shared" si="5"/>
        <v>0.56296589122176977</v>
      </c>
      <c r="L13" s="1220">
        <f t="shared" si="5"/>
        <v>0.6</v>
      </c>
      <c r="M13" s="1220">
        <f t="shared" si="5"/>
        <v>0.6</v>
      </c>
      <c r="N13" s="1221">
        <f>AVERAGE(B13:M13)</f>
        <v>0.50831726239532615</v>
      </c>
      <c r="O13" s="1220">
        <f>O12/O8</f>
        <v>0.45103627922635708</v>
      </c>
      <c r="P13" s="1220">
        <f t="shared" ref="P13:Z13" si="6">P12/P8</f>
        <v>0.70769779553160728</v>
      </c>
      <c r="Q13" s="1220">
        <f t="shared" si="6"/>
        <v>0.54648895519097607</v>
      </c>
      <c r="R13" s="1220">
        <f t="shared" si="6"/>
        <v>0.54954824185065898</v>
      </c>
      <c r="S13" s="1220">
        <f t="shared" si="6"/>
        <v>0.54472725695480284</v>
      </c>
      <c r="T13" s="1220">
        <f t="shared" si="6"/>
        <v>0.56524355944305826</v>
      </c>
      <c r="U13" s="1220">
        <f t="shared" si="6"/>
        <v>0.49856374339311749</v>
      </c>
      <c r="V13" s="1220">
        <f t="shared" si="6"/>
        <v>0.49479715963507559</v>
      </c>
      <c r="W13" s="1220">
        <f t="shared" si="6"/>
        <v>0.528457328600896</v>
      </c>
      <c r="X13" s="1220">
        <f t="shared" si="6"/>
        <v>0.48388317148761906</v>
      </c>
      <c r="Y13" s="1220">
        <f t="shared" si="6"/>
        <v>0.46280293364095298</v>
      </c>
      <c r="Z13" s="1220">
        <f t="shared" si="6"/>
        <v>0.40175597143461833</v>
      </c>
      <c r="AA13" s="1221">
        <f>AVERAGE(O13:Z13)</f>
        <v>0.5195835330324784</v>
      </c>
    </row>
    <row r="14" spans="1:27" ht="17.25" customHeight="1" thickBot="1">
      <c r="A14" s="1207"/>
      <c r="B14" s="1222"/>
      <c r="C14" s="1222"/>
      <c r="D14" s="1222"/>
      <c r="E14" s="1222"/>
      <c r="F14" s="1222"/>
      <c r="G14" s="1222"/>
      <c r="H14" s="1222"/>
      <c r="I14" s="1222"/>
      <c r="J14" s="1222"/>
      <c r="K14" s="1222"/>
      <c r="L14" s="1222"/>
      <c r="M14" s="1222"/>
      <c r="N14" s="1223"/>
      <c r="O14" s="1222"/>
      <c r="P14" s="1222"/>
      <c r="Q14" s="1222"/>
      <c r="R14" s="1222"/>
      <c r="S14" s="1222"/>
      <c r="T14" s="1222"/>
      <c r="U14" s="1222"/>
      <c r="V14" s="1222"/>
      <c r="W14" s="1222"/>
      <c r="X14" s="1222"/>
      <c r="Y14" s="1222"/>
      <c r="Z14" s="1222"/>
      <c r="AA14" s="1223"/>
    </row>
    <row r="15" spans="1:27" ht="17.25" customHeight="1" thickBot="1">
      <c r="A15" s="1224" t="s">
        <v>1080</v>
      </c>
      <c r="B15" s="1225">
        <f>(100-75)*24*30*0.6*$F$4*8</f>
        <v>7647.12</v>
      </c>
      <c r="C15" s="1226">
        <f t="shared" ref="C15:M15" si="7">(100-75)*24*8*$F$4*30*0.6</f>
        <v>7647.119999999999</v>
      </c>
      <c r="D15" s="1226">
        <f t="shared" si="7"/>
        <v>7647.119999999999</v>
      </c>
      <c r="E15" s="1226">
        <f t="shared" si="7"/>
        <v>7647.119999999999</v>
      </c>
      <c r="F15" s="1226">
        <f t="shared" si="7"/>
        <v>7647.119999999999</v>
      </c>
      <c r="G15" s="1226">
        <f t="shared" si="7"/>
        <v>7647.119999999999</v>
      </c>
      <c r="H15" s="1226">
        <f t="shared" si="7"/>
        <v>7647.119999999999</v>
      </c>
      <c r="I15" s="1226">
        <f t="shared" si="7"/>
        <v>7647.119999999999</v>
      </c>
      <c r="J15" s="1226">
        <f t="shared" si="7"/>
        <v>7647.119999999999</v>
      </c>
      <c r="K15" s="1226">
        <f t="shared" si="7"/>
        <v>7647.119999999999</v>
      </c>
      <c r="L15" s="1226">
        <f t="shared" si="7"/>
        <v>7647.119999999999</v>
      </c>
      <c r="M15" s="1226">
        <f t="shared" si="7"/>
        <v>7647.119999999999</v>
      </c>
      <c r="N15" s="1227">
        <f t="shared" si="2"/>
        <v>91765.439999999959</v>
      </c>
      <c r="O15" s="1225"/>
      <c r="P15" s="1226"/>
      <c r="Q15" s="1226"/>
      <c r="R15" s="1226"/>
      <c r="S15" s="1226"/>
      <c r="T15" s="1226"/>
      <c r="U15" s="1226"/>
      <c r="V15" s="1226"/>
      <c r="W15" s="1226"/>
      <c r="X15" s="1226"/>
      <c r="Y15" s="1226"/>
      <c r="Z15" s="1226"/>
      <c r="AA15" s="1227">
        <f t="shared" ref="AA15:AA18" si="8">SUM(O15:Z15)</f>
        <v>0</v>
      </c>
    </row>
    <row r="16" spans="1:27" ht="17.25" customHeight="1">
      <c r="A16" s="1198" t="s">
        <v>1081</v>
      </c>
      <c r="B16" s="1212">
        <f>(95-25)*24*0.8*$F$4*(B11-8-8)*30</f>
        <v>575.86152231592007</v>
      </c>
      <c r="C16" s="1212">
        <f>(95-25)*24*0.8*$F$4*(C11-8-8)*30</f>
        <v>18702.392211736256</v>
      </c>
      <c r="D16" s="1212">
        <f>(95-25)*24*0.6*$F$4*(D11-8-8)*30</f>
        <v>24681.708913313727</v>
      </c>
      <c r="E16" s="1212">
        <f t="shared" ref="E16:H16" si="9">(95-25)*24*0.6*$F$4*(E11-8-8)*30</f>
        <v>19324.610635157547</v>
      </c>
      <c r="F16" s="1212">
        <f t="shared" si="9"/>
        <v>12205.294282720404</v>
      </c>
      <c r="G16" s="1212">
        <f t="shared" si="9"/>
        <v>11203.885445930135</v>
      </c>
      <c r="H16" s="1212">
        <f t="shared" si="9"/>
        <v>15512.448536977125</v>
      </c>
      <c r="I16" s="1212">
        <f>(95-25)*24*0.6*$F$4*(I11-8-8)*I9</f>
        <v>29510.199460653304</v>
      </c>
      <c r="J16" s="1212">
        <f t="shared" ref="J16:M16" si="10">(95-25)*24*0.6*$F$4*(J11-8-8)*J9</f>
        <v>25872.756000000001</v>
      </c>
      <c r="K16" s="1212">
        <f t="shared" si="10"/>
        <v>26575.826386215827</v>
      </c>
      <c r="L16" s="1212">
        <f t="shared" si="10"/>
        <v>31047.307199999996</v>
      </c>
      <c r="M16" s="1212">
        <f t="shared" si="10"/>
        <v>32117.903999999995</v>
      </c>
      <c r="N16" s="1199">
        <f t="shared" si="2"/>
        <v>247330.19459502021</v>
      </c>
      <c r="O16" s="1212"/>
      <c r="P16" s="1212"/>
      <c r="Q16" s="1212"/>
      <c r="R16" s="1212"/>
      <c r="S16" s="1212"/>
      <c r="T16" s="1212"/>
      <c r="U16" s="1212"/>
      <c r="V16" s="1212"/>
      <c r="W16" s="1212"/>
      <c r="X16" s="1212"/>
      <c r="Y16" s="1212"/>
      <c r="Z16" s="1212"/>
      <c r="AA16" s="1199">
        <f t="shared" si="8"/>
        <v>0</v>
      </c>
    </row>
    <row r="17" spans="1:27" ht="17.25" customHeight="1">
      <c r="A17" s="1200" t="s">
        <v>1082</v>
      </c>
      <c r="B17" s="1213">
        <f>220*24*0.7*$F$4*30</f>
        <v>9813.8039999999983</v>
      </c>
      <c r="C17" s="1213">
        <f t="shared" ref="C17:H17" si="11">220*24*0.7*$F$4*30</f>
        <v>9813.8039999999983</v>
      </c>
      <c r="D17" s="1213">
        <f t="shared" si="11"/>
        <v>9813.8039999999983</v>
      </c>
      <c r="E17" s="1213">
        <f t="shared" si="11"/>
        <v>9813.8039999999983</v>
      </c>
      <c r="F17" s="1213">
        <f t="shared" si="11"/>
        <v>9813.8039999999983</v>
      </c>
      <c r="G17" s="1213">
        <f t="shared" si="11"/>
        <v>9813.8039999999983</v>
      </c>
      <c r="H17" s="1213">
        <f t="shared" si="11"/>
        <v>9813.8039999999983</v>
      </c>
      <c r="I17" s="1213">
        <f>220*24*0.7*$F$4*I9</f>
        <v>9017.0053907551774</v>
      </c>
      <c r="J17" s="1213">
        <f t="shared" ref="J17:M17" si="12">220*24*0.7*$F$4*J9</f>
        <v>9486.6771999999983</v>
      </c>
      <c r="K17" s="1213">
        <f t="shared" si="12"/>
        <v>9486.6771999999983</v>
      </c>
      <c r="L17" s="1213">
        <f t="shared" si="12"/>
        <v>9486.6771999999983</v>
      </c>
      <c r="M17" s="1213">
        <f t="shared" si="12"/>
        <v>9813.8039999999983</v>
      </c>
      <c r="N17" s="1201">
        <f t="shared" si="2"/>
        <v>115987.46899075518</v>
      </c>
      <c r="O17" s="1213"/>
      <c r="P17" s="1213"/>
      <c r="Q17" s="1213"/>
      <c r="R17" s="1213"/>
      <c r="S17" s="1213"/>
      <c r="T17" s="1213"/>
      <c r="U17" s="1213"/>
      <c r="V17" s="1213"/>
      <c r="W17" s="1213"/>
      <c r="X17" s="1213"/>
      <c r="Y17" s="1213"/>
      <c r="Z17" s="1213"/>
      <c r="AA17" s="1201">
        <f t="shared" si="8"/>
        <v>0</v>
      </c>
    </row>
    <row r="18" spans="1:27" ht="17.25" customHeight="1" thickBot="1">
      <c r="A18" s="1202" t="s">
        <v>1083</v>
      </c>
      <c r="B18" s="1214">
        <f>B16-B17</f>
        <v>-9237.9424776840788</v>
      </c>
      <c r="C18" s="1214">
        <f t="shared" ref="C18:M18" si="13">C16-C17</f>
        <v>8888.588211736258</v>
      </c>
      <c r="D18" s="1214">
        <f t="shared" si="13"/>
        <v>14867.904913313729</v>
      </c>
      <c r="E18" s="1214">
        <f t="shared" si="13"/>
        <v>9510.806635157549</v>
      </c>
      <c r="F18" s="1214">
        <f t="shared" si="13"/>
        <v>2391.490282720406</v>
      </c>
      <c r="G18" s="1214">
        <f t="shared" si="13"/>
        <v>1390.0814459301364</v>
      </c>
      <c r="H18" s="1214">
        <f t="shared" si="13"/>
        <v>5698.6445369771263</v>
      </c>
      <c r="I18" s="1214">
        <f t="shared" si="13"/>
        <v>20493.194069898127</v>
      </c>
      <c r="J18" s="1214">
        <f t="shared" si="13"/>
        <v>16386.078800000003</v>
      </c>
      <c r="K18" s="1214">
        <f t="shared" si="13"/>
        <v>17089.149186215829</v>
      </c>
      <c r="L18" s="1214">
        <f t="shared" si="13"/>
        <v>21560.629999999997</v>
      </c>
      <c r="M18" s="1214">
        <f t="shared" si="13"/>
        <v>22304.1</v>
      </c>
      <c r="N18" s="1203">
        <f t="shared" si="2"/>
        <v>131342.72560426508</v>
      </c>
      <c r="O18" s="1214"/>
      <c r="P18" s="1214"/>
      <c r="Q18" s="1214"/>
      <c r="R18" s="1214"/>
      <c r="S18" s="1214"/>
      <c r="T18" s="1214"/>
      <c r="U18" s="1214"/>
      <c r="V18" s="1214"/>
      <c r="W18" s="1214"/>
      <c r="X18" s="1214"/>
      <c r="Y18" s="1214"/>
      <c r="Z18" s="1214"/>
      <c r="AA18" s="1203">
        <f t="shared" si="8"/>
        <v>0</v>
      </c>
    </row>
    <row r="19" spans="1:27" ht="17.25" customHeight="1">
      <c r="A19" s="1228"/>
      <c r="B19" s="1229"/>
      <c r="C19" s="1229"/>
      <c r="D19" s="1229"/>
      <c r="E19" s="1229"/>
      <c r="F19" s="1229"/>
      <c r="G19" s="1229"/>
      <c r="H19" s="1229"/>
      <c r="I19" s="1229"/>
      <c r="J19" s="1229"/>
      <c r="K19" s="1229"/>
      <c r="L19" s="1229"/>
      <c r="M19" s="1229"/>
      <c r="N19" s="1230"/>
      <c r="O19" s="1229"/>
      <c r="P19" s="1229"/>
      <c r="Q19" s="1229"/>
      <c r="R19" s="1229"/>
      <c r="S19" s="1229"/>
      <c r="T19" s="1229"/>
      <c r="U19" s="1229"/>
      <c r="V19" s="1229"/>
      <c r="W19" s="1229"/>
      <c r="X19" s="1229"/>
      <c r="Y19" s="1229"/>
      <c r="Z19" s="1229"/>
      <c r="AA19" s="1230"/>
    </row>
    <row r="20" spans="1:27" ht="17.25" customHeight="1">
      <c r="A20" s="1204" t="s">
        <v>1084</v>
      </c>
      <c r="B20" s="1205">
        <f t="shared" ref="B20:M20" si="14">B8-B15-B18-B23</f>
        <v>218489.85352546282</v>
      </c>
      <c r="C20" s="1205">
        <f t="shared" si="14"/>
        <v>203127.09153182415</v>
      </c>
      <c r="D20" s="1205">
        <f t="shared" si="14"/>
        <v>248555.9957616863</v>
      </c>
      <c r="E20" s="1205">
        <f t="shared" si="14"/>
        <v>249981.99641484246</v>
      </c>
      <c r="F20" s="1205">
        <f t="shared" si="14"/>
        <v>261032.41039227959</v>
      </c>
      <c r="G20" s="1205">
        <f t="shared" si="14"/>
        <v>300191.67350906995</v>
      </c>
      <c r="H20" s="1205">
        <f t="shared" si="14"/>
        <v>309294.04463470809</v>
      </c>
      <c r="I20" s="1205">
        <f t="shared" si="14"/>
        <v>281725.84503991297</v>
      </c>
      <c r="J20" s="1205">
        <f t="shared" si="14"/>
        <v>301147.19674000004</v>
      </c>
      <c r="K20" s="1205">
        <f t="shared" si="14"/>
        <v>255594.67033878414</v>
      </c>
      <c r="L20" s="1205">
        <f t="shared" si="14"/>
        <v>251123.18952499997</v>
      </c>
      <c r="M20" s="1205">
        <f t="shared" si="14"/>
        <v>263570.73600000003</v>
      </c>
      <c r="N20" s="1206">
        <f>SUM(B20:M20)</f>
        <v>3143834.7034135708</v>
      </c>
      <c r="O20" s="1205">
        <f t="shared" ref="O20:Z20" si="15">O8-O15-O18-O23</f>
        <v>277797.56550000003</v>
      </c>
      <c r="P20" s="1205">
        <f t="shared" si="15"/>
        <v>150692.075625</v>
      </c>
      <c r="Q20" s="1205">
        <f t="shared" si="15"/>
        <v>277797.56550000003</v>
      </c>
      <c r="R20" s="1205">
        <f t="shared" si="15"/>
        <v>268537.64664999995</v>
      </c>
      <c r="S20" s="1205">
        <f t="shared" si="15"/>
        <v>268537.64664999995</v>
      </c>
      <c r="T20" s="1205">
        <f t="shared" si="15"/>
        <v>319991.34667500004</v>
      </c>
      <c r="U20" s="1205">
        <f t="shared" si="15"/>
        <v>319991.34667500004</v>
      </c>
      <c r="V20" s="1205">
        <f t="shared" si="15"/>
        <v>319991.34667500004</v>
      </c>
      <c r="W20" s="1205">
        <f t="shared" si="15"/>
        <v>298658.59023000003</v>
      </c>
      <c r="X20" s="1205">
        <f t="shared" si="15"/>
        <v>277797.56550000003</v>
      </c>
      <c r="Y20" s="1205">
        <f t="shared" si="15"/>
        <v>277797.56550000003</v>
      </c>
      <c r="Z20" s="1205">
        <f t="shared" si="15"/>
        <v>277797.56550000003</v>
      </c>
      <c r="AA20" s="1206">
        <f>SUM(O20:Z20)</f>
        <v>3335387.8266800009</v>
      </c>
    </row>
    <row r="21" spans="1:27" ht="17.25" customHeight="1">
      <c r="A21" s="1204" t="s">
        <v>1085</v>
      </c>
      <c r="B21" s="1205">
        <f t="shared" ref="B21:M21" si="16">B12-B15-B18</f>
        <v>77695.571367974757</v>
      </c>
      <c r="C21" s="1205">
        <f t="shared" si="16"/>
        <v>84762.599335598512</v>
      </c>
      <c r="D21" s="1205">
        <f t="shared" si="16"/>
        <v>125918.80273267017</v>
      </c>
      <c r="E21" s="1205">
        <f t="shared" si="16"/>
        <v>117514.73485741034</v>
      </c>
      <c r="F21" s="1205">
        <f t="shared" si="16"/>
        <v>110961.60441064795</v>
      </c>
      <c r="G21" s="1205">
        <f t="shared" si="16"/>
        <v>126483.95487996521</v>
      </c>
      <c r="H21" s="1205">
        <f t="shared" si="16"/>
        <v>139328.94490523866</v>
      </c>
      <c r="I21" s="1205">
        <f t="shared" si="16"/>
        <v>160228.171711142</v>
      </c>
      <c r="J21" s="1205">
        <f t="shared" si="16"/>
        <v>159524.99234285718</v>
      </c>
      <c r="K21" s="1205">
        <f t="shared" si="16"/>
        <v>135159.12818635526</v>
      </c>
      <c r="L21" s="1205">
        <f t="shared" si="16"/>
        <v>141206.19499999998</v>
      </c>
      <c r="M21" s="1205">
        <f t="shared" si="16"/>
        <v>148481.57999999999</v>
      </c>
      <c r="N21" s="1206"/>
      <c r="O21" s="1205">
        <f t="shared" ref="O21:Z21" si="17">O12-O15-O18</f>
        <v>126947.09252407317</v>
      </c>
      <c r="P21" s="1205">
        <f t="shared" si="17"/>
        <v>108049.08786615476</v>
      </c>
      <c r="Q21" s="1205">
        <f t="shared" si="17"/>
        <v>153812.86861670896</v>
      </c>
      <c r="R21" s="1205">
        <f t="shared" si="17"/>
        <v>149518.12724135866</v>
      </c>
      <c r="S21" s="1205">
        <f t="shared" si="17"/>
        <v>148206.45962386281</v>
      </c>
      <c r="T21" s="1205">
        <f t="shared" si="17"/>
        <v>183255.36756388514</v>
      </c>
      <c r="U21" s="1205">
        <f t="shared" si="17"/>
        <v>161637.36945460265</v>
      </c>
      <c r="V21" s="1205">
        <f t="shared" si="17"/>
        <v>160416.22030657833</v>
      </c>
      <c r="W21" s="1205">
        <f t="shared" si="17"/>
        <v>159907.11322862763</v>
      </c>
      <c r="X21" s="1205">
        <f t="shared" si="17"/>
        <v>136192.06385580506</v>
      </c>
      <c r="Y21" s="1205">
        <f t="shared" si="17"/>
        <v>130258.89389231488</v>
      </c>
      <c r="Z21" s="1205">
        <f t="shared" si="17"/>
        <v>113076.82957408765</v>
      </c>
      <c r="AA21" s="1206"/>
    </row>
    <row r="22" spans="1:27" ht="17.25" customHeight="1">
      <c r="A22" s="1207"/>
      <c r="B22" s="1231">
        <f>B21/B20</f>
        <v>0.35560265208800695</v>
      </c>
      <c r="C22" s="1231">
        <f t="shared" ref="C22:M22" si="18">C21/C20</f>
        <v>0.41728850000453366</v>
      </c>
      <c r="D22" s="1231">
        <f t="shared" si="18"/>
        <v>0.50660134891052966</v>
      </c>
      <c r="E22" s="1231">
        <f t="shared" si="18"/>
        <v>0.47009279285215361</v>
      </c>
      <c r="F22" s="1231">
        <f t="shared" si="18"/>
        <v>0.42508746038047468</v>
      </c>
      <c r="G22" s="1231">
        <f t="shared" si="18"/>
        <v>0.42134398133512402</v>
      </c>
      <c r="H22" s="1231">
        <f t="shared" si="18"/>
        <v>0.4504740628607744</v>
      </c>
      <c r="I22" s="1231">
        <f t="shared" si="18"/>
        <v>0.56873792210452678</v>
      </c>
      <c r="J22" s="1231">
        <f t="shared" si="18"/>
        <v>0.52972431445405577</v>
      </c>
      <c r="K22" s="1231">
        <f t="shared" si="18"/>
        <v>0.52880260768820153</v>
      </c>
      <c r="L22" s="1231">
        <f t="shared" si="18"/>
        <v>0.56229850881988153</v>
      </c>
      <c r="M22" s="1231">
        <f t="shared" si="18"/>
        <v>0.56334622823984515</v>
      </c>
      <c r="N22" s="1208"/>
      <c r="O22" s="1231">
        <f>O21/O20</f>
        <v>0.45697697996591391</v>
      </c>
      <c r="P22" s="1231">
        <f t="shared" ref="P22:Z22" si="19">P21/P20</f>
        <v>0.71701904309180065</v>
      </c>
      <c r="Q22" s="1231">
        <f t="shared" si="19"/>
        <v>0.55368688469197169</v>
      </c>
      <c r="R22" s="1231">
        <f t="shared" si="19"/>
        <v>0.55678646590745595</v>
      </c>
      <c r="S22" s="1231">
        <f t="shared" si="19"/>
        <v>0.55190198273029678</v>
      </c>
      <c r="T22" s="1231">
        <f t="shared" si="19"/>
        <v>0.57268851007402044</v>
      </c>
      <c r="U22" s="1231">
        <f t="shared" si="19"/>
        <v>0.50513043910143618</v>
      </c>
      <c r="V22" s="1231">
        <f t="shared" si="19"/>
        <v>0.50131424481770581</v>
      </c>
      <c r="W22" s="1231">
        <f t="shared" si="19"/>
        <v>0.53541775947405879</v>
      </c>
      <c r="X22" s="1231">
        <f t="shared" si="19"/>
        <v>0.4902565060664833</v>
      </c>
      <c r="Y22" s="1231">
        <f t="shared" si="19"/>
        <v>0.46889861564432922</v>
      </c>
      <c r="Z22" s="1231">
        <f t="shared" si="19"/>
        <v>0.40704759010599623</v>
      </c>
      <c r="AA22" s="1208"/>
    </row>
    <row r="23" spans="1:27" ht="17.25" customHeight="1">
      <c r="A23" s="1209" t="s">
        <v>1086</v>
      </c>
      <c r="B23" s="1186">
        <f>B8*0.013</f>
        <v>2856.8261434864471</v>
      </c>
      <c r="C23" s="1186">
        <f t="shared" ref="C23:M23" si="20">C8*0.013</f>
        <v>2893.2283654167022</v>
      </c>
      <c r="D23" s="1186">
        <f t="shared" si="20"/>
        <v>3570.3376583333334</v>
      </c>
      <c r="E23" s="1186">
        <f t="shared" si="20"/>
        <v>3518.5602833333332</v>
      </c>
      <c r="F23" s="1186">
        <f t="shared" si="20"/>
        <v>3570.3376583333334</v>
      </c>
      <c r="G23" s="1186">
        <f t="shared" si="20"/>
        <v>4072.9233783333339</v>
      </c>
      <c r="H23" s="1186">
        <f t="shared" si="20"/>
        <v>4249.5618229299971</v>
      </c>
      <c r="I23" s="1186">
        <f t="shared" si="20"/>
        <v>4081.3171919225365</v>
      </c>
      <c r="J23" s="1186">
        <f t="shared" si="20"/>
        <v>4283.0244600000005</v>
      </c>
      <c r="K23" s="1186">
        <f t="shared" si="20"/>
        <v>3692.3021416666661</v>
      </c>
      <c r="L23" s="1186">
        <f t="shared" si="20"/>
        <v>3692.3021416666661</v>
      </c>
      <c r="M23" s="1186">
        <f t="shared" si="20"/>
        <v>3866.0439999999999</v>
      </c>
      <c r="N23" s="1210">
        <f>SUM(B23:M23)</f>
        <v>44346.76524542235</v>
      </c>
      <c r="O23" s="1186">
        <f>O8*0.013</f>
        <v>3658.9344999999998</v>
      </c>
      <c r="P23" s="1186">
        <f t="shared" ref="P23:Z23" si="21">P8*0.013</f>
        <v>1984.7993749999998</v>
      </c>
      <c r="Q23" s="1186">
        <f t="shared" si="21"/>
        <v>3658.9344999999998</v>
      </c>
      <c r="R23" s="1186">
        <f t="shared" si="21"/>
        <v>3536.9700166666662</v>
      </c>
      <c r="S23" s="1186">
        <f t="shared" si="21"/>
        <v>3536.9700166666662</v>
      </c>
      <c r="T23" s="1186">
        <f t="shared" si="21"/>
        <v>4214.6783249999999</v>
      </c>
      <c r="U23" s="1186">
        <f t="shared" si="21"/>
        <v>4214.6783249999999</v>
      </c>
      <c r="V23" s="1186">
        <f t="shared" si="21"/>
        <v>4214.6783249999999</v>
      </c>
      <c r="W23" s="1186">
        <f t="shared" si="21"/>
        <v>3933.6997700000002</v>
      </c>
      <c r="X23" s="1186">
        <f t="shared" si="21"/>
        <v>3658.9344999999998</v>
      </c>
      <c r="Y23" s="1186">
        <f t="shared" si="21"/>
        <v>3658.9344999999998</v>
      </c>
      <c r="Z23" s="1186">
        <f t="shared" si="21"/>
        <v>3658.9344999999998</v>
      </c>
      <c r="AA23" s="1210">
        <f>SUM(O23:Z23)</f>
        <v>43931.146653333344</v>
      </c>
    </row>
    <row r="24" spans="1:27" ht="17.25" customHeight="1">
      <c r="A24" s="1209" t="s">
        <v>1087</v>
      </c>
      <c r="B24" s="1186">
        <f t="shared" ref="B24:M24" si="22">B23+B20</f>
        <v>221346.67966894928</v>
      </c>
      <c r="C24" s="1186">
        <f t="shared" si="22"/>
        <v>206020.31989724084</v>
      </c>
      <c r="D24" s="1186">
        <f t="shared" si="22"/>
        <v>252126.33342001963</v>
      </c>
      <c r="E24" s="1186">
        <f t="shared" si="22"/>
        <v>253500.55669817579</v>
      </c>
      <c r="F24" s="1186">
        <f t="shared" si="22"/>
        <v>264602.74805061292</v>
      </c>
      <c r="G24" s="1186">
        <f t="shared" si="22"/>
        <v>304264.59688740328</v>
      </c>
      <c r="H24" s="1186">
        <f t="shared" si="22"/>
        <v>313543.60645763809</v>
      </c>
      <c r="I24" s="1186">
        <f t="shared" si="22"/>
        <v>285807.16223183548</v>
      </c>
      <c r="J24" s="1186">
        <f t="shared" si="22"/>
        <v>305430.22120000003</v>
      </c>
      <c r="K24" s="1186">
        <f t="shared" si="22"/>
        <v>259286.97248045082</v>
      </c>
      <c r="L24" s="1186">
        <f t="shared" si="22"/>
        <v>254815.49166666664</v>
      </c>
      <c r="M24" s="1186">
        <f t="shared" si="22"/>
        <v>267436.78000000003</v>
      </c>
      <c r="N24" s="1210">
        <f>SUM(B24:M24)</f>
        <v>3188181.468658993</v>
      </c>
      <c r="O24" s="1186">
        <f t="shared" ref="O24:Z24" si="23">O23+O20</f>
        <v>281456.5</v>
      </c>
      <c r="P24" s="1186">
        <f t="shared" si="23"/>
        <v>152676.875</v>
      </c>
      <c r="Q24" s="1186">
        <f t="shared" si="23"/>
        <v>281456.5</v>
      </c>
      <c r="R24" s="1186">
        <f t="shared" si="23"/>
        <v>272074.61666666664</v>
      </c>
      <c r="S24" s="1186">
        <f t="shared" si="23"/>
        <v>272074.61666666664</v>
      </c>
      <c r="T24" s="1186">
        <f t="shared" si="23"/>
        <v>324206.02500000002</v>
      </c>
      <c r="U24" s="1186">
        <f t="shared" si="23"/>
        <v>324206.02500000002</v>
      </c>
      <c r="V24" s="1186">
        <f t="shared" si="23"/>
        <v>324206.02500000002</v>
      </c>
      <c r="W24" s="1186">
        <f t="shared" si="23"/>
        <v>302592.29000000004</v>
      </c>
      <c r="X24" s="1186">
        <f t="shared" si="23"/>
        <v>281456.5</v>
      </c>
      <c r="Y24" s="1186">
        <f t="shared" si="23"/>
        <v>281456.5</v>
      </c>
      <c r="Z24" s="1186">
        <f t="shared" si="23"/>
        <v>281456.5</v>
      </c>
      <c r="AA24" s="1210">
        <f>SUM(O24:Z24)</f>
        <v>3379318.9733333332</v>
      </c>
    </row>
    <row r="25" spans="1:27">
      <c r="A25" s="1498" t="s">
        <v>1088</v>
      </c>
      <c r="B25" s="1499">
        <f t="shared" ref="B25:M25" si="24">B8-B24</f>
        <v>-1590.8224776840943</v>
      </c>
      <c r="C25" s="1499">
        <f t="shared" si="24"/>
        <v>16535.708211736259</v>
      </c>
      <c r="D25" s="1499">
        <f t="shared" si="24"/>
        <v>22515.024913313711</v>
      </c>
      <c r="E25" s="1499">
        <f t="shared" si="24"/>
        <v>17157.92663515755</v>
      </c>
      <c r="F25" s="1499">
        <f t="shared" si="24"/>
        <v>10038.610282720416</v>
      </c>
      <c r="G25" s="1499">
        <f t="shared" si="24"/>
        <v>9037.2014459301136</v>
      </c>
      <c r="H25" s="1499">
        <f t="shared" si="24"/>
        <v>13345.764536977105</v>
      </c>
      <c r="I25" s="1499">
        <f t="shared" si="24"/>
        <v>28140.314069898101</v>
      </c>
      <c r="J25" s="1499">
        <f t="shared" si="24"/>
        <v>24033.198800000013</v>
      </c>
      <c r="K25" s="1499">
        <f t="shared" si="24"/>
        <v>24736.269186215824</v>
      </c>
      <c r="L25" s="1499">
        <f t="shared" si="24"/>
        <v>29207.75</v>
      </c>
      <c r="M25" s="1499">
        <f t="shared" si="24"/>
        <v>29951.219999999972</v>
      </c>
      <c r="N25" s="1500">
        <f>SUM(B25:M25)</f>
        <v>223108.16560426497</v>
      </c>
      <c r="O25" s="1499">
        <f t="shared" ref="O25:Z25" si="25">O8-O24</f>
        <v>0</v>
      </c>
      <c r="P25" s="1499">
        <f t="shared" si="25"/>
        <v>0</v>
      </c>
      <c r="Q25" s="1499">
        <f t="shared" si="25"/>
        <v>0</v>
      </c>
      <c r="R25" s="1499">
        <f t="shared" si="25"/>
        <v>0</v>
      </c>
      <c r="S25" s="1499">
        <f t="shared" si="25"/>
        <v>0</v>
      </c>
      <c r="T25" s="1499">
        <f t="shared" si="25"/>
        <v>0</v>
      </c>
      <c r="U25" s="1499">
        <f t="shared" si="25"/>
        <v>0</v>
      </c>
      <c r="V25" s="1499">
        <f t="shared" si="25"/>
        <v>0</v>
      </c>
      <c r="W25" s="1499">
        <f t="shared" si="25"/>
        <v>0</v>
      </c>
      <c r="X25" s="1499">
        <f t="shared" si="25"/>
        <v>0</v>
      </c>
      <c r="Y25" s="1499">
        <f t="shared" si="25"/>
        <v>0</v>
      </c>
      <c r="Z25" s="1499">
        <f t="shared" si="25"/>
        <v>0</v>
      </c>
      <c r="AA25" s="1500">
        <f>SUM(O25:Z25)</f>
        <v>0</v>
      </c>
    </row>
    <row r="26" spans="1:27">
      <c r="N26" s="1215" t="s">
        <v>835</v>
      </c>
      <c r="AA26" s="1215" t="s">
        <v>835</v>
      </c>
    </row>
    <row r="27" spans="1:27">
      <c r="N27" s="1211">
        <f>N25/12</f>
        <v>18592.347133688749</v>
      </c>
      <c r="AA27" s="1211">
        <f>AA25/12</f>
        <v>0</v>
      </c>
    </row>
  </sheetData>
  <mergeCells count="9">
    <mergeCell ref="B5:C5"/>
    <mergeCell ref="D5:E5"/>
    <mergeCell ref="F5:G5"/>
    <mergeCell ref="B3:C3"/>
    <mergeCell ref="B4:C4"/>
    <mergeCell ref="D3:E3"/>
    <mergeCell ref="D4:E4"/>
    <mergeCell ref="F3:G3"/>
    <mergeCell ref="F4:G4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차트</vt:lpstr>
      </vt:variant>
      <vt:variant>
        <vt:i4>1</vt:i4>
      </vt:variant>
    </vt:vector>
  </HeadingPairs>
  <TitlesOfParts>
    <vt:vector size="28" baseType="lpstr">
      <vt:lpstr>Cover</vt:lpstr>
      <vt:lpstr>Index</vt:lpstr>
      <vt:lpstr>1. Assumption</vt:lpstr>
      <vt:lpstr>1-1.Assumption</vt:lpstr>
      <vt:lpstr>2. S Plan</vt:lpstr>
      <vt:lpstr>요약</vt:lpstr>
      <vt:lpstr>SOP 2024</vt:lpstr>
      <vt:lpstr>3. P PLAN</vt:lpstr>
      <vt:lpstr>3. P PLAN-2</vt:lpstr>
      <vt:lpstr>4. L PLAN a</vt:lpstr>
      <vt:lpstr>4-1. 인원계획</vt:lpstr>
      <vt:lpstr>4. L PLAN</vt:lpstr>
      <vt:lpstr>5. M Plan</vt:lpstr>
      <vt:lpstr>AP Plan</vt:lpstr>
      <vt:lpstr>6. O Plan</vt:lpstr>
      <vt:lpstr>7. E Plan</vt:lpstr>
      <vt:lpstr>8. I Plan</vt:lpstr>
      <vt:lpstr>7-2. S-E Plan</vt:lpstr>
      <vt:lpstr>9. C Plan</vt:lpstr>
      <vt:lpstr>10. IS</vt:lpstr>
      <vt:lpstr>11. CF-2026</vt:lpstr>
      <vt:lpstr>12. FA Loan</vt:lpstr>
      <vt:lpstr>B.BasicInfomation</vt:lpstr>
      <vt:lpstr>Sub-L plan</vt:lpstr>
      <vt:lpstr>기준정보</vt:lpstr>
      <vt:lpstr>11. CF-2023</vt:lpstr>
      <vt:lpstr>Utilty_Data</vt:lpstr>
      <vt:lpstr>Chart1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MISTOP</dc:creator>
  <cp:lastModifiedBy>Kang Yeongkyu</cp:lastModifiedBy>
  <cp:lastPrinted>2023-11-24T10:39:47Z</cp:lastPrinted>
  <dcterms:created xsi:type="dcterms:W3CDTF">2014-09-20T00:46:24Z</dcterms:created>
  <dcterms:modified xsi:type="dcterms:W3CDTF">2026-01-03T02:36:33Z</dcterms:modified>
</cp:coreProperties>
</file>