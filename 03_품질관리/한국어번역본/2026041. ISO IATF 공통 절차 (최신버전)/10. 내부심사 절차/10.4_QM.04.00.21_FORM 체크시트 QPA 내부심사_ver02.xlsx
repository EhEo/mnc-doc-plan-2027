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200" windowHeight="11280" tabRatio="798" firstSheet="0" activeTab="3" autoFilterDateGrouping="1"/>
  </bookViews>
  <sheets>
    <sheet xmlns:r="http://schemas.openxmlformats.org/officeDocument/2006/relationships" name="1. History cover" sheetId="1" state="visible" r:id="rId1"/>
    <sheet xmlns:r="http://schemas.openxmlformats.org/officeDocument/2006/relationships" name="2.배점분포" sheetId="2" state="visible" r:id="rId2"/>
    <sheet xmlns:r="http://schemas.openxmlformats.org/officeDocument/2006/relationships" name="3. Check sheet audit" sheetId="3" state="visible" r:id="rId3"/>
    <sheet xmlns:r="http://schemas.openxmlformats.org/officeDocument/2006/relationships" name="4. OIL" sheetId="4" state="visible" r:id="rId4"/>
  </sheets>
  <definedNames>
    <definedName name="__DemandLoad">TRUE</definedName>
    <definedName name="_1">#N/A</definedName>
    <definedName name="_1_?">#REF!</definedName>
    <definedName name="_2PBook_Area">#REF!</definedName>
    <definedName name="A">"?A*"</definedName>
    <definedName name="AA">#REF!</definedName>
    <definedName name="aaa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LTSS">#REF!</definedName>
    <definedName name="AS">#REF!</definedName>
    <definedName name="AS.BB">#REF!</definedName>
    <definedName name="AZ">#REF!</definedName>
    <definedName name="b23RTDKDK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TDKDK">#REF!</definedName>
    <definedName name="data">#REF!</definedName>
    <definedName name="_xlnm.Database">#REF!</definedName>
    <definedName name="dd">#REF!</definedName>
    <definedName name="ED3__회훈_71.4_신창_4.9">#REF!</definedName>
    <definedName name="EO관리신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">#REF!</definedName>
    <definedName name="GH">#REF!</definedName>
    <definedName name="H11A01K">#REF!</definedName>
    <definedName name="HH">#REF!</definedName>
    <definedName name="II">#REF!</definedName>
    <definedName name="JJ">#REF!</definedName>
    <definedName name="K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IST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6">#REF!</definedName>
    <definedName name="M행">#REF!</definedName>
    <definedName name="N">"?N*"</definedName>
    <definedName name="N행">#REF!</definedName>
    <definedName name="O행">#REF!</definedName>
    <definedName name="POR439C124RTSQKS15C4LRTM0TB0TB0">#REF!</definedName>
    <definedName name="PSMPLQ12C4LRTOR339C224RTMTBTBTB">#REF!</definedName>
    <definedName name="P행">#REF!</definedName>
    <definedName name="QQ">#REF!</definedName>
    <definedName name="Q행">#REF!</definedName>
    <definedName name="RATE">#REF!</definedName>
    <definedName name="RT울산시RTDKDK">#REF!</definedName>
    <definedName name="R행">#REF!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pec3">#REF!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행">#REF!</definedName>
    <definedName name="TY">#REF!</definedName>
    <definedName name="T행">#REF!</definedName>
    <definedName name="UU">#REF!</definedName>
    <definedName name="U행">#REF!</definedName>
    <definedName name="V행">#REF!</definedName>
    <definedName name="WW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Y">#REF!</definedName>
    <definedName name="가">#REF!</definedName>
    <definedName name="기">#REF!</definedName>
    <definedName name="기안갑">#REF!</definedName>
    <definedName name="기안을">#REF!</definedName>
    <definedName name="나">#REF!</definedName>
    <definedName name="납품보고">#REF!</definedName>
    <definedName name="ㄷ">#REF!</definedName>
    <definedName name="다">#REF!</definedName>
    <definedName name="단위">1000</definedName>
    <definedName name="대회">#REF!</definedName>
    <definedName name="라">#REF!</definedName>
    <definedName name="ㅁ169">#REF!</definedName>
    <definedName name="ㅁddd">#REF!</definedName>
    <definedName name="마">#REF!</definedName>
    <definedName name="바">#REF!</definedName>
    <definedName name="발">#REF!</definedName>
    <definedName name="백만">1000000</definedName>
    <definedName name="사">#REF!</definedName>
    <definedName name="소">#REF!</definedName>
    <definedName name="ㅇㄻㄴㅇㄻㄴ">#REF!</definedName>
    <definedName name="아">#REF!</definedName>
    <definedName name="원">1</definedName>
    <definedName name="자">#REF!</definedName>
    <definedName name="제목">#REF!</definedName>
    <definedName name="주요업무실적">#REF!</definedName>
    <definedName name="차">#REF!</definedName>
    <definedName name="확정하여_보고할것.">#REF!</definedName>
    <definedName name="활동이력">#REF!</definedName>
    <definedName name="회의자료">#REF!</definedName>
    <definedName name="흵____R3_t">#REF!</definedName>
    <definedName name="小">#REF!</definedName>
    <definedName name="_1_?" localSheetId="1">#REF!</definedName>
    <definedName name="_2PBook_Area" localSheetId="1">#REF!</definedName>
    <definedName name="_xlnm.Print_Titles" localSheetId="2">'3. Check sheet audit'!$3:$3</definedName>
  </definedNames>
  <calcPr calcId="162913" fullCalcOnLoad="1"/>
</workbook>
</file>

<file path=xl/styles.xml><?xml version="1.0" encoding="utf-8"?>
<styleSheet xmlns="http://schemas.openxmlformats.org/spreadsheetml/2006/main">
  <numFmts count="15">
    <numFmt numFmtId="164" formatCode="0.0_ "/>
    <numFmt numFmtId="165" formatCode="0.0"/>
    <numFmt numFmtId="166" formatCode="_-* #,##0_-;\-* #,##0_-;_-* &quot;-&quot;_-;_-@_-"/>
    <numFmt numFmtId="167" formatCode="_ * #,##0_ ;_ * &quot;₩&quot;&quot;₩&quot;&quot;₩&quot;\-#,##0_ ;_ * &quot;-&quot;_ ;_ @_ "/>
    <numFmt numFmtId="168" formatCode="&quot;$&quot;#,##0.00_);[Red]&quot;₩&quot;&quot;₩&quot;&quot;₩&quot;&quot;₩&quot;&quot;₩&quot;\(&quot;$&quot;#,##0.00&quot;₩&quot;&quot;₩&quot;&quot;₩&quot;&quot;₩&quot;&quot;₩&quot;\)"/>
    <numFmt numFmtId="169" formatCode="0.0%"/>
    <numFmt numFmtId="170" formatCode="&quot;$&quot;#,##0.00"/>
    <numFmt numFmtId="171" formatCode="_(* #,##0.0_);_(* &quot;₩&quot;&quot;₩&quot;&quot;₩&quot;&quot;₩&quot;&quot;₩&quot;&quot;₩&quot;\(#,##0.0&quot;₩&quot;&quot;₩&quot;&quot;₩&quot;&quot;₩&quot;&quot;₩&quot;&quot;₩&quot;\);_(* &quot;-&quot;_);_(@_)"/>
    <numFmt numFmtId="172" formatCode="&quot;DM&quot;#,##0;[Red]\-&quot;DM&quot;#,##0"/>
    <numFmt numFmtId="173" formatCode="&quot;DM&quot;#,##0.00;[Red]\-&quot;DM&quot;#,##0.00"/>
    <numFmt numFmtId="174" formatCode="_ * #,##0_ ;_ * \-#,##0_ ;_ * &quot;-&quot;_ ;_ @_ "/>
    <numFmt numFmtId="175" formatCode="\ @"/>
    <numFmt numFmtId="176" formatCode="\(0%\)"/>
    <numFmt numFmtId="177" formatCode="_-* #,##0.00_-;\-* #,##0.00_-;_-* &quot;-&quot;??_-;_-@_-"/>
    <numFmt numFmtId="178" formatCode="[$-409]d/mmm/yy;@"/>
  </numFmts>
  <fonts count="114">
    <font>
      <name val="돋움"/>
      <charset val="129"/>
      <family val="3"/>
      <sz val="11"/>
    </font>
    <font>
      <name val="Calibri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ＭＳ 明朝"/>
      <family val="3"/>
      <sz val="14"/>
    </font>
    <font>
      <name val="新細明體"/>
      <charset val="255"/>
      <family val="1"/>
      <sz val="12"/>
    </font>
    <font>
      <name val="Arial"/>
      <family val="2"/>
      <sz val="10"/>
    </font>
    <font>
      <name val="明朝"/>
      <family val="2"/>
      <sz val="11"/>
    </font>
    <font>
      <name val="Times New Roman"/>
      <family val="1"/>
      <sz val="12"/>
    </font>
    <font>
      <name val="Arial MT"/>
      <family val="2"/>
      <sz val="12"/>
    </font>
    <font>
      <name val="Times New Roman"/>
      <family val="1"/>
      <sz val="8"/>
    </font>
    <font>
      <name val="Helv"/>
      <family val="2"/>
      <b val="1"/>
      <sz val="10"/>
    </font>
    <font>
      <name val="MS Sans Serif"/>
      <family val="2"/>
      <sz val="10"/>
    </font>
    <font>
      <name val="바탕체"/>
      <charset val="129"/>
      <family val="1"/>
      <sz val="12"/>
    </font>
    <font>
      <name val="바탕체"/>
      <charset val="129"/>
      <family val="1"/>
      <color indexed="8"/>
      <sz val="12"/>
    </font>
    <font>
      <name val="Helv"/>
      <family val="2"/>
      <sz val="10"/>
    </font>
    <font>
      <name val="돋움"/>
      <family val="3"/>
      <sz val="11"/>
    </font>
    <font>
      <name val="뼻뮝"/>
      <charset val="129"/>
      <family val="3"/>
      <sz val="14"/>
    </font>
    <font>
      <name val="宋体"/>
      <charset val="129"/>
      <family val="3"/>
      <sz val="9"/>
    </font>
    <font>
      <name val="굴림체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color indexed="12"/>
      <sz val="11"/>
      <u val="single"/>
    </font>
    <font>
      <name val="μ¸¿o"/>
      <charset val="129"/>
      <family val="3"/>
      <sz val="11"/>
    </font>
    <font>
      <name val="System"/>
      <charset val="129"/>
      <family val="2"/>
      <sz val="12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Helv"/>
      <family val="2"/>
      <b val="1"/>
      <sz val="11"/>
    </font>
    <font>
      <name val="Arial"/>
      <family val="2"/>
      <sz val="12"/>
    </font>
    <font>
      <name val="Calibri"/>
      <charset val="129"/>
      <family val="3"/>
      <color theme="1"/>
      <sz val="11"/>
      <scheme val="minor"/>
    </font>
    <font>
      <name val="굴림체"/>
      <charset val="129"/>
      <family val="3"/>
      <sz val="10"/>
    </font>
    <font>
      <name val="굴림체"/>
      <charset val="129"/>
      <family val="3"/>
      <sz val="12"/>
    </font>
    <font>
      <name val="Arial"/>
      <family val="2"/>
      <sz val="9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맑은 고딕"/>
      <charset val="129"/>
      <family val="3"/>
      <color indexed="20"/>
      <sz val="11"/>
    </font>
    <font>
      <name val="돋움"/>
      <charset val="129"/>
      <family val="3"/>
      <color indexed="36"/>
      <sz val="11"/>
      <u val="single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돋움체"/>
      <charset val="129"/>
      <family val="3"/>
      <sz val="12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ＭＳ Ｐゴシック"/>
      <family val="2"/>
      <color indexed="36"/>
      <sz val="8.25"/>
      <u val="single"/>
    </font>
    <font>
      <name val="¨IoUAAA¡§u"/>
      <charset val="129"/>
      <family val="1"/>
      <sz val="12"/>
    </font>
    <font>
      <name val="ⓒoUAAA¨u"/>
      <charset val="129"/>
      <family val="1"/>
      <sz val="12"/>
    </font>
    <font>
      <name val="µ¸¿ò"/>
      <charset val="129"/>
      <family val="3"/>
      <sz val="11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¹UAAA¼"/>
      <charset val="129"/>
      <family val="1"/>
      <sz val="12"/>
    </font>
    <font>
      <name val="¹ÙÅÁÃ¼"/>
      <charset val="129"/>
      <family val="1"/>
      <sz val="12"/>
    </font>
    <font>
      <name val="Tms Rmn"/>
      <family val="1"/>
      <sz val="12"/>
    </font>
    <font>
      <name val="¨IoUAAA¡§u"/>
      <charset val="129"/>
      <family val="1"/>
      <sz val="10"/>
    </font>
    <font>
      <name val="±¼¸²Ã¼"/>
      <charset val="129"/>
      <family val="3"/>
      <sz val="10"/>
    </font>
    <font>
      <name val="¹ÙÅÁÃ¼"/>
      <charset val="129"/>
      <family val="1"/>
      <sz val="10"/>
    </font>
    <font>
      <name val="¹UAAA¼"/>
      <charset val="129"/>
      <family val="1"/>
      <sz val="10"/>
    </font>
    <font>
      <name val="±¼¸²A¼"/>
      <charset val="129"/>
      <family val="3"/>
      <sz val="12"/>
    </font>
    <font>
      <name val="±¼¸²Ã¼"/>
      <charset val="129"/>
      <family val="3"/>
      <sz val="12"/>
    </font>
    <font>
      <name val="¹ÙÅÁÃ¼"/>
      <family val="1"/>
      <sz val="12"/>
    </font>
    <font>
      <name val="¹UAAA¼"/>
      <charset val="129"/>
      <family val="1"/>
      <sz val="8"/>
    </font>
    <font>
      <name val="돋움체"/>
      <charset val="129"/>
      <family val="3"/>
      <sz val="10"/>
    </font>
    <font>
      <name val="Small Fonts"/>
      <family val="2"/>
      <sz val="7"/>
    </font>
    <font>
      <name val="¾©"/>
      <charset val="129"/>
      <family val="1"/>
      <sz val="12"/>
    </font>
    <font>
      <name val="ＭＳ Ｐゴシック"/>
      <family val="2"/>
      <color indexed="12"/>
      <sz val="11"/>
      <u val="single"/>
    </font>
    <font>
      <name val="바탕체"/>
      <charset val="129"/>
      <family val="1"/>
      <sz val="8"/>
    </font>
    <font>
      <name val="바탕체"/>
      <charset val="129"/>
      <family val="1"/>
      <sz val="10"/>
    </font>
    <font>
      <name val="Times New Roman"/>
      <family val="1"/>
      <sz val="10"/>
    </font>
    <font>
      <name val="Calibri"/>
      <charset val="129"/>
      <family val="2"/>
      <color theme="1"/>
      <sz val="11"/>
      <scheme val="minor"/>
    </font>
    <font>
      <name val="¹UAAA¼"/>
      <charset val="129"/>
      <family val="3"/>
      <sz val="12"/>
    </font>
    <font>
      <name val="돋움"/>
      <charset val="129"/>
      <family val="2"/>
      <sz val="11"/>
    </font>
    <font>
      <name val="굴림체"/>
      <charset val="129"/>
      <family val="3"/>
      <color indexed="8"/>
      <sz val="12"/>
    </font>
    <font>
      <name val="굴림"/>
      <charset val="129"/>
      <family val="3"/>
      <sz val="11"/>
    </font>
    <font>
      <name val="돋움"/>
      <charset val="129"/>
      <family val="2"/>
      <color indexed="12"/>
      <sz val="11"/>
      <u val="single"/>
    </font>
    <font>
      <name val="바탕체"/>
      <b val="1"/>
      <color rgb="FF333333"/>
      <sz val="24"/>
    </font>
    <font>
      <name val="Calibri"/>
      <family val="2"/>
      <b val="1"/>
      <sz val="10"/>
      <scheme val="minor"/>
    </font>
    <font>
      <name val="굴림"/>
      <charset val="129"/>
      <family val="3"/>
      <sz val="10"/>
    </font>
    <font>
      <name val="Calibri"/>
      <family val="2"/>
      <b val="1"/>
      <sz val="14"/>
      <scheme val="minor"/>
    </font>
    <font>
      <name val="Calibri"/>
      <family val="2"/>
      <sz val="12"/>
      <scheme val="minor"/>
    </font>
    <font>
      <name val="Calibri"/>
      <family val="2"/>
      <color rgb="FF0000FF"/>
      <sz val="12"/>
      <scheme val="minor"/>
    </font>
    <font>
      <name val="Calibri"/>
      <family val="2"/>
      <color theme="1"/>
      <sz val="12"/>
      <scheme val="minor"/>
    </font>
    <font>
      <name val="Times New Roman"/>
      <family val="1"/>
      <b val="1"/>
      <sz val="10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b val="1"/>
      <color indexed="12"/>
      <sz val="11"/>
    </font>
    <font>
      <name val="Times New Roman"/>
      <family val="1"/>
      <color indexed="12"/>
      <sz val="11"/>
    </font>
    <font>
      <name val="Times New Roman"/>
      <family val="1"/>
      <b val="1"/>
      <color indexed="8"/>
      <sz val="11"/>
    </font>
    <font>
      <name val="Times New Roman"/>
      <family val="1"/>
      <color theme="1"/>
      <sz val="10"/>
    </font>
    <font>
      <name val="Times New Roman"/>
      <family val="1"/>
      <color rgb="FF0000FF"/>
      <sz val="10"/>
    </font>
    <font>
      <name val="Times New Roman"/>
      <family val="1"/>
      <color rgb="FF333333"/>
      <sz val="10"/>
    </font>
    <font>
      <name val="Times New Roman"/>
      <family val="1"/>
      <b val="1"/>
      <sz val="16"/>
    </font>
    <font>
      <name val="Times New Roman"/>
      <family val="1"/>
      <b val="1"/>
      <color theme="1"/>
      <sz val="12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新細明體"/>
      <charset val="136"/>
      <family val="1"/>
      <sz val="12"/>
    </font>
    <font>
      <name val="Times New Roman"/>
      <family val="1"/>
      <b val="1"/>
      <sz val="18"/>
      <vertAlign val="subscript"/>
    </font>
    <font>
      <name val="Times New Roman"/>
      <family val="1"/>
      <b val="1"/>
      <sz val="12"/>
    </font>
    <font>
      <name val="Times New Roman"/>
      <family val="1"/>
      <color indexed="8"/>
      <sz val="12"/>
    </font>
    <font>
      <name val="바탕체"/>
      <b val="1"/>
      <color rgb="FFFF0000"/>
      <sz val="9"/>
    </font>
    <font>
      <name val="바탕체"/>
      <b val="1"/>
      <color rgb="FF333333"/>
      <sz val="18"/>
    </font>
    <font>
      <name val="Times New Roman"/>
      <family val="1"/>
      <color theme="1"/>
      <sz val="10.5"/>
    </font>
    <font>
      <name val="Times New Roman"/>
      <family val="1"/>
      <color rgb="FF333333"/>
      <sz val="9"/>
    </font>
    <font>
      <name val="바탕체"/>
      <color rgb="FF0000FF"/>
      <sz val="9"/>
    </font>
    <font>
      <name val="Times New Roman"/>
      <family val="1"/>
      <color rgb="FFFF0000"/>
      <sz val="11"/>
    </font>
  </fonts>
  <fills count="37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45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31">
    <xf numFmtId="0" fontId="2" fillId="0" borderId="0"/>
    <xf numFmtId="0" fontId="13" fillId="0" borderId="0"/>
    <xf numFmtId="9" fontId="14" fillId="0" borderId="0"/>
    <xf numFmtId="0" fontId="13" fillId="0" borderId="0"/>
    <xf numFmtId="0" fontId="13" fillId="0" borderId="0"/>
    <xf numFmtId="9" fontId="14" fillId="0" borderId="0"/>
    <xf numFmtId="0" fontId="6" fillId="0" borderId="0"/>
    <xf numFmtId="0" fontId="15" fillId="0" borderId="0"/>
    <xf numFmtId="0" fontId="16" fillId="0" borderId="0"/>
    <xf numFmtId="0" fontId="6" fillId="0" borderId="0"/>
    <xf numFmtId="0" fontId="6" fillId="0" borderId="0"/>
    <xf numFmtId="0" fontId="2" fillId="0" borderId="0"/>
    <xf numFmtId="0" fontId="6" fillId="0" borderId="0"/>
    <xf numFmtId="167" fontId="9" fillId="2" borderId="1" applyAlignment="1">
      <alignment horizontal="center" vertical="center"/>
    </xf>
    <xf numFmtId="0" fontId="22" fillId="0" borderId="0"/>
    <xf numFmtId="0" fontId="22" fillId="0" borderId="0"/>
    <xf numFmtId="0" fontId="10" fillId="0" borderId="0" applyAlignment="1" applyProtection="1">
      <alignment horizontal="center" wrapText="1"/>
      <protection locked="0" hidden="0"/>
    </xf>
    <xf numFmtId="0" fontId="22" fillId="0" borderId="0"/>
    <xf numFmtId="0" fontId="22" fillId="0" borderId="0"/>
    <xf numFmtId="0" fontId="23" fillId="0" borderId="0"/>
    <xf numFmtId="168" fontId="6" fillId="0" borderId="0"/>
    <xf numFmtId="169" fontId="6" fillId="0" borderId="0"/>
    <xf numFmtId="170" fontId="6" fillId="0" borderId="0"/>
    <xf numFmtId="0" fontId="11" fillId="0" borderId="0"/>
    <xf numFmtId="0" fontId="2" fillId="0" borderId="0"/>
    <xf numFmtId="38" fontId="24" fillId="3" borderId="0"/>
    <xf numFmtId="0" fontId="25" fillId="0" borderId="0" applyAlignment="1">
      <alignment horizontal="left"/>
    </xf>
    <xf numFmtId="0" fontId="26" fillId="0" borderId="2" applyAlignment="1">
      <alignment horizontal="left" vertical="center"/>
    </xf>
    <xf numFmtId="0" fontId="26" fillId="0" borderId="3" applyAlignment="1">
      <alignment horizontal="left" vertical="center"/>
    </xf>
    <xf numFmtId="10" fontId="24" fillId="4" borderId="4"/>
    <xf numFmtId="0" fontId="27" fillId="0" borderId="5"/>
    <xf numFmtId="171" fontId="28" fillId="0" borderId="0"/>
    <xf numFmtId="0" fontId="6" fillId="0" borderId="0"/>
    <xf numFmtId="10" fontId="6" fillId="0" borderId="0"/>
    <xf numFmtId="0" fontId="12" fillId="0" borderId="0"/>
    <xf numFmtId="0" fontId="27" fillId="0" borderId="0"/>
    <xf numFmtId="172" fontId="12" fillId="0" borderId="0"/>
    <xf numFmtId="173" fontId="12" fillId="0" borderId="0"/>
    <xf numFmtId="40" fontId="17" fillId="0" borderId="0"/>
    <xf numFmtId="38" fontId="17" fillId="0" borderId="0"/>
    <xf numFmtId="0" fontId="17" fillId="0" borderId="0"/>
    <xf numFmtId="0" fontId="17" fillId="0" borderId="0"/>
    <xf numFmtId="0" fontId="4" fillId="0" borderId="0"/>
    <xf numFmtId="9" fontId="2" fillId="0" borderId="0"/>
    <xf numFmtId="0" fontId="18" fillId="0" borderId="0" applyAlignment="1">
      <alignment vertical="center"/>
    </xf>
    <xf numFmtId="0" fontId="2" fillId="0" borderId="0"/>
    <xf numFmtId="0" fontId="2" fillId="0" borderId="0"/>
    <xf numFmtId="0" fontId="6" fillId="0" borderId="0"/>
    <xf numFmtId="0" fontId="5" fillId="0" borderId="0"/>
    <xf numFmtId="44" fontId="6" fillId="0" borderId="0"/>
    <xf numFmtId="42" fontId="6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0" fillId="0" borderId="0" applyAlignment="1">
      <alignment vertical="center"/>
    </xf>
    <xf numFmtId="0" fontId="2" fillId="0" borderId="0"/>
    <xf numFmtId="0" fontId="19" fillId="0" borderId="0"/>
    <xf numFmtId="0" fontId="2" fillId="0" borderId="0" applyAlignment="1">
      <alignment vertical="center"/>
    </xf>
    <xf numFmtId="0" fontId="29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7" fillId="0" borderId="0"/>
    <xf numFmtId="0" fontId="2" fillId="0" borderId="0"/>
    <xf numFmtId="0" fontId="21" fillId="0" borderId="0" applyAlignment="1" applyProtection="1">
      <alignment vertical="top"/>
      <protection locked="0" hidden="0"/>
    </xf>
    <xf numFmtId="43" fontId="6" fillId="0" borderId="0"/>
    <xf numFmtId="41" fontId="6" fillId="0" borderId="0"/>
    <xf numFmtId="42" fontId="8" fillId="0" borderId="0"/>
    <xf numFmtId="0" fontId="2" fillId="0" borderId="0" applyAlignment="1">
      <alignment vertical="center"/>
    </xf>
    <xf numFmtId="0" fontId="6" fillId="0" borderId="0"/>
    <xf numFmtId="0" fontId="6" fillId="0" borderId="0"/>
    <xf numFmtId="40" fontId="1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73" fillId="0" borderId="0"/>
    <xf numFmtId="174" fontId="13" fillId="0" borderId="0"/>
    <xf numFmtId="0" fontId="6" fillId="0" borderId="0"/>
    <xf numFmtId="0" fontId="20" fillId="6" borderId="0" applyAlignment="1">
      <alignment vertical="center"/>
    </xf>
    <xf numFmtId="0" fontId="20" fillId="7" borderId="0" applyAlignment="1">
      <alignment vertical="center"/>
    </xf>
    <xf numFmtId="0" fontId="20" fillId="8" borderId="0" applyAlignment="1">
      <alignment vertical="center"/>
    </xf>
    <xf numFmtId="0" fontId="20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0" fillId="9" borderId="0" applyAlignment="1">
      <alignment vertical="center"/>
    </xf>
    <xf numFmtId="0" fontId="20" fillId="12" borderId="0" applyAlignment="1">
      <alignment vertical="center"/>
    </xf>
    <xf numFmtId="0" fontId="20" fillId="15" borderId="0" applyAlignment="1">
      <alignment vertical="center"/>
    </xf>
    <xf numFmtId="0" fontId="33" fillId="16" borderId="0" applyAlignment="1">
      <alignment vertical="center"/>
    </xf>
    <xf numFmtId="0" fontId="33" fillId="13" borderId="0" applyAlignment="1">
      <alignment vertical="center"/>
    </xf>
    <xf numFmtId="0" fontId="33" fillId="14" borderId="0" applyAlignment="1">
      <alignment vertical="center"/>
    </xf>
    <xf numFmtId="0" fontId="33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55" fillId="0" borderId="0"/>
    <xf numFmtId="0" fontId="55" fillId="0" borderId="0"/>
    <xf numFmtId="0" fontId="56" fillId="0" borderId="0"/>
    <xf numFmtId="0" fontId="56" fillId="0" borderId="0"/>
    <xf numFmtId="0" fontId="22" fillId="0" borderId="0"/>
    <xf numFmtId="0" fontId="57" fillId="0" borderId="0"/>
    <xf numFmtId="0" fontId="44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60" fillId="0" borderId="0"/>
    <xf numFmtId="0" fontId="61" fillId="0" borderId="0"/>
    <xf numFmtId="0" fontId="60" fillId="0" borderId="0"/>
    <xf numFmtId="0" fontId="57" fillId="0" borderId="0"/>
    <xf numFmtId="0" fontId="58" fillId="0" borderId="0"/>
    <xf numFmtId="0" fontId="59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61" fillId="0" borderId="0"/>
    <xf numFmtId="0" fontId="60" fillId="0" borderId="0"/>
    <xf numFmtId="0" fontId="61" fillId="0" borderId="0"/>
    <xf numFmtId="0" fontId="58" fillId="0" borderId="0"/>
    <xf numFmtId="0" fontId="59" fillId="0" borderId="0"/>
    <xf numFmtId="0" fontId="22" fillId="0" borderId="0"/>
    <xf numFmtId="0" fontId="57" fillId="0" borderId="0"/>
    <xf numFmtId="0" fontId="44" fillId="0" borderId="0"/>
    <xf numFmtId="0" fontId="59" fillId="0" borderId="0"/>
    <xf numFmtId="0" fontId="58" fillId="0" borderId="0"/>
    <xf numFmtId="0" fontId="59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60" fillId="0" borderId="0"/>
    <xf numFmtId="0" fontId="61" fillId="0" borderId="0"/>
    <xf numFmtId="0" fontId="60" fillId="0" borderId="0"/>
    <xf numFmtId="0" fontId="57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58" fillId="0" borderId="0"/>
    <xf numFmtId="0" fontId="59" fillId="0" borderId="0"/>
    <xf numFmtId="0" fontId="22" fillId="0" borderId="0"/>
    <xf numFmtId="0" fontId="57" fillId="0" borderId="0"/>
    <xf numFmtId="0" fontId="60" fillId="0" borderId="0"/>
    <xf numFmtId="0" fontId="61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61" fillId="0" borderId="0"/>
    <xf numFmtId="0" fontId="60" fillId="0" borderId="0"/>
    <xf numFmtId="0" fontId="61" fillId="0" borderId="0"/>
    <xf numFmtId="0" fontId="58" fillId="0" borderId="0"/>
    <xf numFmtId="0" fontId="59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22" fillId="0" borderId="0"/>
    <xf numFmtId="0" fontId="57" fillId="0" borderId="0"/>
    <xf numFmtId="0" fontId="44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58" fillId="0" borderId="0"/>
    <xf numFmtId="0" fontId="59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60" fillId="0" borderId="0"/>
    <xf numFmtId="0" fontId="61" fillId="0" borderId="0"/>
    <xf numFmtId="0" fontId="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61" fillId="0" borderId="0"/>
    <xf numFmtId="0" fontId="22" fillId="0" borderId="0"/>
    <xf numFmtId="0" fontId="57" fillId="0" borderId="0"/>
    <xf numFmtId="0" fontId="58" fillId="0" borderId="0"/>
    <xf numFmtId="0" fontId="59" fillId="0" borderId="0"/>
    <xf numFmtId="0" fontId="22" fillId="0" borderId="0"/>
    <xf numFmtId="0" fontId="57" fillId="0" borderId="0"/>
    <xf numFmtId="0" fontId="44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60" fillId="0" borderId="0"/>
    <xf numFmtId="0" fontId="61" fillId="0" borderId="0"/>
    <xf numFmtId="0" fontId="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61" fillId="0" borderId="0"/>
    <xf numFmtId="0" fontId="60" fillId="0" borderId="0"/>
    <xf numFmtId="0" fontId="61" fillId="0" borderId="0"/>
    <xf numFmtId="0" fontId="58" fillId="0" borderId="0"/>
    <xf numFmtId="0" fontId="59" fillId="0" borderId="0"/>
    <xf numFmtId="0" fontId="62" fillId="0" borderId="0"/>
    <xf numFmtId="0" fontId="56" fillId="0" borderId="0"/>
    <xf numFmtId="0" fontId="63" fillId="0" borderId="0"/>
    <xf numFmtId="0" fontId="58" fillId="0" borderId="0"/>
    <xf numFmtId="0" fontId="61" fillId="0" borderId="0"/>
    <xf numFmtId="0" fontId="60" fillId="0" borderId="0"/>
    <xf numFmtId="0" fontId="64" fillId="0" borderId="0"/>
    <xf numFmtId="0" fontId="61" fillId="0" borderId="0"/>
    <xf numFmtId="0" fontId="60" fillId="0" borderId="0"/>
    <xf numFmtId="0" fontId="61" fillId="0" borderId="0"/>
    <xf numFmtId="0" fontId="61" fillId="0" borderId="0"/>
    <xf numFmtId="0" fontId="60" fillId="0" borderId="0"/>
    <xf numFmtId="0" fontId="65" fillId="0" borderId="0"/>
    <xf numFmtId="0" fontId="66" fillId="0" borderId="0"/>
    <xf numFmtId="0" fontId="65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22" fillId="0" borderId="0"/>
    <xf numFmtId="0" fontId="57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7" fillId="0" borderId="0"/>
    <xf numFmtId="0" fontId="68" fillId="0" borderId="0"/>
    <xf numFmtId="0" fontId="60" fillId="0" borderId="0"/>
    <xf numFmtId="0" fontId="69" fillId="0" borderId="0"/>
    <xf numFmtId="0" fontId="58" fillId="0" borderId="0"/>
    <xf numFmtId="0" fontId="59" fillId="0" borderId="0"/>
    <xf numFmtId="0" fontId="7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22" fillId="0" borderId="0"/>
    <xf numFmtId="0" fontId="57" fillId="0" borderId="0"/>
    <xf numFmtId="0" fontId="6" fillId="0" borderId="0"/>
    <xf numFmtId="0" fontId="6" fillId="0" borderId="0"/>
    <xf numFmtId="0" fontId="22" fillId="0" borderId="0"/>
    <xf numFmtId="0" fontId="57" fillId="0" borderId="0"/>
    <xf numFmtId="0" fontId="60" fillId="0" borderId="0"/>
    <xf numFmtId="0" fontId="61" fillId="0" borderId="0"/>
    <xf numFmtId="0" fontId="23" fillId="0" borderId="0"/>
    <xf numFmtId="0" fontId="23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60" fillId="0" borderId="0"/>
    <xf numFmtId="0" fontId="61" fillId="0" borderId="0"/>
    <xf numFmtId="0" fontId="60" fillId="0" borderId="0"/>
    <xf numFmtId="0" fontId="68" fillId="0" borderId="0"/>
    <xf numFmtId="0" fontId="22" fillId="0" borderId="0"/>
    <xf numFmtId="0" fontId="61" fillId="0" borderId="0"/>
    <xf numFmtId="0" fontId="60" fillId="0" borderId="0"/>
    <xf numFmtId="0" fontId="61" fillId="0" borderId="0"/>
    <xf numFmtId="0" fontId="22" fillId="0" borderId="0"/>
    <xf numFmtId="0" fontId="57" fillId="0" borderId="0"/>
    <xf numFmtId="0" fontId="60" fillId="0" borderId="0"/>
    <xf numFmtId="0" fontId="61" fillId="0" borderId="0"/>
    <xf numFmtId="0" fontId="60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10" fontId="24" fillId="20" borderId="4"/>
    <xf numFmtId="0" fontId="71" fillId="0" borderId="0"/>
    <xf numFmtId="0" fontId="13" fillId="0" borderId="0"/>
    <xf numFmtId="37" fontId="72" fillId="0" borderId="0"/>
    <xf numFmtId="175" fontId="30" fillId="0" borderId="0"/>
    <xf numFmtId="0" fontId="13" fillId="0" borderId="0"/>
    <xf numFmtId="0" fontId="31" fillId="0" borderId="0"/>
    <xf numFmtId="0" fontId="60" fillId="0" borderId="0"/>
    <xf numFmtId="0" fontId="13" fillId="0" borderId="0"/>
    <xf numFmtId="0" fontId="74" fillId="0" borderId="0" applyAlignment="1" applyProtection="1">
      <alignment vertical="top"/>
      <protection locked="0" hidden="0"/>
    </xf>
    <xf numFmtId="0" fontId="32" fillId="0" borderId="0"/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3" fillId="17" borderId="0" applyAlignment="1">
      <alignment vertical="center"/>
    </xf>
    <xf numFmtId="0" fontId="33" fillId="18" borderId="0" applyAlignment="1">
      <alignment vertical="center"/>
    </xf>
    <xf numFmtId="0" fontId="33" fillId="24" borderId="0" applyAlignment="1">
      <alignment vertical="center"/>
    </xf>
    <xf numFmtId="0" fontId="34" fillId="0" borderId="0" applyAlignment="1">
      <alignment vertical="center"/>
    </xf>
    <xf numFmtId="0" fontId="35" fillId="25" borderId="6" applyAlignment="1">
      <alignment vertical="center"/>
    </xf>
    <xf numFmtId="2" fontId="36" fillId="0" borderId="0"/>
    <xf numFmtId="0" fontId="37" fillId="0" borderId="0"/>
    <xf numFmtId="0" fontId="38" fillId="0" borderId="0"/>
    <xf numFmtId="0" fontId="39" fillId="7" borderId="0" applyAlignment="1">
      <alignment vertical="center"/>
    </xf>
    <xf numFmtId="0" fontId="36" fillId="0" borderId="0"/>
    <xf numFmtId="0" fontId="36" fillId="0" borderId="0"/>
    <xf numFmtId="0" fontId="40" fillId="0" borderId="0" applyAlignment="1" applyProtection="1">
      <alignment vertical="top"/>
      <protection locked="0" hidden="0"/>
    </xf>
    <xf numFmtId="0" fontId="31" fillId="26" borderId="12" applyAlignment="1">
      <alignment vertical="center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 applyProtection="1">
      <protection locked="0" hidden="0"/>
    </xf>
    <xf numFmtId="0" fontId="41" fillId="27" borderId="0" applyAlignment="1">
      <alignment vertical="center"/>
    </xf>
    <xf numFmtId="0" fontId="17" fillId="0" borderId="0"/>
    <xf numFmtId="0" fontId="42" fillId="0" borderId="0" applyAlignment="1">
      <alignment vertical="center"/>
    </xf>
    <xf numFmtId="0" fontId="43" fillId="28" borderId="13" applyAlignment="1">
      <alignment vertical="center"/>
    </xf>
    <xf numFmtId="0" fontId="2" fillId="0" borderId="0"/>
    <xf numFmtId="166" fontId="2" fillId="0" borderId="0" applyAlignment="1">
      <alignment vertical="center"/>
    </xf>
    <xf numFmtId="0" fontId="6" fillId="0" borderId="0"/>
    <xf numFmtId="0" fontId="44" fillId="0" borderId="0"/>
    <xf numFmtId="0" fontId="45" fillId="0" borderId="14" applyAlignment="1">
      <alignment vertical="center"/>
    </xf>
    <xf numFmtId="0" fontId="46" fillId="0" borderId="15" applyAlignment="1">
      <alignment vertical="center"/>
    </xf>
    <xf numFmtId="0" fontId="47" fillId="11" borderId="6" applyAlignment="1">
      <alignment vertical="center"/>
    </xf>
    <xf numFmtId="4" fontId="36" fillId="0" borderId="0"/>
    <xf numFmtId="3" fontId="36" fillId="0" borderId="0"/>
    <xf numFmtId="0" fontId="48" fillId="0" borderId="0" applyAlignment="1">
      <alignment vertical="center"/>
    </xf>
    <xf numFmtId="0" fontId="49" fillId="0" borderId="16" applyAlignment="1">
      <alignment vertical="center"/>
    </xf>
    <xf numFmtId="0" fontId="50" fillId="0" borderId="17" applyAlignment="1">
      <alignment vertical="center"/>
    </xf>
    <xf numFmtId="0" fontId="51" fillId="0" borderId="18" applyAlignment="1">
      <alignment vertical="center"/>
    </xf>
    <xf numFmtId="0" fontId="51" fillId="0" borderId="0" applyAlignment="1">
      <alignment vertical="center"/>
    </xf>
    <xf numFmtId="0" fontId="52" fillId="8" borderId="0" applyAlignment="1">
      <alignment vertical="center"/>
    </xf>
    <xf numFmtId="0" fontId="53" fillId="25" borderId="19" applyAlignment="1">
      <alignment vertical="center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/>
    <xf numFmtId="0" fontId="31" fillId="0" borderId="0"/>
    <xf numFmtId="0" fontId="2" fillId="0" borderId="0"/>
    <xf numFmtId="3" fontId="13" fillId="0" borderId="7"/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/>
    <xf numFmtId="10" fontId="36" fillId="0" borderId="0"/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13" fillId="0" borderId="0" applyProtection="1">
      <protection locked="0" hidden="0"/>
    </xf>
    <xf numFmtId="0" fontId="54" fillId="0" borderId="0" applyAlignment="1" applyProtection="1">
      <alignment vertical="top"/>
      <protection locked="0" hidden="0"/>
    </xf>
    <xf numFmtId="0" fontId="13" fillId="0" borderId="0"/>
    <xf numFmtId="0" fontId="2" fillId="0" borderId="0" applyAlignment="1">
      <alignment vertical="center"/>
    </xf>
    <xf numFmtId="0" fontId="36" fillId="0" borderId="20"/>
    <xf numFmtId="0" fontId="44" fillId="0" borderId="0" applyAlignment="1">
      <alignment vertical="center"/>
    </xf>
    <xf numFmtId="0" fontId="36" fillId="0" borderId="0"/>
    <xf numFmtId="0" fontId="36" fillId="0" borderId="0"/>
    <xf numFmtId="166" fontId="2" fillId="0" borderId="0" applyAlignment="1">
      <alignment vertical="center"/>
    </xf>
    <xf numFmtId="9" fontId="2" fillId="0" borderId="0" applyAlignment="1">
      <alignment vertical="center"/>
    </xf>
    <xf numFmtId="0" fontId="76" fillId="0" borderId="0"/>
    <xf numFmtId="0" fontId="6" fillId="0" borderId="0"/>
    <xf numFmtId="0" fontId="78" fillId="0" borderId="0" applyAlignment="1">
      <alignment vertical="center"/>
    </xf>
    <xf numFmtId="0" fontId="13" fillId="0" borderId="0"/>
    <xf numFmtId="176" fontId="2" fillId="0" borderId="0"/>
    <xf numFmtId="166" fontId="79" fillId="0" borderId="0"/>
    <xf numFmtId="174" fontId="22" fillId="0" borderId="0"/>
    <xf numFmtId="165" fontId="79" fillId="0" borderId="0"/>
    <xf numFmtId="0" fontId="2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26" borderId="12" applyAlignment="1">
      <alignment vertical="center"/>
    </xf>
    <xf numFmtId="9" fontId="2" fillId="0" borderId="0" applyAlignment="1">
      <alignment vertical="center"/>
    </xf>
    <xf numFmtId="9" fontId="80" fillId="0" borderId="0" applyAlignment="1">
      <alignment vertical="center"/>
    </xf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6" fontId="2" fillId="0" borderId="0"/>
    <xf numFmtId="166" fontId="81" fillId="0" borderId="0" applyAlignment="1">
      <alignment vertical="center"/>
    </xf>
    <xf numFmtId="177" fontId="2" fillId="0" borderId="0" applyAlignment="1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3" fillId="0" borderId="0"/>
    <xf numFmtId="44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80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0" fillId="0" borderId="0"/>
    <xf numFmtId="0" fontId="8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83" fillId="0" borderId="0" applyAlignment="1" applyProtection="1">
      <alignment vertical="top"/>
      <protection locked="0" hidden="0"/>
    </xf>
    <xf numFmtId="0" fontId="6" fillId="0" borderId="0"/>
    <xf numFmtId="0" fontId="6" fillId="0" borderId="0"/>
    <xf numFmtId="0" fontId="12" fillId="0" borderId="0"/>
    <xf numFmtId="178" fontId="1" fillId="0" borderId="0"/>
    <xf numFmtId="0" fontId="1" fillId="0" borderId="0"/>
    <xf numFmtId="43" fontId="2" fillId="0" borderId="0"/>
    <xf numFmtId="0" fontId="6" fillId="0" borderId="0"/>
    <xf numFmtId="0" fontId="104" fillId="0" borderId="0"/>
  </cellStyleXfs>
  <cellXfs count="16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85" fillId="31" borderId="28" applyAlignment="1" applyProtection="1" pivotButton="0" quotePrefix="0" xfId="529">
      <alignment horizontal="center" vertical="center"/>
      <protection locked="0" hidden="0"/>
    </xf>
    <xf numFmtId="0" fontId="85" fillId="31" borderId="21" applyAlignment="1" applyProtection="1" pivotButton="0" quotePrefix="0" xfId="529">
      <alignment horizontal="center" vertical="center"/>
      <protection locked="0" hidden="0"/>
    </xf>
    <xf numFmtId="0" fontId="86" fillId="20" borderId="0" applyAlignment="1" applyProtection="1" pivotButton="0" quotePrefix="0" xfId="529">
      <alignment vertical="center"/>
      <protection locked="0" hidden="0"/>
    </xf>
    <xf numFmtId="0" fontId="87" fillId="20" borderId="8" applyAlignment="1" applyProtection="1" pivotButton="0" quotePrefix="0" xfId="529">
      <alignment horizontal="center" vertical="center"/>
      <protection locked="0" hidden="0"/>
    </xf>
    <xf numFmtId="0" fontId="88" fillId="20" borderId="4" applyAlignment="1" applyProtection="1" pivotButton="0" quotePrefix="0" xfId="529">
      <alignment horizontal="center" vertical="center"/>
      <protection locked="0" hidden="0"/>
    </xf>
    <xf numFmtId="0" fontId="88" fillId="20" borderId="29" applyAlignment="1" applyProtection="1" pivotButton="0" quotePrefix="0" xfId="529">
      <alignment horizontal="center" vertical="center" wrapText="1"/>
      <protection locked="0" hidden="0"/>
    </xf>
    <xf numFmtId="0" fontId="88" fillId="20" borderId="29" applyAlignment="1" applyProtection="1" pivotButton="0" quotePrefix="0" xfId="529">
      <alignment horizontal="center" vertical="center"/>
      <protection locked="0" hidden="0"/>
    </xf>
    <xf numFmtId="0" fontId="88" fillId="20" borderId="29" applyAlignment="1" applyProtection="1" pivotButton="0" quotePrefix="0" xfId="529">
      <alignment vertical="center" wrapText="1"/>
      <protection locked="0" hidden="0"/>
    </xf>
    <xf numFmtId="0" fontId="88" fillId="20" borderId="10" applyAlignment="1" applyProtection="1" pivotButton="0" quotePrefix="0" xfId="529">
      <alignment horizontal="center" vertical="center" wrapText="1"/>
      <protection locked="0" hidden="0"/>
    </xf>
    <xf numFmtId="0" fontId="88" fillId="20" borderId="22" applyAlignment="1" applyProtection="1" pivotButton="0" quotePrefix="0" xfId="529">
      <alignment horizontal="center" vertical="center"/>
      <protection locked="0" hidden="0"/>
    </xf>
    <xf numFmtId="0" fontId="88" fillId="20" borderId="22" applyAlignment="1" applyProtection="1" pivotButton="0" quotePrefix="0" xfId="529">
      <alignment horizontal="center" vertical="center" wrapText="1"/>
      <protection locked="0" hidden="0"/>
    </xf>
    <xf numFmtId="0" fontId="88" fillId="20" borderId="8" applyAlignment="1" applyProtection="1" pivotButton="0" quotePrefix="0" xfId="529">
      <alignment horizontal="center" vertical="center"/>
      <protection locked="0" hidden="0"/>
    </xf>
    <xf numFmtId="0" fontId="88" fillId="20" borderId="4" applyAlignment="1" applyProtection="1" pivotButton="0" quotePrefix="0" xfId="529">
      <alignment vertical="center"/>
      <protection locked="0" hidden="0"/>
    </xf>
    <xf numFmtId="0" fontId="88" fillId="20" borderId="4" applyAlignment="1" applyProtection="1" pivotButton="0" quotePrefix="0" xfId="529">
      <alignment horizontal="center" vertical="center" wrapText="1"/>
      <protection locked="0" hidden="0"/>
    </xf>
    <xf numFmtId="0" fontId="93" fillId="5" borderId="0" applyAlignment="1" pivotButton="0" quotePrefix="0" xfId="455">
      <alignment horizontal="center" vertical="center"/>
    </xf>
    <xf numFmtId="164" fontId="94" fillId="5" borderId="0" applyAlignment="1" pivotButton="0" quotePrefix="0" xfId="455">
      <alignment horizontal="center" vertical="center"/>
    </xf>
    <xf numFmtId="165" fontId="94" fillId="5" borderId="0" applyAlignment="1" pivotButton="0" quotePrefix="0" xfId="454">
      <alignment horizontal="center" vertical="center"/>
    </xf>
    <xf numFmtId="9" fontId="93" fillId="5" borderId="0" applyAlignment="1" pivotButton="0" quotePrefix="0" xfId="455">
      <alignment horizontal="center" vertical="center"/>
    </xf>
    <xf numFmtId="0" fontId="92" fillId="0" borderId="0" applyAlignment="1" pivotButton="0" quotePrefix="0" xfId="455">
      <alignment vertical="center"/>
    </xf>
    <xf numFmtId="0" fontId="92" fillId="0" borderId="0" applyAlignment="1" pivotButton="0" quotePrefix="0" xfId="0">
      <alignment vertical="center"/>
    </xf>
    <xf numFmtId="0" fontId="91" fillId="0" borderId="0" applyAlignment="1" pivotButton="0" quotePrefix="0" xfId="0">
      <alignment vertical="center"/>
    </xf>
    <xf numFmtId="0" fontId="100" fillId="0" borderId="0" applyAlignment="1" pivotButton="0" quotePrefix="0" xfId="0">
      <alignment vertical="center"/>
    </xf>
    <xf numFmtId="0" fontId="92" fillId="0" borderId="0" applyAlignment="1" pivotButton="0" quotePrefix="0" xfId="0">
      <alignment horizontal="center" vertical="center"/>
    </xf>
    <xf numFmtId="0" fontId="92" fillId="0" borderId="26" applyAlignment="1" pivotButton="0" quotePrefix="0" xfId="0">
      <alignment horizontal="center" vertical="center"/>
    </xf>
    <xf numFmtId="0" fontId="92" fillId="0" borderId="4" applyAlignment="1" pivotButton="0" quotePrefix="0" xfId="0">
      <alignment horizontal="center" vertical="center"/>
    </xf>
    <xf numFmtId="0" fontId="92" fillId="0" borderId="4" applyAlignment="1" pivotButton="0" quotePrefix="0" xfId="0">
      <alignment vertical="center" wrapText="1"/>
    </xf>
    <xf numFmtId="0" fontId="92" fillId="0" borderId="4" applyAlignment="1" pivotButton="0" quotePrefix="0" xfId="0">
      <alignment horizontal="center" vertical="center"/>
    </xf>
    <xf numFmtId="14" fontId="92" fillId="0" borderId="4" applyAlignment="1" pivotButton="0" quotePrefix="0" xfId="0">
      <alignment horizontal="center" vertical="center"/>
    </xf>
    <xf numFmtId="0" fontId="92" fillId="0" borderId="27" applyAlignment="1" pivotButton="0" quotePrefix="0" xfId="0">
      <alignment horizontal="center" vertical="center"/>
    </xf>
    <xf numFmtId="0" fontId="92" fillId="0" borderId="4" applyAlignment="1" pivotButton="0" quotePrefix="0" xfId="0">
      <alignment horizontal="left" vertical="center" wrapText="1"/>
    </xf>
    <xf numFmtId="0" fontId="93" fillId="0" borderId="0" applyAlignment="1" pivotButton="0" quotePrefix="0" xfId="455">
      <alignment vertical="center"/>
    </xf>
    <xf numFmtId="164" fontId="92" fillId="0" borderId="0" applyAlignment="1" pivotButton="0" quotePrefix="0" xfId="455">
      <alignment vertical="center"/>
    </xf>
    <xf numFmtId="0" fontId="92" fillId="5" borderId="0" applyAlignment="1" pivotButton="0" quotePrefix="0" xfId="455">
      <alignment horizontal="center" vertical="center"/>
    </xf>
    <xf numFmtId="0" fontId="8" fillId="0" borderId="4" applyAlignment="1" pivotButton="0" quotePrefix="0" xfId="530">
      <alignment horizontal="center" vertical="center" wrapText="1"/>
    </xf>
    <xf numFmtId="0" fontId="8" fillId="0" borderId="4" applyAlignment="1" pivotButton="0" quotePrefix="0" xfId="530">
      <alignment horizontal="left" vertical="center" wrapText="1"/>
    </xf>
    <xf numFmtId="0" fontId="8" fillId="0" borderId="4" applyAlignment="1" pivotButton="0" quotePrefix="0" xfId="530">
      <alignment vertical="center"/>
    </xf>
    <xf numFmtId="0" fontId="107" fillId="0" borderId="4" applyAlignment="1" pivotButton="0" quotePrefix="0" xfId="530">
      <alignment horizontal="center" vertical="center" wrapText="1"/>
    </xf>
    <xf numFmtId="0" fontId="107" fillId="0" borderId="4" applyAlignment="1" pivotButton="0" quotePrefix="0" xfId="530">
      <alignment horizontal="left" vertical="center" wrapText="1"/>
    </xf>
    <xf numFmtId="0" fontId="107" fillId="0" borderId="4" applyAlignment="1" pivotButton="0" quotePrefix="0" xfId="530">
      <alignment vertical="center"/>
    </xf>
    <xf numFmtId="0" fontId="107" fillId="5" borderId="4" applyAlignment="1" pivotButton="0" quotePrefix="0" xfId="530">
      <alignment vertical="center"/>
    </xf>
    <xf numFmtId="0" fontId="8" fillId="5" borderId="4" applyAlignment="1" pivotButton="0" quotePrefix="0" xfId="530">
      <alignment vertical="center"/>
    </xf>
    <xf numFmtId="0" fontId="109" fillId="34" borderId="30" applyAlignment="1" pivotButton="0" quotePrefix="0" xfId="0">
      <alignment vertical="center"/>
    </xf>
    <xf numFmtId="0" fontId="109" fillId="34" borderId="0" applyAlignment="1" pivotButton="0" quotePrefix="0" xfId="0">
      <alignment vertical="center" wrapText="1"/>
    </xf>
    <xf numFmtId="0" fontId="93" fillId="34" borderId="4" applyAlignment="1" pivotButton="0" quotePrefix="0" xfId="455">
      <alignment horizontal="center" vertical="center" wrapText="1"/>
    </xf>
    <xf numFmtId="0" fontId="92" fillId="34" borderId="4" applyAlignment="1" pivotButton="0" quotePrefix="0" xfId="455">
      <alignment horizontal="center" vertical="center"/>
    </xf>
    <xf numFmtId="9" fontId="102" fillId="0" borderId="4" applyAlignment="1" pivotButton="0" quotePrefix="0" xfId="454">
      <alignment horizontal="left" vertical="center"/>
    </xf>
    <xf numFmtId="0" fontId="102" fillId="0" borderId="4" applyAlignment="1" pivotButton="0" quotePrefix="0" xfId="455">
      <alignment horizontal="center" vertical="center"/>
    </xf>
    <xf numFmtId="0" fontId="105" fillId="36" borderId="4" applyAlignment="1" pivotButton="0" quotePrefix="0" xfId="530">
      <alignment horizontal="center" vertical="center"/>
    </xf>
    <xf numFmtId="0" fontId="106" fillId="36" borderId="4" applyAlignment="1" pivotButton="0" quotePrefix="0" xfId="530">
      <alignment horizontal="center" vertical="center"/>
    </xf>
    <xf numFmtId="164" fontId="96" fillId="34" borderId="4" applyAlignment="1" pivotButton="0" quotePrefix="0" xfId="455">
      <alignment horizontal="center" vertical="center" wrapText="1"/>
    </xf>
    <xf numFmtId="0" fontId="101" fillId="34" borderId="23" applyAlignment="1" pivotButton="0" quotePrefix="0" xfId="457">
      <alignment horizontal="center" vertical="center" wrapText="1"/>
    </xf>
    <xf numFmtId="0" fontId="101" fillId="34" borderId="24" applyAlignment="1" pivotButton="0" quotePrefix="0" xfId="457">
      <alignment horizontal="center" vertical="center" wrapText="1"/>
    </xf>
    <xf numFmtId="14" fontId="101" fillId="34" borderId="24" applyAlignment="1" pivotButton="0" quotePrefix="0" xfId="457">
      <alignment horizontal="center" vertical="center" wrapText="1"/>
    </xf>
    <xf numFmtId="14" fontId="101" fillId="34" borderId="25" applyAlignment="1" pivotButton="0" quotePrefix="0" xfId="457">
      <alignment horizontal="center" vertical="center" wrapText="1"/>
    </xf>
    <xf numFmtId="14" fontId="92" fillId="0" borderId="27" applyAlignment="1" pivotButton="0" quotePrefix="0" xfId="0">
      <alignment horizontal="center" vertical="center"/>
    </xf>
    <xf numFmtId="0" fontId="110" fillId="0" borderId="4" applyAlignment="1" pivotButton="0" quotePrefix="0" xfId="0">
      <alignment horizontal="left" vertical="center" wrapText="1" readingOrder="1"/>
    </xf>
    <xf numFmtId="9" fontId="102" fillId="35" borderId="8" applyAlignment="1" pivotButton="0" quotePrefix="0" xfId="454">
      <alignment horizontal="center" vertical="center"/>
    </xf>
    <xf numFmtId="0" fontId="108" fillId="0" borderId="0" applyAlignment="1" pivotButton="0" quotePrefix="0" xfId="0">
      <alignment horizontal="left" vertical="center" wrapText="1"/>
    </xf>
    <xf numFmtId="0" fontId="77" fillId="0" borderId="4" applyAlignment="1" pivotButton="0" quotePrefix="0" xfId="0">
      <alignment vertical="center" wrapText="1"/>
    </xf>
    <xf numFmtId="0" fontId="98" fillId="0" borderId="4" applyAlignment="1" pivotButton="0" quotePrefix="1" xfId="0">
      <alignment vertical="center" wrapText="1"/>
    </xf>
    <xf numFmtId="0" fontId="98" fillId="0" borderId="4" applyAlignment="1" pivotButton="0" quotePrefix="0" xfId="0">
      <alignment vertical="center" wrapText="1"/>
    </xf>
    <xf numFmtId="0" fontId="77" fillId="29" borderId="4" applyAlignment="1" pivotButton="0" quotePrefix="0" xfId="0">
      <alignment vertical="center" wrapText="1"/>
    </xf>
    <xf numFmtId="0" fontId="77" fillId="32" borderId="4" applyAlignment="1" pivotButton="0" quotePrefix="0" xfId="0">
      <alignment vertical="center" wrapText="1"/>
    </xf>
    <xf numFmtId="0" fontId="92" fillId="0" borderId="0" applyAlignment="1" pivotButton="0" quotePrefix="0" xfId="0">
      <alignment vertical="center" wrapText="1"/>
    </xf>
    <xf numFmtId="0" fontId="10" fillId="36" borderId="11" applyAlignment="1" pivotButton="0" quotePrefix="0" xfId="0">
      <alignment vertical="center" wrapText="1"/>
    </xf>
    <xf numFmtId="0" fontId="77" fillId="36" borderId="24" applyAlignment="1" pivotButton="0" quotePrefix="0" xfId="0">
      <alignment horizontal="center" vertical="center" wrapText="1"/>
    </xf>
    <xf numFmtId="0" fontId="111" fillId="33" borderId="4" applyAlignment="1" pivotButton="0" quotePrefix="0" xfId="0">
      <alignment vertical="center" wrapText="1"/>
    </xf>
    <xf numFmtId="0" fontId="97" fillId="0" borderId="4" applyAlignment="1" pivotButton="0" quotePrefix="0" xfId="0">
      <alignment vertical="center" wrapText="1"/>
    </xf>
    <xf numFmtId="0" fontId="77" fillId="36" borderId="11" applyAlignment="1" pivotButton="0" quotePrefix="0" xfId="0">
      <alignment vertical="center" wrapText="1"/>
    </xf>
    <xf numFmtId="0" fontId="98" fillId="0" borderId="24" applyAlignment="1" pivotButton="0" quotePrefix="1" xfId="0">
      <alignment vertical="center" wrapText="1"/>
    </xf>
    <xf numFmtId="43" fontId="77" fillId="0" borderId="24" applyAlignment="1" pivotButton="0" quotePrefix="0" xfId="528">
      <alignment vertical="center" wrapText="1"/>
    </xf>
    <xf numFmtId="0" fontId="77" fillId="0" borderId="24" applyAlignment="1" pivotButton="0" quotePrefix="0" xfId="0">
      <alignment vertical="center" wrapText="1"/>
    </xf>
    <xf numFmtId="0" fontId="92" fillId="0" borderId="25" applyAlignment="1" pivotButton="0" quotePrefix="0" xfId="0">
      <alignment vertical="center"/>
    </xf>
    <xf numFmtId="0" fontId="92" fillId="0" borderId="27" applyAlignment="1" pivotButton="0" quotePrefix="0" xfId="0">
      <alignment vertical="center"/>
    </xf>
    <xf numFmtId="0" fontId="98" fillId="0" borderId="32" applyAlignment="1" pivotButton="0" quotePrefix="1" xfId="0">
      <alignment vertical="center" wrapText="1"/>
    </xf>
    <xf numFmtId="0" fontId="77" fillId="0" borderId="32" applyAlignment="1" pivotButton="0" quotePrefix="0" xfId="0">
      <alignment vertical="center" wrapText="1"/>
    </xf>
    <xf numFmtId="0" fontId="92" fillId="0" borderId="33" applyAlignment="1" pivotButton="0" quotePrefix="0" xfId="0">
      <alignment vertical="center"/>
    </xf>
    <xf numFmtId="0" fontId="77" fillId="36" borderId="23" applyAlignment="1" pivotButton="0" quotePrefix="0" xfId="0">
      <alignment horizontal="center" vertical="center"/>
    </xf>
    <xf numFmtId="0" fontId="10" fillId="36" borderId="25" applyAlignment="1" pivotButton="0" quotePrefix="0" xfId="0">
      <alignment horizontal="center" vertical="center"/>
    </xf>
    <xf numFmtId="0" fontId="98" fillId="0" borderId="32" applyAlignment="1" pivotButton="0" quotePrefix="0" xfId="0">
      <alignment vertical="center" wrapText="1"/>
    </xf>
    <xf numFmtId="0" fontId="113" fillId="29" borderId="27" applyAlignment="1" pivotButton="0" quotePrefix="0" xfId="0">
      <alignment vertical="center" wrapText="1"/>
    </xf>
    <xf numFmtId="0" fontId="92" fillId="29" borderId="27" applyAlignment="1" pivotButton="0" quotePrefix="0" xfId="0">
      <alignment vertical="center" wrapText="1"/>
    </xf>
    <xf numFmtId="0" fontId="99" fillId="30" borderId="32" applyAlignment="1" pivotButton="0" quotePrefix="0" xfId="0">
      <alignment vertical="top" wrapText="1"/>
    </xf>
    <xf numFmtId="0" fontId="0" fillId="34" borderId="0" pivotButton="0" quotePrefix="0" xfId="0"/>
    <xf numFmtId="0" fontId="92" fillId="34" borderId="0" applyAlignment="1" pivotButton="0" quotePrefix="0" xfId="455">
      <alignment vertical="center"/>
    </xf>
    <xf numFmtId="0" fontId="84" fillId="32" borderId="8" applyAlignment="1" pivotButton="0" quotePrefix="0" xfId="0">
      <alignment horizontal="center" vertical="center" wrapText="1"/>
    </xf>
    <xf numFmtId="0" fontId="84" fillId="32" borderId="3" applyAlignment="1" pivotButton="0" quotePrefix="0" xfId="0">
      <alignment horizontal="center" vertical="center" wrapText="1"/>
    </xf>
    <xf numFmtId="0" fontId="84" fillId="32" borderId="9" applyAlignment="1" pivotButton="0" quotePrefix="0" xfId="0">
      <alignment horizontal="center" vertical="center" wrapText="1"/>
    </xf>
    <xf numFmtId="0" fontId="112" fillId="0" borderId="4" applyAlignment="1" pivotButton="0" quotePrefix="0" xfId="0">
      <alignment horizontal="center" vertical="center" wrapText="1"/>
    </xf>
    <xf numFmtId="0" fontId="103" fillId="34" borderId="8" applyAlignment="1" pivotButton="0" quotePrefix="0" xfId="455">
      <alignment horizontal="center" vertical="center"/>
    </xf>
    <xf numFmtId="0" fontId="103" fillId="34" borderId="3" applyAlignment="1" pivotButton="0" quotePrefix="0" xfId="455">
      <alignment horizontal="center" vertical="center"/>
    </xf>
    <xf numFmtId="0" fontId="103" fillId="34" borderId="9" applyAlignment="1" pivotButton="0" quotePrefix="0" xfId="455">
      <alignment horizontal="center" vertical="center"/>
    </xf>
    <xf numFmtId="0" fontId="102" fillId="0" borderId="8" applyAlignment="1" pivotButton="0" quotePrefix="0" xfId="456">
      <alignment horizontal="left" vertical="center" wrapText="1"/>
    </xf>
    <xf numFmtId="0" fontId="102" fillId="0" borderId="3" applyAlignment="1" pivotButton="0" quotePrefix="0" xfId="456">
      <alignment horizontal="left" vertical="center" wrapText="1"/>
    </xf>
    <xf numFmtId="0" fontId="102" fillId="0" borderId="9" applyAlignment="1" pivotButton="0" quotePrefix="0" xfId="456">
      <alignment horizontal="left" vertical="center" wrapText="1"/>
    </xf>
    <xf numFmtId="0" fontId="93" fillId="34" borderId="4" applyAlignment="1" pivotButton="0" quotePrefix="0" xfId="455">
      <alignment horizontal="center" vertical="center" wrapText="1"/>
    </xf>
    <xf numFmtId="166" fontId="93" fillId="0" borderId="4" applyAlignment="1" pivotButton="0" quotePrefix="0" xfId="455">
      <alignment horizontal="center" vertical="center" wrapText="1"/>
    </xf>
    <xf numFmtId="0" fontId="93" fillId="34" borderId="4" applyAlignment="1" pivotButton="0" quotePrefix="0" xfId="455">
      <alignment horizontal="center" vertical="center"/>
    </xf>
    <xf numFmtId="0" fontId="102" fillId="0" borderId="8" applyAlignment="1" pivotButton="0" quotePrefix="0" xfId="455">
      <alignment horizontal="left" vertical="center"/>
    </xf>
    <xf numFmtId="0" fontId="102" fillId="0" borderId="9" applyAlignment="1" pivotButton="0" quotePrefix="0" xfId="455">
      <alignment horizontal="left" vertical="center"/>
    </xf>
    <xf numFmtId="0" fontId="92" fillId="34" borderId="8" applyAlignment="1" pivotButton="0" quotePrefix="0" xfId="455">
      <alignment horizontal="center" vertical="center"/>
    </xf>
    <xf numFmtId="0" fontId="92" fillId="34" borderId="3" applyAlignment="1" pivotButton="0" quotePrefix="0" xfId="455">
      <alignment horizontal="center" vertical="center"/>
    </xf>
    <xf numFmtId="0" fontId="92" fillId="34" borderId="9" applyAlignment="1" pivotButton="0" quotePrefix="0" xfId="455">
      <alignment horizontal="center" vertical="center"/>
    </xf>
    <xf numFmtId="0" fontId="106" fillId="0" borderId="4" applyAlignment="1" pivotButton="0" quotePrefix="0" xfId="530">
      <alignment vertical="center" wrapText="1"/>
    </xf>
    <xf numFmtId="0" fontId="93" fillId="0" borderId="4" applyAlignment="1" pivotButton="0" quotePrefix="0" xfId="455">
      <alignment horizontal="center" vertical="center"/>
    </xf>
    <xf numFmtId="164" fontId="94" fillId="34" borderId="4" applyAlignment="1" pivotButton="0" quotePrefix="0" xfId="455">
      <alignment horizontal="center" vertical="center" wrapText="1"/>
    </xf>
    <xf numFmtId="0" fontId="93" fillId="34" borderId="8" applyAlignment="1" pivotButton="0" quotePrefix="0" xfId="455">
      <alignment horizontal="center" vertical="center"/>
    </xf>
    <xf numFmtId="0" fontId="93" fillId="34" borderId="9" applyAlignment="1" pivotButton="0" quotePrefix="0" xfId="455">
      <alignment horizontal="center" vertical="center"/>
    </xf>
    <xf numFmtId="0" fontId="93" fillId="34" borderId="8" applyAlignment="1" pivotButton="0" quotePrefix="0" xfId="455">
      <alignment horizontal="center" vertical="center" wrapText="1"/>
    </xf>
    <xf numFmtId="0" fontId="93" fillId="34" borderId="3" applyAlignment="1" pivotButton="0" quotePrefix="0" xfId="455">
      <alignment horizontal="center" vertical="center" wrapText="1"/>
    </xf>
    <xf numFmtId="0" fontId="93" fillId="34" borderId="9" applyAlignment="1" pivotButton="0" quotePrefix="0" xfId="455">
      <alignment horizontal="center" vertical="center" wrapText="1"/>
    </xf>
    <xf numFmtId="9" fontId="93" fillId="35" borderId="8" applyAlignment="1" pivotButton="0" quotePrefix="0" xfId="455">
      <alignment horizontal="center" vertical="center" wrapText="1"/>
    </xf>
    <xf numFmtId="9" fontId="93" fillId="35" borderId="3" applyAlignment="1" pivotButton="0" quotePrefix="0" xfId="455">
      <alignment horizontal="center" vertical="center" wrapText="1"/>
    </xf>
    <xf numFmtId="9" fontId="93" fillId="35" borderId="9" applyAlignment="1" pivotButton="0" quotePrefix="0" xfId="455">
      <alignment horizontal="center" vertical="center" wrapText="1"/>
    </xf>
    <xf numFmtId="14" fontId="93" fillId="0" borderId="4" applyAlignment="1" pivotButton="0" quotePrefix="0" xfId="455">
      <alignment horizontal="center" vertical="center"/>
    </xf>
    <xf numFmtId="166" fontId="93" fillId="0" borderId="4" applyAlignment="1" pivotButton="0" quotePrefix="0" xfId="455">
      <alignment horizontal="center" vertical="center"/>
    </xf>
    <xf numFmtId="0" fontId="106" fillId="36" borderId="4" applyAlignment="1" pivotButton="0" quotePrefix="0" xfId="530">
      <alignment horizontal="center" vertical="center"/>
    </xf>
    <xf numFmtId="0" fontId="112" fillId="0" borderId="4" applyAlignment="1" pivotButton="0" quotePrefix="0" xfId="0">
      <alignment vertical="center" wrapText="1"/>
    </xf>
    <xf numFmtId="0" fontId="102" fillId="34" borderId="8" applyAlignment="1" pivotButton="0" quotePrefix="0" xfId="455">
      <alignment horizontal="center" vertical="center"/>
    </xf>
    <xf numFmtId="0" fontId="102" fillId="34" borderId="9" applyAlignment="1" pivotButton="0" quotePrefix="0" xfId="455">
      <alignment horizontal="center" vertical="center"/>
    </xf>
    <xf numFmtId="0" fontId="77" fillId="0" borderId="34" applyAlignment="1" pivotButton="0" quotePrefix="0" xfId="0">
      <alignment horizontal="center" vertical="top" wrapText="1"/>
    </xf>
    <xf numFmtId="0" fontId="77" fillId="0" borderId="35" applyAlignment="1" pivotButton="0" quotePrefix="0" xfId="0">
      <alignment horizontal="center" vertical="top" wrapText="1"/>
    </xf>
    <xf numFmtId="0" fontId="77" fillId="0" borderId="36" applyAlignment="1" pivotButton="0" quotePrefix="0" xfId="0">
      <alignment horizontal="center" vertical="top" wrapText="1"/>
    </xf>
    <xf numFmtId="0" fontId="98" fillId="0" borderId="26" applyAlignment="1" pivotButton="0" quotePrefix="0" xfId="0">
      <alignment horizontal="center" vertical="center" wrapText="1"/>
    </xf>
    <xf numFmtId="0" fontId="98" fillId="0" borderId="31" applyAlignment="1" pivotButton="0" quotePrefix="0" xfId="0">
      <alignment horizontal="center" vertical="center" wrapText="1"/>
    </xf>
    <xf numFmtId="0" fontId="77" fillId="32" borderId="23" applyAlignment="1" pivotButton="0" quotePrefix="0" xfId="0">
      <alignment horizontal="center" vertical="center" wrapText="1"/>
    </xf>
    <xf numFmtId="0" fontId="77" fillId="32" borderId="26" applyAlignment="1" pivotButton="0" quotePrefix="0" xfId="0">
      <alignment horizontal="center" vertical="center" wrapText="1"/>
    </xf>
    <xf numFmtId="0" fontId="77" fillId="32" borderId="31" applyAlignment="1" pivotButton="0" quotePrefix="0" xfId="0">
      <alignment horizontal="center" vertical="center" wrapText="1"/>
    </xf>
    <xf numFmtId="0" fontId="77" fillId="32" borderId="23" applyAlignment="1" pivotButton="0" quotePrefix="0" xfId="0">
      <alignment horizontal="center" vertical="center"/>
    </xf>
    <xf numFmtId="0" fontId="77" fillId="32" borderId="26" applyAlignment="1" pivotButton="0" quotePrefix="0" xfId="0">
      <alignment horizontal="center" vertical="center"/>
    </xf>
    <xf numFmtId="0" fontId="77" fillId="32" borderId="31" applyAlignment="1" pivotButton="0" quotePrefix="0" xfId="0">
      <alignment horizontal="center" vertical="center"/>
    </xf>
    <xf numFmtId="0" fontId="77" fillId="0" borderId="23" applyAlignment="1" pivotButton="0" quotePrefix="0" xfId="0">
      <alignment horizontal="center" vertical="center" wrapText="1"/>
    </xf>
    <xf numFmtId="0" fontId="77" fillId="0" borderId="26" applyAlignment="1" pivotButton="0" quotePrefix="0" xfId="0">
      <alignment horizontal="center" vertical="center" wrapText="1"/>
    </xf>
    <xf numFmtId="0" fontId="77" fillId="0" borderId="31" applyAlignment="1" pivotButton="0" quotePrefix="0" xfId="0">
      <alignment horizontal="center" vertical="center" wrapText="1"/>
    </xf>
    <xf numFmtId="0" fontId="77" fillId="0" borderId="23" applyAlignment="1" pivotButton="0" quotePrefix="0" xfId="0">
      <alignment horizontal="center" vertical="top" wrapText="1"/>
    </xf>
    <xf numFmtId="0" fontId="77" fillId="0" borderId="26" applyAlignment="1" pivotButton="0" quotePrefix="0" xfId="0">
      <alignment horizontal="center" vertical="top" wrapText="1"/>
    </xf>
    <xf numFmtId="0" fontId="77" fillId="0" borderId="31" applyAlignment="1" pivotButton="0" quotePrefix="0" xfId="0">
      <alignment horizontal="center" vertical="top" wrapText="1"/>
    </xf>
    <xf numFmtId="0" fontId="84" fillId="3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164" fontId="92" fillId="0" borderId="0" applyAlignment="1" pivotButton="0" quotePrefix="0" xfId="455">
      <alignment vertical="center"/>
    </xf>
    <xf numFmtId="166" fontId="93" fillId="0" borderId="4" applyAlignment="1" pivotButton="0" quotePrefix="0" xfId="455">
      <alignment horizontal="center" vertical="center" wrapText="1"/>
    </xf>
    <xf numFmtId="9" fontId="93" fillId="35" borderId="4" applyAlignment="1" pivotButton="0" quotePrefix="0" xfId="455">
      <alignment horizontal="center" vertical="center" wrapText="1"/>
    </xf>
    <xf numFmtId="164" fontId="94" fillId="34" borderId="4" applyAlignment="1" pivotButton="0" quotePrefix="0" xfId="455">
      <alignment horizontal="center" vertical="center" wrapText="1"/>
    </xf>
    <xf numFmtId="164" fontId="96" fillId="34" borderId="4" applyAlignment="1" pivotButton="0" quotePrefix="0" xfId="455">
      <alignment horizontal="center" vertical="center" wrapText="1"/>
    </xf>
    <xf numFmtId="0" fontId="102" fillId="0" borderId="4" applyAlignment="1" pivotButton="0" quotePrefix="0" xfId="456">
      <alignment horizontal="left" vertical="center" wrapText="1"/>
    </xf>
    <xf numFmtId="0" fontId="102" fillId="0" borderId="4" applyAlignment="1" pivotButton="0" quotePrefix="0" xfId="455">
      <alignment horizontal="left" vertical="center"/>
    </xf>
    <xf numFmtId="0" fontId="103" fillId="34" borderId="4" applyAlignment="1" pivotButton="0" quotePrefix="0" xfId="455">
      <alignment horizontal="center" vertical="center"/>
    </xf>
    <xf numFmtId="0" fontId="102" fillId="34" borderId="4" applyAlignment="1" pivotButton="0" quotePrefix="0" xfId="455">
      <alignment horizontal="center" vertical="center"/>
    </xf>
    <xf numFmtId="164" fontId="94" fillId="5" borderId="0" applyAlignment="1" pivotButton="0" quotePrefix="0" xfId="455">
      <alignment horizontal="center" vertical="center"/>
    </xf>
    <xf numFmtId="165" fontId="94" fillId="5" borderId="0" applyAlignment="1" pivotButton="0" quotePrefix="0" xfId="454">
      <alignment horizontal="center" vertical="center"/>
    </xf>
    <xf numFmtId="0" fontId="0" fillId="0" borderId="38" pivotButton="0" quotePrefix="0" xfId="0"/>
    <xf numFmtId="0" fontId="0" fillId="0" borderId="22" pivotButton="0" quotePrefix="0" xfId="0"/>
    <xf numFmtId="0" fontId="0" fillId="0" borderId="41" pivotButton="0" quotePrefix="0" xfId="0"/>
    <xf numFmtId="0" fontId="0" fillId="0" borderId="37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44" pivotButton="0" quotePrefix="0" xfId="0"/>
    <xf numFmtId="0" fontId="77" fillId="0" borderId="42" applyAlignment="1" pivotButton="0" quotePrefix="0" xfId="0">
      <alignment horizontal="center" vertical="top" wrapText="1"/>
    </xf>
    <xf numFmtId="0" fontId="0" fillId="0" borderId="36" pivotButton="0" quotePrefix="0" xfId="0"/>
  </cellXfs>
  <cellStyles count="531">
    <cellStyle name="Normal" xfId="0" builtinId="0"/>
    <cellStyle name="_x0006__x0012_" xfId="1"/>
    <cellStyle name="?" xfId="2"/>
    <cellStyle name="??&amp;O?&amp;H?_x0008__x000f__x0007_?_x0007__x0001__x0001_" xfId="3"/>
    <cellStyle name="??&amp;O?&amp;H?_x0008_??_x0007__x0001__x0001_" xfId="4"/>
    <cellStyle name="_x001d_@" xfId="5"/>
    <cellStyle name="_'02년평가시트" xfId="6"/>
    <cellStyle name="_Full HD 50인치Main_BOM_PV2차070310" xfId="7"/>
    <cellStyle name="_LCD PSU 신규부번 List Up" xfId="8"/>
    <cellStyle name="_Trans List_P 2K8 42 FHD_11.25" xfId="9"/>
    <cellStyle name="_양우공정심사_080728 (2)" xfId="10"/>
    <cellStyle name="0,0_x000d__x000a_NA_x000d__x000a_" xfId="11"/>
    <cellStyle name="19990216" xfId="12"/>
    <cellStyle name="Actual Date" xfId="13"/>
    <cellStyle name="AeE­ [0]_°u¸RC×¸n_¾÷A¾º° " xfId="14"/>
    <cellStyle name="AeE­_°u¸RC×¸n_¾÷A¾º° " xfId="15"/>
    <cellStyle name="args.style" xfId="16"/>
    <cellStyle name="AÞ¸¶ [0]_°u¸RC×¸n_¾÷A¾º° " xfId="17"/>
    <cellStyle name="AÞ¸¶_°u¸RC×¸n_¾÷A¾º° " xfId="18"/>
    <cellStyle name="C￥AØ_≫c¾÷ºIº° AN°e " xfId="19"/>
    <cellStyle name="Calc Currency (0)" xfId="20"/>
    <cellStyle name="Calc Percent (0)" xfId="21"/>
    <cellStyle name="Calc Percent (1)" xfId="22"/>
    <cellStyle name="category" xfId="23"/>
    <cellStyle name="Currency1" xfId="24"/>
    <cellStyle name="Grey" xfId="25"/>
    <cellStyle name="HEADER" xfId="26"/>
    <cellStyle name="Header1" xfId="27"/>
    <cellStyle name="Header2" xfId="28"/>
    <cellStyle name="Input [yellow]" xfId="29"/>
    <cellStyle name="Model" xfId="30"/>
    <cellStyle name="Normal - Style1" xfId="31"/>
    <cellStyle name="Normal 2" xfId="32"/>
    <cellStyle name="Percent [2]" xfId="33"/>
    <cellStyle name="Standard_Auditbericht" xfId="34"/>
    <cellStyle name="subhead" xfId="35"/>
    <cellStyle name="W臧rung [0]_Abweichungsplan" xfId="36"/>
    <cellStyle name="W臧rung_Abweichungsplan" xfId="37"/>
    <cellStyle name="똿뗦먛귟 [0.00]_PRODUCT DETAIL Q1" xfId="38"/>
    <cellStyle name="똿뗦먛귟_PRODUCT DETAIL Q1" xfId="39"/>
    <cellStyle name="믅됞 [0.00]_PRODUCT DETAIL Q1" xfId="40"/>
    <cellStyle name="믅됞_PRODUCT DETAIL Q1" xfId="41"/>
    <cellStyle name="未定義" xfId="42"/>
    <cellStyle name="백분율 2" xfId="43"/>
    <cellStyle name="常规_ QPA Check Sheet 中文" xfId="44"/>
    <cellStyle name="새귑[0]_롤痰삠悧 " xfId="45"/>
    <cellStyle name="새귑_롤痰삠悧 " xfId="46"/>
    <cellStyle name="스타일 1" xfId="47"/>
    <cellStyle name="一般_QSA2000_draft_03_BH" xfId="48"/>
    <cellStyle name="通貨 [0.00]_AMF Titanium Commodity Graphs" xfId="49"/>
    <cellStyle name="通貨_AMF Titanium Commodity Graphs" xfId="50"/>
    <cellStyle name="표준 2" xfId="51"/>
    <cellStyle name="표준 2 2" xfId="52"/>
    <cellStyle name="표준 2 3" xfId="53"/>
    <cellStyle name="표준 2 4" xfId="54"/>
    <cellStyle name="표준 2_(Check List) Trans" xfId="55"/>
    <cellStyle name="표준 3" xfId="56"/>
    <cellStyle name="표준 3 2" xfId="57"/>
    <cellStyle name="표준 3 3" xfId="58"/>
    <cellStyle name="표준 3 4" xfId="59"/>
    <cellStyle name="표준 4" xfId="60"/>
    <cellStyle name="표준 5" xfId="61"/>
    <cellStyle name="標準_9023PAT-3.xls グラフ 61" xfId="62"/>
    <cellStyle name="표준⽴laroux_laroux_2" xfId="63"/>
    <cellStyle name="하이퍼링크 2" xfId="64"/>
    <cellStyle name="桁区切り [0.00]_AMF Titanium Commodity Graphs" xfId="65"/>
    <cellStyle name="桁区切り_AMF Titanium Commodity Graphs" xfId="66"/>
    <cellStyle name="貨幣[0]_35" xfId="67"/>
    <cellStyle name="표준 7" xfId="68"/>
    <cellStyle name="          _x000d__x000a_mouse.drv=lmouse.drv" xfId="69"/>
    <cellStyle name="_x000d__x000a_mouse.drv=lmouse.drv" xfId="70"/>
    <cellStyle name="_ppap_gageR&amp;R" xfId="71"/>
    <cellStyle name="_개발부품확보계획1차1210" xfId="72"/>
    <cellStyle name="_개발부품확보계획2차1210" xfId="73"/>
    <cellStyle name="_검사협정서-검사기준서(갑지)_3224" xfId="74"/>
    <cellStyle name="_협력업체 공정감사 평가 시트(첨부5)" xfId="75"/>
    <cellStyle name="W?_BOOKSHIP_ºÎÇ°9710 (2)_ºÎÇ°9710 (2)_ºÎÇ°9711 " xfId="76"/>
    <cellStyle name="0,0_x000d__x000a_NA_x000d__x000a_ 2" xfId="77"/>
    <cellStyle name="0뾍R_x0005_?뾍b_x0005_" xfId="78"/>
    <cellStyle name="20% - 강조색1 2" xfId="79"/>
    <cellStyle name="20% - 강조색2 2" xfId="80"/>
    <cellStyle name="20% - 강조색3 2" xfId="81"/>
    <cellStyle name="20% - 강조색4 2" xfId="82"/>
    <cellStyle name="20% - 강조색5 2" xfId="83"/>
    <cellStyle name="20% - 강조색6 2" xfId="84"/>
    <cellStyle name="40% - 강조색1 2" xfId="85"/>
    <cellStyle name="40% - 강조색2 2" xfId="86"/>
    <cellStyle name="40% - 강조색3 2" xfId="87"/>
    <cellStyle name="40% - 강조색4 2" xfId="88"/>
    <cellStyle name="40% - 강조색5 2" xfId="89"/>
    <cellStyle name="40% - 강조색6 2" xfId="90"/>
    <cellStyle name="60% - 강조색1 2" xfId="91"/>
    <cellStyle name="60% - 강조색2 2" xfId="92"/>
    <cellStyle name="60% - 강조색3 2" xfId="93"/>
    <cellStyle name="60% - 강조색4 2" xfId="94"/>
    <cellStyle name="60% - 강조색5 2" xfId="95"/>
    <cellStyle name="60% - 강조색6 2" xfId="96"/>
    <cellStyle name="A¡§¡ⓒ¡E¡þ¡EO [0]_1-3¡E?u " xfId="97"/>
    <cellStyle name="A¡§¡ⓒ¡E¡þ¡EO_A¡ER￠R¨¡¨I¨￡￠R¨u¡E¡þ&amp; ¡§¡þI¡E¡Ie¡§u¨Iⓒª¡§¡þn " xfId="98"/>
    <cellStyle name="A¨­￠￢￠O [0]_¡Æ￠R¡Æⓒª¡ÆⓒªA￠´¨uⓒø¨￢n " xfId="99"/>
    <cellStyle name="A¨­￠￢￠O_¡Æ￠R¡Æⓒª¡ÆⓒªA￠´¨uⓒø¨￢n " xfId="100"/>
    <cellStyle name="AeE­ [0]_¡U¾EU￢ A¾COºn±³ " xfId="101"/>
    <cellStyle name="ÅëÈ­ [0]_¡Ú¾ÈÜ¬ Á¾ÇÕºñ±³ " xfId="102"/>
    <cellStyle name="ÅëÈ­ [0]_¿ä¾àµµ" xfId="103"/>
    <cellStyle name="ÅëÈ­ [0]_¼­½ÄÃ¼01_ÅõÀÔ°èÈ¹ " xfId="104"/>
    <cellStyle name="AeE­ [0]_¼­½AAI¶÷_AoAO°eE¹ " xfId="105"/>
    <cellStyle name="ÅëÈ­ [0]_¼­½ÄÀÏ¶÷_ÅõÀÔ°èÈ¹ " xfId="106"/>
    <cellStyle name="AeE­ [0]_1.ÆC¸A½CAu " xfId="107"/>
    <cellStyle name="ÅëÈ­ [0]_1.ÆÇ¸Å½ÇÀû " xfId="108"/>
    <cellStyle name="AeE­ [0]_1.SUMMARY " xfId="109"/>
    <cellStyle name="ÅëÈ­ [0]_1.SUMMARY " xfId="110"/>
    <cellStyle name="AeE­ [0]_2.CONCEPT " xfId="111"/>
    <cellStyle name="ÅëÈ­ [0]_2.CONCEPT " xfId="112"/>
    <cellStyle name="AeE­ [0]_3.MSCHEDULE¿μ¹R " xfId="113"/>
    <cellStyle name="ÅëÈ­ [0]_3PJTR°èÈ¹ " xfId="114"/>
    <cellStyle name="AeE­ [0]_4 " xfId="115"/>
    <cellStyle name="ÅëÈ­ [0]_4 " xfId="116"/>
    <cellStyle name="AeE­ [0]_6-3°æAi·A " xfId="117"/>
    <cellStyle name="ÅëÈ­ [0]_6-3°æÀï·Â " xfId="118"/>
    <cellStyle name="AeE­ [0]_7.MASTER SCHEDULE " xfId="119"/>
    <cellStyle name="ÅëÈ­ [0]_7.MASTER SCHEDULE " xfId="120"/>
    <cellStyle name="AeE­ [0]_AI¿ø°eE¹ " xfId="121"/>
    <cellStyle name="ÅëÈ­ [0]_ÀÎ¿ø°èÈ¹ " xfId="122"/>
    <cellStyle name="AeE­ [0]_AOA¾AIA¤ " xfId="123"/>
    <cellStyle name="ÅëÈ­ [0]_ÃÖÁ¾ÀÏÁ¤ " xfId="124"/>
    <cellStyle name="AeE­ [0]_INQUIRY ¿μ¾÷AßAø " xfId="125"/>
    <cellStyle name="ÅëÈ­ [0]_lx-taxi " xfId="126"/>
    <cellStyle name="AeE­ [0]_MKN-M1.1 " xfId="127"/>
    <cellStyle name="ÅëÈ­ [0]_MKN-M1.1 " xfId="128"/>
    <cellStyle name="AeE­ [0]_ºÐ·u±a01_AoAO°eE¹ " xfId="129"/>
    <cellStyle name="ÅëÈ­ [0]_ºÐ·ù±â01_ÅõÀÔ°èÈ¹ " xfId="130"/>
    <cellStyle name="AeE­ [0]_ºÐ·u±a02_AoAO°eE¹ " xfId="131"/>
    <cellStyle name="ÅëÈ­ [0]_ºÐ·ù±â02_ÅõÀÔ°èÈ¹ " xfId="132"/>
    <cellStyle name="AeE­ [0]_ºÐ·u±a03_AoAO°eE¹ " xfId="133"/>
    <cellStyle name="ÅëÈ­ [0]_ºÐ·ù±â03_ÅõÀÔ°èÈ¹ " xfId="134"/>
    <cellStyle name="AeE­ [0]_ºÐ·u±aAØ_AoAO°eE¹ " xfId="135"/>
    <cellStyle name="ÅëÈ­ [0]_ºÐ·ù±âÁØ_ÅõÀÔ°èÈ¹ " xfId="136"/>
    <cellStyle name="AeE­ [0]_ºÐ·u±aE￡_AoAO°eE¹ " xfId="137"/>
    <cellStyle name="ÅëÈ­ [0]_ºÐ·ù±âÈ£_ÅõÀÔ°èÈ¹ " xfId="138"/>
    <cellStyle name="AeE­ [0]_SAMPLE " xfId="139"/>
    <cellStyle name="ÅëÈ­ [0]_SAMPLE " xfId="140"/>
    <cellStyle name="AeE­ [0]_Sheet1 (2)_1.SUMMARY " xfId="141"/>
    <cellStyle name="ÅëÈ­ [0]_Sheet1 (2)_1.SUMMARY " xfId="142"/>
    <cellStyle name="AeE­ [0]_Sheet1 (2)_3.MSCHEDULE¿μ¹R " xfId="143"/>
    <cellStyle name="ÅëÈ­ [0]_Sheet1_1.SUMMARY " xfId="144"/>
    <cellStyle name="AeE­ [0]_Sheet1_3.MSCHEDULE¿μ¹R " xfId="145"/>
    <cellStyle name="ÅëÈ­ [0]_Sheet1_ÃÖÁ¾ÀÏÁ¤ " xfId="146"/>
    <cellStyle name="AeE­ [0]_Sheet1_XD AOA¾AIA¤ " xfId="147"/>
    <cellStyle name="ÅëÈ­ [0]_Sheet1_XD ÃÖÁ¾ÀÏÁ¤ " xfId="148"/>
    <cellStyle name="AeE­ [0]_SMG-CKD-d1.1 " xfId="149"/>
    <cellStyle name="ÅëÈ­ [0]_SMG-CKD-d1.1 " xfId="150"/>
    <cellStyle name="AeE­_¡U¾EU￢ A¾COºn±³ " xfId="151"/>
    <cellStyle name="ÅëÈ­_¡Ú¾ÈÜ¬ Á¾ÇÕºñ±³ " xfId="152"/>
    <cellStyle name="ÅëÈ­_¿ä¾àµµ" xfId="153"/>
    <cellStyle name="ÅëÈ­_¼­½ÄÃ¼01_ÅõÀÔ°èÈ¹ " xfId="154"/>
    <cellStyle name="AeE­_¼­½AAI¶÷_AoAO°eE¹ " xfId="155"/>
    <cellStyle name="ÅëÈ­_¼­½ÄÀÏ¶÷_ÅõÀÔ°èÈ¹ " xfId="156"/>
    <cellStyle name="AeE­_1.ÆC¸A½CAu " xfId="157"/>
    <cellStyle name="ÅëÈ­_1.ÆÇ¸Å½ÇÀû " xfId="158"/>
    <cellStyle name="AeE­_1.SUMMARY " xfId="159"/>
    <cellStyle name="ÅëÈ­_1.SUMMARY " xfId="160"/>
    <cellStyle name="AeE­_2.CONCEPT " xfId="161"/>
    <cellStyle name="ÅëÈ­_2.CONCEPT " xfId="162"/>
    <cellStyle name="AeE­_3.MSCHEDULE¿μ¹R " xfId="163"/>
    <cellStyle name="ÅëÈ­_3PJTR°èÈ¹ " xfId="164"/>
    <cellStyle name="AeE­_4 " xfId="165"/>
    <cellStyle name="ÅëÈ­_4 " xfId="166"/>
    <cellStyle name="AeE­_6-3°æAi·A " xfId="167"/>
    <cellStyle name="ÅëÈ­_6-3°æÀï·Â " xfId="168"/>
    <cellStyle name="AeE­_7.MASTER SCHEDULE " xfId="169"/>
    <cellStyle name="ÅëÈ­_7.MASTER SCHEDULE " xfId="170"/>
    <cellStyle name="AeE­_AI¿ø°eE¹ " xfId="171"/>
    <cellStyle name="ÅëÈ­_ÀÎ¿ø°èÈ¹ " xfId="172"/>
    <cellStyle name="AeE­_AOA¾AIA¤ " xfId="173"/>
    <cellStyle name="ÅëÈ­_ÃÖÁ¾ÀÏÁ¤ " xfId="174"/>
    <cellStyle name="AeE­_INQUIRY ¿μ¾÷AßAø " xfId="175"/>
    <cellStyle name="ÅëÈ­_lx-taxi " xfId="176"/>
    <cellStyle name="AeE­_MKN-M1.1 " xfId="177"/>
    <cellStyle name="ÅëÈ­_MKN-M1.1 " xfId="178"/>
    <cellStyle name="AeE­_ºÐ·u±a01_AoAO°eE¹ " xfId="179"/>
    <cellStyle name="ÅëÈ­_ºÐ·ù±â01_ÅõÀÔ°èÈ¹ " xfId="180"/>
    <cellStyle name="AeE­_ºÐ·u±a02_AoAO°eE¹ " xfId="181"/>
    <cellStyle name="ÅëÈ­_ºÐ·ù±â02_ÅõÀÔ°èÈ¹ " xfId="182"/>
    <cellStyle name="AeE­_ºÐ·u±a03_AoAO°eE¹ " xfId="183"/>
    <cellStyle name="ÅëÈ­_ºÐ·ù±â03_ÅõÀÔ°èÈ¹ " xfId="184"/>
    <cellStyle name="AeE­_ºÐ·u±aAØ_AoAO°eE¹ " xfId="185"/>
    <cellStyle name="ÅëÈ­_ºÐ·ù±âÁØ_ÅõÀÔ°èÈ¹ " xfId="186"/>
    <cellStyle name="AeE­_ºÐ·u±aE￡_AoAO°eE¹ " xfId="187"/>
    <cellStyle name="ÅëÈ­_ºÐ·ù±âÈ£_ÅõÀÔ°èÈ¹ " xfId="188"/>
    <cellStyle name="AeE­_SAMPLE " xfId="189"/>
    <cellStyle name="ÅëÈ­_SAMPLE " xfId="190"/>
    <cellStyle name="AeE­_Sheet1 (2)_1.SUMMARY " xfId="191"/>
    <cellStyle name="ÅëÈ­_Sheet1 (2)_1.SUMMARY " xfId="192"/>
    <cellStyle name="AeE­_Sheet1 (2)_3.MSCHEDULE¿μ¹R " xfId="193"/>
    <cellStyle name="ÅëÈ­_Sheet1_1.SUMMARY " xfId="194"/>
    <cellStyle name="AeE­_Sheet1_3.MSCHEDULE¿μ¹R " xfId="195"/>
    <cellStyle name="ÅëÈ­_Sheet1_ÃÖÁ¾ÀÏÁ¤ " xfId="196"/>
    <cellStyle name="AeE­_Sheet1_XD AOA¾AIA¤ " xfId="197"/>
    <cellStyle name="ÅëÈ­_Sheet1_XD ÃÖÁ¾ÀÏÁ¤ " xfId="198"/>
    <cellStyle name="AeE­_SMG-CKD-d1.1 " xfId="199"/>
    <cellStyle name="ÅëÈ­_SMG-CKD-d1.1 " xfId="200"/>
    <cellStyle name="AeE¡ⓒ [0]_¡Æ￠R¡Æⓒª¡ÆⓒªA￠´¨uⓒø¨￢n " xfId="201"/>
    <cellStyle name="AeE¡ⓒ_¡Æ￠R¡Æⓒª¡ÆⓒªA￠´¨uⓒø¨￢n " xfId="202"/>
    <cellStyle name="AeE￠R¨I [0]_A¡ER￠R¨¡¨I¨￡￠R¨u¡E¡þ&amp; ¡§¡þI¡E¡Ie¡§u¨Iⓒª¡§¡þn " xfId="203"/>
    <cellStyle name="AeE￠R¨I_A¡ER￠R¨¡¨I¨￡￠R¨u¡E¡þ&amp; ¡§¡þI¡E¡Ie¡§u¨Iⓒª¡§¡þn " xfId="204"/>
    <cellStyle name="AÞ¸¶ [0]_¡U¾EU￢ A¾COºn±³ " xfId="205"/>
    <cellStyle name="ÄÞ¸¶ [0]_¡Ú¾ÈÜ¬ Á¾ÇÕºñ±³ " xfId="206"/>
    <cellStyle name="ÄÞ¸¶ [0]_¿ä¾àµµ" xfId="207"/>
    <cellStyle name="ÄÞ¸¶ [0]_1.ÆÇ¸Å½ÇÀû " xfId="208"/>
    <cellStyle name="AÞ¸¶ [0]_1.SUMMARY " xfId="209"/>
    <cellStyle name="ÄÞ¸¶ [0]_1.SUMMARY " xfId="210"/>
    <cellStyle name="AÞ¸¶ [0]_2.CONCEPT " xfId="211"/>
    <cellStyle name="ÄÞ¸¶ [0]_2.CONCEPT " xfId="212"/>
    <cellStyle name="AÞ¸¶ [0]_3.MSCHEDULE¿μ¹R " xfId="213"/>
    <cellStyle name="ÄÞ¸¶ [0]_3PJTR°èÈ¹ " xfId="214"/>
    <cellStyle name="AÞ¸¶ [0]_4 " xfId="215"/>
    <cellStyle name="ÄÞ¸¶ [0]_4 " xfId="216"/>
    <cellStyle name="AÞ¸¶ [0]_6-3°æAi·A " xfId="217"/>
    <cellStyle name="ÄÞ¸¶ [0]_6-3°æÀï·Â " xfId="218"/>
    <cellStyle name="AÞ¸¶ [0]_7.MASTER SCHEDULE " xfId="219"/>
    <cellStyle name="ÄÞ¸¶ [0]_7.MASTER SCHEDULE " xfId="220"/>
    <cellStyle name="AÞ¸¶ [0]_AI¿ø°eE¹ " xfId="221"/>
    <cellStyle name="ÄÞ¸¶ [0]_ÀÎ¿ø°èÈ¹ " xfId="222"/>
    <cellStyle name="AÞ¸¶ [0]_AOA¾AIA¤ " xfId="223"/>
    <cellStyle name="ÄÞ¸¶ [0]_ÃÖÁ¾ÀÏÁ¤ " xfId="224"/>
    <cellStyle name="AÞ¸¶ [0]_INQUIRY ¿μ¾÷AßAø " xfId="225"/>
    <cellStyle name="ÄÞ¸¶ [0]_lx-taxi " xfId="226"/>
    <cellStyle name="AÞ¸¶ [0]_MKN-M1.1 " xfId="227"/>
    <cellStyle name="ÄÞ¸¶ [0]_MKN-M1.1 " xfId="228"/>
    <cellStyle name="AÞ¸¶ [0]_SAMPLE " xfId="229"/>
    <cellStyle name="ÄÞ¸¶ [0]_SAMPLE " xfId="230"/>
    <cellStyle name="AÞ¸¶ [0]_Sheet1 (2)_1.SUMMARY " xfId="231"/>
    <cellStyle name="ÄÞ¸¶ [0]_Sheet1 (2)_1.SUMMARY " xfId="232"/>
    <cellStyle name="AÞ¸¶ [0]_Sheet1 (2)_3.MSCHEDULE¿μ¹R " xfId="233"/>
    <cellStyle name="ÄÞ¸¶ [0]_Sheet1_1.SUMMARY " xfId="234"/>
    <cellStyle name="AÞ¸¶ [0]_Sheet1_3.MSCHEDULE¿μ¹R " xfId="235"/>
    <cellStyle name="ÄÞ¸¶ [0]_Sheet1_ÃÖÁ¾ÀÏÁ¤ " xfId="236"/>
    <cellStyle name="AÞ¸¶ [0]_Sheet1_XD AOA¾AIA¤ " xfId="237"/>
    <cellStyle name="ÄÞ¸¶ [0]_Sheet1_XD ÃÖÁ¾ÀÏÁ¤ " xfId="238"/>
    <cellStyle name="AÞ¸¶ [0]_SMG-CKD-d1.1 " xfId="239"/>
    <cellStyle name="ÄÞ¸¶ [0]_SMG-CKD-d1.1 " xfId="240"/>
    <cellStyle name="AÞ¸¶_¡U¾EU￢ A¾COºn±³ " xfId="241"/>
    <cellStyle name="ÄÞ¸¶_¡Ú¾ÈÜ¬ Á¾ÇÕºñ±³ " xfId="242"/>
    <cellStyle name="ÄÞ¸¶_¿ä¾àµµ" xfId="243"/>
    <cellStyle name="ÄÞ¸¶_1.ÆÇ¸Å½ÇÀû " xfId="244"/>
    <cellStyle name="AÞ¸¶_1.SUMMARY " xfId="245"/>
    <cellStyle name="ÄÞ¸¶_1.SUMMARY " xfId="246"/>
    <cellStyle name="AÞ¸¶_2.CONCEPT " xfId="247"/>
    <cellStyle name="ÄÞ¸¶_2.CONCEPT " xfId="248"/>
    <cellStyle name="AÞ¸¶_3.MSCHEDULE¿μ¹R " xfId="249"/>
    <cellStyle name="ÄÞ¸¶_3PJTR°èÈ¹ " xfId="250"/>
    <cellStyle name="AÞ¸¶_4 " xfId="251"/>
    <cellStyle name="ÄÞ¸¶_4 " xfId="252"/>
    <cellStyle name="AÞ¸¶_6-3°æAi·A " xfId="253"/>
    <cellStyle name="ÄÞ¸¶_6-3°æÀï·Â " xfId="254"/>
    <cellStyle name="AÞ¸¶_7.MASTER SCHEDULE " xfId="255"/>
    <cellStyle name="ÄÞ¸¶_7.MASTER SCHEDULE " xfId="256"/>
    <cellStyle name="AÞ¸¶_AI¿ø°eE¹ " xfId="257"/>
    <cellStyle name="ÄÞ¸¶_ÀÎ¿ø°èÈ¹ " xfId="258"/>
    <cellStyle name="AÞ¸¶_AOA¾AIA¤ " xfId="259"/>
    <cellStyle name="ÄÞ¸¶_ÃÖÁ¾ÀÏÁ¤ " xfId="260"/>
    <cellStyle name="AÞ¸¶_INQUIRY ¿μ¾÷AßAø " xfId="261"/>
    <cellStyle name="ÄÞ¸¶_lx-taxi " xfId="262"/>
    <cellStyle name="AÞ¸¶_MKN-M1.1 " xfId="263"/>
    <cellStyle name="ÄÞ¸¶_MKN-M1.1 " xfId="264"/>
    <cellStyle name="AÞ¸¶_SAMPLE " xfId="265"/>
    <cellStyle name="ÄÞ¸¶_SAMPLE " xfId="266"/>
    <cellStyle name="AÞ¸¶_Sheet1 (2)_1.SUMMARY " xfId="267"/>
    <cellStyle name="ÄÞ¸¶_Sheet1 (2)_1.SUMMARY " xfId="268"/>
    <cellStyle name="AÞ¸¶_Sheet1 (2)_3.MSCHEDULE¿μ¹R " xfId="269"/>
    <cellStyle name="ÄÞ¸¶_Sheet1_1.SUMMARY " xfId="270"/>
    <cellStyle name="AÞ¸¶_Sheet1_3.MSCHEDULE¿μ¹R " xfId="271"/>
    <cellStyle name="ÄÞ¸¶_Sheet1_ÃÖÁ¾ÀÏÁ¤ " xfId="272"/>
    <cellStyle name="AÞ¸¶_Sheet1_XD AOA¾AIA¤ " xfId="273"/>
    <cellStyle name="ÄÞ¸¶_Sheet1_XD ÃÖÁ¾ÀÏÁ¤ " xfId="274"/>
    <cellStyle name="AÞ¸¶_SMG-CKD-d1.1 " xfId="275"/>
    <cellStyle name="ÄÞ¸¶_SMG-CKD-d1.1 " xfId="276"/>
    <cellStyle name="Body" xfId="277"/>
    <cellStyle name="C¡IA¨ª_¡¾YCu " xfId="278"/>
    <cellStyle name="C￠RIA¡§¨￡_￠R¨¡¨Iⓒª¨Io¨I¡þAIA¡E￠￥ " xfId="279"/>
    <cellStyle name="C￥AØ_(2)_°øAa°³¼± " xfId="280"/>
    <cellStyle name="Ç¥ÁØ_¡ßFO ÅõÀÚºñºñ±³ " xfId="281"/>
    <cellStyle name="C￥AØ_¡ßFO AoAUºnºn±³ _1.사전품질확보계획.한국오므론" xfId="282"/>
    <cellStyle name="Ç¥ÁØ_´©ÀûLOT " xfId="283"/>
    <cellStyle name="Ç¥ÁØ_¿µ¾÷ÇöÈ² " xfId="284"/>
    <cellStyle name="C￥AØ_¿­AuCAPA" xfId="285"/>
    <cellStyle name="Ç¥ÁØ_±â¾È " xfId="286"/>
    <cellStyle name="Ç¥ÁØ_°¡¼Ö¸°ÀÏÁ¤_µðÁ©ÀÏÁ¤ " xfId="287"/>
    <cellStyle name="C￥AØ_°¡¼O¸°AIA¤_μðAⓒAIA¤ " xfId="288"/>
    <cellStyle name="Ç¥ÁØ_°³¹ßÀÏÁ¤ " xfId="289"/>
    <cellStyle name="C￥AØ_°³¹ßAIA¤  (2)_°³¹ßAIA¤ " xfId="290"/>
    <cellStyle name="Ç¥ÁØ_°³¹ßÀÏÁ¤  (2)_°³¹ßÀÏÁ¤ " xfId="291"/>
    <cellStyle name="C￥AØ_1.ÆC¸A½CAu " xfId="292"/>
    <cellStyle name="Ç¥ÁØ_1.ÆÇ¸Å½ÇÀû " xfId="293"/>
    <cellStyle name="C￥AØ_1.SUMMARY " xfId="294"/>
    <cellStyle name="Ç¥ÁØ_1.SUMMARY " xfId="295"/>
    <cellStyle name="C￥AØ_2.CONCEPT " xfId="296"/>
    <cellStyle name="Ç¥ÁØ_2.CONCEPT " xfId="297"/>
    <cellStyle name="C￥AØ_3.MSCHEDULE¿μ¹R " xfId="298"/>
    <cellStyle name="Ç¥ÁØ_3PJTR°èÈ¹ " xfId="299"/>
    <cellStyle name="C￥AØ_4 " xfId="300"/>
    <cellStyle name="Ç¥ÁØ_4 " xfId="301"/>
    <cellStyle name="C￥AØ_5-1±¤°i " xfId="302"/>
    <cellStyle name="Ç¥ÁØ_5-1±¤°í " xfId="303"/>
    <cellStyle name="C￥AØ_6-3°æAi·A " xfId="304"/>
    <cellStyle name="Ç¥ÁØ_6-3°æÀï·Â " xfId="305"/>
    <cellStyle name="C￥AØ_7.MASTER SCHEDULE " xfId="306"/>
    <cellStyle name="Ç¥ÁØ_7.MASTER SCHEDULE " xfId="307"/>
    <cellStyle name="C￥AØ_96AI¿ø°e2 " xfId="308"/>
    <cellStyle name="Ç¥ÁØ_96ÀÎ¿ø°è2 " xfId="309"/>
    <cellStyle name="C￥AØ_96AI¿ø°O 3 " xfId="310"/>
    <cellStyle name="Ç¥ÁØ_96ÀÎ¿ø°Ô 3 " xfId="311"/>
    <cellStyle name="C￥AØ_A·ºI2 " xfId="312"/>
    <cellStyle name="Ç¥ÁØ_Ã·ºÎ2 " xfId="313"/>
    <cellStyle name="C￥AØ_AI¿øCoE² " xfId="314"/>
    <cellStyle name="Ç¥ÁØ_ÀÏÁ¤°ËÅä¾È" xfId="315"/>
    <cellStyle name="C￥AØ_AoAUºn(ºI¼­º°,°eA¤º°) " xfId="316"/>
    <cellStyle name="Ç¥ÁØ_ÅõÀÚºñ(ºÎ¼­º°,°èÁ¤º°) " xfId="317"/>
    <cellStyle name="C￥AØ_Aß±a≫y≫e°eE¹ " xfId="318"/>
    <cellStyle name="Ç¥ÁØ_ÇùÁ¶Àü_ÅõÀÔ°èÈ¹ " xfId="319"/>
    <cellStyle name="C￥AØ_laroux_°³¹ßAIA¤ " xfId="320"/>
    <cellStyle name="Ç¥ÁØ_laroux_°³¹ßÀÏÁ¤ " xfId="321"/>
    <cellStyle name="C￥AØ_laroux_°³¹ßAIA¤  (2)_°³¹ßAIA¤ " xfId="322"/>
    <cellStyle name="Ç¥ÁØ_laroux_°³¹ßÀÏÁ¤  (2)_°³¹ßÀÏÁ¤ " xfId="323"/>
    <cellStyle name="C￥AØ_laroux_1_°³¹ßAIA¤ " xfId="324"/>
    <cellStyle name="Ç¥ÁØ_laroux_1_°³¹ßÀÏÁ¤ " xfId="325"/>
    <cellStyle name="C￥AØ_laroux_2_°³¹ßAIA¤ " xfId="326"/>
    <cellStyle name="Ç¥ÁØ_laroux_2_°³¹ßÀÏÁ¤ " xfId="327"/>
    <cellStyle name="C￥AØ_lx-taxi " xfId="328"/>
    <cellStyle name="Ç¥ÁØ_lx-taxi " xfId="329"/>
    <cellStyle name="C￥AØ_M105CDT " xfId="330"/>
    <cellStyle name="Ç¥ÁØ_MKN-M1.1 " xfId="331"/>
    <cellStyle name="C￥AØ_RDTR99ML " xfId="332"/>
    <cellStyle name="Ç¥ÁØ_RDTR99ML " xfId="333"/>
    <cellStyle name="C￥AØ_Sheet1 (2)_1.SUMMARY " xfId="334"/>
    <cellStyle name="Ç¥ÁØ_Sheet1 (2)_1.SUMMARY " xfId="335"/>
    <cellStyle name="C￥AØ_Sheet1 (2)_3.MSCHEDULE¿μ¹R " xfId="336"/>
    <cellStyle name="Ç¥ÁØ_Sheet1_1.SUMMARY " xfId="337"/>
    <cellStyle name="C￥AØ_Sheet1_1_1.SUMMARY " xfId="338"/>
    <cellStyle name="Ç¥ÁØ_Sheet1_1_1.SUMMARY " xfId="339"/>
    <cellStyle name="C￥AØ_Sheet1_1_3.MSCHEDULE¿μ¹R " xfId="340"/>
    <cellStyle name="Ç¥ÁØ_Sheet1_1_XD ÃÖÁ¾ÀÏÁ¤ " xfId="341"/>
    <cellStyle name="C￥AØ_Sheet1_3.MSCHEDULE¿μ¹R " xfId="342"/>
    <cellStyle name="Ç¥ÁØ_Sheet1_XD ÃÖÁ¾ÀÏÁ¤ " xfId="343"/>
    <cellStyle name="C￥AØ_SMG-CKD-d1.1 " xfId="344"/>
    <cellStyle name="Ç¥ÁØ_SMG-CKD-d1.1 " xfId="345"/>
    <cellStyle name="C￥AØ_WIPER " xfId="346"/>
    <cellStyle name="Ç¥ÁØ_WIPER " xfId="347"/>
    <cellStyle name="C￥AØ_XD AOA¾AIA¤ " xfId="348"/>
    <cellStyle name="Ç¥ÁØ_XD ÃÖÁ¾ÀÏÁ¤ " xfId="349"/>
    <cellStyle name="C￥AØ_μðAⓒAIA¤ " xfId="350"/>
    <cellStyle name="comma zerodec" xfId="351"/>
    <cellStyle name="Currency [0]" xfId="352"/>
    <cellStyle name="Dollar (zero dec)" xfId="353"/>
    <cellStyle name="iles|_x0005_h" xfId="354"/>
    <cellStyle name="Input [yellow] 2" xfId="355"/>
    <cellStyle name="KAGE" xfId="356"/>
    <cellStyle name="les" xfId="357"/>
    <cellStyle name="no dec" xfId="358"/>
    <cellStyle name="Normal - Style1 2" xfId="359"/>
    <cellStyle name="R?" xfId="360"/>
    <cellStyle name="sche|_x0005_" xfId="361"/>
    <cellStyle name="þ_x001d_ð'&amp;Oy?Hy9_x0008__x000f__x0007_æ_x0007__x0007__x0001__x0001_" xfId="362"/>
    <cellStyle name="XLS'|_x0005_t" xfId="363"/>
    <cellStyle name="ハイパーリンク_Book1 グラフ 22" xfId="364"/>
    <cellStyle name=" 坪 l_Sheet1_Q4 (2)" xfId="365"/>
    <cellStyle name="강조색1 2" xfId="366"/>
    <cellStyle name="강조색2 2" xfId="367"/>
    <cellStyle name="강조색3 2" xfId="368"/>
    <cellStyle name="강조색4 2" xfId="369"/>
    <cellStyle name="강조색5 2" xfId="370"/>
    <cellStyle name="강조색6 2" xfId="371"/>
    <cellStyle name="경고문 2" xfId="372"/>
    <cellStyle name="계산 2" xfId="373"/>
    <cellStyle name="고정소숫점" xfId="374"/>
    <cellStyle name="고정출력1" xfId="375"/>
    <cellStyle name="고정출력2" xfId="376"/>
    <cellStyle name="나쁨 2" xfId="377"/>
    <cellStyle name="날짜" xfId="378"/>
    <cellStyle name="달러" xfId="379"/>
    <cellStyle name="뒤에 오는 하이퍼링크" xfId="380"/>
    <cellStyle name="메모 2" xfId="381"/>
    <cellStyle name="백" xfId="382"/>
    <cellStyle name="백_RNR 결과02" xfId="383"/>
    <cellStyle name="백_SM TF Assy" xfId="384"/>
    <cellStyle name="백_사전회의(1208)" xfId="385"/>
    <cellStyle name="백_사전회의(1208)_RNR 결과02" xfId="386"/>
    <cellStyle name="백_사전회의(1208)_SM TF Assy" xfId="387"/>
    <cellStyle name="백_출장계획서" xfId="388"/>
    <cellStyle name="백_출장계획서_RNR 결과02" xfId="389"/>
    <cellStyle name="백_출장계획서_SM TF Assy" xfId="390"/>
    <cellStyle name="보통 2" xfId="391"/>
    <cellStyle name="뷭?" xfId="392"/>
    <cellStyle name="설명 텍스트 2" xfId="393"/>
    <cellStyle name="셀 확인 2" xfId="394"/>
    <cellStyle name="셈迷?XLS!check_filesche|_x0005_" xfId="395"/>
    <cellStyle name="쉼표 [0] 2" xfId="396"/>
    <cellStyle name="스타일 1 2" xfId="397"/>
    <cellStyle name="스타일 2" xfId="398"/>
    <cellStyle name="연결된 셀 2" xfId="399"/>
    <cellStyle name="요약 2" xfId="400"/>
    <cellStyle name="입력 2" xfId="401"/>
    <cellStyle name="자리수" xfId="402"/>
    <cellStyle name="자리수0" xfId="403"/>
    <cellStyle name="제목 5" xfId="404"/>
    <cellStyle name="제목 1 2" xfId="405"/>
    <cellStyle name="제목 2 2" xfId="406"/>
    <cellStyle name="제목 3 2" xfId="407"/>
    <cellStyle name="제목 4 2" xfId="408"/>
    <cellStyle name="좋음 2" xfId="409"/>
    <cellStyle name="출력 2" xfId="410"/>
    <cellStyle name="콤" xfId="411"/>
    <cellStyle name="콤_RNR 결과02" xfId="412"/>
    <cellStyle name="콤_SM TF Assy" xfId="413"/>
    <cellStyle name="콤_사전회의(1208)" xfId="414"/>
    <cellStyle name="콤_사전회의(1208)_RNR 결과02" xfId="415"/>
    <cellStyle name="콤_사전회의(1208)_SM TF Assy" xfId="416"/>
    <cellStyle name="콤_출장계획서" xfId="417"/>
    <cellStyle name="콤_출장계획서_RNR 결과02" xfId="418"/>
    <cellStyle name="콤_출장계획서_SM TF Assy" xfId="419"/>
    <cellStyle name="콤마 [" xfId="420"/>
    <cellStyle name="콤마 [0]_ " xfId="421"/>
    <cellStyle name="콤마,_x0005__x0014_" xfId="422"/>
    <cellStyle name="콤마_ " xfId="423"/>
    <cellStyle name="콤마숫자" xfId="424"/>
    <cellStyle name="통" xfId="425"/>
    <cellStyle name="통_RNR 결과02" xfId="426"/>
    <cellStyle name="통_SM TF Assy" xfId="427"/>
    <cellStyle name="통_사전회의(1208)" xfId="428"/>
    <cellStyle name="통_사전회의(1208)_RNR 결과02" xfId="429"/>
    <cellStyle name="통_사전회의(1208)_SM TF Assy" xfId="430"/>
    <cellStyle name="통_출장계획서" xfId="431"/>
    <cellStyle name="통_출장계획서_RNR 결과02" xfId="432"/>
    <cellStyle name="통_출장계획서_SM TF Assy" xfId="433"/>
    <cellStyle name="통화 [" xfId="434"/>
    <cellStyle name="팒" xfId="435"/>
    <cellStyle name="퍼센트" xfId="436"/>
    <cellStyle name="표" xfId="437"/>
    <cellStyle name="표_RNR 결과02" xfId="438"/>
    <cellStyle name="표_SM TF Assy" xfId="439"/>
    <cellStyle name="표_사전회의(1208)" xfId="440"/>
    <cellStyle name="표_사전회의(1208)_RNR 결과02" xfId="441"/>
    <cellStyle name="표_사전회의(1208)_SM TF Assy" xfId="442"/>
    <cellStyle name="표_출장계획서" xfId="443"/>
    <cellStyle name="표_출장계획서_RNR 결과02" xfId="444"/>
    <cellStyle name="표_출장계획서_SM TF Assy" xfId="445"/>
    <cellStyle name="表示済みのハイパーリンク_Book1 グラフ 22" xfId="446"/>
    <cellStyle name="표준 4 2" xfId="447"/>
    <cellStyle name="표준 6" xfId="448"/>
    <cellStyle name="합산" xfId="449"/>
    <cellStyle name="현대" xfId="450"/>
    <cellStyle name="화폐기호" xfId="451"/>
    <cellStyle name="화폐기호0" xfId="452"/>
    <cellStyle name="Comma [0]" xfId="453"/>
    <cellStyle name="Percent" xfId="454" builtinId="5"/>
    <cellStyle name="표준_QSA_Rev_03-trans업체" xfId="455"/>
    <cellStyle name="표준_QPA+Check+Sheet(LG+DID)" xfId="456"/>
    <cellStyle name="Normal 6" xfId="457"/>
    <cellStyle name="??_x000c_蕓&quot;_x000d_婦U_x0001_&quot;_x0004_?_x0007__x0001__x0001_" xfId="458"/>
    <cellStyle name="AeE­ [0]_¸AAa¸AAa¿ø°¡ " xfId="459"/>
    <cellStyle name="AeE­_¸AAa¸AAa¿ø°¡ " xfId="460"/>
    <cellStyle name="AÞ¸¶ [0]_¸AAa¸AAa¿ø°¡ " xfId="461"/>
    <cellStyle name="AÞ¸¶_¸AAa¸AAa¿ø°¡ " xfId="462"/>
    <cellStyle name="C￥AØ_¸AAa¸AAa¿ø°¡ " xfId="463"/>
    <cellStyle name="Normal - Style1 3" xfId="464"/>
    <cellStyle name="Normal - Style1 2 2" xfId="465"/>
    <cellStyle name="Normal 2 2" xfId="466"/>
    <cellStyle name="Normal 3" xfId="467"/>
    <cellStyle name="Normal 4" xfId="468"/>
    <cellStyle name="Normal 5" xfId="469"/>
    <cellStyle name="Percent 2" xfId="470"/>
    <cellStyle name="메모 2 2" xfId="471"/>
    <cellStyle name="백분율 2 2" xfId="472"/>
    <cellStyle name="백분율 3" xfId="473"/>
    <cellStyle name="백분율 4" xfId="474"/>
    <cellStyle name="백분율 4 2" xfId="475"/>
    <cellStyle name="백분율 4 2 2" xfId="476"/>
    <cellStyle name="백분율 4 2 2 2" xfId="477"/>
    <cellStyle name="백분율 4 2 3" xfId="478"/>
    <cellStyle name="백분율 4 3" xfId="479"/>
    <cellStyle name="백분율 4 3 2" xfId="480"/>
    <cellStyle name="백분율 4 3 2 2" xfId="481"/>
    <cellStyle name="백분율 4 3 3" xfId="482"/>
    <cellStyle name="백분율 4 4" xfId="483"/>
    <cellStyle name="백분율 4 4 2" xfId="484"/>
    <cellStyle name="백분율 4 5" xfId="485"/>
    <cellStyle name="쉼표 [0] 3" xfId="486"/>
    <cellStyle name="쉼표 [0] 5" xfId="487"/>
    <cellStyle name="쉼표 2" xfId="488"/>
    <cellStyle name="쉼표 3" xfId="489"/>
    <cellStyle name="쉼표 3 2" xfId="490"/>
    <cellStyle name="쉼표 3 2 2" xfId="491"/>
    <cellStyle name="쉼표 3 2 2 2" xfId="492"/>
    <cellStyle name="쉼표 3 2 3" xfId="493"/>
    <cellStyle name="쉼표 3 3" xfId="494"/>
    <cellStyle name="쉼표 3 3 2" xfId="495"/>
    <cellStyle name="쉼표 3 3 2 2" xfId="496"/>
    <cellStyle name="쉼표 3 3 3" xfId="497"/>
    <cellStyle name="쉼표 3 4" xfId="498"/>
    <cellStyle name="쉼표 3 4 2" xfId="499"/>
    <cellStyle name="쉼표 3 5" xfId="500"/>
    <cellStyle name="스타일 1 3" xfId="501"/>
    <cellStyle name="통화 2" xfId="502"/>
    <cellStyle name="표준 10" xfId="503"/>
    <cellStyle name="표준 11" xfId="504"/>
    <cellStyle name="표준 12" xfId="505"/>
    <cellStyle name="표준 13" xfId="506"/>
    <cellStyle name="표준 13 2" xfId="507"/>
    <cellStyle name="표준 13 2 2" xfId="508"/>
    <cellStyle name="표준 13 2 2 2" xfId="509"/>
    <cellStyle name="표준 13 2 3" xfId="510"/>
    <cellStyle name="표준 13 3" xfId="511"/>
    <cellStyle name="표준 13 3 2" xfId="512"/>
    <cellStyle name="표준 13 3 2 2" xfId="513"/>
    <cellStyle name="표준 13 3 3" xfId="514"/>
    <cellStyle name="표준 13 4" xfId="515"/>
    <cellStyle name="표준 13 4 2" xfId="516"/>
    <cellStyle name="표준 13 5" xfId="517"/>
    <cellStyle name="표준 14" xfId="518"/>
    <cellStyle name="표준 15" xfId="519"/>
    <cellStyle name="표준 8" xfId="520"/>
    <cellStyle name="표준 9" xfId="521"/>
    <cellStyle name="하이퍼링크 2 2" xfId="522"/>
    <cellStyle name="표준 16" xfId="523"/>
    <cellStyle name="Standard 2" xfId="524"/>
    <cellStyle name="Blatt1" xfId="525"/>
    <cellStyle name="Standard 3" xfId="526"/>
    <cellStyle name="Normal 2 3" xfId="527"/>
    <cellStyle name="Comma" xfId="528" builtinId="3"/>
    <cellStyle name="표준_031215 Audit Check List Ver00 - Breaker" xfId="529"/>
    <cellStyle name="一般_SQP051稽核輔導作業程序書" xfId="530"/>
  </cellStyles>
  <dxfs count="1">
    <dxf>
      <font>
        <condense val="0"/>
        <color indexed="10"/>
        <extend val="0"/>
      </font>
      <fill>
        <patternFill>
          <bgColor indexed="26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I10"/>
  <sheetViews>
    <sheetView showGridLines="0" view="pageBreakPreview" zoomScale="60" zoomScaleNormal="100" workbookViewId="0">
      <selection activeCell="N10" sqref="N10"/>
    </sheetView>
  </sheetViews>
  <sheetFormatPr baseColWidth="8" defaultColWidth="9" defaultRowHeight="13.5"/>
  <cols>
    <col width="1.625" customWidth="1" style="1" min="1" max="1"/>
    <col width="4.125" customWidth="1" style="1" min="2" max="2"/>
    <col width="12.125" customWidth="1" style="1" min="3" max="4"/>
    <col width="7.375" customWidth="1" style="1" min="5" max="5"/>
    <col width="52.375" customWidth="1" style="1" min="6" max="6"/>
    <col width="18.5" customWidth="1" style="1" min="7" max="7"/>
    <col width="16.625" customWidth="1" style="1" min="8" max="9"/>
    <col width="9" customWidth="1" style="1" min="10" max="16384"/>
  </cols>
  <sheetData>
    <row r="1"/>
    <row r="2" ht="89.25" customHeight="1" s="1">
      <c r="B2" s="139" t="inlineStr">
        <is>
          <t xml:space="preserve">
Quality Process Audit
회사 M&amp;C Electronics Vina
</t>
        </is>
      </c>
      <c r="C2" s="140" t="n"/>
      <c r="D2" s="140" t="n"/>
      <c r="E2" s="140" t="n"/>
      <c r="F2" s="140" t="n"/>
      <c r="G2" s="140" t="n"/>
      <c r="H2" s="140" t="n"/>
      <c r="I2" s="141" t="n"/>
    </row>
    <row r="3"/>
    <row r="4" ht="31.5" customHeight="1" s="1"/>
    <row r="5" ht="37.5" customFormat="1" customHeight="1" s="4" thickBot="1">
      <c r="B5" s="2" t="inlineStr">
        <is>
          <t>NO</t>
        </is>
      </c>
      <c r="C5" s="3" t="inlineStr">
        <is>
          <t>개정일</t>
        </is>
      </c>
      <c r="D5" s="3" t="inlineStr">
        <is>
          <t>문서번호</t>
        </is>
      </c>
      <c r="E5" s="3" t="inlineStr">
        <is>
          <t>Version</t>
        </is>
      </c>
      <c r="F5" s="3" t="inlineStr">
        <is>
          <t>개정 내용</t>
        </is>
      </c>
      <c r="G5" s="2" t="inlineStr">
        <is>
          <t>랩</t>
        </is>
      </c>
      <c r="H5" s="2" t="inlineStr">
        <is>
          <t>검사</t>
        </is>
      </c>
      <c r="I5" s="3" t="inlineStr">
        <is>
          <t>먹다</t>
        </is>
      </c>
    </row>
    <row r="6" ht="30" customFormat="1" customHeight="1" s="4" thickTop="1">
      <c r="B6" s="5" t="n">
        <v>0</v>
      </c>
      <c r="C6" s="6" t="inlineStr">
        <is>
          <t>2014.06.07</t>
        </is>
      </c>
      <c r="D6" s="6" t="inlineStr">
        <is>
          <t>QM.04.00.21</t>
        </is>
      </c>
      <c r="E6" s="6" t="n">
        <v>0</v>
      </c>
      <c r="F6" s="7" t="inlineStr">
        <is>
          <t>신규 작성  Release</t>
        </is>
      </c>
      <c r="G6" s="8" t="inlineStr">
        <is>
          <t>응우옌 반 룩</t>
        </is>
      </c>
      <c r="H6" s="7" t="inlineStr">
        <is>
          <t>Kim Byoung Kwan</t>
        </is>
      </c>
      <c r="I6" s="9" t="inlineStr">
        <is>
          <t>Joung Ui Young</t>
        </is>
      </c>
    </row>
    <row r="7" ht="94.5" customFormat="1" customHeight="1" s="4">
      <c r="B7" s="5" t="n">
        <v>1</v>
      </c>
      <c r="C7" s="6" t="inlineStr">
        <is>
          <t>2023.06.02</t>
        </is>
      </c>
      <c r="D7" s="6" t="inlineStr">
        <is>
          <t>QM.04.00.21</t>
        </is>
      </c>
      <c r="E7" s="6" t="n">
        <v>1</v>
      </c>
      <c r="F7" s="10" t="inlineStr">
        <is>
          <t>IATF16949 요구사항에 따른 PMEA 및 CP 점검항목 추가, 항목번호 12(생산보증)에 Hosiden 고객 요구사항에 따른 점검항목 추가
IATF16949에서 요구하는 PMEA 및 CP 항목을 추가로 확인하고 항목 10(생산 보증)에서 Hosiden 고객의 요청에 따라 항목을 확인합니다.</t>
        </is>
      </c>
      <c r="G7" s="11" t="inlineStr">
        <is>
          <t>N.T.Trang Nhung</t>
        </is>
      </c>
      <c r="H7" s="12" t="inlineStr">
        <is>
          <t>응우옌 투안 부</t>
        </is>
      </c>
      <c r="I7" s="10" t="inlineStr">
        <is>
          <t>Kim Byoung Kwan</t>
        </is>
      </c>
    </row>
    <row r="8" ht="66.75" customFormat="1" customHeight="1" s="4">
      <c r="B8" s="5" t="n">
        <v>2</v>
      </c>
      <c r="C8" s="6" t="inlineStr">
        <is>
          <t>2024.04.04</t>
        </is>
      </c>
      <c r="D8" s="6" t="inlineStr">
        <is>
          <t>QM.04.00.21</t>
        </is>
      </c>
      <c r="E8" s="6" t="n">
        <v>2</v>
      </c>
      <c r="F8" s="15" t="inlineStr">
        <is>
          <t>실제 M&amp;C 단계에 따른 체크시트 항목
실제 M&amp;C 프로세스에 맞춰 체크시트 항목 수정</t>
        </is>
      </c>
      <c r="G8" s="11" t="inlineStr">
        <is>
          <t>N.T.Trang Nhung</t>
        </is>
      </c>
      <c r="H8" s="13" t="inlineStr">
        <is>
          <t>Koh Jin Suk</t>
        </is>
      </c>
      <c r="I8" s="6" t="inlineStr">
        <is>
          <t>Park Seong Oh</t>
        </is>
      </c>
    </row>
    <row r="9" ht="36" customFormat="1" customHeight="1" s="4">
      <c r="B9" s="5" t="n"/>
      <c r="C9" s="6" t="n"/>
      <c r="D9" s="6" t="n"/>
      <c r="E9" s="6" t="n"/>
      <c r="F9" s="6" t="n"/>
      <c r="G9" s="13" t="n"/>
      <c r="H9" s="13" t="n"/>
      <c r="I9" s="14" t="n"/>
    </row>
    <row r="10" ht="36" customFormat="1" customHeight="1" s="4">
      <c r="B10" s="5" t="n"/>
      <c r="C10" s="6" t="n"/>
      <c r="D10" s="6" t="n"/>
      <c r="E10" s="6" t="n"/>
      <c r="F10" s="6" t="n"/>
      <c r="G10" s="13" t="n"/>
      <c r="H10" s="13" t="n"/>
      <c r="I10" s="14" t="n"/>
    </row>
  </sheetData>
  <mergeCells count="1">
    <mergeCell ref="B2:I2"/>
  </mergeCells>
  <pageMargins left="0.7" right="0.7" top="0.75" bottom="0.75" header="0.3" footer="0.3"/>
  <pageSetup orientation="portrait" paperSize="9" scale="63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N34"/>
  <sheetViews>
    <sheetView showGridLines="0" view="pageBreakPreview" topLeftCell="A6" zoomScale="60" zoomScaleNormal="100" workbookViewId="0">
      <selection activeCell="D27" sqref="D27:G28"/>
    </sheetView>
  </sheetViews>
  <sheetFormatPr baseColWidth="8" defaultColWidth="7.125" defaultRowHeight="15"/>
  <cols>
    <col width="1.375" customWidth="1" style="20" min="1" max="1"/>
    <col width="3.625" customWidth="1" style="20" min="2" max="2"/>
    <col width="15.5" customWidth="1" style="20" min="3" max="3"/>
    <col width="13.875" customWidth="1" style="20" min="4" max="4"/>
    <col width="11.75" customWidth="1" style="20" min="5" max="6"/>
    <col width="9.5" customWidth="1" style="142" min="7" max="7"/>
    <col width="11.75" customWidth="1" style="142" min="8" max="8"/>
    <col width="5.75" customWidth="1" style="142" min="9" max="9"/>
    <col width="5.375" customWidth="1" style="20" min="10" max="10"/>
    <col width="12.375" customWidth="1" style="20" min="11" max="11"/>
    <col width="21.875" customWidth="1" style="20" min="12" max="12"/>
    <col width="9.875" customWidth="1" style="20" min="13" max="13"/>
    <col width="13.125" customWidth="1" style="20" min="14" max="14"/>
    <col width="1.375" customWidth="1" style="20" min="15" max="15"/>
    <col width="7.125" customWidth="1" style="20" min="16" max="20"/>
    <col width="14.625" customWidth="1" style="20" min="21" max="21"/>
    <col width="11.75" customWidth="1" style="20" min="22" max="22"/>
    <col width="7.125" customWidth="1" style="20" min="23" max="16384"/>
  </cols>
  <sheetData>
    <row r="1" ht="18" customHeight="1" s="1"/>
    <row r="2" ht="34.5" customHeight="1" s="1">
      <c r="B2" s="43" t="inlineStr">
        <is>
          <t>Checksheet for Quality Process Audit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85" t="inlineStr">
        <is>
          <t>QM 04.00.21/Rev02</t>
        </is>
      </c>
      <c r="N2" s="86" t="n"/>
    </row>
    <row r="3" ht="20.25" customHeight="1" s="1">
      <c r="B3" s="32" t="inlineStr">
        <is>
          <t>1. 기본사항/ information basic</t>
        </is>
      </c>
    </row>
    <row r="4" ht="27.75" customHeight="1" s="1">
      <c r="B4" s="97" t="inlineStr">
        <is>
          <t>협력회사명 
Company name</t>
        </is>
      </c>
      <c r="C4" s="140" t="n"/>
      <c r="D4" s="141" t="n"/>
      <c r="E4" s="143" t="inlineStr">
        <is>
          <t>M&amp;C Electronics</t>
        </is>
      </c>
      <c r="F4" s="140" t="n"/>
      <c r="G4" s="141" t="n"/>
      <c r="H4" s="99" t="inlineStr">
        <is>
          <t>Audit 부서</t>
        </is>
      </c>
      <c r="I4" s="141" t="n"/>
      <c r="J4" s="106" t="inlineStr">
        <is>
          <t>QA team</t>
        </is>
      </c>
      <c r="K4" s="141" t="n"/>
      <c r="L4" s="97" t="inlineStr">
        <is>
          <t xml:space="preserve">평가일자&amp;Shift
Audit date&amp; Shift </t>
        </is>
      </c>
      <c r="M4" s="116" t="inlineStr">
        <is>
          <t>05-04-2024/ Day Shift</t>
        </is>
      </c>
      <c r="N4" s="141" t="n"/>
    </row>
    <row r="5" ht="28.5" customHeight="1" s="1">
      <c r="B5" s="97" t="inlineStr">
        <is>
          <t>피평가자(수검자명)/
피감사인/대상</t>
        </is>
      </c>
      <c r="C5" s="140" t="n"/>
      <c r="D5" s="141" t="n"/>
      <c r="E5" s="143" t="inlineStr">
        <is>
          <t>Process</t>
        </is>
      </c>
      <c r="F5" s="140" t="n"/>
      <c r="G5" s="141" t="n"/>
      <c r="H5" s="99" t="inlineStr">
        <is>
          <t>Auditor</t>
        </is>
      </c>
      <c r="I5" s="141" t="n"/>
      <c r="J5" s="106" t="inlineStr">
        <is>
          <t>Mrs.Nhung</t>
        </is>
      </c>
      <c r="K5" s="141" t="n"/>
      <c r="L5" s="97" t="inlineStr">
        <is>
          <t>등급 
Rank/ 등급</t>
        </is>
      </c>
      <c r="M5" s="106" t="inlineStr">
        <is>
          <t>A</t>
        </is>
      </c>
      <c r="N5" s="141" t="n"/>
    </row>
    <row r="6" ht="20.1" customHeight="1" s="1">
      <c r="B6" s="97" t="inlineStr">
        <is>
          <t>요금</t>
        </is>
      </c>
      <c r="C6" s="140" t="n"/>
      <c r="D6" s="141" t="n"/>
      <c r="E6" s="144">
        <f>L23</f>
        <v/>
      </c>
      <c r="F6" s="140" t="n"/>
      <c r="G6" s="141" t="n"/>
      <c r="J6" s="142" t="n"/>
      <c r="K6" s="142" t="n"/>
      <c r="L6" s="142" t="n"/>
      <c r="M6" s="142" t="n"/>
      <c r="N6" s="142" t="n"/>
    </row>
    <row r="7" ht="15" customHeight="1" s="1"/>
    <row r="8" ht="24.95" customHeight="1" s="1">
      <c r="B8" s="32" t="inlineStr">
        <is>
          <t>2. 평가결과/ Evaluation result</t>
        </is>
      </c>
    </row>
    <row r="9" ht="30.75" customHeight="1" s="1">
      <c r="B9" s="46" t="inlineStr">
        <is>
          <t>No</t>
        </is>
      </c>
      <c r="C9" s="46" t="inlineStr">
        <is>
          <t>평가항목 평가항목 평가항목</t>
        </is>
      </c>
      <c r="D9" s="140" t="n"/>
      <c r="E9" s="140" t="n"/>
      <c r="F9" s="140" t="n"/>
      <c r="G9" s="141" t="n"/>
      <c r="H9" s="99" t="inlineStr">
        <is>
          <t>배점 Point 점수</t>
        </is>
      </c>
      <c r="I9" s="141" t="n"/>
      <c r="J9" s="145" t="inlineStr">
        <is>
          <t>누적점수 달성</t>
        </is>
      </c>
      <c r="K9" s="141" t="n"/>
      <c r="L9" s="146" t="inlineStr">
        <is>
          <t>100점 환산 점수(%) 달성률</t>
        </is>
      </c>
    </row>
    <row r="10" ht="24" customHeight="1" s="1">
      <c r="B10" s="48" t="n">
        <v>1</v>
      </c>
      <c r="C10" s="147" t="inlineStr">
        <is>
          <t>1. 섹션/일반 일반관리</t>
        </is>
      </c>
      <c r="D10" s="140" t="n"/>
      <c r="E10" s="140" t="n"/>
      <c r="F10" s="140" t="n"/>
      <c r="G10" s="141" t="n"/>
      <c r="H10" s="148">
        <f>SUM('3. Check sheet audit'!$E$4:$E$12)</f>
        <v/>
      </c>
      <c r="I10" s="141" t="n"/>
      <c r="J10" s="148">
        <f>SUM('3. Check sheet audit'!$F$4:$F$12)</f>
        <v/>
      </c>
      <c r="K10" s="141" t="n"/>
      <c r="L10" s="47">
        <f>J10/H10</f>
        <v/>
      </c>
    </row>
    <row r="11" ht="24.75" customHeight="1" s="1">
      <c r="B11" s="48" t="n">
        <v>2</v>
      </c>
      <c r="C11" s="147" t="inlineStr">
        <is>
          <t>2. 원자재검사 및 투입검사</t>
        </is>
      </c>
      <c r="D11" s="140" t="n"/>
      <c r="E11" s="140" t="n"/>
      <c r="F11" s="140" t="n"/>
      <c r="G11" s="141" t="n"/>
      <c r="H11" s="148">
        <f>SUM('3. Check sheet audit'!E13:E22)</f>
        <v/>
      </c>
      <c r="I11" s="141" t="n"/>
      <c r="J11" s="148">
        <f>SUM('3. Check sheet audit'!F13:F22)</f>
        <v/>
      </c>
      <c r="K11" s="141" t="n"/>
      <c r="L11" s="47">
        <f>J11/H11</f>
        <v/>
      </c>
    </row>
    <row r="12" ht="24.75" customHeight="1" s="1">
      <c r="B12" s="48" t="n">
        <v>3</v>
      </c>
      <c r="C12" s="147" t="inlineStr">
        <is>
          <t>3. 작업 투입 단계</t>
        </is>
      </c>
      <c r="D12" s="140" t="n"/>
      <c r="E12" s="140" t="n"/>
      <c r="F12" s="140" t="n"/>
      <c r="G12" s="141" t="n"/>
      <c r="H12" s="148">
        <f>SUM('3. Check sheet audit'!E23:E35)</f>
        <v/>
      </c>
      <c r="I12" s="141" t="n"/>
      <c r="J12" s="148">
        <f>SUM('3. Check sheet audit'!F23:F35)</f>
        <v/>
      </c>
      <c r="K12" s="141" t="n"/>
      <c r="L12" s="47">
        <f>J12/H12</f>
        <v/>
      </c>
    </row>
    <row r="13" ht="24.75" customHeight="1" s="1">
      <c r="B13" s="48" t="n">
        <v>4</v>
      </c>
      <c r="C13" s="147" t="inlineStr">
        <is>
          <t>4. 공정 및 용도 성분 분석로 단계 및 용융 분석</t>
        </is>
      </c>
      <c r="D13" s="140" t="n"/>
      <c r="E13" s="140" t="n"/>
      <c r="F13" s="140" t="n"/>
      <c r="G13" s="141" t="n"/>
      <c r="H13" s="148">
        <f>SUM('3. Check sheet audit'!E36:E45)</f>
        <v/>
      </c>
      <c r="I13" s="141" t="n"/>
      <c r="J13" s="148">
        <f>SUM('3. Check sheet audit'!F36:F45)</f>
        <v/>
      </c>
      <c r="K13" s="141" t="n"/>
      <c r="L13" s="47">
        <f>J13/H13</f>
        <v/>
      </c>
    </row>
    <row r="14" ht="24.75" customHeight="1" s="1">
      <c r="B14" s="48" t="n">
        <v>5</v>
      </c>
      <c r="C14" s="147" t="inlineStr">
        <is>
          <t>5. 다이캐스팅 Die casting</t>
        </is>
      </c>
      <c r="D14" s="140" t="n"/>
      <c r="E14" s="140" t="n"/>
      <c r="F14" s="140" t="n"/>
      <c r="G14" s="141" t="n"/>
      <c r="H14" s="148">
        <f>SUM('3. Check sheet audit'!E46:E54)</f>
        <v/>
      </c>
      <c r="I14" s="141" t="n"/>
      <c r="J14" s="148">
        <f>SUM('3. Check sheet audit'!F46:F54)</f>
        <v/>
      </c>
      <c r="K14" s="141" t="n"/>
      <c r="L14" s="47">
        <f>J14/H14</f>
        <v/>
      </c>
    </row>
    <row r="15" ht="24.75" customHeight="1" s="1">
      <c r="B15" s="48" t="n">
        <v>6</v>
      </c>
      <c r="C15" s="147" t="inlineStr">
        <is>
          <t>6. 트리밍 및 샷 블래스터</t>
        </is>
      </c>
      <c r="D15" s="140" t="n"/>
      <c r="E15" s="140" t="n"/>
      <c r="F15" s="140" t="n"/>
      <c r="G15" s="141" t="n"/>
      <c r="H15" s="148">
        <f>SUM('3. Check sheet audit'!E55:E67)</f>
        <v/>
      </c>
      <c r="I15" s="141" t="n"/>
      <c r="J15" s="148">
        <f>SUM('3. Check sheet audit'!F55:F67)</f>
        <v/>
      </c>
      <c r="K15" s="141" t="n"/>
      <c r="L15" s="47">
        <f>J15/H15</f>
        <v/>
      </c>
    </row>
    <row r="16" ht="24.75" customHeight="1" s="1">
      <c r="B16" s="48" t="n">
        <v>7</v>
      </c>
      <c r="C16" s="147" t="inlineStr">
        <is>
          <t>7. 연마 및 핫프레스 Polishing &amp;Hot Press</t>
        </is>
      </c>
      <c r="D16" s="140" t="n"/>
      <c r="E16" s="140" t="n"/>
      <c r="F16" s="140" t="n"/>
      <c r="G16" s="141" t="n"/>
      <c r="H16" s="148">
        <f>SUM('3. Check sheet audit'!E68:E74)</f>
        <v/>
      </c>
      <c r="I16" s="141" t="n"/>
      <c r="J16" s="148">
        <f>SUM('3. Check sheet audit'!F68:F74)</f>
        <v/>
      </c>
      <c r="K16" s="141" t="n"/>
      <c r="L16" s="47">
        <f>J16/H16</f>
        <v/>
      </c>
    </row>
    <row r="17" ht="24.75" customHeight="1" s="1">
      <c r="B17" s="48" t="n">
        <v>8</v>
      </c>
      <c r="C17" s="147" t="inlineStr">
        <is>
          <t>8. 배럴 및 크로메이트 Barrel &amp; Chromate</t>
        </is>
      </c>
      <c r="D17" s="140" t="n"/>
      <c r="E17" s="140" t="n"/>
      <c r="F17" s="140" t="n"/>
      <c r="G17" s="141" t="n"/>
      <c r="H17" s="148">
        <f>SUM('3. Check sheet audit'!E75:E85)</f>
        <v/>
      </c>
      <c r="I17" s="141" t="n"/>
      <c r="J17" s="148">
        <f>SUM('3. Check sheet audit'!F75:F85)</f>
        <v/>
      </c>
      <c r="K17" s="141" t="n"/>
      <c r="L17" s="47">
        <f>J17/H17</f>
        <v/>
      </c>
    </row>
    <row r="18" ht="24.75" customHeight="1" s="1">
      <c r="B18" s="48" t="n">
        <v>9</v>
      </c>
      <c r="C18" s="147" t="inlineStr">
        <is>
          <t>9. 가공 CNC 가공</t>
        </is>
      </c>
      <c r="D18" s="140" t="n"/>
      <c r="E18" s="140" t="n"/>
      <c r="F18" s="140" t="n"/>
      <c r="G18" s="141" t="n"/>
      <c r="H18" s="148">
        <f>SUM('3. Check sheet audit'!E86:E103)</f>
        <v/>
      </c>
      <c r="I18" s="141" t="n"/>
      <c r="J18" s="148">
        <f>SUM('3. Check sheet audit'!F86:F103)</f>
        <v/>
      </c>
      <c r="K18" s="141" t="n"/>
      <c r="L18" s="47">
        <f>J18/H18</f>
        <v/>
      </c>
    </row>
    <row r="19" ht="24.75" customHeight="1" s="1">
      <c r="B19" s="48" t="n">
        <v>10</v>
      </c>
      <c r="C19" s="147" t="inlineStr">
        <is>
          <t>10. 세척 Cleaning</t>
        </is>
      </c>
      <c r="D19" s="140" t="n"/>
      <c r="E19" s="140" t="n"/>
      <c r="F19" s="140" t="n"/>
      <c r="G19" s="141" t="n"/>
      <c r="H19" s="148">
        <f>SUM('3. Check sheet audit'!E104:E108)</f>
        <v/>
      </c>
      <c r="I19" s="141" t="n"/>
      <c r="J19" s="148">
        <f>SUM('3. Check sheet audit'!F104:F108)</f>
        <v/>
      </c>
      <c r="K19" s="141" t="n"/>
      <c r="L19" s="47">
        <f>J19/H19</f>
        <v/>
      </c>
    </row>
    <row r="20" ht="24.75" customHeight="1" s="1">
      <c r="B20" s="48" t="n">
        <v>11</v>
      </c>
      <c r="C20" s="147" t="inlineStr">
        <is>
          <t>11. 인쇄 및 레이저 및 조립 Print &amp; Laser &amp; Assy</t>
        </is>
      </c>
      <c r="D20" s="140" t="n"/>
      <c r="E20" s="140" t="n"/>
      <c r="F20" s="140" t="n"/>
      <c r="G20" s="141" t="n"/>
      <c r="H20" s="148">
        <f>SUM('3. Check sheet audit'!E109:E125)</f>
        <v/>
      </c>
      <c r="I20" s="141" t="n"/>
      <c r="J20" s="148">
        <f>SUM('3. Check sheet audit'!F109:F125)</f>
        <v/>
      </c>
      <c r="K20" s="141" t="n"/>
      <c r="L20" s="47">
        <f>J20/H20</f>
        <v/>
      </c>
    </row>
    <row r="21" ht="24.75" customHeight="1" s="1">
      <c r="B21" s="48" t="n">
        <v>12</v>
      </c>
      <c r="C21" s="147" t="inlineStr">
        <is>
          <t>12. 단계 및 누출 테스트</t>
        </is>
      </c>
      <c r="D21" s="140" t="n"/>
      <c r="E21" s="140" t="n"/>
      <c r="F21" s="140" t="n"/>
      <c r="G21" s="141" t="n"/>
      <c r="H21" s="148">
        <f>SUM('3. Check sheet audit'!E126:E135)</f>
        <v/>
      </c>
      <c r="I21" s="141" t="n"/>
      <c r="J21" s="148">
        <f>SUM('3. Check sheet audit'!F126:F135)</f>
        <v/>
      </c>
      <c r="K21" s="141" t="n"/>
      <c r="L21" s="47">
        <f>J21/H21</f>
        <v/>
      </c>
    </row>
    <row r="22" ht="24.75" customHeight="1" s="1">
      <c r="B22" s="48" t="n">
        <v>13</v>
      </c>
      <c r="C22" s="147" t="inlineStr">
        <is>
          <t>13. 검사 및 출하 공정검사 및 출하</t>
        </is>
      </c>
      <c r="D22" s="140" t="n"/>
      <c r="E22" s="140" t="n"/>
      <c r="F22" s="140" t="n"/>
      <c r="G22" s="141" t="n"/>
      <c r="H22" s="148">
        <f>SUM('3. Check sheet audit'!E136:E145)</f>
        <v/>
      </c>
      <c r="I22" s="141" t="n"/>
      <c r="J22" s="148">
        <f>SUM('3. Check sheet audit'!F136:F145)</f>
        <v/>
      </c>
      <c r="K22" s="141" t="n"/>
      <c r="L22" s="47">
        <f>J22/H22</f>
        <v/>
      </c>
    </row>
    <row r="23" ht="20.1" customHeight="1" s="1">
      <c r="B23" s="149" t="inlineStr">
        <is>
          <t>Total</t>
        </is>
      </c>
      <c r="C23" s="140" t="n"/>
      <c r="D23" s="140" t="n"/>
      <c r="E23" s="140" t="n"/>
      <c r="F23" s="140" t="n"/>
      <c r="G23" s="141" t="n"/>
      <c r="H23" s="150">
        <f>SUM(H10:H22)</f>
        <v/>
      </c>
      <c r="I23" s="141" t="n"/>
      <c r="J23" s="150">
        <f>SUM(J10:J22)</f>
        <v/>
      </c>
      <c r="K23" s="141" t="n"/>
      <c r="L23" s="58">
        <f>J23/H23</f>
        <v/>
      </c>
    </row>
    <row r="24" ht="20.1" customHeight="1" s="1">
      <c r="B24" s="34" t="n"/>
      <c r="C24" s="34" t="n"/>
      <c r="D24" s="34" t="n"/>
      <c r="E24" s="16" t="n"/>
      <c r="F24" s="151" t="n"/>
      <c r="G24" s="152" t="n"/>
      <c r="H24" s="19" t="n"/>
    </row>
    <row r="25"/>
    <row r="26" ht="20.25" customHeight="1" s="1">
      <c r="B26" s="32" t="inlineStr">
        <is>
          <t>3. Audit 평가 등급  Evaluation result</t>
        </is>
      </c>
      <c r="C26" s="32" t="n"/>
      <c r="D26" s="32" t="n"/>
      <c r="E26" s="32" t="n"/>
      <c r="F26" s="32" t="n"/>
      <c r="G26" s="32" t="n"/>
    </row>
    <row r="27" ht="12" customHeight="1" s="1">
      <c r="B27" s="90" t="inlineStr">
        <is>
          <t>배점기준
포인트 배분 기준</t>
        </is>
      </c>
      <c r="C27" s="153" t="n"/>
      <c r="D27" s="119" t="inlineStr">
        <is>
          <t>충분히 진행하고 증거가 있습니다/완료되었으며 충분한 증거가 있습니다: 4/3/2</t>
        </is>
      </c>
      <c r="E27" s="140" t="n"/>
      <c r="F27" s="140" t="n"/>
      <c r="G27" s="141" t="n"/>
    </row>
    <row r="28" ht="12" customHeight="1" s="1">
      <c r="B28" s="154" t="n"/>
      <c r="C28" s="155" t="n"/>
      <c r="D28" s="119" t="inlineStr">
        <is>
          <t>실행은 하지만 불충분하다/ Incomplete &amp; 없음/ 없음: 0</t>
        </is>
      </c>
      <c r="E28" s="140" t="n"/>
      <c r="F28" s="140" t="n"/>
      <c r="G28" s="141" t="n"/>
    </row>
    <row r="29" ht="6.75" customHeight="1" s="1">
      <c r="B29" s="59" t="n"/>
      <c r="C29" s="59" t="n"/>
      <c r="D29" s="59" t="n"/>
      <c r="E29" s="59" t="n"/>
      <c r="F29" s="59" t="n"/>
      <c r="G29" s="59" t="n"/>
    </row>
    <row r="30" ht="27" customHeight="1" s="1">
      <c r="B30" s="49" t="inlineStr">
        <is>
          <t>No</t>
        </is>
      </c>
      <c r="C30" s="118" t="inlineStr">
        <is>
          <t>Rank/ 등급</t>
        </is>
      </c>
      <c r="D30" s="118" t="inlineStr">
        <is>
          <t>점수/점수</t>
        </is>
      </c>
      <c r="E30" s="118" t="inlineStr">
        <is>
          <t>세부정보/ 세부정보</t>
        </is>
      </c>
      <c r="F30" s="140" t="n"/>
      <c r="G30" s="141" t="n"/>
    </row>
    <row r="31" ht="34.5" customHeight="1" s="1">
      <c r="B31" s="35" t="n">
        <v>1</v>
      </c>
      <c r="C31" s="36" t="inlineStr">
        <is>
          <t>□ A – 좋음
         좋음</t>
        </is>
      </c>
      <c r="D31" s="37" t="inlineStr">
        <is>
          <t>&gt; 90</t>
        </is>
      </c>
      <c r="E31" s="105" t="inlineStr">
        <is>
          <t>Pass/합격</t>
        </is>
      </c>
      <c r="F31" s="156" t="n"/>
      <c r="G31" s="153" t="n"/>
    </row>
    <row r="32" ht="31.5" customHeight="1" s="1">
      <c r="B32" s="38" t="n">
        <v>2</v>
      </c>
      <c r="C32" s="39" t="inlineStr">
        <is>
          <t>□ B – 좋음 
   꽤 괜찮아</t>
        </is>
      </c>
      <c r="D32" s="40" t="inlineStr">
        <is>
          <t>80~90</t>
        </is>
      </c>
      <c r="E32" s="154" t="n"/>
      <c r="F32" s="157" t="n"/>
      <c r="G32" s="155" t="n"/>
    </row>
    <row r="33" ht="31.5" customHeight="1" s="1">
      <c r="B33" s="38" t="n">
        <v>3</v>
      </c>
      <c r="C33" s="39" t="inlineStr">
        <is>
          <t xml:space="preserve"> □ C - 평균/ 
    Not good</t>
        </is>
      </c>
      <c r="D33" s="41" t="inlineStr">
        <is>
          <t>65~79</t>
        </is>
      </c>
      <c r="E33" s="105" t="inlineStr">
        <is>
          <t>실패/개선 필요 및 개선 후 재평가 필요</t>
        </is>
      </c>
      <c r="F33" s="156" t="n"/>
      <c r="G33" s="153" t="n"/>
    </row>
    <row r="34" ht="39.75" customHeight="1" s="1">
      <c r="B34" s="35" t="n">
        <v>4</v>
      </c>
      <c r="C34" s="36" t="inlineStr">
        <is>
          <t>□ D - 약함
         나쁨</t>
        </is>
      </c>
      <c r="D34" s="42" t="inlineStr">
        <is>
          <t>＜65</t>
        </is>
      </c>
      <c r="E34" s="154" t="n"/>
      <c r="F34" s="157" t="n"/>
      <c r="G34" s="155" t="n"/>
    </row>
  </sheetData>
  <mergeCells count="63">
    <mergeCell ref="H20:I20"/>
    <mergeCell ref="J5:K5"/>
    <mergeCell ref="H10:I10"/>
    <mergeCell ref="J14:K14"/>
    <mergeCell ref="C15:G15"/>
    <mergeCell ref="J10:K10"/>
    <mergeCell ref="B23:G23"/>
    <mergeCell ref="J19:K19"/>
    <mergeCell ref="M5:N5"/>
    <mergeCell ref="H4:I4"/>
    <mergeCell ref="E30:G30"/>
    <mergeCell ref="C14:G14"/>
    <mergeCell ref="J13:K13"/>
    <mergeCell ref="H9:I9"/>
    <mergeCell ref="E6:G6"/>
    <mergeCell ref="J9:K9"/>
    <mergeCell ref="H21:I21"/>
    <mergeCell ref="C20:G20"/>
    <mergeCell ref="J23:K23"/>
    <mergeCell ref="C10:G10"/>
    <mergeCell ref="C16:G16"/>
    <mergeCell ref="J15:K15"/>
    <mergeCell ref="C22:G22"/>
    <mergeCell ref="E33:G34"/>
    <mergeCell ref="B6:D6"/>
    <mergeCell ref="C9:G9"/>
    <mergeCell ref="H17:I17"/>
    <mergeCell ref="H11:I11"/>
    <mergeCell ref="J4:K4"/>
    <mergeCell ref="B5:D5"/>
    <mergeCell ref="J20:K20"/>
    <mergeCell ref="C12:G12"/>
    <mergeCell ref="J11:K11"/>
    <mergeCell ref="H16:I16"/>
    <mergeCell ref="C21:G21"/>
    <mergeCell ref="J16:K16"/>
    <mergeCell ref="B4:D4"/>
    <mergeCell ref="C11:G11"/>
    <mergeCell ref="H19:I19"/>
    <mergeCell ref="H22:I22"/>
    <mergeCell ref="D27:G27"/>
    <mergeCell ref="J22:K22"/>
    <mergeCell ref="H13:I13"/>
    <mergeCell ref="B27:C28"/>
    <mergeCell ref="C17:G17"/>
    <mergeCell ref="E31:G32"/>
    <mergeCell ref="H12:I12"/>
    <mergeCell ref="J21:K21"/>
    <mergeCell ref="J12:K12"/>
    <mergeCell ref="M4:N4"/>
    <mergeCell ref="E5:G5"/>
    <mergeCell ref="H18:I18"/>
    <mergeCell ref="H15:I15"/>
    <mergeCell ref="J18:K18"/>
    <mergeCell ref="C19:G19"/>
    <mergeCell ref="H5:I5"/>
    <mergeCell ref="H23:I23"/>
    <mergeCell ref="E4:G4"/>
    <mergeCell ref="H14:I14"/>
    <mergeCell ref="C13:G13"/>
    <mergeCell ref="C18:G18"/>
    <mergeCell ref="D28:G28"/>
    <mergeCell ref="J17:K17"/>
  </mergeCells>
  <conditionalFormatting sqref="A11:A12 O11:IU12">
    <cfRule type="expression" priority="28" dxfId="0" stopIfTrue="1">
      <formula>F11&lt;G11</formula>
    </cfRule>
  </conditionalFormatting>
  <printOptions horizontalCentered="1"/>
  <pageMargins left="0.3937007874015748" right="0.3937007874015748" top="0.3937007874015748" bottom="0.17" header="0.25" footer="0.25"/>
  <pageSetup orientation="landscape" paperSize="9" scale="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8"/>
  <sheetViews>
    <sheetView showGridLines="0" view="pageBreakPreview" topLeftCell="A133" zoomScaleNormal="100" zoomScaleSheetLayoutView="100" workbookViewId="0">
      <selection activeCell="D148" sqref="D148:G148"/>
    </sheetView>
  </sheetViews>
  <sheetFormatPr baseColWidth="8" defaultRowHeight="15"/>
  <cols>
    <col width="3" customWidth="1" style="21" min="1" max="1"/>
    <col width="9" customWidth="1" style="21" min="2" max="2"/>
    <col width="6.25" customWidth="1" style="65" min="3" max="3"/>
    <col width="101.25" customWidth="1" style="65" min="4" max="4"/>
    <col width="7.75" customWidth="1" style="65" min="5" max="5"/>
    <col width="9" customWidth="1" style="21" min="6" max="6"/>
    <col width="39.875" customWidth="1" style="21" min="7" max="7"/>
    <col width="9" customWidth="1" style="21" min="8" max="16384"/>
  </cols>
  <sheetData>
    <row r="1" ht="9" customHeight="1" s="1"/>
    <row r="2" ht="15.75" customHeight="1" s="1" thickBot="1">
      <c r="B2" s="22" t="inlineStr">
        <is>
          <t>QUALITY PROCESS AUDIT CHECK SHEET</t>
        </is>
      </c>
      <c r="E2" s="21" t="inlineStr">
        <is>
          <t>QM 04.00.21/Rev02</t>
        </is>
      </c>
    </row>
    <row r="3" ht="64.5" customHeight="1" s="1">
      <c r="B3" s="79" t="inlineStr">
        <is>
          <t>Process</t>
        </is>
      </c>
      <c r="C3" s="70" t="inlineStr">
        <is>
          <t>Question no.</t>
        </is>
      </c>
      <c r="D3" s="67" t="inlineStr">
        <is>
          <t>항목 또는 사양 관리
관리 카테고리 및 Spec</t>
        </is>
      </c>
      <c r="E3" s="67" t="inlineStr">
        <is>
          <t>Standard score</t>
        </is>
      </c>
      <c r="F3" s="66" t="inlineStr">
        <is>
          <t>결과(점수)
결과
(포인트 수)</t>
        </is>
      </c>
      <c r="G3" s="80" t="inlineStr">
        <is>
          <t>Comments</t>
        </is>
      </c>
    </row>
    <row r="4" ht="29.25" customHeight="1" s="1">
      <c r="B4" s="125" t="inlineStr">
        <is>
          <t>1. 공통
Chung</t>
        </is>
      </c>
      <c r="C4" s="61" t="inlineStr">
        <is>
          <t>1.1</t>
        </is>
      </c>
      <c r="D4" s="62" t="inlineStr">
        <is>
          <t>불편하게 사용하는 것을 방지하기 위해 E/P 적용 
체크바코드 적용시 오류방지를 위해 E/P가 적용되나요?</t>
        </is>
      </c>
      <c r="E4" s="62" t="n">
        <v>3</v>
      </c>
      <c r="F4" s="62" t="n"/>
      <c r="G4" s="75" t="n"/>
    </row>
    <row r="5" ht="29.25" customHeight="1" s="1">
      <c r="B5" s="158" t="n"/>
      <c r="C5" s="61" t="inlineStr">
        <is>
          <t>1.4</t>
        </is>
      </c>
      <c r="D5" s="62" t="inlineStr">
        <is>
          <t>낙하품 처리 절차 및 이력 관리 여부
낙하물 처리에 대한 관리 이력 및 확립된 절차가 있습니까?</t>
        </is>
      </c>
      <c r="E5" s="62" t="n">
        <v>2</v>
      </c>
      <c r="F5" s="62" t="n"/>
      <c r="G5" s="75" t="n"/>
    </row>
    <row r="6" ht="29.25" customHeight="1" s="1">
      <c r="B6" s="158" t="n"/>
      <c r="C6" s="61" t="inlineStr">
        <is>
          <t>1.5</t>
        </is>
      </c>
      <c r="D6" s="62" t="inlineStr">
        <is>
          <t>공정 오류율 관리 및 모니터링이 가능한가요?
공정하게 공정을 모니터링하는 것은 공정율을 관리하는 것입니까?</t>
        </is>
      </c>
      <c r="E6" s="62" t="n">
        <v>3</v>
      </c>
      <c r="F6" s="62" t="n"/>
      <c r="G6" s="75" t="n"/>
    </row>
    <row r="7" ht="29.25" customHeight="1" s="1">
      <c r="B7" s="158" t="n"/>
      <c r="C7" s="61" t="inlineStr">
        <is>
          <t>1.6</t>
        </is>
      </c>
      <c r="D7" s="62" t="inlineStr">
        <is>
          <t>사업 목표를 잘 관리하기 위해 KPI를 설정한 물건을 갖고 싶습니까?
KPI를 설정하고 업무 목표를 잘 관리할 수 있는 기반이 있나요?</t>
        </is>
      </c>
      <c r="E7" s="62" t="n">
        <v>4</v>
      </c>
      <c r="F7" s="62" t="n"/>
      <c r="G7" s="75" t="n"/>
    </row>
    <row r="8" ht="29.25" customHeight="1" s="1">
      <c r="B8" s="158" t="n"/>
      <c r="C8" s="61" t="inlineStr">
        <is>
          <t>1.7</t>
        </is>
      </c>
      <c r="D8" s="62" t="inlineStr">
        <is>
          <t>내부 교육 및 역량 강화 계획이 마련되어 있습니까?
내부 교육 및 강화 계획?</t>
        </is>
      </c>
      <c r="E8" s="62" t="n">
        <v>2</v>
      </c>
      <c r="F8" s="62" t="n"/>
      <c r="G8" s="75" t="n"/>
    </row>
    <row r="9" ht="29.25" customHeight="1" s="1">
      <c r="B9" s="158" t="n"/>
      <c r="C9" s="61" t="inlineStr">
        <is>
          <t>1.8</t>
        </is>
      </c>
      <c r="D9" s="62" t="inlineStr">
        <is>
          <t>직무별 능력 인증을 관리하고 인정받는 것이 있습니다.
직무별 역량인증 및 인증서류 관리가 있습니다.</t>
        </is>
      </c>
      <c r="E9" s="62" t="n">
        <v>2</v>
      </c>
      <c r="F9" s="62" t="n"/>
      <c r="G9" s="75" t="n"/>
    </row>
    <row r="10" ht="43.5" customHeight="1" s="1">
      <c r="B10" s="158" t="n"/>
      <c r="C10" s="61" t="inlineStr">
        <is>
          <t>1.9</t>
        </is>
      </c>
      <c r="D10" s="68" t="inlineStr">
        <is>
          <t>투명 위험 분석(예: PFMEA), 관리 계획 및 관련 항목의 형태를 중요하게 생각합니다.
 프로세스 위험 분석(예: PFMEA), 제어 계획 및 관련 문서의 효과적인 구현을 감사합니까?</t>
        </is>
      </c>
      <c r="E10" s="62" t="n">
        <v>4</v>
      </c>
      <c r="F10" s="62" t="n"/>
      <c r="G10" s="75" t="n"/>
    </row>
    <row r="11" ht="69.75" customHeight="1" s="1">
      <c r="B11" s="158" t="n"/>
      <c r="C11" s="61" t="inlineStr">
        <is>
          <t>1.10</t>
        </is>
      </c>
      <c r="D11" s="60" t="inlineStr">
        <is>
          <t>위치 태그인 및 스캔으로 처리하는 것이 가능합니다(도면에 있어서 필수 사항)
* LGIT와 동일사양, 동일 조건 검색 기원 * 용도를 리딩 테스트 기준 설정 영역확보 * 사용자를 위한 및 기록 관리 필수
바코드 스캔 및 조각을 통한 추적성 보장(항목이 도면에 반영되어야 함)
* LGIT와 동일한 사양, 동일한 스캔 조건으로 스캔하는 것이 좋습니다. * 바코드 판독을 위한 TEST 기준 설정 근거 제시 필요 * 기록 관리 및 레벨 평가(레벨)의 유효성 계산 필요</t>
        </is>
      </c>
      <c r="E11" s="60" t="n">
        <v>3</v>
      </c>
      <c r="F11" s="60" t="n"/>
      <c r="G11" s="75" t="n"/>
    </row>
    <row r="12" ht="36" customHeight="1" s="1" thickBot="1">
      <c r="B12" s="159" t="n"/>
      <c r="C12" s="76" t="inlineStr">
        <is>
          <t>1.11</t>
        </is>
      </c>
      <c r="D12" s="81" t="inlineStr">
        <is>
          <t>컨테이너 재가동 처리 여부(휴지 시간,폐기 수량, 조치 사항 등)
기계가 다시 작동할 수 있도록 프로세스가 설정되어 있습니까(휴식시간, 폐기물량, 처리항목 등)</t>
        </is>
      </c>
      <c r="E12" s="81" t="n">
        <v>2</v>
      </c>
      <c r="F12" s="81" t="n"/>
      <c r="G12" s="78" t="n"/>
    </row>
    <row r="13" ht="108.75" customHeight="1" s="1">
      <c r="B13" s="136" t="inlineStr">
        <is>
          <t>2. 수입검사
그리고
원자재 보관
원자재 보관 및 투입검사</t>
        </is>
      </c>
      <c r="C13" s="71" t="inlineStr">
        <is>
          <t>2.1</t>
        </is>
      </c>
      <c r="D13" s="73" t="inlineStr">
        <is>
          <t>병력재 검사 기준 정합성 및 구체화 상태
감시 조건 필수 포함 항목 : 기포, 보호, 보호, 이물, 보호하는 등의 것
파단면 검사(한도견본 활용 가능)
예) 기포 크기 = 가로x세로 20mm 이하 Ø3mm 이하
원자재 육안검사 기준 적합성 및 이행현황
항목에는 필수 검사 기준이 포함됩니다: 기공 없음, 돌기 없음, 먼지, 이물질, 녹... 
단면검사 실시여부(검사한계시료 이용)
※ 에어피트 크기 = 길이 X 폭 20mm 이내, Ø 3mm 미만</t>
        </is>
      </c>
      <c r="E13" s="73" t="n">
        <v>3</v>
      </c>
      <c r="F13" s="73" t="n"/>
      <c r="G13" s="74" t="n"/>
    </row>
    <row r="14" ht="50.25" customHeight="1" s="1">
      <c r="B14" s="158" t="n"/>
      <c r="C14" s="61" t="inlineStr">
        <is>
          <t>2.2</t>
        </is>
      </c>
      <c r="D14" s="60" t="inlineStr">
        <is>
          <t>Cu, Si, Mg, Zn, Fe, Mn, Ni, Sn, Al 산염량 확인
※ HKMC 기준 MS-SPEC 만족할 것 (AL 종류별)
    타 고객의 고객 요구 사항에 만족할 것입니다
원료 조성 시험 현황(Cu, Si, Mg, Zn, Fe, Mn, Ni, Sn, Al 함량 확인)
※ MS-SPEC은 HKMC 규격을 만족합니다.(AL합금 종류별)
타사인 경우에는 고객의 요구사항을 만족시켜야 합니다.</t>
        </is>
      </c>
      <c r="E14" s="60" t="n">
        <v>3</v>
      </c>
      <c r="F14" s="60" t="n"/>
      <c r="G14" s="75" t="n"/>
    </row>
    <row r="15" ht="50.25" customHeight="1" s="1">
      <c r="B15" s="158" t="n"/>
      <c r="C15" s="61" t="inlineStr">
        <is>
          <t>2.3</t>
        </is>
      </c>
      <c r="D15" s="60" t="inlineStr">
        <is>
          <t>원자재 중 금속 물질 검사(MS201-2 만족할 것)
※ M/SHEET 측정값 비교 검증
원재료 유해물질 중금속 검사(MS201-2 충족)
 ※ M/SHEET 부품 측정값 확인 및 비교</t>
        </is>
      </c>
      <c r="E15" s="60" t="n">
        <v>3</v>
      </c>
      <c r="F15" s="60" t="n"/>
      <c r="G15" s="75" t="n"/>
    </row>
    <row r="16" ht="50.25" customHeight="1" s="1">
      <c r="B16" s="158" t="n"/>
      <c r="C16" s="61" t="inlineStr">
        <is>
          <t>2.4</t>
        </is>
      </c>
      <c r="D16" s="60" t="inlineStr">
        <is>
          <t>부품 관련 분야 업체 VS 수입검사 관리 관련 中 (SI, FE, CU ) --&gt; 주조성, 파단력 영향
--&gt; 초기 유치원관리 Spec.
입력 확인 차이와 주요 부품 Vendor(SI, FE, CU) --&gt; 가공성, 성형성, 파괴력(파괴력)의 영향 관리
--&gt; Spec이 초기 차이를 관리하는지 확인하세요.</t>
        </is>
      </c>
      <c r="E16" s="60" t="n">
        <v>2</v>
      </c>
      <c r="F16" s="60" t="n"/>
      <c r="G16" s="75" t="n"/>
    </row>
    <row r="17" ht="41.25" customHeight="1" s="1">
      <c r="B17" s="158" t="n"/>
      <c r="C17" s="61" t="inlineStr">
        <is>
          <t>2.5</t>
        </is>
      </c>
      <c r="D17" s="60" t="inlineStr">
        <is>
          <t>착용품 검사 전/후합부판정 식별 TAG부착(혼입방지) 
검사 전/후에 합격/불합격품과 입고품을 구별하기 위해 TAG를 부착하세요. 
 (상품이 섞이지 않도록 하세요)</t>
        </is>
      </c>
      <c r="E17" s="60" t="n">
        <v>3</v>
      </c>
      <c r="F17" s="60" t="n"/>
      <c r="G17" s="75" t="n"/>
    </row>
    <row r="18" ht="29.25" customHeight="1" s="1">
      <c r="B18" s="158" t="n"/>
      <c r="C18" s="61" t="inlineStr">
        <is>
          <t>2.6</t>
        </is>
      </c>
      <c r="D18" s="62" t="inlineStr">
        <is>
          <t>체리품 재별 /업체별 분류 분류
 원자재/판매자별 입고물품 분류 및 정리</t>
        </is>
      </c>
      <c r="E18" s="60" t="n">
        <v>2</v>
      </c>
      <c r="F18" s="60" t="n"/>
      <c r="G18" s="75" t="n"/>
    </row>
    <row r="19" ht="29.25" customHeight="1" s="1">
      <c r="B19" s="158" t="n"/>
      <c r="C19" s="61" t="inlineStr">
        <is>
          <t>2.7</t>
        </is>
      </c>
      <c r="D19" s="60" t="inlineStr">
        <is>
          <t>원자재 현황판 비치(안전재고 설정)
원자재 재고현황표 정리(안전재고 설정)</t>
        </is>
      </c>
      <c r="E19" s="60" t="n">
        <v>2</v>
      </c>
      <c r="F19" s="60" t="n"/>
      <c r="G19" s="75" t="n"/>
    </row>
    <row r="20" ht="29.25" customHeight="1" s="1">
      <c r="B20" s="158" t="n"/>
      <c r="C20" s="61" t="inlineStr">
        <is>
          <t>2.8</t>
        </is>
      </c>
      <c r="D20" s="60" t="inlineStr">
        <is>
          <t>원자재 선입선출 운영 
운영 선수입, 선외출 원자재</t>
        </is>
      </c>
      <c r="E20" s="60" t="n">
        <v>3</v>
      </c>
      <c r="F20" s="60" t="n"/>
      <c r="G20" s="75" t="n"/>
    </row>
    <row r="21" ht="29.25" customHeight="1" s="1">
      <c r="B21" s="158" t="n"/>
      <c r="C21" s="61" t="inlineStr">
        <is>
          <t>2.9</t>
        </is>
      </c>
      <c r="D21" s="60" t="inlineStr">
        <is>
          <t>원자재 부적합인증격리, 반송파 및 힘관리
NG자재 분리관리, 반품 및 이력관리</t>
        </is>
      </c>
      <c r="E21" s="60" t="n">
        <v>3</v>
      </c>
      <c r="F21" s="60" t="n"/>
      <c r="G21" s="75" t="n"/>
    </row>
    <row r="22" ht="29.25" customHeight="1" s="1" thickBot="1">
      <c r="B22" s="159" t="n"/>
      <c r="C22" s="76" t="inlineStr">
        <is>
          <t>2.10</t>
        </is>
      </c>
      <c r="D22" s="77" t="inlineStr">
        <is>
          <t>원자재 보관 및 수입 검사 장소 3정5S 업무
실행/수행 3D5S 원자재 보관 위치 및 투입 검사 위치</t>
        </is>
      </c>
      <c r="E22" s="77" t="n">
        <v>2</v>
      </c>
      <c r="F22" s="77" t="n"/>
      <c r="G22" s="78" t="n"/>
    </row>
    <row r="23" ht="25.5" customHeight="1" s="1">
      <c r="B23" s="160" t="inlineStr">
        <is>
          <t>3. 주입 단계
심사공정</t>
        </is>
      </c>
      <c r="C23" s="71" t="inlineStr">
        <is>
          <t>3.1</t>
        </is>
      </c>
      <c r="D23" s="73" t="inlineStr">
        <is>
          <t>레진 관리(보존 포함)에 대한 기준이 있나요? 표준을 준수합니까?
RESIN에 대한 관리 기준(보관 포함)은 설정되어 인증 기준을 준수하도록 합니까?</t>
        </is>
      </c>
      <c r="E23" s="73" t="n">
        <v>3</v>
      </c>
      <c r="F23" s="73" t="n"/>
      <c r="G23" s="74" t="n"/>
    </row>
    <row r="24" ht="25.5" customHeight="1" s="1">
      <c r="B24" s="158" t="n"/>
      <c r="C24" s="61" t="inlineStr">
        <is>
          <t>3.2</t>
        </is>
      </c>
      <c r="D24" s="60" t="inlineStr">
        <is>
          <t>레진의 건조시간과 온도를 조절할 수 있나요?
RESIN의 건조시간 및 온도를 관리가공하는가?</t>
        </is>
      </c>
      <c r="E24" s="60" t="n">
        <v>2</v>
      </c>
      <c r="F24" s="60" t="n"/>
      <c r="G24" s="75" t="n"/>
    </row>
    <row r="25" ht="25.5" customHeight="1" s="1">
      <c r="B25" s="158" t="n"/>
      <c r="C25" s="61" t="inlineStr">
        <is>
          <t>3.4</t>
        </is>
      </c>
      <c r="D25" s="60" t="inlineStr">
        <is>
          <t>Vendor 사출/사출기 번호가 승인서 내용과 동일합니까? (동일 Vendor/동일 제조사/확인 TON 번호 동일 주입)
메이저 업체/사출호 가원 내용과 일치하는가?(동일회사내부/동일사출 /동일사출 TON수 인정)</t>
        </is>
      </c>
      <c r="E25" s="60" t="n">
        <v>2</v>
      </c>
      <c r="F25" s="60" t="n"/>
      <c r="G25" s="75" t="n"/>
    </row>
    <row r="26" ht="38.25" customHeight="1" s="1">
      <c r="B26" s="158" t="n"/>
      <c r="C26" s="61" t="inlineStr">
        <is>
          <t>3.5</t>
        </is>
      </c>
      <c r="D26" s="60" t="inlineStr">
        <is>
          <t>사출기 설정값과 승인성형조건표가 동일하고 허용오차 ±10% 이내인가요? (노즐/실린더 온도: ±10%, 속도/압력: 5%, 그 외 ±10%)
만족스러운 조건표와 불러오기 설정값은 ±10% 이내로 일치하는가?(노즐/실린더온도: ±10℃, 속도/압력:5%, 그외±10% 이내)</t>
        </is>
      </c>
      <c r="E26" s="60" t="n">
        <v>3</v>
      </c>
      <c r="F26" s="60" t="n"/>
      <c r="G26" s="75" t="n"/>
    </row>
    <row r="27" ht="25.5" customHeight="1" s="1">
      <c r="B27" s="158" t="n"/>
      <c r="C27" s="61" t="inlineStr">
        <is>
          <t>3.6</t>
        </is>
      </c>
      <c r="D27" s="60" t="inlineStr">
        <is>
          <t>장비 평가 및 구성 조건표가 정리되어 있나요? 배경관리가 바뀌었나요?
수정조건표 및 군점검표는 관리하는가</t>
        </is>
      </c>
      <c r="E27" s="60" t="n">
        <v>3</v>
      </c>
      <c r="F27" s="60" t="n"/>
      <c r="G27" s="75" t="n"/>
    </row>
    <row r="28" ht="25.5" customHeight="1" s="1">
      <c r="B28" s="158" t="n"/>
      <c r="C28" s="61" t="inlineStr">
        <is>
          <t>3.7</t>
        </is>
      </c>
      <c r="D28" s="60" t="inlineStr">
        <is>
          <t>실린더 노즐 온도 분포가 제어됩니까?
실린더 냉각온도는 산포관리가 되는 것인가요?</t>
        </is>
      </c>
      <c r="E28" s="60" t="n">
        <v>4</v>
      </c>
      <c r="F28" s="60" t="n"/>
      <c r="G28" s="75" t="n"/>
    </row>
    <row r="29" ht="25.5" customHeight="1" s="1">
      <c r="B29" s="158" t="n"/>
      <c r="C29" s="61" t="inlineStr">
        <is>
          <t>3.8</t>
        </is>
      </c>
      <c r="D29" s="60" t="inlineStr">
        <is>
          <t>핫러너 온도 분포 관리?
HOT RUNNER 온도는 산포관리를 하고 있나요?</t>
        </is>
      </c>
      <c r="E29" s="60" t="n">
        <v>4</v>
      </c>
      <c r="F29" s="60" t="n"/>
      <c r="G29" s="75" t="n"/>
    </row>
    <row r="30" ht="25.5" customHeight="1" s="1">
      <c r="B30" s="158" t="n"/>
      <c r="C30" s="61" t="inlineStr">
        <is>
          <t>3.9</t>
        </is>
      </c>
      <c r="D30" s="60" t="inlineStr">
        <is>
          <t>금형에 대한 백그라운드 관리가 있나요? (샷번호, 편집내용, PM내용, 금형이동)
각의 이력관리는 틀려야 할까요? (SHOT수, 수정/수리내역, PM내용, 금형이동 사항)</t>
        </is>
      </c>
      <c r="E30" s="60" t="n">
        <v>3</v>
      </c>
      <c r="F30" s="60" t="n"/>
      <c r="G30" s="75" t="n"/>
    </row>
    <row r="31" ht="25.5" customHeight="1" s="1">
      <c r="B31" s="158" t="n"/>
      <c r="C31" s="61" t="inlineStr">
        <is>
          <t>3.10</t>
        </is>
      </c>
      <c r="D31" s="60" t="inlineStr">
        <is>
          <t>생산/A.S/취소 금형 종류를 표시하는 분류 관리자가 있나요?
부품 금형/ A.S / 부품별로 구분하여 관리해야 합니까?</t>
        </is>
      </c>
      <c r="E31" s="60" t="n">
        <v>2</v>
      </c>
      <c r="F31" s="60" t="n"/>
      <c r="G31" s="75" t="n"/>
    </row>
    <row r="32" ht="25.5" customHeight="1" s="1">
      <c r="B32" s="158" t="n"/>
      <c r="C32" s="61" t="inlineStr">
        <is>
          <t>3.11</t>
        </is>
      </c>
      <c r="D32" s="60" t="inlineStr">
        <is>
          <t>금형이 양호한 상태로 사용되고 있습니까? - 적층방식, 먼지 침투방지, 방청처리
사용중인 금형보관 상태를 확인하시겠습니까? - 분실방법, 이물유입방지, 방청처리</t>
        </is>
      </c>
      <c r="E32" s="60" t="n">
        <v>2</v>
      </c>
      <c r="F32" s="60" t="n"/>
      <c r="G32" s="75" t="n"/>
    </row>
    <row r="33" ht="25.5" customHeight="1" s="1">
      <c r="B33" s="158" t="n"/>
      <c r="C33" s="61" t="inlineStr">
        <is>
          <t>3.12</t>
        </is>
      </c>
      <c r="D33" s="60" t="inlineStr">
        <is>
          <t>그 과정에서 생산된 제품에 대한 검사는 내부관리기준에 따라 운영되고 있나요?
공정 생산품 검사는 내부 관리 기준대로 운영되는가?</t>
        </is>
      </c>
      <c r="E33" s="60" t="n">
        <v>3</v>
      </c>
      <c r="F33" s="60" t="n"/>
      <c r="G33" s="75" t="n"/>
    </row>
    <row r="34" ht="25.5" customHeight="1" s="1">
      <c r="B34" s="158" t="n"/>
      <c r="C34" s="61" t="inlineStr">
        <is>
          <t>3.13</t>
        </is>
      </c>
      <c r="D34" s="60" t="inlineStr">
        <is>
          <t>절단 작업 시 먼지나 기름이 끼지 않도록 주의하고 있습니까?
차이점은 무엇입니까?</t>
        </is>
      </c>
      <c r="E34" s="60" t="n">
        <v>2</v>
      </c>
      <c r="F34" s="60" t="n"/>
      <c r="G34" s="75" t="n"/>
    </row>
    <row r="35" ht="26.25" customHeight="1" s="1" thickBot="1">
      <c r="B35" s="161" t="n"/>
      <c r="C35" s="76" t="inlineStr">
        <is>
          <t>3.14</t>
        </is>
      </c>
      <c r="D35" s="77" t="inlineStr">
        <is>
          <t>게이트 커팅 작업은 분포를 최소화하는 방식으로 수행됩니까?
Gate 생각 작업은 산포를 다루는 방법으로 작업하고 있습니까?</t>
        </is>
      </c>
      <c r="E35" s="77" t="n">
        <v>3</v>
      </c>
      <c r="F35" s="77" t="n"/>
      <c r="G35" s="78" t="n"/>
    </row>
    <row r="36" ht="74.25" customHeight="1" s="1">
      <c r="B36" s="133" t="inlineStr">
        <is>
          <t>4. 공정하게
그리고
용탕
성분 분석
용광로 단계 및 용융 조성 분석</t>
        </is>
      </c>
      <c r="C36" s="71" t="inlineStr">
        <is>
          <t>4.1</t>
        </is>
      </c>
      <c r="D36" s="73" t="inlineStr">
        <is>
          <t>절단에 대한 작업 기준 여부(※ 기준 범위 설정 범위확보) 
예) 신재 (6) / 스크랩 (4)
치료적인 측면 관리 여부
혼합폐로에 대한 운영 표준이 확립되어 있습니까?
예: 신규원료(6)/스크랩(4)
정기적인 성과관리가 이루어지나요?</t>
        </is>
      </c>
      <c r="E36" s="73" t="n">
        <v>3</v>
      </c>
      <c r="F36" s="73" t="n"/>
      <c r="G36" s="74" t="n"/>
    </row>
    <row r="37" ht="55.5" customHeight="1" s="1">
      <c r="B37" s="158" t="n"/>
      <c r="C37" s="61" t="inlineStr">
        <is>
          <t>4.2</t>
        </is>
      </c>
      <c r="D37" s="60" t="inlineStr">
        <is>
          <t>폴란드 가스 처리/교반시간 기준 여부
예) 최소 10분 이상
탈기 및 가스 통기 처리 시 질소/교반 시간에 대한 기준이 있나요?
예: 최소 10분 이상</t>
        </is>
      </c>
      <c r="E37" s="60" t="n">
        <v>3</v>
      </c>
      <c r="F37" s="60" t="n"/>
      <c r="G37" s="75" t="n"/>
    </row>
    <row r="38" ht="51" customHeight="1" s="1">
      <c r="B38" s="158" t="n"/>
      <c r="C38" s="61" t="inlineStr">
        <is>
          <t>4.3</t>
        </is>
      </c>
      <c r="D38" s="60" t="inlineStr">
        <is>
          <t>DROS 처리제량 기준 여부(※ 기준 설정 범위확보) 
예) 용탕 1,000Kg당 1~2kg
FLUX 투입잔류물 처리량에 대한 기준이 확립되어 있나요? (※ 기준설정의 근거가 무엇인지 제시 필요) 
예: 녹은 1000Kg은 1~2kg입니다.</t>
        </is>
      </c>
      <c r="E38" s="60" t="n">
        <v>3</v>
      </c>
      <c r="F38" s="60" t="n"/>
      <c r="G38" s="75" t="n"/>
    </row>
    <row r="39" ht="51" customHeight="1" s="1">
      <c r="B39" s="158" t="n"/>
      <c r="C39" s="61" t="inlineStr">
        <is>
          <t>4.4</t>
        </is>
      </c>
      <c r="D39" s="60" t="inlineStr">
        <is>
          <t>진정 시간 기준 여부 
예) 최소 20분 이상 (질소 처리 시간 포함)
로 안정화 시간 기준이 설정되어 있나요?
예: 최소 20분 이상(질소 처리 시간 포함)</t>
        </is>
      </c>
      <c r="E39" s="60" t="n">
        <v>3</v>
      </c>
      <c r="F39" s="60" t="n"/>
      <c r="G39" s="75" t="n"/>
    </row>
    <row r="40" ht="63.75" customHeight="1" s="1">
      <c r="B40" s="158" t="n"/>
      <c r="C40" s="61" t="inlineStr">
        <is>
          <t>4.5</t>
        </is>
      </c>
      <c r="D40" s="60" t="inlineStr">
        <is>
          <t>온도 기준 및 출탕 온도 기준 여부 확인(※ 기준 설정 근거확보) 
예) ALDC 12종 기준 : 내구성 700±20℃
로온도기준 및 로에서 꺼낼 때의 용탕온도 기준 설정 여부 (※ 기준설정 근거가 무엇인지 제시 필요) 
예) ALDC 규격 12: Furnace 온도 700±20℃</t>
        </is>
      </c>
      <c r="E40" s="60" t="n">
        <v>3</v>
      </c>
      <c r="F40" s="60" t="n"/>
      <c r="G40" s="75" t="n"/>
    </row>
    <row r="41" ht="25.5" customHeight="1" s="1">
      <c r="B41" s="158" t="n"/>
      <c r="C41" s="61" t="inlineStr">
        <is>
          <t>4.6</t>
        </is>
      </c>
      <c r="D41" s="60" t="inlineStr">
        <is>
          <t>의뢰로 및 작동유 온도 등의 실측비교
로 및 작동유 온도 등의 주기적 측정값을 비교합니다.</t>
        </is>
      </c>
      <c r="E41" s="60" t="n">
        <v>2</v>
      </c>
      <c r="F41" s="60" t="n"/>
      <c r="G41" s="75" t="n"/>
    </row>
    <row r="42" ht="38.25" customHeight="1" s="1">
      <c r="B42" s="158" t="n"/>
      <c r="C42" s="61" t="inlineStr">
        <is>
          <t>4.7</t>
        </is>
      </c>
      <c r="D42" s="60" t="inlineStr">
        <is>
          <t>신재/스크랩 투입 의무 준수 (실측 조끼 체크시트 관리)
준수 신소재투입측정기준/스크랩
 (실중량 확인 전표 관리)</t>
        </is>
      </c>
      <c r="E42" s="60" t="n">
        <v>2</v>
      </c>
      <c r="F42" s="60" t="n"/>
      <c r="G42" s="75" t="n"/>
    </row>
    <row r="43" ht="63.75" customHeight="1" s="1">
      <c r="B43" s="158" t="n"/>
      <c r="C43" s="61" t="inlineStr">
        <is>
          <t>4.8</t>
        </is>
      </c>
      <c r="D43" s="60" t="inlineStr">
        <is>
          <t>관광로 온도 및 출탕 온도 실측 검사 여부(조건이탈 시 알람 기능 확인)
예) 1회/Shift 일상정검 ( 실측, 디스플레이)
용광로에서 꺼낸 금속의 실제 온도와 재가열 온도를 확인하셨나요?
(컨디션 저하 시 알림 기능(알람) 확인)
예) 실행/수행 일일 체크시트 1회/교대(실제비교/화면)</t>
        </is>
      </c>
      <c r="E43" s="60" t="n">
        <v>3</v>
      </c>
      <c r="F43" s="60" t="n"/>
      <c r="G43" s="75" t="n"/>
    </row>
    <row r="44" ht="51" customHeight="1" s="1">
      <c r="B44" s="158" t="n"/>
      <c r="C44" s="61" t="inlineStr">
        <is>
          <t>4.9</t>
        </is>
      </c>
      <c r="D44" s="60" t="inlineStr">
        <is>
          <t>용탕 품질에 좋습니다(청정도 및 성분 분석) 
※ K-MOLD 법/부분응고법 운영 ※ 분광분석기 - 필수
품질보증용융(순도분석 및 로조성)
 ※ K-MOLD법, 응고압력완화법'을 운영 ※ 분석로 부품(조성분석기) - 필수</t>
        </is>
      </c>
      <c r="E44" s="60" t="n">
        <v>3</v>
      </c>
      <c r="F44" s="60" t="n"/>
      <c r="G44" s="75" t="n"/>
    </row>
    <row r="45" ht="26.25" customHeight="1" s="1" thickBot="1">
      <c r="B45" s="159" t="n"/>
      <c r="C45" s="76" t="inlineStr">
        <is>
          <t>4.10</t>
        </is>
      </c>
      <c r="D45" s="77" t="inlineStr">
        <is>
          <t>치료로 청소 및 도가니 교체 관리(기준수립 및 치료실시)
가마 청소 및 교체 관리(기준 설정 및 검사 수행)</t>
        </is>
      </c>
      <c r="E45" s="77" t="n">
        <v>3</v>
      </c>
      <c r="F45" s="77" t="n"/>
      <c r="G45" s="78" t="n"/>
    </row>
    <row r="46" ht="165.75" customHeight="1" s="1">
      <c r="B46" s="133" t="inlineStr">
        <is>
          <t>5. 다이캐스팅
Die casting</t>
        </is>
      </c>
      <c r="C46" s="71" t="inlineStr">
        <is>
          <t>5.1</t>
        </is>
      </c>
      <c r="D46" s="73" t="inlineStr">
        <is>
          <t>조건에 대한 조건 및 조건 여부
예) 금형온도 설정치±50℃ (고정측/이동측 온도 구분) 
     금형 타발수 설정 및 이력관리
    친구고시간 설정치±2초
    다이캐스팅 압력 압력(2.0~3.0Mpa),저속(0.15~0.25Mpa) 
    형개시간 설정치±1.0sec
※ 설정치에 대한 협회 및 공차 설정 범위
정해진 표준 조건과 구현이 있습니다. 
예) 금형온도 설정값 ±10℃ (고정측/이동측 온도구분)
동결시간 설정값 ±2sec
고압주조(2.0~3.0Mpa), 저압주조(0.15~0.25Mpa) 
형개시간 설정값 ±1.0sec
※ 허용오차 설정 근거 및 설정값 기준 제공</t>
        </is>
      </c>
      <c r="E46" s="73" t="n">
        <v>3</v>
      </c>
      <c r="F46" s="73" t="n"/>
      <c r="G46" s="74" t="n"/>
    </row>
    <row r="47" ht="76.5" customHeight="1" s="1">
      <c r="B47" s="158" t="n"/>
      <c r="C47" s="61" t="inlineStr">
        <is>
          <t>5.2</t>
        </is>
      </c>
      <c r="D47" s="60" t="inlineStr">
        <is>
          <t>냉각수 온도 기준 및
예)냉수 온도 하절기 (24℃), 동절기 (27℃) 
※ 냉각수 온도 기록 관리(F/Proof 시 F/Proof 관련)
냉각수 온도 기준 설정 및 실행
예) 여름(24℃), 겨울(27℃) 냉각수 온도 
※ 냉각수온도 기록관리(실행/수행은 F/Proof 시 F/Proof 확인)</t>
        </is>
      </c>
      <c r="E47" s="60" t="n">
        <v>3</v>
      </c>
      <c r="F47" s="60" t="n"/>
      <c r="G47" s="75" t="n"/>
    </row>
    <row r="48" ht="102" customHeight="1" s="1">
      <c r="B48" s="158" t="n"/>
      <c r="C48" s="61" t="inlineStr">
        <is>
          <t>5.3</t>
        </is>
      </c>
      <c r="D48" s="60" t="inlineStr">
        <is>
          <t>이형제 기준수립 및
예) 이형제 방해 이유 : 0.1~0.4% 
압착력:4~7 kg/cm2, 무게시간:1.0~2.0sec  
※ 기준설정 범위확보
이형유 농도 기준 설정 및 실행 
 예) 이형제 농도 희석배율 : 0.1~0.4% 
주입압력 : 4~7 kg/cm2, 주입시간 : 1.0~2.0sec  
※ 기준설정을 위한 근거 제시 필요</t>
        </is>
      </c>
      <c r="E48" s="60" t="n">
        <v>2</v>
      </c>
      <c r="F48" s="60" t="n"/>
      <c r="G48" s="75" t="n"/>
    </row>
    <row r="49" ht="51" customHeight="1" s="1">
      <c r="B49" s="158" t="n"/>
      <c r="C49" s="61" t="inlineStr">
        <is>
          <t>5.4</t>
        </is>
      </c>
      <c r="D49" s="60" t="inlineStr">
        <is>
          <t>진공도 사용 시 설정치 (예: ±100m Bar)
※ 기준설정 범위확보  
진공도 설정값(예: ±100m Bar)
※ 기준설정을 위한 근거 제시 필요</t>
        </is>
      </c>
      <c r="E49" s="60" t="n">
        <v>3</v>
      </c>
      <c r="F49" s="60" t="n"/>
      <c r="G49" s="75" t="n"/>
    </row>
    <row r="50" ht="89.25" customHeight="1" s="1">
      <c r="B50" s="158" t="n"/>
      <c r="C50" s="61" t="inlineStr">
        <is>
          <t>5.5</t>
        </is>
      </c>
      <c r="D50" s="60" t="inlineStr">
        <is>
          <t>작업조건 준수
금형 예열 관리 : 예) 초기 총 25 Shot 예열후 금형 온도 측정 (※ 기준 범위 범위확보)  
예) 동절기, 하절기 예타 관리
검사는 표준 작동 조건을 준수합니다. 
금형 가열 관리 : 예) 총 25 Shot 가열 후 1차 금형 온도 측정 
(※ 기준설정을 위한 근거 제시 필요)
예) 여름, 겨울에 따라 관리(예: 고속 5발, 저속 20발)</t>
        </is>
      </c>
      <c r="E50" s="60" t="n">
        <v>3</v>
      </c>
      <c r="F50" s="60" t="n"/>
      <c r="G50" s="75" t="n"/>
    </row>
    <row r="51" ht="25.5" customHeight="1" s="1">
      <c r="B51" s="158" t="n"/>
      <c r="C51" s="61" t="inlineStr">
        <is>
          <t>5.6</t>
        </is>
      </c>
      <c r="D51" s="60" t="inlineStr">
        <is>
          <t>이형제 고립된 범위 
이형제 혼합물의 농도와 비율을 측정합니다.</t>
        </is>
      </c>
      <c r="E51" s="60" t="n">
        <v>3</v>
      </c>
      <c r="F51" s="60" t="n"/>
      <c r="G51" s="75" t="n"/>
    </row>
    <row r="52" ht="51" customHeight="1" s="1">
      <c r="B52" s="158" t="n"/>
      <c r="C52" s="61" t="inlineStr">
        <is>
          <t>5.7</t>
        </is>
      </c>
      <c r="D52" s="60" t="inlineStr">
        <is>
          <t>스프레이 공유 공유 막힘 일상점검 및 청소
자존심이 있는 사람(초음파 등)을 활용합니다.
매일 검사하고 막힌 스프레이 카세트 노즐을 청소하세요. 
전용카세트세탁기 사용(초음파)</t>
        </is>
      </c>
      <c r="E52" s="60" t="n">
        <v>3</v>
      </c>
      <c r="F52" s="60" t="n"/>
      <c r="G52" s="75" t="n"/>
    </row>
    <row r="53" ht="25.5" customHeight="1" s="1">
      <c r="B53" s="158" t="n"/>
      <c r="C53" s="61" t="inlineStr">
        <is>
          <t>5.8</t>
        </is>
      </c>
      <c r="D53" s="60" t="inlineStr">
        <is>
          <t>자동 스프레이 장비
자동 스프레이 장비를 사용하세요</t>
        </is>
      </c>
      <c r="E53" s="60" t="n">
        <v>2</v>
      </c>
      <c r="F53" s="60" t="n"/>
      <c r="G53" s="75" t="n"/>
    </row>
    <row r="54" ht="26.25" customHeight="1" s="1" thickBot="1">
      <c r="B54" s="159" t="n"/>
      <c r="C54" s="76" t="inlineStr">
        <is>
          <t>5.9</t>
        </is>
      </c>
      <c r="D54" s="77" t="inlineStr">
        <is>
          <t>초중종물 검사(외관/기포/치수) 및 기록
시작 중간 끝(외형/모공/크기)을 검사하고 기록합니다.</t>
        </is>
      </c>
      <c r="E54" s="77" t="n">
        <v>2</v>
      </c>
      <c r="F54" s="77" t="n"/>
      <c r="G54" s="78" t="n"/>
    </row>
    <row r="55" ht="37.5" customHeight="1" s="1">
      <c r="B55" s="127" t="inlineStr">
        <is>
          <t>6. 사상
및
쇼트 공정 (shot blaster)</t>
        </is>
      </c>
      <c r="C55" s="71" t="inlineStr">
        <is>
          <t>6.1</t>
        </is>
      </c>
      <c r="D55" s="73" t="inlineStr">
        <is>
          <t>PM은 정기적인 PM계획에 따라 진행되나요? 체크리스트를 작성하셨나요? 카운터샷 금형 수명(트리밍 금형)
같은 사람 PM 계획에 의거 PM과 함께 CHECK LIST를 작성하는가? 샷 카운터 관리함? (트리밍 몰드)</t>
        </is>
      </c>
      <c r="E55" s="73" t="n">
        <v>3</v>
      </c>
      <c r="F55" s="73" t="n"/>
      <c r="G55" s="74" t="n"/>
    </row>
    <row r="56" ht="26.25" customHeight="1" s="1">
      <c r="B56" s="158" t="n"/>
      <c r="C56" s="61" t="inlineStr">
        <is>
          <t>6.2</t>
        </is>
      </c>
      <c r="D56" s="63" t="inlineStr">
        <is>
          <t>사절프레스의 설정값은 규정된 규격에 맞게 설정되어 있습니까? 
트리밍 기계의 설정 값은 규정된 규격에 맞게 등록되어 있습니까?</t>
        </is>
      </c>
      <c r="E56" s="60" t="n">
        <v>3</v>
      </c>
      <c r="F56" s="60" t="n"/>
      <c r="G56" s="75" t="n"/>
    </row>
    <row r="57" ht="26.25" customHeight="1" s="1">
      <c r="B57" s="158" t="n"/>
      <c r="C57" s="61" t="inlineStr">
        <is>
          <t>6.3</t>
        </is>
      </c>
      <c r="D57" s="63" t="inlineStr">
        <is>
          <t>조작을 위해 제품을 배치할 때 이물질이 없도록 금형을 청소하고 있습니까?
트리밍 금형작업을 해야 할까요? 제품 안착시 칩이나 이물질 계열 ?</t>
        </is>
      </c>
      <c r="E57" s="60" t="n"/>
      <c r="F57" s="60" t="n"/>
      <c r="G57" s="75" t="n"/>
    </row>
    <row r="58" ht="26.25" customHeight="1" s="1">
      <c r="B58" s="158" t="n"/>
      <c r="C58" s="61" t="inlineStr">
        <is>
          <t>6.4</t>
        </is>
      </c>
      <c r="D58" s="63" t="inlineStr">
        <is>
          <t>3D5S를 준수하는 전면 및 후면 영역 레이아웃이 있습니까? (트리밍)
작업 전/후의 형식이 3D5S를 준수합니까? (트리밍)</t>
        </is>
      </c>
      <c r="E58" s="60" t="n">
        <v>2</v>
      </c>
      <c r="F58" s="60" t="n"/>
      <c r="G58" s="75" t="n"/>
    </row>
    <row r="59" ht="25.5" customHeight="1" s="1">
      <c r="B59" s="158" t="n"/>
      <c r="C59" s="61" t="inlineStr">
        <is>
          <t>6.5</t>
        </is>
      </c>
      <c r="D59" s="60" t="inlineStr">
        <is>
          <t>장비점검을 위한 관리서가 있나요? 장비 고장 및 수리 이력에 대한 기록 관리 및 기록 보관이 이루어지고 있는가?
경찰 감독관은요? 나는 기계의 수리를 내역으로 기록하고 관리하고 있습니까?</t>
        </is>
      </c>
      <c r="E59" s="60" t="n">
        <v>2</v>
      </c>
      <c r="F59" s="60" t="n"/>
      <c r="G59" s="75" t="n"/>
    </row>
    <row r="60" ht="25.5" customHeight="1" s="1">
      <c r="B60" s="158" t="n"/>
      <c r="C60" s="61" t="inlineStr">
        <is>
          <t>6.6</t>
        </is>
      </c>
      <c r="D60" s="60" t="inlineStr">
        <is>
          <t>어떻게 공정한 작업 관계를 맺을 것인가?
연삭 작업 표준은 BURR 없는 Partingline입니다.</t>
        </is>
      </c>
      <c r="E60" s="60" t="n">
        <v>3</v>
      </c>
      <c r="F60" s="60" t="n"/>
      <c r="G60" s="75" t="n"/>
    </row>
    <row r="61" ht="25.5" customHeight="1" s="1">
      <c r="B61" s="158" t="n"/>
      <c r="C61" s="61" t="inlineStr">
        <is>
          <t>6.7</t>
        </is>
      </c>
      <c r="D61" s="60" t="inlineStr">
        <is>
          <t>쇼트 시간 작업 조건 기준
표준 Shot Time 동작 조건 설정</t>
        </is>
      </c>
      <c r="E61" s="60" t="n">
        <v>3</v>
      </c>
      <c r="F61" s="60" t="n"/>
      <c r="G61" s="75" t="n"/>
    </row>
    <row r="62" ht="63.75" customHeight="1" s="1">
      <c r="B62" s="158" t="n"/>
      <c r="C62" s="61" t="inlineStr">
        <is>
          <t>6.8</t>
        </is>
      </c>
      <c r="D62" s="60" t="inlineStr">
        <is>
          <t>시간트시간(이동속도 관리) 및 쇼트 쇼수 기준 설정 (※ 기준 설정 범위 지정보)  
 : 예) 임펠라 5단계(1255 ±50 rpm) 예) 2,040~2,450rpm
표준 샷 회전 및 샷 지속 시간 설정(이동 속도 관리)
   (※ 기준설정을 위한 근거 제시 필요)
예) 임펠라 5단계 (1255 ±50rpm) 예) 2,040~2,450rpm</t>
        </is>
      </c>
      <c r="E62" s="60" t="n">
        <v>3</v>
      </c>
      <c r="F62" s="60" t="n"/>
      <c r="G62" s="75" t="n"/>
    </row>
    <row r="63" ht="25.5" customHeight="1" s="1">
      <c r="B63" s="158" t="n"/>
      <c r="C63" s="61" t="inlineStr">
        <is>
          <t>6.9</t>
        </is>
      </c>
      <c r="D63" s="60" t="inlineStr">
        <is>
          <t>분류 유형의 쇼트 유형 사용 시 전방향 쇼트 상태 양호할 것
컨베이어(체인) 방식의 사격 장비를 사용할 경우 모든 방향의 사격이 좋다.</t>
        </is>
      </c>
      <c r="E63" s="60" t="n">
        <v>2</v>
      </c>
      <c r="F63" s="60" t="n"/>
      <c r="G63" s="75" t="n"/>
    </row>
    <row r="64" ht="38.25" customHeight="1" s="1">
      <c r="B64" s="158" t="n"/>
      <c r="C64" s="61" t="inlineStr">
        <is>
          <t>6.10</t>
        </is>
      </c>
      <c r="D64" s="60" t="inlineStr">
        <is>
          <t>쇼트 범위 제품 장입량 기준 준수 (※ 기준 설정 범위 지정보)  
준수 샷 장비에 투입되는 제품 성분의 표준량 
(※ 기준설정을 위한 근거 제시 필요)</t>
        </is>
      </c>
      <c r="E64" s="60" t="n">
        <v>3</v>
      </c>
      <c r="F64" s="60" t="n"/>
      <c r="G64" s="75" t="n"/>
    </row>
    <row r="65" ht="51" customHeight="1" s="1">
      <c r="B65" s="158" t="n"/>
      <c r="C65" s="61" t="inlineStr">
        <is>
          <t>6.11</t>
        </is>
      </c>
      <c r="D65" s="60" t="inlineStr">
        <is>
          <t>트볼 사이즈 준수 쇼   
* 사이즈 0.4~0.6 권장
준수 표준 사이즈 샷 볼
권장 사용 사이즈 0.4~0.6</t>
        </is>
      </c>
      <c r="E65" s="60" t="n">
        <v>3</v>
      </c>
      <c r="F65" s="60" t="n"/>
      <c r="G65" s="75" t="n"/>
    </row>
    <row r="66" ht="25.5" customHeight="1" s="1">
      <c r="B66" s="158" t="n"/>
      <c r="C66" s="61" t="inlineStr">
        <is>
          <t>6.12</t>
        </is>
      </c>
      <c r="D66" s="60" t="inlineStr">
        <is>
          <t>쇼트 작업 조건 (이동속도/춄사속도 RPM)
검사 Daily Shot 운전조건 (살포속도 RPM/이동속도)</t>
        </is>
      </c>
      <c r="E66" s="60" t="n">
        <v>2</v>
      </c>
      <c r="F66" s="60" t="n"/>
      <c r="G66" s="75" t="n"/>
    </row>
    <row r="67" ht="26.25" customHeight="1" s="1" thickBot="1">
      <c r="B67" s="159" t="n"/>
      <c r="C67" s="76" t="inlineStr">
        <is>
          <t>6.13</t>
        </is>
      </c>
      <c r="D67" s="77" t="inlineStr">
        <is>
          <t>다양한 검사 기준서 및 한도 표면(OK/NG)
샘플/견본은 육안 검사에 대한 제한 및 표준을 설정합니다.</t>
        </is>
      </c>
      <c r="E67" s="77" t="n">
        <v>3</v>
      </c>
      <c r="F67" s="77" t="n"/>
      <c r="G67" s="78" t="n"/>
    </row>
    <row r="68" ht="25.5" customHeight="1" s="1">
      <c r="B68" s="127" t="inlineStr">
        <is>
          <t>7. Polishing&amp;Hot Press</t>
        </is>
      </c>
      <c r="C68" s="71" t="inlineStr">
        <is>
          <t>7.1</t>
        </is>
      </c>
      <c r="D68" s="72" t="inlineStr">
        <is>
          <t>표면별 폴리싱 작업 관리, 사포 사용 기준, 그라인딩 후 사이즈 확보? 
각 면 연결 작업의 조자를 관리함? 사포 사용 목적이 있습니까? 폴리싱 후에 일정 정도 ?</t>
        </is>
      </c>
      <c r="E68" s="73" t="n">
        <v>3</v>
      </c>
      <c r="F68" s="73" t="n"/>
      <c r="G68" s="74" t="n"/>
    </row>
    <row r="69" ht="25.5" customHeight="1" s="1">
      <c r="B69" s="158" t="n"/>
      <c r="C69" s="61" t="inlineStr">
        <is>
          <t>7.2</t>
        </is>
      </c>
      <c r="D69" s="60" t="inlineStr">
        <is>
          <t>입력 전/후의 소재 영역이 구분되어 있나요? (연마)
투입전/후 자재구역이 구분되어 있습니까?</t>
        </is>
      </c>
      <c r="E69" s="60" t="n">
        <v>2</v>
      </c>
      <c r="F69" s="60" t="n"/>
      <c r="G69" s="75" t="n"/>
    </row>
    <row r="70" ht="25.5" customHeight="1" s="1">
      <c r="B70" s="158" t="n"/>
      <c r="C70" s="61" t="inlineStr">
        <is>
          <t>7.3</t>
        </is>
      </c>
      <c r="D70" s="60" t="inlineStr">
        <is>
          <t>-. 각 단계별 작업기준이 표시되어 있고 작업자가 이를 준수하고 있나요? (표준 준수율)
-. 각 공정의 작업표준은 게시되어 있으며 준수하는 것입니까? (표준준수율)</t>
        </is>
      </c>
      <c r="E70" s="60" t="n">
        <v>3</v>
      </c>
      <c r="F70" s="60" t="n"/>
      <c r="G70" s="75" t="n"/>
    </row>
    <row r="71" ht="25.5" customHeight="1" s="1">
      <c r="B71" s="158" t="n"/>
      <c r="C71" s="61" t="inlineStr">
        <is>
          <t>7.4</t>
        </is>
      </c>
      <c r="D71" s="60" t="inlineStr">
        <is>
          <t>공구 교체주기 관리가 되나요? 소멸 및 기록
공구 교체를 관리하는 것이 좋을까요? 소멸 및 기록</t>
        </is>
      </c>
      <c r="E71" s="60" t="n">
        <v>2</v>
      </c>
      <c r="F71" s="60" t="n"/>
      <c r="G71" s="75" t="n"/>
    </row>
    <row r="72" ht="25.5" customHeight="1" s="1">
      <c r="B72" s="158" t="n"/>
      <c r="C72" s="61" t="inlineStr">
        <is>
          <t>7.5</t>
        </is>
      </c>
      <c r="D72" s="60" t="inlineStr">
        <is>
          <t>Hot Press 기계의 설정값은 규정된 규격에 맞게 설정되어 있습니까? 
Hot Press 기계의 설정 값은 규정된 특수 경쟁 설정 품목입니까?</t>
        </is>
      </c>
      <c r="E72" s="60" t="n">
        <v>3</v>
      </c>
      <c r="F72" s="60" t="n"/>
      <c r="G72" s="75" t="n"/>
    </row>
    <row r="73" ht="25.5" customHeight="1" s="1">
      <c r="B73" s="158" t="n"/>
      <c r="C73" s="61" t="inlineStr">
        <is>
          <t>7.6</t>
        </is>
      </c>
      <c r="D73" s="60" t="inlineStr">
        <is>
          <t>열간 프레스 절차가 마련되어 있고 근로자가 이를 준수합니까?
대답의 의미는 무엇입니까?</t>
        </is>
      </c>
      <c r="E73" s="60" t="n">
        <v>3</v>
      </c>
      <c r="F73" s="60" t="n"/>
      <c r="G73" s="75" t="n"/>
    </row>
    <row r="74" ht="26.25" customHeight="1" s="1" thickBot="1">
      <c r="B74" s="159" t="n"/>
      <c r="C74" s="76" t="inlineStr">
        <is>
          <t>7.7</t>
        </is>
      </c>
      <c r="D74" s="77" t="inlineStr">
        <is>
          <t>장비점검을 위한 관리서가 있나요? 장비 고장 및 수리 이력에 대한 기록 관리 및 기록 보관이 이루어지고 있는가?
경찰 감독관은요? 나는 기계의 수리를 내역으로 기록하고 관리하고 있습니까?</t>
        </is>
      </c>
      <c r="E74" s="77" t="n">
        <v>3</v>
      </c>
      <c r="F74" s="77" t="n"/>
      <c r="G74" s="78" t="n"/>
    </row>
    <row r="75" ht="25.5" customHeight="1" s="1">
      <c r="B75" s="127" t="inlineStr">
        <is>
          <t>8. Barrel &amp; Chromate</t>
        </is>
      </c>
      <c r="C75" s="71" t="inlineStr">
        <is>
          <t>8.1</t>
        </is>
      </c>
      <c r="D75" s="73" t="inlineStr">
        <is>
          <t>기기/모델별 배럴타임 및 미디어 교체주기(일정관리)에 대한 규정 및 관리가 이루어지고 있나요?
시멘트별 모델 별 바렐시간 및 MEDIA교체 청소(이력관리)는 정찰 및 준수하는가?</t>
        </is>
      </c>
      <c r="E75" s="73" t="n">
        <v>3</v>
      </c>
      <c r="F75" s="73" t="n"/>
      <c r="G75" s="74" t="n"/>
    </row>
    <row r="76" ht="25.5" customHeight="1" s="1">
      <c r="B76" s="158" t="n"/>
      <c r="C76" s="61" t="inlineStr">
        <is>
          <t>8.2</t>
        </is>
      </c>
      <c r="D76" s="60" t="inlineStr">
        <is>
          <t>부식처리 및 세척에 대한 표준관리기준이 있나요? 표준을 준수합니까?
대답의 의미는 무엇입니까?</t>
        </is>
      </c>
      <c r="E76" s="60" t="n">
        <v>3</v>
      </c>
      <c r="F76" s="60" t="n"/>
      <c r="G76" s="75" t="n"/>
    </row>
    <row r="77" ht="25.5" customHeight="1" s="1">
      <c r="B77" s="158" t="n"/>
      <c r="C77" s="61" t="inlineStr">
        <is>
          <t>8.3</t>
        </is>
      </c>
      <c r="D77" s="60" t="inlineStr">
        <is>
          <t>-. 각 단계별 작업기준이 표시되어 있고 작업자가 이를 준수하고 있나요? (표준 준수율)
-. 각 공정의 작업표준은 게시되어 있으며 준수하는 것입니까? (표준준수율)</t>
        </is>
      </c>
      <c r="E77" s="60" t="n">
        <v>3</v>
      </c>
      <c r="F77" s="60" t="n"/>
      <c r="G77" s="75" t="n"/>
    </row>
    <row r="78" ht="25.5" customHeight="1" s="1">
      <c r="B78" s="158" t="n"/>
      <c r="C78" s="61" t="inlineStr">
        <is>
          <t>8.4</t>
        </is>
      </c>
      <c r="D78" s="60" t="inlineStr">
        <is>
          <t>장비점검을 위한 관리서가 있나요? 장비 고장 및 수리 이력에 대한 기록 관리 및 기록 보관이 이루어지고 있는가?
경찰 감독관은요? 나는 기계의 수리를 내역으로 기록하고 관리하고 있습니까?</t>
        </is>
      </c>
      <c r="E78" s="60" t="n">
        <v>3</v>
      </c>
      <c r="F78" s="60" t="n"/>
      <c r="G78" s="75" t="n"/>
    </row>
    <row r="79" ht="27" customHeight="1" s="1">
      <c r="B79" s="158" t="n"/>
      <c r="C79" s="61" t="inlineStr">
        <is>
          <t>8.5</t>
        </is>
      </c>
      <c r="D79" s="60" t="inlineStr">
        <is>
          <t>전면 및 후면 영역의 레이아웃이 구현되었으며 3D5S를 준수합니까?
작업 전/후의 형식이 3D5S를 준수합니까?</t>
        </is>
      </c>
      <c r="E79" s="60" t="n">
        <v>3</v>
      </c>
      <c r="F79" s="60" t="n"/>
      <c r="G79" s="82" t="n"/>
    </row>
    <row r="80" ht="25.5" customHeight="1" s="1">
      <c r="B80" s="158" t="n"/>
      <c r="C80" s="61" t="inlineStr">
        <is>
          <t>8.6</t>
        </is>
      </c>
      <c r="D80" s="60" t="inlineStr">
        <is>
          <t>지그를 사용하고 분류하는 지그관리자가 있나요?
사용 지그 관리 및 지그 구분이 되는가?</t>
        </is>
      </c>
      <c r="E80" s="60" t="n">
        <v>2</v>
      </c>
      <c r="F80" s="60" t="n"/>
      <c r="G80" s="75" t="n"/>
    </row>
    <row r="81" ht="25.5" customHeight="1" s="1">
      <c r="B81" s="158" t="n"/>
      <c r="C81" s="61" t="inlineStr">
        <is>
          <t>8.7</t>
        </is>
      </c>
      <c r="D81" s="60" t="inlineStr">
        <is>
          <t>지그 설치에 대한 지침이 있고 작업자가 규정된 작업을 준수합니까?
지그 안착에 작업지도서가 있고 수입가 규제된 작업을 준수해야 합니까?</t>
        </is>
      </c>
      <c r="E81" s="60" t="n">
        <v>3</v>
      </c>
      <c r="F81" s="60" t="n"/>
      <c r="G81" s="75" t="n"/>
    </row>
    <row r="82" ht="25.5" customHeight="1" s="1">
      <c r="B82" s="158" t="n"/>
      <c r="C82" s="61" t="inlineStr">
        <is>
          <t>8.8</t>
        </is>
      </c>
      <c r="D82" s="60" t="inlineStr">
        <is>
          <t>표면처리 후 제품간 접촉을 방지해야 합니다. 제품충돌로 크랙이 발생하나요?
表面处理后 产品间要防止干涉，是否有干涉导致的开裂?</t>
        </is>
      </c>
      <c r="E82" s="60" t="n">
        <v>3</v>
      </c>
      <c r="F82" s="60" t="n"/>
      <c r="G82" s="75" t="n"/>
    </row>
    <row r="83" ht="25.5" customHeight="1" s="1">
      <c r="B83" s="158" t="n"/>
      <c r="C83" s="61" t="inlineStr">
        <is>
          <t>8.9</t>
        </is>
      </c>
      <c r="D83" s="60" t="inlineStr">
        <is>
          <t>장비점검을 위한 관리서가 있나요? 장비 고장 및 수리 이력에 대한 기록 관리 및 기록 보관이 이루어지고 있는가?
경찰 감독관은요? 나는 기계의 수리를 내역으로 기록하고 관리하고 있습니까?</t>
        </is>
      </c>
      <c r="E83" s="60" t="n">
        <v>3</v>
      </c>
      <c r="F83" s="60" t="n"/>
      <c r="G83" s="75" t="n"/>
    </row>
    <row r="84" ht="25.5" customHeight="1" s="1">
      <c r="B84" s="158" t="n"/>
      <c r="C84" s="61" t="inlineStr">
        <is>
          <t>8.10</t>
        </is>
      </c>
      <c r="D84" s="60" t="inlineStr">
        <is>
          <t>부식성 용액 교체(보충) 주기가 있나요? 표준에 따라 교체 및 추가가 이루어지나요?
의무액 교체(보충)주기는 있습니까? 표준에 따라 교환(보충)하고 있나요?</t>
        </is>
      </c>
      <c r="E84" s="60" t="n">
        <v>3</v>
      </c>
      <c r="F84" s="60" t="n"/>
      <c r="G84" s="75" t="n"/>
    </row>
    <row r="85" ht="26.25" customHeight="1" s="1" thickBot="1">
      <c r="B85" s="159" t="n"/>
      <c r="C85" s="76" t="inlineStr">
        <is>
          <t>8.11</t>
        </is>
      </c>
      <c r="D85" s="77" t="inlineStr">
        <is>
          <t>상위, 중간, 하위 관리가 기본으로 있나요?
제품의 초,중,종물은 규정에 따라 관리되고 있습니까?</t>
        </is>
      </c>
      <c r="E85" s="77" t="n">
        <v>3</v>
      </c>
      <c r="F85" s="77" t="n"/>
      <c r="G85" s="78" t="n"/>
    </row>
    <row r="86" ht="76.5" customHeight="1" s="1">
      <c r="B86" s="127" t="inlineStr">
        <is>
          <t>9. 가공
CNC 가공</t>
        </is>
      </c>
      <c r="C86" s="71" t="inlineStr">
        <is>
          <t>9.1</t>
        </is>
      </c>
      <c r="D86" s="73" t="inlineStr">
        <is>
          <t>공구교환(황삭, 정삭, 형상) 
→ 드릴 생활관리(TOOL), 교체력 및 훈련기록
→ 도구 교체 리터락 설정 ※ 도구 기준 범위 설정보  
공구 교환 주기(황삭, 정삭, 성형) 
→ 드릴비트 수명관리(TOOL), 교체이력 및 유사기록     
→ 공구 교환 주기 설정 ※ 표준 설정 기준 표시</t>
        </is>
      </c>
      <c r="E86" s="73" t="n">
        <v>3</v>
      </c>
      <c r="F86" s="73" t="n"/>
      <c r="G86" s="74" t="n"/>
    </row>
    <row r="87" ht="25.5" customHeight="1" s="1">
      <c r="B87" s="158" t="n"/>
      <c r="C87" s="61" t="inlineStr">
        <is>
          <t>9.2</t>
        </is>
      </c>
      <c r="D87" s="60" t="inlineStr">
        <is>
          <t>각 표준류의 관리항목 및 제.개정상태 일치여부 
각 표준의 관리항목 및 개정현황은 일관성이 있는가?</t>
        </is>
      </c>
      <c r="E87" s="60" t="n">
        <v>2</v>
      </c>
      <c r="F87" s="60" t="n"/>
      <c r="G87" s="75" t="n"/>
    </row>
    <row r="88" ht="25.5" customHeight="1" s="1">
      <c r="B88" s="158" t="n"/>
      <c r="C88" s="61" t="inlineStr">
        <is>
          <t>9.3</t>
        </is>
      </c>
      <c r="D88" s="60" t="inlineStr">
        <is>
          <t>북극곰을 교체하는 어 표기 (작업표준서, 군대일상점검표)
외국인근로자를 위한 외국어 실증 필요(운영기준, 일일장비점검 체크시트)</t>
        </is>
      </c>
      <c r="E88" s="60" t="n">
        <v>2</v>
      </c>
      <c r="F88" s="60" t="n"/>
      <c r="G88" s="75" t="n"/>
    </row>
    <row r="89" ht="25.5" customHeight="1" s="1">
      <c r="B89" s="158" t="n"/>
      <c r="C89" s="61" t="inlineStr">
        <is>
          <t>9.4</t>
        </is>
      </c>
      <c r="D89" s="60" t="inlineStr">
        <is>
          <t>가공 기계에 접근하기 위한 마킹 관리, 변경 관리 포인트 마킹이 있습니다.
훌륭한 기계에 추적하여 관리하고 관리 변경 포인트를 만드는 것입니다.</t>
        </is>
      </c>
      <c r="E89" s="60" t="n">
        <v>2</v>
      </c>
      <c r="F89" s="60" t="n"/>
      <c r="G89" s="75" t="n"/>
    </row>
    <row r="90" ht="25.5" customHeight="1" s="1">
      <c r="B90" s="158" t="n"/>
      <c r="C90" s="61" t="inlineStr">
        <is>
          <t>9.5</t>
        </is>
      </c>
      <c r="D90" s="60" t="inlineStr">
        <is>
          <t>고객 만족표(작업 표준) 대 작업 만족표
작동 조건에 대한 고객 승인 조건 시트(작동 표준)</t>
        </is>
      </c>
      <c r="E90" s="60" t="n">
        <v>3</v>
      </c>
      <c r="F90" s="60" t="n"/>
      <c r="G90" s="75" t="n"/>
    </row>
    <row r="91" ht="51" customHeight="1" s="1">
      <c r="B91" s="158" t="n"/>
      <c r="C91" s="61" t="inlineStr">
        <is>
          <t>9.6</t>
        </is>
      </c>
      <c r="D91" s="60" t="inlineStr">
        <is>
          <t>초종물 및 자주검사 기록 관리
초,중,종물 체크 시트 내, 측정 포인트로 존재하는 것(도식화)
초기, 중간, 정기검사 기록 관리
체크시트에는 시작, 중간, 끝 측정 지점 선택(매핑)이 있습니다.</t>
        </is>
      </c>
      <c r="E91" s="60" t="n">
        <v>3</v>
      </c>
      <c r="F91" s="60" t="n"/>
      <c r="G91" s="75" t="n"/>
    </row>
    <row r="92" ht="51" customHeight="1" s="1">
      <c r="B92" s="158" t="n"/>
      <c r="C92" s="61" t="inlineStr">
        <is>
          <t>9.7</t>
        </is>
      </c>
      <c r="D92" s="60" t="inlineStr">
        <is>
          <t>점점 조건(RPM, FEED, DEPTH) 관리
※ 기준설정 범위확보  
절삭조건 관리(RPM, FEED, DEPTH)
※ 기준설정을 위한 근거 제시 필요</t>
        </is>
      </c>
      <c r="E92" s="60" t="n">
        <v>2</v>
      </c>
      <c r="F92" s="60" t="n"/>
      <c r="G92" s="75" t="n"/>
    </row>
    <row r="93" ht="25.5" customHeight="1" s="1">
      <c r="B93" s="158" t="n"/>
      <c r="C93" s="61" t="inlineStr">
        <is>
          <t>9.8</t>
        </is>
      </c>
      <c r="D93" s="60" t="inlineStr">
        <is>
          <t>유압 및 성분 관리(종류, 레벨, 압력, 따라가기)
유압 및 윤활 관리(종류, 레벨, 압력, 먼지)</t>
        </is>
      </c>
      <c r="E93" s="60" t="n">
        <v>2</v>
      </c>
      <c r="F93" s="60" t="n"/>
      <c r="G93" s="75" t="n"/>
    </row>
    <row r="94" ht="25.5" customHeight="1" s="1">
      <c r="B94" s="158" t="n"/>
      <c r="C94" s="61" t="inlineStr">
        <is>
          <t>9.9</t>
        </is>
      </c>
      <c r="D94" s="60" t="inlineStr">
        <is>
          <t>범위유 관리(종류, 수준, 일정농도)
절삭유 관리(종류, 특정 농도, 농도)</t>
        </is>
      </c>
      <c r="E94" s="60" t="n">
        <v>2</v>
      </c>
      <c r="F94" s="60" t="n"/>
      <c r="G94" s="75" t="n"/>
    </row>
    <row r="95" ht="25.5" customHeight="1" s="1">
      <c r="B95" s="158" t="n"/>
      <c r="C95" s="61" t="inlineStr">
        <is>
          <t>9.10</t>
        </is>
      </c>
      <c r="D95" s="60" t="inlineStr">
        <is>
          <t>공기압 관리
공기압 관리</t>
        </is>
      </c>
      <c r="E95" s="60" t="n">
        <v>2</v>
      </c>
      <c r="F95" s="60" t="n"/>
      <c r="G95" s="75" t="n"/>
    </row>
    <row r="96" ht="38.25" customHeight="1" s="1">
      <c r="B96" s="158" t="n"/>
      <c r="C96" s="61" t="inlineStr">
        <is>
          <t>9.11</t>
        </is>
      </c>
      <c r="D96" s="60" t="inlineStr">
        <is>
          <t>가공 CLAMP(CHUCK) 압력 및 CLAMP 후제품 회전 관리
※ Air 접속좌 설치 권장
CLAMP 후 제품 진동 관리 및 CLAMP 힘 가공 --&gt; Air Fixture 설정 권장</t>
        </is>
      </c>
      <c r="E96" s="60" t="n">
        <v>3</v>
      </c>
      <c r="F96" s="60" t="n"/>
      <c r="G96" s="75" t="n"/>
    </row>
    <row r="97" ht="25.5" customHeight="1" s="1">
      <c r="B97" s="158" t="n"/>
      <c r="C97" s="61" t="inlineStr">
        <is>
          <t>9.12</t>
        </is>
      </c>
      <c r="D97" s="60" t="inlineStr">
        <is>
          <t>정밀한 도구 적용 장치(설비 내 예측) 
공작기계 센서 고장 적용 (기기 내 모니터링)</t>
        </is>
      </c>
      <c r="E97" s="60" t="n">
        <v>2</v>
      </c>
      <c r="F97" s="60" t="n"/>
      <c r="G97" s="75" t="n"/>
    </row>
    <row r="98" ht="25.5" customHeight="1" s="1">
      <c r="B98" s="158" t="n"/>
      <c r="C98" s="61" t="inlineStr">
        <is>
          <t>9.13</t>
        </is>
      </c>
      <c r="D98" s="60" t="inlineStr">
        <is>
          <t>밀리터리일상점검 장치화 가능한 항목 계량치 관리
매일 측정값 관리 및 장비 점검</t>
        </is>
      </c>
      <c r="E98" s="60" t="n">
        <v>2</v>
      </c>
      <c r="F98" s="60" t="n"/>
      <c r="G98" s="75" t="n"/>
    </row>
    <row r="99" ht="25.5" customHeight="1" s="1">
      <c r="B99" s="158" t="n"/>
      <c r="C99" s="61" t="inlineStr">
        <is>
          <t>9.14</t>
        </is>
      </c>
      <c r="D99" s="60" t="inlineStr">
        <is>
          <t>안전(도어 열림시 작업 미진행) 보호 및 작동 장치 상태 점검
장치가 안전한지 확인하고 실행 상태를 확인하십시오.</t>
        </is>
      </c>
      <c r="E99" s="60" t="n">
        <v>3</v>
      </c>
      <c r="F99" s="60" t="n"/>
      <c r="G99" s="75" t="n"/>
    </row>
    <row r="100" ht="25.5" customHeight="1" s="1">
      <c r="B100" s="158" t="n"/>
      <c r="C100" s="61" t="inlineStr">
        <is>
          <t>9.15</t>
        </is>
      </c>
      <c r="D100" s="60" t="inlineStr">
        <is>
          <t>정밀 유지 관리 연간 계획 배합
연간 장비 유지관리 계획 대비 실제 결과</t>
        </is>
      </c>
      <c r="E100" s="60" t="n">
        <v>3</v>
      </c>
      <c r="F100" s="60" t="n"/>
      <c r="G100" s="75" t="n"/>
    </row>
    <row r="101" ht="51" customHeight="1" s="1">
      <c r="B101" s="158" t="n"/>
      <c r="C101" s="61" t="inlineStr">
        <is>
          <t>9.16</t>
        </is>
      </c>
      <c r="D101" s="60" t="inlineStr">
        <is>
          <t>프로그램 설명 (백업)
* 조건부 인터락 설정
프로그램 변경 이력 관리(백업 프로그램) 구현 필요
* 인터록 조건 설정</t>
        </is>
      </c>
      <c r="E101" s="60" t="n">
        <v>3</v>
      </c>
      <c r="F101" s="60" t="n"/>
      <c r="G101" s="75" t="n"/>
    </row>
    <row r="102" ht="33" customHeight="1" s="1">
      <c r="B102" s="158" t="n"/>
      <c r="C102" s="61" t="inlineStr">
        <is>
          <t>9.17</t>
        </is>
      </c>
      <c r="D102" s="60" t="inlineStr">
        <is>
          <t>다이캐스팅은 홀의 위치도를 만족하기 때문에 홀의 유용성 여부에 대한 자료가 충분합니다.
다이캐스팅 나사 구멍 위치 편차를 만족시키기 위해 가공이 필요한지 여부를 확인하는 문서가 필요합니다.</t>
        </is>
      </c>
      <c r="E102" s="60" t="n">
        <v>3</v>
      </c>
      <c r="F102" s="60" t="n"/>
      <c r="G102" s="75" t="n"/>
    </row>
    <row r="103" ht="33" customHeight="1" s="1" thickBot="1">
      <c r="B103" s="159" t="n"/>
      <c r="C103" s="76" t="inlineStr">
        <is>
          <t>9.18</t>
        </is>
      </c>
      <c r="D103" s="77" t="inlineStr">
        <is>
          <t>다른 공정 수온 온도 표시 비교 실측 관리를 위해 필요한 사항
디스플레이에 표시되는 물온도를 측정하여 비교하고, 세탁단계에서 실제 측정값을 관리하는 것이 필요합니다.</t>
        </is>
      </c>
      <c r="E103" s="77" t="n">
        <v>3</v>
      </c>
      <c r="F103" s="77" t="n"/>
      <c r="G103" s="78" t="n"/>
    </row>
    <row r="104" ht="25.5" customHeight="1" s="1">
      <c r="B104" s="130" t="inlineStr">
        <is>
          <t>10. Cleaning</t>
        </is>
      </c>
      <c r="C104" s="71" t="inlineStr">
        <is>
          <t>10.1</t>
        </is>
      </c>
      <c r="D104" s="73" t="inlineStr">
        <is>
          <t>일일 지그 관리/사용 구분이 있나요?
매일 같은 장치를 관리/사용하고 구분합니까?</t>
        </is>
      </c>
      <c r="E104" s="73" t="n">
        <v>3</v>
      </c>
      <c r="F104" s="73" t="n"/>
      <c r="G104" s="74" t="n"/>
    </row>
    <row r="105" ht="25.5" customHeight="1" s="1">
      <c r="B105" s="158" t="n"/>
      <c r="C105" s="61" t="inlineStr">
        <is>
          <t>10.2</t>
        </is>
      </c>
      <c r="D105" s="60" t="inlineStr">
        <is>
          <t>지그를 설치하고 작동 지침을 따르는 기술이 있습니까? 
지그를 안착 작업지도서와 작업지도하고 준수해야 할까요?</t>
        </is>
      </c>
      <c r="E105" s="60" t="n">
        <v>3</v>
      </c>
      <c r="F105" s="60" t="n"/>
      <c r="G105" s="75" t="n"/>
    </row>
    <row r="106" ht="25.5" customHeight="1" s="1">
      <c r="B106" s="158" t="n"/>
      <c r="C106" s="61" t="inlineStr">
        <is>
          <t>10.3</t>
        </is>
      </c>
      <c r="D106" s="60" t="inlineStr">
        <is>
          <t>단계별 세척 작업이 있고 작동 지침을 따르고 있습니까?
수집품 및 액세서리와 유사한 액세서리?</t>
        </is>
      </c>
      <c r="E106" s="60" t="n">
        <v>3</v>
      </c>
      <c r="F106" s="60" t="n"/>
      <c r="G106" s="75" t="n"/>
    </row>
    <row r="107" ht="25.5" customHeight="1" s="1">
      <c r="B107" s="158" t="n"/>
      <c r="C107" s="61" t="inlineStr">
        <is>
          <t>10.4</t>
        </is>
      </c>
      <c r="D107" s="60" t="inlineStr">
        <is>
          <t>프로세스 전후 영역이 적절하게 배치되고 준수되고 있습니까?
공정 전/후의 대칭이 3D5S를 준수합니까?</t>
        </is>
      </c>
      <c r="E107" s="60" t="n">
        <v>3</v>
      </c>
      <c r="F107" s="60" t="n"/>
      <c r="G107" s="83" t="n"/>
    </row>
    <row r="108" ht="26.25" customHeight="1" s="1" thickBot="1">
      <c r="B108" s="159" t="n"/>
      <c r="C108" s="76" t="inlineStr">
        <is>
          <t>10.5</t>
        </is>
      </c>
      <c r="D108" s="77" t="inlineStr">
        <is>
          <t>물/세척액 변경은 기준에 따라 이루어지나요? 기준을 정하는 근거는?
물/세척액 변경은 기준에 따라 존재나요? 기준을 정하는 먼 것은?</t>
        </is>
      </c>
      <c r="E108" s="77" t="n">
        <v>3</v>
      </c>
      <c r="F108" s="77" t="n"/>
      <c r="G108" s="78" t="n"/>
    </row>
    <row r="109" ht="25.5" customHeight="1" s="1">
      <c r="B109" s="127" t="inlineStr">
        <is>
          <t>11. Print &amp; Laser&amp; Assy</t>
        </is>
      </c>
      <c r="C109" s="71" t="inlineStr">
        <is>
          <t>11.1</t>
        </is>
      </c>
      <c r="D109" s="73" t="inlineStr">
        <is>
          <t>잉크 종류별로 분류해서 표시할 수 있는 곳이 있나요? 보관 기준이 합리적이고 준수됩니까? 
잉크 종류를 분류하여 소유할 수 있는 장소는 무엇입니까? 보관 기준이 합리적이고 준수하는 것입니까?</t>
        </is>
      </c>
      <c r="E109" s="73" t="n">
        <v>2</v>
      </c>
      <c r="F109" s="73" t="n"/>
      <c r="G109" s="74" t="n"/>
    </row>
    <row r="110" ht="25.5" customHeight="1" s="1">
      <c r="B110" s="158" t="n"/>
      <c r="C110" s="61" t="inlineStr">
        <is>
          <t>11.2</t>
        </is>
      </c>
      <c r="D110" s="60" t="inlineStr">
        <is>
          <t>개봉한 잉크는 얼마나 오래 지속되나요? 경영진은 실제로 이를 준수하는가?
본존한 잉크는 교정대로 어떻게 사용할까요? 실제로 작업을 수행할 수 있나요?</t>
        </is>
      </c>
      <c r="E110" s="60" t="n">
        <v>2</v>
      </c>
      <c r="F110" s="60" t="n"/>
      <c r="G110" s="75" t="n"/>
    </row>
    <row r="111" ht="73.5" customHeight="1" s="1">
      <c r="B111" s="158" t="n"/>
      <c r="C111" s="61" t="inlineStr">
        <is>
          <t>11.3</t>
        </is>
      </c>
      <c r="D111" s="60" t="inlineStr">
        <is>
          <t>-. 각 단계별 작업기준이 표시되어 있고 작업자가 이를 준수하고 있나요? (표준 준수율)
-. 각 공정의 작업표준은 게시되어 있으며 준수하는 것입니까? (표준준수율)</t>
        </is>
      </c>
      <c r="E111" s="60" t="n">
        <v>2</v>
      </c>
      <c r="F111" s="60" t="n"/>
      <c r="G111" s="83" t="n"/>
    </row>
    <row r="112" ht="25.5" customHeight="1" s="1">
      <c r="B112" s="158" t="n"/>
      <c r="C112" s="61" t="inlineStr">
        <is>
          <t>11.4</t>
        </is>
      </c>
      <c r="D112" s="60" t="inlineStr">
        <is>
          <t>잉크 혼합 기준이 있나요? 
프린터 잉크젯 계열이 있습니까?</t>
        </is>
      </c>
      <c r="E112" s="60" t="n">
        <v>2</v>
      </c>
      <c r="F112" s="60" t="n"/>
      <c r="G112" s="75" t="n"/>
    </row>
    <row r="113" ht="25.5" customHeight="1" s="1">
      <c r="B113" s="158" t="n"/>
      <c r="C113" s="61" t="inlineStr">
        <is>
          <t>11.5</t>
        </is>
      </c>
      <c r="D113" s="60" t="inlineStr">
        <is>
          <t>믹싱 로그가 있나요? 혼합 장소는 깨끗하다고 ​​보장되나요?
홍합 이력 경주? 제작 장소를 준비하고 있나요?</t>
        </is>
      </c>
      <c r="E113" s="60" t="n">
        <v>2</v>
      </c>
      <c r="F113" s="60" t="n"/>
      <c r="G113" s="75" t="n"/>
    </row>
    <row r="114" ht="25.5" customHeight="1" s="1">
      <c r="B114" s="158" t="n"/>
      <c r="C114" s="61" t="inlineStr">
        <is>
          <t>11.6</t>
        </is>
      </c>
      <c r="D114" s="60" t="inlineStr">
        <is>
          <t>잉크를 혼합한 후 사용기간에 대한 기준이 있나요? 
잉크를 혼합한 후 사용 기간에 대한 경주용 소모품?</t>
        </is>
      </c>
      <c r="E114" s="60" t="n">
        <v>2</v>
      </c>
      <c r="F114" s="60" t="n"/>
      <c r="G114" s="75" t="n"/>
    </row>
    <row r="115" ht="25.5" customHeight="1" s="1">
      <c r="B115" s="158" t="n"/>
      <c r="C115" s="61" t="inlineStr">
        <is>
          <t>11.7</t>
        </is>
      </c>
      <c r="D115" s="60" t="inlineStr">
        <is>
          <t>인쇄실의 온도 관리는 기준에 따라 합리적으로 보장됩니까?
인쇄실의 온도 관리는 기준에 따라 합리적으로 이루어지도록 합니까?</t>
        </is>
      </c>
      <c r="E115" s="60" t="n">
        <v>2</v>
      </c>
      <c r="F115" s="60" t="n"/>
      <c r="G115" s="75" t="n"/>
    </row>
    <row r="116" ht="25.5" customHeight="1" s="1">
      <c r="B116" s="158" t="n"/>
      <c r="C116" s="61" t="inlineStr">
        <is>
          <t>11.8</t>
        </is>
      </c>
      <c r="D116" s="60" t="inlineStr">
        <is>
          <t>드라잉챔프의 온도와 건조시간은 올바른 기준에 맞춰 관리되고 있나요?
건조챔버의 건조온도, 시간은 기준을 준수하여 관리가?</t>
        </is>
      </c>
      <c r="E116" s="60" t="n">
        <v>3</v>
      </c>
      <c r="F116" s="60" t="n"/>
      <c r="G116" s="75" t="n"/>
    </row>
    <row r="117" ht="25.5" customHeight="1" s="1">
      <c r="B117" s="158" t="n"/>
      <c r="C117" s="61" t="inlineStr">
        <is>
          <t>11.9</t>
        </is>
      </c>
      <c r="D117" s="60" t="inlineStr">
        <is>
          <t>인쇄 전후 영역 레이아웃이 있고 표준을 준수합니까?
이전에 인쇄된 지역과 표준을 준수해야 합니까?</t>
        </is>
      </c>
      <c r="E117" s="60" t="n">
        <v>2</v>
      </c>
      <c r="F117" s="60" t="n"/>
      <c r="G117" s="75" t="n"/>
    </row>
    <row r="118" ht="25.5" customHeight="1" s="1">
      <c r="B118" s="158" t="n"/>
      <c r="C118" s="61" t="inlineStr">
        <is>
          <t>11.10</t>
        </is>
      </c>
      <c r="D118" s="69" t="inlineStr">
        <is>
          <t>실제 설정값은 레이저 가공조건표와 동일합니까?
레이저 가공 조건표와 실SETTING 값은 일치하는가?</t>
        </is>
      </c>
      <c r="E118" s="60" t="n">
        <v>3</v>
      </c>
      <c r="F118" s="60" t="n"/>
      <c r="G118" s="75" t="n"/>
    </row>
    <row r="119" ht="25.5" customHeight="1" s="1">
      <c r="B119" s="158" t="n"/>
      <c r="C119" s="61" t="inlineStr">
        <is>
          <t>11.11</t>
        </is>
      </c>
      <c r="D119" s="69" t="inlineStr">
        <is>
          <t>레이저 지그가 보관되어 있고, 깔끔하게 정리되어 있으며, 올바른 위치에 있습니까?
Laser JIG는 정위치에 있고 보관하고, 정리정돈 될까요?</t>
        </is>
      </c>
      <c r="E119" s="60" t="n">
        <v>2</v>
      </c>
      <c r="F119" s="60" t="n"/>
      <c r="G119" s="75" t="n"/>
    </row>
    <row r="120" ht="25.5" customHeight="1" s="1">
      <c r="B120" s="158" t="n"/>
      <c r="C120" s="61" t="inlineStr">
        <is>
          <t>11.12</t>
        </is>
      </c>
      <c r="D120" s="69" t="inlineStr">
        <is>
          <t>JIG 레이저는 부스러기나 블랙마크 없이 깨끗하게 유지되나요?
레이저 지그는 스크랩,그을림이 없는 상태에서 계속되고 있습니까?</t>
        </is>
      </c>
      <c r="E120" s="60" t="n">
        <v>2</v>
      </c>
      <c r="F120" s="60" t="n"/>
      <c r="G120" s="75" t="n"/>
    </row>
    <row r="121" ht="25.5" customHeight="1" s="1">
      <c r="B121" s="158" t="n"/>
      <c r="C121" s="61" t="inlineStr">
        <is>
          <t>11.13</t>
        </is>
      </c>
      <c r="D121" s="69" t="inlineStr">
        <is>
          <t>진행과정에서 OK상품과 NG상품이 섞일 염려는 없나요?
공정한 아이템에 대하여 양품과 혼입될 가능성이 없는가?</t>
        </is>
      </c>
      <c r="E121" s="60" t="n">
        <v>2</v>
      </c>
      <c r="F121" s="60" t="n"/>
      <c r="G121" s="75" t="n"/>
    </row>
    <row r="122" ht="25.5" customHeight="1" s="1">
      <c r="B122" s="158" t="n"/>
      <c r="C122" s="61" t="inlineStr">
        <is>
          <t>11.14</t>
        </is>
      </c>
      <c r="D122" s="69" t="inlineStr">
        <is>
          <t>조립 단계를 처리하는 지침서가 있나요?
조립 그룹에 대한 어린이용 지도가 있습니까?</t>
        </is>
      </c>
      <c r="E122" s="60" t="n">
        <v>3</v>
      </c>
      <c r="F122" s="60" t="n"/>
      <c r="G122" s="75" t="n"/>
    </row>
    <row r="123" ht="25.5" customHeight="1" s="1">
      <c r="B123" s="158" t="n"/>
      <c r="C123" s="61" t="inlineStr">
        <is>
          <t>11.15</t>
        </is>
      </c>
      <c r="D123" s="69" t="inlineStr">
        <is>
          <t>조립공구로 인한 외관오류를 방지할 수 있나요?
대답은 무엇입니까?</t>
        </is>
      </c>
      <c r="E123" s="60" t="n">
        <v>2</v>
      </c>
      <c r="F123" s="60" t="n"/>
      <c r="G123" s="75" t="n"/>
    </row>
    <row r="124" ht="25.5" customHeight="1" s="1">
      <c r="B124" s="158" t="n"/>
      <c r="C124" s="61" t="inlineStr">
        <is>
          <t>11.16</t>
        </is>
      </c>
      <c r="D124" s="69" t="inlineStr">
        <is>
          <t>잉여자재와 미완성품을 함께 관리할 수 있나요?
잔량 및 최종품 자재가 혼입되지 않도록 관리하고 있습니까?</t>
        </is>
      </c>
      <c r="E124" s="60" t="n">
        <v>2</v>
      </c>
      <c r="F124" s="60" t="n"/>
      <c r="G124" s="75" t="n"/>
    </row>
    <row r="125" ht="26.25" customHeight="1" s="1" thickBot="1">
      <c r="B125" s="159" t="n"/>
      <c r="C125" s="76" t="inlineStr">
        <is>
          <t>11.17</t>
        </is>
      </c>
      <c r="D125" s="84" t="inlineStr">
        <is>
          <t>그 과정에서 생산된 제품에 대한 검사는 내부관리기준에 따라 운영되고 있나요? (레이저)
공정 생산품 검사는 내부 관리 기준대로 운영되는가?</t>
        </is>
      </c>
      <c r="E125" s="77" t="n">
        <v>3</v>
      </c>
      <c r="F125" s="77" t="n"/>
      <c r="G125" s="78" t="n"/>
    </row>
    <row r="126" ht="76.5" customHeight="1" s="1">
      <c r="B126" s="127" t="inlineStr">
        <is>
          <t>12. 비파괴
그리고
분쟁검사 
검사 단계 및 누출 테스트</t>
        </is>
      </c>
      <c r="C126" s="71" t="inlineStr">
        <is>
          <t>12.1</t>
        </is>
      </c>
      <c r="D126" s="73" t="inlineStr">
        <is>
          <t>검사해 보면 정합성
(미성형, 이물, 소착, 캡처김, 기포가 되는 것)
* 특정한도견본 Rev 관리 및 게시
외관검사기준의 합리성 
(재료 누락, 이물질, 거칠기, 
(재질 누락, 이물질, 거칠기, 칩, 구멍 없음)</t>
        </is>
      </c>
      <c r="E126" s="73" t="n">
        <v>3</v>
      </c>
      <c r="F126" s="73" t="n"/>
      <c r="G126" s="74" t="n"/>
    </row>
    <row r="127" ht="51" customHeight="1" s="1">
      <c r="B127" s="158" t="n"/>
      <c r="C127" s="61" t="inlineStr">
        <is>
          <t>12.2</t>
        </is>
      </c>
      <c r="D127" s="60" t="inlineStr">
        <is>
          <t>절단검사 시정합성부
(절단면 수축, 기공, BURR,내부기포가 될 것 등)
절단검사기준의 합리성 
(돌출부가 없는 단면, 에어 피트, BURR, 내부 에어 피트)</t>
        </is>
      </c>
      <c r="E127" s="60" t="n">
        <v>3</v>
      </c>
      <c r="F127" s="60" t="n"/>
      <c r="G127" s="75" t="n"/>
    </row>
    <row r="128" ht="76.5" customHeight="1" s="1">
      <c r="B128" s="158" t="n"/>
      <c r="C128" s="61" t="inlineStr">
        <is>
          <t>12.3</t>
        </is>
      </c>
      <c r="D128" s="60" t="inlineStr">
        <is>
          <t>X-RAY 검사 기준 정합성
(내부 크랙, 수축, 기공, 기포가 되는 것)
※ X-ray가 있어야 합니다.
※ CT 수용기 제한(확보 어려움 시 외부 기관 확인)
X-RAY 검사기준의 합리성
(내부에 크랙이나 돌출, 에어포켓이 없습니다.)</t>
        </is>
      </c>
      <c r="E128" s="60" t="n">
        <v>3</v>
      </c>
      <c r="F128" s="60" t="n"/>
      <c r="G128" s="75" t="n"/>
    </row>
    <row r="129" ht="51" customHeight="1" s="1">
      <c r="B129" s="158" t="n"/>
      <c r="C129" s="61" t="inlineStr">
        <is>
          <t>12.4</t>
        </is>
      </c>
      <c r="D129" s="60" t="inlineStr">
        <is>
          <t>내시경검사 시기준정합성  
(깊은 곳은 내부적으로 불량(기포,크랙)되는 것)
내시경 검사기준의 합리성
(구멍 깊은 곳에 결함(다공성, 크랙)이 없음)</t>
        </is>
      </c>
      <c r="E129" s="60" t="n">
        <v>3</v>
      </c>
      <c r="F129" s="60" t="n"/>
      <c r="G129" s="75" t="n"/>
    </row>
    <row r="130" ht="51" customHeight="1" s="1">
      <c r="B130" s="158" t="n"/>
      <c r="C130" s="61" t="inlineStr">
        <is>
          <t>12.5</t>
        </is>
      </c>
      <c r="D130" s="60" t="inlineStr">
        <is>
          <t>누출 공정 조건 및 성능 관리 
* 결과는 전수 근력관리(Raw data)
Leak 테스트 결과 이력 및 조건 관리
* 전체 결과 이력 관리(원시 데이터)</t>
        </is>
      </c>
      <c r="E130" s="60" t="n">
        <v>3</v>
      </c>
      <c r="F130" s="60" t="n"/>
      <c r="G130" s="75" t="n"/>
    </row>
    <row r="131" ht="51" customHeight="1" s="1">
      <c r="B131" s="158" t="n"/>
      <c r="C131" s="61" t="inlineStr">
        <is>
          <t>12.6</t>
        </is>
      </c>
      <c r="D131" s="60" t="inlineStr">
        <is>
          <t>누출검사기준정합성보존
(도면해야 하며, 확인 기준 LEAK 조건을 만족할 것)
LEAK TEST 기준의 합리성
(LEAK 조건값을 만족하는 도면기준을 도면에 반영 필요)</t>
        </is>
      </c>
      <c r="E131" s="60" t="n">
        <v>3</v>
      </c>
      <c r="F131" s="60" t="n"/>
      <c r="G131" s="75" t="n"/>
    </row>
    <row r="132" ht="25.5" customHeight="1" s="1">
      <c r="B132" s="158" t="n"/>
      <c r="C132" s="61" t="inlineStr">
        <is>
          <t>12.7</t>
        </is>
      </c>
      <c r="D132" s="60" t="inlineStr">
        <is>
          <t>X-RAY 검사, 내시경 검사, 조직 검사 실행 상태
조직검사, 내시경검사, 엑스레이 현황</t>
        </is>
      </c>
      <c r="E132" s="60" t="n">
        <v>2</v>
      </c>
      <c r="F132" s="60" t="n"/>
      <c r="G132" s="75" t="n"/>
    </row>
    <row r="133" ht="25.5" customHeight="1" s="1">
      <c r="B133" s="158" t="n"/>
      <c r="C133" s="61" t="inlineStr">
        <is>
          <t>12.8</t>
        </is>
      </c>
      <c r="D133" s="60" t="inlineStr">
        <is>
          <t>완벽한품(LEAK) 검사 시, 기록력 기록
완제품 누출검사장비(LEAK)의 일상적인 오류검출 능력을 검사</t>
        </is>
      </c>
      <c r="E133" s="60" t="n">
        <v>2</v>
      </c>
      <c r="F133" s="60" t="n"/>
      <c r="G133" s="75" t="n"/>
    </row>
    <row r="134" ht="33.75" customHeight="1" s="1">
      <c r="B134" s="158" t="n"/>
      <c r="C134" s="61" t="inlineStr">
        <is>
          <t>12.9</t>
        </is>
      </c>
      <c r="D134" s="64" t="inlineStr">
        <is>
          <t>나사 탭 점검용 샘플품(모델 HEG-스탠드 커버) 파기 규정에 부합합니까?
모델 HEG- 스탠드 커버가 탭산부 테스트용 제품을 폐기 처리 준수 여부?</t>
        </is>
      </c>
      <c r="E134" s="60" t="n">
        <v>3</v>
      </c>
      <c r="F134" s="60" t="n"/>
      <c r="G134" s="75" t="n"/>
    </row>
    <row r="135" ht="26.25" customHeight="1" s="1" thickBot="1">
      <c r="B135" s="159" t="n"/>
      <c r="C135" s="76" t="inlineStr">
        <is>
          <t>12.10</t>
        </is>
      </c>
      <c r="D135" s="77" t="inlineStr">
        <is>
          <t>완성품 관리자 기본서 및 한도견본 (OK/NG)
완제품 검사기준 및 한계샘플 설정(OK/NG)</t>
        </is>
      </c>
      <c r="E135" s="77" t="n">
        <v>2</v>
      </c>
      <c r="F135" s="77" t="n"/>
      <c r="G135" s="78" t="n"/>
    </row>
    <row r="136" ht="51" customHeight="1" s="1">
      <c r="B136" s="127" t="inlineStr">
        <is>
          <t>13. 검사
그리고
공정하게
검사 및 수출품</t>
        </is>
      </c>
      <c r="C136" s="71" t="inlineStr">
        <is>
          <t>13.1</t>
        </is>
      </c>
      <c r="D136" s="73" t="inlineStr">
        <is>
          <t>검사 관련 정합성 및 상태 확인
(미성형, 이물, 소착, 캡처김, 기포가 되는 것)
육안검사기준 현황 및 타당성 확인 
(재질 누락, 이물질, 거칠기, 칩, 구멍 없음)</t>
        </is>
      </c>
      <c r="E136" s="73" t="n">
        <v>3</v>
      </c>
      <c r="F136" s="73" t="n"/>
      <c r="G136" s="74" t="n"/>
    </row>
    <row r="137" ht="51" customHeight="1" s="1">
      <c r="B137" s="158" t="n"/>
      <c r="C137" s="61" t="inlineStr">
        <is>
          <t>13.2</t>
        </is>
      </c>
      <c r="D137" s="60" t="inlineStr">
        <is>
          <t>개발시 측정 코릴레이션 활동 진행 
* 양산 시 기사 Cross Check
실행/수행 개발 시 접근 확인 측정 상관관계 확인
* 미사 시 주기적으로 샘플 교차 점검을 실시</t>
        </is>
      </c>
      <c r="E137" s="60" t="n">
        <v>3</v>
      </c>
      <c r="F137" s="60" t="n"/>
      <c r="G137" s="75" t="n"/>
    </row>
    <row r="138" ht="25.5" customHeight="1" s="1">
      <c r="B138" s="158" t="n"/>
      <c r="C138" s="61" t="inlineStr">
        <is>
          <t>13.3</t>
        </is>
      </c>
      <c r="D138" s="60" t="inlineStr">
        <is>
          <t>에어게이지, Go/No 점수 등 검교정 여부 여부
공기 게이지, Go/No 게이지 등에 대한 교정 계획이 설정되어 있습니까? 아니요</t>
        </is>
      </c>
      <c r="E138" s="60" t="n">
        <v>3</v>
      </c>
      <c r="F138" s="60" t="n"/>
      <c r="G138" s="75" t="n"/>
    </row>
    <row r="139" ht="25.5" customHeight="1" s="1">
      <c r="B139" s="158" t="n"/>
      <c r="C139" s="61" t="inlineStr">
        <is>
          <t>13.4</t>
        </is>
      </c>
      <c r="D139" s="60" t="inlineStr">
        <is>
          <t>경찰서, 경찰서에 의거한 경찰 신분 상태
검사협정 및 검사기준에 따른 치수검사 실시 현황</t>
        </is>
      </c>
      <c r="E139" s="60" t="n">
        <v>3</v>
      </c>
      <c r="F139" s="60" t="n"/>
      <c r="G139" s="75" t="n"/>
    </row>
    <row r="140" ht="63.75" customHeight="1" s="1">
      <c r="B140" s="158" t="n"/>
      <c r="C140" s="61" t="inlineStr">
        <is>
          <t>13.5</t>
        </is>
      </c>
      <c r="D140" s="60" t="inlineStr">
        <is>
          <t>SPC, Cpk 관련 상태에 대한 특별 항목
(가공 조명별 필요)
* 미달 시 전수검사 예정 및 적용
특수특성에 대한 CPK 및 SPC 시행현황(가공기계별 필수)
* 불합격 시 100% 점검계획을 작성하여 신청</t>
        </is>
      </c>
      <c r="E140" s="60" t="n">
        <v>3</v>
      </c>
      <c r="F140" s="60" t="n"/>
      <c r="G140" s="75" t="n"/>
    </row>
    <row r="141" ht="25.5" customHeight="1" s="1">
      <c r="B141" s="158" t="n"/>
      <c r="C141" s="61" t="inlineStr">
        <is>
          <t>13.6</t>
        </is>
      </c>
      <c r="D141" s="60" t="inlineStr">
        <is>
          <t>금형 캐비티 번호 식별 상태 확인
Cavity No. 금형 상태 확인</t>
        </is>
      </c>
      <c r="E141" s="60" t="n">
        <v>3</v>
      </c>
      <c r="F141" s="60" t="n"/>
      <c r="G141" s="75" t="n"/>
    </row>
    <row r="142" ht="25.5" customHeight="1" s="1">
      <c r="B142" s="158" t="n"/>
      <c r="C142" s="61" t="inlineStr">
        <is>
          <t>13.7</t>
        </is>
      </c>
      <c r="D142" s="60" t="inlineStr">
        <is>
          <t>사랑기준서의 사랑투입수량, 사랑방법 일치여부
투입되는 포장 및 포장방법이 포장기준에 적합한지 여부</t>
        </is>
      </c>
      <c r="E142" s="60" t="n">
        <v>3</v>
      </c>
      <c r="F142" s="60" t="n"/>
      <c r="G142" s="75" t="n"/>
    </row>
    <row r="143" ht="25.5" customHeight="1" s="1">
      <c r="B143" s="158" t="n"/>
      <c r="C143" s="61" t="inlineStr">
        <is>
          <t>13.8</t>
        </is>
      </c>
      <c r="D143" s="60" t="inlineStr">
        <is>
          <t>부품 식별표에 부품명, 생산LOT 번호, 배송일자 기록 여부
부품식별표에 출하일자, 제조 LOT No, 부품명이 기록되어 있나요?</t>
        </is>
      </c>
      <c r="E143" s="60" t="n">
        <v>3</v>
      </c>
      <c r="F143" s="60" t="n"/>
      <c r="G143" s="75" t="n"/>
    </row>
    <row r="144" ht="51" customHeight="1" s="1">
      <c r="B144" s="158" t="n"/>
      <c r="C144" s="61" t="inlineStr">
        <is>
          <t>13.9</t>
        </is>
      </c>
      <c r="D144" s="60" t="inlineStr">
        <is>
          <t>완벽하게 일치하는지 여부
인터락 시스템 적용 여부
완제품이 선입 선출 규정을 준수합니까?
인터록 시스템 적용 여부</t>
        </is>
      </c>
      <c r="E144" s="60" t="n">
        <v>3</v>
      </c>
      <c r="F144" s="60" t="n"/>
      <c r="G144" s="75" t="n"/>
    </row>
    <row r="145" ht="26.25" customHeight="1" s="1" thickBot="1">
      <c r="B145" s="159" t="n"/>
      <c r="C145" s="76" t="inlineStr">
        <is>
          <t>13.10</t>
        </is>
      </c>
      <c r="D145" s="77" t="inlineStr">
        <is>
          <t>완벽하게 심사원 내부 자격을 부여 받았습니다.
리뷰자 보세상품에 성능인증서가 있나요?</t>
        </is>
      </c>
      <c r="E145" s="77" t="n">
        <v>2</v>
      </c>
      <c r="F145" s="77" t="n"/>
      <c r="G145" s="78" t="n"/>
    </row>
    <row r="146"/>
    <row r="147" ht="19.5" customHeight="1" s="1">
      <c r="B147" s="90" t="inlineStr">
        <is>
          <t>배점기준
포인트 배분 기준</t>
        </is>
      </c>
      <c r="C147" s="153" t="n"/>
      <c r="D147" s="119" t="inlineStr">
        <is>
          <t>충분히 진행하고 증거가 있습니다/완료되었으며 충분한 증거가 있습니다: 4/3/2</t>
        </is>
      </c>
      <c r="E147" s="140" t="n"/>
      <c r="F147" s="140" t="n"/>
      <c r="G147" s="141" t="n"/>
    </row>
    <row r="148" ht="19.5" customHeight="1" s="1">
      <c r="B148" s="154" t="n"/>
      <c r="C148" s="155" t="n"/>
      <c r="D148" s="119" t="inlineStr">
        <is>
          <t>실행은 하지만 불충분하다/ Incomplete &amp; 없음/ 없음: 0</t>
        </is>
      </c>
      <c r="E148" s="140" t="n"/>
      <c r="F148" s="140" t="n"/>
      <c r="G148" s="141" t="n"/>
    </row>
  </sheetData>
  <mergeCells count="16">
    <mergeCell ref="B23:B35"/>
    <mergeCell ref="B36:B45"/>
    <mergeCell ref="B136:B145"/>
    <mergeCell ref="B75:B85"/>
    <mergeCell ref="D148:G148"/>
    <mergeCell ref="B55:B67"/>
    <mergeCell ref="B4:B12"/>
    <mergeCell ref="B126:B135"/>
    <mergeCell ref="B109:B125"/>
    <mergeCell ref="B86:B103"/>
    <mergeCell ref="B13:B22"/>
    <mergeCell ref="D147:G147"/>
    <mergeCell ref="B104:B108"/>
    <mergeCell ref="B46:B54"/>
    <mergeCell ref="B147:C148"/>
    <mergeCell ref="B68:B74"/>
  </mergeCells>
  <printOptions horizontalCentered="1" verticalCentered="1"/>
  <pageMargins left="0" right="0" top="0" bottom="0" header="0" footer="0"/>
  <pageSetup orientation="portrait" paperSize="9" scale="47"/>
  <rowBreaks count="2" manualBreakCount="2">
    <brk id="45" min="0" max="16383" man="1"/>
    <brk id="92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tabSelected="1" zoomScale="70" zoomScaleNormal="70" workbookViewId="0">
      <selection activeCell="H5" sqref="H5"/>
    </sheetView>
  </sheetViews>
  <sheetFormatPr baseColWidth="8" defaultColWidth="9" defaultRowHeight="15"/>
  <cols>
    <col width="2.875" customWidth="1" style="21" min="1" max="1"/>
    <col width="5.75" customWidth="1" style="21" min="2" max="2"/>
    <col width="10.375" customWidth="1" style="21" min="3" max="3"/>
    <col width="24.125" customWidth="1" style="21" min="4" max="4"/>
    <col width="39" customWidth="1" style="21" min="5" max="5"/>
    <col width="28" customWidth="1" style="21" min="6" max="6"/>
    <col width="44" customWidth="1" style="21" min="7" max="7"/>
    <col width="17.875" customWidth="1" style="21" min="8" max="8"/>
    <col width="16.75" customWidth="1" style="21" min="9" max="10"/>
    <col width="16.875" customWidth="1" style="21" min="11" max="12"/>
    <col width="28" customWidth="1" style="21" min="13" max="13"/>
    <col width="9" customWidth="1" style="21" min="14" max="16384"/>
  </cols>
  <sheetData>
    <row r="1" ht="40.5" customHeight="1" s="1" thickBot="1">
      <c r="B1" s="23" t="inlineStr">
        <is>
          <t>Correction action</t>
        </is>
      </c>
    </row>
    <row r="2" ht="120" customFormat="1" customHeight="1" s="24">
      <c r="B2" s="52" t="inlineStr">
        <is>
          <t>No.
Stt</t>
        </is>
      </c>
      <c r="C2" s="53" t="inlineStr">
        <is>
          <t>질문번호
질문 수</t>
        </is>
      </c>
      <c r="D2" s="53" t="inlineStr">
        <is>
          <t>감사 결과
오류가 감지되었습니다.</t>
        </is>
      </c>
      <c r="E2" s="53" t="inlineStr">
        <is>
          <t>Evidence (before)</t>
        </is>
      </c>
      <c r="F2" s="53" t="inlineStr">
        <is>
          <t>시정 조치
개선된 정책</t>
        </is>
      </c>
      <c r="G2" s="53" t="inlineStr">
        <is>
          <t>Evidence (after)</t>
        </is>
      </c>
      <c r="H2" s="53" t="inlineStr">
        <is>
          <t>책임
PIC가 책임집니다</t>
        </is>
      </c>
      <c r="I2" s="54" t="inlineStr">
        <is>
          <t>감사 날짜
감사 날짜</t>
        </is>
      </c>
      <c r="J2" s="54" t="inlineStr">
        <is>
          <t>완료일
데이트 완벽한 개선</t>
        </is>
      </c>
      <c r="K2" s="53" t="inlineStr">
        <is>
          <t>Status
상태</t>
        </is>
      </c>
      <c r="L2" s="55" t="inlineStr">
        <is>
          <t>효율성
효과적인 평가</t>
        </is>
      </c>
      <c r="M2" s="55" t="inlineStr">
        <is>
          <t>개선사항 다시 확인 날짜
개선을 위해 다시 확인해 보세요.</t>
        </is>
      </c>
    </row>
    <row r="3" ht="133.5" customHeight="1" s="1">
      <c r="B3" s="25" t="n"/>
      <c r="C3" s="28" t="n"/>
      <c r="D3" s="57" t="n"/>
      <c r="E3" s="27" t="n"/>
      <c r="F3" s="27" t="n"/>
      <c r="G3" s="27" t="n"/>
      <c r="H3" s="28" t="n"/>
      <c r="I3" s="29" t="n"/>
      <c r="J3" s="29" t="n"/>
      <c r="K3" s="28" t="n"/>
      <c r="L3" s="30" t="n"/>
      <c r="M3" s="56" t="n"/>
    </row>
    <row r="4" ht="133.5" customHeight="1" s="1">
      <c r="B4" s="25" t="n"/>
      <c r="C4" s="28" t="n"/>
      <c r="D4" s="31" t="n"/>
      <c r="E4" s="31" t="n"/>
      <c r="F4" s="31" t="n"/>
      <c r="G4" s="31" t="n"/>
      <c r="H4" s="28" t="n"/>
      <c r="I4" s="29" t="n"/>
      <c r="J4" s="29" t="n"/>
      <c r="K4" s="28" t="n"/>
      <c r="L4" s="30" t="n"/>
      <c r="M4" s="56" t="n"/>
    </row>
    <row r="5" ht="133.5" customHeight="1" s="1">
      <c r="B5" s="25" t="n"/>
      <c r="C5" s="28" t="n"/>
      <c r="D5" s="31" t="n"/>
      <c r="E5" s="31" t="n"/>
      <c r="F5" s="31" t="n"/>
      <c r="G5" s="31" t="n"/>
      <c r="H5" s="28" t="n"/>
      <c r="I5" s="29" t="n"/>
      <c r="J5" s="29" t="n"/>
      <c r="K5" s="28" t="n"/>
      <c r="L5" s="30" t="n"/>
      <c r="M5" s="56" t="n"/>
    </row>
    <row r="7" ht="34.5" customHeight="1" s="1"/>
    <row r="8" ht="34.5" customHeight="1" s="1"/>
    <row r="9" ht="34.5" customHeight="1" s="1"/>
    <row r="10" ht="34.5" customHeight="1" s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2008-07-04T16:18:18Z</dcterms:created>
  <dcterms:modified xmlns:dcterms="http://purl.org/dc/terms/" xmlns:xsi="http://www.w3.org/2001/XMLSchema-instance" xsi:type="dcterms:W3CDTF">2026-04-10T11:04:46Z</dcterms:modified>
  <cp:lastModifiedBy>DPC</cp:lastModifiedBy>
  <cp:lastPrinted>2024-04-20T03:58:34Z</cp:lastPrinted>
</cp:coreProperties>
</file>

<file path=docProps/custom.xml><?xml version="1.0" encoding="utf-8"?>
<Properties xmlns="http://schemas.openxmlformats.org/officeDocument/2006/custom-properties">
  <property name="MSIP_Label_2ccaa0f1-a95f-4ce6-8634-fabdc9e6d571_Enabled" fmtid="{D5CDD505-2E9C-101B-9397-08002B2CF9AE}" pid="2">
    <vt:lpwstr xmlns:vt="http://schemas.openxmlformats.org/officeDocument/2006/docPropsVTypes">true</vt:lpwstr>
  </property>
  <property name="MSIP_Label_2ccaa0f1-a95f-4ce6-8634-fabdc9e6d571_SetDate" fmtid="{D5CDD505-2E9C-101B-9397-08002B2CF9AE}" pid="3">
    <vt:lpwstr xmlns:vt="http://schemas.openxmlformats.org/officeDocument/2006/docPropsVTypes">2021-12-03T05:01:33Z</vt:lpwstr>
  </property>
  <property name="MSIP_Label_2ccaa0f1-a95f-4ce6-8634-fabdc9e6d571_Method" fmtid="{D5CDD505-2E9C-101B-9397-08002B2CF9AE}" pid="4">
    <vt:lpwstr xmlns:vt="http://schemas.openxmlformats.org/officeDocument/2006/docPropsVTypes">Privileged</vt:lpwstr>
  </property>
  <property name="MSIP_Label_2ccaa0f1-a95f-4ce6-8634-fabdc9e6d571_Name" fmtid="{D5CDD505-2E9C-101B-9397-08002B2CF9AE}" pid="5">
    <vt:lpwstr xmlns:vt="http://schemas.openxmlformats.org/officeDocument/2006/docPropsVTypes">Restricted(Non)</vt:lpwstr>
  </property>
  <property name="MSIP_Label_2ccaa0f1-a95f-4ce6-8634-fabdc9e6d571_SiteId" fmtid="{D5CDD505-2E9C-101B-9397-08002B2CF9AE}" pid="6">
    <vt:lpwstr xmlns:vt="http://schemas.openxmlformats.org/officeDocument/2006/docPropsVTypes">e6c7989d-a5fe-4b7b-a335-3288406db2fd</vt:lpwstr>
  </property>
  <property name="MSIP_Label_2ccaa0f1-a95f-4ce6-8634-fabdc9e6d571_ActionId" fmtid="{D5CDD505-2E9C-101B-9397-08002B2CF9AE}" pid="7">
    <vt:lpwstr xmlns:vt="http://schemas.openxmlformats.org/officeDocument/2006/docPropsVTypes">84370835-8788-4d59-9566-ce01418a2a23</vt:lpwstr>
  </property>
  <property name="MSIP_Label_2ccaa0f1-a95f-4ce6-8634-fabdc9e6d571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0x010100452CD4602CE2C14D826023D78D823C7F</vt:lpwstr>
  </property>
</Properties>
</file>