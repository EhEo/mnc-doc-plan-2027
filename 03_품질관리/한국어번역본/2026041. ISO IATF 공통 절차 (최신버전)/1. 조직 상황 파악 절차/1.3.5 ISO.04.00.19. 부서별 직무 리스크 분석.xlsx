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drawings/drawing15.xml" ContentType="application/vnd.openxmlformats-officedocument.drawing+xml"/>
  <Override PartName="/xl/worksheets/sheet17.xml" ContentType="application/vnd.openxmlformats-officedocument.spreadsheetml.worksheet+xml"/>
  <Override PartName="/xl/drawings/drawing16.xml" ContentType="application/vnd.openxmlformats-officedocument.drawing+xml"/>
  <Override PartName="/xl/worksheets/sheet18.xml" ContentType="application/vnd.openxmlformats-officedocument.spreadsheetml.worksheet+xml"/>
  <Override PartName="/xl/drawings/drawing17.xml" ContentType="application/vnd.openxmlformats-officedocument.drawing+xml"/>
  <Override PartName="/xl/worksheets/sheet19.xml" ContentType="application/vnd.openxmlformats-officedocument.spreadsheetml.worksheet+xml"/>
  <Override PartName="/xl/drawings/drawing18.xml" ContentType="application/vnd.openxmlformats-officedocument.drawing+xml"/>
  <Override PartName="/xl/worksheets/sheet20.xml" ContentType="application/vnd.openxmlformats-officedocument.spreadsheetml.worksheet+xml"/>
  <Override PartName="/xl/drawings/drawing19.xml" ContentType="application/vnd.openxmlformats-officedocument.drawing+xml"/>
  <Override PartName="/xl/worksheets/sheet21.xml" ContentType="application/vnd.openxmlformats-officedocument.spreadsheetml.worksheet+xml"/>
  <Override PartName="/xl/drawings/drawing20.xml" ContentType="application/vnd.openxmlformats-officedocument.drawing+xml"/>
  <Override PartName="/xl/worksheets/sheet22.xml" ContentType="application/vnd.openxmlformats-officedocument.spreadsheetml.worksheet+xml"/>
  <Override PartName="/xl/drawings/drawing21.xml" ContentType="application/vnd.openxmlformats-officedocument.drawing+xml"/>
  <Override PartName="/xl/worksheets/sheet23.xml" ContentType="application/vnd.openxmlformats-officedocument.spreadsheetml.worksheet+xml"/>
  <Override PartName="/xl/drawings/drawing2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7160" windowHeight="12585" tabRatio="880" firstSheet="0" activeTab="20" autoFilterDateGrouping="1"/>
  </bookViews>
  <sheets>
    <sheet xmlns:r="http://schemas.openxmlformats.org/officeDocument/2006/relationships" name="KHSX" sheetId="1" state="visible" r:id="rId1"/>
    <sheet xmlns:r="http://schemas.openxmlformats.org/officeDocument/2006/relationships" name="PU" sheetId="2" state="visible" r:id="rId2"/>
    <sheet xmlns:r="http://schemas.openxmlformats.org/officeDocument/2006/relationships" name="창고" sheetId="3" state="visible" r:id="rId3"/>
    <sheet xmlns:r="http://schemas.openxmlformats.org/officeDocument/2006/relationships" name="CNC" sheetId="4" state="visible" r:id="rId4"/>
    <sheet xmlns:r="http://schemas.openxmlformats.org/officeDocument/2006/relationships" name="Casting" sheetId="5" state="visible" r:id="rId5"/>
    <sheet xmlns:r="http://schemas.openxmlformats.org/officeDocument/2006/relationships" name="Painting" sheetId="6" state="visible" r:id="rId6"/>
    <sheet xmlns:r="http://schemas.openxmlformats.org/officeDocument/2006/relationships" name="곰팡이" sheetId="7" state="visible" r:id="rId7"/>
    <sheet xmlns:r="http://schemas.openxmlformats.org/officeDocument/2006/relationships" name="QC" sheetId="8" state="visible" r:id="rId8"/>
    <sheet xmlns:r="http://schemas.openxmlformats.org/officeDocument/2006/relationships" name="Sale" sheetId="9" state="visible" r:id="rId9"/>
    <sheet xmlns:r="http://schemas.openxmlformats.org/officeDocument/2006/relationships" name="Trimming" sheetId="10" state="visible" r:id="rId10"/>
    <sheet xmlns:r="http://schemas.openxmlformats.org/officeDocument/2006/relationships" name="QD 중국어" sheetId="11" state="hidden" r:id="rId11"/>
    <sheet xmlns:r="http://schemas.openxmlformats.org/officeDocument/2006/relationships" name="Polish Barrel Mai" sheetId="12" state="visible" r:id="rId12"/>
    <sheet xmlns:r="http://schemas.openxmlformats.org/officeDocument/2006/relationships" name="플라스틱 몰딩(괜찮아요)" sheetId="13" state="hidden" r:id="rId13"/>
    <sheet xmlns:r="http://schemas.openxmlformats.org/officeDocument/2006/relationships" name="조립 (괜찮아)" sheetId="14" state="hidden" r:id="rId14"/>
    <sheet xmlns:r="http://schemas.openxmlformats.org/officeDocument/2006/relationships" name="창고 재료U (ok)" sheetId="15" state="hidden" r:id="rId15"/>
    <sheet xmlns:r="http://schemas.openxmlformats.org/officeDocument/2006/relationships" name="창고완제품(OK)" sheetId="16" state="hidden" r:id="rId16"/>
    <sheet xmlns:r="http://schemas.openxmlformats.org/officeDocument/2006/relationships" name="Nail (OK)" sheetId="17" state="hidden" r:id="rId17"/>
    <sheet xmlns:r="http://schemas.openxmlformats.org/officeDocument/2006/relationships" name="속눈썹" sheetId="18" state="hidden" r:id="rId18"/>
    <sheet xmlns:r="http://schemas.openxmlformats.org/officeDocument/2006/relationships" name="전자기계" sheetId="19" state="visible" r:id="rId19"/>
    <sheet xmlns:r="http://schemas.openxmlformats.org/officeDocument/2006/relationships" name="EHS" sheetId="20" state="visible" r:id="rId20"/>
    <sheet xmlns:r="http://schemas.openxmlformats.org/officeDocument/2006/relationships" name="RnD" sheetId="21" state="visible" r:id="rId21"/>
    <sheet xmlns:r="http://schemas.openxmlformats.org/officeDocument/2006/relationships" name="IT" sheetId="22" state="visible" r:id="rId22"/>
    <sheet xmlns:r="http://schemas.openxmlformats.org/officeDocument/2006/relationships" name="HR" sheetId="23" state="visible" r:id="rId23"/>
  </sheets>
  <definedNames>
    <definedName name="_xlnm.Print_Titles" localSheetId="0">'KHSX'!$3:$4</definedName>
    <definedName name="_xlnm.Print_Area" localSheetId="0">'KHSX'!$A$1:$M$16</definedName>
    <definedName name="_xlnm.Print_Titles" localSheetId="2">'창고'!$2:$3</definedName>
    <definedName name="_xlnm.Print_Area" localSheetId="2">'창고'!$A$1:$M$25</definedName>
    <definedName name="_xlnm.Print_Titles" localSheetId="3">'CNC'!$1:$2</definedName>
    <definedName name="_xlnm.Print_Area" localSheetId="3">'CNC'!$A$1:$M$25</definedName>
    <definedName name="_xlnm.Print_Titles" localSheetId="4">'Casting'!$3:$4</definedName>
    <definedName name="_xlnm.Print_Area" localSheetId="4">'Casting'!$A$1:$O$36</definedName>
    <definedName name="_xlnm.Print_Titles" localSheetId="5">'Painting'!$3:$4</definedName>
    <definedName name="_xlnm.Print_Area" localSheetId="5">'Painting'!$A$1:$M$16</definedName>
    <definedName name="_xlnm.Print_Titles" localSheetId="7">'QC'!$3:$4</definedName>
    <definedName name="_xlnm.Print_Area" localSheetId="7">'QC'!$A$1:$M$33</definedName>
    <definedName name="_xlnm.Print_Titles" localSheetId="9">'Trimming'!$3:$4</definedName>
    <definedName name="_xlnm.Print_Area" localSheetId="9">'Trimming'!$A$1:$M$11</definedName>
    <definedName name="_xlnm.Print_Titles" localSheetId="11">'Polish Barrel Mai'!$3:$4</definedName>
    <definedName name="_xlnm.Print_Area" localSheetId="11">'Polish Barrel Mai'!$A$1:$M$14</definedName>
    <definedName name="_xlnm.Print_Titles" localSheetId="12">'플라스틱 몰딩(괜찮아요)'!$3:$4</definedName>
    <definedName name="_xlnm.Print_Area" localSheetId="12">'플라스틱 몰딩(괜찮아요)'!$A$1:$N$16</definedName>
    <definedName name="_xlnm.Print_Titles" localSheetId="13">'조립 (괜찮아)'!$3:$4</definedName>
    <definedName name="_xlnm.Print_Area" localSheetId="13">'조립 (괜찮아)'!$A$1:$M$12</definedName>
    <definedName name="_xlnm.Print_Titles" localSheetId="14">'창고 재료U (ok)'!$3:$4</definedName>
    <definedName name="_xlnm.Print_Area" localSheetId="14">'창고 재료U (ok)'!$A$1:$M$15</definedName>
    <definedName name="_xlnm.Print_Titles" localSheetId="15">'창고완제품(OK)'!$3:$4</definedName>
    <definedName name="_xlnm.Print_Area" localSheetId="15">'창고완제품(OK)'!$A$1:$M$9</definedName>
    <definedName name="_xlnm.Print_Titles" localSheetId="16">'Nail (OK)'!$3:$4</definedName>
    <definedName name="_xlnm.Print_Area" localSheetId="16">'Nail (OK)'!$A$1:$M$11</definedName>
    <definedName name="_xlnm.Print_Titles" localSheetId="17">'속눈썹'!$3:$4</definedName>
    <definedName name="_xlnm.Print_Area" localSheetId="17">'속눈썹'!$A$1:$M$10</definedName>
  </definedNames>
  <calcPr calcId="162913" fullCalcOnLoad="1"/>
</workbook>
</file>

<file path=xl/styles.xml><?xml version="1.0" encoding="utf-8"?>
<styleSheet xmlns="http://schemas.openxmlformats.org/spreadsheetml/2006/main">
  <numFmts count="0"/>
  <fonts count="35">
    <font>
      <name val="Arial"/>
      <family val="2"/>
      <sz val="10"/>
    </font>
    <font>
      <name val="Arial"/>
      <family val="2"/>
      <sz val="10"/>
    </font>
    <font>
      <name val="Times New Roman"/>
      <family val="1"/>
      <sz val="14"/>
    </font>
    <font>
      <name val="Times New Roman"/>
      <family val="1"/>
      <b val="1"/>
      <sz val="18"/>
    </font>
    <font>
      <name val="Times New Roman"/>
      <family val="1"/>
      <sz val="12"/>
    </font>
    <font>
      <name val="Times New Roman"/>
      <family val="1"/>
      <b val="1"/>
      <sz val="14"/>
    </font>
    <font>
      <name val="Times New Roman"/>
      <family val="1"/>
      <b val="1"/>
      <sz val="16"/>
    </font>
    <font>
      <name val="Times New Roman"/>
      <family val="1"/>
      <b val="1"/>
      <sz val="12"/>
    </font>
    <font>
      <name val="Times New Roman"/>
      <family val="1"/>
      <b val="1"/>
      <sz val="24"/>
    </font>
    <font>
      <name val="Times New Roman"/>
      <family val="1"/>
      <b val="1"/>
      <sz val="22"/>
    </font>
    <font>
      <name val="Times New Roman"/>
      <family val="1"/>
      <sz val="10"/>
    </font>
    <font>
      <name val="Times New Roman"/>
      <family val="1"/>
      <b val="1"/>
      <sz val="20"/>
    </font>
    <font>
      <name val="Times New Roman"/>
      <family val="1"/>
      <color indexed="8"/>
      <sz val="12"/>
    </font>
    <font>
      <name val="Times New Roman"/>
      <family val="1"/>
      <b val="1"/>
      <sz val="11"/>
    </font>
    <font>
      <name val="Times New Roman"/>
      <family val="1"/>
      <sz val="11"/>
    </font>
    <font>
      <name val="Times New Roman"/>
      <family val="1"/>
      <b val="1"/>
      <sz val="10"/>
    </font>
    <font>
      <name val="ＭＳ Ｐゴシック"/>
      <charset val="128"/>
      <family val="3"/>
      <sz val="11"/>
    </font>
    <font>
      <name val="Calibri Light"/>
      <charset val="163"/>
      <family val="1"/>
      <sz val="10"/>
      <scheme val="major"/>
    </font>
    <font>
      <name val="Calibri Light"/>
      <charset val="163"/>
      <family val="1"/>
      <b val="1"/>
      <sz val="12"/>
      <scheme val="major"/>
    </font>
    <font>
      <name val="Calibri Light"/>
      <charset val="163"/>
      <family val="1"/>
      <sz val="12"/>
      <scheme val="major"/>
    </font>
    <font>
      <name val="Times New Roman"/>
      <family val="1"/>
      <color theme="1"/>
      <sz val="11"/>
    </font>
    <font>
      <name val="Times New Roman"/>
      <family val="1"/>
      <color theme="1"/>
      <sz val="12"/>
    </font>
    <font>
      <name val="Times New Roman"/>
      <family val="1"/>
      <b val="1"/>
      <color theme="1"/>
      <sz val="20"/>
    </font>
    <font>
      <name val="Times New Roman"/>
      <family val="1"/>
      <b val="1"/>
      <color theme="1"/>
      <sz val="12"/>
    </font>
    <font>
      <name val="Times New Roman"/>
      <family val="1"/>
      <b val="1"/>
      <color theme="1"/>
      <sz val="26"/>
    </font>
    <font>
      <name val="Times New Roman"/>
      <family val="1"/>
      <b val="1"/>
      <i val="1"/>
      <color theme="1"/>
      <sz val="12"/>
    </font>
    <font>
      <name val="Times New Roman"/>
      <family val="1"/>
      <b val="1"/>
      <color theme="1"/>
      <sz val="11"/>
    </font>
    <font>
      <name val="Times New Roman"/>
      <family val="1"/>
      <b val="1"/>
      <color theme="1"/>
      <sz val="22"/>
    </font>
    <font>
      <name val="Calibri Light"/>
      <charset val="163"/>
      <family val="1"/>
      <b val="1"/>
      <sz val="14"/>
      <scheme val="major"/>
    </font>
    <font>
      <name val="Times New Roman"/>
      <family val="1"/>
      <sz val="18"/>
    </font>
    <font>
      <name val="Times New Roman"/>
      <family val="1"/>
      <b val="1"/>
      <color theme="1"/>
      <sz val="10"/>
    </font>
    <font>
      <name val="Times New Roman"/>
      <family val="1"/>
      <color theme="1"/>
      <sz val="10"/>
    </font>
    <font>
      <name val="Arial"/>
      <family val="2"/>
      <sz val="9"/>
    </font>
    <font>
      <name val="Times New Roman"/>
      <family val="1"/>
      <color theme="1"/>
      <sz val="9"/>
    </font>
    <font>
      <name val="Arial"/>
      <family val="2"/>
      <b val="1"/>
      <sz val="10"/>
    </font>
  </fonts>
  <fills count="6">
    <fill>
      <patternFill/>
    </fill>
    <fill>
      <patternFill patternType="gray125"/>
    </fill>
    <fill>
      <patternFill patternType="solid">
        <fgColor theme="0"/>
        <bgColor indexed="64"/>
      </patternFill>
    </fill>
    <fill>
      <patternFill patternType="solid">
        <fgColor rgb="FFFFFF00"/>
        <bgColor indexed="64"/>
      </patternFill>
    </fill>
    <fill>
      <patternFill patternType="solid">
        <fgColor theme="2" tint="-0.09997863704336681"/>
        <bgColor indexed="64"/>
      </patternFill>
    </fill>
    <fill>
      <patternFill patternType="solid">
        <fgColor theme="2" tint="-0.249977111117893"/>
        <bgColor indexed="64"/>
      </patternFill>
    </fill>
  </fills>
  <borders count="8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style="thin">
        <color indexed="8"/>
      </right>
      <top/>
      <bottom/>
      <diagonal/>
    </border>
    <border>
      <left style="thin">
        <color indexed="8"/>
      </left>
      <right style="thin">
        <color indexed="8"/>
      </right>
      <top/>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hair">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style="thin">
        <color indexed="64"/>
      </right>
      <top/>
      <bottom style="hair">
        <color indexed="64"/>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hair">
        <color indexed="64"/>
      </top>
      <bottom/>
      <diagonal/>
    </border>
    <border>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style="hair">
        <color indexed="64"/>
      </top>
      <bottom/>
      <diagonal/>
    </border>
    <border>
      <left style="medium">
        <color indexed="64"/>
      </left>
      <right style="thin">
        <color indexed="64"/>
      </right>
      <top/>
      <bottom style="hair">
        <color indexed="64"/>
      </bottom>
      <diagonal/>
    </border>
    <border>
      <left style="medium">
        <color indexed="64"/>
      </left>
      <right style="thin">
        <color indexed="64"/>
      </right>
      <top style="hair">
        <color indexed="64"/>
      </top>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style="medium">
        <color indexed="64"/>
      </left>
      <right/>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s>
  <cellStyleXfs count="3">
    <xf numFmtId="0" fontId="1" fillId="0" borderId="0"/>
    <xf numFmtId="0" fontId="1" fillId="0" borderId="0"/>
    <xf numFmtId="0" fontId="16" fillId="0" borderId="0" applyAlignment="1">
      <alignment vertical="center"/>
    </xf>
  </cellStyleXfs>
  <cellXfs count="861">
    <xf numFmtId="0" fontId="1" fillId="0" borderId="0" pivotButton="0" quotePrefix="0" xfId="0"/>
    <xf numFmtId="0" fontId="17" fillId="0" borderId="0" pivotButton="0" quotePrefix="0" xfId="0"/>
    <xf numFmtId="0" fontId="18" fillId="0" borderId="1" applyAlignment="1" pivotButton="0" quotePrefix="0" xfId="0">
      <alignment horizontal="center" vertical="center" wrapText="1"/>
    </xf>
    <xf numFmtId="0" fontId="19" fillId="0" borderId="1" applyAlignment="1" pivotButton="0" quotePrefix="0" xfId="0">
      <alignment vertical="center" wrapText="1"/>
    </xf>
    <xf numFmtId="0" fontId="17" fillId="0" borderId="0" applyAlignment="1" pivotButton="0" quotePrefix="0" xfId="0">
      <alignment horizontal="left"/>
    </xf>
    <xf numFmtId="0" fontId="18" fillId="0" borderId="1" applyAlignment="1" pivotButton="0" quotePrefix="0" xfId="0">
      <alignment horizontal="left" vertical="center" wrapText="1"/>
    </xf>
    <xf numFmtId="0" fontId="19" fillId="0" borderId="1" applyAlignment="1" pivotButton="0" quotePrefix="1" xfId="0">
      <alignment horizontal="left" vertical="center" wrapText="1"/>
    </xf>
    <xf numFmtId="0" fontId="19" fillId="0" borderId="1" applyAlignment="1" pivotButton="0" quotePrefix="0" xfId="0">
      <alignment horizontal="center" vertical="center" wrapText="1"/>
    </xf>
    <xf numFmtId="0" fontId="19" fillId="0" borderId="1" applyAlignment="1" pivotButton="0" quotePrefix="0" xfId="0">
      <alignment vertical="center" wrapText="1"/>
    </xf>
    <xf numFmtId="0" fontId="19" fillId="0" borderId="2" applyAlignment="1" pivotButton="0" quotePrefix="0" xfId="0">
      <alignment vertical="center" wrapText="1"/>
    </xf>
    <xf numFmtId="0" fontId="19" fillId="0" borderId="2" applyAlignment="1" pivotButton="0" quotePrefix="1" xfId="0">
      <alignment vertical="center" wrapText="1"/>
    </xf>
    <xf numFmtId="0" fontId="17" fillId="0" borderId="0" applyAlignment="1" pivotButton="0" quotePrefix="0" xfId="0">
      <alignment horizontal="center"/>
    </xf>
    <xf numFmtId="0" fontId="2" fillId="0" borderId="0" applyAlignment="1" pivotButton="0" quotePrefix="0" xfId="0">
      <alignment horizontal="left" wrapText="1"/>
    </xf>
    <xf numFmtId="0" fontId="2" fillId="0" borderId="0" applyAlignment="1" pivotButton="0" quotePrefix="0" xfId="0">
      <alignment horizontal="left" vertical="center"/>
    </xf>
    <xf numFmtId="0" fontId="2" fillId="0" borderId="0" applyAlignment="1" pivotButton="0" quotePrefix="0" xfId="0">
      <alignment vertical="center"/>
    </xf>
    <xf numFmtId="0" fontId="2" fillId="0" borderId="3" applyAlignment="1" pivotButton="0" quotePrefix="0" xfId="0">
      <alignment vertical="center" wrapText="1"/>
    </xf>
    <xf numFmtId="0" fontId="2" fillId="0" borderId="4" applyAlignment="1" pivotButton="0" quotePrefix="0" xfId="0">
      <alignment horizontal="left" vertical="center" wrapText="1"/>
    </xf>
    <xf numFmtId="0" fontId="2" fillId="0" borderId="4" applyAlignment="1" pivotButton="0" quotePrefix="0" xfId="0">
      <alignment vertical="center" wrapText="1"/>
    </xf>
    <xf numFmtId="0" fontId="2" fillId="0" borderId="0" applyAlignment="1" pivotButton="0" quotePrefix="0" xfId="0">
      <alignment horizontal="left" wrapText="1"/>
    </xf>
    <xf numFmtId="0" fontId="2" fillId="0" borderId="0" applyAlignment="1" pivotButton="0" quotePrefix="0" xfId="0">
      <alignment horizontal="left" vertical="center" wrapText="1"/>
    </xf>
    <xf numFmtId="0" fontId="2" fillId="0" borderId="0" applyAlignment="1" pivotButton="0" quotePrefix="0" xfId="0">
      <alignment vertical="center"/>
    </xf>
    <xf numFmtId="0" fontId="2" fillId="0" borderId="0" applyAlignment="1" pivotButton="0" quotePrefix="1" xfId="0">
      <alignment vertical="center"/>
    </xf>
    <xf numFmtId="0" fontId="2" fillId="0" borderId="5" applyAlignment="1" pivotButton="0" quotePrefix="0" xfId="0">
      <alignment horizontal="left" wrapText="1"/>
    </xf>
    <xf numFmtId="0" fontId="2" fillId="0" borderId="5" applyAlignment="1" pivotButton="0" quotePrefix="0" xfId="0">
      <alignment horizontal="left" vertical="center"/>
    </xf>
    <xf numFmtId="0" fontId="2" fillId="0" borderId="5" applyAlignment="1" pivotButton="0" quotePrefix="0" xfId="0">
      <alignment vertical="center"/>
    </xf>
    <xf numFmtId="0" fontId="2" fillId="0" borderId="6" applyAlignment="1" pivotButton="0" quotePrefix="0" xfId="0">
      <alignment horizontal="left" vertical="center"/>
    </xf>
    <xf numFmtId="0" fontId="2" fillId="0" borderId="6" applyAlignment="1" pivotButton="0" quotePrefix="0" xfId="0">
      <alignment vertical="center"/>
    </xf>
    <xf numFmtId="0" fontId="2" fillId="0" borderId="7" applyAlignment="1" pivotButton="0" quotePrefix="0" xfId="0">
      <alignment horizontal="left" wrapText="1"/>
    </xf>
    <xf numFmtId="0" fontId="2" fillId="0" borderId="8" applyAlignment="1" pivotButton="0" quotePrefix="0" xfId="0">
      <alignment horizontal="left" vertical="center"/>
    </xf>
    <xf numFmtId="0" fontId="2" fillId="0" borderId="8" applyAlignment="1" pivotButton="0" quotePrefix="0" xfId="0">
      <alignment vertical="center"/>
    </xf>
    <xf numFmtId="0" fontId="2" fillId="0" borderId="0" applyAlignment="1" pivotButton="0" quotePrefix="0" xfId="0">
      <alignment horizontal="left" wrapText="1"/>
    </xf>
    <xf numFmtId="0" fontId="2" fillId="0" borderId="0" applyAlignment="1" pivotButton="0" quotePrefix="0" xfId="0">
      <alignment horizontal="left" vertical="center" wrapText="1"/>
    </xf>
    <xf numFmtId="0" fontId="2" fillId="0" borderId="0" applyAlignment="1" pivotButton="0" quotePrefix="0" xfId="0">
      <alignment vertical="center" wrapText="1"/>
    </xf>
    <xf numFmtId="0" fontId="2" fillId="0" borderId="0" applyAlignment="1" pivotButton="0" quotePrefix="0" xfId="0">
      <alignment horizontal="left" vertical="center"/>
    </xf>
    <xf numFmtId="0" fontId="2" fillId="0" borderId="0" applyAlignment="1" pivotButton="0" quotePrefix="0" xfId="0">
      <alignment vertical="center"/>
    </xf>
    <xf numFmtId="0" fontId="2" fillId="0" borderId="0" applyAlignment="1" pivotButton="0" quotePrefix="0" xfId="0">
      <alignment horizontal="left" wrapText="1"/>
    </xf>
    <xf numFmtId="0" fontId="2" fillId="0" borderId="0" applyAlignment="1" pivotButton="0" quotePrefix="0" xfId="0">
      <alignment horizontal="left" vertical="center"/>
    </xf>
    <xf numFmtId="0" fontId="2" fillId="0" borderId="0" applyAlignment="1" pivotButton="0" quotePrefix="0" xfId="0">
      <alignment vertical="center"/>
    </xf>
    <xf numFmtId="0" fontId="2" fillId="0" borderId="0" applyAlignment="1" pivotButton="0" quotePrefix="0" xfId="0">
      <alignment horizontal="left" vertical="center" wrapText="1"/>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horizontal="center"/>
    </xf>
    <xf numFmtId="0" fontId="2" fillId="0" borderId="1" applyAlignment="1" pivotButton="0" quotePrefix="0" xfId="0">
      <alignment horizontal="center" vertical="center"/>
    </xf>
    <xf numFmtId="0" fontId="2" fillId="0" borderId="1" applyAlignment="1" pivotButton="0" quotePrefix="0" xfId="0">
      <alignment horizontal="center" vertical="center" wrapText="1"/>
    </xf>
    <xf numFmtId="0" fontId="2" fillId="0" borderId="0" applyAlignment="1" pivotButton="0" quotePrefix="0" xfId="0">
      <alignment horizontal="center" vertical="center"/>
    </xf>
    <xf numFmtId="0" fontId="2" fillId="0" borderId="3" applyAlignment="1" pivotButton="0" quotePrefix="0" xfId="0">
      <alignment horizontal="center" vertical="center"/>
    </xf>
    <xf numFmtId="0" fontId="2" fillId="0" borderId="3" applyAlignment="1" pivotButton="0" quotePrefix="0" xfId="0">
      <alignment horizontal="center" vertical="center" wrapText="1"/>
    </xf>
    <xf numFmtId="0" fontId="2" fillId="0" borderId="4" applyAlignment="1" pivotButton="0" quotePrefix="0" xfId="0">
      <alignment horizontal="center" vertical="center"/>
    </xf>
    <xf numFmtId="0" fontId="2" fillId="0" borderId="4" applyAlignment="1" pivotButton="0" quotePrefix="0" xfId="0">
      <alignment horizontal="center" vertical="center" wrapText="1"/>
    </xf>
    <xf numFmtId="0" fontId="2" fillId="0" borderId="4" applyAlignment="1" pivotButton="0" quotePrefix="0" xfId="0">
      <alignment horizont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horizontal="center" wrapText="1"/>
    </xf>
    <xf numFmtId="0" fontId="2" fillId="0" borderId="6" applyAlignment="1" pivotButton="0" quotePrefix="0" xfId="0">
      <alignment horizontal="center"/>
    </xf>
    <xf numFmtId="0" fontId="2" fillId="0" borderId="5" applyAlignment="1" pivotButton="0" quotePrefix="0" xfId="0">
      <alignment horizontal="center"/>
    </xf>
    <xf numFmtId="0" fontId="2" fillId="0" borderId="0" pivotButton="0" quotePrefix="0" xfId="0"/>
    <xf numFmtId="0" fontId="2" fillId="0" borderId="8" applyAlignment="1" pivotButton="0" quotePrefix="0" xfId="0">
      <alignment horizontal="center"/>
    </xf>
    <xf numFmtId="0" fontId="2" fillId="0" borderId="7" applyAlignment="1" pivotButton="0" quotePrefix="0" xfId="0">
      <alignment horizontal="center"/>
    </xf>
    <xf numFmtId="0" fontId="2" fillId="0" borderId="0" applyAlignment="1" pivotButton="0" quotePrefix="0" xfId="0">
      <alignment horizontal="center" wrapText="1"/>
    </xf>
    <xf numFmtId="0" fontId="2" fillId="0" borderId="0" applyAlignment="1" pivotButton="0" quotePrefix="0" xfId="0">
      <alignment horizontal="center"/>
    </xf>
    <xf numFmtId="0" fontId="2" fillId="0" borderId="0" applyAlignment="1" pivotButton="0" quotePrefix="0" xfId="0">
      <alignment horizontal="center" wrapText="1"/>
    </xf>
    <xf numFmtId="0" fontId="2" fillId="0" borderId="1" applyAlignment="1" pivotButton="0" quotePrefix="0" xfId="0">
      <alignment horizontal="center" vertical="center"/>
    </xf>
    <xf numFmtId="0" fontId="2" fillId="0" borderId="1" applyAlignment="1" pivotButton="0" quotePrefix="0" xfId="0">
      <alignment horizontal="center" vertical="center" wrapText="1"/>
    </xf>
    <xf numFmtId="0" fontId="2" fillId="0" borderId="0" applyAlignment="1" pivotButton="0" quotePrefix="0" xfId="0">
      <alignment horizontal="center" vertical="center"/>
    </xf>
    <xf numFmtId="0" fontId="4"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5" fillId="0" borderId="1" applyAlignment="1" pivotButton="0" quotePrefix="0" xfId="0">
      <alignment horizontal="center" vertical="center"/>
    </xf>
    <xf numFmtId="0" fontId="2" fillId="0" borderId="5" applyAlignment="1" pivotButton="0" quotePrefix="0" xfId="0">
      <alignment horizontal="center" wrapText="1"/>
    </xf>
    <xf numFmtId="0" fontId="2" fillId="0" borderId="7" applyAlignment="1" pivotButton="0" quotePrefix="0" xfId="0">
      <alignment horizontal="center" wrapText="1"/>
    </xf>
    <xf numFmtId="0" fontId="4" fillId="0" borderId="1" applyAlignment="1" pivotButton="0" quotePrefix="0" xfId="0">
      <alignment horizontal="center" vertical="center" wrapText="1"/>
    </xf>
    <xf numFmtId="0" fontId="2" fillId="0" borderId="1" applyAlignment="1" pivotButton="0" quotePrefix="1" xfId="0">
      <alignment horizontal="left" vertical="center" wrapText="1"/>
    </xf>
    <xf numFmtId="0" fontId="2" fillId="0" borderId="1" applyAlignment="1" pivotButton="0" quotePrefix="1" xfId="0">
      <alignment vertical="center" wrapText="1"/>
    </xf>
    <xf numFmtId="0" fontId="2" fillId="0" borderId="1" applyAlignment="1" pivotButton="0" quotePrefix="0" xfId="0">
      <alignment vertical="center" wrapText="1"/>
    </xf>
    <xf numFmtId="0" fontId="2" fillId="0" borderId="1" applyAlignment="1" pivotButton="0" quotePrefix="0" xfId="0">
      <alignment horizontal="left" vertical="center" wrapText="1"/>
    </xf>
    <xf numFmtId="0" fontId="2" fillId="0" borderId="3" applyAlignment="1" pivotButton="0" quotePrefix="0" xfId="0">
      <alignment horizontal="left" vertical="center" wrapText="1"/>
    </xf>
    <xf numFmtId="0" fontId="2" fillId="0" borderId="3" applyAlignment="1" pivotButton="0" quotePrefix="1" xfId="0">
      <alignment vertical="center" wrapText="1"/>
    </xf>
    <xf numFmtId="0" fontId="2" fillId="0" borderId="0" applyAlignment="1" pivotButton="0" quotePrefix="0" xfId="0">
      <alignment vertical="center" wrapText="1"/>
    </xf>
    <xf numFmtId="0" fontId="2" fillId="0" borderId="0" applyAlignment="1" pivotButton="0" quotePrefix="0" xfId="0">
      <alignment horizontal="center" vertical="center"/>
    </xf>
    <xf numFmtId="0" fontId="2" fillId="0" borderId="0" pivotButton="0" quotePrefix="0" xfId="0"/>
    <xf numFmtId="0" fontId="2" fillId="0" borderId="10" applyAlignment="1" pivotButton="0" quotePrefix="0" xfId="0">
      <alignment horizontal="center" vertical="center" wrapText="1"/>
    </xf>
    <xf numFmtId="0" fontId="2" fillId="0" borderId="3" applyAlignment="1" pivotButton="0" quotePrefix="0" xfId="0">
      <alignment horizontal="center"/>
    </xf>
    <xf numFmtId="0" fontId="4" fillId="0" borderId="0" applyAlignment="1" pivotButton="0" quotePrefix="0" xfId="0">
      <alignment horizont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4" fillId="0" borderId="3" applyAlignment="1" pivotButton="0" quotePrefix="0" xfId="0">
      <alignment horizontal="center" vertical="center"/>
    </xf>
    <xf numFmtId="0" fontId="4" fillId="0" borderId="3" applyAlignment="1" pivotButton="0" quotePrefix="0" xfId="0">
      <alignment horizontal="center" vertical="center" wrapText="1"/>
    </xf>
    <xf numFmtId="0" fontId="4" fillId="0" borderId="4" applyAlignment="1" pivotButton="0" quotePrefix="0" xfId="0">
      <alignment horizontal="center" vertical="center"/>
    </xf>
    <xf numFmtId="0" fontId="4" fillId="0" borderId="4" applyAlignment="1" pivotButton="0" quotePrefix="0" xfId="0">
      <alignment horizontal="center" vertical="center" wrapText="1"/>
    </xf>
    <xf numFmtId="0" fontId="4" fillId="0" borderId="0" applyAlignment="1" pivotButton="0" quotePrefix="0" xfId="0">
      <alignment horizontal="center"/>
    </xf>
    <xf numFmtId="0" fontId="4" fillId="0" borderId="0" applyAlignment="1" pivotButton="0" quotePrefix="0" xfId="0">
      <alignment horizontal="center" wrapText="1"/>
    </xf>
    <xf numFmtId="0" fontId="4" fillId="0" borderId="0" applyAlignment="1" pivotButton="0" quotePrefix="0" xfId="0">
      <alignment horizontal="center"/>
    </xf>
    <xf numFmtId="0" fontId="4" fillId="0" borderId="0" applyAlignment="1" pivotButton="0" quotePrefix="0" xfId="0">
      <alignment horizontal="center"/>
    </xf>
    <xf numFmtId="0" fontId="4" fillId="0" borderId="0" applyAlignment="1" pivotButton="0" quotePrefix="0" xfId="0">
      <alignment horizontal="center" wrapText="1"/>
    </xf>
    <xf numFmtId="0" fontId="4" fillId="0" borderId="0" applyAlignment="1" pivotButton="0" quotePrefix="0" xfId="0">
      <alignment horizontal="center" wrapText="1"/>
    </xf>
    <xf numFmtId="0" fontId="4" fillId="0" borderId="0" applyAlignment="1" pivotButton="0" quotePrefix="0" xfId="0">
      <alignment horizontal="center" vertical="center"/>
    </xf>
    <xf numFmtId="0" fontId="4" fillId="0" borderId="3" applyAlignment="1" pivotButton="0" quotePrefix="1" xfId="0">
      <alignment horizontal="center" vertical="center" wrapText="1"/>
    </xf>
    <xf numFmtId="0" fontId="4" fillId="0" borderId="0" applyAlignment="1" pivotButton="0" quotePrefix="0" xfId="0">
      <alignment horizontal="center" vertical="center"/>
    </xf>
    <xf numFmtId="0" fontId="4"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2" fillId="0" borderId="6" applyAlignment="1" pivotButton="0" quotePrefix="0" xfId="0">
      <alignment horizontal="center" vertical="center"/>
    </xf>
    <xf numFmtId="0" fontId="2" fillId="0" borderId="8"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center" wrapText="1"/>
    </xf>
    <xf numFmtId="0" fontId="2" fillId="0" borderId="3" applyAlignment="1" pivotButton="0" quotePrefix="1" xfId="0">
      <alignment horizontal="center" vertical="center" wrapText="1"/>
    </xf>
    <xf numFmtId="0" fontId="2" fillId="0" borderId="3" applyAlignment="1" pivotButton="0" quotePrefix="0" xfId="0">
      <alignment horizontal="center" wrapText="1"/>
    </xf>
    <xf numFmtId="0" fontId="2" fillId="0" borderId="4" applyAlignment="1" pivotButton="0" quotePrefix="0" xfId="0">
      <alignment horizontal="center" wrapText="1"/>
    </xf>
    <xf numFmtId="0" fontId="2" fillId="0" borderId="3" applyAlignment="1" pivotButton="0" quotePrefix="1" xfId="0">
      <alignment horizontal="center" wrapText="1"/>
    </xf>
    <xf numFmtId="0" fontId="2" fillId="0" borderId="0" applyAlignment="1" pivotButton="0" quotePrefix="1" xfId="0">
      <alignment horizontal="center"/>
    </xf>
    <xf numFmtId="0" fontId="2"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2" fillId="0" borderId="10" applyAlignment="1" pivotButton="0" quotePrefix="0" xfId="0">
      <alignment horizontal="left" vertical="center" wrapText="1"/>
    </xf>
    <xf numFmtId="0" fontId="4" fillId="2" borderId="1" applyAlignment="1" pivotButton="0" quotePrefix="0" xfId="0">
      <alignment horizontal="center" vertical="center" wrapText="1"/>
    </xf>
    <xf numFmtId="0" fontId="20" fillId="0" borderId="1" applyAlignment="1" pivotButton="0" quotePrefix="0" xfId="0">
      <alignment horizontal="center" vertical="center"/>
    </xf>
    <xf numFmtId="0" fontId="20" fillId="0" borderId="1" applyAlignment="1" pivotButton="0" quotePrefix="0" xfId="0">
      <alignment horizontal="center" vertical="center" wrapText="1"/>
    </xf>
    <xf numFmtId="0" fontId="20" fillId="0" borderId="1" applyAlignment="1" pivotButton="0" quotePrefix="0" xfId="0">
      <alignment vertical="center" wrapText="1"/>
    </xf>
    <xf numFmtId="0" fontId="2" fillId="0" borderId="11" pivotButton="0" quotePrefix="0" xfId="0"/>
    <xf numFmtId="0" fontId="2" fillId="0" borderId="11" applyAlignment="1" pivotButton="0" quotePrefix="0" xfId="0">
      <alignment horizontal="center"/>
    </xf>
    <xf numFmtId="0" fontId="2" fillId="0" borderId="12" pivotButton="0" quotePrefix="0" xfId="0"/>
    <xf numFmtId="0" fontId="4" fillId="0" borderId="13" applyAlignment="1" pivotButton="0" quotePrefix="0" xfId="0">
      <alignment horizontal="center" vertical="center"/>
    </xf>
    <xf numFmtId="0" fontId="4" fillId="0" borderId="3" applyAlignment="1" pivotButton="0" quotePrefix="0" xfId="0">
      <alignment horizontal="left" vertical="center" wrapText="1"/>
    </xf>
    <xf numFmtId="0" fontId="4" fillId="0" borderId="3" applyAlignment="1" pivotButton="0" quotePrefix="1" xfId="0">
      <alignment vertical="center" wrapText="1"/>
    </xf>
    <xf numFmtId="0" fontId="4" fillId="0" borderId="15" applyAlignment="1" pivotButton="0" quotePrefix="0" xfId="0">
      <alignment horizontal="center" vertical="center"/>
    </xf>
    <xf numFmtId="0" fontId="4" fillId="0" borderId="4" applyAlignment="1" pivotButton="0" quotePrefix="0" xfId="0">
      <alignment horizontal="left" vertical="center" wrapText="1"/>
    </xf>
    <xf numFmtId="0" fontId="4" fillId="0" borderId="4" applyAlignment="1" pivotButton="0" quotePrefix="0" xfId="0">
      <alignment vertical="center" wrapText="1"/>
    </xf>
    <xf numFmtId="0" fontId="4" fillId="2" borderId="1" applyAlignment="1" pivotButton="0" quotePrefix="1" xfId="0">
      <alignment horizontal="left" vertical="center" wrapText="1"/>
    </xf>
    <xf numFmtId="0" fontId="4" fillId="2" borderId="17" applyAlignment="1" pivotButton="0" quotePrefix="0" xfId="0">
      <alignment horizontal="left" vertical="center" wrapText="1"/>
    </xf>
    <xf numFmtId="0" fontId="4" fillId="0" borderId="18" applyAlignment="1" pivotButton="0" quotePrefix="0" xfId="0">
      <alignment horizontal="center" vertical="center"/>
    </xf>
    <xf numFmtId="0" fontId="4" fillId="0" borderId="19" applyAlignment="1" pivotButton="0" quotePrefix="0" xfId="0">
      <alignment horizontal="left" vertical="center" wrapText="1"/>
    </xf>
    <xf numFmtId="0" fontId="4" fillId="0" borderId="19" applyAlignment="1" pivotButton="0" quotePrefix="0" xfId="0">
      <alignment vertical="center" wrapText="1"/>
    </xf>
    <xf numFmtId="0" fontId="4" fillId="0" borderId="19" applyAlignment="1" pivotButton="0" quotePrefix="0" xfId="0">
      <alignment horizontal="center" vertical="center"/>
    </xf>
    <xf numFmtId="0" fontId="4" fillId="0" borderId="19" applyAlignment="1" pivotButton="0" quotePrefix="0" xfId="0">
      <alignment horizontal="center" vertical="center" wrapText="1"/>
    </xf>
    <xf numFmtId="0" fontId="4" fillId="2" borderId="20" applyAlignment="1" pivotButton="0" quotePrefix="0" xfId="0">
      <alignment horizontal="left" vertical="center" wrapText="1"/>
    </xf>
    <xf numFmtId="0" fontId="21" fillId="0" borderId="1" applyAlignment="1" pivotButton="0" quotePrefix="1" xfId="0">
      <alignment vertical="center" wrapText="1"/>
    </xf>
    <xf numFmtId="0" fontId="21" fillId="0" borderId="1" applyAlignment="1" pivotButton="0" quotePrefix="0" xfId="0">
      <alignment horizontal="center" vertical="center"/>
    </xf>
    <xf numFmtId="0" fontId="21" fillId="0" borderId="1" applyAlignment="1" pivotButton="0" quotePrefix="0" xfId="0">
      <alignment horizontal="center" vertical="center" wrapText="1"/>
    </xf>
    <xf numFmtId="0" fontId="21" fillId="0" borderId="22" applyAlignment="1" pivotButton="0" quotePrefix="0" xfId="0">
      <alignment horizontal="center" vertical="center" wrapText="1"/>
    </xf>
    <xf numFmtId="0" fontId="0" fillId="0" borderId="0" pivotButton="0" quotePrefix="0" xfId="0"/>
    <xf numFmtId="0" fontId="2" fillId="0" borderId="23" applyAlignment="1" pivotButton="0" quotePrefix="0" xfId="0">
      <alignment horizontal="center" vertical="center" wrapText="1"/>
    </xf>
    <xf numFmtId="0" fontId="7" fillId="0" borderId="1" applyAlignment="1" pivotButton="0" quotePrefix="0" xfId="0">
      <alignment horizontal="center" vertical="center"/>
    </xf>
    <xf numFmtId="0" fontId="7"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9" applyAlignment="1" pivotButton="0" quotePrefix="0" xfId="0">
      <alignment horizontal="center" vertical="center" wrapText="1"/>
    </xf>
    <xf numFmtId="0" fontId="5" fillId="0" borderId="0" applyAlignment="1" pivotButton="0" quotePrefix="0" xfId="0">
      <alignment horizontal="center" vertical="center"/>
    </xf>
    <xf numFmtId="0" fontId="7" fillId="0" borderId="1" applyAlignment="1" pivotButton="0" quotePrefix="0" xfId="0">
      <alignment horizontal="center" vertical="center" wrapText="1"/>
    </xf>
    <xf numFmtId="0" fontId="7" fillId="0" borderId="1" applyAlignment="1" pivotButton="0" quotePrefix="0" xfId="0">
      <alignment horizontal="center" vertical="center"/>
    </xf>
    <xf numFmtId="0" fontId="7" fillId="0" borderId="9" applyAlignment="1" pivotButton="0" quotePrefix="0" xfId="0">
      <alignment horizontal="center" vertical="center" wrapText="1"/>
    </xf>
    <xf numFmtId="0" fontId="2" fillId="0" borderId="24" pivotButton="0" quotePrefix="0" xfId="0"/>
    <xf numFmtId="0" fontId="2" fillId="0" borderId="25" applyAlignment="1" pivotButton="0" quotePrefix="0" xfId="0">
      <alignment horizontal="left" wrapText="1"/>
    </xf>
    <xf numFmtId="0" fontId="2" fillId="0" borderId="25" applyAlignment="1" pivotButton="0" quotePrefix="0" xfId="0">
      <alignment horizontal="left" vertical="center"/>
    </xf>
    <xf numFmtId="0" fontId="2" fillId="0" borderId="25" applyAlignment="1" pivotButton="0" quotePrefix="0" xfId="0">
      <alignment vertical="center"/>
    </xf>
    <xf numFmtId="0" fontId="0" fillId="0" borderId="24" pivotButton="0" quotePrefix="0" xfId="0"/>
    <xf numFmtId="0" fontId="0" fillId="0" borderId="25" pivotButton="0" quotePrefix="0" xfId="0"/>
    <xf numFmtId="0" fontId="0" fillId="0" borderId="26" pivotButton="0" quotePrefix="0" xfId="0"/>
    <xf numFmtId="0" fontId="0" fillId="0" borderId="0" pivotButton="0" quotePrefix="0" xfId="0"/>
    <xf numFmtId="0" fontId="0" fillId="0" borderId="27" pivotButton="0" quotePrefix="0" xfId="0"/>
    <xf numFmtId="0" fontId="0" fillId="0" borderId="28" pivotButton="0" quotePrefix="0" xfId="0"/>
    <xf numFmtId="0" fontId="2" fillId="0" borderId="24" applyAlignment="1" pivotButton="0" quotePrefix="0" xfId="0">
      <alignment horizontal="center"/>
    </xf>
    <xf numFmtId="0" fontId="2" fillId="0" borderId="25" applyAlignment="1" pivotButton="0" quotePrefix="0" xfId="0">
      <alignment vertical="center" wrapText="1"/>
    </xf>
    <xf numFmtId="0" fontId="2" fillId="0" borderId="25" applyAlignment="1" pivotButton="0" quotePrefix="0" xfId="0">
      <alignment horizontal="center" vertical="center"/>
    </xf>
    <xf numFmtId="0" fontId="2" fillId="0" borderId="25" pivotButton="0" quotePrefix="0" xfId="0"/>
    <xf numFmtId="0" fontId="2" fillId="0" borderId="29" pivotButton="0" quotePrefix="0" xfId="0"/>
    <xf numFmtId="0" fontId="2" fillId="0" borderId="0" applyAlignment="1" pivotButton="0" quotePrefix="0" xfId="0">
      <alignment wrapText="1"/>
    </xf>
    <xf numFmtId="0" fontId="8" fillId="0" borderId="0" applyAlignment="1" pivotButton="0" quotePrefix="0" xfId="0">
      <alignment vertical="center" wrapText="1"/>
    </xf>
    <xf numFmtId="0" fontId="6" fillId="0" borderId="28" applyAlignment="1" pivotButton="0" quotePrefix="0" xfId="0">
      <alignment vertical="center"/>
    </xf>
    <xf numFmtId="0" fontId="2" fillId="0" borderId="17" applyAlignment="1" pivotButton="0" quotePrefix="0" xfId="0">
      <alignment horizontal="center" vertical="center" wrapText="1"/>
    </xf>
    <xf numFmtId="0" fontId="2" fillId="0" borderId="23" applyAlignment="1" pivotButton="0" quotePrefix="0" xfId="0">
      <alignment horizontal="center" vertical="center"/>
    </xf>
    <xf numFmtId="0" fontId="2" fillId="2" borderId="1" applyAlignment="1" pivotButton="0" quotePrefix="0" xfId="0">
      <alignment horizontal="center" vertical="center" wrapText="1"/>
    </xf>
    <xf numFmtId="0" fontId="2" fillId="2" borderId="1" applyAlignment="1" pivotButton="0" quotePrefix="0" xfId="0">
      <alignment horizontal="left" vertical="center" wrapText="1"/>
    </xf>
    <xf numFmtId="0" fontId="2" fillId="0" borderId="28" applyAlignment="1" pivotButton="0" quotePrefix="0" xfId="0">
      <alignment horizontal="center"/>
    </xf>
    <xf numFmtId="0" fontId="2" fillId="2" borderId="2" applyAlignment="1" pivotButton="0" quotePrefix="0" xfId="0">
      <alignment horizontal="center" vertical="center" wrapText="1"/>
    </xf>
    <xf numFmtId="0" fontId="4" fillId="0" borderId="23" applyAlignment="1" pivotButton="0" quotePrefix="0" xfId="0">
      <alignment horizontal="center" vertical="center"/>
    </xf>
    <xf numFmtId="0" fontId="4" fillId="0" borderId="23" applyAlignment="1" pivotButton="0" quotePrefix="0" xfId="0">
      <alignment horizontal="center" vertical="center" wrapText="1"/>
    </xf>
    <xf numFmtId="0" fontId="2" fillId="0" borderId="25" applyAlignment="1" pivotButton="0" quotePrefix="0" xfId="0">
      <alignment horizontal="center"/>
    </xf>
    <xf numFmtId="0" fontId="2" fillId="0" borderId="26" applyAlignment="1" pivotButton="0" quotePrefix="0" xfId="0">
      <alignment horizontal="center"/>
    </xf>
    <xf numFmtId="0" fontId="2" fillId="0" borderId="30" applyAlignment="1" pivotButton="0" quotePrefix="0" xfId="0">
      <alignment horizontal="left" vertical="center" wrapText="1"/>
    </xf>
    <xf numFmtId="0" fontId="2" fillId="0" borderId="11" applyAlignment="1" pivotButton="0" quotePrefix="0" xfId="0">
      <alignment horizontal="left"/>
    </xf>
    <xf numFmtId="0" fontId="2" fillId="0" borderId="0" applyAlignment="1" pivotButton="0" quotePrefix="0" xfId="0">
      <alignment horizontal="left"/>
    </xf>
    <xf numFmtId="0" fontId="4" fillId="0" borderId="23" applyAlignment="1" pivotButton="0" quotePrefix="0" xfId="0">
      <alignment vertical="center" wrapText="1"/>
    </xf>
    <xf numFmtId="0" fontId="4" fillId="0" borderId="1" applyAlignment="1" pivotButton="0" quotePrefix="0" xfId="0">
      <alignment vertical="center" wrapText="1"/>
    </xf>
    <xf numFmtId="0" fontId="10" fillId="0" borderId="0"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4" fillId="0" borderId="0" applyAlignment="1" pivotButton="0" quotePrefix="0" xfId="0">
      <alignment vertical="center" wrapText="1"/>
    </xf>
    <xf numFmtId="0" fontId="4" fillId="0" borderId="1" applyAlignment="1" pivotButton="0" quotePrefix="1" xfId="0">
      <alignment horizontal="left" vertical="center" wrapText="1"/>
    </xf>
    <xf numFmtId="0" fontId="4" fillId="0" borderId="0" pivotButton="0" quotePrefix="0" xfId="0"/>
    <xf numFmtId="0" fontId="4" fillId="0" borderId="23" applyAlignment="1" pivotButton="0" quotePrefix="0" xfId="0">
      <alignment vertical="center" wrapText="1"/>
    </xf>
    <xf numFmtId="0" fontId="4" fillId="0" borderId="1" applyAlignment="1" pivotButton="0" quotePrefix="0" xfId="0">
      <alignment vertical="center" wrapText="1"/>
    </xf>
    <xf numFmtId="0" fontId="4" fillId="0" borderId="0" applyAlignment="1" pivotButton="0" quotePrefix="0" xfId="0">
      <alignment vertical="center"/>
    </xf>
    <xf numFmtId="0" fontId="4" fillId="0" borderId="1" applyAlignment="1" pivotButton="0" quotePrefix="0" xfId="0">
      <alignment horizontal="left" wrapText="1"/>
    </xf>
    <xf numFmtId="0" fontId="4" fillId="0" borderId="0" applyAlignment="1" pivotButton="0" quotePrefix="0" xfId="0">
      <alignment wrapText="1"/>
    </xf>
    <xf numFmtId="0" fontId="4" fillId="0" borderId="1" applyAlignment="1" pivotButton="0" quotePrefix="0" xfId="0">
      <alignment horizontal="left" vertical="top" wrapText="1"/>
    </xf>
    <xf numFmtId="0" fontId="4" fillId="0" borderId="0" pivotButton="0" quotePrefix="0" xfId="0"/>
    <xf numFmtId="0" fontId="21" fillId="0" borderId="1" applyAlignment="1" pivotButton="0" quotePrefix="0" xfId="0">
      <alignment horizontal="center"/>
    </xf>
    <xf numFmtId="0" fontId="4" fillId="0" borderId="1" pivotButton="0" quotePrefix="0" xfId="0"/>
    <xf numFmtId="0" fontId="4" fillId="0" borderId="1" applyAlignment="1" pivotButton="0" quotePrefix="0" xfId="0">
      <alignment horizontal="center"/>
    </xf>
    <xf numFmtId="0" fontId="4" fillId="0" borderId="2" applyAlignment="1" pivotButton="0" quotePrefix="0" xfId="0">
      <alignment horizontal="left" vertical="center" wrapText="1"/>
    </xf>
    <xf numFmtId="0" fontId="4" fillId="0" borderId="0" applyAlignment="1" pivotButton="0" quotePrefix="0" xfId="0">
      <alignment horizontal="left"/>
    </xf>
    <xf numFmtId="0" fontId="4" fillId="0" borderId="0" applyAlignment="1" pivotButton="0" quotePrefix="0" xfId="0">
      <alignment horizontal="left" wrapText="1"/>
    </xf>
    <xf numFmtId="0" fontId="4" fillId="0" borderId="0" applyAlignment="1" pivotButton="0" quotePrefix="0" xfId="0">
      <alignment horizontal="left" wrapText="1"/>
    </xf>
    <xf numFmtId="0" fontId="21" fillId="0" borderId="0" applyAlignment="1" pivotButton="0" quotePrefix="0" xfId="0">
      <alignment horizontal="left" wrapText="1"/>
    </xf>
    <xf numFmtId="0" fontId="21" fillId="0" borderId="0" applyAlignment="1" pivotButton="0" quotePrefix="0" xfId="0">
      <alignment horizontal="left" vertical="center"/>
    </xf>
    <xf numFmtId="0" fontId="21" fillId="0" borderId="0" applyAlignment="1" pivotButton="0" quotePrefix="0" xfId="0">
      <alignment vertical="center"/>
    </xf>
    <xf numFmtId="0" fontId="21" fillId="0" borderId="0" applyAlignment="1" pivotButton="0" quotePrefix="0" xfId="0">
      <alignment horizontal="left" vertical="center" wrapText="1"/>
    </xf>
    <xf numFmtId="0" fontId="4" fillId="0" borderId="0" applyAlignment="1" pivotButton="0" quotePrefix="0" xfId="0">
      <alignment horizontal="left" wrapText="1"/>
    </xf>
    <xf numFmtId="0" fontId="4" fillId="0" borderId="0" pivotButton="0" quotePrefix="0" xfId="0"/>
    <xf numFmtId="0" fontId="7" fillId="0" borderId="28" applyAlignment="1" pivotButton="0" quotePrefix="0" xfId="0">
      <alignment vertical="center"/>
    </xf>
    <xf numFmtId="0" fontId="7" fillId="0" borderId="28" applyAlignment="1" pivotButton="0" quotePrefix="0" xfId="0">
      <alignment horizontal="center"/>
    </xf>
    <xf numFmtId="0" fontId="4" fillId="0" borderId="17"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1" xfId="0">
      <alignment vertical="center" wrapText="1"/>
    </xf>
    <xf numFmtId="0" fontId="4" fillId="0" borderId="1" applyAlignment="1" pivotButton="0" quotePrefix="1" xfId="0">
      <alignment horizontal="center" vertical="center" wrapText="1"/>
    </xf>
    <xf numFmtId="0" fontId="4" fillId="0" borderId="0" applyAlignment="1" pivotButton="0" quotePrefix="0" xfId="0">
      <alignment horizontal="left" vertical="center" wrapText="1"/>
    </xf>
    <xf numFmtId="0" fontId="4"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horizontal="center" wrapText="1"/>
    </xf>
    <xf numFmtId="0" fontId="4" fillId="0" borderId="0" applyAlignment="1" pivotButton="0" quotePrefix="1" xfId="0">
      <alignment vertical="center"/>
    </xf>
    <xf numFmtId="0" fontId="4" fillId="0" borderId="6" applyAlignment="1" pivotButton="0" quotePrefix="0" xfId="0">
      <alignment horizontal="center"/>
    </xf>
    <xf numFmtId="0" fontId="4" fillId="0" borderId="5" applyAlignment="1" pivotButton="0" quotePrefix="0" xfId="0">
      <alignment horizontal="left" wrapText="1"/>
    </xf>
    <xf numFmtId="0" fontId="4" fillId="0" borderId="5" applyAlignment="1" pivotButton="0" quotePrefix="0" xfId="0">
      <alignment horizontal="left" vertical="center"/>
    </xf>
    <xf numFmtId="0" fontId="4" fillId="0" borderId="5" applyAlignment="1" pivotButton="0" quotePrefix="0" xfId="0">
      <alignment vertical="center"/>
    </xf>
    <xf numFmtId="0" fontId="4" fillId="0" borderId="5" applyAlignment="1" pivotButton="0" quotePrefix="0" xfId="0">
      <alignment horizontal="center"/>
    </xf>
    <xf numFmtId="0" fontId="4" fillId="0" borderId="6" applyAlignment="1" pivotButton="0" quotePrefix="0" xfId="0">
      <alignment horizontal="left" vertical="center"/>
    </xf>
    <xf numFmtId="0" fontId="4" fillId="0" borderId="6" applyAlignment="1" pivotButton="0" quotePrefix="0" xfId="0">
      <alignment vertical="center"/>
    </xf>
    <xf numFmtId="0" fontId="4" fillId="0" borderId="8" applyAlignment="1" pivotButton="0" quotePrefix="0" xfId="0">
      <alignment horizontal="center"/>
    </xf>
    <xf numFmtId="0" fontId="4" fillId="0" borderId="7" applyAlignment="1" pivotButton="0" quotePrefix="0" xfId="0">
      <alignment horizontal="left" wrapText="1"/>
    </xf>
    <xf numFmtId="0" fontId="4" fillId="0" borderId="8" applyAlignment="1" pivotButton="0" quotePrefix="0" xfId="0">
      <alignment horizontal="left" vertical="center"/>
    </xf>
    <xf numFmtId="0" fontId="4" fillId="0" borderId="8" applyAlignment="1" pivotButton="0" quotePrefix="0" xfId="0">
      <alignment vertical="center"/>
    </xf>
    <xf numFmtId="0" fontId="4" fillId="0" borderId="7" applyAlignment="1" pivotButton="0" quotePrefix="0" xfId="0">
      <alignment horizontal="center"/>
    </xf>
    <xf numFmtId="0" fontId="4" fillId="0" borderId="0" applyAlignment="1" pivotButton="0" quotePrefix="0" xfId="0">
      <alignment horizontal="left" vertical="center" wrapText="1"/>
    </xf>
    <xf numFmtId="0" fontId="4" fillId="0" borderId="0" applyAlignment="1" pivotButton="0" quotePrefix="0" xfId="0">
      <alignment horizontal="left" vertical="center"/>
    </xf>
    <xf numFmtId="0" fontId="4" fillId="0" borderId="0" applyAlignment="1" pivotButton="0" quotePrefix="0" xfId="0">
      <alignment horizontal="left" wrapText="1"/>
    </xf>
    <xf numFmtId="0" fontId="4" fillId="0" borderId="0" applyAlignment="1" pivotButton="0" quotePrefix="0" xfId="0">
      <alignment horizontal="left" vertical="center"/>
    </xf>
    <xf numFmtId="0" fontId="4" fillId="0" borderId="0" applyAlignment="1" pivotButton="0" quotePrefix="0" xfId="0">
      <alignment vertical="center"/>
    </xf>
    <xf numFmtId="0" fontId="4" fillId="0" borderId="0" applyAlignment="1" pivotButton="0" quotePrefix="0" xfId="0">
      <alignment horizontal="left" vertical="center" wrapText="1"/>
    </xf>
    <xf numFmtId="0" fontId="4" fillId="0" borderId="31" applyAlignment="1" pivotButton="0" quotePrefix="0" xfId="0">
      <alignment horizontal="center"/>
    </xf>
    <xf numFmtId="0" fontId="4" fillId="0" borderId="11" applyAlignment="1" pivotButton="0" quotePrefix="0" xfId="0">
      <alignment horizontal="left" wrapText="1"/>
    </xf>
    <xf numFmtId="0" fontId="4" fillId="0" borderId="11" applyAlignment="1" pivotButton="0" quotePrefix="0" xfId="0">
      <alignment horizontal="left" vertical="center"/>
    </xf>
    <xf numFmtId="0" fontId="4" fillId="0" borderId="11" applyAlignment="1" pivotButton="0" quotePrefix="0" xfId="0">
      <alignment vertical="center"/>
    </xf>
    <xf numFmtId="0" fontId="4" fillId="0" borderId="11" applyAlignment="1" pivotButton="0" quotePrefix="0" xfId="0">
      <alignment horizontal="center"/>
    </xf>
    <xf numFmtId="0" fontId="4" fillId="0" borderId="12" applyAlignment="1" pivotButton="0" quotePrefix="0" xfId="0">
      <alignment horizontal="center"/>
    </xf>
    <xf numFmtId="0" fontId="7" fillId="0" borderId="32" applyAlignment="1" pivotButton="0" quotePrefix="0" xfId="0">
      <alignment vertical="center" wrapText="1"/>
    </xf>
    <xf numFmtId="0" fontId="7" fillId="0" borderId="11" applyAlignment="1" pivotButton="0" quotePrefix="0" xfId="0">
      <alignment vertical="center"/>
    </xf>
    <xf numFmtId="0" fontId="4" fillId="0" borderId="12" pivotButton="0" quotePrefix="0" xfId="0"/>
    <xf numFmtId="0" fontId="9" fillId="0" borderId="0" applyAlignment="1" pivotButton="0" quotePrefix="0" xfId="0">
      <alignment vertical="center"/>
    </xf>
    <xf numFmtId="0" fontId="2" fillId="0" borderId="28" pivotButton="0" quotePrefix="0" xfId="0"/>
    <xf numFmtId="0" fontId="11" fillId="0" borderId="33" applyAlignment="1" pivotButton="0" quotePrefix="0" xfId="0">
      <alignment wrapText="1"/>
    </xf>
    <xf numFmtId="0" fontId="11" fillId="0" borderId="28" applyAlignment="1" pivotButton="0" quotePrefix="0" xfId="0">
      <alignment wrapText="1"/>
    </xf>
    <xf numFmtId="0" fontId="22" fillId="0" borderId="0" applyAlignment="1" pivotButton="0" quotePrefix="0" xfId="0">
      <alignment vertical="center" wrapText="1"/>
    </xf>
    <xf numFmtId="0" fontId="2" fillId="0" borderId="0" pivotButton="0" quotePrefix="0" xfId="0"/>
    <xf numFmtId="0" fontId="4" fillId="0" borderId="1" applyAlignment="1" pivotButton="0" quotePrefix="0" xfId="0">
      <alignment horizontal="left"/>
    </xf>
    <xf numFmtId="0" fontId="22" fillId="0" borderId="29" applyAlignment="1" pivotButton="0" quotePrefix="0" xfId="0">
      <alignment vertical="center" wrapText="1"/>
    </xf>
    <xf numFmtId="0" fontId="2" fillId="0" borderId="27" pivotButton="0" quotePrefix="0" xfId="0"/>
    <xf numFmtId="0" fontId="0" fillId="0" borderId="33" pivotButton="0" quotePrefix="0" xfId="0"/>
    <xf numFmtId="0" fontId="22" fillId="0" borderId="28" applyAlignment="1" pivotButton="0" quotePrefix="0" xfId="0">
      <alignment vertical="center" wrapText="1"/>
    </xf>
    <xf numFmtId="0" fontId="2" fillId="0" borderId="34" pivotButton="0" quotePrefix="0" xfId="0"/>
    <xf numFmtId="0" fontId="2" fillId="0" borderId="4" applyAlignment="1" pivotButton="0" quotePrefix="0" xfId="1">
      <alignment horizontal="center" vertical="center" wrapText="1"/>
    </xf>
    <xf numFmtId="0" fontId="2" fillId="2" borderId="1" applyAlignment="1" pivotButton="0" quotePrefix="0" xfId="1">
      <alignment horizontal="center" vertical="center" wrapText="1"/>
    </xf>
    <xf numFmtId="0" fontId="4" fillId="2" borderId="2" applyAlignment="1" pivotButton="0" quotePrefix="0" xfId="0">
      <alignment horizontal="center" vertical="center" wrapText="1"/>
    </xf>
    <xf numFmtId="0" fontId="2" fillId="2" borderId="2" applyAlignment="1" pivotButton="0" quotePrefix="0" xfId="0">
      <alignment horizontal="left" vertical="center" wrapText="1"/>
    </xf>
    <xf numFmtId="0" fontId="2" fillId="0" borderId="35" applyAlignment="1" pivotButton="0" quotePrefix="0" xfId="1">
      <alignment horizontal="center" vertical="center" wrapText="1"/>
    </xf>
    <xf numFmtId="0" fontId="2" fillId="2" borderId="2" applyAlignment="1" pivotButton="0" quotePrefix="0" xfId="1">
      <alignment horizontal="center" vertical="center" wrapText="1"/>
    </xf>
    <xf numFmtId="0" fontId="0" fillId="0" borderId="29" pivotButton="0" quotePrefix="0" xfId="0"/>
    <xf numFmtId="0" fontId="2" fillId="0" borderId="27" applyAlignment="1" pivotButton="0" quotePrefix="0" xfId="0">
      <alignment horizontal="center"/>
    </xf>
    <xf numFmtId="0" fontId="2" fillId="0" borderId="34" applyAlignment="1" pivotButton="0" quotePrefix="0" xfId="0">
      <alignment horizontal="center"/>
    </xf>
    <xf numFmtId="0" fontId="4" fillId="0" borderId="1" applyAlignment="1" pivotButton="0" quotePrefix="0" xfId="0">
      <alignment horizontal="left" wrapText="1"/>
    </xf>
    <xf numFmtId="0" fontId="23"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4" borderId="1" applyAlignment="1" pivotButton="0" quotePrefix="0" xfId="0">
      <alignment horizontal="center" vertical="center"/>
    </xf>
    <xf numFmtId="0" fontId="21" fillId="0" borderId="0" applyAlignment="1" pivotButton="0" quotePrefix="0" xfId="0">
      <alignment vertical="center" wrapText="1"/>
    </xf>
    <xf numFmtId="0" fontId="21" fillId="0" borderId="0" applyAlignment="1" pivotButton="0" quotePrefix="0" xfId="0">
      <alignment vertical="center"/>
    </xf>
    <xf numFmtId="0" fontId="24" fillId="0" borderId="25" applyAlignment="1" pivotButton="0" quotePrefix="0" xfId="0">
      <alignment vertical="center" wrapText="1"/>
    </xf>
    <xf numFmtId="0" fontId="24" fillId="0" borderId="0" applyAlignment="1" pivotButton="0" quotePrefix="0" xfId="0">
      <alignment vertical="center" wrapText="1"/>
    </xf>
    <xf numFmtId="0" fontId="4" fillId="0" borderId="1" pivotButton="0" quotePrefix="0" xfId="0"/>
    <xf numFmtId="0" fontId="21" fillId="0" borderId="25" applyAlignment="1" pivotButton="0" quotePrefix="0" xfId="0">
      <alignment vertical="center"/>
    </xf>
    <xf numFmtId="0" fontId="21" fillId="0" borderId="25" applyAlignment="1" pivotButton="0" quotePrefix="0" xfId="0">
      <alignment vertical="center" wrapText="1"/>
    </xf>
    <xf numFmtId="0" fontId="21" fillId="0" borderId="26" applyAlignment="1" pivotButton="0" quotePrefix="0" xfId="0">
      <alignment vertical="center"/>
    </xf>
    <xf numFmtId="0" fontId="21" fillId="0" borderId="27" applyAlignment="1" pivotButton="0" quotePrefix="0" xfId="0">
      <alignment vertical="center"/>
    </xf>
    <xf numFmtId="0" fontId="21" fillId="0" borderId="27" applyAlignment="1" pivotButton="0" quotePrefix="1" xfId="0">
      <alignment vertical="center"/>
    </xf>
    <xf numFmtId="0" fontId="21" fillId="0" borderId="28" applyAlignment="1" pivotButton="0" quotePrefix="0" xfId="0">
      <alignment vertical="center" wrapText="1"/>
    </xf>
    <xf numFmtId="16" fontId="21" fillId="0" borderId="34" applyAlignment="1" pivotButton="0" quotePrefix="1" xfId="0">
      <alignment vertical="center"/>
    </xf>
    <xf numFmtId="0" fontId="21" fillId="0" borderId="17" applyAlignment="1" pivotButton="0" quotePrefix="0" xfId="0">
      <alignment vertical="center"/>
    </xf>
    <xf numFmtId="0" fontId="21" fillId="0" borderId="36" applyAlignment="1" pivotButton="0" quotePrefix="0" xfId="0">
      <alignment vertical="center"/>
    </xf>
    <xf numFmtId="0" fontId="21" fillId="0" borderId="36" applyAlignment="1" pivotButton="0" quotePrefix="0" xfId="0">
      <alignment vertical="center" wrapText="1"/>
    </xf>
    <xf numFmtId="0" fontId="21" fillId="0" borderId="36" applyAlignment="1" pivotButton="0" quotePrefix="0" xfId="0">
      <alignment horizontal="center" vertical="center"/>
    </xf>
    <xf numFmtId="0" fontId="21" fillId="0" borderId="22" applyAlignment="1" pivotButton="0" quotePrefix="0" xfId="0">
      <alignment vertical="center"/>
    </xf>
    <xf numFmtId="0" fontId="2" fillId="0" borderId="30" applyAlignment="1" pivotButton="0" quotePrefix="0" xfId="0">
      <alignment horizontal="center" vertical="center" wrapText="1"/>
    </xf>
    <xf numFmtId="0" fontId="0" fillId="0" borderId="34" pivotButton="0" quotePrefix="0" xfId="0"/>
    <xf numFmtId="0" fontId="13" fillId="0" borderId="1" applyAlignment="1" pivotButton="0" quotePrefix="0" xfId="0">
      <alignment horizontal="center" vertical="center" wrapText="1"/>
    </xf>
    <xf numFmtId="0" fontId="13" fillId="0" borderId="1" applyAlignment="1" pivotButton="0" quotePrefix="0" xfId="0">
      <alignment horizontal="center" vertical="center"/>
    </xf>
    <xf numFmtId="0" fontId="14" fillId="0" borderId="0" applyAlignment="1" pivotButton="0" quotePrefix="0" xfId="0">
      <alignment horizontal="center" vertical="center"/>
    </xf>
    <xf numFmtId="0" fontId="13" fillId="0" borderId="9" applyAlignment="1" pivotButton="0" quotePrefix="0" xfId="0">
      <alignment horizontal="center" vertical="center" wrapText="1"/>
    </xf>
    <xf numFmtId="0" fontId="4" fillId="0" borderId="0" applyAlignment="1" pivotButton="0" quotePrefix="0" xfId="1">
      <alignment horizontal="center"/>
    </xf>
    <xf numFmtId="0" fontId="4" fillId="0" borderId="0" applyAlignment="1" pivotButton="0" quotePrefix="0" xfId="1">
      <alignment horizontal="left" wrapText="1"/>
    </xf>
    <xf numFmtId="0" fontId="4" fillId="0" borderId="0" applyAlignment="1" pivotButton="0" quotePrefix="0" xfId="1">
      <alignment horizontal="left" vertical="center"/>
    </xf>
    <xf numFmtId="0" fontId="4" fillId="0" borderId="0" applyAlignment="1" pivotButton="0" quotePrefix="0" xfId="1">
      <alignment vertical="center"/>
    </xf>
    <xf numFmtId="0" fontId="4" fillId="0" borderId="0" pivotButton="0" quotePrefix="0" xfId="1"/>
    <xf numFmtId="0" fontId="7" fillId="0" borderId="0" applyAlignment="1" pivotButton="0" quotePrefix="0" xfId="1">
      <alignment vertical="center"/>
    </xf>
    <xf numFmtId="0" fontId="4" fillId="0" borderId="0" applyAlignment="1" pivotButton="0" quotePrefix="0" xfId="1">
      <alignment horizontal="center"/>
    </xf>
    <xf numFmtId="0" fontId="7" fillId="0" borderId="37" applyAlignment="1" pivotButton="0" quotePrefix="0" xfId="1">
      <alignment horizontal="center" vertical="center" wrapText="1"/>
    </xf>
    <xf numFmtId="0" fontId="7" fillId="0" borderId="37" applyAlignment="1" pivotButton="0" quotePrefix="0" xfId="1">
      <alignment vertical="center" wrapText="1"/>
    </xf>
    <xf numFmtId="0" fontId="4" fillId="0" borderId="0" applyAlignment="1" pivotButton="0" quotePrefix="0" xfId="1">
      <alignment horizontal="center" vertical="center"/>
    </xf>
    <xf numFmtId="0" fontId="7" fillId="0" borderId="2" applyAlignment="1" pivotButton="0" quotePrefix="0" xfId="1">
      <alignment horizontal="center" vertical="center" wrapText="1"/>
    </xf>
    <xf numFmtId="0" fontId="7" fillId="0" borderId="2" applyAlignment="1" pivotButton="0" quotePrefix="0" xfId="1">
      <alignment horizontal="center" vertical="center"/>
    </xf>
    <xf numFmtId="0" fontId="7" fillId="0" borderId="38" applyAlignment="1" pivotButton="0" quotePrefix="0" xfId="1">
      <alignment horizontal="center" vertical="center" wrapText="1"/>
    </xf>
    <xf numFmtId="0" fontId="4" fillId="0" borderId="39" applyAlignment="1" pivotButton="0" quotePrefix="0" xfId="1">
      <alignment horizontal="center" vertical="center"/>
    </xf>
    <xf numFmtId="0" fontId="4" fillId="0" borderId="39" applyAlignment="1" pivotButton="0" quotePrefix="0" xfId="1">
      <alignment horizontal="center" vertical="center" wrapText="1"/>
    </xf>
    <xf numFmtId="0" fontId="4" fillId="0" borderId="30" applyAlignment="1" pivotButton="0" quotePrefix="0" xfId="1">
      <alignment horizontal="left" vertical="center" wrapText="1"/>
    </xf>
    <xf numFmtId="0" fontId="4" fillId="0" borderId="4" applyAlignment="1" pivotButton="0" quotePrefix="0" xfId="1">
      <alignment horizontal="center" vertical="center"/>
    </xf>
    <xf numFmtId="0" fontId="4" fillId="0" borderId="4" applyAlignment="1" pivotButton="0" quotePrefix="0" xfId="1">
      <alignment horizontal="center" vertical="center" wrapText="1"/>
    </xf>
    <xf numFmtId="0" fontId="4" fillId="0" borderId="40" applyAlignment="1" pivotButton="0" quotePrefix="0" xfId="1">
      <alignment horizontal="left" vertical="center" wrapText="1"/>
    </xf>
    <xf numFmtId="0" fontId="4" fillId="0" borderId="40" applyAlignment="1" pivotButton="0" quotePrefix="1" xfId="1">
      <alignment horizontal="center" vertical="center" wrapText="1"/>
    </xf>
    <xf numFmtId="0" fontId="4" fillId="0" borderId="35" applyAlignment="1" pivotButton="0" quotePrefix="0" xfId="1">
      <alignment horizontal="center" vertical="center"/>
    </xf>
    <xf numFmtId="0" fontId="4" fillId="0" borderId="35" applyAlignment="1" pivotButton="0" quotePrefix="0" xfId="1">
      <alignment horizontal="center" vertical="center" wrapText="1"/>
    </xf>
    <xf numFmtId="0" fontId="4" fillId="0" borderId="19" applyAlignment="1" pivotButton="0" quotePrefix="0" xfId="1">
      <alignment horizontal="left" vertical="center" wrapText="1"/>
    </xf>
    <xf numFmtId="0" fontId="4" fillId="0" borderId="19" applyAlignment="1" pivotButton="0" quotePrefix="0" xfId="1">
      <alignment vertical="center" wrapText="1"/>
    </xf>
    <xf numFmtId="0" fontId="4" fillId="0" borderId="19" applyAlignment="1" pivotButton="0" quotePrefix="0" xfId="1">
      <alignment horizontal="center" vertical="center"/>
    </xf>
    <xf numFmtId="0" fontId="4" fillId="0" borderId="19" applyAlignment="1" pivotButton="0" quotePrefix="0" xfId="1">
      <alignment horizontal="center" vertical="center" wrapText="1"/>
    </xf>
    <xf numFmtId="0" fontId="4" fillId="0" borderId="4" applyAlignment="1" pivotButton="0" quotePrefix="0" xfId="1">
      <alignment horizontal="left" vertical="center" wrapText="1"/>
    </xf>
    <xf numFmtId="0" fontId="4" fillId="0" borderId="4" applyAlignment="1" pivotButton="0" quotePrefix="0" xfId="1">
      <alignment vertical="center" wrapText="1"/>
    </xf>
    <xf numFmtId="0" fontId="4" fillId="0" borderId="19" applyAlignment="1" pivotButton="0" quotePrefix="0" xfId="1">
      <alignment horizontal="left" vertical="center"/>
    </xf>
    <xf numFmtId="0" fontId="4" fillId="0" borderId="19" applyAlignment="1" pivotButton="0" quotePrefix="0" xfId="1">
      <alignment horizontal="center"/>
    </xf>
    <xf numFmtId="0" fontId="4" fillId="0" borderId="39" applyAlignment="1" pivotButton="0" quotePrefix="0" xfId="1">
      <alignment horizontal="left" vertical="center" wrapText="1"/>
    </xf>
    <xf numFmtId="0" fontId="4" fillId="0" borderId="39" applyAlignment="1" pivotButton="0" quotePrefix="0" xfId="1">
      <alignment horizontal="center"/>
    </xf>
    <xf numFmtId="0" fontId="4" fillId="0" borderId="41" applyAlignment="1" pivotButton="0" quotePrefix="0" xfId="1">
      <alignment horizontal="center"/>
    </xf>
    <xf numFmtId="0" fontId="4" fillId="0" borderId="42" applyAlignment="1" pivotButton="0" quotePrefix="0" xfId="1">
      <alignment horizontal="center"/>
    </xf>
    <xf numFmtId="0" fontId="4" fillId="0" borderId="30" applyAlignment="1" pivotButton="0" quotePrefix="0" xfId="1">
      <alignment horizontal="center"/>
    </xf>
    <xf numFmtId="0" fontId="4" fillId="0" borderId="30" applyAlignment="1" pivotButton="0" quotePrefix="0" xfId="1">
      <alignment horizontal="center" vertical="center"/>
    </xf>
    <xf numFmtId="0" fontId="4" fillId="0" borderId="43" applyAlignment="1" pivotButton="0" quotePrefix="0" xfId="1">
      <alignment horizontal="center"/>
    </xf>
    <xf numFmtId="0" fontId="4" fillId="0" borderId="44" applyAlignment="1" pivotButton="0" quotePrefix="0" xfId="1">
      <alignment horizontal="center"/>
    </xf>
    <xf numFmtId="0" fontId="4" fillId="0" borderId="4" applyAlignment="1" pivotButton="0" quotePrefix="0" xfId="1">
      <alignment horizontal="center"/>
    </xf>
    <xf numFmtId="0" fontId="4" fillId="0" borderId="45" applyAlignment="1" pivotButton="0" quotePrefix="0" xfId="1">
      <alignment horizontal="center"/>
    </xf>
    <xf numFmtId="0" fontId="4" fillId="0" borderId="46" applyAlignment="1" pivotButton="0" quotePrefix="0" xfId="1">
      <alignment horizontal="center"/>
    </xf>
    <xf numFmtId="0" fontId="4" fillId="0" borderId="35" applyAlignment="1" pivotButton="0" quotePrefix="0" xfId="1">
      <alignment horizontal="left" vertical="center" wrapText="1"/>
    </xf>
    <xf numFmtId="0" fontId="4" fillId="0" borderId="35" applyAlignment="1" pivotButton="0" quotePrefix="0" xfId="1">
      <alignment vertical="center" wrapText="1"/>
    </xf>
    <xf numFmtId="0" fontId="4" fillId="0" borderId="35" applyAlignment="1" pivotButton="0" quotePrefix="0" xfId="1">
      <alignment horizontal="center"/>
    </xf>
    <xf numFmtId="0" fontId="4" fillId="0" borderId="47" applyAlignment="1" pivotButton="0" quotePrefix="0" xfId="1">
      <alignment horizontal="center"/>
    </xf>
    <xf numFmtId="0" fontId="4" fillId="0" borderId="48" applyAlignment="1" pivotButton="0" quotePrefix="0" xfId="1">
      <alignment horizontal="center"/>
    </xf>
    <xf numFmtId="0" fontId="4" fillId="0" borderId="49" applyAlignment="1" pivotButton="0" quotePrefix="0" xfId="1">
      <alignment vertical="center"/>
    </xf>
    <xf numFmtId="0" fontId="4" fillId="0" borderId="50" applyAlignment="1" pivotButton="0" quotePrefix="0" xfId="1">
      <alignment horizontal="center" vertical="center" wrapText="1"/>
    </xf>
    <xf numFmtId="0" fontId="4" fillId="0" borderId="50" applyAlignment="1" pivotButton="0" quotePrefix="0" xfId="1">
      <alignment horizontal="left" vertical="center" wrapText="1"/>
    </xf>
    <xf numFmtId="0" fontId="4" fillId="0" borderId="50" applyAlignment="1" pivotButton="0" quotePrefix="0" xfId="1">
      <alignment horizontal="center" vertical="center"/>
    </xf>
    <xf numFmtId="0" fontId="4" fillId="0" borderId="51" applyAlignment="1" pivotButton="0" quotePrefix="0" xfId="1">
      <alignment horizontal="center" vertical="center" wrapText="1"/>
    </xf>
    <xf numFmtId="0" fontId="4" fillId="0" borderId="0" pivotButton="0" quotePrefix="0" xfId="1"/>
    <xf numFmtId="0" fontId="4" fillId="0" borderId="0" applyAlignment="1" pivotButton="0" quotePrefix="0" xfId="1">
      <alignment horizontal="left" wrapText="1"/>
    </xf>
    <xf numFmtId="0" fontId="4" fillId="0" borderId="0" applyAlignment="1" pivotButton="0" quotePrefix="0" xfId="1">
      <alignment horizontal="left" vertical="center"/>
    </xf>
    <xf numFmtId="0" fontId="4" fillId="0" borderId="0" applyAlignment="1" pivotButton="0" quotePrefix="0" xfId="1">
      <alignment vertical="center"/>
    </xf>
    <xf numFmtId="0" fontId="4" fillId="0" borderId="0" applyAlignment="1" pivotButton="0" quotePrefix="0" xfId="1">
      <alignment horizontal="left" vertical="center" wrapText="1"/>
    </xf>
    <xf numFmtId="0" fontId="4" fillId="0" borderId="0" applyAlignment="1" pivotButton="0" quotePrefix="0" xfId="1">
      <alignment vertical="center" wrapText="1"/>
    </xf>
    <xf numFmtId="0" fontId="4" fillId="0" borderId="0" applyAlignment="1" pivotButton="0" quotePrefix="0" xfId="1">
      <alignment horizontal="center" vertical="center"/>
    </xf>
    <xf numFmtId="0" fontId="4" fillId="0" borderId="21" applyAlignment="1" pivotButton="0" quotePrefix="0" xfId="1">
      <alignment horizontal="center" vertical="center"/>
    </xf>
    <xf numFmtId="0" fontId="4" fillId="0" borderId="52" applyAlignment="1" pivotButton="0" quotePrefix="0" xfId="1">
      <alignment horizontal="center" vertical="center"/>
    </xf>
    <xf numFmtId="0" fontId="4" fillId="0" borderId="53" applyAlignment="1" pivotButton="0" quotePrefix="0" xfId="1">
      <alignment horizontal="center" vertical="center"/>
    </xf>
    <xf numFmtId="0" fontId="4" fillId="0" borderId="16" applyAlignment="1" pivotButton="0" quotePrefix="0" xfId="1">
      <alignment horizontal="center" vertical="center"/>
    </xf>
    <xf numFmtId="0" fontId="4" fillId="0" borderId="54" applyAlignment="1" pivotButton="0" quotePrefix="0" xfId="1">
      <alignment horizontal="center" vertical="center"/>
    </xf>
    <xf numFmtId="0" fontId="4" fillId="0" borderId="52" applyAlignment="1" pivotButton="0" quotePrefix="0" xfId="1">
      <alignment horizontal="center" vertical="center" wrapText="1"/>
    </xf>
    <xf numFmtId="0" fontId="4" fillId="0" borderId="16" applyAlignment="1" pivotButton="0" quotePrefix="0" xfId="1">
      <alignment horizontal="center" vertical="center" wrapText="1"/>
    </xf>
    <xf numFmtId="0" fontId="4" fillId="0" borderId="54" applyAlignment="1" pivotButton="0" quotePrefix="0" xfId="1">
      <alignment horizontal="center" vertical="center" wrapText="1"/>
    </xf>
    <xf numFmtId="0" fontId="4" fillId="0" borderId="21" applyAlignment="1" pivotButton="0" quotePrefix="0" xfId="1">
      <alignment horizontal="center" vertical="center" wrapText="1"/>
    </xf>
    <xf numFmtId="0" fontId="10" fillId="0" borderId="0" pivotButton="0" quotePrefix="0" xfId="0"/>
    <xf numFmtId="0" fontId="15" fillId="0" borderId="1" applyAlignment="1" pivotButton="0" quotePrefix="0" xfId="0">
      <alignment horizontal="center" vertical="center"/>
    </xf>
    <xf numFmtId="0" fontId="15" fillId="0" borderId="1" applyAlignment="1" pivotButton="0" quotePrefix="0" xfId="0">
      <alignment vertical="center" wrapText="1"/>
    </xf>
    <xf numFmtId="0" fontId="15" fillId="0" borderId="1" applyAlignment="1" pivotButton="0" quotePrefix="0" xfId="0">
      <alignment vertical="center"/>
    </xf>
    <xf numFmtId="0" fontId="15" fillId="0" borderId="1" applyAlignment="1" pivotButton="0" quotePrefix="0" xfId="0">
      <alignment horizontal="center" vertical="center" wrapText="1"/>
    </xf>
    <xf numFmtId="0" fontId="10" fillId="0" borderId="3" applyAlignment="1" pivotButton="0" quotePrefix="0" xfId="0">
      <alignment horizontal="center" vertical="center"/>
    </xf>
    <xf numFmtId="0" fontId="10" fillId="0" borderId="4" applyAlignment="1" pivotButton="0" quotePrefix="0" xfId="0">
      <alignment horizontal="center" vertical="center" wrapText="1"/>
    </xf>
    <xf numFmtId="0" fontId="10" fillId="0" borderId="0" applyAlignment="1" pivotButton="0" quotePrefix="0" xfId="0">
      <alignment vertical="center" wrapText="1"/>
    </xf>
    <xf numFmtId="0" fontId="10" fillId="0" borderId="0" applyAlignment="1" pivotButton="0" quotePrefix="0" xfId="0">
      <alignment vertical="center"/>
    </xf>
    <xf numFmtId="0" fontId="10" fillId="0" borderId="0" applyAlignment="1" pivotButton="0" quotePrefix="0" xfId="0">
      <alignment horizontal="center"/>
    </xf>
    <xf numFmtId="0" fontId="10" fillId="0" borderId="4" applyAlignment="1" pivotButton="0" quotePrefix="0" xfId="0">
      <alignment horizontal="left" vertical="center" wrapText="1"/>
    </xf>
    <xf numFmtId="0" fontId="10" fillId="0" borderId="4" applyAlignment="1" pivotButton="0" quotePrefix="1" xfId="0">
      <alignment horizontal="left" vertical="center" wrapText="1"/>
    </xf>
    <xf numFmtId="0" fontId="10" fillId="0" borderId="0" applyAlignment="1" pivotButton="0" quotePrefix="0" xfId="0">
      <alignment horizontal="left" vertical="center"/>
    </xf>
    <xf numFmtId="14" fontId="20" fillId="0" borderId="1" applyAlignment="1" pivotButton="0" quotePrefix="0" xfId="0">
      <alignment horizontal="left"/>
    </xf>
    <xf numFmtId="0" fontId="2" fillId="0" borderId="31" applyAlignment="1" pivotButton="0" quotePrefix="0" xfId="0">
      <alignment horizontal="center"/>
    </xf>
    <xf numFmtId="0" fontId="2" fillId="0" borderId="11" applyAlignment="1" pivotButton="0" quotePrefix="0" xfId="0">
      <alignment horizontal="left" wrapText="1"/>
    </xf>
    <xf numFmtId="0" fontId="2" fillId="0" borderId="11" applyAlignment="1" pivotButton="0" quotePrefix="0" xfId="0">
      <alignment horizontal="left" vertical="center"/>
    </xf>
    <xf numFmtId="0" fontId="2" fillId="0" borderId="11" applyAlignment="1" pivotButton="0" quotePrefix="0" xfId="0">
      <alignment vertical="center"/>
    </xf>
    <xf numFmtId="0" fontId="2" fillId="0" borderId="12" applyAlignment="1" pivotButton="0" quotePrefix="0" xfId="0">
      <alignment horizontal="center"/>
    </xf>
    <xf numFmtId="0" fontId="9" fillId="0" borderId="32" applyAlignment="1" pivotButton="0" quotePrefix="0" xfId="0">
      <alignment vertical="center" wrapText="1"/>
    </xf>
    <xf numFmtId="0" fontId="9" fillId="0" borderId="11" applyAlignment="1" pivotButton="0" quotePrefix="0" xfId="0">
      <alignment vertical="center"/>
    </xf>
    <xf numFmtId="0" fontId="2" fillId="0" borderId="13" applyAlignment="1" pivotButton="0" quotePrefix="0" xfId="0">
      <alignment horizontal="center" vertical="center"/>
    </xf>
    <xf numFmtId="0" fontId="2" fillId="0" borderId="3" applyAlignment="1" pivotButton="0" quotePrefix="0" xfId="0">
      <alignment horizontal="left" vertical="top" wrapText="1"/>
    </xf>
    <xf numFmtId="0" fontId="2" fillId="0" borderId="14" applyAlignment="1" pivotButton="0" quotePrefix="0" xfId="0">
      <alignment vertical="center" wrapText="1"/>
    </xf>
    <xf numFmtId="0" fontId="2" fillId="0" borderId="15" applyAlignment="1" pivotButton="0" quotePrefix="0" xfId="0">
      <alignment horizontal="center" vertical="center"/>
    </xf>
    <xf numFmtId="0" fontId="2" fillId="0" borderId="55" applyAlignment="1" pivotButton="0" quotePrefix="0" xfId="0">
      <alignment horizontal="center" vertical="center"/>
    </xf>
    <xf numFmtId="0" fontId="2" fillId="0" borderId="30" applyAlignment="1" pivotButton="0" quotePrefix="1" xfId="0">
      <alignment vertical="center" wrapText="1"/>
    </xf>
    <xf numFmtId="0" fontId="2" fillId="0" borderId="30" applyAlignment="1" pivotButton="0" quotePrefix="0" xfId="0">
      <alignment horizontal="center" vertical="center"/>
    </xf>
    <xf numFmtId="0" fontId="2" fillId="0" borderId="30" applyAlignment="1" pivotButton="0" quotePrefix="0" xfId="0">
      <alignment horizontal="left" vertical="top" wrapText="1"/>
    </xf>
    <xf numFmtId="0" fontId="23" fillId="5"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5" borderId="1" applyAlignment="1" pivotButton="0" quotePrefix="0" xfId="0">
      <alignment horizontal="center" vertical="center"/>
    </xf>
    <xf numFmtId="0" fontId="21" fillId="0" borderId="1" applyAlignment="1" pivotButton="0" quotePrefix="1" xfId="0">
      <alignment vertical="center" wrapText="1"/>
    </xf>
    <xf numFmtId="0" fontId="1" fillId="0" borderId="0" pivotButton="0" quotePrefix="0" xfId="0"/>
    <xf numFmtId="0" fontId="20" fillId="0" borderId="29" applyAlignment="1" pivotButton="0" quotePrefix="0" xfId="0">
      <alignment horizontal="center" vertical="center"/>
    </xf>
    <xf numFmtId="0" fontId="20" fillId="0" borderId="0" applyAlignment="1" pivotButton="0" quotePrefix="0" xfId="0">
      <alignment horizontal="center" vertical="center" wrapText="1"/>
    </xf>
    <xf numFmtId="0" fontId="4" fillId="0" borderId="56" applyAlignment="1" pivotButton="0" quotePrefix="0" xfId="1">
      <alignment vertical="center"/>
    </xf>
    <xf numFmtId="0" fontId="4" fillId="0" borderId="2" applyAlignment="1" pivotButton="0" quotePrefix="0" xfId="1">
      <alignment horizontal="center" vertical="center" wrapText="1"/>
    </xf>
    <xf numFmtId="0" fontId="4" fillId="0" borderId="2" applyAlignment="1" pivotButton="0" quotePrefix="0" xfId="1">
      <alignment horizontal="left" vertical="center" wrapText="1"/>
    </xf>
    <xf numFmtId="0" fontId="4" fillId="0" borderId="2" applyAlignment="1" pivotButton="0" quotePrefix="0" xfId="1">
      <alignment horizontal="center" vertical="center"/>
    </xf>
    <xf numFmtId="0" fontId="4" fillId="0" borderId="38" applyAlignment="1" pivotButton="0" quotePrefix="0" xfId="1">
      <alignment horizontal="center" vertical="center" wrapText="1"/>
    </xf>
    <xf numFmtId="0" fontId="2" fillId="0" borderId="35" applyAlignment="1" pivotButton="0" quotePrefix="0" xfId="0">
      <alignment horizontal="center" vertical="center" wrapText="1"/>
    </xf>
    <xf numFmtId="0" fontId="2" fillId="0" borderId="35" applyAlignment="1" pivotButton="0" quotePrefix="0" xfId="0">
      <alignment horizontal="left" vertical="center" wrapText="1"/>
    </xf>
    <xf numFmtId="0" fontId="2" fillId="0" borderId="2" applyAlignment="1" pivotButton="0" quotePrefix="0" xfId="0">
      <alignment horizontal="center" vertical="center" wrapText="1"/>
    </xf>
    <xf numFmtId="0" fontId="2" fillId="0" borderId="2" applyAlignment="1" pivotButton="0" quotePrefix="0" xfId="0">
      <alignment horizontal="center" vertical="center"/>
    </xf>
    <xf numFmtId="0" fontId="2" fillId="0" borderId="57" applyAlignment="1" pivotButton="0" quotePrefix="0" xfId="0">
      <alignment horizontal="center" vertical="center"/>
    </xf>
    <xf numFmtId="0" fontId="2" fillId="0" borderId="19" applyAlignment="1" pivotButton="0" quotePrefix="0" xfId="0">
      <alignment horizontal="left" vertical="center" wrapText="1"/>
    </xf>
    <xf numFmtId="0" fontId="2" fillId="0" borderId="19" applyAlignment="1" pivotButton="0" quotePrefix="0" xfId="0">
      <alignment vertical="center" wrapText="1"/>
    </xf>
    <xf numFmtId="0" fontId="2" fillId="0" borderId="19" applyAlignment="1" pivotButton="0" quotePrefix="0" xfId="0">
      <alignment horizontal="center" vertical="center"/>
    </xf>
    <xf numFmtId="0" fontId="2" fillId="0" borderId="58" applyAlignment="1" pivotButton="0" quotePrefix="0" xfId="0">
      <alignment horizontal="center" vertical="center"/>
    </xf>
    <xf numFmtId="0" fontId="2" fillId="0" borderId="19" applyAlignment="1" pivotButton="0" quotePrefix="0" xfId="0">
      <alignment horizontal="center" vertical="center" wrapText="1"/>
    </xf>
    <xf numFmtId="0" fontId="2" fillId="0" borderId="58" applyAlignment="1" pivotButton="0" quotePrefix="0" xfId="0">
      <alignment horizontal="center" vertical="center" wrapText="1"/>
    </xf>
    <xf numFmtId="0" fontId="2" fillId="0" borderId="59" applyAlignment="1" pivotButton="0" quotePrefix="0" xfId="0">
      <alignment vertical="center" wrapText="1"/>
    </xf>
    <xf numFmtId="0" fontId="2" fillId="0" borderId="56" applyAlignment="1" pivotButton="0" quotePrefix="0" xfId="0">
      <alignment horizontal="center" vertical="center"/>
    </xf>
    <xf numFmtId="0" fontId="2" fillId="0" borderId="35" applyAlignment="1" pivotButton="0" quotePrefix="0" xfId="0">
      <alignment vertical="center" wrapText="1"/>
    </xf>
    <xf numFmtId="0" fontId="2" fillId="0" borderId="35" applyAlignment="1" pivotButton="0" quotePrefix="0" xfId="0">
      <alignment horizontal="center" vertical="center"/>
    </xf>
    <xf numFmtId="0" fontId="2" fillId="0" borderId="38" applyAlignment="1" pivotButton="0" quotePrefix="0" xfId="0">
      <alignment vertical="center" wrapText="1"/>
    </xf>
    <xf numFmtId="0" fontId="2" fillId="3" borderId="4"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horizontal="center" vertical="center"/>
    </xf>
    <xf numFmtId="0" fontId="29" fillId="0" borderId="0" pivotButton="0" quotePrefix="0" xfId="0"/>
    <xf numFmtId="0" fontId="3" fillId="0" borderId="33" applyAlignment="1" pivotButton="0" quotePrefix="0" xfId="0">
      <alignment vertical="center"/>
    </xf>
    <xf numFmtId="0" fontId="3" fillId="0" borderId="28" applyAlignment="1" pivotButton="0" quotePrefix="0" xfId="0">
      <alignment vertical="center"/>
    </xf>
    <xf numFmtId="0" fontId="3" fillId="0" borderId="34" applyAlignment="1" pivotButton="0" quotePrefix="0" xfId="0">
      <alignment vertical="center"/>
    </xf>
    <xf numFmtId="0" fontId="15" fillId="0" borderId="24" applyAlignment="1" pivotButton="0" quotePrefix="0" xfId="0">
      <alignment vertical="center"/>
    </xf>
    <xf numFmtId="0" fontId="15" fillId="0" borderId="25" applyAlignment="1" pivotButton="0" quotePrefix="0" xfId="0">
      <alignment vertical="center"/>
    </xf>
    <xf numFmtId="0" fontId="15" fillId="0" borderId="26" applyAlignment="1" pivotButton="0" quotePrefix="0" xfId="0">
      <alignment vertical="center"/>
    </xf>
    <xf numFmtId="0" fontId="10" fillId="0" borderId="0" pivotButton="0" quotePrefix="0" xfId="0"/>
    <xf numFmtId="0" fontId="10" fillId="0" borderId="0" applyAlignment="1" pivotButton="0" quotePrefix="0" xfId="0">
      <alignment horizontal="center" vertical="center"/>
    </xf>
    <xf numFmtId="0" fontId="15" fillId="0" borderId="1" applyAlignment="1" pivotButton="0" quotePrefix="0" xfId="0">
      <alignment horizontal="center" vertical="center" wrapText="1"/>
    </xf>
    <xf numFmtId="0" fontId="15" fillId="0" borderId="1" applyAlignment="1" pivotButton="0" quotePrefix="0" xfId="0">
      <alignment horizontal="center" vertical="center"/>
    </xf>
    <xf numFmtId="0" fontId="10" fillId="0" borderId="1" applyAlignment="1" pivotButton="0" quotePrefix="0" xfId="0">
      <alignment horizontal="center" vertical="center"/>
    </xf>
    <xf numFmtId="0" fontId="10"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1" applyAlignment="1" pivotButton="0" quotePrefix="0" xfId="0">
      <alignment vertical="center" wrapText="1"/>
    </xf>
    <xf numFmtId="0" fontId="10" fillId="3" borderId="1" applyAlignment="1" pivotButton="0" quotePrefix="0" xfId="0">
      <alignment horizontal="center" vertical="center" wrapText="1"/>
    </xf>
    <xf numFmtId="0" fontId="10" fillId="3" borderId="1" applyAlignment="1" pivotButton="0" quotePrefix="0" xfId="0">
      <alignment horizontal="center" vertical="center"/>
    </xf>
    <xf numFmtId="0" fontId="10" fillId="3" borderId="1" applyAlignment="1" pivotButton="0" quotePrefix="0" xfId="0">
      <alignment vertical="center" wrapText="1"/>
    </xf>
    <xf numFmtId="0" fontId="10" fillId="0" borderId="0" applyAlignment="1" pivotButton="0" quotePrefix="0" xfId="0">
      <alignment horizontal="left"/>
    </xf>
    <xf numFmtId="0" fontId="10" fillId="0" borderId="1" applyAlignment="1" pivotButton="0" quotePrefix="0" xfId="0">
      <alignment horizontal="center"/>
    </xf>
    <xf numFmtId="0" fontId="31" fillId="0" borderId="1" applyAlignment="1" pivotButton="0" quotePrefix="0" xfId="0">
      <alignment horizontal="center"/>
    </xf>
    <xf numFmtId="0" fontId="10" fillId="0" borderId="1" pivotButton="0" quotePrefix="0" xfId="0"/>
    <xf numFmtId="0" fontId="10" fillId="0" borderId="1" applyAlignment="1" pivotButton="0" quotePrefix="0" xfId="0">
      <alignment horizontal="center"/>
    </xf>
    <xf numFmtId="0" fontId="10" fillId="0" borderId="0" pivotButton="0" quotePrefix="0" xfId="0"/>
    <xf numFmtId="0" fontId="31" fillId="0" borderId="0" applyAlignment="1" pivotButton="0" quotePrefix="0" xfId="0">
      <alignment horizontal="left" vertical="center"/>
    </xf>
    <xf numFmtId="0" fontId="31" fillId="0" borderId="0" applyAlignment="1" pivotButton="0" quotePrefix="0" xfId="0">
      <alignment vertical="center"/>
    </xf>
    <xf numFmtId="0" fontId="10" fillId="0" borderId="0" applyAlignment="1" pivotButton="0" quotePrefix="0" xfId="0">
      <alignment horizontal="center"/>
    </xf>
    <xf numFmtId="0" fontId="10" fillId="0" borderId="0" applyAlignment="1" pivotButton="0" quotePrefix="0" xfId="0">
      <alignment horizontal="left" wrapText="1"/>
    </xf>
    <xf numFmtId="0" fontId="10" fillId="0" borderId="0" applyAlignment="1" pivotButton="0" quotePrefix="0" xfId="0">
      <alignment horizontal="center"/>
    </xf>
    <xf numFmtId="0" fontId="31" fillId="0" borderId="0" applyAlignment="1" pivotButton="0" quotePrefix="0" xfId="0">
      <alignment horizontal="left" vertical="center" wrapText="1"/>
    </xf>
    <xf numFmtId="0" fontId="2" fillId="0" borderId="2" applyAlignment="1" pivotButton="0" quotePrefix="0" xfId="0">
      <alignment horizontal="center" vertical="center" wrapText="1"/>
    </xf>
    <xf numFmtId="0" fontId="2" fillId="0" borderId="0"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center" vertical="center" wrapText="1"/>
    </xf>
    <xf numFmtId="0" fontId="2" fillId="0" borderId="2" applyAlignment="1" pivotButton="0" quotePrefix="0" xfId="0">
      <alignment horizontal="center" vertical="center"/>
    </xf>
    <xf numFmtId="0" fontId="10" fillId="0" borderId="1" applyAlignment="1" pivotButton="0" quotePrefix="0" xfId="0">
      <alignment horizontal="center"/>
    </xf>
    <xf numFmtId="0" fontId="2" fillId="0" borderId="2" applyAlignment="1" pivotButton="0" quotePrefix="0" xfId="0">
      <alignment horizontal="left" vertical="center" wrapText="1"/>
    </xf>
    <xf numFmtId="0" fontId="2" fillId="0" borderId="2" applyAlignment="1" pivotButton="0" quotePrefix="0" xfId="0">
      <alignment vertical="center" wrapText="1"/>
    </xf>
    <xf numFmtId="0" fontId="2" fillId="0" borderId="2" applyAlignment="1" pivotButton="0" quotePrefix="1" xfId="0">
      <alignment horizontal="left" vertical="center" wrapText="1"/>
    </xf>
    <xf numFmtId="0" fontId="2" fillId="0" borderId="58" applyAlignment="1" pivotButton="0" quotePrefix="0" xfId="0">
      <alignment horizontal="left" vertical="center" wrapText="1"/>
    </xf>
    <xf numFmtId="0" fontId="2" fillId="0" borderId="58" applyAlignment="1" pivotButton="0" quotePrefix="1" xfId="0">
      <alignment vertical="center" wrapText="1"/>
    </xf>
    <xf numFmtId="0" fontId="2" fillId="0" borderId="58" applyAlignment="1" pivotButton="0" quotePrefix="1" xfId="0">
      <alignment horizontal="left" vertical="center" wrapText="1"/>
    </xf>
    <xf numFmtId="0" fontId="2" fillId="0" borderId="0" applyAlignment="1" pivotButton="0" quotePrefix="0" xfId="0">
      <alignment horizontal="left" vertical="center" wrapText="1"/>
    </xf>
    <xf numFmtId="0" fontId="0" fillId="0" borderId="29" applyAlignment="1" pivotButton="0" quotePrefix="0" xfId="0">
      <alignment vertical="center"/>
    </xf>
    <xf numFmtId="0" fontId="4" fillId="0" borderId="1" applyAlignment="1" pivotButton="0" quotePrefix="0" xfId="0">
      <alignment horizontal="left" vertical="center"/>
    </xf>
    <xf numFmtId="0" fontId="0" fillId="0" borderId="33" applyAlignment="1" pivotButton="0" quotePrefix="0" xfId="0">
      <alignment vertical="center"/>
    </xf>
    <xf numFmtId="0" fontId="20" fillId="0" borderId="1" applyAlignment="1" pivotButton="0" quotePrefix="0" xfId="0">
      <alignment horizontal="center" vertical="center" wrapText="1"/>
    </xf>
    <xf numFmtId="0" fontId="20" fillId="3" borderId="1" applyAlignment="1" pivotButton="0" quotePrefix="0" xfId="0">
      <alignment horizontal="center" vertical="center" wrapText="1"/>
    </xf>
    <xf numFmtId="0" fontId="20"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2" fillId="0" borderId="0" applyAlignment="1" pivotButton="0" quotePrefix="0" xfId="0">
      <alignment horizontal="center" vertical="center"/>
    </xf>
    <xf numFmtId="0" fontId="10" fillId="0" borderId="0" applyAlignment="1" pivotButton="0" quotePrefix="0" xfId="0">
      <alignment horizontal="center" vertical="center"/>
    </xf>
    <xf numFmtId="0" fontId="2" fillId="0" borderId="1" applyAlignment="1" pivotButton="0" quotePrefix="0" xfId="0">
      <alignment horizontal="center" vertical="center" wrapText="1"/>
    </xf>
    <xf numFmtId="0" fontId="2" fillId="0" borderId="1" applyAlignment="1" pivotButton="0" quotePrefix="0" xfId="0">
      <alignment horizontal="center" vertical="center"/>
    </xf>
    <xf numFmtId="0" fontId="20" fillId="0" borderId="1" applyAlignment="1" pivotButton="0" quotePrefix="0" xfId="0">
      <alignment horizontal="left" vertical="center" wrapText="1"/>
    </xf>
    <xf numFmtId="0" fontId="32" fillId="0" borderId="24" pivotButton="0" quotePrefix="0" xfId="0"/>
    <xf numFmtId="0" fontId="32" fillId="0" borderId="29" pivotButton="0" quotePrefix="0" xfId="0"/>
    <xf numFmtId="0" fontId="32" fillId="0" borderId="33" pivotButton="0" quotePrefix="0" xfId="0"/>
    <xf numFmtId="0" fontId="33" fillId="0" borderId="0" applyAlignment="1" pivotButton="0" quotePrefix="0" xfId="0">
      <alignment horizontal="left" vertical="center" wrapText="1"/>
    </xf>
    <xf numFmtId="0" fontId="20" fillId="0" borderId="0" applyAlignment="1" pivotButton="0" quotePrefix="0" xfId="0">
      <alignment horizontal="left" vertical="center" wrapText="1"/>
    </xf>
    <xf numFmtId="0" fontId="32" fillId="0" borderId="0" applyAlignment="1" pivotButton="0" quotePrefix="0" xfId="0">
      <alignment horizontal="left"/>
    </xf>
    <xf numFmtId="0" fontId="0" fillId="0" borderId="0" applyAlignment="1" pivotButton="0" quotePrefix="0" xfId="0">
      <alignment horizontal="left"/>
    </xf>
    <xf numFmtId="0" fontId="32" fillId="0" borderId="28" applyAlignment="1" pivotButton="0" quotePrefix="0" xfId="0">
      <alignment horizontal="left"/>
    </xf>
    <xf numFmtId="0" fontId="0" fillId="0" borderId="28" applyAlignment="1" pivotButton="0" quotePrefix="0" xfId="0">
      <alignment horizontal="left"/>
    </xf>
    <xf numFmtId="0" fontId="20" fillId="0" borderId="1" applyAlignment="1" pivotButton="0" quotePrefix="0" xfId="0">
      <alignment horizontal="left"/>
    </xf>
    <xf numFmtId="0" fontId="2" fillId="0" borderId="0" applyAlignment="1" pivotButton="0" quotePrefix="0" xfId="0">
      <alignment horizontal="left"/>
    </xf>
    <xf numFmtId="0" fontId="4" fillId="0" borderId="0" applyAlignment="1" pivotButton="0" quotePrefix="0" xfId="0">
      <alignment horizontal="center"/>
    </xf>
    <xf numFmtId="0" fontId="4" fillId="0" borderId="0" applyAlignment="1" pivotButton="0" quotePrefix="0" xfId="0">
      <alignment horizontal="center"/>
    </xf>
    <xf numFmtId="0" fontId="4" fillId="0" borderId="17" applyAlignment="1" pivotButton="0" quotePrefix="0" xfId="0">
      <alignment horizontal="center"/>
    </xf>
    <xf numFmtId="0" fontId="4" fillId="0" borderId="36" applyAlignment="1" pivotButton="0" quotePrefix="0" xfId="0">
      <alignment horizontal="center"/>
    </xf>
    <xf numFmtId="0" fontId="4" fillId="0" borderId="17" applyAlignment="1" pivotButton="0" quotePrefix="0" xfId="0">
      <alignment horizontal="center"/>
    </xf>
    <xf numFmtId="0" fontId="4" fillId="0" borderId="36" applyAlignment="1" pivotButton="0" quotePrefix="0" xfId="0">
      <alignment horizontal="center"/>
    </xf>
    <xf numFmtId="0" fontId="4" fillId="0" borderId="28" applyAlignment="1" pivotButton="0" quotePrefix="0" xfId="0">
      <alignment horizontal="center"/>
    </xf>
    <xf numFmtId="0" fontId="4" fillId="0" borderId="34" applyAlignment="1" pivotButton="0" quotePrefix="0" xfId="0">
      <alignment horizontal="center"/>
    </xf>
    <xf numFmtId="14" fontId="4" fillId="0" borderId="17" applyAlignment="1" pivotButton="0" quotePrefix="1" xfId="0">
      <alignment horizontal="center"/>
    </xf>
    <xf numFmtId="14" fontId="4" fillId="0" borderId="36" applyAlignment="1" pivotButton="0" quotePrefix="0" xfId="0">
      <alignment horizontal="center"/>
    </xf>
    <xf numFmtId="0" fontId="4" fillId="0" borderId="22" applyAlignment="1" pivotButton="0" quotePrefix="0" xfId="0">
      <alignment horizontal="center"/>
    </xf>
    <xf numFmtId="14" fontId="4" fillId="0" borderId="17" applyAlignment="1" pivotButton="0" quotePrefix="0" xfId="0">
      <alignment horizontal="center"/>
    </xf>
    <xf numFmtId="0" fontId="4" fillId="0" borderId="22" applyAlignment="1" pivotButton="0" quotePrefix="0" xfId="0">
      <alignment horizontal="center"/>
    </xf>
    <xf numFmtId="0" fontId="4" fillId="0" borderId="1" applyAlignment="1" pivotButton="0" quotePrefix="0" xfId="0">
      <alignment horizontal="center" wrapText="1"/>
    </xf>
    <xf numFmtId="0" fontId="9" fillId="0" borderId="60" applyAlignment="1" pivotButton="0" quotePrefix="0" xfId="0">
      <alignment horizontal="center" vertical="center" wrapText="1"/>
    </xf>
    <xf numFmtId="0" fontId="13" fillId="0" borderId="1" applyAlignment="1" pivotButton="0" quotePrefix="0" xfId="0">
      <alignment horizontal="center" vertical="center" wrapText="1"/>
    </xf>
    <xf numFmtId="0" fontId="13" fillId="0" borderId="1" applyAlignment="1" pivotButton="0" quotePrefix="0" xfId="0">
      <alignment horizontal="center" vertical="center"/>
    </xf>
    <xf numFmtId="0" fontId="13" fillId="0" borderId="17" applyAlignment="1" pivotButton="0" quotePrefix="0" xfId="0">
      <alignment horizontal="center" vertical="center" wrapText="1"/>
    </xf>
    <xf numFmtId="0" fontId="13" fillId="0" borderId="36" applyAlignment="1" pivotButton="0" quotePrefix="0" xfId="0">
      <alignment horizontal="center" vertical="center" wrapText="1"/>
    </xf>
    <xf numFmtId="0" fontId="13" fillId="0" borderId="62" applyAlignment="1" pivotButton="0" quotePrefix="0" xfId="0">
      <alignment horizontal="center" vertical="center" wrapText="1"/>
    </xf>
    <xf numFmtId="0" fontId="13" fillId="0" borderId="61" applyAlignment="1" pivotButton="0" quotePrefix="0" xfId="0">
      <alignment horizontal="center" vertical="center"/>
    </xf>
    <xf numFmtId="0" fontId="21" fillId="0" borderId="2" applyAlignment="1" pivotButton="0" quotePrefix="0" xfId="0">
      <alignment horizontal="center" vertical="center"/>
    </xf>
    <xf numFmtId="0" fontId="21" fillId="0" borderId="40" applyAlignment="1" pivotButton="0" quotePrefix="0" xfId="0">
      <alignment horizontal="center" vertical="center"/>
    </xf>
    <xf numFmtId="0" fontId="21" fillId="0" borderId="23" applyAlignment="1" pivotButton="0" quotePrefix="0" xfId="0">
      <alignment horizontal="center" vertical="center"/>
    </xf>
    <xf numFmtId="0" fontId="21" fillId="0" borderId="2" applyAlignment="1" pivotButton="0" quotePrefix="0" xfId="0">
      <alignment horizontal="center" vertical="center"/>
    </xf>
    <xf numFmtId="0" fontId="21" fillId="0" borderId="40" applyAlignment="1" pivotButton="0" quotePrefix="0" xfId="0">
      <alignment horizontal="center" vertical="center"/>
    </xf>
    <xf numFmtId="0" fontId="21" fillId="0" borderId="23" applyAlignment="1" pivotButton="0" quotePrefix="0" xfId="0">
      <alignment horizontal="center" vertical="center"/>
    </xf>
    <xf numFmtId="0" fontId="21" fillId="0" borderId="2" applyAlignment="1" pivotButton="0" quotePrefix="0" xfId="0">
      <alignment horizontal="center" vertical="center" wrapText="1"/>
    </xf>
    <xf numFmtId="0" fontId="21" fillId="0" borderId="40" applyAlignment="1" pivotButton="0" quotePrefix="0" xfId="0">
      <alignment horizontal="center" vertical="center" wrapText="1"/>
    </xf>
    <xf numFmtId="0" fontId="21" fillId="0" borderId="23" applyAlignment="1" pivotButton="0" quotePrefix="0" xfId="0">
      <alignment horizontal="center" vertical="center" wrapText="1"/>
    </xf>
    <xf numFmtId="0" fontId="21" fillId="0" borderId="2" applyAlignment="1" pivotButton="0" quotePrefix="0" xfId="0">
      <alignment horizontal="center" vertical="center" wrapText="1"/>
    </xf>
    <xf numFmtId="0" fontId="21" fillId="0" borderId="40" applyAlignment="1" pivotButton="0" quotePrefix="0" xfId="0">
      <alignment horizontal="center" vertical="center" wrapText="1"/>
    </xf>
    <xf numFmtId="0" fontId="21" fillId="0" borderId="23" applyAlignment="1" pivotButton="0" quotePrefix="0" xfId="0">
      <alignment horizontal="center" vertical="center" wrapText="1"/>
    </xf>
    <xf numFmtId="0" fontId="24" fillId="0" borderId="24" applyAlignment="1" pivotButton="0" quotePrefix="0" xfId="0">
      <alignment horizontal="center" vertical="center" wrapText="1"/>
    </xf>
    <xf numFmtId="0" fontId="24" fillId="0" borderId="25" applyAlignment="1" pivotButton="0" quotePrefix="0" xfId="0">
      <alignment horizontal="center" vertical="center" wrapText="1"/>
    </xf>
    <xf numFmtId="0" fontId="24" fillId="0" borderId="29" applyAlignment="1" pivotButton="0" quotePrefix="0" xfId="0">
      <alignment horizontal="center" vertical="center" wrapText="1"/>
    </xf>
    <xf numFmtId="0" fontId="24" fillId="0" borderId="0" applyAlignment="1" pivotButton="0" quotePrefix="0" xfId="0">
      <alignment horizontal="center" vertical="center" wrapText="1"/>
    </xf>
    <xf numFmtId="0" fontId="24" fillId="0" borderId="33" applyAlignment="1" pivotButton="0" quotePrefix="0" xfId="0">
      <alignment horizontal="center" vertical="center" wrapText="1"/>
    </xf>
    <xf numFmtId="0" fontId="24" fillId="0" borderId="28" applyAlignment="1" pivotButton="0" quotePrefix="0" xfId="0">
      <alignment horizontal="center" vertical="center" wrapText="1"/>
    </xf>
    <xf numFmtId="0" fontId="21" fillId="0" borderId="24" applyAlignment="1" pivotButton="0" quotePrefix="0" xfId="0">
      <alignment horizontal="center" vertical="center"/>
    </xf>
    <xf numFmtId="0" fontId="21" fillId="0" borderId="26" applyAlignment="1" pivotButton="0" quotePrefix="0" xfId="0">
      <alignment horizontal="center" vertical="center"/>
    </xf>
    <xf numFmtId="0" fontId="21" fillId="0" borderId="29" applyAlignment="1" pivotButton="0" quotePrefix="0" xfId="0">
      <alignment horizontal="center" vertical="center"/>
    </xf>
    <xf numFmtId="0" fontId="21" fillId="0" borderId="27" applyAlignment="1" pivotButton="0" quotePrefix="0" xfId="0">
      <alignment horizontal="center" vertical="center"/>
    </xf>
    <xf numFmtId="0" fontId="21" fillId="0" borderId="33" applyAlignment="1" pivotButton="0" quotePrefix="0" xfId="0">
      <alignment horizontal="center" vertical="center"/>
    </xf>
    <xf numFmtId="0" fontId="21" fillId="0" borderId="34" applyAlignment="1" pivotButton="0" quotePrefix="0" xfId="0">
      <alignment horizontal="center" vertical="center"/>
    </xf>
    <xf numFmtId="0" fontId="23" fillId="5" borderId="1" applyAlignment="1" pivotButton="0" quotePrefix="0" xfId="0">
      <alignment horizontal="center" vertical="center"/>
    </xf>
    <xf numFmtId="0" fontId="23" fillId="5" borderId="1" applyAlignment="1" pivotButton="0" quotePrefix="0" xfId="0">
      <alignment horizontal="center" vertical="center" wrapText="1"/>
    </xf>
    <xf numFmtId="0" fontId="25" fillId="0" borderId="17" applyAlignment="1" pivotButton="0" quotePrefix="0" xfId="0">
      <alignment horizontal="center" vertical="center"/>
    </xf>
    <xf numFmtId="0" fontId="25" fillId="0" borderId="36" applyAlignment="1" pivotButton="0" quotePrefix="0" xfId="0">
      <alignment horizontal="center" vertical="center"/>
    </xf>
    <xf numFmtId="0" fontId="7" fillId="5" borderId="1" applyAlignment="1" pivotButton="0" quotePrefix="0" xfId="0">
      <alignment horizontal="center" vertical="center" wrapText="1"/>
    </xf>
    <xf numFmtId="0" fontId="7" fillId="5" borderId="1" applyAlignment="1" pivotButton="0" quotePrefix="0" xfId="0">
      <alignment horizontal="center" vertical="center"/>
    </xf>
    <xf numFmtId="0" fontId="8" fillId="0" borderId="32" applyAlignment="1" pivotButton="0" quotePrefix="0" xfId="0">
      <alignment horizontal="center" vertical="center" wrapText="1"/>
    </xf>
    <xf numFmtId="0" fontId="8" fillId="0" borderId="60" applyAlignment="1" pivotButton="0" quotePrefix="0" xfId="0">
      <alignment horizontal="center" vertical="center" wrapText="1"/>
    </xf>
    <xf numFmtId="0" fontId="5" fillId="0" borderId="61" applyAlignment="1" pivotButton="0" quotePrefix="0" xfId="0">
      <alignment horizontal="center" vertical="center"/>
    </xf>
    <xf numFmtId="0" fontId="5"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left" vertical="center" wrapText="1"/>
    </xf>
    <xf numFmtId="0" fontId="5" fillId="0" borderId="1" applyAlignment="1" pivotButton="0" quotePrefix="0" xfId="0">
      <alignment horizontal="left" vertical="center"/>
    </xf>
    <xf numFmtId="0" fontId="5" fillId="0" borderId="17" applyAlignment="1" pivotButton="0" quotePrefix="0" xfId="0">
      <alignment horizontal="center" vertical="center" wrapText="1"/>
    </xf>
    <xf numFmtId="0" fontId="5" fillId="0" borderId="36" applyAlignment="1" pivotButton="0" quotePrefix="0" xfId="0">
      <alignment horizontal="center" vertical="center" wrapText="1"/>
    </xf>
    <xf numFmtId="0" fontId="5" fillId="0" borderId="62" applyAlignment="1" pivotButton="0" quotePrefix="0" xfId="0">
      <alignment horizontal="center" vertical="center" wrapText="1"/>
    </xf>
    <xf numFmtId="0" fontId="27" fillId="0" borderId="63" applyAlignment="1" pivotButton="0" quotePrefix="0" xfId="0">
      <alignment horizontal="center" vertical="center" wrapText="1"/>
    </xf>
    <xf numFmtId="0" fontId="27" fillId="0" borderId="0" applyAlignment="1" pivotButton="0" quotePrefix="0" xfId="0">
      <alignment horizontal="center" vertical="center" wrapText="1"/>
    </xf>
    <xf numFmtId="0" fontId="27" fillId="0" borderId="64" applyAlignment="1" pivotButton="0" quotePrefix="0" xfId="0">
      <alignment horizontal="center" vertical="center" wrapText="1"/>
    </xf>
    <xf numFmtId="0" fontId="27" fillId="0" borderId="28" applyAlignment="1" pivotButton="0" quotePrefix="0" xfId="0">
      <alignment horizontal="center" vertical="center" wrapText="1"/>
    </xf>
    <xf numFmtId="0" fontId="20" fillId="0" borderId="1" applyAlignment="1" pivotButton="0" quotePrefix="0" xfId="0">
      <alignment horizontal="center"/>
    </xf>
    <xf numFmtId="0" fontId="20" fillId="0" borderId="1" applyAlignment="1" pivotButton="0" quotePrefix="1" xfId="0">
      <alignment horizontal="center" vertical="center"/>
    </xf>
    <xf numFmtId="0" fontId="20" fillId="0" borderId="1" applyAlignment="1" pivotButton="0" quotePrefix="0" xfId="0">
      <alignment horizontal="left" vertical="center" wrapText="1"/>
    </xf>
    <xf numFmtId="0" fontId="26" fillId="2" borderId="1" applyAlignment="1" pivotButton="0" quotePrefix="0" xfId="0">
      <alignment horizontal="left" vertical="center" wrapText="1"/>
    </xf>
    <xf numFmtId="0" fontId="20" fillId="0" borderId="17" applyAlignment="1" pivotButton="0" quotePrefix="0" xfId="0">
      <alignment horizontal="center"/>
    </xf>
    <xf numFmtId="0" fontId="20" fillId="0" borderId="22" applyAlignment="1" pivotButton="0" quotePrefix="0" xfId="0">
      <alignment horizontal="center"/>
    </xf>
    <xf numFmtId="0" fontId="20" fillId="0" borderId="36" applyAlignment="1" pivotButton="0" quotePrefix="0" xfId="0">
      <alignment horizontal="center"/>
    </xf>
    <xf numFmtId="0" fontId="20" fillId="0" borderId="1" applyAlignment="1" pivotButton="0" quotePrefix="0" xfId="0">
      <alignment horizontal="center" vertical="center" wrapText="1"/>
    </xf>
    <xf numFmtId="0" fontId="2" fillId="0" borderId="0" applyAlignment="1" pivotButton="0" quotePrefix="0" xfId="0">
      <alignment horizontal="center"/>
    </xf>
    <xf numFmtId="0" fontId="7" fillId="0" borderId="1" applyAlignment="1" pivotButton="0" quotePrefix="0" xfId="0">
      <alignment horizontal="center" vertical="center" wrapText="1"/>
    </xf>
    <xf numFmtId="0" fontId="7" fillId="0" borderId="1" applyAlignment="1" pivotButton="0" quotePrefix="0" xfId="0">
      <alignment horizontal="center" vertical="center"/>
    </xf>
    <xf numFmtId="0" fontId="20" fillId="0" borderId="25" applyAlignment="1" pivotButton="0" quotePrefix="0" xfId="0">
      <alignment horizontal="center" vertical="center" wrapText="1"/>
    </xf>
    <xf numFmtId="0" fontId="20" fillId="0" borderId="26" applyAlignment="1" pivotButton="0" quotePrefix="0" xfId="0">
      <alignment horizontal="center" vertical="center" wrapText="1"/>
    </xf>
    <xf numFmtId="0" fontId="20" fillId="0" borderId="0" applyAlignment="1" pivotButton="0" quotePrefix="0" xfId="0">
      <alignment horizontal="center" vertical="center" wrapText="1"/>
    </xf>
    <xf numFmtId="0" fontId="20" fillId="0" borderId="27" applyAlignment="1" pivotButton="0" quotePrefix="0" xfId="0">
      <alignment horizontal="center" vertical="center" wrapText="1"/>
    </xf>
    <xf numFmtId="0" fontId="20" fillId="0" borderId="28" applyAlignment="1" pivotButton="0" quotePrefix="0" xfId="0">
      <alignment horizontal="center" vertical="center" wrapText="1"/>
    </xf>
    <xf numFmtId="0" fontId="20" fillId="0" borderId="34" applyAlignment="1" pivotButton="0" quotePrefix="0" xfId="0">
      <alignment horizontal="center" vertical="center" wrapText="1"/>
    </xf>
    <xf numFmtId="0" fontId="26" fillId="2" borderId="1" applyAlignment="1" pivotButton="0" quotePrefix="0" xfId="0">
      <alignment horizontal="center" vertical="center"/>
    </xf>
    <xf numFmtId="0" fontId="26" fillId="2" borderId="1" applyAlignment="1" pivotButton="0" quotePrefix="0" xfId="0">
      <alignment horizontal="center" vertical="center" wrapText="1"/>
    </xf>
    <xf numFmtId="0" fontId="23" fillId="2" borderId="1" applyAlignment="1" pivotButton="0" quotePrefix="0" xfId="0">
      <alignment horizontal="left" vertical="center" wrapText="1"/>
    </xf>
    <xf numFmtId="0" fontId="5" fillId="0" borderId="1" applyAlignment="1" pivotButton="0" quotePrefix="0" xfId="0">
      <alignment horizontal="center" vertical="center"/>
    </xf>
    <xf numFmtId="0" fontId="20" fillId="3" borderId="17" applyAlignment="1" pivotButton="0" quotePrefix="0" xfId="0">
      <alignment horizontal="left" vertical="center" wrapText="1"/>
    </xf>
    <xf numFmtId="0" fontId="20" fillId="3" borderId="22" applyAlignment="1" pivotButton="0" quotePrefix="0" xfId="0">
      <alignment horizontal="left" vertical="center" wrapText="1"/>
    </xf>
    <xf numFmtId="0" fontId="2" fillId="0" borderId="0" applyAlignment="1" pivotButton="0" quotePrefix="0" xfId="0">
      <alignment horizontal="center"/>
    </xf>
    <xf numFmtId="0" fontId="20" fillId="3" borderId="1" applyAlignment="1" pivotButton="0" quotePrefix="0" xfId="0">
      <alignment horizontal="left" vertical="center" wrapText="1"/>
    </xf>
    <xf numFmtId="0" fontId="9" fillId="0" borderId="28" applyAlignment="1" pivotButton="0" quotePrefix="0" xfId="0">
      <alignment horizontal="center" vertical="center"/>
    </xf>
    <xf numFmtId="0" fontId="23" fillId="0" borderId="1" applyAlignment="1" pivotButton="0" quotePrefix="0" xfId="0">
      <alignment horizontal="center" vertical="center" wrapText="1"/>
    </xf>
    <xf numFmtId="0" fontId="23" fillId="0" borderId="1" applyAlignment="1" pivotButton="0" quotePrefix="0" xfId="0">
      <alignment horizontal="center" vertical="center"/>
    </xf>
    <xf numFmtId="0" fontId="7" fillId="0" borderId="1" applyAlignment="1" pivotButton="0" quotePrefix="0" xfId="0">
      <alignment horizontal="left" vertical="center" wrapText="1"/>
    </xf>
    <xf numFmtId="0" fontId="21" fillId="0" borderId="1" applyAlignment="1" pivotButton="0" quotePrefix="0" xfId="0">
      <alignment horizontal="center" vertical="center"/>
    </xf>
    <xf numFmtId="0" fontId="21"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2" applyAlignment="1" pivotButton="0" quotePrefix="0" xfId="0">
      <alignment horizontal="center" vertical="center" wrapText="1"/>
    </xf>
    <xf numFmtId="0" fontId="4" fillId="0" borderId="40" applyAlignment="1" pivotButton="0" quotePrefix="0" xfId="0">
      <alignment horizontal="center" vertical="center" wrapText="1"/>
    </xf>
    <xf numFmtId="0" fontId="4" fillId="0" borderId="23" applyAlignment="1" pivotButton="0" quotePrefix="0" xfId="0">
      <alignment horizontal="center" vertical="center" wrapText="1"/>
    </xf>
    <xf numFmtId="0" fontId="21" fillId="0" borderId="17" applyAlignment="1" pivotButton="0" quotePrefix="0" xfId="0">
      <alignment horizontal="center" vertical="center" wrapText="1"/>
    </xf>
    <xf numFmtId="0" fontId="21" fillId="0" borderId="22" applyAlignment="1" pivotButton="0" quotePrefix="0" xfId="0">
      <alignment horizontal="center" vertical="center" wrapText="1"/>
    </xf>
    <xf numFmtId="0" fontId="4" fillId="0" borderId="17" applyAlignment="1" pivotButton="0" quotePrefix="0" xfId="0">
      <alignment horizontal="center" vertical="center" wrapText="1"/>
    </xf>
    <xf numFmtId="0" fontId="4" fillId="0" borderId="22" applyAlignment="1" pivotButton="0" quotePrefix="0" xfId="0">
      <alignment horizontal="center" vertical="center" wrapText="1"/>
    </xf>
    <xf numFmtId="0" fontId="4" fillId="0" borderId="1" applyAlignment="1" pivotButton="0" quotePrefix="0" xfId="0">
      <alignment horizontal="center"/>
    </xf>
    <xf numFmtId="14" fontId="4" fillId="0" borderId="1" applyAlignment="1" pivotButton="0" quotePrefix="0" xfId="0">
      <alignment horizontal="center"/>
    </xf>
    <xf numFmtId="0" fontId="4" fillId="0" borderId="17" applyAlignment="1" pivotButton="0" quotePrefix="1" xfId="0">
      <alignment horizontal="center" vertical="center"/>
    </xf>
    <xf numFmtId="0" fontId="4" fillId="0" borderId="22" applyAlignment="1" pivotButton="0" quotePrefix="1" xfId="0">
      <alignment horizontal="center" vertical="center"/>
    </xf>
    <xf numFmtId="0" fontId="4" fillId="0" borderId="17" applyAlignment="1" pivotButton="0" quotePrefix="0" xfId="0">
      <alignment horizontal="center" wrapText="1"/>
    </xf>
    <xf numFmtId="0" fontId="4" fillId="0" borderId="36" applyAlignment="1" pivotButton="0" quotePrefix="0" xfId="0">
      <alignment horizontal="center" wrapText="1"/>
    </xf>
    <xf numFmtId="0" fontId="4" fillId="0" borderId="22" applyAlignment="1" pivotButton="0" quotePrefix="0" xfId="0">
      <alignment horizontal="center" wrapText="1"/>
    </xf>
    <xf numFmtId="0" fontId="11" fillId="0" borderId="29" applyAlignment="1" pivotButton="0" quotePrefix="0" xfId="0">
      <alignment horizontal="center" vertical="center" wrapText="1"/>
    </xf>
    <xf numFmtId="0" fontId="11" fillId="0" borderId="0" applyAlignment="1" pivotButton="0" quotePrefix="0" xfId="0">
      <alignment horizontal="center" vertical="center" wrapText="1"/>
    </xf>
    <xf numFmtId="0" fontId="11" fillId="0" borderId="33" applyAlignment="1" pivotButton="0" quotePrefix="0" xfId="0">
      <alignment horizontal="center" vertical="center" wrapText="1"/>
    </xf>
    <xf numFmtId="0" fontId="11" fillId="0" borderId="28" applyAlignment="1" pivotButton="0" quotePrefix="0" xfId="0">
      <alignment horizontal="center" vertical="center" wrapText="1"/>
    </xf>
    <xf numFmtId="0" fontId="4" fillId="0" borderId="29" applyAlignment="1" pivotButton="0" quotePrefix="0" xfId="0">
      <alignment horizontal="left" wrapText="1"/>
    </xf>
    <xf numFmtId="0" fontId="4" fillId="0" borderId="0" applyAlignment="1" pivotButton="0" quotePrefix="0" xfId="0">
      <alignment horizontal="left" wrapText="1"/>
    </xf>
    <xf numFmtId="0" fontId="4" fillId="0" borderId="27" applyAlignment="1" pivotButton="0" quotePrefix="0" xfId="0">
      <alignment horizontal="left" wrapText="1"/>
    </xf>
    <xf numFmtId="0" fontId="4" fillId="0" borderId="33" applyAlignment="1" pivotButton="0" quotePrefix="0" xfId="0">
      <alignment horizontal="left" wrapText="1"/>
    </xf>
    <xf numFmtId="0" fontId="4" fillId="0" borderId="28" applyAlignment="1" pivotButton="0" quotePrefix="0" xfId="0">
      <alignment horizontal="left" wrapText="1"/>
    </xf>
    <xf numFmtId="0" fontId="4" fillId="0" borderId="34" applyAlignment="1" pivotButton="0" quotePrefix="0" xfId="0">
      <alignment horizontal="left" wrapText="1"/>
    </xf>
    <xf numFmtId="0" fontId="4" fillId="0"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7" applyAlignment="1" pivotButton="0" quotePrefix="0" xfId="0">
      <alignment horizontal="center" vertical="center"/>
    </xf>
    <xf numFmtId="0" fontId="4" fillId="0" borderId="24" applyAlignment="1" pivotButton="0" quotePrefix="0" xfId="0">
      <alignment horizontal="left" wrapText="1"/>
    </xf>
    <xf numFmtId="0" fontId="4" fillId="0" borderId="25" applyAlignment="1" pivotButton="0" quotePrefix="0" xfId="0">
      <alignment horizontal="left" wrapText="1"/>
    </xf>
    <xf numFmtId="0" fontId="4" fillId="0" borderId="26" applyAlignment="1" pivotButton="0" quotePrefix="0" xfId="0">
      <alignment horizontal="left" wrapText="1"/>
    </xf>
    <xf numFmtId="0" fontId="4" fillId="0" borderId="29" applyAlignment="1" pivotButton="0" quotePrefix="1" xfId="0">
      <alignment horizontal="left" wrapText="1"/>
    </xf>
    <xf numFmtId="0" fontId="4" fillId="0" borderId="0" applyAlignment="1" pivotButton="0" quotePrefix="1" xfId="0">
      <alignment horizontal="left" wrapText="1"/>
    </xf>
    <xf numFmtId="0" fontId="4" fillId="0" borderId="27" applyAlignment="1" pivotButton="0" quotePrefix="1" xfId="0">
      <alignment horizontal="left" wrapText="1"/>
    </xf>
    <xf numFmtId="0" fontId="4" fillId="0" borderId="0" applyAlignment="1" pivotButton="0" quotePrefix="0" xfId="1">
      <alignment horizontal="center"/>
    </xf>
    <xf numFmtId="0" fontId="4" fillId="0" borderId="73" applyAlignment="1" pivotButton="0" quotePrefix="0" xfId="1">
      <alignment horizontal="center" vertical="center"/>
    </xf>
    <xf numFmtId="0" fontId="4" fillId="0" borderId="74" applyAlignment="1" pivotButton="0" quotePrefix="0" xfId="1">
      <alignment horizontal="center" vertical="center"/>
    </xf>
    <xf numFmtId="0" fontId="4" fillId="0" borderId="75" applyAlignment="1" pivotButton="0" quotePrefix="0" xfId="1">
      <alignment horizontal="center" vertical="center"/>
    </xf>
    <xf numFmtId="0" fontId="4" fillId="0" borderId="72" applyAlignment="1" pivotButton="0" quotePrefix="0" xfId="1">
      <alignment horizontal="center" vertical="center" wrapText="1"/>
    </xf>
    <xf numFmtId="0" fontId="4" fillId="0" borderId="40" applyAlignment="1" pivotButton="0" quotePrefix="0" xfId="1">
      <alignment horizontal="center" vertical="center" wrapText="1"/>
    </xf>
    <xf numFmtId="0" fontId="4" fillId="0" borderId="20" applyAlignment="1" pivotButton="0" quotePrefix="0" xfId="1">
      <alignment horizontal="center" vertical="center" wrapText="1"/>
    </xf>
    <xf numFmtId="0" fontId="4" fillId="0" borderId="72" applyAlignment="1" pivotButton="0" quotePrefix="0" xfId="1">
      <alignment horizontal="left" vertical="center" wrapText="1"/>
    </xf>
    <xf numFmtId="0" fontId="4" fillId="0" borderId="40" applyAlignment="1" pivotButton="0" quotePrefix="0" xfId="1">
      <alignment horizontal="left" vertical="center" wrapText="1"/>
    </xf>
    <xf numFmtId="0" fontId="4" fillId="0" borderId="30" applyAlignment="1" pivotButton="0" quotePrefix="0" xfId="1">
      <alignment horizontal="left" vertical="center" wrapText="1"/>
    </xf>
    <xf numFmtId="0" fontId="4" fillId="0" borderId="30" applyAlignment="1" pivotButton="0" quotePrefix="0" xfId="1">
      <alignment horizontal="center" vertical="center" wrapText="1"/>
    </xf>
    <xf numFmtId="0" fontId="4" fillId="0" borderId="72" applyAlignment="1" pivotButton="0" quotePrefix="0" xfId="1">
      <alignment vertical="center" wrapText="1"/>
    </xf>
    <xf numFmtId="0" fontId="4" fillId="0" borderId="40" applyAlignment="1" pivotButton="0" quotePrefix="0" xfId="1">
      <alignment vertical="center" wrapText="1"/>
    </xf>
    <xf numFmtId="0" fontId="4" fillId="0" borderId="20" applyAlignment="1" pivotButton="0" quotePrefix="0" xfId="1">
      <alignment vertical="center" wrapText="1"/>
    </xf>
    <xf numFmtId="0" fontId="4" fillId="0" borderId="50" applyAlignment="1" pivotButton="0" quotePrefix="0" xfId="1">
      <alignment horizontal="center" vertical="center" wrapText="1"/>
    </xf>
    <xf numFmtId="0" fontId="4" fillId="0" borderId="2" applyAlignment="1" pivotButton="0" quotePrefix="0" xfId="1">
      <alignment horizontal="center" vertical="center" wrapText="1"/>
    </xf>
    <xf numFmtId="0" fontId="4" fillId="0" borderId="72" applyAlignment="1" pivotButton="0" quotePrefix="0" xfId="1">
      <alignment horizontal="left" vertical="center" wrapText="1"/>
    </xf>
    <xf numFmtId="0" fontId="4" fillId="0" borderId="40" applyAlignment="1" pivotButton="0" quotePrefix="0" xfId="1">
      <alignment horizontal="left" vertical="center" wrapText="1"/>
    </xf>
    <xf numFmtId="0" fontId="4" fillId="0" borderId="1" applyAlignment="1" pivotButton="0" quotePrefix="1" xfId="1">
      <alignment vertical="center" wrapText="1"/>
    </xf>
    <xf numFmtId="0" fontId="4" fillId="0" borderId="2" applyAlignment="1" pivotButton="0" quotePrefix="1" xfId="1">
      <alignment vertical="center" wrapText="1"/>
    </xf>
    <xf numFmtId="0" fontId="4" fillId="0" borderId="72" applyAlignment="1" pivotButton="0" quotePrefix="1" xfId="1">
      <alignment vertical="center" wrapText="1"/>
    </xf>
    <xf numFmtId="0" fontId="4" fillId="0" borderId="40" applyAlignment="1" pivotButton="0" quotePrefix="1" xfId="1">
      <alignment vertical="center" wrapText="1"/>
    </xf>
    <xf numFmtId="0" fontId="4" fillId="0" borderId="20" applyAlignment="1" pivotButton="0" quotePrefix="1" xfId="1">
      <alignment vertical="center" wrapText="1"/>
    </xf>
    <xf numFmtId="0" fontId="4" fillId="0" borderId="72" applyAlignment="1" pivotButton="0" quotePrefix="1" xfId="1">
      <alignment horizontal="center" vertical="center" wrapText="1"/>
    </xf>
    <xf numFmtId="0" fontId="4" fillId="0" borderId="30" applyAlignment="1" pivotButton="0" quotePrefix="1" xfId="1">
      <alignment horizontal="center" vertical="center" wrapText="1"/>
    </xf>
    <xf numFmtId="0" fontId="3" fillId="0" borderId="0" applyAlignment="1" pivotButton="0" quotePrefix="0" xfId="1">
      <alignment horizontal="left" vertical="center" wrapText="1"/>
    </xf>
    <xf numFmtId="0" fontId="7" fillId="0" borderId="65" applyAlignment="1" pivotButton="0" quotePrefix="0" xfId="1">
      <alignment horizontal="center" vertical="center"/>
    </xf>
    <xf numFmtId="0" fontId="7" fillId="0" borderId="66" applyAlignment="1" pivotButton="0" quotePrefix="0" xfId="1">
      <alignment horizontal="center" vertical="center"/>
    </xf>
    <xf numFmtId="0" fontId="7" fillId="0" borderId="67" applyAlignment="1" pivotButton="0" quotePrefix="0" xfId="1">
      <alignment horizontal="center" vertical="center" wrapText="1"/>
    </xf>
    <xf numFmtId="0" fontId="7" fillId="0" borderId="68" applyAlignment="1" pivotButton="0" quotePrefix="0" xfId="1">
      <alignment horizontal="center" vertical="center" wrapText="1"/>
    </xf>
    <xf numFmtId="0" fontId="7" fillId="0" borderId="66" applyAlignment="1" pivotButton="0" quotePrefix="0" xfId="1">
      <alignment horizontal="center" vertical="center" wrapText="1"/>
    </xf>
    <xf numFmtId="0" fontId="7" fillId="0" borderId="67" applyAlignment="1" pivotButton="0" quotePrefix="1" xfId="1">
      <alignment horizontal="center" vertical="center" wrapText="1"/>
    </xf>
    <xf numFmtId="0" fontId="7" fillId="0" borderId="69" applyAlignment="1" pivotButton="0" quotePrefix="0" xfId="1">
      <alignment horizontal="center" vertical="center" wrapText="1"/>
    </xf>
    <xf numFmtId="0" fontId="7" fillId="0" borderId="70" applyAlignment="1" pivotButton="0" quotePrefix="0" xfId="1">
      <alignment horizontal="center" vertical="center"/>
    </xf>
    <xf numFmtId="0" fontId="7" fillId="0" borderId="71" applyAlignment="1" pivotButton="0" quotePrefix="0" xfId="1">
      <alignment horizontal="center" vertical="center"/>
    </xf>
    <xf numFmtId="0" fontId="7" fillId="0" borderId="50" applyAlignment="1" pivotButton="0" quotePrefix="0" xfId="1">
      <alignment horizontal="center" vertical="center" wrapText="1"/>
    </xf>
    <xf numFmtId="0" fontId="7" fillId="0" borderId="2" applyAlignment="1" pivotButton="0" quotePrefix="0" xfId="1">
      <alignment horizontal="center" vertical="center" wrapText="1"/>
    </xf>
    <xf numFmtId="0" fontId="7" fillId="0" borderId="2" applyAlignment="1" pivotButton="0" quotePrefix="0" xfId="1">
      <alignment horizontal="center" vertical="center"/>
    </xf>
    <xf numFmtId="0" fontId="7" fillId="0" borderId="50" applyAlignment="1" pivotButton="0" quotePrefix="0" xfId="1">
      <alignment horizontal="center" vertical="center"/>
    </xf>
    <xf numFmtId="0" fontId="7" fillId="0" borderId="72" applyAlignment="1" pivotButton="0" quotePrefix="0" xfId="1">
      <alignment horizontal="center" vertical="center" wrapText="1"/>
    </xf>
    <xf numFmtId="0" fontId="7" fillId="0" borderId="20" applyAlignment="1" pivotButton="0" quotePrefix="0" xfId="1">
      <alignment horizontal="center" vertical="center"/>
    </xf>
    <xf numFmtId="0" fontId="7" fillId="0" borderId="51" applyAlignment="1" pivotButton="0" quotePrefix="0" xfId="1">
      <alignment horizontal="center" vertical="center"/>
    </xf>
    <xf numFmtId="0" fontId="2" fillId="0" borderId="35" applyAlignment="1" pivotButton="0" quotePrefix="0" xfId="0">
      <alignment horizontal="left" vertical="center" wrapText="1"/>
    </xf>
    <xf numFmtId="0" fontId="2" fillId="0" borderId="40" applyAlignment="1" pivotButton="0" quotePrefix="0" xfId="0">
      <alignment horizontal="left" vertical="center" wrapText="1"/>
    </xf>
    <xf numFmtId="0" fontId="2" fillId="0" borderId="30" applyAlignment="1" pivotButton="0" quotePrefix="0" xfId="0">
      <alignment horizontal="left" vertical="center" wrapText="1"/>
    </xf>
    <xf numFmtId="0" fontId="2" fillId="0" borderId="2" applyAlignment="1" pivotButton="0" quotePrefix="0" xfId="0">
      <alignment horizontal="center" vertical="center" wrapText="1"/>
    </xf>
    <xf numFmtId="0" fontId="2" fillId="0" borderId="40" applyAlignment="1" pivotButton="0" quotePrefix="0" xfId="0">
      <alignment horizontal="center" vertical="center" wrapText="1"/>
    </xf>
    <xf numFmtId="0" fontId="2" fillId="0" borderId="30" applyAlignment="1" pivotButton="0" quotePrefix="0" xfId="0">
      <alignment horizontal="center" vertical="center" wrapText="1"/>
    </xf>
    <xf numFmtId="0" fontId="2" fillId="0" borderId="25" applyAlignment="1" pivotButton="0" quotePrefix="0" xfId="0">
      <alignment horizontal="center" vertical="center"/>
    </xf>
    <xf numFmtId="0" fontId="2" fillId="0" borderId="35" applyAlignment="1" pivotButton="0" quotePrefix="0" xfId="0">
      <alignment horizontal="center" vertical="center" wrapText="1"/>
    </xf>
    <xf numFmtId="0" fontId="5" fillId="0" borderId="1" applyAlignment="1" pivotButton="0" quotePrefix="0" xfId="0">
      <alignment vertical="center" wrapText="1"/>
    </xf>
    <xf numFmtId="0" fontId="7" fillId="4" borderId="24" applyAlignment="1" pivotButton="0" quotePrefix="0" xfId="0">
      <alignment horizontal="center" vertical="center" wrapText="1"/>
    </xf>
    <xf numFmtId="0" fontId="7" fillId="4" borderId="26" applyAlignment="1" pivotButton="0" quotePrefix="0" xfId="0">
      <alignment horizontal="center" vertical="center" wrapText="1"/>
    </xf>
    <xf numFmtId="0" fontId="7" fillId="4" borderId="33" applyAlignment="1" pivotButton="0" quotePrefix="0" xfId="0">
      <alignment horizontal="center" vertical="center" wrapText="1"/>
    </xf>
    <xf numFmtId="0" fontId="7" fillId="4" borderId="34" applyAlignment="1" pivotButton="0" quotePrefix="0" xfId="0">
      <alignment horizontal="center" vertical="center" wrapText="1"/>
    </xf>
    <xf numFmtId="0" fontId="2" fillId="2" borderId="1" applyAlignment="1" pivotButton="0" quotePrefix="0" xfId="0">
      <alignment horizontal="left" vertical="center" wrapText="1"/>
    </xf>
    <xf numFmtId="0" fontId="2" fillId="2" borderId="1" applyAlignment="1" pivotButton="0" quotePrefix="0" xfId="0">
      <alignment vertical="center" wrapText="1"/>
    </xf>
    <xf numFmtId="0" fontId="2" fillId="2" borderId="2" applyAlignment="1" pivotButton="0" quotePrefix="0" xfId="0">
      <alignment vertical="center" wrapText="1"/>
    </xf>
    <xf numFmtId="0" fontId="4" fillId="0" borderId="17" applyAlignment="1" pivotButton="0" quotePrefix="0" xfId="0">
      <alignment horizontal="left"/>
    </xf>
    <xf numFmtId="0" fontId="4" fillId="0" borderId="36" applyAlignment="1" pivotButton="0" quotePrefix="0" xfId="0">
      <alignment horizontal="left"/>
    </xf>
    <xf numFmtId="0" fontId="4" fillId="0" borderId="22" applyAlignment="1" pivotButton="0" quotePrefix="0" xfId="0">
      <alignment horizontal="left"/>
    </xf>
    <xf numFmtId="0" fontId="22" fillId="0" borderId="0" applyAlignment="1" pivotButton="0" quotePrefix="0" xfId="0">
      <alignment horizontal="center" vertical="center" wrapText="1"/>
    </xf>
    <xf numFmtId="0" fontId="7" fillId="4" borderId="1" applyAlignment="1" pivotButton="0" quotePrefix="0" xfId="0">
      <alignment horizontal="center" vertical="center" wrapText="1"/>
    </xf>
    <xf numFmtId="0" fontId="7" fillId="4" borderId="1" applyAlignment="1" pivotButton="0" quotePrefix="0" xfId="0">
      <alignment horizontal="center" vertical="center"/>
    </xf>
    <xf numFmtId="0" fontId="23" fillId="4" borderId="17" applyAlignment="1" pivotButton="0" quotePrefix="0" xfId="0">
      <alignment horizontal="center" vertical="center"/>
    </xf>
    <xf numFmtId="0" fontId="23" fillId="4" borderId="36" applyAlignment="1" pivotButton="0" quotePrefix="0" xfId="0">
      <alignment horizontal="center" vertical="center"/>
    </xf>
    <xf numFmtId="0" fontId="23" fillId="4" borderId="22" applyAlignment="1" pivotButton="0" quotePrefix="0" xfId="0">
      <alignment horizontal="center" vertical="center"/>
    </xf>
    <xf numFmtId="0" fontId="4" fillId="0" borderId="17" applyAlignment="1" pivotButton="0" quotePrefix="0" xfId="0">
      <alignment horizontal="left"/>
    </xf>
    <xf numFmtId="0" fontId="4" fillId="0" borderId="36" applyAlignment="1" pivotButton="0" quotePrefix="0" xfId="0">
      <alignment horizontal="left"/>
    </xf>
    <xf numFmtId="0" fontId="4" fillId="0" borderId="22" applyAlignment="1" pivotButton="0" quotePrefix="0" xfId="0">
      <alignment horizontal="left"/>
    </xf>
    <xf numFmtId="14" fontId="4" fillId="0" borderId="17" applyAlignment="1" pivotButton="0" quotePrefix="0" xfId="0">
      <alignment horizontal="left"/>
    </xf>
    <xf numFmtId="0" fontId="4" fillId="0" borderId="17" applyAlignment="1" pivotButton="0" quotePrefix="0" xfId="0">
      <alignment horizontal="left" wrapText="1"/>
    </xf>
    <xf numFmtId="0" fontId="4" fillId="0" borderId="36" applyAlignment="1" pivotButton="0" quotePrefix="0" xfId="0">
      <alignment horizontal="left" wrapText="1"/>
    </xf>
    <xf numFmtId="0" fontId="4" fillId="0" borderId="22" applyAlignment="1" pivotButton="0" quotePrefix="0" xfId="0">
      <alignment horizontal="left" wrapText="1"/>
    </xf>
    <xf numFmtId="0" fontId="5" fillId="0" borderId="23" applyAlignment="1" pivotButton="0" quotePrefix="0" xfId="0">
      <alignment horizontal="center" vertical="center" wrapText="1"/>
    </xf>
    <xf numFmtId="0" fontId="5" fillId="0" borderId="23" applyAlignment="1" pivotButton="0" quotePrefix="0" xfId="0">
      <alignment horizontal="center" vertical="center"/>
    </xf>
    <xf numFmtId="0" fontId="2" fillId="0" borderId="0" applyAlignment="1" pivotButton="0" quotePrefix="0" xfId="0">
      <alignment horizontal="center" vertical="center"/>
    </xf>
    <xf numFmtId="0" fontId="3" fillId="0" borderId="17" applyAlignment="1" pivotButton="0" quotePrefix="0" xfId="0">
      <alignment horizontal="center" vertical="center" wrapText="1"/>
    </xf>
    <xf numFmtId="0" fontId="3" fillId="0" borderId="36" applyAlignment="1" pivotButton="0" quotePrefix="0" xfId="0">
      <alignment horizontal="center" vertical="center"/>
    </xf>
    <xf numFmtId="0" fontId="2" fillId="0" borderId="36" applyAlignment="1" pivotButton="0" quotePrefix="0" xfId="0">
      <alignment horizontal="center" vertical="center"/>
    </xf>
    <xf numFmtId="0" fontId="2" fillId="0" borderId="22" applyAlignment="1" pivotButton="0" quotePrefix="0" xfId="0">
      <alignment horizontal="center" vertical="center"/>
    </xf>
    <xf numFmtId="0" fontId="2" fillId="0" borderId="23" applyAlignment="1" pivotButton="0" quotePrefix="0" xfId="0">
      <alignment horizontal="center" vertical="center" wrapText="1"/>
    </xf>
    <xf numFmtId="0" fontId="2" fillId="2" borderId="2" applyAlignment="1" pivotButton="0" quotePrefix="0" xfId="0">
      <alignment horizontal="center" vertical="center" wrapText="1"/>
    </xf>
    <xf numFmtId="0" fontId="2" fillId="2" borderId="23" applyAlignment="1" pivotButton="0" quotePrefix="0" xfId="0">
      <alignment horizontal="center" vertical="center" wrapText="1"/>
    </xf>
    <xf numFmtId="0" fontId="28" fillId="0" borderId="28" applyAlignment="1" pivotButton="0" quotePrefix="0" xfId="0">
      <alignment horizontal="center"/>
    </xf>
    <xf numFmtId="0" fontId="28" fillId="0" borderId="0" applyAlignment="1" pivotButton="0" quotePrefix="0" xfId="0">
      <alignment horizontal="center"/>
    </xf>
    <xf numFmtId="0" fontId="8" fillId="0" borderId="29" applyAlignment="1" pivotButton="0" quotePrefix="0" xfId="0">
      <alignment horizontal="center" vertical="center" wrapText="1"/>
    </xf>
    <xf numFmtId="0" fontId="8" fillId="0" borderId="0" applyAlignment="1" pivotButton="0" quotePrefix="0" xfId="0">
      <alignment horizontal="center" vertical="center" wrapText="1"/>
    </xf>
    <xf numFmtId="0" fontId="8" fillId="0" borderId="33" applyAlignment="1" pivotButton="0" quotePrefix="0" xfId="0">
      <alignment horizontal="center" vertical="center" wrapText="1"/>
    </xf>
    <xf numFmtId="0" fontId="8" fillId="0" borderId="28"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horizontal="center"/>
    </xf>
    <xf numFmtId="0" fontId="2" fillId="0"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7" applyAlignment="1" pivotButton="0" quotePrefix="0" xfId="0">
      <alignment horizontal="center" vertical="center"/>
    </xf>
    <xf numFmtId="0" fontId="2" fillId="0" borderId="2" applyAlignment="1" pivotButton="0" quotePrefix="0" xfId="0">
      <alignment horizontal="center" vertical="center"/>
    </xf>
    <xf numFmtId="0" fontId="2" fillId="0" borderId="23" applyAlignment="1" pivotButton="0" quotePrefix="0" xfId="0">
      <alignment horizontal="center" vertical="center"/>
    </xf>
    <xf numFmtId="0" fontId="3" fillId="0" borderId="28" applyAlignment="1" pivotButton="0" quotePrefix="0" xfId="0">
      <alignment horizontal="center" vertical="center" wrapText="1"/>
    </xf>
    <xf numFmtId="0" fontId="2" fillId="0" borderId="28" applyAlignment="1" pivotButton="0" quotePrefix="1" xfId="0">
      <alignment horizontal="center" vertical="center" wrapText="1"/>
    </xf>
    <xf numFmtId="0" fontId="5" fillId="0" borderId="2" applyAlignment="1" pivotButton="0" quotePrefix="0" xfId="0">
      <alignment horizontal="center" vertical="center"/>
    </xf>
    <xf numFmtId="0" fontId="4" fillId="0" borderId="28"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23" applyAlignment="1" pivotButton="0" quotePrefix="0" xfId="0">
      <alignment horizontal="center" vertical="center"/>
    </xf>
    <xf numFmtId="0" fontId="4" fillId="0" borderId="23" applyAlignment="1" pivotButton="0" quotePrefix="0" xfId="0">
      <alignment horizontal="center" vertical="center" wrapText="1"/>
    </xf>
    <xf numFmtId="0" fontId="2" fillId="0" borderId="28" applyAlignment="1" pivotButton="0" quotePrefix="0" xfId="0">
      <alignment horizontal="center" vertical="center"/>
    </xf>
    <xf numFmtId="0" fontId="2" fillId="0" borderId="28" applyAlignment="1" pivotButton="0" quotePrefix="0" xfId="0">
      <alignment horizontal="center"/>
    </xf>
    <xf numFmtId="0" fontId="7" fillId="0" borderId="1" applyAlignment="1" pivotButton="0" quotePrefix="0" xfId="0">
      <alignment horizontal="center" vertical="center"/>
    </xf>
    <xf numFmtId="0" fontId="7" fillId="0" borderId="1" applyAlignment="1" pivotButton="0" quotePrefix="0" xfId="0">
      <alignment horizontal="center" vertical="center" wrapText="1"/>
    </xf>
    <xf numFmtId="0" fontId="4" fillId="0" borderId="28" applyAlignment="1" pivotButton="0" quotePrefix="0" xfId="0">
      <alignment horizontal="center"/>
    </xf>
    <xf numFmtId="0" fontId="4" fillId="0" borderId="0" applyAlignment="1" pivotButton="0" quotePrefix="0" xfId="0">
      <alignment horizontal="center" vertical="center"/>
    </xf>
    <xf numFmtId="0" fontId="2" fillId="0" borderId="71" applyAlignment="1" pivotButton="0" quotePrefix="0" xfId="0">
      <alignment horizontal="center" vertical="center"/>
    </xf>
    <xf numFmtId="0" fontId="2" fillId="0" borderId="76" applyAlignment="1" pivotButton="0" quotePrefix="0" xfId="0">
      <alignment horizontal="center" vertical="center"/>
    </xf>
    <xf numFmtId="0" fontId="3" fillId="0" borderId="33" applyAlignment="1" pivotButton="0" quotePrefix="0" xfId="0">
      <alignment horizontal="center" vertical="center" wrapText="1"/>
    </xf>
    <xf numFmtId="0" fontId="2" fillId="0" borderId="34" applyAlignment="1" pivotButton="0" quotePrefix="0" xfId="0">
      <alignment horizontal="center" vertical="center"/>
    </xf>
    <xf numFmtId="0" fontId="2" fillId="0" borderId="25" applyAlignment="1" pivotButton="0" quotePrefix="0" xfId="0">
      <alignment horizontal="center"/>
    </xf>
    <xf numFmtId="0" fontId="2" fillId="0" borderId="26" applyAlignment="1" pivotButton="0" quotePrefix="0" xfId="0">
      <alignment horizontal="center"/>
    </xf>
    <xf numFmtId="0" fontId="5" fillId="0" borderId="76" applyAlignment="1" pivotButton="0" quotePrefix="0" xfId="0">
      <alignment horizontal="center" vertical="center"/>
    </xf>
    <xf numFmtId="0" fontId="5" fillId="0" borderId="77" applyAlignment="1" pivotButton="0" quotePrefix="0" xfId="0">
      <alignment horizontal="center" vertical="center"/>
    </xf>
    <xf numFmtId="0" fontId="2" fillId="0" borderId="0" applyAlignment="1" pivotButton="0" quotePrefix="0" xfId="0">
      <alignment horizontal="right" vertical="center"/>
    </xf>
    <xf numFmtId="0" fontId="2" fillId="0" borderId="50" applyAlignment="1" pivotButton="0" quotePrefix="0" xfId="0">
      <alignment horizontal="center" vertical="center"/>
    </xf>
    <xf numFmtId="0" fontId="2" fillId="0" borderId="50" applyAlignment="1" pivotButton="0" quotePrefix="0" xfId="0">
      <alignment horizontal="center" vertical="center" wrapText="1"/>
    </xf>
    <xf numFmtId="0" fontId="2" fillId="0" borderId="0" applyAlignment="1" pivotButton="0" quotePrefix="0" xfId="0">
      <alignment horizontal="center" vertical="center"/>
    </xf>
    <xf numFmtId="0" fontId="9" fillId="0" borderId="78" applyAlignment="1" pivotButton="0" quotePrefix="0" xfId="0">
      <alignment horizontal="center" vertical="center" wrapText="1"/>
    </xf>
    <xf numFmtId="0" fontId="9" fillId="0" borderId="79" applyAlignment="1" pivotButton="0" quotePrefix="0" xfId="0">
      <alignment horizontal="center" vertical="center" wrapText="1"/>
    </xf>
    <xf numFmtId="0" fontId="9" fillId="0" borderId="80" applyAlignment="1" pivotButton="0" quotePrefix="0" xfId="0">
      <alignment horizontal="center" vertical="center" wrapText="1"/>
    </xf>
    <xf numFmtId="0" fontId="4" fillId="0" borderId="24" applyAlignment="1" pivotButton="0" quotePrefix="0" xfId="0">
      <alignment horizontal="left" vertical="center" wrapText="1"/>
    </xf>
    <xf numFmtId="0" fontId="4" fillId="0" borderId="25" applyAlignment="1" pivotButton="0" quotePrefix="0" xfId="0">
      <alignment horizontal="left" vertical="center" wrapText="1"/>
    </xf>
    <xf numFmtId="0" fontId="4" fillId="0" borderId="26" applyAlignment="1" pivotButton="0" quotePrefix="0" xfId="0">
      <alignment horizontal="left" vertical="center" wrapText="1"/>
    </xf>
    <xf numFmtId="0" fontId="4" fillId="0" borderId="29" applyAlignment="1" pivotButton="0" quotePrefix="1" xfId="0">
      <alignment horizontal="left" vertical="center" wrapText="1"/>
    </xf>
    <xf numFmtId="0" fontId="4" fillId="0" borderId="0" applyAlignment="1" pivotButton="0" quotePrefix="1" xfId="0">
      <alignment horizontal="left" vertical="center" wrapText="1"/>
    </xf>
    <xf numFmtId="0" fontId="4" fillId="0" borderId="27" applyAlignment="1" pivotButton="0" quotePrefix="1" xfId="0">
      <alignment horizontal="left" vertical="center" wrapText="1"/>
    </xf>
    <xf numFmtId="0" fontId="4" fillId="0" borderId="29" applyAlignment="1" pivotButton="0" quotePrefix="0" xfId="0">
      <alignment horizontal="left" vertical="center" wrapText="1"/>
    </xf>
    <xf numFmtId="0" fontId="4" fillId="0" borderId="0" applyAlignment="1" pivotButton="0" quotePrefix="0" xfId="0">
      <alignment horizontal="left" vertical="center" wrapText="1"/>
    </xf>
    <xf numFmtId="0" fontId="4" fillId="0" borderId="27" applyAlignment="1" pivotButton="0" quotePrefix="0" xfId="0">
      <alignment horizontal="left" vertical="center" wrapText="1"/>
    </xf>
    <xf numFmtId="0" fontId="4" fillId="0" borderId="33" applyAlignment="1" pivotButton="0" quotePrefix="0" xfId="0">
      <alignment horizontal="left" vertical="center" wrapText="1"/>
    </xf>
    <xf numFmtId="0" fontId="4" fillId="0" borderId="28" applyAlignment="1" pivotButton="0" quotePrefix="0" xfId="0">
      <alignment horizontal="left" vertical="center" wrapText="1"/>
    </xf>
    <xf numFmtId="0" fontId="4" fillId="0" borderId="34" applyAlignment="1" pivotButton="0" quotePrefix="0" xfId="0">
      <alignment horizontal="left" vertical="center" wrapText="1"/>
    </xf>
    <xf numFmtId="0" fontId="4" fillId="0" borderId="36" applyAlignment="1" pivotButton="0" quotePrefix="0" xfId="0">
      <alignment horizontal="center" vertical="center"/>
    </xf>
    <xf numFmtId="0" fontId="4" fillId="0" borderId="17" applyAlignment="1" pivotButton="0" quotePrefix="0" xfId="0">
      <alignment horizontal="center" vertical="center"/>
    </xf>
    <xf numFmtId="0" fontId="4" fillId="0" borderId="36" applyAlignment="1" pivotButton="0" quotePrefix="0" xfId="0">
      <alignment horizontal="center" vertical="center"/>
    </xf>
    <xf numFmtId="0" fontId="4" fillId="0" borderId="28" applyAlignment="1" pivotButton="0" quotePrefix="0" xfId="0">
      <alignment horizontal="center" vertical="center"/>
    </xf>
    <xf numFmtId="0" fontId="4" fillId="0" borderId="34" applyAlignment="1" pivotButton="0" quotePrefix="0" xfId="0">
      <alignment horizontal="center" vertical="center"/>
    </xf>
    <xf numFmtId="14" fontId="4" fillId="0" borderId="17" applyAlignment="1" pivotButton="0" quotePrefix="1" xfId="0">
      <alignment horizontal="center" vertical="center"/>
    </xf>
    <xf numFmtId="14" fontId="4" fillId="0" borderId="36" applyAlignment="1" pivotButton="0" quotePrefix="0" xfId="0">
      <alignment horizontal="center" vertical="center"/>
    </xf>
    <xf numFmtId="0" fontId="4" fillId="0" borderId="22" applyAlignment="1" pivotButton="0" quotePrefix="0" xfId="0">
      <alignment horizontal="center" vertical="center"/>
    </xf>
    <xf numFmtId="14" fontId="4" fillId="0" borderId="17" applyAlignment="1" pivotButton="0" quotePrefix="0" xfId="0">
      <alignment horizontal="center" vertical="center"/>
    </xf>
    <xf numFmtId="0" fontId="4" fillId="0" borderId="22" applyAlignment="1" pivotButton="0" quotePrefix="0" xfId="0">
      <alignment horizontal="center" vertical="center"/>
    </xf>
    <xf numFmtId="0" fontId="10" fillId="0" borderId="0" applyAlignment="1" pivotButton="0" quotePrefix="0" xfId="0">
      <alignment horizontal="center" vertical="center"/>
    </xf>
    <xf numFmtId="0" fontId="10" fillId="0" borderId="28" applyAlignment="1" pivotButton="0" quotePrefix="0" xfId="0">
      <alignment horizontal="center" vertical="center"/>
    </xf>
    <xf numFmtId="0" fontId="15" fillId="0" borderId="1" applyAlignment="1" pivotButton="0" quotePrefix="0" xfId="0">
      <alignment horizontal="center" vertical="center"/>
    </xf>
    <xf numFmtId="0" fontId="15" fillId="0" borderId="1" applyAlignment="1" pivotButton="0" quotePrefix="0" xfId="0">
      <alignment vertical="center" wrapText="1"/>
    </xf>
    <xf numFmtId="0" fontId="15" fillId="0" borderId="1" applyAlignment="1" pivotButton="0" quotePrefix="0" xfId="0">
      <alignment vertical="center"/>
    </xf>
    <xf numFmtId="0" fontId="15" fillId="0" borderId="1" applyAlignment="1" pivotButton="0" quotePrefix="0" xfId="0">
      <alignment horizontal="center" vertical="center" wrapText="1"/>
    </xf>
    <xf numFmtId="0" fontId="15" fillId="0" borderId="1" applyAlignment="1" pivotButton="0" quotePrefix="0" xfId="0">
      <alignment horizontal="left" vertical="center" wrapText="1"/>
    </xf>
    <xf numFmtId="0" fontId="15" fillId="0" borderId="1" applyAlignment="1" pivotButton="0" quotePrefix="0" xfId="0">
      <alignment horizontal="left" vertical="center"/>
    </xf>
    <xf numFmtId="0" fontId="7" fillId="0" borderId="17" applyAlignment="1" pivotButton="0" quotePrefix="0" xfId="0">
      <alignment horizontal="center" vertical="center" wrapText="1"/>
    </xf>
    <xf numFmtId="0" fontId="7" fillId="0" borderId="36" applyAlignment="1" pivotButton="0" quotePrefix="0" xfId="0">
      <alignment horizontal="center" vertical="center" wrapText="1"/>
    </xf>
    <xf numFmtId="0" fontId="7" fillId="0" borderId="62" applyAlignment="1" pivotButton="0" quotePrefix="0" xfId="0">
      <alignment horizontal="center" vertical="center" wrapText="1"/>
    </xf>
    <xf numFmtId="0" fontId="7" fillId="0" borderId="61" applyAlignment="1" pivotButton="0" quotePrefix="0" xfId="0">
      <alignment horizontal="center" vertical="center"/>
    </xf>
    <xf numFmtId="0" fontId="15" fillId="0" borderId="2" applyAlignment="1" pivotButton="0" quotePrefix="0" xfId="0">
      <alignment horizontal="center" vertical="center" wrapText="1"/>
    </xf>
    <xf numFmtId="0" fontId="15" fillId="0" borderId="23" applyAlignment="1" pivotButton="0" quotePrefix="0" xfId="0">
      <alignment horizontal="center" vertical="center" wrapText="1"/>
    </xf>
    <xf numFmtId="0" fontId="15" fillId="0" borderId="1" applyAlignment="1" pivotButton="0" quotePrefix="0" xfId="0">
      <alignment horizontal="center" vertical="center" wrapText="1"/>
    </xf>
    <xf numFmtId="0" fontId="15" fillId="0" borderId="1" applyAlignment="1" pivotButton="0" quotePrefix="0" xfId="0">
      <alignment horizontal="center" vertical="center"/>
    </xf>
    <xf numFmtId="0" fontId="30" fillId="0" borderId="1" applyAlignment="1" pivotButton="0" quotePrefix="0" xfId="0">
      <alignment horizontal="center" vertical="center"/>
    </xf>
    <xf numFmtId="0" fontId="31" fillId="3" borderId="17" applyAlignment="1" pivotButton="0" quotePrefix="0" xfId="0">
      <alignment horizontal="left" vertical="center" wrapText="1"/>
    </xf>
    <xf numFmtId="0" fontId="31" fillId="3" borderId="22" applyAlignment="1" pivotButton="0" quotePrefix="0" xfId="0">
      <alignment horizontal="left" vertical="center" wrapText="1"/>
    </xf>
    <xf numFmtId="0" fontId="10" fillId="0" borderId="1" applyAlignment="1" pivotButton="0" quotePrefix="0" xfId="0">
      <alignment horizontal="center"/>
    </xf>
    <xf numFmtId="0" fontId="10" fillId="0" borderId="17" applyAlignment="1" pivotButton="0" quotePrefix="0" xfId="0">
      <alignment horizontal="center" wrapText="1"/>
    </xf>
    <xf numFmtId="0" fontId="10" fillId="0" borderId="36" applyAlignment="1" pivotButton="0" quotePrefix="0" xfId="0">
      <alignment horizontal="center" wrapText="1"/>
    </xf>
    <xf numFmtId="0" fontId="10" fillId="0" borderId="22" applyAlignment="1" pivotButton="0" quotePrefix="0" xfId="0">
      <alignment horizontal="center" wrapText="1"/>
    </xf>
    <xf numFmtId="0" fontId="10" fillId="0" borderId="17" applyAlignment="1" pivotButton="0" quotePrefix="0" xfId="0">
      <alignment horizontal="center"/>
    </xf>
    <xf numFmtId="0" fontId="10" fillId="0" borderId="36" applyAlignment="1" pivotButton="0" quotePrefix="0" xfId="0">
      <alignment horizontal="center"/>
    </xf>
    <xf numFmtId="0" fontId="10" fillId="0" borderId="22" applyAlignment="1" pivotButton="0" quotePrefix="0" xfId="0">
      <alignment horizontal="center"/>
    </xf>
    <xf numFmtId="0" fontId="10" fillId="0" borderId="24" applyAlignment="1" pivotButton="0" quotePrefix="0" xfId="0">
      <alignment horizontal="left" wrapText="1"/>
    </xf>
    <xf numFmtId="0" fontId="10" fillId="0" borderId="25" applyAlignment="1" pivotButton="0" quotePrefix="0" xfId="0">
      <alignment horizontal="left" wrapText="1"/>
    </xf>
    <xf numFmtId="0" fontId="10" fillId="0" borderId="26" applyAlignment="1" pivotButton="0" quotePrefix="0" xfId="0">
      <alignment horizontal="left" wrapText="1"/>
    </xf>
    <xf numFmtId="0" fontId="10" fillId="0" borderId="29" applyAlignment="1" pivotButton="0" quotePrefix="1" xfId="0">
      <alignment horizontal="left" wrapText="1"/>
    </xf>
    <xf numFmtId="0" fontId="10" fillId="0" borderId="0" applyAlignment="1" pivotButton="0" quotePrefix="1" xfId="0">
      <alignment horizontal="left" wrapText="1"/>
    </xf>
    <xf numFmtId="0" fontId="10" fillId="0" borderId="27" applyAlignment="1" pivotButton="0" quotePrefix="1" xfId="0">
      <alignment horizontal="left" wrapText="1"/>
    </xf>
    <xf numFmtId="0" fontId="10" fillId="0" borderId="29" applyAlignment="1" pivotButton="0" quotePrefix="0" xfId="0">
      <alignment horizontal="left" wrapText="1"/>
    </xf>
    <xf numFmtId="0" fontId="10" fillId="0" borderId="0" applyAlignment="1" pivotButton="0" quotePrefix="0" xfId="0">
      <alignment horizontal="left" wrapText="1"/>
    </xf>
    <xf numFmtId="0" fontId="10" fillId="0" borderId="27" applyAlignment="1" pivotButton="0" quotePrefix="0" xfId="0">
      <alignment horizontal="left" wrapText="1"/>
    </xf>
    <xf numFmtId="0" fontId="31" fillId="0" borderId="17" applyAlignment="1" pivotButton="0" quotePrefix="0" xfId="0">
      <alignment horizontal="left" vertical="center" wrapText="1"/>
    </xf>
    <xf numFmtId="0" fontId="31" fillId="0" borderId="22" applyAlignment="1" pivotButton="0" quotePrefix="0" xfId="0">
      <alignment horizontal="left" vertical="center" wrapText="1"/>
    </xf>
    <xf numFmtId="0" fontId="30" fillId="0" borderId="1" applyAlignment="1" pivotButton="0" quotePrefix="0" xfId="0">
      <alignment horizontal="center" vertical="center" wrapText="1"/>
    </xf>
    <xf numFmtId="0" fontId="10" fillId="0" borderId="33" applyAlignment="1" pivotButton="0" quotePrefix="0" xfId="0">
      <alignment horizontal="left" wrapText="1"/>
    </xf>
    <xf numFmtId="0" fontId="10" fillId="0" borderId="28" applyAlignment="1" pivotButton="0" quotePrefix="0" xfId="0">
      <alignment horizontal="left" wrapText="1"/>
    </xf>
    <xf numFmtId="0" fontId="10" fillId="0" borderId="34" applyAlignment="1" pivotButton="0" quotePrefix="0" xfId="0">
      <alignment horizontal="left" wrapText="1"/>
    </xf>
    <xf numFmtId="0" fontId="10" fillId="0" borderId="0" applyAlignment="1" pivotButton="0" quotePrefix="0" xfId="0">
      <alignment horizontal="center"/>
    </xf>
    <xf numFmtId="0" fontId="10" fillId="0" borderId="0" applyAlignment="1" pivotButton="0" quotePrefix="0" xfId="0">
      <alignment horizontal="center"/>
    </xf>
    <xf numFmtId="14" fontId="10" fillId="0" borderId="1" applyAlignment="1" pivotButton="0" quotePrefix="0" xfId="0">
      <alignment horizontal="center"/>
    </xf>
    <xf numFmtId="0" fontId="10" fillId="0" borderId="17" applyAlignment="1" pivotButton="0" quotePrefix="1" xfId="0">
      <alignment horizontal="center" vertical="center"/>
    </xf>
    <xf numFmtId="0" fontId="10" fillId="0" borderId="22" applyAlignment="1" pivotButton="0" quotePrefix="1" xfId="0">
      <alignment horizontal="center" vertical="center"/>
    </xf>
    <xf numFmtId="0" fontId="34"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60" pivotButton="0" quotePrefix="0" xfId="0"/>
    <xf numFmtId="0" fontId="0" fillId="0" borderId="36" pivotButton="0" quotePrefix="0" xfId="0"/>
    <xf numFmtId="0" fontId="0" fillId="0" borderId="22" pivotButton="0" quotePrefix="0" xfId="0"/>
    <xf numFmtId="0" fontId="0" fillId="0" borderId="62" pivotButton="0" quotePrefix="0" xfId="0"/>
    <xf numFmtId="0" fontId="0" fillId="0" borderId="76" pivotButton="0" quotePrefix="0" xfId="0"/>
    <xf numFmtId="0" fontId="0" fillId="0" borderId="23" pivotButton="0" quotePrefix="0" xfId="0"/>
    <xf numFmtId="0" fontId="24" fillId="0" borderId="17" applyAlignment="1" pivotButton="0" quotePrefix="0" xfId="0">
      <alignment horizontal="center" vertical="center" wrapText="1"/>
    </xf>
    <xf numFmtId="0" fontId="0" fillId="0" borderId="40" pivotButton="0" quotePrefix="0" xfId="0"/>
    <xf numFmtId="0" fontId="0" fillId="0" borderId="63" pivotButton="0" quotePrefix="0" xfId="0"/>
    <xf numFmtId="0" fontId="0" fillId="0" borderId="64" pivotButton="0" quotePrefix="0" xfId="0"/>
    <xf numFmtId="0" fontId="20" fillId="0" borderId="22" applyAlignment="1" pivotButton="0" quotePrefix="0" xfId="0">
      <alignment horizontal="center" vertical="center" wrapText="1"/>
    </xf>
    <xf numFmtId="0" fontId="4" fillId="0" borderId="1" applyAlignment="1" pivotButton="0" quotePrefix="1" xfId="0">
      <alignment horizontal="center" vertical="center"/>
    </xf>
    <xf numFmtId="0" fontId="4" fillId="0" borderId="2" applyAlignment="1" pivotButton="0" quotePrefix="0" xfId="0">
      <alignment horizontal="left" wrapText="1"/>
    </xf>
    <xf numFmtId="0" fontId="4" fillId="0" borderId="40" applyAlignment="1" pivotButton="0" quotePrefix="1" xfId="0">
      <alignment horizontal="left" wrapText="1"/>
    </xf>
    <xf numFmtId="0" fontId="4" fillId="0" borderId="40" applyAlignment="1" pivotButton="0" quotePrefix="0" xfId="0">
      <alignment horizontal="left" wrapText="1"/>
    </xf>
    <xf numFmtId="0" fontId="4" fillId="0" borderId="23" applyAlignment="1" pivotButton="0" quotePrefix="0" xfId="0">
      <alignment horizontal="left" wrapText="1"/>
    </xf>
    <xf numFmtId="0" fontId="7" fillId="0" borderId="82" applyAlignment="1" pivotButton="0" quotePrefix="0" xfId="1">
      <alignment horizontal="center" vertical="center"/>
    </xf>
    <xf numFmtId="0" fontId="0" fillId="0" borderId="66" pivotButton="0" quotePrefix="0" xfId="0"/>
    <xf numFmtId="0" fontId="0" fillId="0" borderId="68" pivotButton="0" quotePrefix="0" xfId="0"/>
    <xf numFmtId="0" fontId="7" fillId="0" borderId="84" applyAlignment="1" pivotButton="0" quotePrefix="1" xfId="1">
      <alignment horizontal="center" vertical="center" wrapText="1"/>
    </xf>
    <xf numFmtId="0" fontId="0" fillId="0" borderId="69" pivotButton="0" quotePrefix="0" xfId="0"/>
    <xf numFmtId="0" fontId="0" fillId="0" borderId="85" pivotButton="0" quotePrefix="0" xfId="0"/>
    <xf numFmtId="0" fontId="0" fillId="0" borderId="20" pivotButton="0" quotePrefix="0" xfId="0"/>
    <xf numFmtId="0" fontId="4" fillId="0" borderId="82" applyAlignment="1" pivotButton="0" quotePrefix="0" xfId="1">
      <alignment horizontal="center" vertical="center"/>
    </xf>
    <xf numFmtId="0" fontId="4" fillId="0" borderId="37" applyAlignment="1" pivotButton="0" quotePrefix="0" xfId="1">
      <alignment horizontal="center" vertical="center" wrapText="1"/>
    </xf>
    <xf numFmtId="0" fontId="4" fillId="0" borderId="39" applyAlignment="1" pivotButton="0" quotePrefix="1" xfId="1">
      <alignment horizontal="center" vertical="center" wrapText="1"/>
    </xf>
    <xf numFmtId="0" fontId="4" fillId="0" borderId="37" applyAlignment="1" pivotButton="0" quotePrefix="0" xfId="1">
      <alignment vertical="center" wrapText="1"/>
    </xf>
    <xf numFmtId="0" fontId="0" fillId="0" borderId="74" pivotButton="0" quotePrefix="0" xfId="0"/>
    <xf numFmtId="0" fontId="0" fillId="0" borderId="30" pivotButton="0" quotePrefix="0" xfId="0"/>
    <xf numFmtId="0" fontId="0" fillId="0" borderId="75" pivotButton="0" quotePrefix="0" xfId="0"/>
    <xf numFmtId="0" fontId="4" fillId="0" borderId="37" applyAlignment="1" pivotButton="0" quotePrefix="1" xfId="1">
      <alignment vertical="center" wrapText="1"/>
    </xf>
    <xf numFmtId="0" fontId="23" fillId="4" borderId="1" applyAlignment="1" pivotButton="0" quotePrefix="0" xfId="0">
      <alignment horizontal="center" vertical="center"/>
    </xf>
    <xf numFmtId="14" fontId="4" fillId="0" borderId="1" applyAlignment="1" pivotButton="0" quotePrefix="0" xfId="0">
      <alignment horizontal="left"/>
    </xf>
    <xf numFmtId="0" fontId="2" fillId="0" borderId="61" applyAlignment="1" pivotButton="0" quotePrefix="0" xfId="0">
      <alignment horizontal="center" vertical="center"/>
    </xf>
    <xf numFmtId="0" fontId="9" fillId="0" borderId="58" applyAlignment="1" pivotButton="0" quotePrefix="0" xfId="0">
      <alignment horizontal="center" vertical="center" wrapText="1"/>
    </xf>
    <xf numFmtId="0" fontId="0" fillId="0" borderId="79" pivotButton="0" quotePrefix="0" xfId="0"/>
    <xf numFmtId="0" fontId="0" fillId="0" borderId="80" pivotButton="0" quotePrefix="0" xfId="0"/>
    <xf numFmtId="0" fontId="4" fillId="0" borderId="40" applyAlignment="1" pivotButton="0" quotePrefix="1" xfId="0">
      <alignment horizontal="left" vertical="center" wrapText="1"/>
    </xf>
    <xf numFmtId="0" fontId="4" fillId="0" borderId="40" applyAlignment="1" pivotButton="0" quotePrefix="0" xfId="0">
      <alignment horizontal="left" vertical="center" wrapText="1"/>
    </xf>
    <xf numFmtId="0" fontId="4" fillId="0" borderId="23" applyAlignment="1" pivotButton="0" quotePrefix="0" xfId="0">
      <alignment horizontal="left" vertical="center" wrapText="1"/>
    </xf>
    <xf numFmtId="0" fontId="31" fillId="0" borderId="1" applyAlignment="1" pivotButton="0" quotePrefix="0" xfId="0">
      <alignment horizontal="left" vertical="center" wrapText="1"/>
    </xf>
    <xf numFmtId="0" fontId="31" fillId="3" borderId="1" applyAlignment="1" pivotButton="0" quotePrefix="0" xfId="0">
      <alignment horizontal="left" vertical="center" wrapText="1"/>
    </xf>
    <xf numFmtId="0" fontId="10" fillId="0" borderId="2" applyAlignment="1" pivotButton="0" quotePrefix="0" xfId="0">
      <alignment horizontal="left" wrapText="1"/>
    </xf>
    <xf numFmtId="0" fontId="10" fillId="0" borderId="40" applyAlignment="1" pivotButton="0" quotePrefix="1" xfId="0">
      <alignment horizontal="left" wrapText="1"/>
    </xf>
    <xf numFmtId="0" fontId="10" fillId="0" borderId="40" applyAlignment="1" pivotButton="0" quotePrefix="0" xfId="0">
      <alignment horizontal="left" wrapText="1"/>
    </xf>
    <xf numFmtId="0" fontId="10" fillId="0" borderId="23" applyAlignment="1" pivotButton="0" quotePrefix="0" xfId="0">
      <alignment horizontal="left" wrapText="1"/>
    </xf>
    <xf numFmtId="0" fontId="10" fillId="0" borderId="1" applyAlignment="1" pivotButton="0" quotePrefix="0" xfId="0">
      <alignment horizontal="center" wrapText="1"/>
    </xf>
    <xf numFmtId="0" fontId="10" fillId="0" borderId="1" applyAlignment="1" pivotButton="0" quotePrefix="1" xfId="0">
      <alignment horizontal="center" vertical="center"/>
    </xf>
  </cellXfs>
  <cellStyles count="3">
    <cellStyle name="Normal" xfId="0" builtinId="0"/>
    <cellStyle name="Normal 2" xfId="1"/>
    <cellStyle name="Normal 7"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png" Id="rId2"/></Relationships>
</file>

<file path=xl/drawings/_rels/drawing3.xml.rels><Relationships xmlns="http://schemas.openxmlformats.org/package/2006/relationships"><Relationship Type="http://schemas.openxmlformats.org/officeDocument/2006/relationships/image" Target="/xl/media/image4.png" Id="rId1"/></Relationships>
</file>

<file path=xl/drawings/_rels/drawing4.xml.rels><Relationships xmlns="http://schemas.openxmlformats.org/package/2006/relationships"><Relationship Type="http://schemas.openxmlformats.org/officeDocument/2006/relationships/image" Target="/xl/media/image5.png" Id="rId1"/></Relationships>
</file>

<file path=xl/drawings/_rels/drawing5.xml.rels><Relationships xmlns="http://schemas.openxmlformats.org/package/2006/relationships"><Relationship Type="http://schemas.openxmlformats.org/officeDocument/2006/relationships/image" Target="/xl/media/image6.png" Id="rId1"/><Relationship Type="http://schemas.openxmlformats.org/officeDocument/2006/relationships/image" Target="/xl/media/image7.png" Id="rId2"/></Relationships>
</file>

<file path=xl/drawings/_rels/drawing6.xml.rels><Relationships xmlns="http://schemas.openxmlformats.org/package/2006/relationships"><Relationship Type="http://schemas.openxmlformats.org/officeDocument/2006/relationships/image" Target="/xl/media/image8.jpeg" Id="rId1"/></Relationships>
</file>

<file path=xl/drawings/_rels/drawing7.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jpeg" Id="rId2"/></Relationships>
</file>

<file path=xl/drawings/_rels/drawing8.xml.rels><Relationships xmlns="http://schemas.openxmlformats.org/package/2006/relationships"><Relationship Type="http://schemas.openxmlformats.org/officeDocument/2006/relationships/image" Target="/xl/media/image11.png" Id="rId1"/><Relationship Type="http://schemas.openxmlformats.org/officeDocument/2006/relationships/image" Target="/xl/media/image12.jpeg" Id="rId2"/></Relationships>
</file>

<file path=xl/drawings/_rels/drawing9.xml.rels><Relationships xmlns="http://schemas.openxmlformats.org/package/2006/relationships"><Relationship Type="http://schemas.openxmlformats.org/officeDocument/2006/relationships/image" Target="/xl/media/image13.jpeg" Id="rId1"/><Relationship Type="http://schemas.openxmlformats.org/officeDocument/2006/relationships/image" Target="/xl/media/image14.png" Id="rId2"/></Relationships>
</file>

<file path=xl/drawings/_rels/drawing10.xml.rels><Relationships xmlns="http://schemas.openxmlformats.org/package/2006/relationships"><Relationship Type="http://schemas.openxmlformats.org/officeDocument/2006/relationships/image" Target="/xl/media/image15.png" Id="rId1"/></Relationships>
</file>

<file path=xl/drawings/_rels/drawing11.xml.rels><Relationships xmlns="http://schemas.openxmlformats.org/package/2006/relationships"><Relationship Type="http://schemas.openxmlformats.org/officeDocument/2006/relationships/image" Target="/xl/media/image16.jpeg" Id="rId1"/><Relationship Type="http://schemas.openxmlformats.org/officeDocument/2006/relationships/image" Target="/xl/media/image17.png" Id="rId2"/><Relationship Type="http://schemas.openxmlformats.org/officeDocument/2006/relationships/image" Target="/xl/media/image18.png" Id="rId3"/><Relationship Type="http://schemas.openxmlformats.org/officeDocument/2006/relationships/image" Target="/xl/media/image19.png" Id="rId4"/><Relationship Type="http://schemas.openxmlformats.org/officeDocument/2006/relationships/image" Target="/xl/media/image20.png" Id="rId5"/><Relationship Type="http://schemas.openxmlformats.org/officeDocument/2006/relationships/image" Target="/xl/media/image21.png" Id="rId6"/></Relationships>
</file>

<file path=xl/drawings/_rels/drawing12.xml.rels><Relationships xmlns="http://schemas.openxmlformats.org/package/2006/relationships"><Relationship Type="http://schemas.openxmlformats.org/officeDocument/2006/relationships/image" Target="/xl/media/image22.png" Id="rId1"/></Relationships>
</file>

<file path=xl/drawings/_rels/drawing13.xml.rels><Relationships xmlns="http://schemas.openxmlformats.org/package/2006/relationships"><Relationship Type="http://schemas.openxmlformats.org/officeDocument/2006/relationships/image" Target="/xl/media/image23.png" Id="rId1"/></Relationships>
</file>

<file path=xl/drawings/_rels/drawing14.xml.rels><Relationships xmlns="http://schemas.openxmlformats.org/package/2006/relationships"><Relationship Type="http://schemas.openxmlformats.org/officeDocument/2006/relationships/image" Target="/xl/media/image24.png" Id="rId1"/></Relationships>
</file>

<file path=xl/drawings/_rels/drawing15.xml.rels><Relationships xmlns="http://schemas.openxmlformats.org/package/2006/relationships"><Relationship Type="http://schemas.openxmlformats.org/officeDocument/2006/relationships/image" Target="/xl/media/image25.png" Id="rId1"/></Relationships>
</file>

<file path=xl/drawings/_rels/drawing16.xml.rels><Relationships xmlns="http://schemas.openxmlformats.org/package/2006/relationships"><Relationship Type="http://schemas.openxmlformats.org/officeDocument/2006/relationships/image" Target="/xl/media/image26.png" Id="rId1"/></Relationships>
</file>

<file path=xl/drawings/_rels/drawing17.xml.rels><Relationships xmlns="http://schemas.openxmlformats.org/package/2006/relationships"><Relationship Type="http://schemas.openxmlformats.org/officeDocument/2006/relationships/image" Target="/xl/media/image27.png" Id="rId1"/></Relationships>
</file>

<file path=xl/drawings/_rels/drawing18.xml.rels><Relationships xmlns="http://schemas.openxmlformats.org/package/2006/relationships"><Relationship Type="http://schemas.openxmlformats.org/officeDocument/2006/relationships/image" Target="/xl/media/image28.png" Id="rId1"/><Relationship Type="http://schemas.openxmlformats.org/officeDocument/2006/relationships/image" Target="/xl/media/image29.png" Id="rId2"/></Relationships>
</file>

<file path=xl/drawings/_rels/drawing19.xml.rels><Relationships xmlns="http://schemas.openxmlformats.org/package/2006/relationships"><Relationship Type="http://schemas.openxmlformats.org/officeDocument/2006/relationships/image" Target="/xl/media/image30.png" Id="rId1"/><Relationship Type="http://schemas.openxmlformats.org/officeDocument/2006/relationships/image" Target="/xl/media/image31.png" Id="rId2"/></Relationships>
</file>

<file path=xl/drawings/_rels/drawing20.xml.rels><Relationships xmlns="http://schemas.openxmlformats.org/package/2006/relationships"><Relationship Type="http://schemas.openxmlformats.org/officeDocument/2006/relationships/image" Target="/xl/media/image32.png" Id="rId1"/></Relationships>
</file>

<file path=xl/drawings/_rels/drawing21.xml.rels><Relationships xmlns="http://schemas.openxmlformats.org/package/2006/relationships"><Relationship Type="http://schemas.openxmlformats.org/officeDocument/2006/relationships/image" Target="/xl/media/image33.png" Id="rId1"/></Relationships>
</file>

<file path=xl/drawings/_rels/drawing22.xml.rels><Relationships xmlns="http://schemas.openxmlformats.org/package/2006/relationships"><Relationship Type="http://schemas.openxmlformats.org/officeDocument/2006/relationships/image" Target="/xl/media/image34.png" Id="rId1"/><Relationship Type="http://schemas.openxmlformats.org/officeDocument/2006/relationships/image" Target="/xl/media/image35.png" Id="rId2"/></Relationships>
</file>

<file path=xl/drawings/drawing1.xml><?xml version="1.0" encoding="utf-8"?>
<wsDr xmlns="http://schemas.openxmlformats.org/drawingml/2006/spreadsheetDrawing">
  <twoCellAnchor editAs="oneCell">
    <from>
      <col>0</col>
      <colOff>180975</colOff>
      <row>1</row>
      <rowOff>95250</rowOff>
    </from>
    <to>
      <col>1</col>
      <colOff>1362075</colOff>
      <row>1</row>
      <rowOff>914400</rowOff>
    </to>
    <pic>
      <nvPicPr>
        <cNvPr id="33473" name="Picture 49"/>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80975" y="219075"/>
          <a:ext cx="1504950" cy="81915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editAs="oneCell">
    <from>
      <col>0</col>
      <colOff>0</colOff>
      <row>0</row>
      <rowOff>76200</rowOff>
    </from>
    <to>
      <col>1</col>
      <colOff>1333500</colOff>
      <row>2</row>
      <rowOff>314325</rowOff>
    </to>
    <pic>
      <nvPicPr>
        <cNvPr id="34448" name="Picture 1" descr="C:\Users\Administrator\AppData\Local\Microsoft\Windows\Temporary Internet Files\Temporary Compressed Files\down\M&amp;C-Logo(최종).jp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76200"/>
          <a:ext cx="1771650" cy="69532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7</col>
      <colOff>5000625</colOff>
      <row>1</row>
      <rowOff>0</rowOff>
    </from>
    <to>
      <col>11</col>
      <colOff>1352550</colOff>
      <row>4</row>
      <rowOff>28575</rowOff>
    </to>
    <pic>
      <nvPicPr>
        <cNvPr id="34449" name="Picture 1"/>
        <cNvPicPr>
          <a:picLocks xmlns:a="http://schemas.openxmlformats.org/drawingml/2006/main" noChangeAspect="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13001625" y="257175"/>
          <a:ext cx="3114675" cy="1143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editAs="oneCell">
    <from>
      <col>0</col>
      <colOff>76200</colOff>
      <row>0</row>
      <rowOff>95250</rowOff>
    </from>
    <to>
      <col>1</col>
      <colOff>1409700</colOff>
      <row>0</row>
      <rowOff>914400</rowOff>
    </to>
    <pic>
      <nvPicPr>
        <cNvPr id="32406" name="Picture 49"/>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76200" y="95250"/>
          <a:ext cx="1704975" cy="81915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editAs="oneCell">
    <from>
      <col>0</col>
      <colOff>28575</colOff>
      <row>0</row>
      <rowOff>28575</rowOff>
    </from>
    <to>
      <col>2</col>
      <colOff>304800</colOff>
      <row>1</row>
      <rowOff>190500</rowOff>
    </to>
    <pic>
      <nvPicPr>
        <cNvPr id="43815" name="Picture 4"/>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28575" y="28575"/>
          <a:ext cx="1409700" cy="97155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editAs="oneCell">
    <from>
      <col>0</col>
      <colOff>161925</colOff>
      <row>0</row>
      <rowOff>85725</rowOff>
    </from>
    <to>
      <col>2</col>
      <colOff>228600</colOff>
      <row>1</row>
      <rowOff>400050</rowOff>
    </to>
    <pic>
      <nvPicPr>
        <cNvPr id="39333" name="Picture 49"/>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61925" y="85725"/>
          <a:ext cx="1409700" cy="7048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10</col>
      <colOff>2066925</colOff>
      <row>0</row>
      <rowOff>66675</rowOff>
    </from>
    <to>
      <col>14</col>
      <colOff>590550</colOff>
      <row>1</row>
      <rowOff>638175</rowOff>
    </to>
    <pic>
      <nvPicPr>
        <cNvPr id="39334" name="Picture 1"/>
        <cNvPicPr>
          <a:picLocks xmlns:a="http://schemas.openxmlformats.org/drawingml/2006/main" noChangeAspect="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11544300" y="66675"/>
          <a:ext cx="3533775" cy="9620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editAs="oneCell">
    <from>
      <col>0</col>
      <colOff>66675</colOff>
      <row>0</row>
      <rowOff>57150</rowOff>
    </from>
    <to>
      <col>1</col>
      <colOff>2343150</colOff>
      <row>1</row>
      <rowOff>533400</rowOff>
    </to>
    <pic>
      <nvPicPr>
        <cNvPr id="38324" name="图片 2" descr="logo.jpg"/>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57150"/>
          <a:ext cx="2600325" cy="10668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7.xml><?xml version="1.0" encoding="utf-8"?>
<wsDr xmlns="http://schemas.openxmlformats.org/drawingml/2006/spreadsheetDrawing">
  <twoCellAnchor editAs="oneCell">
    <from>
      <col>8</col>
      <colOff>1819275</colOff>
      <row>0</row>
      <rowOff>0</rowOff>
    </from>
    <to>
      <col>12</col>
      <colOff>876300</colOff>
      <row>1</row>
      <rowOff>1000125</rowOff>
    </to>
    <pic>
      <nvPicPr>
        <cNvPr id="44242" name="Picture 2"/>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0220325" y="0"/>
          <a:ext cx="2828925" cy="124777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123825</colOff>
      <row>0</row>
      <rowOff>219075</rowOff>
    </from>
    <to>
      <col>1</col>
      <colOff>962025</colOff>
      <row>1</row>
      <rowOff>466725</rowOff>
    </to>
    <pic>
      <nvPicPr>
        <cNvPr id="44243" name="图片 2" descr="logo.jpg"/>
        <cNvPicPr>
          <a:picLocks xmlns:a="http://schemas.openxmlformats.org/drawingml/2006/main" noChangeAspect="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123825" y="219075"/>
          <a:ext cx="1219200" cy="4953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8.xml><?xml version="1.0" encoding="utf-8"?>
<wsDr xmlns="http://schemas.openxmlformats.org/drawingml/2006/spreadsheetDrawing">
  <twoCellAnchor editAs="oneCell">
    <from>
      <col>8</col>
      <colOff>1362075</colOff>
      <row>1</row>
      <rowOff>123825</rowOff>
    </from>
    <to>
      <col>12</col>
      <colOff>257175</colOff>
      <row>1</row>
      <rowOff>1428750</rowOff>
    </to>
    <pic>
      <nvPicPr>
        <cNvPr id="18901" name="Picture 1"/>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0144125" y="542925"/>
          <a:ext cx="4629150" cy="130492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180975</colOff>
      <row>0</row>
      <rowOff>390525</rowOff>
    </from>
    <to>
      <col>2</col>
      <colOff>400050</colOff>
      <row>1</row>
      <rowOff>695325</rowOff>
    </to>
    <pic>
      <nvPicPr>
        <cNvPr id="18902" name="图片 2" descr="logo.jpg"/>
        <cNvPicPr>
          <a:picLocks xmlns:a="http://schemas.openxmlformats.org/drawingml/2006/main" noChangeAspect="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180975" y="390525"/>
          <a:ext cx="1743075" cy="7239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9.xml><?xml version="1.0" encoding="utf-8"?>
<wsDr xmlns="http://schemas.openxmlformats.org/drawingml/2006/spreadsheetDrawing">
  <twoCellAnchor editAs="oneCell">
    <from>
      <col>1</col>
      <colOff>228600</colOff>
      <row>0</row>
      <rowOff>57150</rowOff>
    </from>
    <to>
      <col>2</col>
      <colOff>1229530</colOff>
      <row>2</row>
      <rowOff>352425</rowOff>
    </to>
    <pic>
      <nvPicPr>
        <cNvPr id="35319" name="图片 2" descr="logo.jpg"/>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838200" y="57150"/>
          <a:ext cx="180022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10</col>
      <colOff>2257425</colOff>
      <row>0</row>
      <rowOff>0</rowOff>
    </from>
    <to>
      <col>13</col>
      <colOff>432114</colOff>
      <row>3</row>
      <rowOff>104775</rowOff>
    </to>
    <pic>
      <nvPicPr>
        <cNvPr id="35320" name="Picture 5"/>
        <cNvPicPr>
          <a:picLocks xmlns:a="http://schemas.openxmlformats.org/drawingml/2006/main" noChangeAspect="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10668000" y="0"/>
          <a:ext cx="2876550" cy="1123950"/>
        </a:xfrm>
        <a:prstGeom xmlns:a="http://schemas.openxmlformats.org/drawingml/2006/main" prst="rect">
          <avLst/>
        </a:prstGeom>
        <a:noFill xmlns:a="http://schemas.openxmlformats.org/drawingml/2006/main"/>
        <a:ln xmlns:a="http://schemas.openxmlformats.org/drawingml/2006/main" w="9525">
          <a:solidFill>
            <a:srgbClr val="000000"/>
          </a:solidFill>
          <a:prstDash val="solid"/>
          <a:miter lim="800000"/>
          <a:headEnd/>
          <a:tailEnd/>
        </a:ln>
      </spPr>
    </pic>
    <clientData/>
  </twoCellAnchor>
</wsDr>
</file>

<file path=xl/drawings/drawing10.xml><?xml version="1.0" encoding="utf-8"?>
<wsDr xmlns="http://schemas.openxmlformats.org/drawingml/2006/spreadsheetDrawing">
  <twoCellAnchor editAs="oneCell">
    <from>
      <col>0</col>
      <colOff>0</colOff>
      <row>1</row>
      <rowOff>57150</rowOff>
    </from>
    <to>
      <col>2</col>
      <colOff>200025</colOff>
      <row>1</row>
      <rowOff>790575</rowOff>
    </to>
    <pic>
      <nvPicPr>
        <cNvPr id="21025" name="Picture 49"/>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342900"/>
          <a:ext cx="1543050" cy="7334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11.xml><?xml version="1.0" encoding="utf-8"?>
<wsDr xmlns="http://schemas.openxmlformats.org/drawingml/2006/spreadsheetDrawing">
  <twoCellAnchor editAs="oneCell">
    <from>
      <col>0</col>
      <colOff>57150</colOff>
      <row>0</row>
      <rowOff>161925</rowOff>
    </from>
    <to>
      <col>2</col>
      <colOff>0</colOff>
      <row>1</row>
      <rowOff>638175</rowOff>
    </to>
    <pic>
      <nvPicPr>
        <cNvPr id="50373" name="图片 2" descr="logo.jpg"/>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57150" y="161925"/>
          <a:ext cx="1285875" cy="10668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8</col>
      <colOff>171450</colOff>
      <row>0</row>
      <rowOff>85725</rowOff>
    </from>
    <to>
      <col>12</col>
      <colOff>1047750</colOff>
      <row>1</row>
      <rowOff>695325</rowOff>
    </to>
    <pic>
      <nvPicPr>
        <cNvPr id="50374" name="Picture 3"/>
        <cNvPicPr>
          <a:picLocks xmlns:a="http://schemas.openxmlformats.org/drawingml/2006/main" noChangeAspect="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10687050" y="85725"/>
          <a:ext cx="5162550" cy="12001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8</col>
      <colOff>485775</colOff>
      <row>0</row>
      <rowOff>571500</rowOff>
    </from>
    <to>
      <col>8</col>
      <colOff>1838325</colOff>
      <row>1</row>
      <rowOff>657225</rowOff>
    </to>
    <pic>
      <nvPicPr>
        <cNvPr id="50375" name="Picture 1"/>
        <cNvPicPr>
          <a:picLocks xmlns:a="http://schemas.openxmlformats.org/drawingml/2006/main" noChangeAspect="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11001375" y="571500"/>
          <a:ext cx="1352550" cy="67627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8</col>
      <colOff>2286000</colOff>
      <row>1</row>
      <rowOff>66675</rowOff>
    </from>
    <to>
      <col>10</col>
      <colOff>38100</colOff>
      <row>1</row>
      <rowOff>552450</rowOff>
    </to>
    <pic>
      <nvPicPr>
        <cNvPr id="50376" name="Picture 2"/>
        <cNvPicPr>
          <a:picLocks xmlns:a="http://schemas.openxmlformats.org/drawingml/2006/main" noChangeAspect="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12801600" y="657225"/>
          <a:ext cx="1238250" cy="48577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11</col>
      <colOff>104775</colOff>
      <row>1</row>
      <rowOff>0</rowOff>
    </from>
    <to>
      <col>12</col>
      <colOff>809625</colOff>
      <row>1</row>
      <rowOff>619125</rowOff>
    </to>
    <pic>
      <nvPicPr>
        <cNvPr id="50377" name="Picture 3"/>
        <cNvPicPr>
          <a:picLocks xmlns:a="http://schemas.openxmlformats.org/drawingml/2006/main" noChangeAspect="1"/>
        </cNvPicPr>
      </nvPicPr>
      <blipFill>
        <a:blip xmlns:a="http://schemas.openxmlformats.org/drawingml/2006/main" xmlns:r="http://schemas.openxmlformats.org/officeDocument/2006/relationships" r:embed="rId5"/>
        <a:srcRect xmlns:a="http://schemas.openxmlformats.org/drawingml/2006/main"/>
        <a:stretch xmlns:a="http://schemas.openxmlformats.org/drawingml/2006/main">
          <a:fillRect/>
        </a:stretch>
      </blipFill>
      <spPr bwMode="auto">
        <a:xfrm xmlns:a="http://schemas.openxmlformats.org/drawingml/2006/main">
          <a:off x="14487525" y="590550"/>
          <a:ext cx="1123950" cy="61912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104775</colOff>
      <row>0</row>
      <rowOff>95250</rowOff>
    </from>
    <to>
      <col>2</col>
      <colOff>1638300</colOff>
      <row>1</row>
      <rowOff>238125</rowOff>
    </to>
    <pic>
      <nvPicPr>
        <cNvPr id="50378" name="Picture 49"/>
        <cNvPicPr>
          <a:picLocks xmlns:a="http://schemas.openxmlformats.org/drawingml/2006/main" noChangeAspect="1" noChangeArrowheads="1"/>
        </cNvPicPr>
      </nvPicPr>
      <blipFill>
        <a:blip xmlns:a="http://schemas.openxmlformats.org/drawingml/2006/main" xmlns:r="http://schemas.openxmlformats.org/officeDocument/2006/relationships" r:embed="rId6"/>
        <a:srcRect xmlns:a="http://schemas.openxmlformats.org/drawingml/2006/main"/>
        <a:stretch xmlns:a="http://schemas.openxmlformats.org/drawingml/2006/main">
          <a:fillRect/>
        </a:stretch>
      </blipFill>
      <spPr bwMode="auto">
        <a:xfrm xmlns:a="http://schemas.openxmlformats.org/drawingml/2006/main">
          <a:off x="1447800" y="95250"/>
          <a:ext cx="1533525" cy="7334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12.xml><?xml version="1.0" encoding="utf-8"?>
<wsDr xmlns="http://schemas.openxmlformats.org/drawingml/2006/spreadsheetDrawing">
  <twoCellAnchor editAs="oneCell">
    <from>
      <col>6</col>
      <colOff>123825</colOff>
      <row>0</row>
      <rowOff>285750</rowOff>
    </from>
    <to>
      <col>13</col>
      <colOff>200025</colOff>
      <row>1</row>
      <rowOff>1914525</rowOff>
    </to>
    <pic>
      <nvPicPr>
        <cNvPr id="22838" name="Picture 1"/>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896100" y="285750"/>
          <a:ext cx="5362575" cy="192405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13.xml><?xml version="1.0" encoding="utf-8"?>
<wsDr xmlns="http://schemas.openxmlformats.org/drawingml/2006/spreadsheetDrawing">
  <twoCellAnchor editAs="oneCell">
    <from>
      <col>6</col>
      <colOff>409575</colOff>
      <row>0</row>
      <rowOff>266700</rowOff>
    </from>
    <to>
      <col>11</col>
      <colOff>438150</colOff>
      <row>1</row>
      <rowOff>1933575</rowOff>
    </to>
    <pic>
      <nvPicPr>
        <cNvPr id="23862" name="Picture 1"/>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7515225" y="266700"/>
          <a:ext cx="5343525" cy="19431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14.xml><?xml version="1.0" encoding="utf-8"?>
<wsDr xmlns="http://schemas.openxmlformats.org/drawingml/2006/spreadsheetDrawing">
  <twoCellAnchor editAs="oneCell">
    <from>
      <col>5</col>
      <colOff>200025</colOff>
      <row>1</row>
      <rowOff>66675</rowOff>
    </from>
    <to>
      <col>12</col>
      <colOff>276225</colOff>
      <row>1</row>
      <rowOff>2019300</rowOff>
    </to>
    <pic>
      <nvPicPr>
        <cNvPr id="24886" name="Picture 1"/>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972300" y="323850"/>
          <a:ext cx="5362575" cy="19526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15.xml><?xml version="1.0" encoding="utf-8"?>
<wsDr xmlns="http://schemas.openxmlformats.org/drawingml/2006/spreadsheetDrawing">
  <twoCellAnchor editAs="oneCell">
    <from>
      <col>5</col>
      <colOff>95250</colOff>
      <row>1</row>
      <rowOff>76200</rowOff>
    </from>
    <to>
      <col>12</col>
      <colOff>85725</colOff>
      <row>1</row>
      <rowOff>2019300</rowOff>
    </to>
    <pic>
      <nvPicPr>
        <cNvPr id="28982" name="Picture 1"/>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7572375" y="457200"/>
          <a:ext cx="5362575" cy="19431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16.xml><?xml version="1.0" encoding="utf-8"?>
<wsDr xmlns="http://schemas.openxmlformats.org/drawingml/2006/spreadsheetDrawing">
  <twoCellAnchor editAs="oneCell">
    <from>
      <col>5</col>
      <colOff>257175</colOff>
      <row>1</row>
      <rowOff>47625</rowOff>
    </from>
    <to>
      <col>12</col>
      <colOff>342900</colOff>
      <row>1</row>
      <rowOff>1981200</rowOff>
    </to>
    <pic>
      <nvPicPr>
        <cNvPr id="13622" name="Picture 1"/>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7029450" y="409575"/>
          <a:ext cx="5372100" cy="19335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17.xml><?xml version="1.0" encoding="utf-8"?>
<wsDr xmlns="http://schemas.openxmlformats.org/drawingml/2006/spreadsheetDrawing">
  <twoCellAnchor editAs="oneCell">
    <from>
      <col>6</col>
      <colOff>457200</colOff>
      <row>1</row>
      <rowOff>57150</rowOff>
    </from>
    <to>
      <col>11</col>
      <colOff>495300</colOff>
      <row>1</row>
      <rowOff>2000250</rowOff>
    </to>
    <pic>
      <nvPicPr>
        <cNvPr id="25910" name="Picture 1"/>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7562850" y="476250"/>
          <a:ext cx="5353050" cy="19431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18.xml><?xml version="1.0" encoding="utf-8"?>
<wsDr xmlns="http://schemas.openxmlformats.org/drawingml/2006/spreadsheetDrawing">
  <twoCellAnchor editAs="oneCell">
    <from>
      <col>7</col>
      <colOff>533400</colOff>
      <row>1</row>
      <rowOff>123825</rowOff>
    </from>
    <to>
      <col>12</col>
      <colOff>619125</colOff>
      <row>1</row>
      <rowOff>1790700</rowOff>
    </to>
    <pic>
      <nvPicPr>
        <cNvPr id="16809" name="Picture 1"/>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7781925" y="466725"/>
          <a:ext cx="4581525" cy="166687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85725</colOff>
      <row>1</row>
      <rowOff>9525</rowOff>
    </from>
    <to>
      <col>2</col>
      <colOff>142875</colOff>
      <row>1</row>
      <rowOff>676275</rowOff>
    </to>
    <pic>
      <nvPicPr>
        <cNvPr id="16810" name="Picture 49"/>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85725" y="352425"/>
          <a:ext cx="1400175" cy="66675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19.xml><?xml version="1.0" encoding="utf-8"?>
<wsDr xmlns="http://schemas.openxmlformats.org/drawingml/2006/spreadsheetDrawing">
  <twoCellAnchor editAs="oneCell">
    <from>
      <col>2</col>
      <colOff>408214</colOff>
      <row>1</row>
      <rowOff>244928</rowOff>
    </from>
    <to>
      <col>3</col>
      <colOff>278384</colOff>
      <row>1</row>
      <rowOff>1102177</rowOff>
    </to>
    <pic>
      <nvPicPr>
        <cNvPr id="3" name="Picture 49"/>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911678" y="612321"/>
          <a:ext cx="1802384" cy="857249"/>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9</col>
      <colOff>2177144</colOff>
      <row>1</row>
      <rowOff>204107</rowOff>
    </from>
    <to>
      <col>13</col>
      <colOff>667657</colOff>
      <row>1</row>
      <rowOff>1428750</rowOff>
    </to>
    <pic>
      <nvPicPr>
        <cNvPr id="8" name="Picture 7"/>
        <cNvPicPr>
          <a:picLocks xmlns:a="http://schemas.openxmlformats.org/drawingml/2006/main" noChangeAspect="1"/>
        </cNvPicPr>
      </nvPicPr>
      <blipFill rotWithShape="1">
        <a:blip xmlns:a="http://schemas.openxmlformats.org/drawingml/2006/main" xmlns:r="http://schemas.openxmlformats.org/officeDocument/2006/relationships" r:embed="rId2"/>
        <a:srcRect xmlns:a="http://schemas.openxmlformats.org/drawingml/2006/main" t="1100"/>
        <a:stretch xmlns:a="http://schemas.openxmlformats.org/drawingml/2006/main">
          <a:fillRect/>
        </a:stretch>
      </blipFill>
      <spPr>
        <a:xfrm xmlns:a="http://schemas.openxmlformats.org/drawingml/2006/main">
          <a:off x="12777108" y="571500"/>
          <a:ext cx="3620406" cy="1224643"/>
        </a:xfrm>
        <a:prstGeom xmlns:a="http://schemas.openxmlformats.org/drawingml/2006/main" prst="rect">
          <avLst/>
        </a:prstGeom>
        <a:ln xmlns:a="http://schemas.openxmlformats.org/drawingml/2006/main">
          <a:prstDash val="solid"/>
        </a:ln>
      </spPr>
    </pic>
    <clientData/>
  </twoCellAnchor>
</wsDr>
</file>

<file path=xl/drawings/drawing20.xml><?xml version="1.0" encoding="utf-8"?>
<wsDr xmlns="http://schemas.openxmlformats.org/drawingml/2006/spreadsheetDrawing">
  <twoCellAnchor editAs="oneCell">
    <from>
      <col>0</col>
      <colOff>190500</colOff>
      <row>0</row>
      <rowOff>228600</rowOff>
    </from>
    <to>
      <col>1</col>
      <colOff>933450</colOff>
      <row>1</row>
      <rowOff>476250</rowOff>
    </to>
    <pic>
      <nvPicPr>
        <cNvPr id="45262" name="Picture 49"/>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90500" y="228600"/>
          <a:ext cx="1066800" cy="5048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1.xml><?xml version="1.0" encoding="utf-8"?>
<wsDr xmlns="http://schemas.openxmlformats.org/drawingml/2006/spreadsheetDrawing">
  <twoCellAnchor editAs="oneCell">
    <from>
      <col>0</col>
      <colOff>95250</colOff>
      <row>1</row>
      <rowOff>171450</rowOff>
    </from>
    <to>
      <col>1</col>
      <colOff>1285875</colOff>
      <row>1</row>
      <rowOff>885825</rowOff>
    </to>
    <pic>
      <nvPicPr>
        <cNvPr id="48298" name="Picture 49"/>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95250" y="295275"/>
          <a:ext cx="1514475" cy="7143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2.xml><?xml version="1.0" encoding="utf-8"?>
<wsDr xmlns="http://schemas.openxmlformats.org/drawingml/2006/spreadsheetDrawing">
  <twoCellAnchor editAs="oneCell">
    <from>
      <col>1</col>
      <colOff>257175</colOff>
      <row>0</row>
      <rowOff>342900</rowOff>
    </from>
    <to>
      <col>2</col>
      <colOff>1724025</colOff>
      <row>1</row>
      <rowOff>800100</rowOff>
    </to>
    <pic>
      <nvPicPr>
        <cNvPr id="42229" name="Picture 49"/>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590550" y="342900"/>
          <a:ext cx="1790700" cy="84772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9</col>
      <colOff>4042931</colOff>
      <row>0</row>
      <rowOff>0</rowOff>
    </from>
    <to>
      <col>13</col>
      <colOff>659823</colOff>
      <row>1</row>
      <rowOff>865909</rowOff>
    </to>
    <pic>
      <nvPicPr>
        <cNvPr id="42231" name="Picture 3"/>
        <cNvPicPr>
          <a:picLocks xmlns:a="http://schemas.openxmlformats.org/drawingml/2006/main" noChangeAspect="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13377431" y="0"/>
          <a:ext cx="3336347" cy="1264227"/>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2.xml.rels><Relationships xmlns="http://schemas.openxmlformats.org/package/2006/relationships"><Relationship Type="http://schemas.openxmlformats.org/officeDocument/2006/relationships/drawing" Target="/xl/drawings/drawing11.xml" Id="rId1"/></Relationships>
</file>

<file path=xl/worksheets/_rels/sheet13.xml.rels><Relationships xmlns="http://schemas.openxmlformats.org/package/2006/relationships"><Relationship Type="http://schemas.openxmlformats.org/officeDocument/2006/relationships/drawing" Target="/xl/drawings/drawing12.xml" Id="rId1"/></Relationships>
</file>

<file path=xl/worksheets/_rels/sheet14.xml.rels><Relationships xmlns="http://schemas.openxmlformats.org/package/2006/relationships"><Relationship Type="http://schemas.openxmlformats.org/officeDocument/2006/relationships/drawing" Target="/xl/drawings/drawing13.xml" Id="rId1"/></Relationships>
</file>

<file path=xl/worksheets/_rels/sheet15.xml.rels><Relationships xmlns="http://schemas.openxmlformats.org/package/2006/relationships"><Relationship Type="http://schemas.openxmlformats.org/officeDocument/2006/relationships/drawing" Target="/xl/drawings/drawing14.xml" Id="rId1"/></Relationships>
</file>

<file path=xl/worksheets/_rels/sheet16.xml.rels><Relationships xmlns="http://schemas.openxmlformats.org/package/2006/relationships"><Relationship Type="http://schemas.openxmlformats.org/officeDocument/2006/relationships/drawing" Target="/xl/drawings/drawing15.xml" Id="rId1"/></Relationships>
</file>

<file path=xl/worksheets/_rels/sheet17.xml.rels><Relationships xmlns="http://schemas.openxmlformats.org/package/2006/relationships"><Relationship Type="http://schemas.openxmlformats.org/officeDocument/2006/relationships/drawing" Target="/xl/drawings/drawing16.xml" Id="rId1"/></Relationships>
</file>

<file path=xl/worksheets/_rels/sheet18.xml.rels><Relationships xmlns="http://schemas.openxmlformats.org/package/2006/relationships"><Relationship Type="http://schemas.openxmlformats.org/officeDocument/2006/relationships/drawing" Target="/xl/drawings/drawing17.xml" Id="rId1"/></Relationships>
</file>

<file path=xl/worksheets/_rels/sheet19.xml.rels><Relationships xmlns="http://schemas.openxmlformats.org/package/2006/relationships"><Relationship Type="http://schemas.openxmlformats.org/officeDocument/2006/relationships/drawing" Target="/xl/drawings/drawing18.xml" Id="rId1"/></Relationships>
</file>

<file path=xl/worksheets/_rels/sheet20.xml.rels><Relationships xmlns="http://schemas.openxmlformats.org/package/2006/relationships"><Relationship Type="http://schemas.openxmlformats.org/officeDocument/2006/relationships/drawing" Target="/xl/drawings/drawing19.xml" Id="rId1"/></Relationships>
</file>

<file path=xl/worksheets/_rels/sheet21.xml.rels><Relationships xmlns="http://schemas.openxmlformats.org/package/2006/relationships"><Relationship Type="http://schemas.openxmlformats.org/officeDocument/2006/relationships/drawing" Target="/xl/drawings/drawing20.xml" Id="rId1"/></Relationships>
</file>

<file path=xl/worksheets/_rels/sheet22.xml.rels><Relationships xmlns="http://schemas.openxmlformats.org/package/2006/relationships"><Relationship Type="http://schemas.openxmlformats.org/officeDocument/2006/relationships/drawing" Target="/xl/drawings/drawing21.xml" Id="rId1"/></Relationships>
</file>

<file path=xl/worksheets/_rels/sheet23.xml.rels><Relationships xmlns="http://schemas.openxmlformats.org/package/2006/relationships"><Relationship Type="http://schemas.openxmlformats.org/officeDocument/2006/relationships/drawing" Target="/xl/drawings/drawing22.xml" Id="rId1"/></Relationships>
</file>

<file path=xl/worksheets/sheet1.xml><?xml version="1.0" encoding="utf-8"?>
<worksheet xmlns="http://schemas.openxmlformats.org/spreadsheetml/2006/main">
  <sheetPr>
    <tabColor rgb="FF00B050"/>
    <outlinePr summaryBelow="1" summaryRight="1"/>
    <pageSetUpPr/>
  </sheetPr>
  <dimension ref="A1:M75"/>
  <sheetViews>
    <sheetView showGridLines="0" topLeftCell="A10" zoomScale="70" zoomScaleNormal="70" zoomScaleSheetLayoutView="89" workbookViewId="0">
      <selection activeCell="D15" sqref="D15"/>
    </sheetView>
  </sheetViews>
  <sheetFormatPr baseColWidth="8" defaultColWidth="11.5703125" defaultRowHeight="15.75"/>
  <cols>
    <col width="4.85546875" customWidth="1" style="208" min="1" max="1"/>
    <col width="23.28515625" customWidth="1" style="604" min="2" max="2"/>
    <col width="29.42578125" customWidth="1" style="235" min="3" max="3"/>
    <col width="35.42578125" customWidth="1" style="236" min="4" max="4"/>
    <col width="4.5703125" customWidth="1" style="208" min="5" max="5"/>
    <col width="5" customWidth="1" style="208" min="6" max="6"/>
    <col width="6.85546875" customWidth="1" style="208" min="7" max="7"/>
    <col width="14.42578125" customWidth="1" style="208" min="8" max="8"/>
    <col width="49.140625" customWidth="1" style="489" min="9" max="9"/>
    <col width="5.42578125" customWidth="1" style="489" min="10" max="11"/>
    <col width="7.42578125" customWidth="1" style="489" min="12" max="12"/>
    <col width="24.42578125" customWidth="1" style="208" min="13" max="13"/>
    <col width="11.5703125" customWidth="1" style="208" min="14" max="16384"/>
  </cols>
  <sheetData>
    <row r="1" ht="9.75" customHeight="1" s="157" thickBot="1">
      <c r="A1" s="238" t="n"/>
      <c r="B1" s="239" t="n"/>
      <c r="C1" s="240" t="n"/>
      <c r="D1" s="241" t="n"/>
      <c r="E1" s="242" t="n"/>
      <c r="F1" s="242" t="n"/>
      <c r="G1" s="242" t="n"/>
      <c r="H1" s="242" t="n"/>
      <c r="I1" s="242" t="n"/>
      <c r="J1" s="242" t="n"/>
      <c r="K1" s="242" t="n"/>
      <c r="L1" s="242" t="n"/>
      <c r="M1" s="243" t="n"/>
    </row>
    <row r="2" ht="100.5" customHeight="1" s="157">
      <c r="A2" s="244" t="n"/>
      <c r="B2" s="245" t="n"/>
      <c r="C2" s="502" t="inlineStr">
        <is>
          <t>위험 분석 - 기획 부서
위험 분석 - 기획 부서</t>
        </is>
      </c>
      <c r="D2" s="813" t="n"/>
      <c r="E2" s="813" t="n"/>
      <c r="F2" s="813" t="n"/>
      <c r="G2" s="813" t="n"/>
      <c r="H2" s="813" t="n"/>
      <c r="I2" s="242" t="n"/>
      <c r="J2" s="242" t="n"/>
      <c r="K2" s="242" t="n"/>
      <c r="L2" s="242" t="n"/>
      <c r="M2" s="246" t="n"/>
    </row>
    <row r="3" ht="85.5" customFormat="1" customHeight="1" s="293">
      <c r="A3" s="508" t="inlineStr">
        <is>
          <t>번호</t>
        </is>
      </c>
      <c r="B3" s="503" t="inlineStr">
        <is>
          <t>프로세스/진행상황
프로세스/진행상황</t>
        </is>
      </c>
      <c r="C3" s="503" t="inlineStr">
        <is>
          <t>잠재적 위험</t>
        </is>
      </c>
      <c r="D3" s="503" t="inlineStr">
        <is>
          <t>원인/설명
원인/설명</t>
        </is>
      </c>
      <c r="E3" s="503" t="inlineStr">
        <is>
          <t>리스크 평가
Risk assessment</t>
        </is>
      </c>
      <c r="F3" s="814" t="n"/>
      <c r="G3" s="814" t="n"/>
      <c r="H3" s="815" t="n"/>
      <c r="I3" s="503" t="inlineStr">
        <is>
          <t>예방/시정 조치
예방/시정 조치</t>
        </is>
      </c>
      <c r="J3" s="294" t="inlineStr">
        <is>
          <t>외부 평가
예방 조치를 취한 후 
위험 평가
예방 조치를 취한 후</t>
        </is>
      </c>
      <c r="K3" s="814" t="n"/>
      <c r="L3" s="814" t="n"/>
      <c r="M3" s="816" t="n"/>
    </row>
    <row r="4" ht="82.5" customFormat="1" customHeight="1" s="293">
      <c r="A4" s="817" t="n"/>
      <c r="B4" s="818" t="n"/>
      <c r="C4" s="818" t="n"/>
      <c r="D4" s="818" t="n"/>
      <c r="E4" s="504" t="inlineStr">
        <is>
          <t>S</t>
        </is>
      </c>
      <c r="F4" s="504" t="inlineStr">
        <is>
          <t>F</t>
        </is>
      </c>
      <c r="G4" s="504" t="inlineStr">
        <is>
          <t>S*F</t>
        </is>
      </c>
      <c r="H4" s="503" t="inlineStr">
        <is>
          <t>위험 분류
위험 분류</t>
        </is>
      </c>
      <c r="I4" s="818" t="n"/>
      <c r="J4" s="503" t="inlineStr">
        <is>
          <t>S</t>
        </is>
      </c>
      <c r="K4" s="504" t="inlineStr">
        <is>
          <t>F</t>
        </is>
      </c>
      <c r="L4" s="504" t="inlineStr">
        <is>
          <t>S*F</t>
        </is>
      </c>
      <c r="M4" s="294" t="inlineStr">
        <is>
          <t>위험 분류
위험 분류</t>
        </is>
      </c>
    </row>
    <row r="5" ht="79.5" customFormat="1" customHeight="1" s="727">
      <c r="A5" s="383" t="n">
        <v>1</v>
      </c>
      <c r="B5" s="74" t="inlineStr">
        <is>
          <t>컴퓨터를 사용하세요./컴퓨터를 사용하세요.</t>
        </is>
      </c>
      <c r="C5" s="16" t="inlineStr">
        <is>
          <t>감전. /쇼크웨이브</t>
        </is>
      </c>
      <c r="D5" s="75" t="inlineStr">
        <is>
          <t>전기 누출. / 누전</t>
        </is>
      </c>
      <c r="E5" s="45" t="n">
        <v>5</v>
      </c>
      <c r="F5" s="45" t="n">
        <v>1</v>
      </c>
      <c r="G5" s="45" t="n">
        <v>5</v>
      </c>
      <c r="H5" s="46" t="inlineStr">
        <is>
          <t>A</t>
        </is>
      </c>
      <c r="I5" s="46" t="inlineStr">
        <is>
          <t>전기 콘센트는 덮개가 단단하게 덮여 있고 전기 코드는 깔끔하게 묶여 있습니다. / 콘센트 덮개가 촘촘하게 되어 있고, 전원 코드도 깔끔하게 묶여져 있어요</t>
        </is>
      </c>
      <c r="J5" s="46" t="n">
        <v>5</v>
      </c>
      <c r="K5" s="45" t="n">
        <v>0</v>
      </c>
      <c r="L5" s="45" t="n">
        <v>0</v>
      </c>
      <c r="M5" s="385" t="n"/>
    </row>
    <row r="6" ht="79.5" customFormat="1" customHeight="1" s="727">
      <c r="A6" s="386" t="n">
        <v>2</v>
      </c>
      <c r="B6" s="16" t="inlineStr">
        <is>
          <t>제자리에 앉아서 일하세요. / 그자리에서 앉아서 일하기</t>
        </is>
      </c>
      <c r="C6" s="16" t="inlineStr">
        <is>
          <t>스트레스, 뼈와 관절통, 근시통증. / 스트레스, 관절통, 근시통증.</t>
        </is>
      </c>
      <c r="D6" s="17" t="inlineStr">
        <is>
          <t>장시간 앉아있는 작업으로 인해 잘못된 자세가 발생합니다. 오랫동안 앉아 있기 때문에 잘못된 자세입니다.</t>
        </is>
      </c>
      <c r="E6" s="47" t="n">
        <v>1</v>
      </c>
      <c r="F6" s="47" t="n">
        <v>1</v>
      </c>
      <c r="G6" s="45" t="n">
        <v>1</v>
      </c>
      <c r="H6" s="48" t="inlineStr">
        <is>
          <t>A</t>
        </is>
      </c>
      <c r="I6" s="48" t="inlineStr">
        <is>
          <t>45분마다 긴장을 풀고 일어서고 걷고, 등 뒤에 쿠션을 얹고, 올바른 자세로 앉으세요. / 45분마다 긴장을 풀고 일어나서 걷고, 등 뒤에 쿠션을 얹고, 바른 자세로 앉는다.</t>
        </is>
      </c>
      <c r="J6" s="46" t="n">
        <v>1</v>
      </c>
      <c r="K6" s="45" t="n">
        <v>0</v>
      </c>
      <c r="L6" s="45" t="n">
        <v>0</v>
      </c>
      <c r="M6" s="385" t="n"/>
    </row>
    <row r="7" ht="79.5" customFormat="1" customHeight="1" s="727">
      <c r="A7" s="386" t="n">
        <v>3</v>
      </c>
      <c r="B7" s="16" t="inlineStr">
        <is>
          <t>부서 내 여행. / 부서 여행.</t>
        </is>
      </c>
      <c r="C7" s="16" t="inlineStr">
        <is>
          <t>가을 ./ 가을</t>
        </is>
      </c>
      <c r="D7" s="17" t="inlineStr">
        <is>
          <t>바닥이 젖어서 미끄러워요. / 바닥이 젖어서 미끄러움</t>
        </is>
      </c>
      <c r="E7" s="47" t="n">
        <v>2</v>
      </c>
      <c r="F7" s="47" t="n">
        <v>1</v>
      </c>
      <c r="G7" s="45" t="n">
        <v>2</v>
      </c>
      <c r="H7" s="48" t="inlineStr">
        <is>
          <t>A</t>
        </is>
      </c>
      <c r="I7" s="48" t="inlineStr">
        <is>
          <t>주의하세요. 경고 신호가 있습니다. / 주의하세요. 경고 신호가 있습니다.</t>
        </is>
      </c>
      <c r="J7" s="739" t="n">
        <v>2</v>
      </c>
      <c r="K7" s="46" t="n">
        <v>0</v>
      </c>
      <c r="L7" s="45" t="n">
        <v>0</v>
      </c>
      <c r="M7" s="385" t="n"/>
    </row>
    <row r="8" ht="37.5" customFormat="1" customHeight="1" s="727">
      <c r="A8" s="386" t="n">
        <v>4</v>
      </c>
      <c r="B8" s="16" t="inlineStr">
        <is>
          <t>인쇄. /인쇄 중</t>
        </is>
      </c>
      <c r="C8" s="16" t="inlineStr">
        <is>
          <t>부러진 팔. / 부러진 손</t>
        </is>
      </c>
      <c r="D8" s="17" t="inlineStr">
        <is>
          <t>종이의 날카로운 모서리로 인해. / 종이의 날카로운 모서리로 인해.</t>
        </is>
      </c>
      <c r="E8" s="47" t="n">
        <v>1</v>
      </c>
      <c r="F8" s="47" t="n">
        <v>1</v>
      </c>
      <c r="G8" s="45" t="n">
        <v>1</v>
      </c>
      <c r="H8" s="48" t="inlineStr">
        <is>
          <t>A</t>
        </is>
      </c>
      <c r="I8" s="48" t="inlineStr">
        <is>
          <t>수술 중에는 세심한 주의를 기울여야 합니다. / 취급에 주의하시기 바랍니다</t>
        </is>
      </c>
      <c r="J8" s="46" t="n">
        <v>1</v>
      </c>
      <c r="K8" s="45" t="n">
        <v>0</v>
      </c>
      <c r="L8" s="45" t="n">
        <v>0</v>
      </c>
      <c r="M8" s="385" t="n"/>
    </row>
    <row r="9" ht="112.5" customFormat="1" customHeight="1" s="727">
      <c r="A9" s="386" t="n">
        <v>5</v>
      </c>
      <c r="B9" s="16" t="inlineStr">
        <is>
          <t>앉아서 일하세요. / 
앉아서 일하기</t>
        </is>
      </c>
      <c r="C9" s="16" t="inlineStr">
        <is>
          <t>건성 피부, 세균 감염./ 건성 피부, 세균 감염</t>
        </is>
      </c>
      <c r="D9" s="17" t="inlineStr">
        <is>
          <t>에어컨을 장기간 사용하여 에어컨을 정기적으로 청소하지 않습니다./ 에어컨을 장기간 사용하여 에어컨을 정기적으로 청소하지 않습니다.</t>
        </is>
      </c>
      <c r="E9" s="47" t="n">
        <v>2</v>
      </c>
      <c r="F9" s="47" t="n">
        <v>1</v>
      </c>
      <c r="G9" s="45" t="n">
        <v>2</v>
      </c>
      <c r="H9" s="48" t="inlineStr">
        <is>
          <t>A</t>
        </is>
      </c>
      <c r="I9" s="48" t="inlineStr">
        <is>
          <t>물을 많이 마시고 에어컨을 정기적으로 청소하십시오. / 물을 많이 마시고 에어컨을 정기적으로 청소하십시오</t>
        </is>
      </c>
      <c r="J9" s="46" t="n">
        <v>2</v>
      </c>
      <c r="K9" s="45" t="n">
        <v>0</v>
      </c>
      <c r="L9" s="45" t="n">
        <v>0</v>
      </c>
      <c r="M9" s="385" t="n"/>
    </row>
    <row r="10" ht="150" customFormat="1" customHeight="1" s="727">
      <c r="A10" s="386" t="n">
        <v>6</v>
      </c>
      <c r="B10" s="16" t="inlineStr">
        <is>
          <t>기획제작 일정
기획생산</t>
        </is>
      </c>
      <c r="C10" s="16" t="inlineStr">
        <is>
          <t>부서의 실제 생산 능력과 일치하지 않는 생산 계획을 수립합니다.
생산 계획이 부서의 실제 생산 능력과 일치하지 않기 때문에.</t>
        </is>
      </c>
      <c r="D10" s="17" t="inlineStr">
        <is>
          <t>기계, 장비, 인력 정보의 잘못된 업데이트로 인해</t>
        </is>
      </c>
      <c r="E10" s="47" t="n">
        <v>2</v>
      </c>
      <c r="F10" s="47" t="n">
        <v>2</v>
      </c>
      <c r="G10" s="45" t="n">
        <v>4</v>
      </c>
      <c r="H10" s="48" t="inlineStr">
        <is>
          <t>A</t>
        </is>
      </c>
      <c r="I10" s="48" t="inlineStr">
        <is>
          <t>주기 시간, 금형 수, 기계 수, 인력에 대한 정보를 정기적으로 업데이트하여 정확한 계획을 세우세요.
사이클타임, 금형수, 장비수, 인력 등의 정보를 정기적으로 업데이트하여 정확한 계획 수립</t>
        </is>
      </c>
      <c r="J10" s="46" t="n">
        <v>2</v>
      </c>
      <c r="K10" s="45" t="n">
        <v>0</v>
      </c>
      <c r="L10" s="45" t="n">
        <v>0</v>
      </c>
      <c r="M10" s="385" t="n"/>
    </row>
    <row r="11" ht="126" customFormat="1" customHeight="1" s="727">
      <c r="A11" s="386" t="n">
        <v>7</v>
      </c>
      <c r="B11" s="16" t="inlineStr">
        <is>
          <t>매일매일 재고 관리
 일일 재고관리</t>
        </is>
      </c>
      <c r="C11" s="16" t="inlineStr">
        <is>
          <t>잘못된 재고 보고서는 다음 단계의 생산 진행에 영향을 미칩니다.
잘못된 재고 보고서는 다음 단계의 생산 진행에 영향을 미칩니다.</t>
        </is>
      </c>
      <c r="D11" s="17" t="inlineStr">
        <is>
          <t>상품계산 과정에서 오류가 발생하여 / 상품 집계 오류로 인해.</t>
        </is>
      </c>
      <c r="E11" s="47" t="n">
        <v>1</v>
      </c>
      <c r="F11" s="47" t="n">
        <v>2</v>
      </c>
      <c r="G11" s="45" t="n">
        <v>2</v>
      </c>
      <c r="H11" s="48" t="inlineStr">
        <is>
          <t>A</t>
        </is>
      </c>
      <c r="I11" s="48" t="inlineStr">
        <is>
          <t>이전 재고, 수입, 수출 및 현재 재고 보고서를 당일 시간대에 따라 명확하게 업데이트합니다. 
당일 시간대에 따라 기존 보고서, 가져오기/내보내기 및 현재 존재를 명확하게 업데이트합니다.</t>
        </is>
      </c>
      <c r="J11" s="46" t="n">
        <v>1</v>
      </c>
      <c r="K11" s="45" t="n">
        <v>0</v>
      </c>
      <c r="L11" s="45" t="n">
        <v>0</v>
      </c>
      <c r="M11" s="385" t="n"/>
    </row>
    <row r="12" ht="126" customFormat="1" customHeight="1" s="727">
      <c r="A12" s="386" t="n">
        <v>8</v>
      </c>
      <c r="B12" s="16" t="inlineStr">
        <is>
          <t>ERP 시스템에서 BOM 설정
 ERP 시스템에 BOM 설치</t>
        </is>
      </c>
      <c r="C12" s="16" t="inlineStr">
        <is>
          <t>잘못된 방 코드를 설정하고 프로세스에서 BOM 라인을 올바르지 않게 만듭니다.
잘못된 방 코드를 설정하고 프로세스로 BOM을 올바르지 않게 만듭니다.</t>
        </is>
      </c>
      <c r="D12" s="17" t="inlineStr">
        <is>
          <t>직원이 잘못된 코드를 입력했기 때문입니다. / 직원이 코드를 잘못 입력했기 때문입니다.</t>
        </is>
      </c>
      <c r="E12" s="47" t="n">
        <v>1</v>
      </c>
      <c r="F12" s="47" t="n">
        <v>2</v>
      </c>
      <c r="G12" s="45" t="n">
        <v>2</v>
      </c>
      <c r="H12" s="48" t="inlineStr">
        <is>
          <t>A</t>
        </is>
      </c>
      <c r="I12" s="48" t="inlineStr">
        <is>
          <t>BOM 코드 요약 테이블을 생성합니다. 새로운 모델이 나올 경우 이전에 배치된 코드가 반복되지 않도록 코드가 오름차순으로 배치됩니다.
BOM 코드 요약표를 작성하세요. 새로운 모델이 출시되면 이전에 배치한 코드가 반복되지 않도록 코드가 오름차순으로 배치됩니다.</t>
        </is>
      </c>
      <c r="J12" s="46" t="n">
        <v>1</v>
      </c>
      <c r="K12" s="45" t="n">
        <v>0</v>
      </c>
      <c r="L12" s="45" t="n">
        <v>0</v>
      </c>
      <c r="M12" s="385" t="n"/>
    </row>
    <row r="13" ht="126" customFormat="1" customHeight="1" s="727">
      <c r="A13" s="386" t="n">
        <v>9</v>
      </c>
      <c r="B13" s="16" t="inlineStr">
        <is>
          <t>생산용 트레이/카톤/테이프 자재 주문
 생산을 위한 자재 트레이/배럴/테이프 배치</t>
        </is>
      </c>
      <c r="C13" s="16" t="inlineStr">
        <is>
          <t>너무 많은 상품을 주문하면 낭비가 발생하고 창고 공간을 차지하게 됩니다. 너무 적게 주문하면 해당 부서의 생산에 영향을 미칩니다.
초과 상품을 주문하는 것은 낭비이며 보관 공간을 차지합니다. 세트가 누락되면 부서의 생산에 영향을 미칩니다.</t>
        </is>
      </c>
      <c r="D13" s="17" t="inlineStr">
        <is>
          <t>갑작스러운 생산 계획 변경으로 인해 긴급 배송 계획이 수립되었습니다. / 갑작스러운 생산계획 변경으로 인해 긴급출고 계획이 잡혀있습니다.</t>
        </is>
      </c>
      <c r="E13" s="47" t="n">
        <v>1</v>
      </c>
      <c r="F13" s="47" t="n">
        <v>2</v>
      </c>
      <c r="G13" s="45" t="n">
        <v>2</v>
      </c>
      <c r="H13" s="48" t="inlineStr">
        <is>
          <t>A</t>
        </is>
      </c>
      <c r="I13" s="48" t="inlineStr">
        <is>
          <t>실제 생산 계획을 바탕으로 매주 PR을 실시합니다. 계획이 변경되면 그에 따라 주문도 조정됩니다.
실제 생산 일정을 바탕으로 주간 홍보를 진행합니다. 일정이 변경되면 그에 따라 순서가 조정됩니다.</t>
        </is>
      </c>
      <c r="J13" s="46" t="n">
        <v>1</v>
      </c>
      <c r="K13" s="45" t="n">
        <v>0</v>
      </c>
      <c r="L13" s="45" t="n">
        <v>0</v>
      </c>
      <c r="M13" s="385" t="n"/>
    </row>
    <row r="14" ht="126" customFormat="1" customHeight="1" s="727">
      <c r="A14" s="415" t="n">
        <v>10</v>
      </c>
      <c r="B14" s="660" t="inlineStr">
        <is>
          <t>통제력 부족 
원자재 부족 관리</t>
        </is>
      </c>
      <c r="C14" s="660" t="inlineStr">
        <is>
          <t>공급업체가 늦게 배송하여 KHSX의 생산에 영향을 미칩니다.
생산에 영향을 미치는 원자재 공급업체의 느린 배송.</t>
        </is>
      </c>
      <c r="D14" s="416" t="inlineStr">
        <is>
          <t>공급업체의 문제로 인해 원자재가 생산 일정을 맞추지 못했습니다. 
원자재 공급업체의 문제로 인해 생산 일정을 제때에 납품하지 못했습니다.</t>
        </is>
      </c>
      <c r="E14" s="417" t="n">
        <v>4</v>
      </c>
      <c r="F14" s="417" t="n">
        <v>4</v>
      </c>
      <c r="G14" s="713" t="n">
        <v>16</v>
      </c>
      <c r="H14" s="667" t="inlineStr">
        <is>
          <t>C</t>
        </is>
      </c>
      <c r="I14" s="667" t="inlineStr">
        <is>
          <t>생산 계획에 영향을 주지 않고 납품 일정을 준수하도록 원자재 공급업체와 협력하는 구매 당사자에게 요구합니다.
고객의 생산에 영향을 주지 않고 납품 일정을 준수하기 위해 구매자가 원자재 공급업체와 협력하도록 요구합니다.</t>
        </is>
      </c>
      <c r="J14" s="663" t="n">
        <v>4</v>
      </c>
      <c r="K14" s="713" t="n">
        <v>0</v>
      </c>
      <c r="L14" s="713" t="n">
        <v>0</v>
      </c>
      <c r="M14" s="418" t="n"/>
    </row>
    <row r="15" ht="126" customFormat="1" customHeight="1" s="727">
      <c r="A15" s="415" t="n">
        <v>11</v>
      </c>
      <c r="B15" s="660" t="inlineStr">
        <is>
          <t>질병 (COVID-19)
질병 (COVID-19</t>
        </is>
      </c>
      <c r="C15" s="660" t="inlineStr">
        <is>
          <t>회사 외부의 많은 사람들과의 접촉은 병원균을 쉽게 퍼뜨릴 수 있습니다.
외부에서 회사 내부로 많은 사람들과 접촉하는 것은 쉽게 미덕을 전파합니다.</t>
        </is>
      </c>
      <c r="D15" s="416" t="inlineStr">
        <is>
          <t>전염병 예방 규정을 준수하지 않았습니다. / 직원들이 전염병 예방 규정을 준수하지 않습니다.</t>
        </is>
      </c>
      <c r="E15" s="417" t="n">
        <v>3</v>
      </c>
      <c r="F15" s="417" t="n">
        <v>4</v>
      </c>
      <c r="G15" s="713" t="n">
        <v>12</v>
      </c>
      <c r="H15" s="667" t="inlineStr">
        <is>
          <t>C</t>
        </is>
      </c>
      <c r="I15" s="667" t="inlineStr">
        <is>
          <t>회사의 질병예방수칙을 항상 준수하세요. (소독, 마스크 착용...)
회사의 질병예방수칙을 항상 준수하세요. (소독, 마스크 착용...)</t>
        </is>
      </c>
      <c r="J15" s="663" t="n">
        <v>1</v>
      </c>
      <c r="K15" s="713" t="n">
        <v>1</v>
      </c>
      <c r="L15" s="713" t="n">
        <v>1</v>
      </c>
      <c r="M15" s="418" t="inlineStr">
        <is>
          <t>A</t>
        </is>
      </c>
    </row>
    <row r="16" ht="126" customFormat="1" customHeight="1" s="727" thickBot="1">
      <c r="A16" s="407" t="n">
        <v>12</v>
      </c>
      <c r="B16" s="408" t="inlineStr">
        <is>
          <t>사람</t>
        </is>
      </c>
      <c r="C16" s="408" t="inlineStr">
        <is>
          <t>인력 부족은 생산에 영향을 미칩니다.
인력 부족은 생산에 영향을 미칩니다.</t>
        </is>
      </c>
      <c r="D16" s="409" t="inlineStr">
        <is>
          <t>직원들이 회사를 그만두고, 병가를 내고, 무상 휴가를 받고...
직원 휴가, 병가, 무료 휴가.....</t>
        </is>
      </c>
      <c r="E16" s="410" t="n">
        <v>3</v>
      </c>
      <c r="F16" s="410" t="n">
        <v>4</v>
      </c>
      <c r="G16" s="411" t="n">
        <v>12</v>
      </c>
      <c r="H16" s="412" t="inlineStr">
        <is>
          <t>C</t>
        </is>
      </c>
      <c r="I16" s="412" t="inlineStr">
        <is>
          <t>최신 출고 계획을 기준으로 제품 코드 우선순위를 정하고 생산부서에 통보해 인력을 배치한다. 
퇴직자 수에 대한 신속한 보상을 인사부에 요청하세요. 
가장 가까운 출하 계획으로 제품을 우선적으로 배치하여 생산 부서에 통보하여 인력을 배치합니다.
이직자 수에 대한 조속한 보상을 인사부에 요청하세요.</t>
        </is>
      </c>
      <c r="J16" s="413" t="n">
        <v>1</v>
      </c>
      <c r="K16" s="411" t="n">
        <v>1</v>
      </c>
      <c r="L16" s="411" t="n">
        <v>1</v>
      </c>
      <c r="M16" s="414" t="inlineStr">
        <is>
          <t>A</t>
        </is>
      </c>
    </row>
    <row r="17" ht="12.75" customHeight="1" s="157">
      <c r="A17" s="154" t="n"/>
      <c r="B17" s="154" t="n"/>
      <c r="C17" s="155" t="n"/>
      <c r="D17" s="155" t="n"/>
      <c r="E17" s="155" t="n"/>
      <c r="F17" s="155" t="n"/>
      <c r="G17" s="155" t="n"/>
      <c r="H17" s="155" t="n"/>
      <c r="I17" s="155" t="n"/>
      <c r="J17" s="155" t="n"/>
      <c r="K17" s="155" t="n"/>
      <c r="L17" s="155" t="n"/>
      <c r="M17" s="156" t="n"/>
    </row>
    <row r="18" ht="12.75" customHeight="1" s="157">
      <c r="A18" s="265" t="n"/>
      <c r="B18" s="265" t="inlineStr">
        <is>
          <t>아르헨티나는 다음 공식을 사용하여 측정됩니다: R = F x S, 여기서:</t>
        </is>
      </c>
      <c r="M18" s="158" t="n"/>
    </row>
    <row r="19" ht="12.75" customHeight="1" s="157">
      <c r="A19" s="265" t="n"/>
      <c r="B19" s="265" t="inlineStr">
        <is>
          <t>R: 리스크.</t>
        </is>
      </c>
      <c r="M19" s="158" t="n"/>
    </row>
    <row r="20" ht="12.75" customHeight="1" s="157">
      <c r="A20" s="265" t="n"/>
      <c r="B20" s="265" t="inlineStr">
        <is>
          <t>여: 가능성.</t>
        </is>
      </c>
      <c r="M20" s="158" t="n"/>
    </row>
    <row r="21" ht="12.75" customHeight="1" s="157">
      <c r="A21" s="265" t="n"/>
      <c r="B21" s="256" t="inlineStr">
        <is>
          <t>S: 그런 일이 발생하면 어떤 결과가 따르나요?</t>
        </is>
      </c>
      <c r="C21" s="159" t="n"/>
      <c r="D21" s="159" t="n"/>
      <c r="E21" s="159" t="n"/>
      <c r="F21" s="159" t="n"/>
      <c r="G21" s="159" t="n"/>
      <c r="H21" s="159" t="n"/>
      <c r="I21" s="159" t="n"/>
      <c r="J21" s="159" t="n"/>
      <c r="K21" s="159" t="n"/>
      <c r="L21" s="159" t="n"/>
      <c r="M21" s="290" t="n"/>
    </row>
    <row r="22" ht="28.5" customFormat="1" customHeight="1" s="208">
      <c r="A22" s="265" t="n"/>
      <c r="B22" s="268" t="inlineStr">
        <is>
          <t>No</t>
        </is>
      </c>
      <c r="C22" s="253" t="inlineStr">
        <is>
          <t>문서번호</t>
        </is>
      </c>
      <c r="D22" s="253" t="inlineStr">
        <is>
          <t>발행일</t>
        </is>
      </c>
      <c r="E22" s="492" t="inlineStr">
        <is>
          <t>개정</t>
        </is>
      </c>
      <c r="F22" s="814" t="n"/>
      <c r="G22" s="592" t="inlineStr">
        <is>
          <t xml:space="preserve">내용 </t>
        </is>
      </c>
      <c r="H22" s="814" t="n"/>
      <c r="I22" s="814" t="n"/>
      <c r="J22" s="814" t="n"/>
      <c r="K22" s="815" t="n"/>
      <c r="L22" s="501" t="inlineStr">
        <is>
          <t>작성자</t>
        </is>
      </c>
      <c r="M22" s="815" t="n"/>
    </row>
    <row r="23" ht="28.5" customFormat="1" customHeight="1" s="208">
      <c r="A23" s="265" t="n"/>
      <c r="B23" s="268" t="n">
        <v>0</v>
      </c>
      <c r="C23" s="253" t="inlineStr">
        <is>
          <t>PP.04.01.05</t>
        </is>
      </c>
      <c r="D23" s="253" t="inlineStr">
        <is>
          <t>02.01.2019</t>
        </is>
      </c>
      <c r="E23" s="496" t="inlineStr">
        <is>
          <t>0</t>
        </is>
      </c>
      <c r="F23" s="814" t="n"/>
      <c r="G23" s="592" t="inlineStr">
        <is>
          <t>신규 작성</t>
        </is>
      </c>
      <c r="H23" s="814" t="n"/>
      <c r="I23" s="814" t="n"/>
      <c r="J23" s="814" t="n"/>
      <c r="K23" s="815" t="n"/>
      <c r="L23" s="501" t="inlineStr">
        <is>
          <t>투이 씨</t>
        </is>
      </c>
      <c r="M23" s="815" t="n"/>
    </row>
    <row r="24" ht="28.5" customFormat="1" customHeight="1" s="208">
      <c r="A24" s="256" t="n"/>
      <c r="B24" s="212" t="n"/>
      <c r="C24" s="253" t="n"/>
      <c r="D24" s="253" t="n"/>
      <c r="E24" s="499" t="n"/>
      <c r="F24" s="814" t="n"/>
      <c r="G24" s="592" t="n"/>
      <c r="H24" s="814" t="n"/>
      <c r="I24" s="814" t="n"/>
      <c r="J24" s="814" t="n"/>
      <c r="K24" s="815" t="n"/>
      <c r="L24" s="501" t="n"/>
      <c r="M24" s="815" t="n"/>
    </row>
    <row r="25" ht="66.75" customFormat="1" customHeight="1" s="208">
      <c r="A25" s="489" t="n"/>
      <c r="B25" s="604" t="n"/>
      <c r="C25" s="750" t="n"/>
      <c r="D25" s="219" t="n"/>
      <c r="E25" s="489" t="n"/>
      <c r="F25" s="489" t="n"/>
      <c r="G25" s="489" t="n"/>
      <c r="H25" s="489" t="n"/>
      <c r="I25" s="218" t="n"/>
      <c r="J25" s="489" t="n"/>
      <c r="K25" s="489" t="n"/>
      <c r="L25" s="489" t="n"/>
      <c r="M25" s="489" t="n"/>
    </row>
    <row r="26" ht="94.5" customFormat="1" customHeight="1" s="208">
      <c r="A26" s="489" t="n"/>
      <c r="B26" s="604" t="n"/>
      <c r="C26" s="750" t="n"/>
      <c r="D26" s="219" t="n"/>
      <c r="E26" s="489" t="n"/>
      <c r="F26" s="489" t="n"/>
      <c r="G26" s="489" t="n"/>
      <c r="H26" s="489" t="n"/>
      <c r="I26" s="218" t="n"/>
      <c r="J26" s="489" t="n"/>
      <c r="K26" s="489" t="n"/>
      <c r="L26" s="489" t="n"/>
      <c r="M26" s="489" t="n"/>
    </row>
    <row r="27" ht="92.25" customFormat="1" customHeight="1" s="208">
      <c r="A27" s="489" t="n"/>
      <c r="B27" s="604" t="n"/>
      <c r="C27" s="750" t="n"/>
      <c r="D27" s="219" t="n"/>
      <c r="E27" s="489" t="n"/>
      <c r="F27" s="489" t="n"/>
      <c r="G27" s="489" t="n"/>
      <c r="H27" s="489" t="n"/>
      <c r="I27" s="218" t="n"/>
      <c r="J27" s="489" t="n"/>
      <c r="K27" s="489" t="n"/>
      <c r="L27" s="489" t="n"/>
      <c r="M27" s="489" t="n"/>
    </row>
    <row r="28" ht="58.5" customFormat="1" customHeight="1" s="208">
      <c r="A28" s="489" t="n"/>
      <c r="B28" s="604" t="n"/>
      <c r="C28" s="750" t="n"/>
      <c r="D28" s="219" t="n"/>
      <c r="E28" s="489" t="n"/>
      <c r="F28" s="489" t="n"/>
      <c r="G28" s="489" t="n"/>
      <c r="H28" s="489" t="n"/>
      <c r="I28" s="218" t="n"/>
      <c r="J28" s="489" t="n"/>
      <c r="K28" s="489" t="n"/>
      <c r="L28" s="489" t="n"/>
      <c r="M28" s="489" t="n"/>
    </row>
    <row r="29" hidden="1" customFormat="1" s="208">
      <c r="A29" s="220" t="n"/>
      <c r="B29" s="221" t="n"/>
      <c r="C29" s="222" t="n"/>
      <c r="D29" s="223" t="n"/>
      <c r="E29" s="224" t="n"/>
      <c r="F29" s="224" t="n"/>
      <c r="G29" s="220" t="n"/>
      <c r="H29" s="224" t="n"/>
      <c r="I29" s="224" t="n"/>
      <c r="J29" s="224" t="n"/>
      <c r="K29" s="224" t="n"/>
      <c r="L29" s="224" t="n"/>
      <c r="M29" s="224" t="n"/>
    </row>
    <row r="30" hidden="1" customFormat="1" s="208">
      <c r="A30" s="220" t="n"/>
      <c r="B30" s="221" t="n"/>
      <c r="C30" s="222" t="n"/>
      <c r="D30" s="223" t="n"/>
      <c r="E30" s="224" t="n"/>
      <c r="F30" s="224" t="n"/>
      <c r="G30" s="220" t="n"/>
      <c r="H30" s="224" t="n"/>
      <c r="I30" s="224" t="n"/>
      <c r="J30" s="224" t="n"/>
      <c r="K30" s="224" t="n"/>
      <c r="L30" s="224" t="n"/>
      <c r="M30" s="224" t="n"/>
    </row>
    <row r="31" hidden="1" customFormat="1" s="208">
      <c r="A31" s="220" t="n"/>
      <c r="B31" s="221" t="n"/>
      <c r="C31" s="222" t="n"/>
      <c r="D31" s="223" t="n"/>
      <c r="E31" s="224" t="n"/>
      <c r="F31" s="224" t="n"/>
      <c r="G31" s="220" t="n"/>
      <c r="H31" s="224" t="n"/>
      <c r="I31" s="224" t="n"/>
      <c r="J31" s="224" t="n"/>
      <c r="K31" s="224" t="n"/>
      <c r="L31" s="224" t="n"/>
      <c r="M31" s="224" t="n"/>
    </row>
    <row r="32" hidden="1" customFormat="1" s="208">
      <c r="A32" s="220" t="n"/>
      <c r="B32" s="221" t="n"/>
      <c r="C32" s="222" t="n"/>
      <c r="D32" s="223" t="n"/>
      <c r="E32" s="224" t="n"/>
      <c r="F32" s="224" t="n"/>
      <c r="G32" s="220" t="n"/>
      <c r="H32" s="224" t="n"/>
      <c r="I32" s="224" t="n"/>
      <c r="J32" s="224" t="n"/>
      <c r="K32" s="224" t="n"/>
      <c r="L32" s="224" t="n"/>
      <c r="M32" s="224" t="n"/>
    </row>
    <row r="33" hidden="1" customFormat="1" s="208">
      <c r="A33" s="220" t="n"/>
      <c r="B33" s="221" t="n"/>
      <c r="C33" s="222" t="n"/>
      <c r="D33" s="223" t="n"/>
      <c r="E33" s="224" t="n"/>
      <c r="F33" s="224" t="n"/>
      <c r="G33" s="220" t="n"/>
      <c r="H33" s="224" t="n"/>
      <c r="I33" s="224" t="n"/>
      <c r="J33" s="224" t="n"/>
      <c r="K33" s="224" t="n"/>
      <c r="L33" s="224" t="n"/>
      <c r="M33" s="224" t="n"/>
    </row>
    <row r="34" hidden="1" customFormat="1" s="208">
      <c r="A34" s="220" t="n"/>
      <c r="B34" s="221" t="n"/>
      <c r="C34" s="222" t="n"/>
      <c r="D34" s="223" t="n"/>
      <c r="E34" s="224" t="n"/>
      <c r="F34" s="224" t="n"/>
      <c r="G34" s="220" t="n"/>
      <c r="H34" s="224" t="n"/>
      <c r="I34" s="224" t="n"/>
      <c r="J34" s="224" t="n"/>
      <c r="K34" s="224" t="n"/>
      <c r="L34" s="224" t="n"/>
      <c r="M34" s="224" t="n"/>
    </row>
    <row r="35" hidden="1" customFormat="1" s="208">
      <c r="A35" s="220" t="n"/>
      <c r="B35" s="221" t="n"/>
      <c r="C35" s="222" t="n"/>
      <c r="D35" s="223" t="n"/>
      <c r="E35" s="224" t="n"/>
      <c r="F35" s="224" t="n"/>
      <c r="G35" s="220" t="n"/>
      <c r="H35" s="224" t="n"/>
      <c r="I35" s="224" t="n"/>
      <c r="J35" s="224" t="n"/>
      <c r="K35" s="224" t="n"/>
      <c r="L35" s="224" t="n"/>
      <c r="M35" s="224" t="n"/>
    </row>
    <row r="36" hidden="1" customFormat="1" s="208">
      <c r="A36" s="220" t="n"/>
      <c r="B36" s="221" t="n"/>
      <c r="C36" s="222" t="n"/>
      <c r="D36" s="223" t="n"/>
      <c r="E36" s="224" t="n"/>
      <c r="F36" s="224" t="n"/>
      <c r="G36" s="220" t="n"/>
      <c r="H36" s="224" t="n"/>
      <c r="I36" s="224" t="n"/>
      <c r="J36" s="224" t="n"/>
      <c r="K36" s="224" t="n"/>
      <c r="L36" s="224" t="n"/>
      <c r="M36" s="224" t="n"/>
    </row>
    <row r="37" hidden="1" customFormat="1" s="208">
      <c r="A37" s="220" t="n"/>
      <c r="B37" s="221" t="n"/>
      <c r="C37" s="222" t="n"/>
      <c r="D37" s="223" t="n"/>
      <c r="E37" s="224" t="n"/>
      <c r="F37" s="224" t="n"/>
      <c r="G37" s="220" t="n"/>
      <c r="H37" s="224" t="n"/>
      <c r="I37" s="224" t="n"/>
      <c r="J37" s="224" t="n"/>
      <c r="K37" s="224" t="n"/>
      <c r="L37" s="224" t="n"/>
      <c r="M37" s="224" t="n"/>
    </row>
    <row r="38" hidden="1" customFormat="1" s="208">
      <c r="A38" s="220" t="n"/>
      <c r="B38" s="221" t="n"/>
      <c r="C38" s="222" t="n"/>
      <c r="D38" s="223" t="n"/>
      <c r="E38" s="224" t="n"/>
      <c r="F38" s="224" t="n"/>
      <c r="G38" s="220" t="n"/>
      <c r="H38" s="224" t="n"/>
      <c r="I38" s="224" t="n"/>
      <c r="J38" s="224" t="n"/>
      <c r="K38" s="224" t="n"/>
      <c r="L38" s="224" t="n"/>
      <c r="M38" s="224" t="n"/>
    </row>
    <row r="39" hidden="1" customFormat="1" s="208">
      <c r="A39" s="220" t="n"/>
      <c r="B39" s="221" t="n"/>
      <c r="C39" s="225" t="n"/>
      <c r="D39" s="226" t="n"/>
      <c r="E39" s="224" t="n"/>
      <c r="F39" s="224" t="n"/>
      <c r="G39" s="220" t="n"/>
      <c r="H39" s="224" t="n"/>
      <c r="I39" s="224" t="n"/>
      <c r="J39" s="224" t="n"/>
      <c r="K39" s="224" t="n"/>
      <c r="L39" s="224" t="n"/>
      <c r="M39" s="224" t="n"/>
    </row>
    <row r="40" hidden="1" customFormat="1" s="208">
      <c r="A40" s="220" t="n"/>
      <c r="B40" s="221" t="n"/>
      <c r="C40" s="225" t="n"/>
      <c r="D40" s="226" t="n"/>
      <c r="E40" s="224" t="n"/>
      <c r="F40" s="224" t="n"/>
      <c r="G40" s="220" t="n"/>
      <c r="H40" s="224" t="n"/>
      <c r="I40" s="224" t="n"/>
      <c r="J40" s="224" t="n"/>
      <c r="K40" s="224" t="n"/>
      <c r="L40" s="224" t="n"/>
      <c r="M40" s="224" t="n"/>
    </row>
    <row r="41" hidden="1" customFormat="1" s="208">
      <c r="A41" s="220" t="n"/>
      <c r="B41" s="221" t="n"/>
      <c r="C41" s="225" t="n"/>
      <c r="D41" s="226" t="n"/>
      <c r="E41" s="224" t="n"/>
      <c r="F41" s="224" t="n"/>
      <c r="G41" s="220" t="n"/>
      <c r="H41" s="224" t="n"/>
      <c r="I41" s="224" t="n"/>
      <c r="J41" s="224" t="n"/>
      <c r="K41" s="224" t="n"/>
      <c r="L41" s="224" t="n"/>
      <c r="M41" s="224" t="n"/>
    </row>
    <row r="42" hidden="1" customFormat="1" s="208">
      <c r="A42" s="220" t="n"/>
      <c r="B42" s="221" t="n"/>
      <c r="C42" s="225" t="n"/>
      <c r="D42" s="226" t="n"/>
      <c r="E42" s="224" t="n"/>
      <c r="F42" s="224" t="n"/>
      <c r="G42" s="220" t="n"/>
      <c r="H42" s="224" t="n"/>
      <c r="I42" s="224" t="n"/>
      <c r="J42" s="224" t="n"/>
      <c r="K42" s="224" t="n"/>
      <c r="L42" s="224" t="n"/>
      <c r="M42" s="224" t="n"/>
    </row>
    <row r="43" hidden="1" customFormat="1" s="208">
      <c r="A43" s="220" t="n"/>
      <c r="B43" s="221" t="n"/>
      <c r="C43" s="225" t="n"/>
      <c r="D43" s="226" t="n"/>
      <c r="E43" s="224" t="n"/>
      <c r="F43" s="224" t="n"/>
      <c r="G43" s="220" t="n"/>
      <c r="H43" s="224" t="n"/>
      <c r="I43" s="224" t="n"/>
      <c r="J43" s="224" t="n"/>
      <c r="K43" s="224" t="n"/>
      <c r="L43" s="224" t="n"/>
      <c r="M43" s="224" t="n"/>
    </row>
    <row r="44" hidden="1" customFormat="1" s="208">
      <c r="A44" s="227" t="n"/>
      <c r="B44" s="228" t="n"/>
      <c r="C44" s="229" t="n"/>
      <c r="D44" s="230" t="n"/>
      <c r="E44" s="231" t="n"/>
      <c r="F44" s="231" t="n"/>
      <c r="G44" s="220" t="n"/>
      <c r="H44" s="231" t="n"/>
      <c r="I44" s="231" t="n"/>
      <c r="J44" s="231" t="n"/>
      <c r="K44" s="231" t="n"/>
      <c r="L44" s="231" t="n"/>
      <c r="M44" s="231" t="n"/>
    </row>
    <row r="45" customFormat="1" s="208">
      <c r="A45" s="489" t="n"/>
    </row>
    <row r="46" customFormat="1" s="208">
      <c r="A46" s="489" t="n"/>
      <c r="B46" s="604" t="n"/>
      <c r="C46" s="750" t="n"/>
      <c r="D46" s="236" t="n"/>
      <c r="E46" s="489" t="n"/>
      <c r="F46" s="489" t="n"/>
      <c r="G46" s="489" t="n"/>
      <c r="H46" s="489" t="n"/>
      <c r="I46" s="489" t="n"/>
      <c r="J46" s="489" t="n"/>
      <c r="K46" s="489" t="n"/>
      <c r="L46" s="489" t="n"/>
      <c r="M46" s="489" t="n"/>
    </row>
    <row r="47" customFormat="1" s="208">
      <c r="B47" s="604" t="n"/>
      <c r="C47" s="750" t="n"/>
      <c r="D47" s="186" t="n"/>
      <c r="G47" s="489" t="n"/>
      <c r="I47" s="218" t="n"/>
      <c r="J47" s="489" t="n"/>
      <c r="K47" s="489" t="n"/>
      <c r="L47" s="489" t="n"/>
    </row>
    <row r="48" customFormat="1" s="208">
      <c r="B48" s="604" t="n"/>
      <c r="C48" s="235" t="n"/>
      <c r="D48" s="236" t="n"/>
      <c r="G48" s="489" t="n"/>
      <c r="I48" s="489" t="n"/>
      <c r="J48" s="489" t="n"/>
      <c r="K48" s="489" t="n"/>
      <c r="L48" s="489" t="n"/>
    </row>
    <row r="49" customFormat="1" s="208">
      <c r="B49" s="604" t="n"/>
      <c r="C49" s="235" t="n"/>
      <c r="D49" s="236" t="n"/>
      <c r="G49" s="489" t="n"/>
      <c r="I49" s="489" t="n"/>
      <c r="J49" s="489" t="n"/>
      <c r="K49" s="489" t="n"/>
      <c r="L49" s="489" t="n"/>
    </row>
    <row r="50" customFormat="1" s="208">
      <c r="B50" s="604" t="n"/>
      <c r="C50" s="235" t="n"/>
      <c r="D50" s="236" t="n"/>
      <c r="G50" s="489" t="n"/>
      <c r="I50" s="489" t="n"/>
      <c r="J50" s="489" t="n"/>
      <c r="K50" s="489" t="n"/>
      <c r="L50" s="489" t="n"/>
    </row>
    <row r="51" customFormat="1" s="208">
      <c r="B51" s="604" t="n"/>
      <c r="C51" s="235" t="n"/>
      <c r="D51" s="236" t="n"/>
      <c r="G51" s="489" t="n"/>
      <c r="I51" s="489" t="n"/>
      <c r="J51" s="489" t="n"/>
      <c r="K51" s="489" t="n"/>
      <c r="L51" s="489" t="n"/>
    </row>
    <row r="52" customFormat="1" s="208">
      <c r="B52" s="604" t="n"/>
      <c r="C52" s="235" t="n"/>
      <c r="D52" s="236" t="n"/>
      <c r="G52" s="489" t="n"/>
      <c r="I52" s="218" t="n"/>
      <c r="J52" s="489" t="n"/>
      <c r="K52" s="489" t="n"/>
      <c r="L52" s="489" t="n"/>
    </row>
    <row r="53" customFormat="1" s="208">
      <c r="B53" s="604" t="n"/>
      <c r="C53" s="750" t="n"/>
      <c r="D53" s="236" t="n"/>
      <c r="G53" s="489" t="n"/>
      <c r="I53" s="218" t="n"/>
      <c r="J53" s="489" t="n"/>
      <c r="K53" s="489" t="n"/>
      <c r="L53" s="489" t="n"/>
    </row>
    <row r="54" customFormat="1" s="208">
      <c r="B54" s="604" t="n"/>
      <c r="C54" s="750" t="n"/>
      <c r="D54" s="236" t="n"/>
      <c r="G54" s="489" t="n"/>
      <c r="I54" s="218" t="n"/>
      <c r="J54" s="489" t="n"/>
      <c r="K54" s="489" t="n"/>
      <c r="L54" s="489" t="n"/>
    </row>
    <row r="55" customFormat="1" s="208">
      <c r="B55" s="604" t="n"/>
      <c r="C55" s="750" t="n"/>
      <c r="D55" s="236" t="n"/>
      <c r="G55" s="489" t="n"/>
      <c r="I55" s="489" t="n"/>
      <c r="J55" s="489" t="n"/>
      <c r="K55" s="489" t="n"/>
      <c r="L55" s="489" t="n"/>
    </row>
    <row r="56" customFormat="1" s="208">
      <c r="B56" s="604" t="n"/>
      <c r="C56" s="750" t="n"/>
      <c r="D56" s="236" t="n"/>
      <c r="G56" s="489" t="n"/>
      <c r="I56" s="489" t="n"/>
      <c r="J56" s="489" t="n"/>
      <c r="K56" s="489" t="n"/>
      <c r="L56" s="489" t="n"/>
    </row>
    <row r="57" customFormat="1" s="208">
      <c r="B57" s="604" t="n"/>
      <c r="C57" s="750" t="n"/>
      <c r="D57" s="236" t="n"/>
      <c r="G57" s="489" t="n"/>
      <c r="I57" s="218" t="n"/>
      <c r="J57" s="489" t="n"/>
      <c r="K57" s="489" t="n"/>
      <c r="L57" s="489" t="n"/>
    </row>
    <row r="58" customFormat="1" s="208">
      <c r="A58" s="489" t="n"/>
    </row>
    <row r="59" customFormat="1" s="208">
      <c r="B59" s="604" t="n"/>
      <c r="C59" s="750" t="n"/>
      <c r="D59" s="236" t="n"/>
      <c r="G59" s="489" t="n"/>
      <c r="I59" s="489" t="n"/>
      <c r="J59" s="489" t="n"/>
      <c r="K59" s="489" t="n"/>
      <c r="L59" s="489" t="n"/>
    </row>
    <row r="60" customFormat="1" s="208">
      <c r="B60" s="604" t="n"/>
      <c r="C60" s="235" t="n"/>
      <c r="D60" s="236" t="n"/>
      <c r="G60" s="489" t="n"/>
      <c r="I60" s="489" t="n"/>
      <c r="J60" s="489" t="n"/>
      <c r="K60" s="489" t="n"/>
      <c r="L60" s="489" t="n"/>
    </row>
    <row r="61" customFormat="1" s="208">
      <c r="B61" s="604" t="n"/>
      <c r="C61" s="235" t="n"/>
      <c r="D61" s="236" t="n"/>
      <c r="G61" s="489" t="n"/>
      <c r="I61" s="489" t="n"/>
      <c r="J61" s="489" t="n"/>
      <c r="K61" s="489" t="n"/>
      <c r="L61" s="489" t="n"/>
    </row>
    <row r="62" customFormat="1" s="208">
      <c r="B62" s="604" t="n"/>
      <c r="C62" s="235" t="n"/>
      <c r="D62" s="236" t="n"/>
      <c r="G62" s="489" t="n"/>
      <c r="I62" s="489" t="n"/>
      <c r="J62" s="489" t="n"/>
      <c r="K62" s="489" t="n"/>
      <c r="L62" s="489" t="n"/>
    </row>
    <row r="63">
      <c r="G63" s="489" t="n"/>
    </row>
    <row r="64">
      <c r="C64" s="750" t="n"/>
      <c r="G64" s="489" t="n"/>
    </row>
    <row r="65">
      <c r="C65" s="750" t="n"/>
      <c r="G65" s="489" t="n"/>
    </row>
    <row r="66">
      <c r="C66" s="750" t="n"/>
      <c r="G66" s="489" t="n"/>
    </row>
    <row r="67">
      <c r="C67" s="750" t="n"/>
      <c r="G67" s="489" t="n"/>
      <c r="I67" s="218" t="n"/>
    </row>
    <row r="68">
      <c r="C68" s="750" t="n"/>
      <c r="G68" s="489" t="n"/>
      <c r="I68" s="218" t="n"/>
    </row>
    <row r="69">
      <c r="G69" s="489" t="n"/>
    </row>
    <row r="70" customFormat="1" s="208">
      <c r="A70" s="489" t="n"/>
    </row>
    <row r="71">
      <c r="C71" s="750" t="n"/>
      <c r="G71" s="489" t="n"/>
    </row>
    <row r="72">
      <c r="G72" s="489" t="n"/>
    </row>
    <row r="73">
      <c r="G73" s="489" t="n"/>
    </row>
    <row r="74">
      <c r="G74" s="489" t="n"/>
    </row>
    <row r="75">
      <c r="G75" s="489" t="n"/>
    </row>
  </sheetData>
  <mergeCells count="20">
    <mergeCell ref="E24:F24"/>
    <mergeCell ref="B3:B4"/>
    <mergeCell ref="J3:M3"/>
    <mergeCell ref="E23:F23"/>
    <mergeCell ref="G23:K23"/>
    <mergeCell ref="C2:H2"/>
    <mergeCell ref="E3:H3"/>
    <mergeCell ref="A3:A4"/>
    <mergeCell ref="A58:M58"/>
    <mergeCell ref="L24:M24"/>
    <mergeCell ref="I3:I4"/>
    <mergeCell ref="D3:D4"/>
    <mergeCell ref="L23:M23"/>
    <mergeCell ref="A45:M45"/>
    <mergeCell ref="G24:K24"/>
    <mergeCell ref="A70:M70"/>
    <mergeCell ref="L22:M22"/>
    <mergeCell ref="C3:C4"/>
    <mergeCell ref="E22:F22"/>
    <mergeCell ref="G22:K22"/>
  </mergeCells>
  <pageMargins left="0.44" right="0.16" top="0.33" bottom="0.16" header="0.36" footer="0.23"/>
  <pageSetup orientation="landscape" scale="57" fitToHeight="0" useFirstPageNumber="1" horizontalDpi="300" verticalDpi="300"/>
  <drawing xmlns:r="http://schemas.openxmlformats.org/officeDocument/2006/relationships" r:id="rId1"/>
</worksheet>
</file>

<file path=xl/worksheets/sheet2.xml><?xml version="1.0" encoding="utf-8"?>
<worksheet xmlns="http://schemas.openxmlformats.org/spreadsheetml/2006/main">
  <sheetPr>
    <tabColor rgb="FF92D050"/>
    <outlinePr summaryBelow="1" summaryRight="1"/>
    <pageSetUpPr/>
  </sheetPr>
  <dimension ref="A1:L24"/>
  <sheetViews>
    <sheetView showGridLines="0" topLeftCell="A7" zoomScale="75" zoomScaleNormal="75" workbookViewId="0">
      <selection activeCell="C38" sqref="C38"/>
    </sheetView>
  </sheetViews>
  <sheetFormatPr baseColWidth="8" defaultRowHeight="12.75"/>
  <cols>
    <col width="6.5703125" customWidth="1" style="157" min="1" max="1"/>
    <col width="30.140625" customWidth="1" style="157" min="2" max="2"/>
    <col width="51.140625" customWidth="1" style="157" min="3" max="3"/>
    <col width="9" customWidth="1" style="157" min="4" max="4"/>
    <col width="7.7109375" customWidth="1" style="157" min="5" max="7"/>
    <col width="78.28515625" customWidth="1" style="157" min="8" max="8"/>
    <col width="7.7109375" customWidth="1" style="157" min="9" max="11"/>
    <col width="20.5703125" customWidth="1" style="157" min="12" max="12"/>
  </cols>
  <sheetData>
    <row r="1" ht="20.25" customHeight="1" s="157">
      <c r="A1" s="582" t="n"/>
      <c r="B1" s="156" t="n"/>
      <c r="C1" s="535" t="inlineStr">
        <is>
          <t>M&amp;C 전자 VINA COMPANY LIMITED</t>
        </is>
      </c>
      <c r="D1" s="814" t="n"/>
      <c r="E1" s="814" t="n"/>
      <c r="F1" s="814" t="n"/>
      <c r="G1" s="814" t="n"/>
      <c r="H1" s="814" t="n"/>
      <c r="I1" s="277" t="n"/>
      <c r="J1" s="274" t="n"/>
      <c r="K1" s="278" t="n"/>
      <c r="L1" s="279" t="n"/>
    </row>
    <row r="2" ht="15.75" customHeight="1" s="157">
      <c r="A2" s="265" t="n"/>
      <c r="B2" s="158" t="n"/>
      <c r="C2" s="819" t="inlineStr">
        <is>
          <t>구매 부서 위험 설명 
(위험 관리)</t>
        </is>
      </c>
      <c r="D2" s="155" t="n"/>
      <c r="E2" s="155" t="n"/>
      <c r="F2" s="155" t="n"/>
      <c r="G2" s="155" t="n"/>
      <c r="H2" s="155" t="n"/>
      <c r="I2" s="273" t="n"/>
      <c r="J2" s="275" t="n"/>
      <c r="K2" s="272" t="n"/>
      <c r="L2" s="280" t="n"/>
    </row>
    <row r="3" ht="36" customHeight="1" s="157">
      <c r="A3" s="265" t="n"/>
      <c r="B3" s="158" t="n"/>
      <c r="C3" s="265" t="n"/>
      <c r="I3" s="275" t="n"/>
      <c r="J3" s="275" t="n"/>
      <c r="K3" s="272" t="n"/>
      <c r="L3" s="281" t="n"/>
    </row>
    <row r="4" ht="36" customHeight="1" s="157">
      <c r="A4" s="256" t="n"/>
      <c r="B4" s="290" t="n"/>
      <c r="C4" s="256" t="n"/>
      <c r="D4" s="159" t="n"/>
      <c r="E4" s="159" t="n"/>
      <c r="F4" s="159" t="n"/>
      <c r="G4" s="159" t="n"/>
      <c r="H4" s="159" t="n"/>
      <c r="I4" s="282" t="n"/>
      <c r="J4" s="282" t="n"/>
      <c r="K4" s="282" t="n"/>
      <c r="L4" s="283" t="n"/>
    </row>
    <row r="5" ht="15.75" customHeight="1" s="157">
      <c r="A5" s="284" t="n"/>
      <c r="B5" s="285" t="n"/>
      <c r="C5" s="286" t="n"/>
      <c r="D5" s="287" t="n"/>
      <c r="E5" s="287" t="n"/>
      <c r="F5" s="287" t="n"/>
      <c r="G5" s="287" t="n"/>
      <c r="H5" s="285" t="n"/>
      <c r="I5" s="285" t="n"/>
      <c r="J5" s="285" t="n"/>
      <c r="K5" s="285" t="n"/>
      <c r="L5" s="288" t="n"/>
    </row>
    <row r="6" ht="15.75" customHeight="1" s="157">
      <c r="A6" s="533" t="inlineStr">
        <is>
          <t>IT</t>
        </is>
      </c>
      <c r="B6" s="533" t="inlineStr">
        <is>
          <t>상황</t>
        </is>
      </c>
      <c r="C6" s="534" t="inlineStr">
        <is>
          <t>코로나가 발생할 수 있습니다 (위험이 수반됨)</t>
        </is>
      </c>
      <c r="D6" s="533" t="inlineStr">
        <is>
          <t>리스크 평가</t>
        </is>
      </c>
      <c r="E6" s="814" t="n"/>
      <c r="F6" s="814" t="n"/>
      <c r="G6" s="815" t="n"/>
      <c r="H6" s="533" t="inlineStr">
        <is>
          <t>리스크 관리 방법(Risk Management)</t>
        </is>
      </c>
      <c r="I6" s="537" t="inlineStr">
        <is>
          <t>조치 후 평가</t>
        </is>
      </c>
      <c r="J6" s="814" t="n"/>
      <c r="K6" s="814" t="n"/>
      <c r="L6" s="815" t="n"/>
    </row>
    <row r="7" ht="47.25" customHeight="1" s="157">
      <c r="A7" s="818" t="n"/>
      <c r="B7" s="818" t="n"/>
      <c r="C7" s="818" t="n"/>
      <c r="D7" s="534" t="inlineStr">
        <is>
          <t>가능성</t>
        </is>
      </c>
      <c r="E7" s="534" t="inlineStr">
        <is>
          <t>영향</t>
        </is>
      </c>
      <c r="F7" s="534" t="inlineStr">
        <is>
          <t>총점</t>
        </is>
      </c>
      <c r="G7" s="534" t="inlineStr">
        <is>
          <t>위험 분류</t>
        </is>
      </c>
      <c r="H7" s="818" t="n"/>
      <c r="I7" s="537" t="inlineStr">
        <is>
          <t>S</t>
        </is>
      </c>
      <c r="J7" s="538" t="inlineStr">
        <is>
          <t>F</t>
        </is>
      </c>
      <c r="K7" s="538" t="inlineStr">
        <is>
          <t>S*F</t>
        </is>
      </c>
      <c r="L7" s="537" t="inlineStr">
        <is>
          <t>분류
 위험</t>
        </is>
      </c>
    </row>
    <row r="8" ht="56.25" customHeight="1" s="157">
      <c r="A8" s="582" t="n">
        <v>1</v>
      </c>
      <c r="B8" s="583" t="inlineStr">
        <is>
          <t>신규 협력업체 선정
(신규 공급업체 선정)</t>
        </is>
      </c>
      <c r="C8" s="394" t="inlineStr">
        <is>
          <t>- 품질이 초기 조사만큼 만족스럽지 못함
(초기 조사보다 품질이 좋지 않습니다.)</t>
        </is>
      </c>
      <c r="D8" s="582" t="n">
        <v>3</v>
      </c>
      <c r="E8" s="582" t="n">
        <v>3</v>
      </c>
      <c r="F8" s="582" t="n">
        <v>9</v>
      </c>
      <c r="G8" s="582" t="inlineStr">
        <is>
          <t>B</t>
        </is>
      </c>
      <c r="H8" s="394" t="inlineStr">
        <is>
          <t>- 동일한 상품군을 제공하는 여러 공급업체 검색
(상품 그룹을 제공하는 둘 이상의 공급업체 검색)</t>
        </is>
      </c>
      <c r="I8" s="582" t="n">
        <v>2</v>
      </c>
      <c r="J8" s="583" t="n">
        <v>2</v>
      </c>
      <c r="K8" s="583" t="n">
        <v>4</v>
      </c>
      <c r="L8" s="582" t="inlineStr">
        <is>
          <t>A</t>
        </is>
      </c>
    </row>
    <row r="9" ht="47.25" customHeight="1" s="157">
      <c r="A9" s="820" t="n"/>
      <c r="B9" s="820" t="n"/>
      <c r="C9" s="394" t="inlineStr">
        <is>
          <t>- 배송 진행이 초기 조사 과정만큼 만족스럽지 못함
(초기 조사만큼 배송 진행이 좋지 않습니다)</t>
        </is>
      </c>
      <c r="D9" s="820" t="n"/>
      <c r="E9" s="820" t="n"/>
      <c r="F9" s="820" t="n"/>
      <c r="G9" s="820" t="n"/>
      <c r="H9" s="394" t="inlineStr">
        <is>
          <t>- 사용 승인을 받기 전에 잠재적 공급업체 세부정보를 검토합니다.
(공급업체 승인 목록에 넣기 전에 잠재적 공급업체의 세부 사항을 주의 깊게 평가하십시오.)</t>
        </is>
      </c>
      <c r="I9" s="820" t="n"/>
      <c r="J9" s="820" t="n"/>
      <c r="K9" s="820" t="n"/>
      <c r="L9" s="820" t="n"/>
    </row>
    <row r="10" ht="159" customHeight="1" s="157">
      <c r="A10" s="818" t="n"/>
      <c r="B10" s="818" t="n"/>
      <c r="C10" s="394" t="inlineStr">
        <is>
          <t>- 공급업체 역량이 충분하지 않습니다.
(공급업체 용량이 충분하지 않음)</t>
        </is>
      </c>
      <c r="D10" s="818" t="n"/>
      <c r="E10" s="818" t="n"/>
      <c r="F10" s="818" t="n"/>
      <c r="G10" s="818" t="n"/>
      <c r="H10" s="394" t="inlineStr">
        <is>
          <t>- 신규 NCC의 경우: 사용 승인 전 품질 및 서비스 조사를 위한 소규모 계약을 수행합니다.
(신규 Vendor : Vendor Approval List에 올리기 전 품질 및 서비스 조사를 위한 소규모 계약을 진행)
- NCC가 부적절한 대응 역량을 활용하고 있는 경우 백업 및 대체 공급업체 그룹에 대한 분석 수행(NCC 목록에 따라 업데이트됨)
(대응능력을 사용하고 있는 NCC가 더 이상 적합하지 않은 경우 백업/교체 업체에 분석 실시)(업체 목록으로 업데이트)</t>
        </is>
      </c>
      <c r="I10" s="818" t="n"/>
      <c r="J10" s="818" t="n"/>
      <c r="K10" s="818" t="n"/>
      <c r="L10" s="818" t="n"/>
    </row>
    <row r="11" ht="77.25" customFormat="1" customHeight="1" s="395">
      <c r="A11" s="582" t="n">
        <v>2</v>
      </c>
      <c r="B11" s="583" t="inlineStr">
        <is>
          <t>구매 계획이 갑자기 변경되었습니다.
(즉시 주문변경 예정)</t>
        </is>
      </c>
      <c r="C11" s="394" t="inlineStr">
        <is>
          <t>뛰어난 장점을 지닌 공급원을 찾지 못했습니다: 경쟁력 있는 가격, 보장된 품질, 안정적인 공급
(아직 우월한 장점을 지닌 공급원을 찾지 못했습니다: 경쟁력 있는 가격, 보장된 품질, 안정적인 공급)</t>
        </is>
      </c>
      <c r="D11" s="582" t="n">
        <v>3</v>
      </c>
      <c r="E11" s="582" t="n">
        <v>3</v>
      </c>
      <c r="F11" s="582" t="n">
        <v>9</v>
      </c>
      <c r="G11" s="582" t="inlineStr">
        <is>
          <t>B</t>
        </is>
      </c>
      <c r="H11" s="394" t="inlineStr">
        <is>
          <t>구매를 계획하기 전에 시장을 면밀히 조사하고 해외 시장으로 조사를 확장하십시오(필요한 경우).
(구매계획 수립 전 시장조사를 철저히 하고, 해외시장으로 시장조사 확대(필요시)</t>
        </is>
      </c>
      <c r="I11" s="583" t="n">
        <v>2</v>
      </c>
      <c r="J11" s="583" t="n">
        <v>2</v>
      </c>
      <c r="K11" s="583">
        <f>+J11+I11</f>
        <v/>
      </c>
      <c r="L11" s="582" t="inlineStr">
        <is>
          <t>A</t>
        </is>
      </c>
    </row>
    <row r="12" ht="63" customFormat="1" customHeight="1" s="395">
      <c r="A12" s="820" t="n"/>
      <c r="B12" s="820" t="n"/>
      <c r="C12" s="394" t="inlineStr">
        <is>
          <t>구매한 상품의 품질이 올바르지 않습니다.
(구매한 제품의 품질이 요구되는 만큼 충분하지 않습니다.)</t>
        </is>
      </c>
      <c r="D12" s="820" t="n"/>
      <c r="E12" s="820" t="n"/>
      <c r="F12" s="820" t="n"/>
      <c r="G12" s="820" t="n"/>
      <c r="H12" s="394" t="inlineStr">
        <is>
          <t>표준 샘플을 검사하고 주문하기 전에 공급자와 확인 양식을 작성하십시오.
(표준 샘플을 확인하고 주문 전 공급자에게 확인서를 작성하십시오)</t>
        </is>
      </c>
      <c r="I12" s="820" t="n"/>
      <c r="J12" s="820" t="n"/>
      <c r="K12" s="820" t="n"/>
      <c r="L12" s="820" t="n"/>
    </row>
    <row r="13" ht="67.5" customFormat="1" customHeight="1" s="395">
      <c r="A13" s="818" t="n"/>
      <c r="B13" s="818" t="n"/>
      <c r="C13" s="394" t="inlineStr">
        <is>
          <t>구매한 상품이 소요 시간을 충족하지 못했습니다.
(구매한 상품이 소요시간을 충족하지 못함)</t>
        </is>
      </c>
      <c r="D13" s="818" t="n"/>
      <c r="E13" s="818" t="n"/>
      <c r="F13" s="818" t="n"/>
      <c r="G13" s="818" t="n"/>
      <c r="H13" s="394" t="inlineStr">
        <is>
          <t>상품의 리드타임을 설정하고 상품을 구매하는 데 필요한 시간을 계산합니다.
(상품의 리드타임 결정, 구매에 필요한 시간 계산)</t>
        </is>
      </c>
      <c r="I13" s="818" t="n"/>
      <c r="J13" s="818" t="n"/>
      <c r="K13" s="818" t="n"/>
      <c r="L13" s="818" t="n"/>
    </row>
    <row r="14" ht="31.5" customHeight="1" s="157">
      <c r="A14" s="582" t="n">
        <v>3</v>
      </c>
      <c r="B14" s="583" t="inlineStr">
        <is>
          <t>구매 가격이 대폭 상승했습니다. 
(가격 변동 예정 없음)</t>
        </is>
      </c>
      <c r="C14" s="394" t="inlineStr">
        <is>
          <t>높은 가격에 구매하세요
(고가로 구매)</t>
        </is>
      </c>
      <c r="D14" s="582" t="n">
        <v>5</v>
      </c>
      <c r="E14" s="589" t="n">
        <v>3</v>
      </c>
      <c r="F14" s="589" t="n">
        <v>15</v>
      </c>
      <c r="G14" s="589" t="inlineStr">
        <is>
          <t>C</t>
        </is>
      </c>
      <c r="H14" s="394" t="inlineStr">
        <is>
          <t>3개의 다른 공급업체로부터 최소 3개의 견적을 검토하세요.
(3개 공급업체로부터 최소 3개의 견적을 고려하세요)</t>
        </is>
      </c>
      <c r="I14" s="589" t="n">
        <v>2</v>
      </c>
      <c r="J14" s="589" t="n">
        <v>2</v>
      </c>
      <c r="K14" s="583">
        <f>+I14+J14</f>
        <v/>
      </c>
      <c r="L14" s="583" t="inlineStr">
        <is>
          <t>A</t>
        </is>
      </c>
    </row>
    <row r="15" ht="63" customHeight="1" s="157">
      <c r="A15" s="582" t="n">
        <v>4</v>
      </c>
      <c r="B15" s="583" t="inlineStr">
        <is>
          <t>배송이 지연되었습니다
(배송)</t>
        </is>
      </c>
      <c r="C15" s="394" t="inlineStr">
        <is>
          <t>상품이 일정에 맞지 않거나 품질이 보장되지 않습니다.
(상품이 예정대로 배송되지 않거나 품질이 보장되지 않습니다)</t>
        </is>
      </c>
      <c r="D15" s="582" t="n">
        <v>5</v>
      </c>
      <c r="E15" s="589" t="n">
        <v>3</v>
      </c>
      <c r="F15" s="589" t="n">
        <v>15</v>
      </c>
      <c r="G15" s="589" t="inlineStr">
        <is>
          <t>C</t>
        </is>
      </c>
      <c r="H15" s="394" t="inlineStr">
        <is>
          <t>정기적으로 배송 진행 상황을 모니터링하고 입고 기록에 따라 상품 품질을 관리합니다.
(상품 입고 확인 기록에 따라 배송 진행 상황, 상품 품질 관리를 정기적으로 모니터링)</t>
        </is>
      </c>
      <c r="I15" s="589" t="n">
        <v>2</v>
      </c>
      <c r="J15" s="589" t="n">
        <v>2</v>
      </c>
      <c r="K15" s="583">
        <f>+I15+J15</f>
        <v/>
      </c>
      <c r="L15" s="583" t="inlineStr">
        <is>
          <t>A</t>
        </is>
      </c>
    </row>
    <row r="16" ht="63" customHeight="1" s="157">
      <c r="A16" s="582" t="n">
        <v>5</v>
      </c>
      <c r="B16" s="583" t="inlineStr">
        <is>
          <t>협력업체/공급업체가 판매를 거부함
(공급업체가 판매를 거부함)</t>
        </is>
      </c>
      <c r="C16" s="394" t="inlineStr">
        <is>
          <t>생산 중 제품 부족
(생산할 상품이 없습니다)</t>
        </is>
      </c>
      <c r="D16" s="582" t="n">
        <v>2</v>
      </c>
      <c r="E16" s="589" t="n">
        <v>3</v>
      </c>
      <c r="F16" s="589" t="n">
        <v>6</v>
      </c>
      <c r="G16" s="589" t="inlineStr">
        <is>
          <t>B</t>
        </is>
      </c>
      <c r="H16" s="394" t="inlineStr">
        <is>
          <t>항상 백업 공급업체를 확보하고, 각 품목에 대해 2개 이상의 공급업체를 찾으세요(NCC 목록에 따라 업데이트됨).
(항상 백업 공급업체가 있으며, 항상 각 상품 카테고리에 대해 최소 2개의 공급업체를 확인합니다.) (공급업체 목록으로 업데이트)</t>
        </is>
      </c>
      <c r="I16" s="589" t="n">
        <v>1</v>
      </c>
      <c r="J16" s="589" t="n">
        <v>3</v>
      </c>
      <c r="K16" s="583" t="n">
        <v>3</v>
      </c>
      <c r="L16" s="583" t="inlineStr">
        <is>
          <t>A</t>
        </is>
      </c>
    </row>
    <row r="17" ht="101.25" customHeight="1" s="157">
      <c r="A17" s="582" t="n">
        <v>6</v>
      </c>
      <c r="B17" s="583" t="inlineStr">
        <is>
          <t>자연재해, 전염병, 화재로 인한 원치 않는 영향...
(자연재해와 전염병, 화재사고로 인한 예상치 못한 영향...)</t>
        </is>
      </c>
      <c r="C17" s="394" t="inlineStr">
        <is>
          <t>공급망 붕괴로 인해 생산할 수 있는 상품이 없거나 부족함
(생산할 상품이 없습니다)</t>
        </is>
      </c>
      <c r="D17" s="582" t="n">
        <v>2</v>
      </c>
      <c r="E17" s="589" t="n">
        <v>3</v>
      </c>
      <c r="F17" s="589" t="n">
        <v>6</v>
      </c>
      <c r="G17" s="589" t="inlineStr">
        <is>
          <t>B</t>
        </is>
      </c>
      <c r="H17" s="394" t="inlineStr">
        <is>
          <t>항상 예비 공급업체를 확보하고 각 품목(국내 및 해외 모두)에 대해 2개 이상의 공급업체를 찾으십시오(NCC 목록에 따라 업데이트됨).
(항상 백업 벤더가 존재하며, 상품 카테고리별로 최소 2개 이상의 벤더를 항상 살펴보고 있으며, 국내 및 해외 벤더 모두에 적용됩니다.) (벤더 목록으로 업데이트)</t>
        </is>
      </c>
      <c r="I17" s="589" t="n">
        <v>1</v>
      </c>
      <c r="J17" s="589" t="n">
        <v>3</v>
      </c>
      <c r="K17" s="583" t="n">
        <v>3</v>
      </c>
      <c r="L17" s="583" t="inlineStr">
        <is>
          <t>A</t>
        </is>
      </c>
    </row>
    <row r="18" ht="12.75" customHeight="1" s="157">
      <c r="A18" s="154" t="n"/>
      <c r="B18" s="154" t="inlineStr">
        <is>
          <t>아르헨티나는 다음 공식을 사용하여 측정됩니다: R = F x S, 여기서:</t>
        </is>
      </c>
      <c r="C18" s="155" t="n"/>
      <c r="D18" s="155" t="n"/>
      <c r="E18" s="155" t="n"/>
      <c r="F18" s="155" t="n"/>
      <c r="G18" s="155" t="n"/>
      <c r="H18" s="155" t="n"/>
      <c r="I18" s="155" t="n"/>
      <c r="J18" s="155" t="n"/>
      <c r="K18" s="155" t="n"/>
      <c r="L18" s="156" t="n"/>
    </row>
    <row r="19" ht="12.75" customHeight="1" s="157">
      <c r="A19" s="265" t="n"/>
      <c r="B19" s="265" t="inlineStr">
        <is>
          <t>R: 리스크.</t>
        </is>
      </c>
      <c r="L19" s="158" t="n"/>
    </row>
    <row r="20" ht="12.75" customHeight="1" s="157">
      <c r="A20" s="265" t="n"/>
      <c r="B20" s="265" t="inlineStr">
        <is>
          <t>여: 가능성.</t>
        </is>
      </c>
      <c r="L20" s="158" t="n"/>
    </row>
    <row r="21" ht="12.75" customHeight="1" s="157">
      <c r="A21" s="265" t="n"/>
      <c r="B21" s="256" t="inlineStr">
        <is>
          <t>S: 그런 일이 발생하면 어떤 결과가 따르나요?</t>
        </is>
      </c>
      <c r="C21" s="159" t="n"/>
      <c r="D21" s="159" t="n"/>
      <c r="E21" s="159" t="n"/>
      <c r="F21" s="159" t="n"/>
      <c r="G21" s="159" t="n"/>
      <c r="H21" s="159" t="n"/>
      <c r="I21" s="159" t="n"/>
      <c r="J21" s="159" t="n"/>
      <c r="K21" s="159" t="n"/>
      <c r="L21" s="290" t="n"/>
    </row>
    <row r="22" ht="28.5" customFormat="1" customHeight="1" s="208">
      <c r="A22" s="265" t="n"/>
      <c r="B22" s="268" t="inlineStr">
        <is>
          <t>No</t>
        </is>
      </c>
      <c r="C22" s="253" t="inlineStr">
        <is>
          <t>문서번호</t>
        </is>
      </c>
      <c r="D22" s="253" t="inlineStr">
        <is>
          <t>수정됨</t>
        </is>
      </c>
      <c r="E22" s="492" t="inlineStr">
        <is>
          <t xml:space="preserve">발행일 </t>
        </is>
      </c>
      <c r="F22" s="814" t="n"/>
      <c r="G22" s="592" t="inlineStr">
        <is>
          <t xml:space="preserve">내용 </t>
        </is>
      </c>
      <c r="H22" s="814" t="n"/>
      <c r="I22" s="814" t="n"/>
      <c r="J22" s="814" t="n"/>
      <c r="K22" s="815" t="n"/>
      <c r="L22" s="268" t="inlineStr">
        <is>
          <t>작성자</t>
        </is>
      </c>
    </row>
    <row r="23" ht="28.5" customFormat="1" customHeight="1" s="208">
      <c r="A23" s="265" t="n"/>
      <c r="B23" s="268" t="n">
        <v>0</v>
      </c>
      <c r="C23" s="253" t="inlineStr">
        <is>
          <t>PUR.03.00.03</t>
        </is>
      </c>
      <c r="D23" s="253" t="n">
        <v>0</v>
      </c>
      <c r="E23" s="499" t="inlineStr">
        <is>
          <t>02.01.2019</t>
        </is>
      </c>
      <c r="F23" s="814" t="n"/>
      <c r="G23" s="592" t="inlineStr">
        <is>
          <t>신규 작성</t>
        </is>
      </c>
      <c r="H23" s="814" t="n"/>
      <c r="I23" s="814" t="n"/>
      <c r="J23" s="814" t="n"/>
      <c r="K23" s="815" t="n"/>
      <c r="L23" s="268" t="inlineStr">
        <is>
          <t>푸엉 씨</t>
        </is>
      </c>
    </row>
    <row r="24" ht="28.5" customFormat="1" customHeight="1" s="208">
      <c r="A24" s="256" t="n"/>
      <c r="B24" s="212" t="n"/>
      <c r="C24" s="253" t="n"/>
      <c r="D24" s="253" t="n"/>
      <c r="E24" s="499" t="n"/>
      <c r="F24" s="814" t="n"/>
      <c r="G24" s="592" t="n"/>
      <c r="H24" s="814" t="n"/>
      <c r="I24" s="814" t="n"/>
      <c r="J24" s="814" t="n"/>
      <c r="K24" s="815" t="n"/>
      <c r="L24" s="276" t="n"/>
    </row>
  </sheetData>
  <mergeCells count="35">
    <mergeCell ref="A8:A10"/>
    <mergeCell ref="E24:F24"/>
    <mergeCell ref="H6:H7"/>
    <mergeCell ref="E23:F23"/>
    <mergeCell ref="E11:E13"/>
    <mergeCell ref="D8:D10"/>
    <mergeCell ref="A6:A7"/>
    <mergeCell ref="G23:K23"/>
    <mergeCell ref="L11:L13"/>
    <mergeCell ref="I6:L6"/>
    <mergeCell ref="F11:F13"/>
    <mergeCell ref="B6:B7"/>
    <mergeCell ref="G8:G10"/>
    <mergeCell ref="C2:H4"/>
    <mergeCell ref="J8:J10"/>
    <mergeCell ref="E8:E10"/>
    <mergeCell ref="G11:G13"/>
    <mergeCell ref="G24:K24"/>
    <mergeCell ref="D6:G6"/>
    <mergeCell ref="I11:I13"/>
    <mergeCell ref="K11:K13"/>
    <mergeCell ref="A11:A13"/>
    <mergeCell ref="B11:B13"/>
    <mergeCell ref="B8:B10"/>
    <mergeCell ref="L8:L10"/>
    <mergeCell ref="A1:B4"/>
    <mergeCell ref="D11:D13"/>
    <mergeCell ref="J11:J13"/>
    <mergeCell ref="I8:I10"/>
    <mergeCell ref="E22:F22"/>
    <mergeCell ref="K8:K10"/>
    <mergeCell ref="C6:C7"/>
    <mergeCell ref="G22:K22"/>
    <mergeCell ref="F8:F10"/>
    <mergeCell ref="C1:H1"/>
  </mergeCells>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tabColor rgb="FF92D050"/>
    <outlinePr summaryBelow="1" summaryRight="1"/>
    <pageSetUpPr/>
  </sheetPr>
  <dimension ref="A1:M25"/>
  <sheetViews>
    <sheetView showGridLines="0" view="pageBreakPreview" topLeftCell="A8" zoomScale="89" zoomScaleNormal="89" zoomScaleSheetLayoutView="89" workbookViewId="0">
      <selection activeCell="O10" sqref="O10"/>
    </sheetView>
  </sheetViews>
  <sheetFormatPr baseColWidth="8" defaultColWidth="11.5703125" defaultRowHeight="18.75"/>
  <cols>
    <col width="5.5703125" customWidth="1" style="252" min="1" max="1"/>
    <col width="23.42578125" customWidth="1" style="35" min="2" max="2"/>
    <col width="58" customWidth="1" style="36" min="3" max="3"/>
    <col width="45.28515625" customWidth="1" style="37" min="4" max="4"/>
    <col width="4.5703125" customWidth="1" style="252" min="5" max="5"/>
    <col width="5" customWidth="1" style="252" min="6" max="6"/>
    <col width="6.85546875" customWidth="1" style="252" min="7" max="7"/>
    <col width="13.28515625" customWidth="1" style="252" min="8" max="8"/>
    <col width="58" customWidth="1" style="487" min="9" max="9"/>
    <col width="4.7109375" customWidth="1" style="709" min="10" max="10"/>
    <col width="4.85546875" customWidth="1" style="709" min="11" max="11"/>
    <col width="6.5703125" customWidth="1" style="709" min="12" max="12"/>
    <col width="14" customWidth="1" style="252" min="13" max="13"/>
    <col width="11.5703125" customWidth="1" style="252" min="14" max="16384"/>
  </cols>
  <sheetData>
    <row r="1" ht="127.5" customHeight="1" s="157">
      <c r="A1" s="539" t="inlineStr">
        <is>
          <t>위험 분석(팀: INVENTORY) 
위험 분석(방: 창고)</t>
        </is>
      </c>
      <c r="B1" s="813" t="n"/>
      <c r="C1" s="813" t="n"/>
      <c r="D1" s="813" t="n"/>
      <c r="E1" s="813" t="n"/>
      <c r="F1" s="813" t="n"/>
      <c r="G1" s="813" t="n"/>
      <c r="H1" s="118" t="n"/>
      <c r="I1" s="179" t="n"/>
      <c r="J1" s="119" t="n"/>
      <c r="K1" s="119" t="n"/>
      <c r="L1" s="119" t="n"/>
      <c r="M1" s="120" t="n"/>
    </row>
    <row r="2" ht="101.25" customFormat="1" customHeight="1" s="739">
      <c r="A2" s="541" t="inlineStr">
        <is>
          <t>번호</t>
        </is>
      </c>
      <c r="B2" s="542" t="inlineStr">
        <is>
          <t>프로세스/진행상황
프로세스/진행상황</t>
        </is>
      </c>
      <c r="C2" s="542" t="inlineStr">
        <is>
          <t>잠재적 위험</t>
        </is>
      </c>
      <c r="D2" s="542" t="inlineStr">
        <is>
          <t>원인/설명
원인/설명</t>
        </is>
      </c>
      <c r="E2" s="542" t="inlineStr">
        <is>
          <t>리스크 평가
Risk assessment</t>
        </is>
      </c>
      <c r="F2" s="814" t="n"/>
      <c r="G2" s="814" t="n"/>
      <c r="H2" s="815" t="n"/>
      <c r="I2" s="544" t="inlineStr">
        <is>
          <t>예방/시정 조치
예방/시정 조치</t>
        </is>
      </c>
      <c r="J2" s="145" t="inlineStr">
        <is>
          <t>외부 평가
예방 조치를 취한 후
위험 평가
예방 조치를 취한 후</t>
        </is>
      </c>
      <c r="K2" s="814" t="n"/>
      <c r="L2" s="814" t="n"/>
      <c r="M2" s="816" t="n"/>
    </row>
    <row r="3" ht="64.5" customFormat="1" customHeight="1" s="739">
      <c r="A3" s="817" t="n"/>
      <c r="B3" s="818" t="n"/>
      <c r="C3" s="818" t="n"/>
      <c r="D3" s="818" t="n"/>
      <c r="E3" s="573" t="inlineStr">
        <is>
          <t>S</t>
        </is>
      </c>
      <c r="F3" s="573" t="inlineStr">
        <is>
          <t>F</t>
        </is>
      </c>
      <c r="G3" s="573" t="inlineStr">
        <is>
          <t>S*F</t>
        </is>
      </c>
      <c r="H3" s="725" t="inlineStr">
        <is>
          <t>위험 분류
위험 분류</t>
        </is>
      </c>
      <c r="I3" s="818" t="n"/>
      <c r="J3" s="542" t="inlineStr">
        <is>
          <t>S</t>
        </is>
      </c>
      <c r="K3" s="573" t="inlineStr">
        <is>
          <t>F</t>
        </is>
      </c>
      <c r="L3" s="573" t="inlineStr">
        <is>
          <t>S*F</t>
        </is>
      </c>
      <c r="M3" s="149" t="inlineStr">
        <is>
          <t>위험 분류
위험 분류</t>
        </is>
      </c>
    </row>
    <row r="4" ht="112.5" customFormat="1" customHeight="1" s="739">
      <c r="A4" s="121" t="n">
        <v>1</v>
      </c>
      <c r="B4" s="122" t="inlineStr">
        <is>
          <t>물품을 수령하고 보존합니다.
상품을 수령하고 보관하세요.</t>
        </is>
      </c>
      <c r="C4" s="122" t="inlineStr">
        <is>
          <t>재물이 발에 쏟아졌다./재물이 발에 쏟아졌다.</t>
        </is>
      </c>
      <c r="D4" s="123" t="inlineStr">
        <is>
          <t>규정된 기준(&gt;1.6m)보다 높은 부피가 큰 물품을 적재하십시오. / '규정된 기준(&gt;1.6m)을 초과하는 부피가 큰 물품을 적재합니다.</t>
        </is>
      </c>
      <c r="E4" s="84" t="n">
        <v>1</v>
      </c>
      <c r="F4" s="84" t="n">
        <v>3</v>
      </c>
      <c r="G4" s="84">
        <f>E4*F4</f>
        <v/>
      </c>
      <c r="H4" s="85" t="inlineStr">
        <is>
          <t>A</t>
        </is>
      </c>
      <c r="I4" s="122" t="inlineStr">
        <is>
          <t>공급업체는 배송 전에 표준에 따라 제품을 준비하도록 요구합니다. 창고 내 상품 배열도 규정된 표준을 따라야 합니다. / 
납품 전에 공급업체에 올바르게 정렬하도록 요청하십시오. 창고 내 물품의 창고 배치도 규정된 기준을 따라야 합니다..</t>
        </is>
      </c>
      <c r="J4" s="85" t="n">
        <v>1</v>
      </c>
      <c r="K4" s="84" t="n">
        <v>0</v>
      </c>
      <c r="L4" s="84">
        <f>J4*K4</f>
        <v/>
      </c>
      <c r="M4" s="85" t="inlineStr">
        <is>
          <t>A</t>
        </is>
      </c>
    </row>
    <row r="5" ht="54" customFormat="1" customHeight="1" s="739">
      <c r="A5" s="124" t="n">
        <v>2</v>
      </c>
      <c r="B5" s="122" t="inlineStr">
        <is>
          <t>물품을 수령하고 보존합니다.
상품을 수령하고 보관하세요.</t>
        </is>
      </c>
      <c r="C5" s="125" t="inlineStr">
        <is>
          <t>지게차가 후진해 사람과 충돌했습니다. /뒤지게차가 사람과 충돌하다</t>
        </is>
      </c>
      <c r="D5" s="126" t="inlineStr">
        <is>
          <t>빠르게 움직일 때 관찰력이 부족합니다. / 관찰하지 않고 빠르게 움직일 때</t>
        </is>
      </c>
      <c r="E5" s="86" t="n">
        <v>2</v>
      </c>
      <c r="F5" s="86" t="n">
        <v>2</v>
      </c>
      <c r="G5" s="86">
        <f>E5*F5</f>
        <v/>
      </c>
      <c r="H5" s="87" t="inlineStr">
        <is>
          <t>A</t>
        </is>
      </c>
      <c r="I5" s="125" t="inlineStr">
        <is>
          <t>적당한 속도(5km/h)로 이동하고, 주의 깊게 관찰하여 충돌을 피하십시오. / 적당한 속도(5km/h)로 이동하며, 충돌을 피하기 위해 세심한 주의를 기울입니다.</t>
        </is>
      </c>
      <c r="J5" s="87" t="n">
        <v>2</v>
      </c>
      <c r="K5" s="86" t="n">
        <v>0</v>
      </c>
      <c r="L5" s="86">
        <f>J5*K5</f>
        <v/>
      </c>
      <c r="M5" s="87" t="inlineStr">
        <is>
          <t>A</t>
        </is>
      </c>
    </row>
    <row r="6" ht="65.25" customFormat="1" customHeight="1" s="739">
      <c r="A6" s="121" t="n">
        <v>3</v>
      </c>
      <c r="B6" s="122" t="inlineStr">
        <is>
          <t>물품을 수령하고 보존합니다.
상품을 수령하고 보관하세요.</t>
        </is>
      </c>
      <c r="C6" s="125" t="inlineStr">
        <is>
          <t>부러진 팔. / 부러진 손</t>
        </is>
      </c>
      <c r="D6" s="126" t="inlineStr">
        <is>
          <t>날카로운 물건과의 충돌. / 날카로운 물건과의 충돌.</t>
        </is>
      </c>
      <c r="E6" s="86" t="n">
        <v>1</v>
      </c>
      <c r="F6" s="86" t="n">
        <v>5</v>
      </c>
      <c r="G6" s="86">
        <f>E6*F6</f>
        <v/>
      </c>
      <c r="H6" s="87" t="inlineStr">
        <is>
          <t>A</t>
        </is>
      </c>
      <c r="I6" s="125" t="inlineStr">
        <is>
          <t>물품을 수령하고 정리할 때 장갑을 착용하십시오. / 물품 수령 및 분류 시 장갑을 착용하세요.</t>
        </is>
      </c>
      <c r="J6" s="87" t="n">
        <v>1</v>
      </c>
      <c r="K6" s="86" t="n">
        <v>0</v>
      </c>
      <c r="L6" s="86">
        <f>J6*K6</f>
        <v/>
      </c>
      <c r="M6" s="87" t="inlineStr">
        <is>
          <t>A</t>
        </is>
      </c>
    </row>
    <row r="7" ht="114" customFormat="1" customHeight="1" s="739">
      <c r="A7" s="124" t="n">
        <v>4</v>
      </c>
      <c r="B7" s="122" t="inlineStr">
        <is>
          <t>물품을 수령하고 보존합니다.
상품을 수령하고 보관하세요.</t>
        </is>
      </c>
      <c r="C7" s="125" t="inlineStr">
        <is>
          <t>중독, 먼지 및 연기 흡입. / 중독, 연기 및 먼지 흡입.</t>
        </is>
      </c>
      <c r="D7" s="126" t="inlineStr">
        <is>
          <t>물품은 건강에 영향을 미치는 먼지를 함유한 위험한 독입니다. / 상품은 건강에 영향을 미치는 먼지가 포함된 위험한 독물입니다.</t>
        </is>
      </c>
      <c r="E7" s="86" t="n">
        <v>3</v>
      </c>
      <c r="F7" s="86" t="n">
        <v>3</v>
      </c>
      <c r="G7" s="86">
        <f>E7*F7</f>
        <v/>
      </c>
      <c r="H7" s="87" t="inlineStr">
        <is>
          <t>B</t>
        </is>
      </c>
      <c r="I7" s="125" t="inlineStr">
        <is>
          <t>페인트, 화학물질 등 특수한 성질을 지닌 물품을 접촉하기 전 인지교육을 받아야 합니다. 직접 접촉 시에는 장갑과 마스크를 착용하십시오. / 
페인트, 화학물질 등 특수한 특성을 지닌 상품과 접촉하기 전에 주의를 기울이는 훈련을 받아야 합니다. 직접 접촉할 때는 장갑, 안경, 마스크를 착용하십시오.</t>
        </is>
      </c>
      <c r="J7" s="87" t="n">
        <v>3</v>
      </c>
      <c r="K7" s="86" t="n">
        <v>0</v>
      </c>
      <c r="L7" s="86">
        <f>J7*K7</f>
        <v/>
      </c>
      <c r="M7" s="87" t="inlineStr">
        <is>
          <t>B</t>
        </is>
      </c>
    </row>
    <row r="8" ht="84.75" customFormat="1" customHeight="1" s="739">
      <c r="A8" s="121" t="n">
        <v>5</v>
      </c>
      <c r="B8" s="122" t="inlineStr">
        <is>
          <t>물품을 수령하고 보존합니다.
상품을 수령하고 보관하세요.</t>
        </is>
      </c>
      <c r="C8" s="125" t="inlineStr">
        <is>
          <t>허리, 팔, 어깨, 목 통증. / 허리, 팔, 어깨 통증</t>
        </is>
      </c>
      <c r="D8" s="126" t="inlineStr">
        <is>
          <t>무거운 짐을 손으로 운반합니다. / 손으로 들고 다니는 무거운 물건</t>
        </is>
      </c>
      <c r="E8" s="86" t="n">
        <v>1</v>
      </c>
      <c r="F8" s="86" t="n">
        <v>4</v>
      </c>
      <c r="G8" s="86">
        <f>E8*F8</f>
        <v/>
      </c>
      <c r="H8" s="87" t="inlineStr">
        <is>
          <t>A</t>
        </is>
      </c>
      <c r="I8" s="125" t="inlineStr">
        <is>
          <t>지게차와 특수 카트를 사용하여 물품을 당기고 이동하세요. / 지게차, 특수 카트를 사용하여 물품을 끌고 이동합니다.</t>
        </is>
      </c>
      <c r="J8" s="87" t="n">
        <v>1</v>
      </c>
      <c r="K8" s="86" t="n">
        <v>0</v>
      </c>
      <c r="L8" s="86">
        <f>J8*K8</f>
        <v/>
      </c>
      <c r="M8" s="87" t="inlineStr">
        <is>
          <t>A</t>
        </is>
      </c>
    </row>
    <row r="9" ht="69.75" customFormat="1" customHeight="1" s="739">
      <c r="A9" s="124" t="n">
        <v>6</v>
      </c>
      <c r="B9" s="125" t="inlineStr">
        <is>
          <t>상품을 정리합니다.
상품 분류.</t>
        </is>
      </c>
      <c r="C9" s="125" t="inlineStr">
        <is>
          <t>감전/충격파</t>
        </is>
      </c>
      <c r="D9" s="126" t="inlineStr">
        <is>
          <t>단선, 단락된 전선./ 단선, 단락된 전선</t>
        </is>
      </c>
      <c r="E9" s="86" t="n">
        <v>5</v>
      </c>
      <c r="F9" s="86" t="n">
        <v>1</v>
      </c>
      <c r="G9" s="86">
        <f>E9*F9</f>
        <v/>
      </c>
      <c r="H9" s="87" t="inlineStr">
        <is>
          <t>A</t>
        </is>
      </c>
      <c r="I9" s="125" t="inlineStr">
        <is>
          <t>전선이 찢어지거나 노출되었는지 전기기계 부서에 문의하세요. / 전기기계 부서에 문의하여 전선이 찢어졌는지, 열려 있는지 확인하세요.</t>
        </is>
      </c>
      <c r="J9" s="87" t="n">
        <v>5</v>
      </c>
      <c r="K9" s="739" t="n">
        <v>0</v>
      </c>
      <c r="L9" s="86">
        <f>J9*K10</f>
        <v/>
      </c>
      <c r="M9" s="87" t="inlineStr">
        <is>
          <t>A</t>
        </is>
      </c>
    </row>
    <row r="10" ht="111.75" customFormat="1" customHeight="1" s="739">
      <c r="A10" s="121" t="n">
        <v>7</v>
      </c>
      <c r="B10" s="125" t="inlineStr">
        <is>
          <t>상품을 정리합니다.
상품 분류.</t>
        </is>
      </c>
      <c r="C10" s="125" t="inlineStr">
        <is>
          <t>화재 / 화재</t>
        </is>
      </c>
      <c r="D10" s="126" t="inlineStr">
        <is>
          <t>전기 합선이나 인화성 물질로 인해 화재가 발생할 수 있습니다. / 감전이나 인화성 물질로 인해 화재가 발생할 수 있습니다.</t>
        </is>
      </c>
      <c r="E10" s="86" t="n">
        <v>5</v>
      </c>
      <c r="F10" s="86" t="n">
        <v>1</v>
      </c>
      <c r="G10" s="86">
        <f>E10*F10</f>
        <v/>
      </c>
      <c r="H10" s="87" t="inlineStr">
        <is>
          <t>A</t>
        </is>
      </c>
      <c r="I10" s="125" t="inlineStr">
        <is>
          <t>1. 화재 및 폭발예방에 관한 기초지식 교육
2. 신속한 대응을 위해 현장에 소방장비를 배치한다.
1. 화재 및 폭발예방에 관한 기초지식 교육
2. 적시에 대응할 수 있도록 각종 소방수단을 현장에 배치한다.</t>
        </is>
      </c>
      <c r="J10" s="87" t="n">
        <v>5</v>
      </c>
      <c r="K10" s="86" t="n">
        <v>0</v>
      </c>
      <c r="L10" s="86" t="n">
        <v>0</v>
      </c>
      <c r="M10" s="87" t="inlineStr">
        <is>
          <t>A</t>
        </is>
      </c>
    </row>
    <row r="11" ht="68.25" customFormat="1" customHeight="1" s="739">
      <c r="A11" s="124" t="n">
        <v>8</v>
      </c>
      <c r="B11" s="125" t="inlineStr">
        <is>
          <t>상품을 정리합니다.
상품 분류.</t>
        </is>
      </c>
      <c r="C11" s="125" t="inlineStr">
        <is>
          <t>못을 밟았습니다. / 못을 밟다</t>
        </is>
      </c>
      <c r="D11" s="126" t="inlineStr">
        <is>
          <t>나무 팔레트가 손상되고 못이 튀어나와 다리를 관통할 가능성이 있습니다. /나무 팔레트가 손상되어 못이 튀어나와 다리를 뚫을 가능성이 있음</t>
        </is>
      </c>
      <c r="E11" s="86" t="n">
        <v>1</v>
      </c>
      <c r="F11" s="86" t="n">
        <v>3</v>
      </c>
      <c r="G11" s="86">
        <f>E11*F11</f>
        <v/>
      </c>
      <c r="H11" s="87" t="inlineStr">
        <is>
          <t>A</t>
        </is>
      </c>
      <c r="I11" s="125" t="inlineStr">
        <is>
          <t>오래되고 손상된 목재 팔레트를 제거하고 교체하십시오. / 손상된 오래된 나무 팔레트 제거 및 교체</t>
        </is>
      </c>
      <c r="J11" s="87" t="n">
        <v>1</v>
      </c>
      <c r="K11" s="86" t="n">
        <v>0</v>
      </c>
      <c r="L11" s="86">
        <f>J11*K11</f>
        <v/>
      </c>
      <c r="M11" s="87" t="inlineStr">
        <is>
          <t>A</t>
        </is>
      </c>
    </row>
    <row r="12" ht="68.25" customFormat="1" customHeight="1" s="739">
      <c r="A12" s="121" t="n">
        <v>9</v>
      </c>
      <c r="B12" s="125" t="inlineStr">
        <is>
          <t>상품을 정리합니다.
상품 분류.</t>
        </is>
      </c>
      <c r="C12" s="125" t="inlineStr">
        <is>
          <t>미끄러워요. / 미끄러워</t>
        </is>
      </c>
      <c r="D12" s="126" t="inlineStr">
        <is>
          <t>바닥에 물이 흘렀습니다. / 바닥에 물이 흘렀다</t>
        </is>
      </c>
      <c r="E12" s="86" t="n">
        <v>1</v>
      </c>
      <c r="F12" s="86" t="n">
        <v>3</v>
      </c>
      <c r="G12" s="86">
        <f>E12*F12</f>
        <v/>
      </c>
      <c r="H12" s="87" t="inlineStr">
        <is>
          <t>A</t>
        </is>
      </c>
      <c r="I12" s="125" t="inlineStr">
        <is>
          <t>유출 또는 유출 후 즉시 바닥을 청소하십시오. / 물을 쏟거나 흘린 후에는 즉시 바닥을 청소하세요.</t>
        </is>
      </c>
      <c r="J12" s="87" t="n">
        <v>1</v>
      </c>
      <c r="K12" s="86" t="n">
        <v>0</v>
      </c>
      <c r="L12" s="86">
        <f>J12*K12</f>
        <v/>
      </c>
      <c r="M12" s="87" t="inlineStr">
        <is>
          <t>A</t>
        </is>
      </c>
    </row>
    <row r="13" ht="60.75" customFormat="1" customHeight="1" s="739">
      <c r="A13" s="124" t="n">
        <v>10</v>
      </c>
      <c r="B13" s="125" t="inlineStr">
        <is>
          <t>상품을 정리합니다.
상품 분류.</t>
        </is>
      </c>
      <c r="C13" s="126" t="inlineStr">
        <is>
          <t>액체 화학 물질이 눈에 튀어 피부에 손상을 줄 수 있습니다. / 약액이 눈에 들어가 피부에 손상을 줄 수 있습니다.</t>
        </is>
      </c>
      <c r="D13" s="126" t="inlineStr">
        <is>
          <t>화학물질을 운반하고 추출할 때. / 화학물질을 운반 및 추출할 때</t>
        </is>
      </c>
      <c r="E13" s="86" t="n">
        <v>5</v>
      </c>
      <c r="F13" s="86" t="n">
        <v>5</v>
      </c>
      <c r="G13" s="86">
        <f>E13*F13</f>
        <v/>
      </c>
      <c r="H13" s="87" t="inlineStr">
        <is>
          <t>C</t>
        </is>
      </c>
      <c r="I13" s="125" t="inlineStr">
        <is>
          <t>세안 노즐과 위험 경고 라벨이 장착되어 있습니다. / 위험 경고 라벨이 부착된 세안 수도꼭지가 장착되어 있습니다.</t>
        </is>
      </c>
      <c r="J13" s="87" t="n">
        <v>5</v>
      </c>
      <c r="K13" s="86" t="n">
        <v>0</v>
      </c>
      <c r="L13" s="86">
        <f>J13*K13</f>
        <v/>
      </c>
      <c r="M13" s="87" t="inlineStr">
        <is>
          <t>C</t>
        </is>
      </c>
    </row>
    <row r="14" ht="106.5" customFormat="1" customHeight="1" s="739">
      <c r="A14" s="124" t="n">
        <v>11</v>
      </c>
      <c r="B14" s="125" t="inlineStr">
        <is>
          <t>상품을 정리합니다.
상품 분류.</t>
        </is>
      </c>
      <c r="C14" s="126" t="inlineStr">
        <is>
          <t>잘못된 수량의 물품을 수입하고 수출하면 생산에 있어 물품의 부족/과잉이 발생합니다.
잘못된 수량의 상품을 수입 및 수출하면 생산 부족/과잉이 발생합니다.</t>
        </is>
      </c>
      <c r="D14" s="126" t="inlineStr">
        <is>
          <t>수출입 전표 입력시 직원의 실수로 인해.
수출-수입 전표 입력시 직원의 실수로 인해.</t>
        </is>
      </c>
      <c r="E14" s="86" t="n">
        <v>5</v>
      </c>
      <c r="F14" s="86" t="n">
        <v>5</v>
      </c>
      <c r="G14" s="86">
        <f>E14*F14</f>
        <v/>
      </c>
      <c r="H14" s="87" t="inlineStr">
        <is>
          <t>C</t>
        </is>
      </c>
      <c r="I14" s="125" t="inlineStr">
        <is>
          <t>창고관리자는 납품주문서와 창고영수증을 바탕으로 입고수하, 수량 및 파손상태 확인, 영수증 서명, 영수증 발급 등을 담당합니다.
창고 관리 직원은 주문 접수, 보관을 위한 영수증 메모, 수량 및 손상 상태 확인, 영수증 서명 및 영수증 발행을 기반으로 합니다.</t>
        </is>
      </c>
      <c r="J14" s="87" t="n">
        <v>5</v>
      </c>
      <c r="K14" s="86" t="n">
        <v>0</v>
      </c>
      <c r="L14" s="86" t="n">
        <v>0</v>
      </c>
      <c r="M14" s="87" t="inlineStr">
        <is>
          <t>C</t>
        </is>
      </c>
    </row>
    <row r="15" ht="198.75" customFormat="1" customHeight="1" s="739">
      <c r="A15" s="124" t="n">
        <v>12</v>
      </c>
      <c r="B15" s="125" t="inlineStr">
        <is>
          <t>상품을 정리합니다.
상품 분류.</t>
        </is>
      </c>
      <c r="C15" s="126" t="inlineStr">
        <is>
          <t>- 물건을 잘못된 위치에 배치하면 혼란이 생길 ​​수 있습니다.
- 원료를 가공하지 않고 장기간 보관할 경우 제조된 제품의 품질에 영향을 미칠 수 있습니다.
- 자재통의 높이가 규격을 초과할 경우에도 상품이 파손될 수 있습니다.
- 잘못된 상품 배치로 인해 상품 혼선이 발생할 수 있습니다.
- 처리하지 않고 장기간 보관한 자재는 제조된 제품의 품질에 영향을 미칠 수 있습니다.
- 자재박스까지의 높이가 규격을 초과할 경우에도 상품 파손의 원인이 됩니다.D15</t>
        </is>
      </c>
      <c r="D15" s="126" t="inlineStr">
        <is>
          <t>직원이 창고 관리 절차를 준수하지 않기 때문입니다. / 직원이 창고 관리 프로세스를 따르지 않기 때문입니다.</t>
        </is>
      </c>
      <c r="E15" s="86" t="n">
        <v>1</v>
      </c>
      <c r="F15" s="86" t="n">
        <v>2</v>
      </c>
      <c r="G15" s="86" t="n">
        <v>2</v>
      </c>
      <c r="H15" s="87" t="inlineStr">
        <is>
          <t>A</t>
        </is>
      </c>
      <c r="I15" s="125" t="inlineStr">
        <is>
          <t>- 모든 유형의 재고 자재는 정확한 라벨과 보고서를 통해 명확하게 분류되어야 합니다. 
- 장기간 보관된 자재는 주기적으로 처리해야 합니다.
- 자재통의 높이는 2미터를 초과할 수 없으며, 4층 이하, 제품 트레이의 경우 2층 이하이어야 합니다.
- 재고가 있는 자재는 명확하게 분류되고 라벨이 부착되어 올바르게 보고되어야 합니다.
- 장기간 재고가 있는 자재는 수시로 처리해야 합니다.
- 자재통 높이는 2미터를 넘지 않아야 하며, 4층 이하, 제품 트레이 블록의 경우 2층 이하이어야 합니다.</t>
        </is>
      </c>
      <c r="J15" s="87" t="n">
        <v>1</v>
      </c>
      <c r="K15" s="86" t="n">
        <v>0</v>
      </c>
      <c r="L15" s="86" t="n">
        <v>0</v>
      </c>
      <c r="M15" s="87" t="inlineStr">
        <is>
          <t>A</t>
        </is>
      </c>
    </row>
    <row r="16" ht="75" customFormat="1" customHeight="1" s="739">
      <c r="A16" s="121" t="n">
        <v>13</v>
      </c>
      <c r="B16" s="125" t="inlineStr">
        <is>
          <t>상품을 정리합니다.
상품 분류.</t>
        </is>
      </c>
      <c r="C16" s="125" t="inlineStr">
        <is>
          <t>- 선입선출 원칙을 따르지 않는 물품을 수출할 경우 기존 물품과 새 물품이 혼재될 수 있습니다.
 - 선입선출 원칙에 따른 항공 수출은 기존 물품과 새 물품의 혼동을 초래할 수 있습니다.</t>
        </is>
      </c>
      <c r="D16" s="126" t="inlineStr">
        <is>
          <t>직원들이 창고 관리 절차를 준수하지 않기 때문에</t>
        </is>
      </c>
      <c r="E16" s="86" t="n">
        <v>2</v>
      </c>
      <c r="F16" s="86" t="n">
        <v>2</v>
      </c>
      <c r="G16" s="86" t="n">
        <v>4</v>
      </c>
      <c r="H16" s="87" t="inlineStr">
        <is>
          <t>A</t>
        </is>
      </c>
      <c r="I16" s="127" t="inlineStr">
        <is>
          <t>- 공산품의 수출은 선입선출 원칙을 준수해야 합니다.
- 완제품의 출력은 선입선출 원칙을 준수해야 합니다.</t>
        </is>
      </c>
      <c r="J16" s="87" t="n">
        <v>2</v>
      </c>
      <c r="K16" s="86" t="n">
        <v>0</v>
      </c>
      <c r="L16" s="86" t="n">
        <v>0</v>
      </c>
      <c r="M16" s="87" t="inlineStr">
        <is>
          <t>A</t>
        </is>
      </c>
    </row>
    <row r="17" ht="75" customFormat="1" customHeight="1" s="739">
      <c r="A17" s="124" t="n">
        <v>14</v>
      </c>
      <c r="B17" s="122" t="inlineStr">
        <is>
          <t>물품을 수령하고 보존합니다.
상품을 수령하고 보관하세요.</t>
        </is>
      </c>
      <c r="C17" s="125" t="inlineStr">
        <is>
          <t>잘못된 재고 보고서는 다음 단계의 생산 진행에 영향을 미칩니다.
 잘못된 재고 보고서는 다음 단계의 생산 진행에 영향을 미칩니다.</t>
        </is>
      </c>
      <c r="D17" s="126" t="inlineStr">
        <is>
          <t>재고 계산 시 직원의 실수로 인해.</t>
        </is>
      </c>
      <c r="E17" s="86" t="n">
        <v>2</v>
      </c>
      <c r="F17" s="86" t="n">
        <v>2</v>
      </c>
      <c r="G17" s="86" t="n">
        <v>4</v>
      </c>
      <c r="H17" s="87" t="inlineStr">
        <is>
          <t>A</t>
        </is>
      </c>
      <c r="I17" s="128" t="inlineStr">
        <is>
          <t>이전 재고, 수입, 수출 및 현재 재고 보고서를 당일 시간대에 따라 명확하게 업데이트합니다. 
당일 시간대에 따라 기존 보고서, 가져오기/내보내기 및 현재 존재를 명확하게 업데이트합니다.</t>
        </is>
      </c>
      <c r="J17" s="87" t="n">
        <v>2</v>
      </c>
      <c r="K17" s="86" t="n">
        <v>0</v>
      </c>
      <c r="L17" s="86" t="n">
        <v>0</v>
      </c>
      <c r="M17" s="87" t="inlineStr">
        <is>
          <t>A</t>
        </is>
      </c>
    </row>
    <row r="18" ht="75" customFormat="1" customHeight="1" s="739" thickBot="1">
      <c r="A18" s="129" t="n">
        <v>15</v>
      </c>
      <c r="B18" s="130" t="inlineStr">
        <is>
          <t>질병/질병</t>
        </is>
      </c>
      <c r="C18" s="130" t="inlineStr">
        <is>
          <t>회사 외부의 많은 사람들과의 접촉은 병원균을 쉽게 퍼뜨릴 수 있습니다.
외부에서 회사 내부로 많은 사람들과 접촉하는 것은 쉽게 미덕을 전파합니다.</t>
        </is>
      </c>
      <c r="D18" s="131" t="inlineStr">
        <is>
          <t>근로자와 직원이 전염병 예방 규정을 준수하지 않기 때문입니다.</t>
        </is>
      </c>
      <c r="E18" s="132" t="n">
        <v>3</v>
      </c>
      <c r="F18" s="132" t="n">
        <v>3</v>
      </c>
      <c r="G18" s="132" t="n">
        <v>6</v>
      </c>
      <c r="H18" s="133" t="inlineStr">
        <is>
          <t>B</t>
        </is>
      </c>
      <c r="I18" s="134" t="inlineStr">
        <is>
          <t>회사의 질병예방수칙을 항상 준수하세요. (소독, 마스크 착용...)
회사의 질병예방수칙을 항상 준수하세요. (소독, 마스크 착용...)</t>
        </is>
      </c>
      <c r="J18" s="133" t="n">
        <v>1</v>
      </c>
      <c r="K18" s="132" t="n">
        <v>1</v>
      </c>
      <c r="L18" s="132" t="n">
        <v>1</v>
      </c>
      <c r="M18" s="87" t="inlineStr">
        <is>
          <t>A</t>
        </is>
      </c>
    </row>
    <row r="19" ht="12.75" customHeight="1" s="157">
      <c r="A19" s="265" t="n"/>
      <c r="B19" s="265" t="inlineStr">
        <is>
          <t>아르헨티나는 다음 공식을 사용하여 측정됩니다: R = F x S, 여기서:</t>
        </is>
      </c>
      <c r="M19" s="158" t="n"/>
    </row>
    <row r="20" ht="12.75" customHeight="1" s="157">
      <c r="A20" s="265" t="n"/>
      <c r="B20" s="265" t="inlineStr">
        <is>
          <t>R: 리스크.</t>
        </is>
      </c>
      <c r="M20" s="158" t="n"/>
    </row>
    <row r="21" ht="12.75" customHeight="1" s="157">
      <c r="A21" s="265" t="n"/>
      <c r="B21" s="265" t="inlineStr">
        <is>
          <t>여: 가능성.</t>
        </is>
      </c>
      <c r="M21" s="158" t="n"/>
    </row>
    <row r="22" ht="12.75" customHeight="1" s="157">
      <c r="A22" s="265" t="n"/>
      <c r="B22" s="256" t="inlineStr">
        <is>
          <t>S: 그런 일이 발생하면 어떤 결과가 따르나요?</t>
        </is>
      </c>
      <c r="C22" s="159" t="n"/>
      <c r="D22" s="159" t="n"/>
      <c r="E22" s="159" t="n"/>
      <c r="F22" s="159" t="n"/>
      <c r="G22" s="159" t="n"/>
      <c r="H22" s="159" t="n"/>
      <c r="I22" s="159" t="n"/>
      <c r="J22" s="159" t="n"/>
      <c r="K22" s="159" t="n"/>
      <c r="L22" s="159" t="n"/>
      <c r="M22" s="290" t="n"/>
    </row>
    <row r="23" ht="15.75" customFormat="1" customHeight="1" s="208">
      <c r="A23" s="265" t="n"/>
      <c r="B23" s="268" t="inlineStr">
        <is>
          <t>No</t>
        </is>
      </c>
      <c r="C23" s="253" t="inlineStr">
        <is>
          <t>문서번호</t>
        </is>
      </c>
      <c r="D23" s="253" t="inlineStr">
        <is>
          <t>발행일</t>
        </is>
      </c>
      <c r="E23" s="492" t="inlineStr">
        <is>
          <t>개정</t>
        </is>
      </c>
      <c r="F23" s="814" t="n"/>
      <c r="G23" s="592" t="inlineStr">
        <is>
          <t xml:space="preserve">내용 </t>
        </is>
      </c>
      <c r="H23" s="814" t="n"/>
      <c r="I23" s="814" t="n"/>
      <c r="J23" s="814" t="n"/>
      <c r="K23" s="815" t="n"/>
      <c r="L23" s="501" t="inlineStr">
        <is>
          <t>작성자</t>
        </is>
      </c>
      <c r="M23" s="815" t="n"/>
    </row>
    <row r="24" ht="15.75" customFormat="1" customHeight="1" s="208">
      <c r="A24" s="265" t="n"/>
      <c r="B24" s="268" t="n">
        <v>0</v>
      </c>
      <c r="C24" s="253" t="inlineStr">
        <is>
          <t>WH.04.01.09</t>
        </is>
      </c>
      <c r="D24" s="253" t="inlineStr">
        <is>
          <t>02.01.2019</t>
        </is>
      </c>
      <c r="E24" s="496" t="inlineStr">
        <is>
          <t>0</t>
        </is>
      </c>
      <c r="F24" s="814" t="n"/>
      <c r="G24" s="592" t="inlineStr">
        <is>
          <t>신규 작성</t>
        </is>
      </c>
      <c r="H24" s="814" t="n"/>
      <c r="I24" s="814" t="n"/>
      <c r="J24" s="814" t="n"/>
      <c r="K24" s="815" t="n"/>
      <c r="L24" s="501" t="inlineStr">
        <is>
          <t>Mr Duy</t>
        </is>
      </c>
      <c r="M24" s="815" t="n"/>
    </row>
    <row r="25" ht="15.75" customFormat="1" customHeight="1" s="208">
      <c r="A25" s="256" t="n"/>
      <c r="B25" s="212" t="n"/>
      <c r="C25" s="253" t="n"/>
      <c r="D25" s="253" t="n"/>
      <c r="E25" s="499" t="n"/>
      <c r="F25" s="814" t="n"/>
      <c r="G25" s="592" t="n"/>
      <c r="H25" s="814" t="n"/>
      <c r="I25" s="814" t="n"/>
      <c r="J25" s="814" t="n"/>
      <c r="K25" s="815" t="n"/>
      <c r="L25" s="501" t="n"/>
      <c r="M25" s="815" t="n"/>
    </row>
  </sheetData>
  <mergeCells count="17">
    <mergeCell ref="A1:G1"/>
    <mergeCell ref="E24:F24"/>
    <mergeCell ref="E25:F25"/>
    <mergeCell ref="G24:K24"/>
    <mergeCell ref="L24:M24"/>
    <mergeCell ref="G25:K25"/>
    <mergeCell ref="L25:M25"/>
    <mergeCell ref="E23:F23"/>
    <mergeCell ref="D2:D3"/>
    <mergeCell ref="A2:A3"/>
    <mergeCell ref="J2:M2"/>
    <mergeCell ref="L23:M23"/>
    <mergeCell ref="C2:C3"/>
    <mergeCell ref="G23:K23"/>
    <mergeCell ref="B2:B3"/>
    <mergeCell ref="E2:H2"/>
    <mergeCell ref="I2:I3"/>
  </mergeCells>
  <pageMargins left="0.4330708661417323" right="0.1574803149606299" top="0.1574803149606299" bottom="0.1574803149606299" header="0.1574803149606299" footer="0.2362204724409449"/>
  <pageSetup orientation="landscape" scale="53" fitToHeight="0" useFirstPageNumber="1" horizontalDpi="300" verticalDpi="300"/>
  <drawing xmlns:r="http://schemas.openxmlformats.org/officeDocument/2006/relationships" r:id="rId1"/>
</worksheet>
</file>

<file path=xl/worksheets/sheet4.xml><?xml version="1.0" encoding="utf-8"?>
<worksheet xmlns="http://schemas.openxmlformats.org/spreadsheetml/2006/main">
  <sheetPr>
    <tabColor rgb="FFFFC000"/>
    <outlinePr summaryBelow="1" summaryRight="1"/>
    <pageSetUpPr/>
  </sheetPr>
  <dimension ref="A1:O52"/>
  <sheetViews>
    <sheetView showGridLines="0" topLeftCell="A13" zoomScale="89" zoomScaleNormal="89" zoomScaleSheetLayoutView="82" workbookViewId="0">
      <selection activeCell="J24" sqref="J23:O24"/>
    </sheetView>
  </sheetViews>
  <sheetFormatPr baseColWidth="8" defaultColWidth="11.5703125" defaultRowHeight="18.75"/>
  <cols>
    <col width="6" customWidth="1" style="252" min="1" max="1"/>
    <col width="11" customWidth="1" style="35" min="2" max="2"/>
    <col width="22.7109375" customWidth="1" style="36" min="3" max="3"/>
    <col width="11.5703125" customWidth="1" style="36" min="4" max="4"/>
    <col width="7.5703125" customWidth="1" style="252" min="5" max="8"/>
    <col width="10.7109375" customWidth="1" style="35" min="9" max="9"/>
    <col width="21" customWidth="1" style="487" min="10" max="10"/>
    <col width="33.5703125" customWidth="1" style="487" min="11" max="11"/>
    <col width="7.5703125" customWidth="1" style="709" min="12" max="13"/>
    <col width="7.5703125" customWidth="1" style="252" min="14" max="15"/>
    <col width="11.5703125" customWidth="1" style="252" min="16" max="16384"/>
  </cols>
  <sheetData>
    <row r="1" ht="63.75" customFormat="1" customHeight="1" s="739">
      <c r="A1" s="551" t="inlineStr">
        <is>
          <t>CNC 부서 위험 평가 표</t>
        </is>
      </c>
    </row>
    <row r="2" ht="45.75" customFormat="1" customHeight="1" s="739">
      <c r="A2" s="821" t="n"/>
    </row>
    <row r="3" ht="45.75" customFormat="1" customHeight="1" s="739">
      <c r="A3" s="822" t="n"/>
      <c r="B3" s="159" t="n"/>
      <c r="C3" s="159" t="n"/>
      <c r="D3" s="159" t="n"/>
      <c r="E3" s="159" t="n"/>
      <c r="F3" s="159" t="n"/>
      <c r="G3" s="159" t="n"/>
      <c r="H3" s="159" t="n"/>
      <c r="I3" s="159" t="n"/>
      <c r="J3" s="159" t="n"/>
      <c r="K3" s="159" t="n"/>
      <c r="L3" s="159" t="n"/>
      <c r="M3" s="159" t="n"/>
      <c r="N3" s="159" t="n"/>
      <c r="O3" s="159" t="n"/>
    </row>
    <row r="4" ht="48.75" customFormat="1" customHeight="1" s="739">
      <c r="A4" s="570" t="inlineStr">
        <is>
          <t>번호</t>
        </is>
      </c>
      <c r="B4" s="571" t="inlineStr">
        <is>
          <t>CNC 가공 생산 공정</t>
        </is>
      </c>
      <c r="C4" s="572" t="inlineStr">
        <is>
          <t>가능한 위험</t>
        </is>
      </c>
      <c r="D4" s="156" t="n"/>
      <c r="E4" s="573" t="inlineStr">
        <is>
          <t>리스크 평가</t>
        </is>
      </c>
      <c r="F4" s="814" t="n"/>
      <c r="G4" s="814" t="n"/>
      <c r="H4" s="815" t="n"/>
      <c r="I4" s="556" t="inlineStr">
        <is>
          <t>위험 통제 및 예방 방법</t>
        </is>
      </c>
      <c r="J4" s="156" t="n"/>
      <c r="K4" s="556" t="inlineStr">
        <is>
          <t>구현 및 시정 조치.</t>
        </is>
      </c>
      <c r="L4" s="725" t="inlineStr">
        <is>
          <t>외부 평가
예방 및 시정 조치를 취한 후</t>
        </is>
      </c>
      <c r="M4" s="814" t="n"/>
      <c r="N4" s="814" t="n"/>
      <c r="O4" s="815" t="n"/>
    </row>
    <row r="5" ht="48.75" customFormat="1" customHeight="1" s="739">
      <c r="A5" s="818" t="n"/>
      <c r="B5" s="818" t="n"/>
      <c r="C5" s="256" t="n"/>
      <c r="D5" s="290" t="n"/>
      <c r="E5" s="573" t="inlineStr">
        <is>
          <t>S</t>
        </is>
      </c>
      <c r="F5" s="573" t="inlineStr">
        <is>
          <t>F</t>
        </is>
      </c>
      <c r="G5" s="573" t="inlineStr">
        <is>
          <t>S*F</t>
        </is>
      </c>
      <c r="H5" s="725" t="inlineStr">
        <is>
          <t>위험 분류</t>
        </is>
      </c>
      <c r="I5" s="256" t="n"/>
      <c r="J5" s="290" t="n"/>
      <c r="K5" s="818" t="n"/>
      <c r="L5" s="725" t="inlineStr">
        <is>
          <t>S</t>
        </is>
      </c>
      <c r="M5" s="724" t="inlineStr">
        <is>
          <t>F</t>
        </is>
      </c>
      <c r="N5" s="724" t="inlineStr">
        <is>
          <t>S*F</t>
        </is>
      </c>
      <c r="O5" s="725" t="inlineStr">
        <is>
          <t>분류
 위험</t>
        </is>
      </c>
    </row>
    <row r="6" ht="66" customFormat="1" customHeight="1" s="739">
      <c r="A6" s="115" t="n">
        <v>1</v>
      </c>
      <c r="B6" s="560" t="inlineStr">
        <is>
          <t>냉각수 오일 용액. 윤활유</t>
        </is>
      </c>
      <c r="C6" s="555" t="inlineStr">
        <is>
          <t>오일펌프가 고장나서 오일을 펌핑할 수 없습니다.</t>
        </is>
      </c>
      <c r="D6" s="815" t="n"/>
      <c r="E6" s="560" t="n">
        <v>5</v>
      </c>
      <c r="F6" s="560" t="n">
        <v>1</v>
      </c>
      <c r="G6" s="560">
        <f>+E6*F6</f>
        <v/>
      </c>
      <c r="H6" s="560" t="inlineStr">
        <is>
          <t>A</t>
        </is>
      </c>
      <c r="I6" s="555" t="inlineStr">
        <is>
          <t>정기 점검 및 유지 관리 계획. 최소한의 안전한 교체 예비 재료를 보장합니다.</t>
        </is>
      </c>
      <c r="J6" s="815" t="n"/>
      <c r="K6" s="555" t="inlineStr">
        <is>
          <t>기계가 갑자기 고장 나면 기술자가 즉시 수리합니다. 가능한 가장 빠른 수리 시간을 보장합니다.</t>
        </is>
      </c>
      <c r="L6" s="560" t="n">
        <v>2</v>
      </c>
      <c r="M6" s="115" t="n">
        <v>1</v>
      </c>
      <c r="N6" s="115">
        <f>+L6*M6</f>
        <v/>
      </c>
      <c r="O6" s="115" t="inlineStr">
        <is>
          <t>A</t>
        </is>
      </c>
    </row>
    <row r="7" ht="66" customFormat="1" customHeight="1" s="739">
      <c r="A7" s="115" t="n"/>
      <c r="B7" s="820" t="n"/>
      <c r="C7" s="577" t="inlineStr">
        <is>
          <t>스키머 오일 필터가 파손되었습니다.</t>
        </is>
      </c>
      <c r="D7" s="815" t="n"/>
      <c r="E7" s="560" t="n">
        <v>5</v>
      </c>
      <c r="F7" s="560" t="n">
        <v>3</v>
      </c>
      <c r="G7" s="560" t="n">
        <v>15</v>
      </c>
      <c r="H7" s="560" t="inlineStr">
        <is>
          <t>C</t>
        </is>
      </c>
      <c r="I7" s="577" t="inlineStr">
        <is>
          <t>정기 점검 및 유지 관리 계획. 최소한의 안전한 교체 예비 재료를 보장합니다.</t>
        </is>
      </c>
      <c r="J7" s="815" t="n"/>
      <c r="K7" s="555" t="inlineStr">
        <is>
          <t>기계가 갑자기 고장 나면 기술자가 즉시 수리합니다. 가능한 가장 빠른 수리 시간을 보장합니다.</t>
        </is>
      </c>
      <c r="L7" s="560" t="n">
        <v>2</v>
      </c>
      <c r="M7" s="115" t="n">
        <v>1</v>
      </c>
      <c r="N7" s="115">
        <f>+L7*M7</f>
        <v/>
      </c>
      <c r="O7" s="115" t="inlineStr">
        <is>
          <t>A</t>
        </is>
      </c>
    </row>
    <row r="8" ht="66" customFormat="1" customHeight="1" s="739">
      <c r="A8" s="115" t="n">
        <v>2</v>
      </c>
      <c r="B8" s="818" t="n"/>
      <c r="C8" s="555" t="inlineStr">
        <is>
          <t>냉각수 오일 농도가 허용치 이내입니다. 윤활유가 없어졌습니다.</t>
        </is>
      </c>
      <c r="D8" s="815" t="n"/>
      <c r="E8" s="560" t="n">
        <v>3</v>
      </c>
      <c r="F8" s="560" t="n">
        <v>3</v>
      </c>
      <c r="G8" s="560">
        <f>+E8*F8</f>
        <v/>
      </c>
      <c r="H8" s="560" t="inlineStr">
        <is>
          <t>B</t>
        </is>
      </c>
      <c r="I8" s="555" t="inlineStr">
        <is>
          <t>시트 점검을 확인하고 냉각유 보충 작업을 모니터링합니다. 그리고 윤활유 레벨.</t>
        </is>
      </c>
      <c r="J8" s="815" t="n"/>
      <c r="K8" s="555" t="inlineStr">
        <is>
          <t>기계의 작동 상태를 모니터링하기 위해 체크 시트 검사를 감독하십시오.</t>
        </is>
      </c>
      <c r="L8" s="560" t="n">
        <v>2</v>
      </c>
      <c r="M8" s="115" t="n">
        <v>1</v>
      </c>
      <c r="N8" s="115">
        <f>+L8*M8</f>
        <v/>
      </c>
      <c r="O8" s="115" t="inlineStr">
        <is>
          <t>A</t>
        </is>
      </c>
    </row>
    <row r="9" ht="66" customFormat="1" customHeight="1" s="739">
      <c r="A9" s="115" t="n">
        <v>3</v>
      </c>
      <c r="B9" s="560" t="inlineStr">
        <is>
          <t>CNC 기계</t>
        </is>
      </c>
      <c r="C9" s="555" t="inlineStr">
        <is>
          <t>과부하 또는 유지 관리 부족 및 부품 교체로 인한 손상.</t>
        </is>
      </c>
      <c r="D9" s="815" t="n"/>
      <c r="E9" s="560" t="n">
        <v>5</v>
      </c>
      <c r="F9" s="560" t="n">
        <v>2</v>
      </c>
      <c r="G9" s="560">
        <f>+E9*F9</f>
        <v/>
      </c>
      <c r="H9" s="560" t="inlineStr">
        <is>
          <t>B</t>
        </is>
      </c>
      <c r="I9" s="555" t="inlineStr">
        <is>
          <t>유지보수 인력을 위한 교육 계획입니다. 정기 점검 및 유지 관리 계획. 최소한의 안전한 교체 예비 재료를 보장합니다.</t>
        </is>
      </c>
      <c r="J9" s="815" t="n"/>
      <c r="K9" s="555" t="inlineStr">
        <is>
          <t>기술자는 기계에 대한 정기적인 유지 관리 및 수리 점검을 수행하고, 예상치 못한 기계 고장을 수정하며, 유지 관리 및 수리 검사 기록을 저장합니다.</t>
        </is>
      </c>
      <c r="L9" s="560" t="n">
        <v>1</v>
      </c>
      <c r="M9" s="115" t="n">
        <v>1</v>
      </c>
      <c r="N9" s="115">
        <f>+L9*M9</f>
        <v/>
      </c>
      <c r="O9" s="115" t="inlineStr">
        <is>
          <t>A</t>
        </is>
      </c>
    </row>
    <row r="10" ht="66" customFormat="1" customHeight="1" s="739">
      <c r="A10" s="115" t="n">
        <v>4</v>
      </c>
      <c r="B10" s="560" t="inlineStr">
        <is>
          <t>CNC 기계 운영</t>
        </is>
      </c>
      <c r="C10" s="555" t="inlineStr">
        <is>
          <t>기계 작동이 부적절하면 제품 크기가 손상될 수 있습니다.</t>
        </is>
      </c>
      <c r="D10" s="815" t="n"/>
      <c r="E10" s="560" t="n">
        <v>5</v>
      </c>
      <c r="F10" s="560" t="n">
        <v>3</v>
      </c>
      <c r="G10" s="560">
        <f>+E10*F10</f>
        <v/>
      </c>
      <c r="H10" s="560" t="inlineStr">
        <is>
          <t>C</t>
        </is>
      </c>
      <c r="I10" s="555" t="inlineStr">
        <is>
          <t>제조 및 처리 작업에 대한 지침 테이블을 만듭니다. 정기적인 작전 훈련.</t>
        </is>
      </c>
      <c r="J10" s="815" t="n"/>
      <c r="K10" s="555" t="inlineStr">
        <is>
          <t>기계 작동 지침은 생산 작업자의 작업 공간 위에 게시되어 있습니다.</t>
        </is>
      </c>
      <c r="L10" s="560" t="n">
        <v>3</v>
      </c>
      <c r="M10" s="115" t="n">
        <v>1</v>
      </c>
      <c r="N10" s="115">
        <f>+L10*M10</f>
        <v/>
      </c>
      <c r="O10" s="115" t="inlineStr">
        <is>
          <t>A</t>
        </is>
      </c>
    </row>
    <row r="11" ht="66" customFormat="1" customHeight="1" s="739">
      <c r="A11" s="115" t="n">
        <v>5</v>
      </c>
      <c r="B11" s="818" t="n"/>
      <c r="C11" s="555" t="inlineStr">
        <is>
          <t>부적절한 작동, 수리 및 유지보수 기술로 인해 기계가 손상될 수 있습니다.</t>
        </is>
      </c>
      <c r="D11" s="815" t="n"/>
      <c r="E11" s="560" t="n">
        <v>5</v>
      </c>
      <c r="F11" s="560" t="n">
        <v>3</v>
      </c>
      <c r="G11" s="560">
        <f>+E11*F11</f>
        <v/>
      </c>
      <c r="H11" s="560" t="inlineStr">
        <is>
          <t>C</t>
        </is>
      </c>
      <c r="I11" s="555" t="inlineStr">
        <is>
          <t>CNC 기계에 대한 유지보수 및 수리 지침을 작성하고 기술자가 정기적으로 작업할 수 있도록 교육하십시오.</t>
        </is>
      </c>
      <c r="J11" s="815" t="n"/>
      <c r="K11" s="555" t="inlineStr">
        <is>
          <t>hdtt 보드는 유지 관리 작업 영역 위에 걸려 있습니다.</t>
        </is>
      </c>
      <c r="L11" s="560" t="n">
        <v>2</v>
      </c>
      <c r="M11" s="115" t="n">
        <v>1</v>
      </c>
      <c r="N11" s="115">
        <f>+L11*M11</f>
        <v/>
      </c>
      <c r="O11" s="115" t="inlineStr">
        <is>
          <t>A</t>
        </is>
      </c>
    </row>
    <row r="12" ht="66" customFormat="1" customHeight="1" s="739">
      <c r="A12" s="115" t="n">
        <v>6</v>
      </c>
      <c r="B12" s="560" t="inlineStr">
        <is>
          <t>직원들은 CNC 워크샵에서 일합니다.</t>
        </is>
      </c>
      <c r="C12" s="555" t="inlineStr">
        <is>
          <t>일할 인력 부족으로 생산 계획 달성 실패</t>
        </is>
      </c>
      <c r="D12" s="815" t="n"/>
      <c r="E12" s="560" t="n">
        <v>3</v>
      </c>
      <c r="F12" s="560" t="n">
        <v>2</v>
      </c>
      <c r="G12" s="560">
        <f>+E12*F12</f>
        <v/>
      </c>
      <c r="H12" s="560" t="inlineStr">
        <is>
          <t>B</t>
        </is>
      </c>
      <c r="I12" s="555" t="inlineStr">
        <is>
          <t>따라서 일일 및 주간 생산 카파 계획은 생산 계획 측에서 보낸 주문을 기반으로 매일 작업하는 작업 수를 보고합니다.</t>
        </is>
      </c>
      <c r="J12" s="815" t="n"/>
      <c r="K12" s="555" t="inlineStr">
        <is>
          <t>실행/수행은 매일 오전 9시에 보고됩니다.</t>
        </is>
      </c>
      <c r="L12" s="560" t="n">
        <v>1</v>
      </c>
      <c r="M12" s="115" t="n">
        <v>0</v>
      </c>
      <c r="N12" s="115">
        <f>+L12*M12</f>
        <v/>
      </c>
      <c r="O12" s="115" t="inlineStr">
        <is>
          <t>A</t>
        </is>
      </c>
    </row>
    <row r="13" ht="66" customFormat="1" customHeight="1" s="739">
      <c r="A13" s="115" t="n">
        <v>7</v>
      </c>
      <c r="B13" s="820" t="n"/>
      <c r="C13" s="555" t="inlineStr">
        <is>
          <t>CNC 기계 작동 지침 및 회사 규정을 올바르게 따르지 않음.</t>
        </is>
      </c>
      <c r="D13" s="815" t="n"/>
      <c r="E13" s="560" t="n">
        <v>2</v>
      </c>
      <c r="F13" s="560" t="n">
        <v>3</v>
      </c>
      <c r="G13" s="560">
        <f>+E13*F13</f>
        <v/>
      </c>
      <c r="H13" s="560" t="inlineStr">
        <is>
          <t>B</t>
        </is>
      </c>
      <c r="I13" s="555" t="inlineStr">
        <is>
          <t>직원 교육 계획</t>
        </is>
      </c>
      <c r="J13" s="815" t="n"/>
      <c r="K13" s="555" t="inlineStr">
        <is>
          <t>주어진 계획과 훈련 프로그램에 따라 실행/수행합니다.</t>
        </is>
      </c>
      <c r="L13" s="560" t="n">
        <v>1</v>
      </c>
      <c r="M13" s="115" t="n">
        <v>0</v>
      </c>
      <c r="N13" s="115">
        <f>+L13*M13</f>
        <v/>
      </c>
      <c r="O13" s="115" t="inlineStr">
        <is>
          <t>A</t>
        </is>
      </c>
    </row>
    <row r="14" ht="66" customFormat="1" customHeight="1" s="739">
      <c r="A14" s="115" t="n">
        <v>8</v>
      </c>
      <c r="B14" s="818" t="n"/>
      <c r="C14" s="555" t="inlineStr">
        <is>
          <t>작업시 노동안전은 보장되지 않습니다.</t>
        </is>
      </c>
      <c r="D14" s="815" t="n"/>
      <c r="E14" s="560" t="n">
        <v>5</v>
      </c>
      <c r="F14" s="560" t="n">
        <v>2</v>
      </c>
      <c r="G14" s="560">
        <f>+E14*F14</f>
        <v/>
      </c>
      <c r="H14" s="560" t="inlineStr">
        <is>
          <t>B</t>
        </is>
      </c>
      <c r="I14" s="555" t="inlineStr">
        <is>
          <t>작업 전에 노동 보호 착용 지침을 준비하십시오.</t>
        </is>
      </c>
      <c r="J14" s="815" t="n"/>
      <c r="K14" s="555" t="inlineStr">
        <is>
          <t>직원들이 일할 때 완전한 노동 보호복을 착용하도록 요구합니다.</t>
        </is>
      </c>
      <c r="L14" s="560" t="n">
        <v>1</v>
      </c>
      <c r="M14" s="115" t="n">
        <v>0</v>
      </c>
      <c r="N14" s="115">
        <f>+L14*M14</f>
        <v/>
      </c>
      <c r="O14" s="115" t="inlineStr">
        <is>
          <t>A</t>
        </is>
      </c>
    </row>
    <row r="15" ht="66" customFormat="1" customHeight="1" s="739">
      <c r="A15" s="115" t="n">
        <v>10</v>
      </c>
      <c r="B15" s="560" t="inlineStr">
        <is>
          <t>CNC 기계칼 등의 생산공구, CNC 기계교체 용도.</t>
        </is>
      </c>
      <c r="C15" s="555" t="inlineStr">
        <is>
          <t>기계설치시 칼날이 떨어지는 등 작업도구가 부족합니다.</t>
        </is>
      </c>
      <c r="D15" s="815" t="n"/>
      <c r="E15" s="560" t="n">
        <v>2</v>
      </c>
      <c r="F15" s="560" t="n">
        <v>3</v>
      </c>
      <c r="G15" s="560">
        <f>+E15*F15</f>
        <v/>
      </c>
      <c r="H15" s="560" t="inlineStr">
        <is>
          <t>B</t>
        </is>
      </c>
      <c r="I15" s="555" t="inlineStr">
        <is>
          <t>일일 모니터링 시트를 확인하세요. 도구 유형별 안전 재고 테이블 생성</t>
        </is>
      </c>
      <c r="J15" s="815" t="n"/>
      <c r="K15" s="555" t="inlineStr">
        <is>
          <t>원자재 및 작업 도구를 예정대로 수령할 계획을 세울 수 있도록 일일 안전 재고 점검에 대해 보고합니다.</t>
        </is>
      </c>
      <c r="L15" s="560" t="n">
        <v>1</v>
      </c>
      <c r="M15" s="115" t="n">
        <v>1</v>
      </c>
      <c r="N15" s="115">
        <f>+L15*M15</f>
        <v/>
      </c>
      <c r="O15" s="115" t="inlineStr">
        <is>
          <t>A</t>
        </is>
      </c>
    </row>
    <row r="16" ht="66" customFormat="1" customHeight="1" s="739">
      <c r="A16" s="115" t="n"/>
      <c r="B16" s="818" t="n"/>
      <c r="C16" s="577" t="inlineStr">
        <is>
          <t>도구: 도구와 칼은 유형과 크기가 올바르지 않고 품질이 좋지 않으며 요구 사항에 비해 수명이 단축됩니다.</t>
        </is>
      </c>
      <c r="D16" s="815" t="n"/>
      <c r="E16" s="469" t="n">
        <v>2</v>
      </c>
      <c r="F16" s="469" t="n">
        <v>3</v>
      </c>
      <c r="G16" s="469">
        <f>+E16*F16</f>
        <v/>
      </c>
      <c r="H16" s="469" t="inlineStr">
        <is>
          <t>B</t>
        </is>
      </c>
      <c r="I16" s="577" t="inlineStr">
        <is>
          <t>도구를 가져올 때 입력 크기를 검사합니다. 칼 수명을 매일 모니터링하는 체크 시트</t>
        </is>
      </c>
      <c r="J16" s="815" t="n"/>
      <c r="K16" s="818" t="n"/>
      <c r="L16" s="560" t="n">
        <v>1</v>
      </c>
      <c r="M16" s="115" t="n">
        <v>1</v>
      </c>
      <c r="N16" s="115">
        <f>+L16*M16</f>
        <v/>
      </c>
      <c r="O16" s="115" t="inlineStr">
        <is>
          <t>A</t>
        </is>
      </c>
    </row>
    <row r="17" ht="66" customFormat="1" customHeight="1" s="739">
      <c r="A17" s="115" t="n">
        <v>12</v>
      </c>
      <c r="B17" s="117" t="inlineStr">
        <is>
          <t>CNC 작업장 온도 및 습도</t>
        </is>
      </c>
      <c r="C17" s="555" t="inlineStr">
        <is>
          <t>가공 전후의 제품 보존에 직접적인 영향을 미칩니다.</t>
        </is>
      </c>
      <c r="D17" s="815" t="n"/>
      <c r="E17" s="560" t="n">
        <v>3</v>
      </c>
      <c r="F17" s="560" t="n">
        <v>3</v>
      </c>
      <c r="G17" s="560">
        <f>+E17*F17</f>
        <v/>
      </c>
      <c r="H17" s="560" t="inlineStr">
        <is>
          <t>B</t>
        </is>
      </c>
      <c r="I17" s="555" t="inlineStr">
        <is>
          <t>일일 모니터링 시트를 확인하세요.</t>
        </is>
      </c>
      <c r="J17" s="815" t="n"/>
      <c r="K17" s="555" t="inlineStr">
        <is>
          <t>매일 시트를 점검하고, 특이한 문제가 있으면 기계 및 전기 부서에 연락하여 처리하여 최상의 생산 조건을 보장합니다.</t>
        </is>
      </c>
      <c r="L17" s="560" t="n">
        <v>2</v>
      </c>
      <c r="M17" s="115" t="n">
        <v>1</v>
      </c>
      <c r="N17" s="115">
        <f>+L17*M17</f>
        <v/>
      </c>
      <c r="O17" s="115" t="inlineStr">
        <is>
          <t>A</t>
        </is>
      </c>
    </row>
    <row r="18" ht="66" customHeight="1" s="157">
      <c r="A18" s="115" t="n">
        <v>13</v>
      </c>
      <c r="B18" s="117" t="inlineStr">
        <is>
          <t>제품 검사 도구</t>
        </is>
      </c>
      <c r="C18" s="555" t="inlineStr">
        <is>
          <t>가공 후 제품의 치수 및 특성의 정확성에 직접적인 영향을 미칩니다.</t>
        </is>
      </c>
      <c r="D18" s="815" t="n"/>
      <c r="E18" s="560" t="n">
        <v>5</v>
      </c>
      <c r="F18" s="560" t="n">
        <v>2</v>
      </c>
      <c r="G18" s="560">
        <f>+E18*F18</f>
        <v/>
      </c>
      <c r="H18" s="560" t="inlineStr">
        <is>
          <t>B</t>
        </is>
      </c>
      <c r="I18" s="555" t="inlineStr">
        <is>
          <t>일일 점검 시트를 확인하고 제품 교정 날짜 스탬프를 사용하십시오.</t>
        </is>
      </c>
      <c r="J18" s="815" t="n"/>
      <c r="K18" s="555" t="inlineStr">
        <is>
          <t>검사 한계에 따라 검사 지그 장비의 검사 및 교정을 보장합니다.</t>
        </is>
      </c>
      <c r="L18" s="560" t="n">
        <v>2</v>
      </c>
      <c r="M18" s="115" t="n">
        <v>0</v>
      </c>
      <c r="N18" s="115">
        <f>+L18*M18</f>
        <v/>
      </c>
      <c r="O18" s="115" t="inlineStr">
        <is>
          <t>A</t>
        </is>
      </c>
    </row>
    <row r="19" ht="15.75" customHeight="1" s="157">
      <c r="A19" s="396" t="n"/>
      <c r="B19" s="477" t="inlineStr">
        <is>
          <t>아르헨티나는 다음 공식을 사용하여 측정됩니다: R = F x S, 여기서:</t>
        </is>
      </c>
      <c r="C19" s="480" t="n"/>
      <c r="D19" s="481" t="n"/>
      <c r="E19" s="566" t="n"/>
      <c r="F19" s="566" t="n"/>
      <c r="G19" s="566" t="n"/>
      <c r="H19" s="566" t="n"/>
      <c r="I19" s="481" t="n"/>
      <c r="J19" s="481" t="n"/>
      <c r="K19" s="823" t="n"/>
      <c r="L19" s="155" t="n"/>
      <c r="M19" s="155" t="n"/>
      <c r="N19" s="155" t="n"/>
      <c r="O19" s="156" t="n"/>
    </row>
    <row r="20" ht="12.75" customHeight="1" s="157">
      <c r="A20" s="265" t="n"/>
      <c r="B20" s="478" t="inlineStr">
        <is>
          <t>R: 리스크.</t>
        </is>
      </c>
      <c r="C20" s="482" t="n"/>
      <c r="D20" s="483" t="n"/>
      <c r="I20" s="483" t="n"/>
      <c r="J20" s="483" t="n"/>
      <c r="O20" s="158" t="n"/>
    </row>
    <row r="21" ht="12.75" customHeight="1" s="157">
      <c r="A21" s="265" t="n"/>
      <c r="B21" s="478" t="inlineStr">
        <is>
          <t>여: 가능성.</t>
        </is>
      </c>
      <c r="C21" s="482" t="n"/>
      <c r="D21" s="483" t="n"/>
      <c r="I21" s="483" t="n"/>
      <c r="J21" s="483" t="n"/>
      <c r="O21" s="158" t="n"/>
    </row>
    <row r="22" ht="12.75" customHeight="1" s="157">
      <c r="A22" s="265" t="n"/>
      <c r="B22" s="479" t="inlineStr">
        <is>
          <t>S: 그런 일이 발생하면 어떤 결과가 따르나요?</t>
        </is>
      </c>
      <c r="C22" s="484" t="n"/>
      <c r="D22" s="485" t="n"/>
      <c r="E22" s="159" t="n"/>
      <c r="F22" s="159" t="n"/>
      <c r="G22" s="159" t="n"/>
      <c r="H22" s="159" t="n"/>
      <c r="I22" s="485" t="n"/>
      <c r="J22" s="485" t="n"/>
      <c r="K22" s="159" t="n"/>
      <c r="L22" s="159" t="n"/>
      <c r="M22" s="159" t="n"/>
      <c r="N22" s="159" t="n"/>
      <c r="O22" s="290" t="n"/>
    </row>
    <row r="23" ht="15.75" customHeight="1" s="157">
      <c r="A23" s="560" t="inlineStr">
        <is>
          <t>No</t>
        </is>
      </c>
      <c r="B23" s="553" t="inlineStr">
        <is>
          <t>문서번호</t>
        </is>
      </c>
      <c r="C23" s="815" t="n"/>
      <c r="D23" s="486" t="inlineStr">
        <is>
          <t xml:space="preserve">발행 </t>
        </is>
      </c>
      <c r="E23" s="553" t="inlineStr">
        <is>
          <t>수정된 시간</t>
        </is>
      </c>
      <c r="F23" s="815" t="n"/>
      <c r="G23" s="553" t="inlineStr">
        <is>
          <t>작성자</t>
        </is>
      </c>
      <c r="H23" s="814" t="n"/>
      <c r="I23" s="815" t="n"/>
      <c r="J23" s="553" t="inlineStr">
        <is>
          <t>내용</t>
        </is>
      </c>
      <c r="K23" s="814" t="n"/>
      <c r="L23" s="814" t="n"/>
      <c r="M23" s="814" t="n"/>
      <c r="N23" s="814" t="n"/>
      <c r="O23" s="815" t="n"/>
    </row>
    <row r="24" ht="15.75" customHeight="1" s="157">
      <c r="A24" s="560" t="n">
        <v>1</v>
      </c>
      <c r="B24" s="553" t="inlineStr">
        <is>
          <t>CNC .04.03.09</t>
        </is>
      </c>
      <c r="C24" s="815" t="n"/>
      <c r="D24" s="375" t="n">
        <v>43832</v>
      </c>
      <c r="E24" s="553" t="n">
        <v>0</v>
      </c>
      <c r="F24" s="815" t="n"/>
      <c r="G24" s="553" t="inlineStr">
        <is>
          <t>미스터 덕</t>
        </is>
      </c>
      <c r="H24" s="814" t="n"/>
      <c r="I24" s="815" t="n"/>
      <c r="J24" s="554" t="inlineStr">
        <is>
          <t>새로고침</t>
        </is>
      </c>
      <c r="K24" s="814" t="n"/>
      <c r="L24" s="814" t="n"/>
      <c r="M24" s="814" t="n"/>
      <c r="N24" s="814" t="n"/>
      <c r="O24" s="815" t="n"/>
    </row>
    <row r="25" ht="15.75" customHeight="1" s="157">
      <c r="A25" s="560" t="n">
        <v>2</v>
      </c>
      <c r="B25" s="553" t="inlineStr">
        <is>
          <t>CNC .04.03.09</t>
        </is>
      </c>
      <c r="C25" s="815" t="n"/>
      <c r="D25" s="375" t="n">
        <v>44705</v>
      </c>
      <c r="E25" s="553" t="n">
        <v>1</v>
      </c>
      <c r="F25" s="815" t="n"/>
      <c r="G25" s="553" t="inlineStr">
        <is>
          <t>미스터 덕</t>
        </is>
      </c>
      <c r="H25" s="814" t="n"/>
      <c r="I25" s="815" t="n"/>
      <c r="J25" s="553" t="inlineStr">
        <is>
          <t>더 많은 콘텐츠 추가</t>
        </is>
      </c>
      <c r="K25" s="814" t="n"/>
      <c r="L25" s="814" t="n"/>
      <c r="M25" s="814" t="n"/>
      <c r="N25" s="814" t="n"/>
      <c r="O25" s="815" t="n"/>
    </row>
    <row r="26" customFormat="1" s="252">
      <c r="A26" s="154" t="n"/>
      <c r="B26" s="35" t="n"/>
      <c r="C26" s="464" t="n"/>
      <c r="D26" s="36" t="n"/>
      <c r="G26" s="709" t="n"/>
      <c r="I26" s="487" t="n"/>
      <c r="J26" s="487" t="n"/>
      <c r="K26" s="487" t="n"/>
      <c r="L26" s="709" t="n"/>
    </row>
    <row r="27" customFormat="1" s="252">
      <c r="A27" s="265" t="n"/>
      <c r="B27" s="35" t="n"/>
      <c r="C27" s="36" t="n"/>
      <c r="D27" s="36" t="n"/>
      <c r="G27" s="709" t="n"/>
      <c r="I27" s="487" t="n"/>
      <c r="J27" s="487" t="n"/>
      <c r="K27" s="487" t="n"/>
      <c r="L27" s="709" t="n"/>
    </row>
    <row r="28" customFormat="1" s="252">
      <c r="A28" s="265" t="n"/>
      <c r="B28" s="35" t="n"/>
      <c r="C28" s="36" t="n"/>
      <c r="D28" s="36" t="n"/>
      <c r="G28" s="709" t="n"/>
      <c r="I28" s="487" t="n"/>
      <c r="J28" s="487" t="n"/>
      <c r="K28" s="487" t="n"/>
      <c r="L28" s="709" t="n"/>
    </row>
    <row r="29" customFormat="1" s="252">
      <c r="A29" s="256" t="n"/>
      <c r="B29" s="35" t="n"/>
      <c r="C29" s="36" t="n"/>
      <c r="D29" s="36" t="n"/>
      <c r="G29" s="709" t="n"/>
      <c r="I29" s="487" t="n"/>
      <c r="J29" s="487" t="n"/>
      <c r="K29" s="487" t="n"/>
      <c r="L29" s="709" t="n"/>
    </row>
    <row r="30">
      <c r="C30" s="464" t="n"/>
      <c r="G30" s="709" t="n"/>
    </row>
    <row r="31">
      <c r="C31" s="464" t="n"/>
      <c r="G31" s="709" t="n"/>
    </row>
    <row r="32">
      <c r="C32" s="464" t="n"/>
      <c r="G32" s="709" t="n"/>
    </row>
    <row r="33">
      <c r="C33" s="464" t="n"/>
      <c r="G33" s="709" t="n"/>
    </row>
    <row r="34">
      <c r="C34" s="464" t="n"/>
      <c r="G34" s="709" t="n"/>
    </row>
    <row r="35">
      <c r="A35" s="709" t="n"/>
    </row>
    <row r="36">
      <c r="C36" s="464" t="n"/>
      <c r="G36" s="709" t="n"/>
    </row>
    <row r="37">
      <c r="G37" s="709" t="n"/>
    </row>
    <row r="38">
      <c r="G38" s="709" t="n"/>
    </row>
    <row r="39">
      <c r="G39" s="709" t="n"/>
    </row>
    <row r="40">
      <c r="G40" s="709" t="n"/>
    </row>
    <row r="41">
      <c r="C41" s="464" t="n"/>
      <c r="G41" s="709" t="n"/>
    </row>
    <row r="42">
      <c r="C42" s="464" t="n"/>
      <c r="G42" s="709" t="n"/>
    </row>
    <row r="43">
      <c r="C43" s="464" t="n"/>
      <c r="G43" s="709" t="n"/>
    </row>
    <row r="44">
      <c r="C44" s="464" t="n"/>
      <c r="G44" s="709" t="n"/>
    </row>
    <row r="45">
      <c r="C45" s="464" t="n"/>
      <c r="G45" s="709" t="n"/>
    </row>
    <row r="46">
      <c r="G46" s="709" t="n"/>
    </row>
    <row r="47">
      <c r="A47" s="709" t="n"/>
    </row>
    <row r="48">
      <c r="C48" s="464" t="n"/>
      <c r="G48" s="709" t="n"/>
    </row>
    <row r="49">
      <c r="G49" s="709" t="n"/>
    </row>
    <row r="50">
      <c r="G50" s="709" t="n"/>
    </row>
    <row r="51">
      <c r="G51" s="709" t="n"/>
    </row>
    <row r="52">
      <c r="G52" s="709" t="n"/>
    </row>
  </sheetData>
  <mergeCells count="54">
    <mergeCell ref="J24:O24"/>
    <mergeCell ref="C6:D6"/>
    <mergeCell ref="I6:J6"/>
    <mergeCell ref="K15:K16"/>
    <mergeCell ref="B25:C25"/>
    <mergeCell ref="C15:D15"/>
    <mergeCell ref="I15:J15"/>
    <mergeCell ref="E24:F24"/>
    <mergeCell ref="A35:M35"/>
    <mergeCell ref="I11:J11"/>
    <mergeCell ref="C14:D14"/>
    <mergeCell ref="E23:F23"/>
    <mergeCell ref="G24:I24"/>
    <mergeCell ref="J25:O25"/>
    <mergeCell ref="C10:D10"/>
    <mergeCell ref="C16:D16"/>
    <mergeCell ref="I16:J16"/>
    <mergeCell ref="I4:J5"/>
    <mergeCell ref="I7:J7"/>
    <mergeCell ref="B23:C23"/>
    <mergeCell ref="C9:D9"/>
    <mergeCell ref="K19:O22"/>
    <mergeCell ref="B10:B11"/>
    <mergeCell ref="I18:J18"/>
    <mergeCell ref="B15:B16"/>
    <mergeCell ref="G25:I25"/>
    <mergeCell ref="C12:D12"/>
    <mergeCell ref="I12:J12"/>
    <mergeCell ref="A4:A5"/>
    <mergeCell ref="C11:D11"/>
    <mergeCell ref="B12:B14"/>
    <mergeCell ref="E4:H4"/>
    <mergeCell ref="K4:K5"/>
    <mergeCell ref="J23:O23"/>
    <mergeCell ref="I14:J14"/>
    <mergeCell ref="I8:J8"/>
    <mergeCell ref="C17:D17"/>
    <mergeCell ref="I17:J17"/>
    <mergeCell ref="C8:D8"/>
    <mergeCell ref="C4:D5"/>
    <mergeCell ref="B24:C24"/>
    <mergeCell ref="B4:B5"/>
    <mergeCell ref="C7:D7"/>
    <mergeCell ref="E25:F25"/>
    <mergeCell ref="I10:J10"/>
    <mergeCell ref="G23:I23"/>
    <mergeCell ref="L4:O4"/>
    <mergeCell ref="C13:D13"/>
    <mergeCell ref="I13:J13"/>
    <mergeCell ref="C18:D18"/>
    <mergeCell ref="A1:O3"/>
    <mergeCell ref="I9:J9"/>
    <mergeCell ref="B6:B8"/>
    <mergeCell ref="A47:M47"/>
  </mergeCells>
  <pageMargins left="0.6899999999999999" right="0.16" top="0.74" bottom="0.16" header="0.36" footer="0.23"/>
  <pageSetup orientation="landscape" scale="62" fitToHeight="0" useFirstPageNumber="1" horizontalDpi="300" verticalDpi="300"/>
  <rowBreaks count="1" manualBreakCount="1">
    <brk id="14" min="0" max="12" man="1"/>
  </rowBreaks>
  <drawing xmlns:r="http://schemas.openxmlformats.org/officeDocument/2006/relationships" r:id="rId1"/>
</worksheet>
</file>

<file path=xl/worksheets/sheet5.xml><?xml version="1.0" encoding="utf-8"?>
<worksheet xmlns="http://schemas.openxmlformats.org/spreadsheetml/2006/main">
  <sheetPr>
    <tabColor rgb="FF92D050"/>
    <outlinePr summaryBelow="1" summaryRight="1"/>
    <pageSetUpPr/>
  </sheetPr>
  <dimension ref="A1:O60"/>
  <sheetViews>
    <sheetView showGridLines="0" topLeftCell="A31" zoomScale="77" zoomScaleNormal="77" zoomScaleSheetLayoutView="82" workbookViewId="0">
      <selection activeCell="K5" sqref="K5"/>
    </sheetView>
  </sheetViews>
  <sheetFormatPr baseColWidth="8" defaultColWidth="11.5703125" defaultRowHeight="15.75"/>
  <cols>
    <col width="4.85546875" customWidth="1" style="208" min="1" max="1"/>
    <col width="15.28515625" customWidth="1" style="604" min="2" max="2"/>
    <col width="7" customWidth="1" style="203" min="3" max="3"/>
    <col width="31.5703125" customWidth="1" style="204" min="4" max="4"/>
    <col width="13.5703125" customWidth="1" style="204" min="5" max="5"/>
    <col width="34.5703125" customWidth="1" style="273" min="6" max="6"/>
    <col width="7.85546875" customWidth="1" style="208" min="7" max="9"/>
    <col width="11.7109375" customWidth="1" style="208" min="10" max="10"/>
    <col width="53.7109375" customWidth="1" style="604" min="11" max="11"/>
    <col width="7.140625" customWidth="1" style="727" min="12" max="14"/>
    <col width="11.42578125" customWidth="1" style="489" min="15" max="15"/>
    <col width="11.5703125" customWidth="1" style="208" min="16" max="16384"/>
  </cols>
  <sheetData>
    <row r="1" ht="30.75" customHeight="1" s="157">
      <c r="A1" s="247" t="n"/>
      <c r="B1" s="247" t="n"/>
      <c r="C1" s="247" t="n"/>
      <c r="D1" s="247" t="n"/>
      <c r="E1" s="247" t="n"/>
      <c r="F1" s="247" t="n"/>
      <c r="G1" s="247" t="n"/>
      <c r="H1" s="247" t="n"/>
      <c r="I1" s="247" t="n"/>
      <c r="J1" s="247" t="n"/>
      <c r="K1" s="247" t="n"/>
      <c r="L1" s="247" t="n"/>
      <c r="M1" s="247" t="n"/>
      <c r="N1" s="247" t="n"/>
      <c r="O1" s="247" t="n"/>
    </row>
    <row r="2" ht="60" customHeight="1" s="157">
      <c r="A2" s="247" t="n"/>
      <c r="B2" s="247" t="n"/>
      <c r="C2" s="578" t="inlineStr">
        <is>
          <t>생산 리스크 분석 (팀.캐스팅..)</t>
        </is>
      </c>
      <c r="D2" s="159" t="n"/>
      <c r="E2" s="159" t="n"/>
      <c r="F2" s="159" t="n"/>
      <c r="G2" s="159" t="n"/>
      <c r="H2" s="159" t="n"/>
      <c r="I2" s="159" t="n"/>
      <c r="J2" s="159" t="n"/>
      <c r="K2" s="247" t="n"/>
      <c r="L2" s="247" t="n"/>
      <c r="M2" s="247" t="n"/>
      <c r="N2" s="247" t="n"/>
      <c r="O2" s="247" t="n"/>
    </row>
    <row r="3" ht="44.25" customFormat="1" customHeight="1" s="727">
      <c r="A3" s="724" t="inlineStr">
        <is>
          <t>번호</t>
        </is>
      </c>
      <c r="B3" s="725" t="inlineStr">
        <is>
          <t>프로세스/진행상황</t>
        </is>
      </c>
      <c r="C3" s="579" t="inlineStr">
        <is>
          <t>잠재력</t>
        </is>
      </c>
      <c r="D3" s="156" t="n"/>
      <c r="E3" s="580" t="inlineStr">
        <is>
          <t>원인/설명</t>
        </is>
      </c>
      <c r="F3" s="156" t="n"/>
      <c r="G3" s="724" t="inlineStr">
        <is>
          <t>리스크 평가</t>
        </is>
      </c>
      <c r="H3" s="814" t="n"/>
      <c r="I3" s="814" t="n"/>
      <c r="J3" s="815" t="n"/>
      <c r="K3" s="581" t="inlineStr">
        <is>
          <t>예방/시정 조치</t>
        </is>
      </c>
      <c r="L3" s="725" t="inlineStr">
        <is>
          <t>외부 평가
예방 조치를 취한 후</t>
        </is>
      </c>
      <c r="M3" s="814" t="n"/>
      <c r="N3" s="814" t="n"/>
      <c r="O3" s="815" t="n"/>
    </row>
    <row r="4" ht="32.25" customFormat="1" customHeight="1" s="727">
      <c r="A4" s="818" t="n"/>
      <c r="B4" s="818" t="n"/>
      <c r="C4" s="256" t="n"/>
      <c r="D4" s="290" t="n"/>
      <c r="E4" s="256" t="n"/>
      <c r="F4" s="290" t="n"/>
      <c r="G4" s="725" t="inlineStr">
        <is>
          <t>F</t>
        </is>
      </c>
      <c r="H4" s="725" t="inlineStr">
        <is>
          <t>S</t>
        </is>
      </c>
      <c r="I4" s="724" t="inlineStr">
        <is>
          <t>R</t>
        </is>
      </c>
      <c r="J4" s="725" t="inlineStr">
        <is>
          <t>위험 분류</t>
        </is>
      </c>
      <c r="K4" s="818" t="n"/>
      <c r="L4" s="725" t="inlineStr">
        <is>
          <t>F</t>
        </is>
      </c>
      <c r="M4" s="725" t="inlineStr">
        <is>
          <t>S</t>
        </is>
      </c>
      <c r="N4" s="724" t="inlineStr">
        <is>
          <t>R</t>
        </is>
      </c>
      <c r="O4" s="725" t="inlineStr">
        <is>
          <t>분류
 위험</t>
        </is>
      </c>
    </row>
    <row r="5" ht="116.25" customFormat="1" customHeight="1" s="727">
      <c r="A5" s="610" t="n">
        <v>1</v>
      </c>
      <c r="B5" s="609" t="inlineStr">
        <is>
          <t>재료 준비</t>
        </is>
      </c>
      <c r="C5" s="582" t="inlineStr">
        <is>
          <t>혼란스러운 성분</t>
        </is>
      </c>
      <c r="D5" s="815" t="n"/>
      <c r="E5" s="583" t="inlineStr">
        <is>
          <t>알루미늄 ADC12, S3Y, ADC3, 마그네슘 등 다양한 유형의 재료가 있습니다.</t>
        </is>
      </c>
      <c r="F5" s="815" t="n"/>
      <c r="G5" s="610" t="n">
        <v>2</v>
      </c>
      <c r="H5" s="610" t="n">
        <v>5</v>
      </c>
      <c r="I5" s="610">
        <f>G5*H5</f>
        <v/>
      </c>
      <c r="J5" s="609">
        <f>IF(I5&lt;=5,"A",IF(I5&lt;=10,"B",IF(I5&lt;=25,"C",)))</f>
        <v/>
      </c>
      <c r="K5" s="212" t="inlineStr">
        <is>
          <t>각 교대조마다 생산 기계에 원자재 공급을 담당할 사람을 한 명씩 배정하고, 원자재 공급 장부에 매일 기록합니다.
재료의 팀, 라벨, 색상 및 기호를 통해 재료를 식별하도록 직원을 교육합니다.
 레이아웃, 라벨을 명확하게 표시</t>
        </is>
      </c>
      <c r="L5" s="609" t="n">
        <v>1</v>
      </c>
      <c r="M5" s="610" t="n">
        <v>5</v>
      </c>
      <c r="N5" s="610">
        <f>L5*M5</f>
        <v/>
      </c>
      <c r="O5" s="609">
        <f>IF(N5&lt;=5,"A",IF(N5&lt;=10,"B",IF(N5&lt;=25,"C",)))</f>
        <v/>
      </c>
    </row>
    <row r="6" ht="61.5" customFormat="1" customHeight="1" s="727">
      <c r="A6" s="610" t="n">
        <v>2</v>
      </c>
      <c r="B6" s="609" t="inlineStr">
        <is>
          <t>가마</t>
        </is>
      </c>
      <c r="C6" s="583" t="inlineStr">
        <is>
          <t>용광로에 원료 투입 시 오작동(투여량, 온도)</t>
        </is>
      </c>
      <c r="D6" s="815" t="n"/>
      <c r="E6" s="583" t="inlineStr">
        <is>
          <t>재료를 추가하는 작업을 파악하지 못하고, 부주의하게 작업하며, 규정을 준수하지 않습니다.</t>
        </is>
      </c>
      <c r="F6" s="815" t="n"/>
      <c r="G6" s="610" t="n">
        <v>4</v>
      </c>
      <c r="H6" s="610" t="n">
        <v>3</v>
      </c>
      <c r="I6" s="610">
        <f>G6*H6</f>
        <v/>
      </c>
      <c r="J6" s="609">
        <f>IF(I6&lt;=5,"A",IF(I6&lt;=10,"B",IF(I6&lt;=25,"C",)))</f>
        <v/>
      </c>
      <c r="K6" s="212" t="inlineStr">
        <is>
          <t>지침서 입고작업, 가마온도 체크시트 관리.</t>
        </is>
      </c>
      <c r="L6" s="609" t="n">
        <v>2</v>
      </c>
      <c r="M6" s="610" t="n">
        <v>3</v>
      </c>
      <c r="N6" s="610">
        <f>L6*M6</f>
        <v/>
      </c>
      <c r="O6" s="609">
        <f>IF(N6&lt;=5,"A",IF(N6&lt;=10,"B",IF(N6&lt;=25,"C",)))</f>
        <v/>
      </c>
    </row>
    <row r="7" ht="61.5" customFormat="1" customHeight="1" s="727">
      <c r="A7" s="610" t="n">
        <v>3</v>
      </c>
      <c r="B7" s="818" t="n"/>
      <c r="C7" s="583" t="inlineStr">
        <is>
          <t>열선 파손, 센서 파손, 미터 파손</t>
        </is>
      </c>
      <c r="D7" s="815" t="n"/>
      <c r="E7" s="583" t="inlineStr">
        <is>
          <t>계량기는 성형과정에서 규격값이 부정확하거나 부정확하게 표시되어 제품 불량의 원인이 됩니다.</t>
        </is>
      </c>
      <c r="F7" s="815" t="n"/>
      <c r="G7" s="610" t="n">
        <v>3</v>
      </c>
      <c r="H7" s="610" t="n">
        <v>4</v>
      </c>
      <c r="I7" s="610">
        <f>G7*H7</f>
        <v/>
      </c>
      <c r="J7" s="609">
        <f>IF(I7&lt;=5,"A",IF(I7&lt;=10,"B",IF(I7&lt;=25,"C",)))</f>
        <v/>
      </c>
      <c r="K7" s="212" t="inlineStr">
        <is>
          <t>검사, 정기적으로 노 점검 시트를 측정하고 측정 장비를 교정합니다.</t>
        </is>
      </c>
      <c r="L7" s="609" t="n">
        <v>1</v>
      </c>
      <c r="M7" s="610" t="n">
        <v>4</v>
      </c>
      <c r="N7" s="610">
        <f>L7*M7</f>
        <v/>
      </c>
      <c r="O7" s="609">
        <f>IF(N7&lt;=5,"A",IF(N7&lt;=10,"B",IF(N7&lt;=25,"C",)))</f>
        <v/>
      </c>
    </row>
    <row r="8" ht="61.5" customFormat="1" customHeight="1" s="727">
      <c r="A8" s="610" t="n">
        <v>4</v>
      </c>
      <c r="B8" s="609" t="inlineStr">
        <is>
          <t>이형 솔루션</t>
        </is>
      </c>
      <c r="C8" s="583" t="inlineStr">
        <is>
          <t>기계가 파손되어 이형액을 펌핑하지 않습니다.</t>
        </is>
      </c>
      <c r="D8" s="815" t="n"/>
      <c r="E8" s="583" t="inlineStr">
        <is>
          <t>기계의 다이어프램 펌프가 손상되었고, 더럽고, 파이프가 막혔으며, 솔레노이드 밸브가 막혔습니다. 제품이 금형에 달라붙게 됩니다.</t>
        </is>
      </c>
      <c r="F8" s="815" t="n"/>
      <c r="G8" s="610" t="n">
        <v>5</v>
      </c>
      <c r="H8" s="610" t="n">
        <v>3</v>
      </c>
      <c r="I8" s="610">
        <f>G8*H8</f>
        <v/>
      </c>
      <c r="J8" s="609">
        <f>IF(I8&lt;=5,"A",IF(I8&lt;=10,"B",IF(I8&lt;=25,"C",)))</f>
        <v/>
      </c>
      <c r="K8" s="199" t="inlineStr">
        <is>
          <t>검사 정기적으로 펌프에 압력을 가하고, 압력계를 설치하십시오. 정기적인 유지 관리.</t>
        </is>
      </c>
      <c r="L8" s="609" t="n">
        <v>2</v>
      </c>
      <c r="M8" s="610" t="n">
        <v>3</v>
      </c>
      <c r="N8" s="610">
        <f>L8*M8</f>
        <v/>
      </c>
      <c r="O8" s="609">
        <f>IF(N8&lt;=5,"A",IF(N8&lt;=10,"B",IF(N8&lt;=25,"C",)))</f>
        <v/>
      </c>
    </row>
    <row r="9" ht="61.5" customFormat="1" customHeight="1" s="727">
      <c r="A9" s="610" t="n">
        <v>5</v>
      </c>
      <c r="B9" s="820" t="n"/>
      <c r="C9" s="583" t="inlineStr">
        <is>
          <t>기계가 올바른 용액 비율을 혼합하지 않습니다</t>
        </is>
      </c>
      <c r="D9" s="815" t="n"/>
      <c r="E9" s="583" t="inlineStr">
        <is>
          <t>오일 파이프가 막혔고, 일방향 밸브가 더럽고, 물과 오일 양이 잘못 조정되었습니다.</t>
        </is>
      </c>
      <c r="F9" s="815" t="n"/>
      <c r="G9" s="610" t="n">
        <v>5</v>
      </c>
      <c r="H9" s="610" t="n">
        <v>2</v>
      </c>
      <c r="I9" s="610">
        <f>G9*H9</f>
        <v/>
      </c>
      <c r="J9" s="609">
        <f>IF(I9&lt;=5,"A",IF(I9&lt;=10,"B",IF(I9&lt;=25,"C",)))</f>
        <v/>
      </c>
      <c r="K9" s="212" t="inlineStr">
        <is>
          <t>하루에 2번 정기적으로 기계를 청소하십시오.
검사, 체크 시트는 표준에 따라 용액 농도를 모니터링합니다.</t>
        </is>
      </c>
      <c r="L9" s="609" t="n">
        <v>2</v>
      </c>
      <c r="M9" s="610" t="n">
        <v>2</v>
      </c>
      <c r="N9" s="610">
        <f>L9*M9</f>
        <v/>
      </c>
      <c r="O9" s="609">
        <f>IF(N9&lt;=5,"A",IF(N9&lt;=10,"B",IF(N9&lt;=25,"C",)))</f>
        <v/>
      </c>
    </row>
    <row r="10" ht="61.5" customFormat="1" customHeight="1" s="727">
      <c r="A10" s="610" t="n">
        <v>6</v>
      </c>
      <c r="B10" s="818" t="n"/>
      <c r="C10" s="609" t="inlineStr">
        <is>
          <t>손상된 연무 시스템(노즐, 압력 시스템, 감속 브레이크, 실린더)</t>
        </is>
      </c>
      <c r="D10" s="815" t="n"/>
      <c r="E10" s="609" t="inlineStr">
        <is>
          <t>미스트 스프레이 시스템은 금형에서 제품을 제거하는 데 영향을 미칩니다. 손상이나 막힘은 뒤틀림, 들러붙음, 파손, 균열 등 제품 구조에 영향을 미칩니다.</t>
        </is>
      </c>
      <c r="F10" s="815" t="n"/>
      <c r="G10" s="610" t="n">
        <v>3</v>
      </c>
      <c r="H10" s="610" t="n">
        <v>4</v>
      </c>
      <c r="I10" s="610">
        <f>G10*H10</f>
        <v/>
      </c>
      <c r="J10" s="609">
        <f>IF(I10&lt;=5,"A",IF(I10&lt;=10,"B",IF(I10&lt;=25,"C",)))</f>
        <v/>
      </c>
      <c r="K10" s="212" t="inlineStr">
        <is>
          <t>노즐 시스템을 주기적으로 청소하고 실린더 및 감속 센서를 유지 및 수리하십시오.</t>
        </is>
      </c>
      <c r="L10" s="609" t="n">
        <v>1</v>
      </c>
      <c r="M10" s="610" t="n">
        <v>4</v>
      </c>
      <c r="N10" s="610">
        <f>L10*M10</f>
        <v/>
      </c>
      <c r="O10" s="609">
        <f>IF(N10&lt;=5,"A",IF(N10&lt;=10,"B",IF(N10&lt;=25,"C",)))</f>
        <v/>
      </c>
    </row>
    <row r="11" ht="61.5" customFormat="1" customHeight="1" s="727">
      <c r="A11" s="610" t="n">
        <v>7</v>
      </c>
      <c r="B11" s="190" t="inlineStr">
        <is>
          <t>크레인 운영</t>
        </is>
      </c>
      <c r="C11" s="609" t="inlineStr">
        <is>
          <t>버튼이 파손되어 센서 릴레이가 분리되었습니다.</t>
        </is>
      </c>
      <c r="D11" s="815" t="n"/>
      <c r="E11" s="609" t="inlineStr">
        <is>
          <t>금형교체, 원료크레인, 스크랩크레인 등에 영향을 미칩니다.</t>
        </is>
      </c>
      <c r="F11" s="815" t="n"/>
      <c r="G11" s="610" t="n">
        <v>3</v>
      </c>
      <c r="H11" s="610" t="n">
        <v>3</v>
      </c>
      <c r="I11" s="610">
        <f>G11*H11</f>
        <v/>
      </c>
      <c r="J11" s="609">
        <f>IF(I11&lt;=5,"A",IF(I11&lt;=10,"B",IF(I11&lt;=25,"C",)))</f>
        <v/>
      </c>
      <c r="K11" s="212" t="inlineStr">
        <is>
          <t>지침서는 크레인을 운전하고, 크레인 시스템을 정기적으로 점검 및 유지보수하는 업무를 수행합니다.</t>
        </is>
      </c>
      <c r="L11" s="609" t="n">
        <v>1</v>
      </c>
      <c r="M11" s="610" t="n">
        <v>2</v>
      </c>
      <c r="N11" s="610">
        <f>L11*M11</f>
        <v/>
      </c>
      <c r="O11" s="609">
        <f>IF(N11&lt;=5,"A",IF(N11&lt;=10,"B",IF(N11&lt;=25,"C",)))</f>
        <v/>
      </c>
    </row>
    <row r="12" ht="61.5" customFormat="1" customHeight="1" s="727">
      <c r="A12" s="610" t="n">
        <v>8</v>
      </c>
      <c r="B12" s="609" t="inlineStr">
        <is>
          <t>금형 위아래로</t>
        </is>
      </c>
      <c r="C12" s="609" t="inlineStr">
        <is>
          <t>작동 중 금형이 떨어지네요...</t>
        </is>
      </c>
      <c r="D12" s="815" t="n"/>
      <c r="E12" s="609" t="inlineStr">
        <is>
          <t>잘못된 설치 과정으로 인해 금형 나사가 손상되고 푸시 샤프트가 고착되어 금형 나사가 손상되고 파손됩니다.</t>
        </is>
      </c>
      <c r="F12" s="815" t="n"/>
      <c r="G12" s="610" t="n">
        <v>2</v>
      </c>
      <c r="H12" s="610" t="n">
        <v>4</v>
      </c>
      <c r="I12" s="610">
        <f>G12*H12</f>
        <v/>
      </c>
      <c r="J12" s="609">
        <f>IF(I12&lt;=5,"A",IF(I12&lt;=10,"B",IF(I12&lt;=25,"C",)))</f>
        <v/>
      </c>
      <c r="K12" s="212" t="inlineStr">
        <is>
          <t>장비를 정기적으로 점검하고 금형 고정 장치를 점검하고 정기적으로 교체하십시오.</t>
        </is>
      </c>
      <c r="L12" s="609" t="n">
        <v>1</v>
      </c>
      <c r="M12" s="610" t="n">
        <v>4</v>
      </c>
      <c r="N12" s="610">
        <f>L12*M12</f>
        <v/>
      </c>
      <c r="O12" s="609">
        <f>IF(N12&lt;=5,"A",IF(N12&lt;=10,"B",IF(N12&lt;=25,"C",)))</f>
        <v/>
      </c>
    </row>
    <row r="13" ht="61.5" customFormat="1" customHeight="1" s="727">
      <c r="A13" s="610" t="n">
        <v>9</v>
      </c>
      <c r="B13" s="818" t="n"/>
      <c r="C13" s="609" t="inlineStr">
        <is>
          <t>막힌 수도관과 송유관, 파손된 배관, 잘못된 크기의 은재.</t>
        </is>
      </c>
      <c r="D13" s="815" t="n"/>
      <c r="E13" s="609" t="inlineStr">
        <is>
          <t>금형을 설치하기 전에 확인하지 않기 때문에 금형을 설치하기 전에 적절한 도구 및 도구 준비가 좋지 않습니다. / 재작업 시간의 손실과 일정에 따른 생산 실패의 원인이 됩니다.</t>
        </is>
      </c>
      <c r="F13" s="815" t="n"/>
      <c r="G13" s="610" t="n">
        <v>3</v>
      </c>
      <c r="H13" s="610" t="n">
        <v>4</v>
      </c>
      <c r="I13" s="610">
        <f>G13*H13</f>
        <v/>
      </c>
      <c r="J13" s="609">
        <f>IF(I13&lt;=5,"A",IF(I13&lt;=10,"B",IF(I13&lt;=25,"C",)))</f>
        <v/>
      </c>
      <c r="K13" s="212" t="inlineStr">
        <is>
          <t>직원에게 올바른 작업을 수행하도록 교육하고 성형 전 확인하십시오. 성형하기 전에 모든 도구와 장비를 준비하십시오.</t>
        </is>
      </c>
      <c r="L13" s="609" t="n">
        <v>1</v>
      </c>
      <c r="M13" s="610" t="n">
        <v>4</v>
      </c>
      <c r="N13" s="610">
        <f>L13*M13</f>
        <v/>
      </c>
      <c r="O13" s="609">
        <f>IF(N13&lt;=5,"A",IF(N13&lt;=10,"B",IF(N13&lt;=25,"C",)))</f>
        <v/>
      </c>
    </row>
    <row r="14" ht="70.5" customFormat="1" customHeight="1" s="727">
      <c r="A14" s="610" t="n"/>
      <c r="B14" s="609" t="inlineStr">
        <is>
          <t>성형기 운영</t>
        </is>
      </c>
      <c r="C14" s="609" t="inlineStr">
        <is>
          <t>생산을 위한 예비 재료가 부족합니다(그리스, 도구, 기구, 페인트...).</t>
        </is>
      </c>
      <c r="D14" s="815" t="n"/>
      <c r="E14" s="609" t="inlineStr">
        <is>
          <t>부정확한 재고 관리로 인해 주문 승인 시간이 늦어지고 있습니다. 일부 소모품은 예비로 사용할 수 없습니다.</t>
        </is>
      </c>
      <c r="F14" s="815" t="n"/>
      <c r="G14" s="610" t="n">
        <v>3</v>
      </c>
      <c r="H14" s="610" t="n">
        <v>4</v>
      </c>
      <c r="I14" s="610">
        <f>G14*H14</f>
        <v/>
      </c>
      <c r="J14" s="609">
        <f>IF(I14&lt;=5,"A",IF(I14&lt;=10,"B",IF(I14&lt;=25,"C",)))</f>
        <v/>
      </c>
      <c r="K14" s="212" t="inlineStr">
        <is>
          <t>도구 및 장비를 관리하고 장비 추적 테이블을 만듭니다. 작업장의 재고 자재 및 장비입니다. 항상 안전 재고를 확보하세요</t>
        </is>
      </c>
      <c r="L14" s="609" t="n">
        <v>1</v>
      </c>
      <c r="M14" s="610" t="n">
        <v>4</v>
      </c>
      <c r="N14" s="610">
        <f>L14*M14</f>
        <v/>
      </c>
      <c r="O14" s="609">
        <f>IF(N14&lt;=5,"A",IF(N14&lt;=10,"B",IF(N14&lt;=25,"C",)))</f>
        <v/>
      </c>
    </row>
    <row r="15" ht="70.5" customFormat="1" customHeight="1" s="727">
      <c r="A15" s="610" t="n"/>
      <c r="B15" s="820" t="n"/>
      <c r="C15" s="609" t="inlineStr">
        <is>
          <t>끊어진 오일 라인</t>
        </is>
      </c>
      <c r="D15" s="815" t="n"/>
      <c r="E15" s="609" t="inlineStr">
        <is>
          <t>라인에 재료가 튀어 충돌 및 마모로 인해 고온으로 인해 와이어가 빠르게 손상됩니다.</t>
        </is>
      </c>
      <c r="F15" s="815" t="n"/>
      <c r="G15" s="610" t="n">
        <v>3</v>
      </c>
      <c r="H15" s="610" t="n">
        <v>3</v>
      </c>
      <c r="I15" s="610">
        <f>G15*H15</f>
        <v/>
      </c>
      <c r="J15" s="609">
        <f>IF(I15&lt;=5,"A",IF(I15&lt;=10,"B",IF(I15&lt;=25,"C",)))</f>
        <v/>
      </c>
      <c r="K15" s="212" t="inlineStr">
        <is>
          <t>송유관 개선</t>
        </is>
      </c>
      <c r="L15" s="609" t="n">
        <v>2</v>
      </c>
      <c r="M15" s="610" t="n">
        <v>3</v>
      </c>
      <c r="N15" s="610">
        <f>L15*M15</f>
        <v/>
      </c>
      <c r="O15" s="609">
        <f>IF(N15&lt;=5,"A",IF(N15&lt;=10,"B",IF(N15&lt;=25,"C",)))</f>
        <v/>
      </c>
    </row>
    <row r="16" ht="70.5" customFormat="1" customHeight="1" s="727">
      <c r="A16" s="610" t="n">
        <v>10</v>
      </c>
      <c r="B16" s="820" t="n"/>
      <c r="C16" s="609" t="inlineStr">
        <is>
          <t>장치 오류</t>
        </is>
      </c>
      <c r="D16" s="815" t="n"/>
      <c r="E16" s="609" t="inlineStr">
        <is>
          <t>펌프, 제품 피킹 로봇, 재료 퍼핑 로봇, 솔레노이드 밸브 등 성형기 일부 부품 손상...</t>
        </is>
      </c>
      <c r="F16" s="815" t="n"/>
      <c r="G16" s="610" t="n">
        <v>4</v>
      </c>
      <c r="H16" s="610" t="n">
        <v>5</v>
      </c>
      <c r="I16" s="610">
        <f>G16*H16</f>
        <v/>
      </c>
      <c r="J16" s="609">
        <f>IF(I16&lt;=5,"A",IF(I16&lt;=10,"B",IF(I16&lt;=25,"C",)))</f>
        <v/>
      </c>
      <c r="K16" s="212" t="inlineStr">
        <is>
          <t>장비를 정기적으로 적절하게 작동, 계획 및 유지 관리하도록 직원을 교육합니다.</t>
        </is>
      </c>
      <c r="L16" s="609" t="n">
        <v>1</v>
      </c>
      <c r="M16" s="610" t="n">
        <v>5</v>
      </c>
      <c r="N16" s="610">
        <f>L16*M16</f>
        <v/>
      </c>
      <c r="O16" s="609">
        <f>IF(N16&lt;=5,"A",IF(N16&lt;=10,"B",IF(N16&lt;=25,"C",)))</f>
        <v/>
      </c>
    </row>
    <row r="17" ht="70.5" customFormat="1" customHeight="1" s="186">
      <c r="A17" s="610" t="n">
        <v>11</v>
      </c>
      <c r="B17" s="818" t="n"/>
      <c r="C17" s="609" t="inlineStr">
        <is>
          <t>잘못된 운영 기준 설정으로 인해 NG 제품 발생</t>
        </is>
      </c>
      <c r="D17" s="815" t="n"/>
      <c r="E17" s="609" t="inlineStr">
        <is>
          <t>각 제품에는 고유한 작동 표준이 있으며, 설치를 수행하는 엔지니어는 확립된 작업 표준을 따르지 않습니다.</t>
        </is>
      </c>
      <c r="F17" s="815" t="n"/>
      <c r="G17" s="609" t="n">
        <v>4</v>
      </c>
      <c r="H17" s="609" t="n">
        <v>4</v>
      </c>
      <c r="I17" s="609">
        <f>G17*H17</f>
        <v/>
      </c>
      <c r="J17" s="609">
        <f>IF(I17&lt;=5,"A",IF(I17&lt;=10,"B",IF(I17&lt;=25,"C",)))</f>
        <v/>
      </c>
      <c r="K17" s="212" t="inlineStr">
        <is>
          <t>성형기를 작동하고 기계에 대한 작업을 수행하며 직원들이 작업 표준을 올바르게 수행할 수 있도록 교육하는 지침서가 있습니다.</t>
        </is>
      </c>
      <c r="L17" s="609" t="n">
        <v>2</v>
      </c>
      <c r="M17" s="609" t="n">
        <v>4</v>
      </c>
      <c r="N17" s="609">
        <f>L17*M17</f>
        <v/>
      </c>
      <c r="O17" s="609">
        <f>IF(N17&lt;=5,"A",IF(N17&lt;=10,"B",IF(N17&lt;=25,"C",)))</f>
        <v/>
      </c>
    </row>
    <row r="18" ht="70.5" customFormat="1" customHeight="1" s="727">
      <c r="A18" s="610" t="n">
        <v>12</v>
      </c>
      <c r="B18" s="609" t="inlineStr">
        <is>
          <t>금형온도조절기</t>
        </is>
      </c>
      <c r="C18" s="609" t="inlineStr">
        <is>
          <t>기계가 작동 중 고장이 납니다.</t>
        </is>
      </c>
      <c r="D18" s="815" t="n"/>
      <c r="E18" s="609" t="inlineStr">
        <is>
          <t>연결 지점이 움직이거나 오일이 새어 기계에 화재가 발생했습니다. 고장난 회로 차단기</t>
        </is>
      </c>
      <c r="F18" s="815" t="n"/>
      <c r="G18" s="610" t="n">
        <v>4</v>
      </c>
      <c r="H18" s="610" t="n">
        <v>2</v>
      </c>
      <c r="I18" s="610">
        <f>G18*H18</f>
        <v/>
      </c>
      <c r="J18" s="609">
        <f>IF(I18&lt;=5,"A",IF(I18&lt;=10,"B",IF(I18&lt;=25,"C",)))</f>
        <v/>
      </c>
      <c r="K18" s="187" t="inlineStr">
        <is>
          <t>검사 유지 관리, 시트를 정기적으로 확인하십시오.</t>
        </is>
      </c>
      <c r="L18" s="610" t="n">
        <v>2</v>
      </c>
      <c r="M18" s="610" t="n">
        <v>2</v>
      </c>
      <c r="N18" s="610">
        <f>L18*M18</f>
        <v/>
      </c>
      <c r="O18" s="609">
        <f>IF(N18&lt;=5,"A",IF(N18&lt;=10,"B",IF(N18&lt;=25,"C",)))</f>
        <v/>
      </c>
    </row>
    <row r="19" ht="70.5" customHeight="1" s="157">
      <c r="A19" s="610" t="n">
        <v>13</v>
      </c>
      <c r="B19" s="818" t="n"/>
      <c r="C19" s="609" t="inlineStr">
        <is>
          <t>석유 부족</t>
        </is>
      </c>
      <c r="D19" s="815" t="n"/>
      <c r="E19" s="609" t="inlineStr">
        <is>
          <t>기계에 기름이 떨어져서 작동하지 않습니다</t>
        </is>
      </c>
      <c r="F19" s="815" t="n"/>
      <c r="G19" s="610" t="n">
        <v>4</v>
      </c>
      <c r="H19" s="610" t="n">
        <v>3</v>
      </c>
      <c r="I19" s="610">
        <f>G19*H19</f>
        <v/>
      </c>
      <c r="J19" s="609">
        <f>IF(I19&lt;=5,"A",IF(I19&lt;=10,"B",IF(I19&lt;=25,"C",)))</f>
        <v/>
      </c>
      <c r="K19" s="187" t="inlineStr">
        <is>
          <t>주기적으로 마이소와 오일을 검사하세요.</t>
        </is>
      </c>
      <c r="L19" s="610" t="n">
        <v>1</v>
      </c>
      <c r="M19" s="610" t="n">
        <v>3</v>
      </c>
      <c r="N19" s="610">
        <f>L19*M19</f>
        <v/>
      </c>
      <c r="O19" s="609">
        <f>IF(N19&lt;=5,"A",IF(N19&lt;=10,"B",IF(N19&lt;=25,"C",)))</f>
        <v/>
      </c>
    </row>
    <row r="20" ht="70.5" customHeight="1" s="157">
      <c r="A20" s="610" t="n">
        <v>14</v>
      </c>
      <c r="B20" s="609" t="inlineStr">
        <is>
          <t>알루미늄 스쿠핑 로봇</t>
        </is>
      </c>
      <c r="C20" s="609" t="inlineStr">
        <is>
          <t>센서 고장</t>
        </is>
      </c>
      <c r="D20" s="815" t="n"/>
      <c r="E20" s="609" t="inlineStr">
        <is>
          <t>주변이 뜨거워서 센서가 손상됨</t>
        </is>
      </c>
      <c r="F20" s="815" t="n"/>
      <c r="G20" s="610" t="n">
        <v>2</v>
      </c>
      <c r="H20" s="610" t="n">
        <v>3</v>
      </c>
      <c r="I20" s="610">
        <f>G20*H20</f>
        <v/>
      </c>
      <c r="J20" s="609">
        <f>IF(I20&lt;=5,"A",IF(I20&lt;=10,"B",IF(I20&lt;=25,"C",)))</f>
        <v/>
      </c>
      <c r="K20" s="187" t="inlineStr">
        <is>
          <t>장비를 유지 관리하고 교체용 예비 재료를 구입하십시오.</t>
        </is>
      </c>
      <c r="L20" s="610" t="n">
        <v>1</v>
      </c>
      <c r="M20" s="610" t="n">
        <v>3</v>
      </c>
      <c r="N20" s="610">
        <f>L20*M20</f>
        <v/>
      </c>
      <c r="O20" s="609">
        <f>IF(N20&lt;=5,"A",IF(N20&lt;=10,"B",IF(N20&lt;=25,"C",)))</f>
        <v/>
      </c>
    </row>
    <row r="21" ht="70.5" customHeight="1" s="157">
      <c r="A21" s="610" t="n">
        <v>15</v>
      </c>
      <c r="B21" s="818" t="n"/>
      <c r="C21" s="609" t="inlineStr">
        <is>
          <t>체인이 걸려서 체인이 끊어졌습니다</t>
        </is>
      </c>
      <c r="D21" s="815" t="n"/>
      <c r="E21" s="609" t="inlineStr">
        <is>
          <t>뜨겁고 건조하며 기름기가 많은 환경에서 볼 베어링 작업</t>
        </is>
      </c>
      <c r="F21" s="815" t="n"/>
      <c r="G21" s="610" t="n">
        <v>4</v>
      </c>
      <c r="H21" s="610" t="n">
        <v>3</v>
      </c>
      <c r="I21" s="610">
        <f>G21*H21</f>
        <v/>
      </c>
      <c r="J21" s="609">
        <f>IF(I21&lt;=5,"A",IF(I21&lt;=10,"B",IF(I21&lt;=25,"C",)))</f>
        <v/>
      </c>
      <c r="K21" s="187" t="inlineStr">
        <is>
          <t>한 달에 한 번씩 정기적으로 그리스를 도포하십시오.</t>
        </is>
      </c>
      <c r="L21" s="610" t="n">
        <v>2</v>
      </c>
      <c r="M21" s="610" t="n">
        <v>3</v>
      </c>
      <c r="N21" s="610">
        <f>L21*M21</f>
        <v/>
      </c>
      <c r="O21" s="609">
        <f>IF(N21&lt;=5,"A",IF(N21&lt;=10,"B",IF(N21&lt;=25,"C",)))</f>
        <v/>
      </c>
    </row>
    <row r="22" ht="70.5" customHeight="1" s="157">
      <c r="A22" s="610" t="n">
        <v>16</v>
      </c>
      <c r="B22" s="189" t="inlineStr">
        <is>
          <t>팁 오일 펌프</t>
        </is>
      </c>
      <c r="C22" s="609" t="inlineStr">
        <is>
          <t>펌프 고장, 볼 고착, 오일 경로 막힘</t>
        </is>
      </c>
      <c r="D22" s="815" t="n"/>
      <c r="E22" s="609" t="inlineStr">
        <is>
          <t>펌프에 유입되는 더러운 오일 및 알루미늄 파일로 인한 원인</t>
        </is>
      </c>
      <c r="F22" s="815" t="n"/>
      <c r="G22" s="610" t="n">
        <v>4</v>
      </c>
      <c r="H22" s="610" t="n">
        <v>2</v>
      </c>
      <c r="I22" s="610">
        <f>G22*H22</f>
        <v/>
      </c>
      <c r="J22" s="609">
        <f>IF(I22&lt;=5,"A",IF(I22&lt;=10,"B",IF(I22&lt;=25,"C",)))</f>
        <v/>
      </c>
      <c r="K22" s="187" t="inlineStr">
        <is>
          <t>흡입관, 오일 탱크 개선, 펌프, 스프링, 볼 점검, 수리 및 유지 관리...</t>
        </is>
      </c>
      <c r="L22" s="610" t="n">
        <v>2</v>
      </c>
      <c r="M22" s="610" t="n">
        <v>2</v>
      </c>
      <c r="N22" s="610">
        <f>L22*M22</f>
        <v/>
      </c>
      <c r="O22" s="609">
        <f>IF(N22&lt;=5,"A",IF(N22&lt;=10,"B",IF(N22&lt;=25,"C",)))</f>
        <v/>
      </c>
    </row>
    <row r="23" ht="70.5" customFormat="1" customHeight="1" s="236">
      <c r="A23" s="610" t="n">
        <v>17</v>
      </c>
      <c r="B23" s="190" t="inlineStr">
        <is>
          <t>전송 테이프</t>
        </is>
      </c>
      <c r="C23" s="609" t="inlineStr">
        <is>
          <t>작동 중 변속기 벨트 파손(컨베이어 벨트 고착, 모터 손상, 냉각팬, 기어박스)</t>
        </is>
      </c>
      <c r="D23" s="815" t="n"/>
      <c r="E23" s="609" t="inlineStr">
        <is>
          <t>주기적인 유지보수 기간이 너무 길어서 기계를 작동하는 것이 작동 기술을 따르지 않습니다.</t>
        </is>
      </c>
      <c r="F23" s="815" t="n"/>
      <c r="G23" s="610" t="n">
        <v>3</v>
      </c>
      <c r="H23" s="610" t="n">
        <v>3</v>
      </c>
      <c r="I23" s="610">
        <f>G23*H23</f>
        <v/>
      </c>
      <c r="J23" s="609">
        <f>IF(I23&lt;=5,"A",IF(I23&lt;=10,"B",IF(I23&lt;=25,"C",)))</f>
        <v/>
      </c>
      <c r="K23" s="212" t="inlineStr">
        <is>
          <t>매일 점검하여 정기점검 및 수리기간을 3개월에서 1개월로 단축합니다.</t>
        </is>
      </c>
      <c r="L23" s="610" t="n">
        <v>1</v>
      </c>
      <c r="M23" s="610" t="n">
        <v>3</v>
      </c>
      <c r="N23" s="610">
        <f>L23*M23</f>
        <v/>
      </c>
      <c r="O23" s="609">
        <f>IF(N23&lt;=5,"A",IF(N23&lt;=10,"B",IF(N23&lt;=25,"C",)))</f>
        <v/>
      </c>
    </row>
    <row r="24" ht="70.5" customFormat="1" customHeight="1" s="193">
      <c r="A24" s="610" t="n">
        <v>18</v>
      </c>
      <c r="B24" s="609" t="inlineStr">
        <is>
          <t>제품</t>
        </is>
      </c>
      <c r="C24" s="609" t="inlineStr">
        <is>
          <t>제품간 충격 및 펑크</t>
        </is>
      </c>
      <c r="D24" s="815" t="n"/>
      <c r="E24" s="609" t="inlineStr">
        <is>
          <t>컨베이어 위의 제품이 걸리기 때문에 작동으로 인해 제품이 서로 충돌하게 됩니다.</t>
        </is>
      </c>
      <c r="F24" s="815" t="n"/>
      <c r="G24" s="609" t="n">
        <v>3</v>
      </c>
      <c r="H24" s="609" t="n">
        <v>3</v>
      </c>
      <c r="I24" s="609">
        <f>G24*H24</f>
        <v/>
      </c>
      <c r="J24" s="609">
        <f>IF(I24&lt;=5,"A",IF(I24&lt;=10,"B",IF(I24&lt;=25,"C",)))</f>
        <v/>
      </c>
      <c r="K24" s="268" t="inlineStr">
        <is>
          <t>컨베이어 속도 조정, 작업자 교육 및 감독.</t>
        </is>
      </c>
      <c r="L24" s="609" t="n">
        <v>1</v>
      </c>
      <c r="M24" s="609" t="n">
        <v>3</v>
      </c>
      <c r="N24" s="609">
        <f>L24*M24</f>
        <v/>
      </c>
      <c r="O24" s="609">
        <f>IF(N24&lt;=5,"A",IF(N24&lt;=10,"B",IF(N24&lt;=25,"C",)))</f>
        <v/>
      </c>
    </row>
    <row r="25" ht="70.5" customFormat="1" customHeight="1" s="236">
      <c r="A25" s="610" t="n">
        <v>19</v>
      </c>
      <c r="B25" s="820" t="n"/>
      <c r="C25" s="609" t="inlineStr">
        <is>
          <t>혼란스러운 제품 코드 및 단계</t>
        </is>
      </c>
      <c r="D25" s="815" t="n"/>
      <c r="E25" s="609" t="inlineStr">
        <is>
          <t>작업자가 분류 교육을 받지 않았기 때문에 제품이 규정에 부합하지 않습니다.</t>
        </is>
      </c>
      <c r="F25" s="815" t="n"/>
      <c r="G25" s="610" t="n">
        <v>4</v>
      </c>
      <c r="H25" s="610" t="n">
        <v>3</v>
      </c>
      <c r="I25" s="610">
        <f>G25*H25</f>
        <v/>
      </c>
      <c r="J25" s="609">
        <f>IF(I25&lt;=5,"A",IF(I25&lt;=10,"B",IF(I25&lt;=25,"C",)))</f>
        <v/>
      </c>
      <c r="K25" s="212" t="inlineStr">
        <is>
          <t>제품 영역의 명확한 레이아웃, 명확한 팀 기록, 3D, 5s 작업자 교육.</t>
        </is>
      </c>
      <c r="L25" s="610" t="n">
        <v>1</v>
      </c>
      <c r="M25" s="610" t="n">
        <v>3</v>
      </c>
      <c r="N25" s="610">
        <f>L25*M25</f>
        <v/>
      </c>
      <c r="O25" s="609">
        <f>IF(N25&lt;=5,"A",IF(N25&lt;=10,"B",IF(N25&lt;=25,"C",)))</f>
        <v/>
      </c>
    </row>
    <row r="26" ht="70.5" customHeight="1" s="157">
      <c r="A26" s="610" t="n">
        <v>20</v>
      </c>
      <c r="B26" s="820" t="n"/>
      <c r="C26" s="609" t="inlineStr">
        <is>
          <t>떨어뜨리면 제품 변형이 발생합니다.</t>
        </is>
      </c>
      <c r="D26" s="815" t="n"/>
      <c r="E26" s="609" t="inlineStr">
        <is>
          <t>잘못된 제품 용기, 불안정한 제품 배열 또는 제품 운송 시 규정 위반.</t>
        </is>
      </c>
      <c r="F26" s="815" t="n"/>
      <c r="G26" s="610" t="n">
        <v>4</v>
      </c>
      <c r="H26" s="610" t="n">
        <v>2</v>
      </c>
      <c r="I26" s="610">
        <f>G26*H26</f>
        <v/>
      </c>
      <c r="J26" s="609">
        <f>IF(I26&lt;=5,"A",IF(I26&lt;=10,"B",IF(I26&lt;=25,"C",)))</f>
        <v/>
      </c>
      <c r="K26" s="194" t="inlineStr">
        <is>
          <t>특수 차량과 도구를 사용하고 운송 시 물품 수량을 조절하세요.</t>
        </is>
      </c>
      <c r="L26" s="610" t="n">
        <v>1</v>
      </c>
      <c r="M26" s="610" t="n">
        <v>2</v>
      </c>
      <c r="N26" s="610">
        <f>L26*M26</f>
        <v/>
      </c>
      <c r="O26" s="609">
        <f>IF(N26&lt;=5,"A",IF(N26&lt;=10,"B",IF(N26&lt;=25,"C",)))</f>
        <v/>
      </c>
    </row>
    <row r="27" ht="70.5" customHeight="1" s="157">
      <c r="A27" s="610" t="n">
        <v>21</v>
      </c>
      <c r="B27" s="818" t="n"/>
      <c r="C27" s="609" t="inlineStr">
        <is>
          <t>NG제품</t>
        </is>
      </c>
      <c r="D27" s="815" t="n"/>
      <c r="E27" s="609" t="inlineStr">
        <is>
          <t>제품에 발생한 치수, 외관, 이상이 있는 경우</t>
        </is>
      </c>
      <c r="F27" s="815" t="n"/>
      <c r="G27" s="610" t="n">
        <v>5</v>
      </c>
      <c r="H27" s="610" t="n">
        <v>3</v>
      </c>
      <c r="I27" s="610">
        <f>G27*H27</f>
        <v/>
      </c>
      <c r="J27" s="609">
        <f>IF(I27&lt;=5,"A",IF(I27&lt;=10,"B",IF(I27&lt;=25,"C",)))</f>
        <v/>
      </c>
      <c r="K27" s="194" t="inlineStr">
        <is>
          <t>직원들이 작업 지침을 준수하도록 교육합니다.
기계를 정지시켜 원인을 파악하고 관리자에게 보고하여 확인하십시오. 검사 전체 생산 과정을 검토하고 원인을 확인합니다.</t>
        </is>
      </c>
      <c r="L27" s="610" t="n">
        <v>2</v>
      </c>
      <c r="M27" s="610" t="n">
        <v>3</v>
      </c>
      <c r="N27" s="610">
        <f>L27*M27</f>
        <v/>
      </c>
      <c r="O27" s="609">
        <f>IF(N27&lt;=5,"A",IF(N27&lt;=10,"B",IF(N27&lt;=25,"C",)))</f>
        <v/>
      </c>
    </row>
    <row r="28" ht="70.5" customFormat="1" customHeight="1" s="208">
      <c r="A28" s="610" t="n">
        <v>22</v>
      </c>
      <c r="B28" s="609" t="inlineStr">
        <is>
          <t>trimming</t>
        </is>
      </c>
      <c r="C28" s="609" t="inlineStr">
        <is>
          <t>부서지고 떨어진 곰팡이</t>
        </is>
      </c>
      <c r="D28" s="815" t="n"/>
      <c r="E28" s="609" t="inlineStr">
        <is>
          <t>느슨한 금형 브래킷, 느슨한 위치 지정 나사</t>
        </is>
      </c>
      <c r="F28" s="815" t="n"/>
      <c r="G28" s="610" t="n">
        <v>2</v>
      </c>
      <c r="H28" s="610" t="n">
        <v>4</v>
      </c>
      <c r="I28" s="610">
        <f>G28*H28</f>
        <v/>
      </c>
      <c r="J28" s="609">
        <f>IF(I28&lt;=5,"A",IF(I28&lt;=10,"B",IF(I28&lt;=25,"C",)))</f>
        <v/>
      </c>
      <c r="K28" s="212" t="inlineStr">
        <is>
          <t>매일 금형 나사의 위치를 ​​확인하고 시트를 확인하십시오.</t>
        </is>
      </c>
      <c r="L28" s="610" t="n">
        <v>1</v>
      </c>
      <c r="M28" s="610" t="n">
        <v>4</v>
      </c>
      <c r="N28" s="610">
        <f>L28*M28</f>
        <v/>
      </c>
      <c r="O28" s="609">
        <f>IF(N28&lt;=5,"A",IF(N28&lt;=10,"B",IF(N28&lt;=25,"C",)))</f>
        <v/>
      </c>
    </row>
    <row r="29" ht="70.5" customFormat="1" customHeight="1" s="208">
      <c r="A29" s="610" t="n">
        <v>23</v>
      </c>
      <c r="B29" s="820" t="n"/>
      <c r="C29" s="609" t="inlineStr">
        <is>
          <t>센서 센서가 고장났습니다.</t>
        </is>
      </c>
      <c r="D29" s="815" t="n"/>
      <c r="E29" s="609" t="inlineStr">
        <is>
          <t>먼지가 유리에 달라붙어 센서 전원이 손상됨</t>
        </is>
      </c>
      <c r="F29" s="815" t="n"/>
      <c r="G29" s="610" t="n">
        <v>2</v>
      </c>
      <c r="H29" s="610" t="n">
        <v>4</v>
      </c>
      <c r="I29" s="610">
        <f>G29*H29</f>
        <v/>
      </c>
      <c r="J29" s="609">
        <f>IF(I29&lt;=5,"A",IF(I29&lt;=10,"B",IF(I29&lt;=25,"C",)))</f>
        <v/>
      </c>
      <c r="K29" s="212" t="inlineStr">
        <is>
          <t>매일 장비 안전을 점검하십시오.</t>
        </is>
      </c>
      <c r="L29" s="610" t="n">
        <v>1</v>
      </c>
      <c r="M29" s="610" t="n">
        <v>4</v>
      </c>
      <c r="N29" s="610">
        <f>L29*M29</f>
        <v/>
      </c>
      <c r="O29" s="609">
        <f>IF(N29&lt;=5,"A",IF(N29&lt;=10,"B",IF(N29&lt;=25,"C",)))</f>
        <v/>
      </c>
    </row>
    <row r="30" ht="70.5" customFormat="1" customHeight="1" s="208">
      <c r="A30" s="610" t="n">
        <v>24</v>
      </c>
      <c r="B30" s="818" t="n"/>
      <c r="C30" s="609" t="inlineStr">
        <is>
          <t>잘못된 조작으로 인해 금형 파손 및 제품 파손이 발생합니다.</t>
        </is>
      </c>
      <c r="D30" s="815" t="n"/>
      <c r="E30" s="609" t="inlineStr">
        <is>
          <t>잘못된 조작으로 인해</t>
        </is>
      </c>
      <c r="F30" s="815" t="n"/>
      <c r="G30" s="610" t="n">
        <v>3</v>
      </c>
      <c r="H30" s="610" t="n">
        <v>3</v>
      </c>
      <c r="I30" s="610">
        <f>G30*H30</f>
        <v/>
      </c>
      <c r="J30" s="609">
        <f>IF(I30&lt;=5,"A",IF(I30&lt;=10,"B",IF(I30&lt;=25,"C",)))</f>
        <v/>
      </c>
      <c r="K30" s="212" t="inlineStr">
        <is>
          <t>직원을 위한 교육 및 운영 지침</t>
        </is>
      </c>
      <c r="L30" s="610" t="n">
        <v>1</v>
      </c>
      <c r="M30" s="610" t="n">
        <v>3</v>
      </c>
      <c r="N30" s="610">
        <f>L30*M30</f>
        <v/>
      </c>
      <c r="O30" s="609">
        <f>IF(N30&lt;=5,"A",IF(N30&lt;=10,"B",IF(N30&lt;=25,"C",)))</f>
        <v/>
      </c>
    </row>
    <row r="31" ht="15.75" customFormat="1" customHeight="1" s="252">
      <c r="A31" s="396" t="n"/>
      <c r="B31" s="154" t="inlineStr">
        <is>
          <t>아르헨티나는 다음 공식을 사용하여 측정됩니다: R = F x S, 여기서:</t>
        </is>
      </c>
      <c r="C31" s="566" t="n"/>
      <c r="D31" s="566" t="n"/>
      <c r="E31" s="566" t="n"/>
      <c r="F31" s="566" t="n"/>
      <c r="G31" s="566" t="n"/>
      <c r="H31" s="566" t="n"/>
      <c r="I31" s="566" t="n"/>
      <c r="J31" s="566" t="n"/>
      <c r="K31" s="823" t="n"/>
      <c r="L31" s="155" t="n"/>
      <c r="M31" s="155" t="n"/>
      <c r="N31" s="155" t="n"/>
      <c r="O31" s="156" t="n"/>
    </row>
    <row r="32" ht="12.75" customHeight="1" s="157">
      <c r="A32" s="265" t="n"/>
      <c r="B32" s="265" t="inlineStr">
        <is>
          <t>R: 리스크.</t>
        </is>
      </c>
      <c r="O32" s="158" t="n"/>
    </row>
    <row r="33" ht="12.75" customHeight="1" s="157">
      <c r="A33" s="265" t="n"/>
      <c r="B33" s="265" t="inlineStr">
        <is>
          <t>여: 가능성.</t>
        </is>
      </c>
      <c r="O33" s="158" t="n"/>
    </row>
    <row r="34" ht="12.75" customHeight="1" s="157">
      <c r="A34" s="265" t="n"/>
      <c r="B34" s="256" t="inlineStr">
        <is>
          <t>S: 그런 일이 발생하면 어떤 결과가 따르나요?</t>
        </is>
      </c>
      <c r="C34" s="159" t="n"/>
      <c r="D34" s="159" t="n"/>
      <c r="E34" s="159" t="n"/>
      <c r="F34" s="159" t="n"/>
      <c r="G34" s="159" t="n"/>
      <c r="H34" s="159" t="n"/>
      <c r="I34" s="159" t="n"/>
      <c r="J34" s="159" t="n"/>
      <c r="K34" s="159" t="n"/>
      <c r="L34" s="159" t="n"/>
      <c r="M34" s="159" t="n"/>
      <c r="N34" s="159" t="n"/>
      <c r="O34" s="290" t="n"/>
    </row>
    <row r="35" ht="24" customFormat="1" customHeight="1" s="208">
      <c r="A35" s="609" t="inlineStr">
        <is>
          <t>No</t>
        </is>
      </c>
      <c r="B35" s="592" t="inlineStr">
        <is>
          <t>문서번호</t>
        </is>
      </c>
      <c r="C35" s="814" t="n"/>
      <c r="D35" s="815" t="n"/>
      <c r="E35" s="196" t="inlineStr">
        <is>
          <t>개정 번호</t>
        </is>
      </c>
      <c r="F35" s="592" t="inlineStr">
        <is>
          <t xml:space="preserve">발행일 </t>
        </is>
      </c>
      <c r="G35" s="815" t="n"/>
      <c r="H35" s="276" t="inlineStr">
        <is>
          <t>수정된 시간</t>
        </is>
      </c>
      <c r="I35" s="592" t="n"/>
      <c r="J35" s="592" t="inlineStr">
        <is>
          <t xml:space="preserve">내용 </t>
        </is>
      </c>
      <c r="K35" s="814" t="n"/>
      <c r="L35" s="815" t="n"/>
      <c r="M35" s="501" t="inlineStr">
        <is>
          <t>작성자</t>
        </is>
      </c>
      <c r="N35" s="814" t="n"/>
      <c r="O35" s="815" t="n"/>
    </row>
    <row r="36" ht="24" customFormat="1" customHeight="1" s="208">
      <c r="A36" s="609" t="n">
        <v>1</v>
      </c>
      <c r="B36" s="592" t="inlineStr">
        <is>
          <t>CTT .03.02.07</t>
        </is>
      </c>
      <c r="C36" s="814" t="n"/>
      <c r="D36" s="815" t="n"/>
      <c r="E36" s="196" t="n">
        <v>0</v>
      </c>
      <c r="F36" s="593" t="n">
        <v>43191</v>
      </c>
      <c r="G36" s="815" t="n"/>
      <c r="H36" s="824" t="n">
        <v>0</v>
      </c>
      <c r="I36" s="815" t="n"/>
      <c r="J36" s="592" t="inlineStr">
        <is>
          <t>신규 작성</t>
        </is>
      </c>
      <c r="K36" s="814" t="n"/>
      <c r="L36" s="815" t="n"/>
      <c r="M36" s="501" t="inlineStr">
        <is>
          <t>미스터 비엣</t>
        </is>
      </c>
      <c r="N36" s="814" t="n"/>
      <c r="O36" s="815" t="n"/>
    </row>
    <row r="37" ht="24" customFormat="1" customHeight="1" s="208">
      <c r="A37" s="609" t="n">
        <v>2</v>
      </c>
      <c r="B37" s="592" t="inlineStr">
        <is>
          <t>CTT .03.02.07</t>
        </is>
      </c>
      <c r="C37" s="814" t="n"/>
      <c r="D37" s="815" t="n"/>
      <c r="E37" s="196" t="n">
        <v>1</v>
      </c>
      <c r="F37" s="593" t="n">
        <v>44705</v>
      </c>
      <c r="G37" s="815" t="n"/>
      <c r="H37" s="824" t="n">
        <v>1</v>
      </c>
      <c r="I37" s="815" t="n"/>
      <c r="J37" s="592" t="inlineStr">
        <is>
          <t>기계고장/유지보수시 교체자재 백업관리 추가</t>
        </is>
      </c>
      <c r="K37" s="814" t="n"/>
      <c r="L37" s="815" t="n"/>
      <c r="M37" s="501" t="inlineStr">
        <is>
          <t>미스터 비엣</t>
        </is>
      </c>
      <c r="N37" s="814" t="n"/>
      <c r="O37" s="815" t="n"/>
    </row>
    <row r="38">
      <c r="D38" s="206" t="n"/>
      <c r="E38" s="206" t="n"/>
      <c r="I38" s="489" t="n"/>
    </row>
    <row r="39">
      <c r="D39" s="206" t="n"/>
      <c r="E39" s="206" t="n"/>
      <c r="I39" s="489" t="n"/>
    </row>
    <row r="40">
      <c r="D40" s="206" t="n"/>
      <c r="E40" s="206" t="n"/>
      <c r="I40" s="489" t="n"/>
    </row>
    <row r="41">
      <c r="D41" s="206" t="n"/>
      <c r="E41" s="206" t="n"/>
      <c r="I41" s="489" t="n"/>
    </row>
    <row r="42">
      <c r="D42" s="206" t="n"/>
      <c r="E42" s="206" t="n"/>
      <c r="I42" s="489" t="n"/>
    </row>
    <row r="43">
      <c r="A43" s="489" t="n"/>
    </row>
    <row r="44">
      <c r="D44" s="206" t="n"/>
      <c r="E44" s="206" t="n"/>
      <c r="I44" s="489" t="n"/>
    </row>
    <row r="45">
      <c r="I45" s="489" t="n"/>
    </row>
    <row r="46">
      <c r="I46" s="489" t="n"/>
    </row>
    <row r="47">
      <c r="I47" s="489" t="n"/>
    </row>
    <row r="48">
      <c r="I48" s="489" t="n"/>
    </row>
    <row r="49">
      <c r="D49" s="206" t="n"/>
      <c r="E49" s="206" t="n"/>
      <c r="I49" s="489" t="n"/>
    </row>
    <row r="50">
      <c r="D50" s="206" t="n"/>
      <c r="E50" s="206" t="n"/>
      <c r="I50" s="489" t="n"/>
    </row>
    <row r="51">
      <c r="D51" s="206" t="n"/>
      <c r="E51" s="206" t="n"/>
      <c r="I51" s="489" t="n"/>
    </row>
    <row r="52">
      <c r="D52" s="206" t="n"/>
      <c r="E52" s="206" t="n"/>
      <c r="I52" s="489" t="n"/>
    </row>
    <row r="53">
      <c r="D53" s="206" t="n"/>
      <c r="E53" s="206" t="n"/>
      <c r="I53" s="489" t="n"/>
    </row>
    <row r="54">
      <c r="I54" s="489" t="n"/>
    </row>
    <row r="55">
      <c r="A55" s="489" t="n"/>
    </row>
    <row r="56">
      <c r="D56" s="206" t="n"/>
      <c r="E56" s="206" t="n"/>
      <c r="I56" s="489" t="n"/>
    </row>
    <row r="57">
      <c r="I57" s="489" t="n"/>
    </row>
    <row r="58">
      <c r="I58" s="489" t="n"/>
    </row>
    <row r="59">
      <c r="I59" s="489" t="n"/>
    </row>
    <row r="60">
      <c r="I60" s="489" t="n"/>
    </row>
  </sheetData>
  <mergeCells count="85">
    <mergeCell ref="C6:D6"/>
    <mergeCell ref="C15:D15"/>
    <mergeCell ref="B12:B13"/>
    <mergeCell ref="E23:F23"/>
    <mergeCell ref="J35:L35"/>
    <mergeCell ref="E8:F8"/>
    <mergeCell ref="A55:O55"/>
    <mergeCell ref="B37:D37"/>
    <mergeCell ref="B6:B7"/>
    <mergeCell ref="L3:O3"/>
    <mergeCell ref="C27:D27"/>
    <mergeCell ref="E27:F27"/>
    <mergeCell ref="H37:I37"/>
    <mergeCell ref="B8:B10"/>
    <mergeCell ref="B24:B27"/>
    <mergeCell ref="C17:D17"/>
    <mergeCell ref="C19:D19"/>
    <mergeCell ref="C28:D28"/>
    <mergeCell ref="E22:F22"/>
    <mergeCell ref="E12:F12"/>
    <mergeCell ref="C30:D30"/>
    <mergeCell ref="B3:B4"/>
    <mergeCell ref="C5:D5"/>
    <mergeCell ref="E5:F5"/>
    <mergeCell ref="C14:D14"/>
    <mergeCell ref="E14:F14"/>
    <mergeCell ref="M37:O37"/>
    <mergeCell ref="H36:I36"/>
    <mergeCell ref="B36:D36"/>
    <mergeCell ref="C2:J2"/>
    <mergeCell ref="E26:F26"/>
    <mergeCell ref="C8:D8"/>
    <mergeCell ref="E16:F16"/>
    <mergeCell ref="K3:K4"/>
    <mergeCell ref="E25:F25"/>
    <mergeCell ref="J37:L37"/>
    <mergeCell ref="M35:O35"/>
    <mergeCell ref="C18:D18"/>
    <mergeCell ref="E18:F18"/>
    <mergeCell ref="B18:B19"/>
    <mergeCell ref="C20:D20"/>
    <mergeCell ref="E20:F20"/>
    <mergeCell ref="C29:D29"/>
    <mergeCell ref="E29:F29"/>
    <mergeCell ref="F36:G36"/>
    <mergeCell ref="C22:D22"/>
    <mergeCell ref="E13:F13"/>
    <mergeCell ref="C12:D12"/>
    <mergeCell ref="E6:F6"/>
    <mergeCell ref="C21:D21"/>
    <mergeCell ref="E15:F15"/>
    <mergeCell ref="B35:D35"/>
    <mergeCell ref="B20:B21"/>
    <mergeCell ref="C23:D23"/>
    <mergeCell ref="C7:D7"/>
    <mergeCell ref="E7:F7"/>
    <mergeCell ref="B28:B30"/>
    <mergeCell ref="K31:O34"/>
    <mergeCell ref="C24:D24"/>
    <mergeCell ref="E24:F24"/>
    <mergeCell ref="J36:L36"/>
    <mergeCell ref="E17:F17"/>
    <mergeCell ref="C26:D26"/>
    <mergeCell ref="B14:B17"/>
    <mergeCell ref="C10:D10"/>
    <mergeCell ref="C16:D16"/>
    <mergeCell ref="E10:F10"/>
    <mergeCell ref="M36:O36"/>
    <mergeCell ref="C25:D25"/>
    <mergeCell ref="A3:A4"/>
    <mergeCell ref="E19:F19"/>
    <mergeCell ref="E28:F28"/>
    <mergeCell ref="C9:D9"/>
    <mergeCell ref="E9:F9"/>
    <mergeCell ref="F35:G35"/>
    <mergeCell ref="C3:D4"/>
    <mergeCell ref="E3:F4"/>
    <mergeCell ref="A43:O43"/>
    <mergeCell ref="E30:F30"/>
    <mergeCell ref="C11:D11"/>
    <mergeCell ref="E11:F11"/>
    <mergeCell ref="F37:G37"/>
    <mergeCell ref="G3:J3"/>
    <mergeCell ref="C13:D13"/>
    <mergeCell ref="E21:F21"/>
  </mergeCells>
  <pageMargins left="0.6899999999999999" right="0.16" top="0.74" bottom="0.16" header="0.36" footer="0.23"/>
  <pageSetup orientation="landscape" scale="62" fitToHeight="0" useFirstPageNumber="1" horizontalDpi="300" verticalDpi="300"/>
  <rowBreaks count="1" manualBreakCount="1">
    <brk id="15" min="0" max="12" man="1"/>
  </rowBreaks>
  <drawing xmlns:r="http://schemas.openxmlformats.org/officeDocument/2006/relationships" r:id="rId1"/>
</worksheet>
</file>

<file path=xl/worksheets/sheet6.xml><?xml version="1.0" encoding="utf-8"?>
<worksheet xmlns="http://schemas.openxmlformats.org/spreadsheetml/2006/main">
  <sheetPr>
    <tabColor rgb="FF92D050"/>
    <outlinePr summaryBelow="1" summaryRight="1"/>
    <pageSetUpPr/>
  </sheetPr>
  <dimension ref="A1:M68"/>
  <sheetViews>
    <sheetView view="pageBreakPreview" zoomScale="77" zoomScaleNormal="89" zoomScaleSheetLayoutView="77" workbookViewId="0">
      <selection activeCell="C1" sqref="C1:M2"/>
    </sheetView>
  </sheetViews>
  <sheetFormatPr baseColWidth="8" defaultColWidth="11.5703125" defaultRowHeight="15.75"/>
  <cols>
    <col width="4.85546875" customWidth="1" style="208" min="1" max="1"/>
    <col width="36.28515625" customWidth="1" style="604" min="2" max="2"/>
    <col width="43" customWidth="1" style="235" min="3" max="3"/>
    <col width="42" customWidth="1" style="236" min="4" max="4"/>
    <col width="7.28515625" customWidth="1" style="208" min="5" max="6"/>
    <col width="6.85546875" customWidth="1" style="208" min="7" max="7"/>
    <col width="11.7109375" customWidth="1" style="208" min="8" max="8"/>
    <col width="45.85546875" customWidth="1" style="489" min="9" max="9"/>
    <col width="6.42578125" customWidth="1" style="489" min="10" max="10"/>
    <col width="5.7109375" customWidth="1" style="489" min="11" max="11"/>
    <col width="6.28515625" customWidth="1" style="489" min="12" max="12"/>
    <col width="12" customWidth="1" style="208" min="13" max="13"/>
    <col width="16.5703125" customWidth="1" style="208" min="14" max="14"/>
    <col width="11.5703125" customWidth="1" style="208" min="15" max="16384"/>
  </cols>
  <sheetData>
    <row r="1" ht="46.5" customHeight="1" s="157">
      <c r="A1" s="489" t="n"/>
      <c r="B1" s="604" t="n"/>
      <c r="C1" s="601" t="inlineStr">
        <is>
          <t>도장실 위험 평가</t>
        </is>
      </c>
    </row>
    <row r="2" ht="63" customHeight="1" s="157">
      <c r="A2" s="209" t="n"/>
      <c r="B2" s="210" t="inlineStr">
        <is>
          <t>pai:03/00/03</t>
        </is>
      </c>
      <c r="C2" s="256" t="n"/>
      <c r="D2" s="159" t="n"/>
      <c r="E2" s="159" t="n"/>
      <c r="F2" s="159" t="n"/>
      <c r="G2" s="159" t="n"/>
      <c r="H2" s="159" t="n"/>
      <c r="I2" s="159" t="n"/>
      <c r="J2" s="159" t="n"/>
      <c r="K2" s="159" t="n"/>
      <c r="L2" s="159" t="n"/>
      <c r="M2" s="159" t="n"/>
    </row>
    <row r="3" ht="54" customFormat="1" customHeight="1" s="727">
      <c r="A3" s="610" t="inlineStr">
        <is>
          <t>번호</t>
        </is>
      </c>
      <c r="B3" s="609" t="inlineStr">
        <is>
          <t>프로세스/진행상황</t>
        </is>
      </c>
      <c r="C3" s="609" t="inlineStr">
        <is>
          <t>잠재력</t>
        </is>
      </c>
      <c r="D3" s="610" t="inlineStr">
        <is>
          <t>원인/설명</t>
        </is>
      </c>
      <c r="E3" s="610" t="inlineStr">
        <is>
          <t>리스크 평가</t>
        </is>
      </c>
      <c r="F3" s="814" t="n"/>
      <c r="G3" s="814" t="n"/>
      <c r="H3" s="815" t="n"/>
      <c r="I3" s="609" t="inlineStr">
        <is>
          <t>예방/시정 조치</t>
        </is>
      </c>
      <c r="J3" s="609" t="inlineStr">
        <is>
          <t>외부 평가
예방 조치를 취한 후</t>
        </is>
      </c>
      <c r="K3" s="814" t="n"/>
      <c r="L3" s="814" t="n"/>
      <c r="M3" s="815" t="n"/>
    </row>
    <row r="4" ht="40.5" customFormat="1" customHeight="1" s="727">
      <c r="A4" s="818" t="n"/>
      <c r="B4" s="818" t="n"/>
      <c r="C4" s="818" t="n"/>
      <c r="D4" s="818" t="n"/>
      <c r="E4" s="610" t="inlineStr">
        <is>
          <t>S</t>
        </is>
      </c>
      <c r="F4" s="610" t="inlineStr">
        <is>
          <t>F</t>
        </is>
      </c>
      <c r="G4" s="610" t="inlineStr">
        <is>
          <t>S*F</t>
        </is>
      </c>
      <c r="H4" s="590" t="inlineStr">
        <is>
          <t>위험 분류</t>
        </is>
      </c>
      <c r="I4" s="818" t="n"/>
      <c r="J4" s="609" t="inlineStr">
        <is>
          <t>S</t>
        </is>
      </c>
      <c r="K4" s="610" t="inlineStr">
        <is>
          <t>F</t>
        </is>
      </c>
      <c r="L4" s="610" t="inlineStr">
        <is>
          <t>S*F</t>
        </is>
      </c>
      <c r="M4" s="609" t="inlineStr">
        <is>
          <t>분류
 위험</t>
        </is>
      </c>
    </row>
    <row r="5" ht="57.75" customFormat="1" customHeight="1" s="727">
      <c r="A5" s="610" t="n">
        <v>1</v>
      </c>
      <c r="B5" s="212" t="inlineStr">
        <is>
          <t>도료/잉크 원료 입력</t>
        </is>
      </c>
      <c r="C5" s="212" t="inlineStr">
        <is>
          <t>만료된 페인트/잉크</t>
        </is>
      </c>
      <c r="D5" s="213" t="inlineStr">
        <is>
          <t>생산에 들어가기 전 페인트/잉크의 유통기한을 확인하지 않음</t>
        </is>
      </c>
      <c r="E5" s="610" t="n">
        <v>1</v>
      </c>
      <c r="F5" s="610" t="n">
        <v>5</v>
      </c>
      <c r="G5" s="610">
        <f>E5*F5</f>
        <v/>
      </c>
      <c r="H5" s="609" t="inlineStr">
        <is>
          <t>A</t>
        </is>
      </c>
      <c r="I5" s="721" t="inlineStr">
        <is>
          <t>페인트/잉크를 생산에 가져오기 전에 iqc가 씰을 확인하고 통과했는지 확인해야 합니다. 프로덕션 환경으로 가져오기 전에 확인 표시를 통과하세요.</t>
        </is>
      </c>
      <c r="J5" s="721" t="n">
        <v>1</v>
      </c>
      <c r="K5" s="720" t="n">
        <v>1</v>
      </c>
      <c r="L5" s="720">
        <f>K5*J5</f>
        <v/>
      </c>
      <c r="M5" s="189" t="inlineStr">
        <is>
          <t>A</t>
        </is>
      </c>
    </row>
    <row r="6" ht="57.75" customFormat="1" customHeight="1" s="727">
      <c r="A6" s="610" t="n">
        <v>2</v>
      </c>
      <c r="B6" s="212" t="inlineStr">
        <is>
          <t>입력 데이터 입력</t>
        </is>
      </c>
      <c r="C6" s="212" t="inlineStr">
        <is>
          <t>NG가 대량으로 발생합니까?</t>
        </is>
      </c>
      <c r="D6" s="190" t="inlineStr">
        <is>
          <t>자재를 생산에 투입하기 전에 주의 깊게 확인하지 않음</t>
        </is>
      </c>
      <c r="E6" s="610" t="n">
        <v>1</v>
      </c>
      <c r="F6" s="610" t="n">
        <v>5</v>
      </c>
      <c r="G6" s="610">
        <f>E6*F6</f>
        <v/>
      </c>
      <c r="H6" s="609" t="inlineStr">
        <is>
          <t>A</t>
        </is>
      </c>
      <c r="I6" s="609" t="inlineStr">
        <is>
          <t>제작 전 재질을 100% 확인하세요. 높은 NG 비율이 감지되면 이전 프로세스를 반환하고 상사에게 보고합니다.</t>
        </is>
      </c>
      <c r="J6" s="609" t="n">
        <v>1</v>
      </c>
      <c r="K6" s="610" t="n">
        <v>2</v>
      </c>
      <c r="L6" s="720">
        <f>K6*J6</f>
        <v/>
      </c>
      <c r="M6" s="189" t="inlineStr">
        <is>
          <t>A</t>
        </is>
      </c>
    </row>
    <row r="7" ht="57.75" customFormat="1" customHeight="1" s="727">
      <c r="A7" s="610" t="n">
        <v>3</v>
      </c>
      <c r="B7" s="212" t="inlineStr">
        <is>
          <t>페인팅 지그에 들어가세요</t>
        </is>
      </c>
      <c r="C7" s="212" t="inlineStr">
        <is>
          <t>지그는 제품과 맞지 않는 지그 위치에 버(Burr)가 있어 도료가 넘치거나 도료가 부족하게 됩니다.</t>
        </is>
      </c>
      <c r="D7" s="190" t="inlineStr">
        <is>
          <t>지그 수입시 제품과 일치하는지 확인하기 위해 지그를 확인하지 마세요.</t>
        </is>
      </c>
      <c r="E7" s="610" t="n">
        <v>3</v>
      </c>
      <c r="F7" s="610" t="n">
        <v>5</v>
      </c>
      <c r="G7" s="610" t="n">
        <v>5</v>
      </c>
      <c r="H7" s="609" t="inlineStr">
        <is>
          <t>C</t>
        </is>
      </c>
      <c r="I7" s="609" t="inlineStr">
        <is>
          <t>도장 전 지그를 점검하고, 도장 전 지그를 테스트하여 도료 부족의 원인이 되는 균열 및 도료 유출이 있는지 확인합니다.</t>
        </is>
      </c>
      <c r="J7" s="609" t="n">
        <v>1</v>
      </c>
      <c r="K7" s="610" t="n">
        <v>3</v>
      </c>
      <c r="L7" s="720">
        <f>K7*J7</f>
        <v/>
      </c>
      <c r="M7" s="189" t="inlineStr">
        <is>
          <t>A</t>
        </is>
      </c>
    </row>
    <row r="8" ht="57.75" customFormat="1" customHeight="1" s="727">
      <c r="A8" s="610" t="n">
        <v>4</v>
      </c>
      <c r="B8" s="212" t="inlineStr">
        <is>
          <t>로봇 총</t>
        </is>
      </c>
      <c r="C8" s="212" t="inlineStr">
        <is>
          <t>총을 청소하지 않으면 일련의 페인트 여드름과 총에 페인트 잔여물이 생길 수 있습니다.</t>
        </is>
      </c>
      <c r="D8" s="190" t="inlineStr">
        <is>
          <t>일상적인 청소 및 유지 관리 또는 페인팅 후 청소를 허용하지 마십시오.</t>
        </is>
      </c>
      <c r="E8" s="610" t="n">
        <v>5</v>
      </c>
      <c r="F8" s="610" t="n">
        <v>1</v>
      </c>
      <c r="G8" s="610">
        <f>E8*F8</f>
        <v/>
      </c>
      <c r="H8" s="609" t="inlineStr">
        <is>
          <t>A</t>
        </is>
      </c>
      <c r="I8" s="214" t="inlineStr">
        <is>
          <t>생산 후 계획에 따라 정기적으로 청소 및 유지 관리</t>
        </is>
      </c>
      <c r="J8" s="609" t="n">
        <v>2</v>
      </c>
      <c r="K8" s="610" t="n">
        <v>1</v>
      </c>
      <c r="L8" s="720">
        <f>K8*J8</f>
        <v/>
      </c>
      <c r="M8" s="189" t="inlineStr">
        <is>
          <t>A</t>
        </is>
      </c>
    </row>
    <row r="9" ht="57.75" customFormat="1" customHeight="1" s="727">
      <c r="A9" s="610" t="n">
        <v>5</v>
      </c>
      <c r="B9" s="190" t="inlineStr">
        <is>
          <t>인간</t>
        </is>
      </c>
      <c r="C9" s="212" t="inlineStr">
        <is>
          <t>노동 안전 상실</t>
        </is>
      </c>
      <c r="D9" s="190" t="inlineStr">
        <is>
          <t>매일 알림을 정기적으로 훈련하지 않음</t>
        </is>
      </c>
      <c r="E9" s="610" t="n">
        <v>2</v>
      </c>
      <c r="F9" s="610" t="n">
        <v>5</v>
      </c>
      <c r="G9" s="610" t="n">
        <v>5</v>
      </c>
      <c r="H9" s="609" t="inlineStr">
        <is>
          <t>A</t>
        </is>
      </c>
      <c r="I9" s="609" t="inlineStr">
        <is>
          <t>노동 안전에 대한 매일 알림, 장비를 정기적으로 점검하고 계획에 따라 유지 관리하여 위험을 방지합니다.</t>
        </is>
      </c>
      <c r="J9" s="609" t="n">
        <v>1</v>
      </c>
      <c r="K9" s="610" t="n">
        <v>1</v>
      </c>
      <c r="L9" s="720">
        <f>K9*J9</f>
        <v/>
      </c>
      <c r="M9" s="189" t="inlineStr">
        <is>
          <t>A</t>
        </is>
      </c>
    </row>
    <row r="10" ht="17.25" customFormat="1" customHeight="1" s="200">
      <c r="A10" s="825" t="inlineStr">
        <is>
          <t>아르헨티나는 다음 공식을 사용하여 측정됩니다: R = F x S, 여기서:</t>
        </is>
      </c>
      <c r="B10" s="155" t="n"/>
      <c r="C10" s="155" t="n"/>
      <c r="D10" s="155" t="n"/>
      <c r="E10" s="155" t="n"/>
      <c r="F10" s="155" t="n"/>
      <c r="G10" s="155" t="n"/>
      <c r="H10" s="155" t="n"/>
      <c r="I10" s="155" t="n"/>
      <c r="J10" s="155" t="n"/>
      <c r="K10" s="155" t="n"/>
      <c r="L10" s="155" t="n"/>
      <c r="M10" s="156" t="n"/>
    </row>
    <row r="11" ht="17.25" customFormat="1" customHeight="1" s="200">
      <c r="A11" s="826" t="inlineStr">
        <is>
          <t>R': 리스크.</t>
        </is>
      </c>
      <c r="M11" s="158" t="n"/>
    </row>
    <row r="12" ht="17.25" customFormat="1" customHeight="1" s="200">
      <c r="A12" s="827" t="inlineStr">
        <is>
          <t>여: 가능성.</t>
        </is>
      </c>
      <c r="M12" s="158" t="n"/>
    </row>
    <row r="13" ht="17.25" customFormat="1" customHeight="1" s="200">
      <c r="A13" s="828" t="inlineStr">
        <is>
          <t>S: 그런 일이 발생하면 어떤 결과가 따르나요?</t>
        </is>
      </c>
      <c r="B13" s="159" t="n"/>
      <c r="C13" s="159" t="n"/>
      <c r="D13" s="159" t="n"/>
      <c r="E13" s="159" t="n"/>
      <c r="F13" s="159" t="n"/>
      <c r="G13" s="159" t="n"/>
      <c r="H13" s="159" t="n"/>
      <c r="I13" s="159" t="n"/>
      <c r="J13" s="159" t="n"/>
      <c r="K13" s="159" t="n"/>
      <c r="L13" s="159" t="n"/>
      <c r="M13" s="290" t="n"/>
    </row>
    <row r="14" ht="15.75" customFormat="1" customHeight="1" s="208">
      <c r="A14" s="265" t="n"/>
      <c r="B14" s="268" t="inlineStr">
        <is>
          <t>No</t>
        </is>
      </c>
      <c r="C14" s="253" t="inlineStr">
        <is>
          <t>문서번호</t>
        </is>
      </c>
      <c r="D14" s="253" t="inlineStr">
        <is>
          <t>발행일</t>
        </is>
      </c>
      <c r="E14" s="492" t="inlineStr">
        <is>
          <t>개정</t>
        </is>
      </c>
      <c r="F14" s="814" t="n"/>
      <c r="G14" s="592" t="inlineStr">
        <is>
          <t xml:space="preserve">내용 </t>
        </is>
      </c>
      <c r="H14" s="814" t="n"/>
      <c r="I14" s="814" t="n"/>
      <c r="J14" s="814" t="n"/>
      <c r="K14" s="815" t="n"/>
      <c r="L14" s="501" t="inlineStr">
        <is>
          <t>작성자</t>
        </is>
      </c>
      <c r="M14" s="815" t="n"/>
    </row>
    <row r="15" ht="15.75" customFormat="1" customHeight="1" s="208">
      <c r="A15" s="265" t="n"/>
      <c r="B15" s="268" t="n">
        <v>0</v>
      </c>
      <c r="C15" s="253" t="inlineStr">
        <is>
          <t>PAI.03.00.09</t>
        </is>
      </c>
      <c r="D15" s="253" t="inlineStr">
        <is>
          <t>02.01.2019</t>
        </is>
      </c>
      <c r="E15" s="496" t="inlineStr">
        <is>
          <t>0</t>
        </is>
      </c>
      <c r="F15" s="814" t="n"/>
      <c r="G15" s="592" t="inlineStr">
        <is>
          <t>신규 작성</t>
        </is>
      </c>
      <c r="H15" s="814" t="n"/>
      <c r="I15" s="814" t="n"/>
      <c r="J15" s="814" t="n"/>
      <c r="K15" s="815" t="n"/>
      <c r="L15" s="501" t="inlineStr">
        <is>
          <t>Mr Thanh</t>
        </is>
      </c>
      <c r="M15" s="815" t="n"/>
    </row>
    <row r="16" ht="15.75" customFormat="1" customHeight="1" s="208">
      <c r="A16" s="256" t="n"/>
      <c r="B16" s="212" t="n"/>
      <c r="C16" s="253" t="n"/>
      <c r="D16" s="253" t="n"/>
      <c r="E16" s="499" t="n"/>
      <c r="F16" s="814" t="n"/>
      <c r="G16" s="592" t="n"/>
      <c r="H16" s="814" t="n"/>
      <c r="I16" s="814" t="n"/>
      <c r="J16" s="814" t="n"/>
      <c r="K16" s="815" t="n"/>
      <c r="L16" s="501" t="n"/>
      <c r="M16" s="815" t="n"/>
    </row>
    <row r="17" ht="15.75" customFormat="1" customHeight="1" s="208">
      <c r="A17" s="489" t="n"/>
      <c r="B17" s="604" t="n"/>
      <c r="C17" s="235" t="n"/>
      <c r="D17" s="219" t="n"/>
      <c r="E17" s="489" t="n"/>
      <c r="F17" s="489" t="n"/>
      <c r="G17" s="489" t="n"/>
      <c r="H17" s="489" t="n"/>
      <c r="I17" s="489" t="n"/>
      <c r="J17" s="489" t="n"/>
      <c r="K17" s="489" t="n"/>
      <c r="L17" s="489" t="n"/>
      <c r="M17" s="489" t="n"/>
    </row>
    <row r="18" ht="66.75" customFormat="1" customHeight="1" s="208">
      <c r="A18" s="489" t="n"/>
      <c r="B18" s="604" t="n"/>
      <c r="C18" s="750" t="n"/>
      <c r="D18" s="219" t="n"/>
      <c r="E18" s="489" t="n"/>
      <c r="F18" s="489" t="n"/>
      <c r="G18" s="489" t="n"/>
      <c r="H18" s="489" t="n"/>
      <c r="I18" s="218" t="n"/>
      <c r="J18" s="489" t="n"/>
      <c r="K18" s="489" t="n"/>
      <c r="L18" s="489" t="n"/>
      <c r="M18" s="489" t="n"/>
    </row>
    <row r="19" ht="94.5" customFormat="1" customHeight="1" s="208">
      <c r="A19" s="489" t="n"/>
      <c r="B19" s="604" t="n"/>
      <c r="C19" s="750" t="n"/>
      <c r="D19" s="219" t="n"/>
      <c r="E19" s="489" t="n"/>
      <c r="F19" s="489" t="n"/>
      <c r="G19" s="489" t="n"/>
      <c r="H19" s="489" t="n"/>
      <c r="I19" s="218" t="n"/>
      <c r="J19" s="489" t="n"/>
      <c r="K19" s="489" t="n"/>
      <c r="L19" s="489" t="n"/>
      <c r="M19" s="489" t="n"/>
    </row>
    <row r="20" ht="92.25" customFormat="1" customHeight="1" s="208">
      <c r="A20" s="489" t="n"/>
      <c r="B20" s="604" t="n"/>
      <c r="C20" s="750" t="n"/>
      <c r="D20" s="219" t="n"/>
      <c r="E20" s="489" t="n"/>
      <c r="F20" s="489" t="n"/>
      <c r="G20" s="489" t="n"/>
      <c r="H20" s="489" t="n"/>
      <c r="I20" s="218" t="n"/>
      <c r="J20" s="489" t="n"/>
      <c r="K20" s="489" t="n"/>
      <c r="L20" s="489" t="n"/>
      <c r="M20" s="489" t="n"/>
    </row>
    <row r="21" ht="58.5" customFormat="1" customHeight="1" s="208">
      <c r="A21" s="489" t="n"/>
      <c r="B21" s="604" t="n"/>
      <c r="C21" s="750" t="n"/>
      <c r="D21" s="219" t="n"/>
      <c r="E21" s="489" t="n"/>
      <c r="F21" s="489" t="n"/>
      <c r="G21" s="489" t="n"/>
      <c r="H21" s="489" t="n"/>
      <c r="I21" s="218" t="n"/>
      <c r="J21" s="489" t="n"/>
      <c r="K21" s="489" t="n"/>
      <c r="L21" s="489" t="n"/>
      <c r="M21" s="489" t="n"/>
    </row>
    <row r="22" hidden="1" customFormat="1" s="208">
      <c r="A22" s="220" t="n"/>
      <c r="B22" s="221" t="n"/>
      <c r="C22" s="222" t="n"/>
      <c r="D22" s="223" t="n"/>
      <c r="E22" s="224" t="n"/>
      <c r="F22" s="224" t="n"/>
      <c r="G22" s="220" t="n"/>
      <c r="H22" s="224" t="n"/>
      <c r="I22" s="224" t="n"/>
      <c r="J22" s="224" t="n"/>
      <c r="K22" s="224" t="n"/>
      <c r="L22" s="224" t="n"/>
      <c r="M22" s="224" t="n"/>
    </row>
    <row r="23" hidden="1" customFormat="1" s="208">
      <c r="A23" s="220" t="n"/>
      <c r="B23" s="221" t="n"/>
      <c r="C23" s="222" t="n"/>
      <c r="D23" s="223" t="n"/>
      <c r="E23" s="224" t="n"/>
      <c r="F23" s="224" t="n"/>
      <c r="G23" s="220" t="n"/>
      <c r="H23" s="224" t="n"/>
      <c r="I23" s="224" t="n"/>
      <c r="J23" s="224" t="n"/>
      <c r="K23" s="224" t="n"/>
      <c r="L23" s="224" t="n"/>
      <c r="M23" s="224" t="n"/>
    </row>
    <row r="24" hidden="1" customFormat="1" s="208">
      <c r="A24" s="220" t="n"/>
      <c r="B24" s="221" t="n"/>
      <c r="C24" s="222" t="n"/>
      <c r="D24" s="223" t="n"/>
      <c r="E24" s="224" t="n"/>
      <c r="F24" s="224" t="n"/>
      <c r="G24" s="220" t="n"/>
      <c r="H24" s="224" t="n"/>
      <c r="I24" s="224" t="n"/>
      <c r="J24" s="224" t="n"/>
      <c r="K24" s="224" t="n"/>
      <c r="L24" s="224" t="n"/>
      <c r="M24" s="224" t="n"/>
    </row>
    <row r="25" hidden="1" customFormat="1" s="208">
      <c r="A25" s="220" t="n"/>
      <c r="B25" s="221" t="n"/>
      <c r="C25" s="222" t="n"/>
      <c r="D25" s="223" t="n"/>
      <c r="E25" s="224" t="n"/>
      <c r="F25" s="224" t="n"/>
      <c r="G25" s="220" t="n"/>
      <c r="H25" s="224" t="n"/>
      <c r="I25" s="224" t="n"/>
      <c r="J25" s="224" t="n"/>
      <c r="K25" s="224" t="n"/>
      <c r="L25" s="224" t="n"/>
      <c r="M25" s="224" t="n"/>
    </row>
    <row r="26" hidden="1" customFormat="1" s="208">
      <c r="A26" s="220" t="n"/>
      <c r="B26" s="221" t="n"/>
      <c r="C26" s="222" t="n"/>
      <c r="D26" s="223" t="n"/>
      <c r="E26" s="224" t="n"/>
      <c r="F26" s="224" t="n"/>
      <c r="G26" s="220" t="n"/>
      <c r="H26" s="224" t="n"/>
      <c r="I26" s="224" t="n"/>
      <c r="J26" s="224" t="n"/>
      <c r="K26" s="224" t="n"/>
      <c r="L26" s="224" t="n"/>
      <c r="M26" s="224" t="n"/>
    </row>
    <row r="27" hidden="1" customFormat="1" s="208">
      <c r="A27" s="220" t="n"/>
      <c r="B27" s="221" t="n"/>
      <c r="C27" s="222" t="n"/>
      <c r="D27" s="223" t="n"/>
      <c r="E27" s="224" t="n"/>
      <c r="F27" s="224" t="n"/>
      <c r="G27" s="220" t="n"/>
      <c r="H27" s="224" t="n"/>
      <c r="I27" s="224" t="n"/>
      <c r="J27" s="224" t="n"/>
      <c r="K27" s="224" t="n"/>
      <c r="L27" s="224" t="n"/>
      <c r="M27" s="224" t="n"/>
    </row>
    <row r="28" hidden="1" customFormat="1" s="208">
      <c r="A28" s="220" t="n"/>
      <c r="B28" s="221" t="n"/>
      <c r="C28" s="222" t="n"/>
      <c r="D28" s="223" t="n"/>
      <c r="E28" s="224" t="n"/>
      <c r="F28" s="224" t="n"/>
      <c r="G28" s="220" t="n"/>
      <c r="H28" s="224" t="n"/>
      <c r="I28" s="224" t="n"/>
      <c r="J28" s="224" t="n"/>
      <c r="K28" s="224" t="n"/>
      <c r="L28" s="224" t="n"/>
      <c r="M28" s="224" t="n"/>
    </row>
    <row r="29" hidden="1" customFormat="1" s="208">
      <c r="A29" s="220" t="n"/>
      <c r="B29" s="221" t="n"/>
      <c r="C29" s="222" t="n"/>
      <c r="D29" s="223" t="n"/>
      <c r="E29" s="224" t="n"/>
      <c r="F29" s="224" t="n"/>
      <c r="G29" s="220" t="n"/>
      <c r="H29" s="224" t="n"/>
      <c r="I29" s="224" t="n"/>
      <c r="J29" s="224" t="n"/>
      <c r="K29" s="224" t="n"/>
      <c r="L29" s="224" t="n"/>
      <c r="M29" s="224" t="n"/>
    </row>
    <row r="30" hidden="1" customFormat="1" s="208">
      <c r="A30" s="220" t="n"/>
      <c r="B30" s="221" t="n"/>
      <c r="C30" s="222" t="n"/>
      <c r="D30" s="223" t="n"/>
      <c r="E30" s="224" t="n"/>
      <c r="F30" s="224" t="n"/>
      <c r="G30" s="220" t="n"/>
      <c r="H30" s="224" t="n"/>
      <c r="I30" s="224" t="n"/>
      <c r="J30" s="224" t="n"/>
      <c r="K30" s="224" t="n"/>
      <c r="L30" s="224" t="n"/>
      <c r="M30" s="224" t="n"/>
    </row>
    <row r="31" hidden="1" customFormat="1" s="208">
      <c r="A31" s="220" t="n"/>
      <c r="B31" s="221" t="n"/>
      <c r="C31" s="222" t="n"/>
      <c r="D31" s="223" t="n"/>
      <c r="E31" s="224" t="n"/>
      <c r="F31" s="224" t="n"/>
      <c r="G31" s="220" t="n"/>
      <c r="H31" s="224" t="n"/>
      <c r="I31" s="224" t="n"/>
      <c r="J31" s="224" t="n"/>
      <c r="K31" s="224" t="n"/>
      <c r="L31" s="224" t="n"/>
      <c r="M31" s="224" t="n"/>
    </row>
    <row r="32" hidden="1" customFormat="1" s="208">
      <c r="A32" s="220" t="n"/>
      <c r="B32" s="221" t="n"/>
      <c r="C32" s="225" t="n"/>
      <c r="D32" s="226" t="n"/>
      <c r="E32" s="224" t="n"/>
      <c r="F32" s="224" t="n"/>
      <c r="G32" s="220" t="n"/>
      <c r="H32" s="224" t="n"/>
      <c r="I32" s="224" t="n"/>
      <c r="J32" s="224" t="n"/>
      <c r="K32" s="224" t="n"/>
      <c r="L32" s="224" t="n"/>
      <c r="M32" s="224" t="n"/>
    </row>
    <row r="33" hidden="1" customFormat="1" s="208">
      <c r="A33" s="220" t="n"/>
      <c r="B33" s="221" t="n"/>
      <c r="C33" s="225" t="n"/>
      <c r="D33" s="226" t="n"/>
      <c r="E33" s="224" t="n"/>
      <c r="F33" s="224" t="n"/>
      <c r="G33" s="220" t="n"/>
      <c r="H33" s="224" t="n"/>
      <c r="I33" s="224" t="n"/>
      <c r="J33" s="224" t="n"/>
      <c r="K33" s="224" t="n"/>
      <c r="L33" s="224" t="n"/>
      <c r="M33" s="224" t="n"/>
    </row>
    <row r="34" hidden="1" customFormat="1" s="208">
      <c r="A34" s="220" t="n"/>
      <c r="B34" s="221" t="n"/>
      <c r="C34" s="225" t="n"/>
      <c r="D34" s="226" t="n"/>
      <c r="E34" s="224" t="n"/>
      <c r="F34" s="224" t="n"/>
      <c r="G34" s="220" t="n"/>
      <c r="H34" s="224" t="n"/>
      <c r="I34" s="224" t="n"/>
      <c r="J34" s="224" t="n"/>
      <c r="K34" s="224" t="n"/>
      <c r="L34" s="224" t="n"/>
      <c r="M34" s="224" t="n"/>
    </row>
    <row r="35" hidden="1" customFormat="1" s="208">
      <c r="A35" s="220" t="n"/>
      <c r="B35" s="221" t="n"/>
      <c r="C35" s="225" t="n"/>
      <c r="D35" s="226" t="n"/>
      <c r="E35" s="224" t="n"/>
      <c r="F35" s="224" t="n"/>
      <c r="G35" s="220" t="n"/>
      <c r="H35" s="224" t="n"/>
      <c r="I35" s="224" t="n"/>
      <c r="J35" s="224" t="n"/>
      <c r="K35" s="224" t="n"/>
      <c r="L35" s="224" t="n"/>
      <c r="M35" s="224" t="n"/>
    </row>
    <row r="36" hidden="1" customFormat="1" s="208">
      <c r="A36" s="220" t="n"/>
      <c r="B36" s="221" t="n"/>
      <c r="C36" s="225" t="n"/>
      <c r="D36" s="226" t="n"/>
      <c r="E36" s="224" t="n"/>
      <c r="F36" s="224" t="n"/>
      <c r="G36" s="220" t="n"/>
      <c r="H36" s="224" t="n"/>
      <c r="I36" s="224" t="n"/>
      <c r="J36" s="224" t="n"/>
      <c r="K36" s="224" t="n"/>
      <c r="L36" s="224" t="n"/>
      <c r="M36" s="224" t="n"/>
    </row>
    <row r="37" hidden="1" customFormat="1" s="208">
      <c r="A37" s="227" t="n"/>
      <c r="B37" s="228" t="n"/>
      <c r="C37" s="229" t="n"/>
      <c r="D37" s="230" t="n"/>
      <c r="E37" s="231" t="n"/>
      <c r="F37" s="231" t="n"/>
      <c r="G37" s="220" t="n"/>
      <c r="H37" s="231" t="n"/>
      <c r="I37" s="231" t="n"/>
      <c r="J37" s="231" t="n"/>
      <c r="K37" s="231" t="n"/>
      <c r="L37" s="231" t="n"/>
      <c r="M37" s="231" t="n"/>
    </row>
    <row r="38" customFormat="1" s="208">
      <c r="A38" s="489" t="n"/>
    </row>
    <row r="39" customFormat="1" s="208">
      <c r="A39" s="489" t="n"/>
      <c r="B39" s="604" t="n"/>
      <c r="C39" s="750" t="n"/>
      <c r="D39" s="236" t="n"/>
      <c r="E39" s="489" t="n"/>
      <c r="F39" s="489" t="n"/>
      <c r="G39" s="489" t="n"/>
      <c r="H39" s="489" t="n"/>
      <c r="I39" s="489" t="n"/>
      <c r="J39" s="489" t="n"/>
      <c r="K39" s="489" t="n"/>
      <c r="L39" s="489" t="n"/>
      <c r="M39" s="489" t="n"/>
    </row>
    <row r="40" customFormat="1" s="208">
      <c r="B40" s="604" t="n"/>
      <c r="C40" s="750" t="n"/>
      <c r="D40" s="186" t="n"/>
      <c r="G40" s="489" t="n"/>
      <c r="I40" s="218" t="n"/>
      <c r="J40" s="489" t="n"/>
      <c r="K40" s="489" t="n"/>
      <c r="L40" s="489" t="n"/>
    </row>
    <row r="41" customFormat="1" s="208">
      <c r="B41" s="604" t="n"/>
      <c r="C41" s="235" t="n"/>
      <c r="D41" s="236" t="n"/>
      <c r="G41" s="489" t="n"/>
      <c r="I41" s="489" t="n"/>
      <c r="J41" s="489" t="n"/>
      <c r="K41" s="489" t="n"/>
      <c r="L41" s="489" t="n"/>
    </row>
    <row r="42" customFormat="1" s="208">
      <c r="B42" s="604" t="n"/>
      <c r="C42" s="235" t="n"/>
      <c r="D42" s="236" t="n"/>
      <c r="G42" s="489" t="n"/>
      <c r="I42" s="489" t="n"/>
      <c r="J42" s="489" t="n"/>
      <c r="K42" s="489" t="n"/>
      <c r="L42" s="489" t="n"/>
    </row>
    <row r="43" customFormat="1" s="208">
      <c r="B43" s="604" t="n"/>
      <c r="C43" s="235" t="n"/>
      <c r="D43" s="236" t="n"/>
      <c r="G43" s="489" t="n"/>
      <c r="I43" s="489" t="n"/>
      <c r="J43" s="489" t="n"/>
      <c r="K43" s="489" t="n"/>
      <c r="L43" s="489" t="n"/>
    </row>
    <row r="44" customFormat="1" s="208">
      <c r="B44" s="604" t="n"/>
      <c r="C44" s="235" t="n"/>
      <c r="D44" s="236" t="n"/>
      <c r="G44" s="489" t="n"/>
      <c r="I44" s="489" t="n"/>
      <c r="J44" s="489" t="n"/>
      <c r="K44" s="489" t="n"/>
      <c r="L44" s="489" t="n"/>
    </row>
    <row r="45" customFormat="1" s="208">
      <c r="B45" s="604" t="n"/>
      <c r="C45" s="235" t="n"/>
      <c r="D45" s="236" t="n"/>
      <c r="G45" s="489" t="n"/>
      <c r="I45" s="218" t="n"/>
      <c r="J45" s="489" t="n"/>
      <c r="K45" s="489" t="n"/>
      <c r="L45" s="489" t="n"/>
    </row>
    <row r="46" customFormat="1" s="208">
      <c r="B46" s="604" t="n"/>
      <c r="C46" s="750" t="n"/>
      <c r="D46" s="236" t="n"/>
      <c r="G46" s="489" t="n"/>
      <c r="I46" s="218" t="n"/>
      <c r="J46" s="489" t="n"/>
      <c r="K46" s="489" t="n"/>
      <c r="L46" s="489" t="n"/>
    </row>
    <row r="47" customFormat="1" s="208">
      <c r="B47" s="604" t="n"/>
      <c r="C47" s="750" t="n"/>
      <c r="D47" s="236" t="n"/>
      <c r="G47" s="489" t="n"/>
      <c r="I47" s="218" t="n"/>
      <c r="J47" s="489" t="n"/>
      <c r="K47" s="489" t="n"/>
      <c r="L47" s="489" t="n"/>
    </row>
    <row r="48" customFormat="1" s="208">
      <c r="B48" s="604" t="n"/>
      <c r="C48" s="750" t="n"/>
      <c r="D48" s="236" t="n"/>
      <c r="G48" s="489" t="n"/>
      <c r="I48" s="489" t="n"/>
      <c r="J48" s="489" t="n"/>
      <c r="K48" s="489" t="n"/>
      <c r="L48" s="489" t="n"/>
    </row>
    <row r="49" customFormat="1" s="208">
      <c r="B49" s="604" t="n"/>
      <c r="C49" s="750" t="n"/>
      <c r="D49" s="236" t="n"/>
      <c r="G49" s="489" t="n"/>
      <c r="I49" s="489" t="n"/>
      <c r="J49" s="489" t="n"/>
      <c r="K49" s="489" t="n"/>
      <c r="L49" s="489" t="n"/>
    </row>
    <row r="50" customFormat="1" s="208">
      <c r="B50" s="604" t="n"/>
      <c r="C50" s="750" t="n"/>
      <c r="D50" s="236" t="n"/>
      <c r="G50" s="489" t="n"/>
      <c r="I50" s="218" t="n"/>
      <c r="J50" s="489" t="n"/>
      <c r="K50" s="489" t="n"/>
      <c r="L50" s="489" t="n"/>
    </row>
    <row r="51" customFormat="1" s="208">
      <c r="A51" s="489" t="n"/>
    </row>
    <row r="52" customFormat="1" s="208">
      <c r="B52" s="604" t="n"/>
      <c r="C52" s="750" t="n"/>
      <c r="D52" s="236" t="n"/>
      <c r="G52" s="489" t="n"/>
      <c r="I52" s="489" t="n"/>
      <c r="J52" s="489" t="n"/>
      <c r="K52" s="489" t="n"/>
      <c r="L52" s="489" t="n"/>
    </row>
    <row r="53" customFormat="1" s="208">
      <c r="B53" s="604" t="n"/>
      <c r="C53" s="235" t="n"/>
      <c r="D53" s="236" t="n"/>
      <c r="G53" s="489" t="n"/>
      <c r="I53" s="489" t="n"/>
      <c r="J53" s="489" t="n"/>
      <c r="K53" s="489" t="n"/>
      <c r="L53" s="489" t="n"/>
    </row>
    <row r="54" customFormat="1" s="208">
      <c r="B54" s="604" t="n"/>
      <c r="C54" s="235" t="n"/>
      <c r="D54" s="236" t="n"/>
      <c r="G54" s="489" t="n"/>
      <c r="I54" s="489" t="n"/>
      <c r="J54" s="489" t="n"/>
      <c r="K54" s="489" t="n"/>
      <c r="L54" s="489" t="n"/>
    </row>
    <row r="55" customFormat="1" s="208">
      <c r="B55" s="604" t="n"/>
      <c r="C55" s="235" t="n"/>
      <c r="D55" s="236" t="n"/>
      <c r="G55" s="489" t="n"/>
      <c r="I55" s="489" t="n"/>
      <c r="J55" s="489" t="n"/>
      <c r="K55" s="489" t="n"/>
      <c r="L55" s="489" t="n"/>
    </row>
    <row r="56">
      <c r="G56" s="489" t="n"/>
    </row>
    <row r="57">
      <c r="C57" s="750" t="n"/>
      <c r="G57" s="489" t="n"/>
    </row>
    <row r="58">
      <c r="C58" s="750" t="n"/>
      <c r="G58" s="489" t="n"/>
    </row>
    <row r="59">
      <c r="C59" s="750" t="n"/>
      <c r="G59" s="489" t="n"/>
    </row>
    <row r="60">
      <c r="C60" s="750" t="n"/>
      <c r="G60" s="489" t="n"/>
      <c r="I60" s="218" t="n"/>
    </row>
    <row r="61">
      <c r="C61" s="750" t="n"/>
      <c r="G61" s="489" t="n"/>
      <c r="I61" s="218" t="n"/>
    </row>
    <row r="62">
      <c r="G62" s="489" t="n"/>
    </row>
    <row r="63" customFormat="1" s="208">
      <c r="A63" s="489" t="n"/>
    </row>
    <row r="64">
      <c r="C64" s="750" t="n"/>
      <c r="G64" s="489" t="n"/>
    </row>
    <row r="65">
      <c r="G65" s="489" t="n"/>
    </row>
    <row r="66">
      <c r="G66" s="489" t="n"/>
    </row>
    <row r="67">
      <c r="G67" s="489" t="n"/>
    </row>
    <row r="68">
      <c r="G68" s="489" t="n"/>
    </row>
  </sheetData>
  <mergeCells count="24">
    <mergeCell ref="L16:M16"/>
    <mergeCell ref="B3:B4"/>
    <mergeCell ref="J3:M3"/>
    <mergeCell ref="E14:F14"/>
    <mergeCell ref="A38:M38"/>
    <mergeCell ref="A63:M63"/>
    <mergeCell ref="A10:M10"/>
    <mergeCell ref="A13:M13"/>
    <mergeCell ref="E3:H3"/>
    <mergeCell ref="A3:A4"/>
    <mergeCell ref="I3:I4"/>
    <mergeCell ref="L15:M15"/>
    <mergeCell ref="D3:D4"/>
    <mergeCell ref="L14:M14"/>
    <mergeCell ref="A11:M11"/>
    <mergeCell ref="A51:M51"/>
    <mergeCell ref="E15:F15"/>
    <mergeCell ref="G15:K15"/>
    <mergeCell ref="G14:K14"/>
    <mergeCell ref="E16:F16"/>
    <mergeCell ref="C3:C4"/>
    <mergeCell ref="G16:K16"/>
    <mergeCell ref="A12:M12"/>
    <mergeCell ref="C1:M2"/>
  </mergeCells>
  <printOptions horizontalCentered="1"/>
  <pageMargins left="0.44" right="0.16" top="0.74" bottom="0.16" header="0.36" footer="0.23"/>
  <pageSetup orientation="landscape" paperSize="9" scale="52" fitToHeight="0" useFirstPageNumber="1"/>
  <drawing xmlns:r="http://schemas.openxmlformats.org/officeDocument/2006/relationships" r:id="rId1"/>
</worksheet>
</file>

<file path=xl/worksheets/sheet7.xml><?xml version="1.0" encoding="utf-8"?>
<worksheet xmlns="http://schemas.openxmlformats.org/spreadsheetml/2006/main">
  <sheetPr>
    <tabColor rgb="FF92D050"/>
    <outlinePr summaryBelow="1" summaryRight="1"/>
    <pageSetUpPr/>
  </sheetPr>
  <dimension ref="A1:M65"/>
  <sheetViews>
    <sheetView showGridLines="0" topLeftCell="A25" zoomScale="75" zoomScaleNormal="75" workbookViewId="0">
      <selection activeCell="I22" sqref="I22:I25"/>
    </sheetView>
  </sheetViews>
  <sheetFormatPr baseColWidth="8" defaultColWidth="11.5703125" defaultRowHeight="15.75"/>
  <cols>
    <col width="5.7109375" customWidth="1" style="346" min="1" max="1"/>
    <col width="15.28515625" customWidth="1" style="347" min="2" max="2"/>
    <col width="31.5703125" customWidth="1" style="348" min="3" max="3"/>
    <col width="45.28515625" customWidth="1" style="349" min="4" max="4"/>
    <col width="4.5703125" customWidth="1" style="346" min="5" max="5"/>
    <col width="5" customWidth="1" style="346" min="6" max="6"/>
    <col width="6.85546875" customWidth="1" style="346" min="7" max="7"/>
    <col width="11.7109375" customWidth="1" style="346" min="8" max="8"/>
    <col width="40.42578125" customWidth="1" style="349" min="9" max="9"/>
    <col width="4.7109375" customWidth="1" style="618" min="10" max="10"/>
    <col width="4.85546875" customWidth="1" style="618" min="11" max="11"/>
    <col width="6.5703125" customWidth="1" style="618" min="12" max="12"/>
    <col width="13.5703125" customWidth="1" style="352" min="13" max="13"/>
    <col width="11.5703125" customWidth="1" style="346" min="14" max="16384"/>
  </cols>
  <sheetData>
    <row r="1" ht="19.5" customHeight="1" s="157">
      <c r="A1" s="618" t="n"/>
      <c r="B1" s="347" t="n"/>
      <c r="C1" s="348" t="n"/>
      <c r="D1" s="349" t="n"/>
      <c r="E1" s="618" t="n"/>
      <c r="F1" s="618" t="n"/>
      <c r="G1" s="618" t="n"/>
      <c r="H1" s="618" t="n"/>
      <c r="I1" s="349" t="n"/>
      <c r="J1" s="618" t="n"/>
      <c r="K1" s="618" t="n"/>
      <c r="L1" s="618" t="n"/>
      <c r="M1" s="352" t="n"/>
    </row>
    <row r="2" ht="82.5" customHeight="1" s="157" thickBot="1">
      <c r="A2" s="300" t="n"/>
      <c r="B2" s="300" t="n"/>
      <c r="C2" s="643" t="inlineStr">
        <is>
          <t>위험 식별 - 환경 위험 분석, 
노동 안전 및 산업 보건 - 금형실</t>
        </is>
      </c>
    </row>
    <row r="3" ht="24.75" customHeight="1" s="157" thickBot="1">
      <c r="A3" s="829" t="inlineStr">
        <is>
          <t>코드</t>
        </is>
      </c>
      <c r="B3" s="830" t="n"/>
      <c r="C3" s="302" t="inlineStr">
        <is>
          <t>ISO.04.00.19</t>
        </is>
      </c>
      <c r="D3" s="302" t="inlineStr">
        <is>
          <t>발행일</t>
        </is>
      </c>
      <c r="E3" s="302" t="inlineStr">
        <is>
          <t>01.09.2019</t>
        </is>
      </c>
      <c r="F3" s="831" t="n"/>
      <c r="G3" s="831" t="n"/>
      <c r="H3" s="830" t="n"/>
      <c r="I3" s="303" t="inlineStr">
        <is>
          <t>수정된 시간</t>
        </is>
      </c>
      <c r="J3" s="832" t="inlineStr">
        <is>
          <t>00</t>
        </is>
      </c>
      <c r="K3" s="831" t="n"/>
      <c r="L3" s="831" t="n"/>
      <c r="M3" s="833" t="n"/>
    </row>
    <row r="4" ht="48" customFormat="1" customHeight="1" s="352">
      <c r="A4" s="651" t="inlineStr">
        <is>
          <t>번호</t>
        </is>
      </c>
      <c r="B4" s="653" t="inlineStr">
        <is>
          <t>프로세스/진행상황</t>
        </is>
      </c>
      <c r="C4" s="653" t="inlineStr">
        <is>
          <t>잠재력</t>
        </is>
      </c>
      <c r="D4" s="656" t="inlineStr">
        <is>
          <t>원인/설명</t>
        </is>
      </c>
      <c r="E4" s="656" t="inlineStr">
        <is>
          <t>리스크 평가</t>
        </is>
      </c>
      <c r="F4" s="813" t="n"/>
      <c r="G4" s="813" t="n"/>
      <c r="H4" s="834" t="n"/>
      <c r="I4" s="302" t="inlineStr">
        <is>
          <t>대책 
예방/치료</t>
        </is>
      </c>
      <c r="J4" s="653" t="inlineStr">
        <is>
          <t>외부 평가
예방 조치를 취한 후</t>
        </is>
      </c>
      <c r="K4" s="813" t="n"/>
      <c r="L4" s="813" t="n"/>
      <c r="M4" s="834" t="n"/>
    </row>
    <row r="5" ht="37.5" customFormat="1" customHeight="1" s="352" thickBot="1">
      <c r="A5" s="817" t="n"/>
      <c r="B5" s="818" t="n"/>
      <c r="C5" s="818" t="n"/>
      <c r="D5" s="818" t="n"/>
      <c r="E5" s="655" t="inlineStr">
        <is>
          <t>S</t>
        </is>
      </c>
      <c r="F5" s="655" t="inlineStr">
        <is>
          <t>F</t>
        </is>
      </c>
      <c r="G5" s="655" t="inlineStr">
        <is>
          <t>S*F</t>
        </is>
      </c>
      <c r="H5" s="654" t="inlineStr">
        <is>
          <t>위험 분류</t>
        </is>
      </c>
      <c r="I5" s="835" t="n"/>
      <c r="J5" s="654" t="inlineStr">
        <is>
          <t>S</t>
        </is>
      </c>
      <c r="K5" s="655" t="inlineStr">
        <is>
          <t>F</t>
        </is>
      </c>
      <c r="L5" s="655" t="inlineStr">
        <is>
          <t>S*F</t>
        </is>
      </c>
      <c r="M5" s="307" t="inlineStr">
        <is>
          <t>분류
 위험</t>
        </is>
      </c>
    </row>
    <row r="6" ht="20.25" customFormat="1" customHeight="1" s="352">
      <c r="A6" s="836" t="n">
        <v>1</v>
      </c>
      <c r="B6" s="837" t="inlineStr">
        <is>
          <t>절차 금형 유지보수 및 수리 절차(일반)</t>
        </is>
      </c>
      <c r="C6" s="325" t="inlineStr">
        <is>
          <t>뜨거운 곰팡이로 인해 화상을 입는다</t>
        </is>
      </c>
      <c r="D6" s="838" t="inlineStr">
        <is>
          <t>이제 막 생산이 중단되었기 때문에 고온으로 인해 접촉 시 화상을 입게 됩니다.</t>
        </is>
      </c>
      <c r="E6" s="308" t="n">
        <v>2</v>
      </c>
      <c r="F6" s="308" t="n">
        <v>5</v>
      </c>
      <c r="G6" s="308">
        <f>E6*F6</f>
        <v/>
      </c>
      <c r="H6" s="309" t="inlineStr">
        <is>
          <t>B</t>
        </is>
      </c>
      <c r="I6" s="839" t="inlineStr">
        <is>
          <t>(1) 크레인 체인을 사용하여 금형을 낮추십시오.
쇠지레로 틀을 열어라
(2) 두꺼운 섬유장갑을 2겹 사용
 작동할 때</t>
        </is>
      </c>
      <c r="J6" s="309" t="n">
        <v>1</v>
      </c>
      <c r="K6" s="308" t="n">
        <v>1</v>
      </c>
      <c r="L6" s="308">
        <f>J6*K6</f>
        <v/>
      </c>
      <c r="M6" s="358" t="inlineStr">
        <is>
          <t>A</t>
        </is>
      </c>
    </row>
    <row r="7" ht="20.25" customFormat="1" customHeight="1" s="352">
      <c r="A7" s="840" t="n"/>
      <c r="B7" s="820" t="n"/>
      <c r="C7" s="841" t="n"/>
      <c r="D7" s="841" t="n"/>
      <c r="E7" s="311" t="n"/>
      <c r="F7" s="311" t="n"/>
      <c r="G7" s="311" t="n"/>
      <c r="H7" s="312" t="n"/>
      <c r="I7" s="820" t="n"/>
      <c r="J7" s="312" t="n"/>
      <c r="K7" s="311" t="n"/>
      <c r="L7" s="311" t="n"/>
      <c r="M7" s="359" t="n"/>
    </row>
    <row r="8" ht="20.25" customFormat="1" customHeight="1" s="352">
      <c r="A8" s="840" t="n"/>
      <c r="B8" s="820" t="n"/>
      <c r="C8" s="635" t="n"/>
      <c r="D8" s="314" t="n"/>
      <c r="E8" s="315" t="n"/>
      <c r="F8" s="315" t="n"/>
      <c r="G8" s="315" t="n"/>
      <c r="H8" s="316" t="n"/>
      <c r="I8" s="820" t="n"/>
      <c r="J8" s="316" t="n"/>
      <c r="K8" s="315" t="n"/>
      <c r="L8" s="315" t="n"/>
      <c r="M8" s="360" t="n"/>
    </row>
    <row r="9" ht="20.25" customFormat="1" customHeight="1" s="352" thickBot="1">
      <c r="A9" s="842" t="n"/>
      <c r="B9" s="835" t="n"/>
      <c r="C9" s="317" t="n"/>
      <c r="D9" s="318" t="n"/>
      <c r="E9" s="319" t="n"/>
      <c r="F9" s="319" t="n"/>
      <c r="G9" s="319" t="n"/>
      <c r="H9" s="320" t="n"/>
      <c r="I9" s="835" t="n"/>
      <c r="J9" s="320" t="n"/>
      <c r="K9" s="319" t="n"/>
      <c r="L9" s="319" t="n"/>
      <c r="M9" s="361" t="n"/>
    </row>
    <row r="10" ht="20.25" customFormat="1" customHeight="1" s="352">
      <c r="A10" s="836" t="n">
        <v>2</v>
      </c>
      <c r="B10" s="837" t="inlineStr">
        <is>
          <t>절차 금형 유지보수 및 수리 절차(일반)</t>
        </is>
      </c>
      <c r="C10" s="325" t="inlineStr">
        <is>
          <t>곰팡이가 발에 떨어지다</t>
        </is>
      </c>
      <c r="D10" s="309" t="inlineStr">
        <is>
          <t>몰드의 무거운 무게가 다리와 팔에 떨어져 부상을 입힌다.</t>
        </is>
      </c>
      <c r="E10" s="308" t="n">
        <v>3</v>
      </c>
      <c r="F10" s="308" t="n">
        <v>5</v>
      </c>
      <c r="G10" s="308">
        <f>E10*F10</f>
        <v/>
      </c>
      <c r="H10" s="309" t="inlineStr">
        <is>
          <t>C</t>
        </is>
      </c>
      <c r="I10" s="839" t="inlineStr">
        <is>
          <t>(1) 금형 승강시 2선식 크레인 체인과 전자수를 사용한다.
(2) 작업자는 작업 시 발가락이 철제 신발과 두꺼운 2겹 장갑을 착용해야 합니다.</t>
        </is>
      </c>
      <c r="J10" s="309" t="n">
        <v>1</v>
      </c>
      <c r="K10" s="308" t="n">
        <v>2</v>
      </c>
      <c r="L10" s="308">
        <f>J10*K10</f>
        <v/>
      </c>
      <c r="M10" s="358" t="inlineStr">
        <is>
          <t>A</t>
        </is>
      </c>
    </row>
    <row r="11" ht="20.25" customFormat="1" customHeight="1" s="352">
      <c r="A11" s="840" t="n"/>
      <c r="B11" s="820" t="n"/>
      <c r="C11" s="841" t="n"/>
      <c r="D11" s="841" t="n"/>
      <c r="E11" s="311" t="n"/>
      <c r="F11" s="311" t="n"/>
      <c r="G11" s="311" t="n"/>
      <c r="H11" s="312" t="n"/>
      <c r="I11" s="820" t="n"/>
      <c r="J11" s="312" t="n"/>
      <c r="K11" s="311" t="n"/>
      <c r="L11" s="311" t="n"/>
      <c r="M11" s="359" t="n"/>
    </row>
    <row r="12" ht="20.25" customFormat="1" customHeight="1" s="352">
      <c r="A12" s="840" t="n"/>
      <c r="B12" s="820" t="n"/>
      <c r="C12" s="321" t="n"/>
      <c r="D12" s="322" t="n"/>
      <c r="E12" s="311" t="n"/>
      <c r="F12" s="311" t="n"/>
      <c r="G12" s="311" t="n"/>
      <c r="H12" s="312" t="n"/>
      <c r="I12" s="820" t="n"/>
      <c r="J12" s="312" t="n"/>
      <c r="K12" s="311" t="n"/>
      <c r="L12" s="311" t="n"/>
      <c r="M12" s="359" t="n"/>
    </row>
    <row r="13" ht="20.25" customFormat="1" customHeight="1" s="352" thickBot="1">
      <c r="A13" s="842" t="n"/>
      <c r="B13" s="835" t="n"/>
      <c r="C13" s="317" t="n"/>
      <c r="D13" s="318" t="n"/>
      <c r="E13" s="319" t="n"/>
      <c r="F13" s="319" t="n"/>
      <c r="G13" s="319" t="n"/>
      <c r="H13" s="320" t="n"/>
      <c r="I13" s="835" t="n"/>
      <c r="J13" s="320" t="n"/>
      <c r="K13" s="319" t="n"/>
      <c r="L13" s="319" t="n"/>
      <c r="M13" s="361" t="n"/>
    </row>
    <row r="14" ht="20.25" customFormat="1" customHeight="1" s="352">
      <c r="A14" s="836" t="n">
        <v>3</v>
      </c>
      <c r="B14" s="622" t="inlineStr">
        <is>
          <t>절차 금형 유지보수 및 수리 절차(일반)</t>
        </is>
      </c>
      <c r="C14" s="622" t="inlineStr">
        <is>
          <t>곰팡이를 손에 넣으면 산업재해가 발생한다</t>
        </is>
      </c>
      <c r="D14" s="622" t="inlineStr">
        <is>
          <t>구리 펀치는 강력한 형폐력으로 무거운 금형을 닫는 데 사용됩니다. 방청유로 인해 금형 표면이 미끄러워서 닫을 때 미끄러져 산업재해의 원인이 됩니다.</t>
        </is>
      </c>
      <c r="E14" s="308" t="n">
        <v>5</v>
      </c>
      <c r="F14" s="308" t="n">
        <v>5</v>
      </c>
      <c r="G14" s="308">
        <f>E14*F14</f>
        <v/>
      </c>
      <c r="H14" s="309" t="inlineStr">
        <is>
          <t>C</t>
        </is>
      </c>
      <c r="I14" s="629" t="inlineStr">
        <is>
          <t>(1) 작업장 내 금형 유지 보수 지침을 개발하고, 한 손으로 금형을 닫고, 금형을 닫을 때 표면을 닦습니다.
(2) 두꺼운 섬유장갑을 2겹 사용</t>
        </is>
      </c>
      <c r="J14" s="309" t="n">
        <v>3</v>
      </c>
      <c r="K14" s="308" t="n">
        <v>2</v>
      </c>
      <c r="L14" s="308">
        <f>J14*K14</f>
        <v/>
      </c>
      <c r="M14" s="358" t="inlineStr">
        <is>
          <t>A</t>
        </is>
      </c>
    </row>
    <row r="15" ht="20.25" customFormat="1" customHeight="1" s="352">
      <c r="A15" s="840" t="n"/>
      <c r="B15" s="820" t="n"/>
      <c r="C15" s="820" t="n"/>
      <c r="D15" s="820" t="n"/>
      <c r="E15" s="311" t="n"/>
      <c r="F15" s="311" t="n"/>
      <c r="G15" s="311" t="n"/>
      <c r="H15" s="312" t="n"/>
      <c r="I15" s="820" t="n"/>
      <c r="J15" s="312" t="n"/>
      <c r="K15" s="311" t="n"/>
      <c r="L15" s="311" t="n"/>
      <c r="M15" s="359" t="n"/>
    </row>
    <row r="16" ht="20.25" customFormat="1" customHeight="1" s="352">
      <c r="A16" s="840" t="n"/>
      <c r="B16" s="820" t="n"/>
      <c r="C16" s="820" t="n"/>
      <c r="D16" s="820" t="n"/>
      <c r="E16" s="311" t="n"/>
      <c r="F16" s="311" t="n"/>
      <c r="G16" s="311" t="n"/>
      <c r="H16" s="312" t="n"/>
      <c r="I16" s="820" t="n"/>
      <c r="J16" s="312" t="n"/>
      <c r="K16" s="311" t="n"/>
      <c r="L16" s="311" t="n"/>
      <c r="M16" s="359" t="n"/>
    </row>
    <row r="17" ht="20.25" customFormat="1" customHeight="1" s="352" thickBot="1">
      <c r="A17" s="842" t="n"/>
      <c r="B17" s="820" t="n"/>
      <c r="C17" s="820" t="n"/>
      <c r="D17" s="820" t="n"/>
      <c r="E17" s="311" t="n"/>
      <c r="F17" s="311" t="n"/>
      <c r="G17" s="311" t="n"/>
      <c r="H17" s="312" t="n"/>
      <c r="I17" s="820" t="n"/>
      <c r="J17" s="312" t="n"/>
      <c r="K17" s="311" t="n"/>
      <c r="L17" s="311" t="n"/>
      <c r="M17" s="359" t="n"/>
    </row>
    <row r="18" ht="20.25" customFormat="1" customHeight="1" s="352">
      <c r="A18" s="836" t="n">
        <v>4</v>
      </c>
      <c r="B18" s="837" t="inlineStr">
        <is>
          <t>공정 금형 유지관리</t>
        </is>
      </c>
      <c r="C18" s="325" t="inlineStr">
        <is>
          <t>샌드블라스팅을 하면 먼지가 눈에 들어갑니다.
분사 압력이 높으면 긁힘, 화상 또는 절단이 발생합니다.</t>
        </is>
      </c>
      <c r="D18" s="309" t="inlineStr">
        <is>
          <t>모래는 먼지를 일으키거나 눈에 들어가고, 샌드블라스팅 기계의 압력이 높습니다.</t>
        </is>
      </c>
      <c r="E18" s="308" t="n">
        <v>2</v>
      </c>
      <c r="F18" s="308" t="n">
        <v>2</v>
      </c>
      <c r="G18" s="308">
        <f>E18*F18</f>
        <v/>
      </c>
      <c r="H18" s="309" t="inlineStr">
        <is>
          <t>A</t>
        </is>
      </c>
      <c r="I18" s="839" t="inlineStr">
        <is>
          <t>(1) 실행/수행은 폐쇄된 스프레이 캐비닛에서 작동한다.
(2) 샌드블래스팅 기계에는 특수 안경, 마스크, 장갑을 사용하십시오.</t>
        </is>
      </c>
      <c r="J18" s="309" t="n">
        <v>1</v>
      </c>
      <c r="K18" s="308" t="n">
        <v>1</v>
      </c>
      <c r="L18" s="308">
        <f>J18*K18</f>
        <v/>
      </c>
      <c r="M18" s="358" t="inlineStr">
        <is>
          <t>A</t>
        </is>
      </c>
    </row>
    <row r="19" ht="20.25" customFormat="1" customHeight="1" s="352">
      <c r="A19" s="840" t="n"/>
      <c r="B19" s="820" t="n"/>
      <c r="C19" s="820" t="n"/>
      <c r="D19" s="820" t="n"/>
      <c r="E19" s="311" t="n"/>
      <c r="F19" s="311" t="n"/>
      <c r="G19" s="311" t="n"/>
      <c r="H19" s="312" t="n"/>
      <c r="I19" s="820" t="n"/>
      <c r="J19" s="312" t="n"/>
      <c r="K19" s="311" t="n"/>
      <c r="L19" s="311" t="n"/>
      <c r="M19" s="359" t="n"/>
    </row>
    <row r="20" ht="20.25" customFormat="1" customHeight="1" s="352">
      <c r="A20" s="840" t="n"/>
      <c r="B20" s="820" t="n"/>
      <c r="C20" s="841" t="n"/>
      <c r="D20" s="841" t="n"/>
      <c r="E20" s="311" t="n"/>
      <c r="F20" s="311" t="n"/>
      <c r="G20" s="311" t="n"/>
      <c r="H20" s="312" t="n"/>
      <c r="I20" s="820" t="n"/>
      <c r="J20" s="312" t="n"/>
      <c r="K20" s="311" t="n"/>
      <c r="L20" s="311" t="n"/>
      <c r="M20" s="359" t="n"/>
    </row>
    <row r="21" ht="20.25" customFormat="1" customHeight="1" s="352" thickBot="1">
      <c r="A21" s="842" t="n"/>
      <c r="B21" s="835" t="n"/>
      <c r="C21" s="323" t="n"/>
      <c r="D21" s="318" t="n"/>
      <c r="E21" s="319" t="n"/>
      <c r="F21" s="319" t="n"/>
      <c r="G21" s="319" t="n"/>
      <c r="H21" s="320" t="n"/>
      <c r="I21" s="835" t="n"/>
      <c r="J21" s="320" t="n"/>
      <c r="K21" s="319" t="n"/>
      <c r="L21" s="319" t="n"/>
      <c r="M21" s="361" t="n"/>
    </row>
    <row r="22" ht="20.25" customFormat="1" customHeight="1" s="352">
      <c r="A22" s="836" t="n">
        <v>5</v>
      </c>
      <c r="B22" s="837" t="inlineStr">
        <is>
          <t>공정 금형 유지관리</t>
        </is>
      </c>
      <c r="C22" s="325" t="inlineStr">
        <is>
          <t>곰팡이 흡수 오일을 사용하세요.
 접촉 시 피부와 눈에 영향을 미침</t>
        </is>
      </c>
      <c r="D22" s="309" t="inlineStr">
        <is>
          <t>곰팡이 흡수 오일에는 피부 표면에 직접 닿으면 화상을 일으킬 수 있는 화학 물질이 포함되어 있습니다.</t>
        </is>
      </c>
      <c r="E22" s="308" t="n">
        <v>2</v>
      </c>
      <c r="F22" s="308" t="n">
        <v>2</v>
      </c>
      <c r="G22" s="308">
        <f>E22*F22</f>
        <v/>
      </c>
      <c r="H22" s="309" t="inlineStr">
        <is>
          <t>A</t>
        </is>
      </c>
      <c r="I22" s="629" t="inlineStr">
        <is>
          <t>(1) 유출 및 유출을 방지하도록 설계된 특수 유조 탱크에서 작업/수행
(2) 작업시에는 마스크와 고무장갑을 착용한다</t>
        </is>
      </c>
      <c r="J22" s="309" t="n">
        <v>1</v>
      </c>
      <c r="K22" s="308" t="n">
        <v>2</v>
      </c>
      <c r="L22" s="308">
        <f>J22*K22</f>
        <v/>
      </c>
      <c r="M22" s="358" t="inlineStr">
        <is>
          <t>A</t>
        </is>
      </c>
    </row>
    <row r="23" ht="26.25" customFormat="1" customHeight="1" s="352">
      <c r="A23" s="840" t="n"/>
      <c r="B23" s="820" t="n"/>
      <c r="C23" s="841" t="n"/>
      <c r="D23" s="841" t="n"/>
      <c r="E23" s="311" t="n"/>
      <c r="F23" s="311" t="n"/>
      <c r="G23" s="311" t="n"/>
      <c r="H23" s="312" t="n"/>
      <c r="I23" s="820" t="n"/>
      <c r="J23" s="312" t="n"/>
      <c r="K23" s="311" t="n"/>
      <c r="L23" s="311" t="n"/>
      <c r="M23" s="359" t="n"/>
    </row>
    <row r="24" ht="20.25" customFormat="1" customHeight="1" s="352">
      <c r="A24" s="840" t="n"/>
      <c r="B24" s="820" t="n"/>
      <c r="C24" s="321" t="n"/>
      <c r="D24" s="322" t="n"/>
      <c r="E24" s="311" t="n"/>
      <c r="F24" s="311" t="n"/>
      <c r="G24" s="311" t="n"/>
      <c r="H24" s="312" t="n"/>
      <c r="I24" s="820" t="n"/>
      <c r="J24" s="312" t="n"/>
      <c r="K24" s="311" t="n"/>
      <c r="L24" s="311" t="n"/>
      <c r="M24" s="359" t="n"/>
    </row>
    <row r="25" ht="20.25" customHeight="1" s="157" thickBot="1">
      <c r="A25" s="842" t="n"/>
      <c r="B25" s="835" t="n"/>
      <c r="C25" s="317" t="n"/>
      <c r="D25" s="318" t="n"/>
      <c r="E25" s="324" t="n"/>
      <c r="F25" s="324" t="n"/>
      <c r="G25" s="319" t="n"/>
      <c r="H25" s="324" t="n"/>
      <c r="I25" s="820" t="n"/>
      <c r="J25" s="324" t="n"/>
      <c r="K25" s="324" t="n"/>
      <c r="L25" s="319" t="n"/>
      <c r="M25" s="353" t="n"/>
    </row>
    <row r="26" ht="20.25" customHeight="1" s="157">
      <c r="A26" s="619" t="n">
        <v>6</v>
      </c>
      <c r="B26" s="622" t="inlineStr">
        <is>
          <t>공정 금형수리</t>
        </is>
      </c>
      <c r="C26" s="325" t="inlineStr">
        <is>
          <t>그라인더는 금속 먼지를 유발합니다</t>
        </is>
      </c>
      <c r="D26" s="325" t="inlineStr">
        <is>
          <t>기계 작동 중에 금속 먼지가 발생합니다.</t>
        </is>
      </c>
      <c r="E26" s="326" t="n">
        <v>2</v>
      </c>
      <c r="F26" s="326" t="n">
        <v>5</v>
      </c>
      <c r="G26" s="308">
        <f>E26*F26</f>
        <v/>
      </c>
      <c r="H26" s="327" t="inlineStr">
        <is>
          <t>B</t>
        </is>
      </c>
      <c r="I26" s="636" t="inlineStr">
        <is>
          <t>(1) 테이블에 자석을 사용한다 
조작
(2) 안경 및 마스크 착용 의무화</t>
        </is>
      </c>
      <c r="J26" s="328" t="n">
        <v>1</v>
      </c>
      <c r="K26" s="326" t="n">
        <v>2</v>
      </c>
      <c r="L26" s="308">
        <f>J26*K26</f>
        <v/>
      </c>
      <c r="M26" s="354" t="inlineStr">
        <is>
          <t>A</t>
        </is>
      </c>
    </row>
    <row r="27" ht="20.25" customHeight="1" s="157">
      <c r="A27" s="840" t="n"/>
      <c r="B27" s="820" t="n"/>
      <c r="C27" s="627" t="n"/>
      <c r="D27" s="841" t="n"/>
      <c r="E27" s="329" t="n"/>
      <c r="F27" s="329" t="n"/>
      <c r="G27" s="330" t="n"/>
      <c r="H27" s="331" t="n"/>
      <c r="I27" s="820" t="n"/>
      <c r="J27" s="332" t="n"/>
      <c r="K27" s="329" t="n"/>
      <c r="L27" s="330" t="n"/>
      <c r="M27" s="355" t="n"/>
    </row>
    <row r="28" ht="20.25" customHeight="1" s="157">
      <c r="A28" s="840" t="n"/>
      <c r="B28" s="820" t="n"/>
      <c r="C28" s="321" t="n"/>
      <c r="D28" s="322" t="n"/>
      <c r="E28" s="333" t="n"/>
      <c r="F28" s="333" t="n"/>
      <c r="G28" s="311" t="n"/>
      <c r="H28" s="334" t="n"/>
      <c r="I28" s="820" t="n"/>
      <c r="J28" s="335" t="n"/>
      <c r="K28" s="333" t="n"/>
      <c r="L28" s="311" t="n"/>
      <c r="M28" s="356" t="n"/>
    </row>
    <row r="29" ht="20.25" customHeight="1" s="157" thickBot="1">
      <c r="A29" s="840" t="n"/>
      <c r="B29" s="820" t="n"/>
      <c r="C29" s="336" t="n"/>
      <c r="D29" s="337" t="n"/>
      <c r="E29" s="338" t="n"/>
      <c r="F29" s="338" t="n"/>
      <c r="G29" s="315" t="n"/>
      <c r="H29" s="339" t="n"/>
      <c r="I29" s="818" t="n"/>
      <c r="J29" s="340" t="n"/>
      <c r="K29" s="338" t="n"/>
      <c r="L29" s="315" t="n"/>
      <c r="M29" s="357" t="n"/>
    </row>
    <row r="30" ht="20.25" customHeight="1" s="157">
      <c r="A30" s="836" t="n">
        <v>7</v>
      </c>
      <c r="B30" s="837" t="inlineStr">
        <is>
          <t>공정 금형수리</t>
        </is>
      </c>
      <c r="C30" s="325" t="inlineStr">
        <is>
          <t>밀링머신 샤프트가 손으로 회전해 산업재해 발생</t>
        </is>
      </c>
      <c r="D30" s="309" t="inlineStr">
        <is>
          <t>회전하는 밀링머신 샤프트가 움직이는 방향으로 손을 굴려 산업재해를 유발함</t>
        </is>
      </c>
      <c r="E30" s="326" t="n">
        <v>5</v>
      </c>
      <c r="F30" s="326" t="n">
        <v>5</v>
      </c>
      <c r="G30" s="308">
        <f>E30*F30</f>
        <v/>
      </c>
      <c r="H30" s="326" t="inlineStr">
        <is>
          <t>C</t>
        </is>
      </c>
      <c r="I30" s="843" t="inlineStr">
        <is>
          <t>(1) 기계의 안전 작동 지침에 대한 교육 및 개발 절차
(2) 섬유장갑을 사용하여 기계를 작동하지 말며, 밀링 작업 시 제품을 손으로 잡지 않도록 주의사항을 게시하세요.</t>
        </is>
      </c>
      <c r="J30" s="326" t="n">
        <v>5</v>
      </c>
      <c r="K30" s="326" t="n">
        <v>1</v>
      </c>
      <c r="L30" s="308">
        <f>J30*K30</f>
        <v/>
      </c>
      <c r="M30" s="354" t="inlineStr">
        <is>
          <t>A</t>
        </is>
      </c>
    </row>
    <row r="31" ht="20.25" customHeight="1" s="157">
      <c r="A31" s="840" t="n"/>
      <c r="B31" s="820" t="n"/>
      <c r="C31" s="841" t="n"/>
      <c r="D31" s="841" t="n"/>
      <c r="E31" s="333" t="n"/>
      <c r="F31" s="333" t="n"/>
      <c r="G31" s="311" t="n"/>
      <c r="H31" s="333" t="n"/>
      <c r="I31" s="820" t="n"/>
      <c r="J31" s="333" t="n"/>
      <c r="K31" s="333" t="n"/>
      <c r="L31" s="311" t="n"/>
      <c r="M31" s="356" t="n"/>
    </row>
    <row r="32" ht="20.25" customHeight="1" s="157">
      <c r="A32" s="840" t="n"/>
      <c r="B32" s="820" t="n"/>
      <c r="C32" s="321" t="n"/>
      <c r="D32" s="322" t="n"/>
      <c r="E32" s="333" t="n"/>
      <c r="F32" s="333" t="n"/>
      <c r="G32" s="311" t="n"/>
      <c r="H32" s="333" t="n"/>
      <c r="I32" s="820" t="n"/>
      <c r="J32" s="333" t="n"/>
      <c r="K32" s="333" t="n"/>
      <c r="L32" s="311" t="n"/>
      <c r="M32" s="356" t="n"/>
    </row>
    <row r="33" ht="20.25" customHeight="1" s="157" thickBot="1">
      <c r="A33" s="842" t="n"/>
      <c r="B33" s="835" t="n"/>
      <c r="C33" s="317" t="n"/>
      <c r="D33" s="318" t="n"/>
      <c r="E33" s="324" t="n"/>
      <c r="F33" s="324" t="n"/>
      <c r="G33" s="319" t="n"/>
      <c r="H33" s="324" t="n"/>
      <c r="I33" s="835" t="n"/>
      <c r="J33" s="324" t="n"/>
      <c r="K33" s="324" t="n"/>
      <c r="L33" s="319" t="n"/>
      <c r="M33" s="353" t="n"/>
    </row>
    <row r="34" ht="20.25" customHeight="1" s="157">
      <c r="A34" s="836" t="n">
        <v>8</v>
      </c>
      <c r="B34" s="837" t="inlineStr">
        <is>
          <t>공정 금형수리</t>
        </is>
      </c>
      <c r="C34" s="325" t="inlineStr">
        <is>
          <t>전기 펄스 기계로 인해 화재 및 폭발이 발생함</t>
        </is>
      </c>
      <c r="D34" s="325" t="inlineStr">
        <is>
          <t>작동 중 전기 스파크로 인해 화재나 폭발이 발생할 수 있습니다.</t>
        </is>
      </c>
      <c r="E34" s="326" t="n">
        <v>3</v>
      </c>
      <c r="F34" s="326" t="n">
        <v>5</v>
      </c>
      <c r="G34" s="308" t="n">
        <v>15</v>
      </c>
      <c r="H34" s="326" t="inlineStr">
        <is>
          <t>C</t>
        </is>
      </c>
      <c r="I34" s="839" t="inlineStr">
        <is>
          <t>(1) 작업 위치 주변의 내화성 오일 트레이 설계
(2) 냉각수 호스를 작업 위치에서 사용하십시오.
(3) 펄스 기계 구역에 화재 금지 경고문을 걸어 놓습니다.</t>
        </is>
      </c>
      <c r="J34" s="326" t="n">
        <v>1</v>
      </c>
      <c r="K34" s="326" t="n">
        <v>1</v>
      </c>
      <c r="L34" s="308">
        <f>J34*K34</f>
        <v/>
      </c>
      <c r="M34" s="354" t="inlineStr">
        <is>
          <t>A</t>
        </is>
      </c>
    </row>
    <row r="35" ht="20.25" customHeight="1" s="157">
      <c r="A35" s="840" t="n"/>
      <c r="B35" s="820" t="n"/>
      <c r="C35" s="841" t="n"/>
      <c r="D35" s="841" t="n"/>
      <c r="E35" s="333" t="n"/>
      <c r="F35" s="333" t="n"/>
      <c r="G35" s="311" t="n"/>
      <c r="H35" s="333" t="n"/>
      <c r="I35" s="820" t="n"/>
      <c r="J35" s="333" t="n"/>
      <c r="K35" s="333" t="n"/>
      <c r="L35" s="311" t="n"/>
      <c r="M35" s="356" t="n"/>
    </row>
    <row r="36" ht="20.25" customHeight="1" s="157">
      <c r="A36" s="840" t="n"/>
      <c r="B36" s="820" t="n"/>
      <c r="C36" s="321" t="n"/>
      <c r="D36" s="322" t="n"/>
      <c r="E36" s="333" t="n"/>
      <c r="F36" s="333" t="n"/>
      <c r="G36" s="311" t="n"/>
      <c r="H36" s="333" t="n"/>
      <c r="I36" s="820" t="n"/>
      <c r="J36" s="333" t="n"/>
      <c r="K36" s="333" t="n"/>
      <c r="L36" s="311" t="n"/>
      <c r="M36" s="356" t="n"/>
    </row>
    <row r="37" ht="20.25" customHeight="1" s="157">
      <c r="A37" s="840" t="n"/>
      <c r="B37" s="820" t="n"/>
      <c r="C37" s="321" t="n"/>
      <c r="D37" s="322" t="n"/>
      <c r="E37" s="333" t="n"/>
      <c r="F37" s="333" t="n"/>
      <c r="G37" s="311" t="n"/>
      <c r="H37" s="333" t="n"/>
      <c r="I37" s="820" t="n"/>
      <c r="J37" s="333" t="n"/>
      <c r="K37" s="333" t="n"/>
      <c r="L37" s="311" t="n"/>
      <c r="M37" s="356" t="n"/>
    </row>
    <row r="38" ht="20.25" customHeight="1" s="157" thickBot="1">
      <c r="A38" s="842" t="n"/>
      <c r="B38" s="835" t="n"/>
      <c r="C38" s="317" t="n"/>
      <c r="D38" s="318" t="n"/>
      <c r="E38" s="324" t="n"/>
      <c r="F38" s="324" t="n"/>
      <c r="G38" s="319" t="n"/>
      <c r="H38" s="324" t="n"/>
      <c r="I38" s="835" t="n"/>
      <c r="J38" s="324" t="n"/>
      <c r="K38" s="324" t="n"/>
      <c r="L38" s="319" t="n"/>
      <c r="M38" s="353" t="n"/>
    </row>
    <row r="39" ht="20.25" customHeight="1" s="157">
      <c r="A39" s="836" t="n">
        <v>9</v>
      </c>
      <c r="B39" s="837" t="inlineStr">
        <is>
          <t>공정 금형수리</t>
        </is>
      </c>
      <c r="C39" s="325" t="inlineStr">
        <is>
          <t>용접기 내부의 용접광선 및 용접가스가 얼굴 및 노출된 피부에 영향을 미침</t>
        </is>
      </c>
      <c r="D39" s="309" t="inlineStr">
        <is>
          <t>작업 중 방출되는 용접광선은 안구 손상을 유발하고, 용접가스(증기)는 노출된 피부에 화상을 입힐 수 있습니다.</t>
        </is>
      </c>
      <c r="E39" s="326" t="n">
        <v>2</v>
      </c>
      <c r="F39" s="326" t="n">
        <v>5</v>
      </c>
      <c r="G39" s="308" t="n">
        <v>10</v>
      </c>
      <c r="H39" s="326" t="inlineStr">
        <is>
          <t>B</t>
        </is>
      </c>
      <c r="I39" s="839" t="inlineStr">
        <is>
          <t>(1) 작업시 용접헬멧 착용을 의무화합니다.
(2) 파티션을 사용하여 용접기 영역과 나머지 영역을 분리합니다.
(3) 냉각수 호스를 작업 위치에서 사용하십시오.</t>
        </is>
      </c>
      <c r="J39" s="326" t="n">
        <v>1</v>
      </c>
      <c r="K39" s="326" t="n">
        <v>1</v>
      </c>
      <c r="L39" s="308">
        <f>J39*K39</f>
        <v/>
      </c>
      <c r="M39" s="354" t="inlineStr">
        <is>
          <t>A</t>
        </is>
      </c>
    </row>
    <row r="40" ht="20.25" customHeight="1" s="157">
      <c r="A40" s="840" t="n"/>
      <c r="B40" s="820" t="n"/>
      <c r="C40" s="820" t="n"/>
      <c r="D40" s="820" t="n"/>
      <c r="E40" s="333" t="n"/>
      <c r="F40" s="333" t="n"/>
      <c r="G40" s="311" t="n"/>
      <c r="H40" s="333" t="n"/>
      <c r="I40" s="820" t="n"/>
      <c r="J40" s="333" t="n"/>
      <c r="K40" s="333" t="n"/>
      <c r="L40" s="311" t="n"/>
      <c r="M40" s="356" t="n"/>
    </row>
    <row r="41" ht="20.25" customHeight="1" s="157">
      <c r="A41" s="840" t="n"/>
      <c r="B41" s="820" t="n"/>
      <c r="C41" s="841" t="n"/>
      <c r="D41" s="841" t="n"/>
      <c r="E41" s="333" t="n"/>
      <c r="F41" s="333" t="n"/>
      <c r="G41" s="311" t="n"/>
      <c r="H41" s="333" t="n"/>
      <c r="I41" s="820" t="n"/>
      <c r="J41" s="333" t="n"/>
      <c r="K41" s="333" t="n"/>
      <c r="L41" s="311" t="n"/>
      <c r="M41" s="356" t="n"/>
    </row>
    <row r="42" ht="20.25" customHeight="1" s="157">
      <c r="A42" s="840" t="n"/>
      <c r="B42" s="820" t="n"/>
      <c r="C42" s="321" t="n"/>
      <c r="D42" s="322" t="n"/>
      <c r="E42" s="333" t="n"/>
      <c r="F42" s="333" t="n"/>
      <c r="G42" s="311" t="n"/>
      <c r="H42" s="333" t="n"/>
      <c r="I42" s="820" t="n"/>
      <c r="J42" s="333" t="n"/>
      <c r="K42" s="333" t="n"/>
      <c r="L42" s="311" t="n"/>
      <c r="M42" s="356" t="n"/>
    </row>
    <row r="43" ht="20.25" customHeight="1" s="157" thickBot="1">
      <c r="A43" s="842" t="n"/>
      <c r="B43" s="835" t="n"/>
      <c r="C43" s="317" t="n"/>
      <c r="D43" s="318" t="n"/>
      <c r="E43" s="324" t="n"/>
      <c r="F43" s="324" t="n"/>
      <c r="G43" s="319" t="n"/>
      <c r="H43" s="324" t="n"/>
      <c r="I43" s="835" t="n"/>
      <c r="J43" s="324" t="n"/>
      <c r="K43" s="324" t="n"/>
      <c r="L43" s="319" t="n"/>
      <c r="M43" s="353" t="n"/>
    </row>
    <row r="44" ht="20.25" customHeight="1" s="157">
      <c r="A44" s="836" t="n">
        <v>10</v>
      </c>
      <c r="B44" s="837" t="inlineStr">
        <is>
          <t>절차 금형 유지보수 및 수리 절차(일반)</t>
        </is>
      </c>
      <c r="C44" s="325" t="inlineStr">
        <is>
          <t>작업 중 소음 및 금속분진은 눈과 귀에 영향을 미칩니다.</t>
        </is>
      </c>
      <c r="D44" s="309" t="inlineStr">
        <is>
          <t>기계 엔진에서 발생하는 소음과 작업 중 발생하는 먼지는 눈과 귀에 영향을 미칩니다.</t>
        </is>
      </c>
      <c r="E44" s="326" t="n"/>
      <c r="F44" s="326" t="n"/>
      <c r="G44" s="308" t="n"/>
      <c r="H44" s="326" t="n"/>
      <c r="I44" s="839" t="inlineStr">
        <is>
          <t>(1) 소음방지 귀마개 착용은 필수입니다.
(2) 보안경을 사용한다
(3) 작업 시 마스크를 착용하세요.</t>
        </is>
      </c>
      <c r="J44" s="326" t="n">
        <v>1</v>
      </c>
      <c r="K44" s="326" t="n">
        <v>1</v>
      </c>
      <c r="L44" s="308">
        <f>J44*K44</f>
        <v/>
      </c>
      <c r="M44" s="354" t="inlineStr">
        <is>
          <t>A</t>
        </is>
      </c>
    </row>
    <row r="45" ht="20.25" customHeight="1" s="157">
      <c r="A45" s="840" t="n"/>
      <c r="B45" s="820" t="n"/>
      <c r="C45" s="820" t="n"/>
      <c r="D45" s="820" t="n"/>
      <c r="E45" s="333" t="n">
        <v>1</v>
      </c>
      <c r="F45" s="333" t="n">
        <v>5</v>
      </c>
      <c r="G45" s="311" t="n">
        <v>5</v>
      </c>
      <c r="H45" s="333" t="inlineStr">
        <is>
          <t>A</t>
        </is>
      </c>
      <c r="I45" s="820" t="n"/>
      <c r="J45" s="333" t="n"/>
      <c r="K45" s="333" t="n"/>
      <c r="L45" s="311" t="n"/>
      <c r="M45" s="356" t="n"/>
    </row>
    <row r="46" ht="20.25" customHeight="1" s="157">
      <c r="A46" s="840" t="n"/>
      <c r="B46" s="820" t="n"/>
      <c r="C46" s="841" t="n"/>
      <c r="D46" s="841" t="n"/>
      <c r="E46" s="333" t="n"/>
      <c r="F46" s="333" t="n"/>
      <c r="G46" s="311" t="n"/>
      <c r="H46" s="333" t="n"/>
      <c r="I46" s="820" t="n"/>
      <c r="J46" s="333" t="n"/>
      <c r="K46" s="333" t="n"/>
      <c r="L46" s="311" t="n"/>
      <c r="M46" s="356" t="n"/>
    </row>
    <row r="47" ht="20.25" customHeight="1" s="157" thickBot="1">
      <c r="A47" s="842" t="n"/>
      <c r="B47" s="835" t="n"/>
      <c r="C47" s="317" t="n"/>
      <c r="D47" s="318" t="n"/>
      <c r="E47" s="324" t="n"/>
      <c r="F47" s="324" t="n"/>
      <c r="G47" s="319" t="n"/>
      <c r="H47" s="324" t="n"/>
      <c r="I47" s="835" t="n"/>
      <c r="J47" s="324" t="n"/>
      <c r="K47" s="324" t="n"/>
      <c r="L47" s="319" t="n"/>
      <c r="M47" s="353" t="n"/>
    </row>
    <row r="48" ht="41.25" customHeight="1" s="157">
      <c r="A48" s="341" t="n">
        <v>11</v>
      </c>
      <c r="B48" s="632" t="inlineStr">
        <is>
          <t>절차 금형 유지보수 및 수리 절차(일반)</t>
        </is>
      </c>
      <c r="C48" s="343" t="inlineStr">
        <is>
          <t>깨진 크레인 케이블</t>
        </is>
      </c>
      <c r="D48" s="343" t="inlineStr">
        <is>
          <t>무거운 물건을 들어올려 과부하된 크레인, 부러진 케이블이 사람에게 떨어지다</t>
        </is>
      </c>
      <c r="E48" s="344" t="n">
        <v>5</v>
      </c>
      <c r="F48" s="344" t="n">
        <v>1</v>
      </c>
      <c r="G48" s="344">
        <f>E48*F48</f>
        <v/>
      </c>
      <c r="H48" s="632" t="inlineStr">
        <is>
          <t>A</t>
        </is>
      </c>
      <c r="I48" s="634" t="inlineStr">
        <is>
          <t>크레인 작동 절차에 대해 직원을 교육합니다.
근로자는 완전한 노동 보호를 착용합니다</t>
        </is>
      </c>
      <c r="J48" s="632" t="n">
        <v>4</v>
      </c>
      <c r="K48" s="344" t="n">
        <v>1</v>
      </c>
      <c r="L48" s="344" t="n">
        <v>4</v>
      </c>
      <c r="M48" s="345" t="inlineStr">
        <is>
          <t>A</t>
        </is>
      </c>
    </row>
    <row r="49" ht="41.25" customHeight="1" s="157">
      <c r="A49" s="398" t="n"/>
      <c r="B49" s="818" t="n"/>
      <c r="C49" s="400" t="inlineStr">
        <is>
          <t>충돌</t>
        </is>
      </c>
      <c r="D49" s="400" t="inlineStr">
        <is>
          <t>이동 중 다른 사람과 충돌(작업자가 충돌함).</t>
        </is>
      </c>
      <c r="E49" s="401" t="n">
        <v>5</v>
      </c>
      <c r="F49" s="401" t="n">
        <v>2</v>
      </c>
      <c r="G49" s="401">
        <f>E49*F49</f>
        <v/>
      </c>
      <c r="H49" s="633" t="inlineStr">
        <is>
          <t>A</t>
        </is>
      </c>
      <c r="I49" s="820" t="n"/>
      <c r="J49" s="633" t="n">
        <v>3</v>
      </c>
      <c r="K49" s="401" t="n">
        <v>1</v>
      </c>
      <c r="L49" s="401" t="n">
        <v>3</v>
      </c>
      <c r="M49" s="402" t="inlineStr">
        <is>
          <t>A</t>
        </is>
      </c>
    </row>
    <row r="50" ht="14.25" customFormat="1" customHeight="1" s="200">
      <c r="A50" s="825" t="inlineStr">
        <is>
          <t>아르헨티나는 다음 공식을 사용하여 측정됩니다: R = F x S, 여기서:</t>
        </is>
      </c>
      <c r="B50" s="155" t="n"/>
      <c r="C50" s="155" t="n"/>
      <c r="D50" s="155" t="n"/>
      <c r="E50" s="155" t="n"/>
      <c r="F50" s="155" t="n"/>
      <c r="G50" s="155" t="n"/>
      <c r="H50" s="155" t="n"/>
      <c r="I50" s="155" t="n"/>
      <c r="J50" s="155" t="n"/>
      <c r="K50" s="155" t="n"/>
      <c r="L50" s="155" t="n"/>
      <c r="M50" s="156" t="n"/>
    </row>
    <row r="51" ht="14.25" customFormat="1" customHeight="1" s="200">
      <c r="A51" s="826" t="inlineStr">
        <is>
          <t>R': 리스크.</t>
        </is>
      </c>
      <c r="M51" s="158" t="n"/>
    </row>
    <row r="52" ht="14.25" customFormat="1" customHeight="1" s="200">
      <c r="A52" s="827" t="inlineStr">
        <is>
          <t>여: 가능성.</t>
        </is>
      </c>
      <c r="M52" s="158" t="n"/>
    </row>
    <row r="53" ht="14.25" customFormat="1" customHeight="1" s="200">
      <c r="A53" s="828" t="inlineStr">
        <is>
          <t>S: 그런 일이 발생하면 어떤 결과가 따르나요?</t>
        </is>
      </c>
      <c r="B53" s="159" t="n"/>
      <c r="C53" s="159" t="n"/>
      <c r="D53" s="159" t="n"/>
      <c r="E53" s="159" t="n"/>
      <c r="F53" s="159" t="n"/>
      <c r="G53" s="159" t="n"/>
      <c r="H53" s="159" t="n"/>
      <c r="I53" s="159" t="n"/>
      <c r="J53" s="159" t="n"/>
      <c r="K53" s="159" t="n"/>
      <c r="L53" s="159" t="n"/>
      <c r="M53" s="290" t="n"/>
    </row>
    <row r="54" ht="15.75" customFormat="1" customHeight="1" s="208">
      <c r="A54" s="265" t="n"/>
      <c r="B54" s="268" t="inlineStr">
        <is>
          <t>No</t>
        </is>
      </c>
      <c r="C54" s="253" t="inlineStr">
        <is>
          <t>문서번호</t>
        </is>
      </c>
      <c r="D54" s="253" t="inlineStr">
        <is>
          <t>발행일</t>
        </is>
      </c>
      <c r="E54" s="492" t="inlineStr">
        <is>
          <t>개정</t>
        </is>
      </c>
      <c r="F54" s="814" t="n"/>
      <c r="G54" s="592" t="inlineStr">
        <is>
          <t xml:space="preserve">내용 </t>
        </is>
      </c>
      <c r="H54" s="814" t="n"/>
      <c r="I54" s="814" t="n"/>
      <c r="J54" s="814" t="n"/>
      <c r="K54" s="815" t="n"/>
      <c r="L54" s="501" t="inlineStr">
        <is>
          <t>작성자</t>
        </is>
      </c>
      <c r="M54" s="815" t="n"/>
    </row>
    <row r="55" ht="15.75" customFormat="1" customHeight="1" s="208">
      <c r="A55" s="265" t="n"/>
      <c r="B55" s="268" t="n">
        <v>0</v>
      </c>
      <c r="C55" s="253" t="inlineStr">
        <is>
          <t>MOL.03.00.09</t>
        </is>
      </c>
      <c r="D55" s="253" t="inlineStr">
        <is>
          <t>02.01.2019</t>
        </is>
      </c>
      <c r="E55" s="496" t="inlineStr">
        <is>
          <t>0</t>
        </is>
      </c>
      <c r="F55" s="814" t="n"/>
      <c r="G55" s="592" t="inlineStr">
        <is>
          <t>신규 작성</t>
        </is>
      </c>
      <c r="H55" s="814" t="n"/>
      <c r="I55" s="814" t="n"/>
      <c r="J55" s="814" t="n"/>
      <c r="K55" s="815" t="n"/>
      <c r="L55" s="501" t="inlineStr">
        <is>
          <t>투 씨</t>
        </is>
      </c>
      <c r="M55" s="815" t="n"/>
    </row>
    <row r="56" ht="15.75" customFormat="1" customHeight="1" s="208">
      <c r="A56" s="256" t="n"/>
      <c r="B56" s="212" t="n"/>
      <c r="C56" s="253" t="n"/>
      <c r="D56" s="253" t="n"/>
      <c r="E56" s="499" t="n"/>
      <c r="F56" s="814" t="n"/>
      <c r="G56" s="592" t="n"/>
      <c r="H56" s="814" t="n"/>
      <c r="I56" s="814" t="n"/>
      <c r="J56" s="814" t="n"/>
      <c r="K56" s="815" t="n"/>
      <c r="L56" s="501" t="n"/>
      <c r="M56" s="815" t="n"/>
    </row>
    <row r="57">
      <c r="C57" s="350" t="n"/>
      <c r="G57" s="618" t="n"/>
      <c r="I57" s="351" t="n"/>
    </row>
    <row r="58">
      <c r="C58" s="350" t="n"/>
      <c r="G58" s="618" t="n"/>
      <c r="I58" s="351" t="n"/>
    </row>
    <row r="59">
      <c r="G59" s="618" t="n"/>
    </row>
    <row r="60" customFormat="1" s="346">
      <c r="A60" s="618" t="n"/>
    </row>
    <row r="61">
      <c r="C61" s="350" t="n"/>
      <c r="G61" s="618" t="n"/>
    </row>
    <row r="62">
      <c r="G62" s="618" t="n"/>
    </row>
    <row r="63">
      <c r="G63" s="618" t="n"/>
    </row>
    <row r="64">
      <c r="G64" s="618" t="n"/>
    </row>
    <row r="65">
      <c r="G65" s="618" t="n"/>
    </row>
  </sheetData>
  <mergeCells count="76">
    <mergeCell ref="C14:C17"/>
    <mergeCell ref="G56:K56"/>
    <mergeCell ref="B22:B25"/>
    <mergeCell ref="C30:C31"/>
    <mergeCell ref="I30:I33"/>
    <mergeCell ref="C39:C41"/>
    <mergeCell ref="C4:C5"/>
    <mergeCell ref="I26:I29"/>
    <mergeCell ref="E55:F55"/>
    <mergeCell ref="J3:M3"/>
    <mergeCell ref="B18:B21"/>
    <mergeCell ref="B34:B38"/>
    <mergeCell ref="A53:M53"/>
    <mergeCell ref="A30:A33"/>
    <mergeCell ref="C10:C11"/>
    <mergeCell ref="D18:D20"/>
    <mergeCell ref="A52:M52"/>
    <mergeCell ref="C22:C23"/>
    <mergeCell ref="I39:I43"/>
    <mergeCell ref="B14:B17"/>
    <mergeCell ref="D39:D41"/>
    <mergeCell ref="I22:I25"/>
    <mergeCell ref="B48:B49"/>
    <mergeCell ref="E3:H3"/>
    <mergeCell ref="D4:D5"/>
    <mergeCell ref="A6:A9"/>
    <mergeCell ref="D44:D46"/>
    <mergeCell ref="A3:B3"/>
    <mergeCell ref="C18:C20"/>
    <mergeCell ref="B10:B13"/>
    <mergeCell ref="A51:M51"/>
    <mergeCell ref="L55:M55"/>
    <mergeCell ref="A18:A21"/>
    <mergeCell ref="A34:A38"/>
    <mergeCell ref="A60:M60"/>
    <mergeCell ref="B44:B47"/>
    <mergeCell ref="I18:I21"/>
    <mergeCell ref="I34:I38"/>
    <mergeCell ref="I14:I17"/>
    <mergeCell ref="A39:A43"/>
    <mergeCell ref="I48:I49"/>
    <mergeCell ref="A4:A5"/>
    <mergeCell ref="A26:A29"/>
    <mergeCell ref="E4:H4"/>
    <mergeCell ref="I4:I5"/>
    <mergeCell ref="L54:M54"/>
    <mergeCell ref="B6:B9"/>
    <mergeCell ref="B30:B33"/>
    <mergeCell ref="A14:A17"/>
    <mergeCell ref="G55:K55"/>
    <mergeCell ref="A10:A13"/>
    <mergeCell ref="A22:A25"/>
    <mergeCell ref="C44:C46"/>
    <mergeCell ref="D14:D17"/>
    <mergeCell ref="I10:I13"/>
    <mergeCell ref="D30:D31"/>
    <mergeCell ref="A44:A47"/>
    <mergeCell ref="D10:D11"/>
    <mergeCell ref="B4:B5"/>
    <mergeCell ref="I44:I47"/>
    <mergeCell ref="L56:M56"/>
    <mergeCell ref="E54:F54"/>
    <mergeCell ref="D26:D27"/>
    <mergeCell ref="C34:C35"/>
    <mergeCell ref="B26:B29"/>
    <mergeCell ref="J4:M4"/>
    <mergeCell ref="G54:K54"/>
    <mergeCell ref="A50:M50"/>
    <mergeCell ref="I6:I9"/>
    <mergeCell ref="C2:I2"/>
    <mergeCell ref="C6:C7"/>
    <mergeCell ref="D34:D35"/>
    <mergeCell ref="D6:D7"/>
    <mergeCell ref="E56:F56"/>
    <mergeCell ref="B39:B43"/>
    <mergeCell ref="D22:D23"/>
  </mergeCells>
  <pageMargins left="0.7" right="0.7" top="0.75" bottom="0.75" header="0.3" footer="0.3"/>
  <drawing xmlns:r="http://schemas.openxmlformats.org/officeDocument/2006/relationships" r:id="rId1"/>
</worksheet>
</file>

<file path=xl/worksheets/sheet8.xml><?xml version="1.0" encoding="utf-8"?>
<worksheet xmlns="http://schemas.openxmlformats.org/spreadsheetml/2006/main">
  <sheetPr>
    <tabColor rgb="FF92D050"/>
    <outlinePr summaryBelow="1" summaryRight="1"/>
    <pageSetUpPr/>
  </sheetPr>
  <dimension ref="A1:M33"/>
  <sheetViews>
    <sheetView showGridLines="0" view="pageBreakPreview" zoomScale="70" zoomScaleNormal="89" zoomScaleSheetLayoutView="70" workbookViewId="0">
      <pane ySplit="1" topLeftCell="A15" activePane="bottomLeft" state="frozen"/>
      <selection activeCell="G6" sqref="G6"/>
      <selection pane="bottomLeft" activeCell="K24" sqref="K24"/>
    </sheetView>
  </sheetViews>
  <sheetFormatPr baseColWidth="8" defaultColWidth="11.5703125" defaultRowHeight="18.75"/>
  <cols>
    <col width="4.85546875" customWidth="1" style="164" min="1" max="1"/>
    <col width="18" customWidth="1" style="76" min="2" max="2"/>
    <col width="31.5703125" customWidth="1" style="739" min="3" max="3"/>
    <col width="49.140625" customWidth="1" style="739" min="4" max="4"/>
    <col width="4.5703125" customWidth="1" style="739" min="5" max="5"/>
    <col width="5" customWidth="1" style="739" min="6" max="6"/>
    <col width="6.85546875" customWidth="1" style="739" min="7" max="7"/>
    <col width="11.7109375" customWidth="1" style="739" min="8" max="8"/>
    <col width="69.85546875" customWidth="1" style="36" min="9" max="9"/>
    <col width="4.7109375" customWidth="1" style="709" min="10" max="10"/>
    <col width="4.85546875" customWidth="1" style="709" min="11" max="11"/>
    <col width="6.5703125" customWidth="1" style="709" min="12" max="12"/>
    <col width="11.42578125" customWidth="1" style="709" min="13" max="13"/>
    <col width="11.5703125" customWidth="1" style="252" min="14" max="16384"/>
  </cols>
  <sheetData>
    <row r="1" ht="33" customFormat="1" customHeight="1" s="163">
      <c r="A1" s="160" t="n"/>
      <c r="B1" s="161" t="n"/>
      <c r="C1" s="666" t="n"/>
      <c r="D1" s="666" t="n"/>
      <c r="E1" s="666" t="inlineStr">
        <is>
          <t>ISO.04.01.03 Ngày ban hành 03/01/2020</t>
        </is>
      </c>
      <c r="F1" s="155" t="n"/>
      <c r="G1" s="155" t="n"/>
      <c r="H1" s="155" t="n"/>
      <c r="I1" s="155" t="n"/>
      <c r="J1" s="155" t="n"/>
      <c r="K1" s="155" t="n"/>
      <c r="L1" s="155" t="n"/>
      <c r="M1" s="155" t="n"/>
    </row>
    <row r="2" ht="164.45" customHeight="1" s="157">
      <c r="A2" s="249" t="n"/>
      <c r="B2" s="250" t="n"/>
      <c r="C2" s="602" t="inlineStr">
        <is>
          <t>위험 식별 위험 분석
 품질관리 부서</t>
        </is>
      </c>
      <c r="D2" s="159" t="n"/>
      <c r="E2" s="159" t="n"/>
      <c r="F2" s="159" t="n"/>
      <c r="G2" s="159" t="n"/>
      <c r="H2" s="159" t="n"/>
      <c r="I2" s="248" t="n"/>
      <c r="J2" s="248" t="n"/>
      <c r="K2" s="248" t="n"/>
      <c r="L2" s="248" t="n"/>
      <c r="M2" s="248" t="n"/>
    </row>
    <row r="3" ht="63.75" customFormat="1" customHeight="1" s="739">
      <c r="A3" s="573" t="inlineStr">
        <is>
          <t>번호</t>
        </is>
      </c>
      <c r="B3" s="668" t="inlineStr">
        <is>
          <t>프로세스/진행상황</t>
        </is>
      </c>
      <c r="C3" s="542" t="inlineStr">
        <is>
          <t>잠재력</t>
        </is>
      </c>
      <c r="D3" s="573" t="inlineStr">
        <is>
          <t>원인/설명</t>
        </is>
      </c>
      <c r="E3" s="573" t="inlineStr">
        <is>
          <t>리스크 평가</t>
        </is>
      </c>
      <c r="F3" s="814" t="n"/>
      <c r="G3" s="814" t="n"/>
      <c r="H3" s="815" t="n"/>
      <c r="I3" s="542" t="inlineStr">
        <is>
          <t>예방/시정 조치</t>
        </is>
      </c>
      <c r="J3" s="542" t="inlineStr">
        <is>
          <t>외부 평가
예방 조치를 취한 후</t>
        </is>
      </c>
      <c r="K3" s="814" t="n"/>
      <c r="L3" s="814" t="n"/>
      <c r="M3" s="815" t="n"/>
    </row>
    <row r="4" ht="59.25" customFormat="1" customHeight="1" s="739">
      <c r="A4" s="818" t="n"/>
      <c r="B4" s="818" t="n"/>
      <c r="C4" s="818" t="n"/>
      <c r="D4" s="818" t="n"/>
      <c r="E4" s="573" t="inlineStr">
        <is>
          <t>S</t>
        </is>
      </c>
      <c r="F4" s="573" t="inlineStr">
        <is>
          <t>F</t>
        </is>
      </c>
      <c r="G4" s="573" t="inlineStr">
        <is>
          <t>S*F</t>
        </is>
      </c>
      <c r="H4" s="542" t="inlineStr">
        <is>
          <t>위험 분류</t>
        </is>
      </c>
      <c r="I4" s="818" t="n"/>
      <c r="J4" s="542" t="inlineStr">
        <is>
          <t>S</t>
        </is>
      </c>
      <c r="K4" s="573" t="inlineStr">
        <is>
          <t>F</t>
        </is>
      </c>
      <c r="L4" s="573" t="inlineStr">
        <is>
          <t>S*F</t>
        </is>
      </c>
      <c r="M4" s="542" t="inlineStr">
        <is>
          <t>분류
 위험</t>
        </is>
      </c>
    </row>
    <row r="5" ht="155.25" customFormat="1" customHeight="1" s="739">
      <c r="A5" s="45" t="n">
        <v>1</v>
      </c>
      <c r="B5" s="46" t="inlineStr">
        <is>
          <t>사용 장비: 컴퓨터, 프린터, 플라스틱 라미네이터...</t>
        </is>
      </c>
      <c r="C5" s="48" t="inlineStr">
        <is>
          <t>감전</t>
        </is>
      </c>
      <c r="D5" s="48" t="inlineStr">
        <is>
          <t>부적절하거나 어수선한 전기 배선이나 안전하지 않은 오래된 장비로 인해.</t>
        </is>
      </c>
      <c r="E5" s="48" t="n">
        <v>5</v>
      </c>
      <c r="F5" s="48" t="n">
        <v>1</v>
      </c>
      <c r="G5" s="48">
        <f>E5*F5</f>
        <v/>
      </c>
      <c r="H5" s="48" t="inlineStr">
        <is>
          <t>A</t>
        </is>
      </c>
      <c r="I5" s="16" t="inlineStr">
        <is>
          <t>* 전선을 임의로 잡아당기거나 전기설비를 임의로 수리하지 마십시오. 예상치 못한 위험이 발생할 수 있습니다.
*전화선, 케이블 등을 적절하게 정리합니다. 통로를 피하고 깔끔하게 배치해야 합니다.
*사무실 및 건물의 기계, 장비를 정기적으로 점검하고, 파손된 부분을 신속히 수리하여 위험이 발생하지 않도록 하십시오.</t>
        </is>
      </c>
      <c r="J5" s="48" t="n">
        <v>2</v>
      </c>
      <c r="K5" s="48" t="n">
        <v>0</v>
      </c>
      <c r="L5" s="48">
        <f>J5*K5</f>
        <v/>
      </c>
      <c r="M5" s="48" t="n"/>
    </row>
    <row r="6" ht="37.5" customFormat="1" customHeight="1" s="739">
      <c r="A6" s="47" t="n">
        <v>2</v>
      </c>
      <c r="B6" s="820" t="n"/>
      <c r="C6" s="48" t="inlineStr">
        <is>
          <t>근시, 원시</t>
        </is>
      </c>
      <c r="D6" s="48" t="inlineStr">
        <is>
          <t>컴퓨터 화면과의 거리를 확보하지 못한 탓이다.</t>
        </is>
      </c>
      <c r="E6" s="48" t="n">
        <v>2</v>
      </c>
      <c r="F6" s="48" t="n">
        <v>5</v>
      </c>
      <c r="G6" s="48">
        <f>E6*F6</f>
        <v/>
      </c>
      <c r="H6" s="48" t="inlineStr">
        <is>
          <t>B</t>
        </is>
      </c>
      <c r="I6" s="16" t="inlineStr">
        <is>
          <t>사무실 직원들은 올바른 자세로 앉고, 규칙적인 운동을 해야 너무 오래 앉아있어 발생하는 질병을 예방할 수 있다.</t>
        </is>
      </c>
      <c r="J6" s="48" t="n">
        <v>1</v>
      </c>
      <c r="K6" s="48" t="n">
        <v>1</v>
      </c>
      <c r="L6" s="48">
        <f>J6*K6</f>
        <v/>
      </c>
      <c r="M6" s="48" t="inlineStr">
        <is>
          <t>A</t>
        </is>
      </c>
    </row>
    <row r="7" customFormat="1" s="739">
      <c r="A7" s="45" t="n">
        <v>3</v>
      </c>
      <c r="B7" s="820" t="n"/>
      <c r="C7" s="48" t="inlineStr">
        <is>
          <t>허리 통증과 통증</t>
        </is>
      </c>
      <c r="D7" s="48" t="inlineStr">
        <is>
          <t>직장에서 오랜 시간 앉아 있는 것</t>
        </is>
      </c>
      <c r="E7" s="48" t="n">
        <v>1</v>
      </c>
      <c r="F7" s="48" t="n">
        <v>5</v>
      </c>
      <c r="G7" s="48">
        <f>E7*F7</f>
        <v/>
      </c>
      <c r="H7" s="48" t="inlineStr">
        <is>
          <t>A</t>
        </is>
      </c>
      <c r="I7" s="820" t="n"/>
      <c r="J7" s="48" t="n">
        <v>1</v>
      </c>
      <c r="K7" s="48" t="n">
        <v>3</v>
      </c>
      <c r="L7" s="48">
        <f>J7*K7</f>
        <v/>
      </c>
      <c r="M7" s="48" t="inlineStr">
        <is>
          <t>A</t>
        </is>
      </c>
    </row>
    <row r="8" ht="37.5" customFormat="1" customHeight="1" s="739">
      <c r="A8" s="47" t="n">
        <v>4</v>
      </c>
      <c r="B8" s="841" t="n"/>
      <c r="C8" s="48" t="inlineStr">
        <is>
          <t>심혈관 질환</t>
        </is>
      </c>
      <c r="D8" s="48" t="inlineStr">
        <is>
          <t>장기간의 지속적인 컴퓨터 사용으로 인해</t>
        </is>
      </c>
      <c r="E8" s="48" t="n">
        <v>1</v>
      </c>
      <c r="F8" s="48" t="n">
        <v>5</v>
      </c>
      <c r="G8" s="48">
        <f>E8*F8</f>
        <v/>
      </c>
      <c r="H8" s="48" t="inlineStr">
        <is>
          <t>A</t>
        </is>
      </c>
      <c r="I8" s="841" t="n"/>
      <c r="J8" s="48" t="n">
        <v>1</v>
      </c>
      <c r="K8" s="48" t="n">
        <v>1</v>
      </c>
      <c r="L8" s="48">
        <f>J8*K8</f>
        <v/>
      </c>
      <c r="M8" s="48" t="inlineStr">
        <is>
          <t>A</t>
        </is>
      </c>
    </row>
    <row r="9" ht="139.5" customFormat="1" customHeight="1" s="739">
      <c r="A9" s="45" t="n">
        <v>5</v>
      </c>
      <c r="B9" s="667" t="inlineStr">
        <is>
          <t>내부 감사 프로세스</t>
        </is>
      </c>
      <c r="C9" s="48" t="inlineStr">
        <is>
          <t>물건을 떨어뜨리다, 넘어지다</t>
        </is>
      </c>
      <c r="D9" s="48" t="inlineStr">
        <is>
          <t>높은 곳에 있는 기록, 문서, 물건은 사람에게 떨어질 수 있으며, 물건을 위에서 가져와 사용해야 하는 경우에는 떨어질 위험이 있습니다.</t>
        </is>
      </c>
      <c r="E9" s="48" t="n">
        <v>2</v>
      </c>
      <c r="F9" s="48" t="n">
        <v>5</v>
      </c>
      <c r="G9" s="48">
        <f>E9*F9</f>
        <v/>
      </c>
      <c r="H9" s="48" t="inlineStr">
        <is>
          <t>B</t>
        </is>
      </c>
      <c r="I9" s="16" t="inlineStr">
        <is>
          <t>*높은 곳에서 물건을 들어 올려야 할 경우 올라가거나 손을 뻗거나 발끝으로 당기거나 당기는 등의 행동을 하지 마십시오. 특히 바퀴가 불안정한 사무실 의자에 서 있으면 물건이 떨어지거나 넘어지거나 넘어질 위험이 커집니다.
*사무실 안전을 위해 일반적인 위생을 유지하십시오. 물, 액체 등을 흘린 경우 미끄러짐으로 인한 낙상 위험을 방지하기 위해 신속하게 건조하십시오. 카펫이 깔린 바닥의 경우 정기적으로 진공 청소기로 청소하여 공기를 청소하세요.</t>
        </is>
      </c>
      <c r="J9" s="48" t="n">
        <v>2</v>
      </c>
      <c r="K9" s="48" t="n">
        <v>1</v>
      </c>
      <c r="L9" s="48">
        <f>J9*K9</f>
        <v/>
      </c>
      <c r="M9" s="48" t="inlineStr">
        <is>
          <t>A</t>
        </is>
      </c>
    </row>
    <row r="10" customFormat="1" s="739">
      <c r="A10" s="45" t="n">
        <v>6</v>
      </c>
      <c r="B10" s="820" t="n"/>
      <c r="C10" s="48" t="inlineStr">
        <is>
          <t>부러진 팔</t>
        </is>
      </c>
      <c r="D10" s="48" t="inlineStr">
        <is>
          <t>날카로운 원재료 막대와의 접촉으로 인해</t>
        </is>
      </c>
      <c r="E10" s="48" t="n">
        <v>2</v>
      </c>
      <c r="F10" s="48" t="n">
        <v>4</v>
      </c>
      <c r="G10" s="48">
        <f>E10*F10</f>
        <v/>
      </c>
      <c r="H10" s="48" t="inlineStr">
        <is>
          <t>B</t>
        </is>
      </c>
      <c r="I10" s="16" t="inlineStr">
        <is>
          <t>취급시 장갑을 착용하십시오</t>
        </is>
      </c>
      <c r="J10" s="48" t="n">
        <v>1</v>
      </c>
      <c r="K10" s="48" t="n">
        <v>2</v>
      </c>
      <c r="L10" s="48">
        <f>J10*K10</f>
        <v/>
      </c>
      <c r="M10" s="48" t="inlineStr">
        <is>
          <t>A</t>
        </is>
      </c>
    </row>
    <row r="11" customFormat="1" s="739">
      <c r="A11" s="47" t="n">
        <v>7</v>
      </c>
      <c r="B11" s="820" t="n"/>
      <c r="C11" s="48" t="inlineStr">
        <is>
          <t>부러진 다리.</t>
        </is>
      </c>
      <c r="D11" s="48" t="inlineStr">
        <is>
          <t>재료 붓기(알루미늄, 마그네슘을 다리에)</t>
        </is>
      </c>
      <c r="E11" s="48" t="n">
        <v>4</v>
      </c>
      <c r="F11" s="48" t="n">
        <v>1</v>
      </c>
      <c r="G11" s="48">
        <f>E11*F11</f>
        <v/>
      </c>
      <c r="H11" s="48" t="inlineStr">
        <is>
          <t>A</t>
        </is>
      </c>
      <c r="I11" s="16" t="inlineStr">
        <is>
          <t>노동 보호, 합리적인 상품 배치를 완벽하게 갖추고 있습니다.</t>
        </is>
      </c>
      <c r="J11" s="48" t="n">
        <v>1</v>
      </c>
      <c r="K11" s="48" t="n">
        <v>1</v>
      </c>
      <c r="L11" s="48">
        <f>J11*K11</f>
        <v/>
      </c>
      <c r="M11" s="48" t="inlineStr">
        <is>
          <t>A</t>
        </is>
      </c>
    </row>
    <row r="12" ht="56.25" customHeight="1" s="157">
      <c r="A12" s="45" t="n">
        <v>8</v>
      </c>
      <c r="B12" s="820" t="n"/>
      <c r="C12" s="48" t="inlineStr">
        <is>
          <t>신체에 알루미늄 탄을 태움</t>
        </is>
      </c>
      <c r="D12" s="48" t="inlineStr">
        <is>
          <t>성형기가 높은 사출력으로 작동하면 알루미늄이 금형 밖으로 빠져 나올 수 있습니다.</t>
        </is>
      </c>
      <c r="E12" s="48" t="n">
        <v>5</v>
      </c>
      <c r="F12" s="48" t="n">
        <v>1</v>
      </c>
      <c r="G12" s="48">
        <f>E12*F12</f>
        <v/>
      </c>
      <c r="H12" s="48" t="inlineStr">
        <is>
          <t>A</t>
        </is>
      </c>
      <c r="I12" s="16" t="inlineStr">
        <is>
          <t>쉴드를 만들고, 캐터펄트(체크 시트 포함)로 매일 금형 표면을 청소하고, 마스크, 안경 등 노동 보호 장비를 착용합니다.</t>
        </is>
      </c>
      <c r="J12" s="48" t="n">
        <v>1</v>
      </c>
      <c r="K12" s="48" t="n">
        <v>1</v>
      </c>
      <c r="L12" s="48">
        <f>J12*K12</f>
        <v/>
      </c>
      <c r="M12" s="48" t="inlineStr">
        <is>
          <t>A</t>
        </is>
      </c>
    </row>
    <row r="13" customFormat="1" s="37">
      <c r="A13" s="47" t="n">
        <v>9</v>
      </c>
      <c r="B13" s="820" t="n"/>
      <c r="C13" s="48" t="inlineStr">
        <is>
          <t>미끄러져 넘어짐</t>
        </is>
      </c>
      <c r="D13" s="48" t="inlineStr">
        <is>
          <t>미끄러운 기름바닥</t>
        </is>
      </c>
      <c r="E13" s="48" t="n">
        <v>1</v>
      </c>
      <c r="F13" s="48" t="n">
        <v>4</v>
      </c>
      <c r="G13" s="48">
        <f>E13*F13</f>
        <v/>
      </c>
      <c r="H13" s="48" t="inlineStr">
        <is>
          <t>A</t>
        </is>
      </c>
      <c r="I13" s="16" t="inlineStr">
        <is>
          <t>두꺼운 미끄럼 방지 장치를 착용하세요.</t>
        </is>
      </c>
      <c r="J13" s="48" t="n">
        <v>1</v>
      </c>
      <c r="K13" s="48" t="n">
        <v>1</v>
      </c>
      <c r="L13" s="48">
        <f>J13*K13</f>
        <v/>
      </c>
      <c r="M13" s="48" t="inlineStr">
        <is>
          <t>A</t>
        </is>
      </c>
    </row>
    <row r="14" ht="37.5" customHeight="1" s="157">
      <c r="A14" s="45" t="n">
        <v>10</v>
      </c>
      <c r="B14" s="820" t="n"/>
      <c r="C14" s="48" t="inlineStr">
        <is>
          <t>가스 및 오일 흡입</t>
        </is>
      </c>
      <c r="D14" s="48" t="inlineStr">
        <is>
          <t>오일이 풍부한 공기가 금형을 미스트 형태로 분리하여 버와 금속 분진을 생성합니다.</t>
        </is>
      </c>
      <c r="E14" s="48" t="n">
        <v>2</v>
      </c>
      <c r="F14" s="48" t="n">
        <v>3</v>
      </c>
      <c r="G14" s="48">
        <f>E14*F14</f>
        <v/>
      </c>
      <c r="H14" s="48" t="inlineStr">
        <is>
          <t>B</t>
        </is>
      </c>
      <c r="I14" s="16" t="inlineStr">
        <is>
          <t>안경, 마스크, 귀마개 등을 착용하세요.</t>
        </is>
      </c>
      <c r="J14" s="48" t="n">
        <v>1</v>
      </c>
      <c r="K14" s="48" t="n">
        <v>2</v>
      </c>
      <c r="L14" s="48">
        <f>J14*K14</f>
        <v/>
      </c>
      <c r="M14" s="48" t="inlineStr">
        <is>
          <t>A</t>
        </is>
      </c>
    </row>
    <row r="15">
      <c r="A15" s="45" t="n">
        <v>11</v>
      </c>
      <c r="B15" s="820" t="n"/>
      <c r="C15" s="48" t="inlineStr">
        <is>
          <t>부러진 팔</t>
        </is>
      </c>
      <c r="D15" s="48" t="inlineStr">
        <is>
          <t>날카로운 제품과의 접촉으로 인한 베임</t>
        </is>
      </c>
      <c r="E15" s="48" t="n">
        <v>1</v>
      </c>
      <c r="F15" s="48" t="n">
        <v>4</v>
      </c>
      <c r="G15" s="48">
        <f>E15*F15</f>
        <v/>
      </c>
      <c r="H15" s="48" t="inlineStr">
        <is>
          <t>A</t>
        </is>
      </c>
      <c r="I15" s="662" t="inlineStr">
        <is>
          <t>물품검사시 장갑을 착용하세요</t>
        </is>
      </c>
      <c r="J15" s="48" t="n">
        <v>1</v>
      </c>
      <c r="K15" s="48" t="n">
        <v>2</v>
      </c>
      <c r="L15" s="48">
        <f>J15*K15</f>
        <v/>
      </c>
      <c r="M15" s="48" t="inlineStr">
        <is>
          <t>A</t>
        </is>
      </c>
    </row>
    <row r="16">
      <c r="A16" s="47" t="n">
        <v>12</v>
      </c>
      <c r="B16" s="820" t="n"/>
      <c r="C16" s="48" t="inlineStr">
        <is>
          <t>이명</t>
        </is>
      </c>
      <c r="D16" s="48" t="inlineStr">
        <is>
          <t>기계에서 큰 소리가 납니다</t>
        </is>
      </c>
      <c r="E16" s="48" t="n">
        <v>2</v>
      </c>
      <c r="F16" s="48" t="n">
        <v>4</v>
      </c>
      <c r="G16" s="48">
        <f>E16*F16</f>
        <v/>
      </c>
      <c r="H16" s="48" t="inlineStr">
        <is>
          <t>B</t>
        </is>
      </c>
      <c r="I16" s="16" t="inlineStr">
        <is>
          <t>소음 제거 귀마개를 착용하고 화재 경보기를 추가하세요.</t>
        </is>
      </c>
      <c r="J16" s="48" t="n">
        <v>1</v>
      </c>
      <c r="K16" s="48" t="n">
        <v>2</v>
      </c>
      <c r="L16" s="48">
        <f>J16*K16</f>
        <v/>
      </c>
      <c r="M16" s="48" t="inlineStr">
        <is>
          <t>A</t>
        </is>
      </c>
    </row>
    <row r="17" ht="56.25" customHeight="1" s="157">
      <c r="A17" s="45" t="n">
        <v>13</v>
      </c>
      <c r="B17" s="820" t="n"/>
      <c r="C17" s="48" t="inlineStr">
        <is>
          <t>호흡기계(귀, 코, 목)에 손상을 일으킴</t>
        </is>
      </c>
      <c r="D17" s="48" t="inlineStr">
        <is>
          <t>CNC 기계의 먼지와 오일 증기로 인해.</t>
        </is>
      </c>
      <c r="E17" s="48" t="n">
        <v>2</v>
      </c>
      <c r="F17" s="48" t="n">
        <v>4</v>
      </c>
      <c r="G17" s="48">
        <f>E17*F17</f>
        <v/>
      </c>
      <c r="H17" s="48">
        <f>IF(G17&lt;=5,"A",IF(AND(G17&gt;6,G17&lt;=10),"B","C"))</f>
        <v/>
      </c>
      <c r="I17" s="16" t="inlineStr">
        <is>
          <t>시스템의 필터를 사용하세요 
스모킹 미스트, 작업자들은 작업 시 마스크를 착용합니다.</t>
        </is>
      </c>
      <c r="J17" s="48" t="n">
        <v>1</v>
      </c>
      <c r="K17" s="48" t="n">
        <v>2</v>
      </c>
      <c r="L17" s="48">
        <f>J17*K17</f>
        <v/>
      </c>
      <c r="M17" s="48" t="inlineStr">
        <is>
          <t>A</t>
        </is>
      </c>
    </row>
    <row r="18" ht="56.25" customHeight="1" s="157">
      <c r="A18" s="47" t="n">
        <v>14</v>
      </c>
      <c r="B18" s="820" t="n"/>
      <c r="C18" s="48" t="inlineStr">
        <is>
          <t>금속 먼지 및 유독한 냄새 흡입</t>
        </is>
      </c>
      <c r="D18" s="48" t="inlineStr">
        <is>
          <t>분쇄 과정에서 공기 중에 날아다니는 작은 분쇄 조각이 흡입될 수 있습니다.
녹는 과정으로 인해 플라스틱에서 냄새가 발생합니다.</t>
        </is>
      </c>
      <c r="E18" s="48" t="n">
        <v>1</v>
      </c>
      <c r="F18" s="48" t="n">
        <v>3</v>
      </c>
      <c r="G18" s="48">
        <f>E18*F18</f>
        <v/>
      </c>
      <c r="H18" s="48">
        <f>IF(G18&lt;=5,"A",IF(AND(G18&gt;6,G18&lt;=10),"B","C"))</f>
        <v/>
      </c>
      <c r="I18" s="16" t="inlineStr">
        <is>
          <t>액티브 마스크를 착용하고, 라인 아래에 진공 시스템을 설치하고, 교대 종료 시 라인을 청소합니다.</t>
        </is>
      </c>
      <c r="J18" s="48" t="n">
        <v>1</v>
      </c>
      <c r="K18" s="48" t="n">
        <v>0</v>
      </c>
      <c r="L18" s="48">
        <f>J18*K18</f>
        <v/>
      </c>
      <c r="M18" s="48">
        <f>IF(L18&lt;=5,"A",IF(AND(L18&gt;6,L18&lt;=10),"B","C"))</f>
        <v/>
      </c>
    </row>
    <row r="19">
      <c r="A19" s="45" t="n">
        <v>15</v>
      </c>
      <c r="B19" s="820" t="n"/>
      <c r="C19" s="48" t="inlineStr">
        <is>
          <t>열충격</t>
        </is>
      </c>
      <c r="D19" s="48" t="inlineStr">
        <is>
          <t>핫 스탬핑 기계에서 방출되는 온도가 높습니다.</t>
        </is>
      </c>
      <c r="E19" s="48" t="n">
        <v>1</v>
      </c>
      <c r="F19" s="48" t="n">
        <v>3</v>
      </c>
      <c r="G19" s="48">
        <f>E19*F19</f>
        <v/>
      </c>
      <c r="H19" s="48">
        <f>IF(G19&lt;=5,"A",IF(AND(G19&gt;6,G19&lt;=10),"B","C"))</f>
        <v/>
      </c>
      <c r="I19" s="16" t="inlineStr">
        <is>
          <t>온도를 낮추기 위해 에어컨을 제자리에 설치하십시오.</t>
        </is>
      </c>
      <c r="J19" s="48" t="n">
        <v>1</v>
      </c>
      <c r="K19" s="48" t="n">
        <v>0</v>
      </c>
      <c r="L19" s="48">
        <f>J19*K19</f>
        <v/>
      </c>
      <c r="M19" s="48">
        <f>IF(L19&lt;=5,"A",IF(AND(L19&gt;6,L19&lt;=10),"B","C"))</f>
        <v/>
      </c>
    </row>
    <row r="20" ht="56.25" customHeight="1" s="157">
      <c r="A20" s="45" t="n">
        <v>16</v>
      </c>
      <c r="B20" s="820" t="n"/>
      <c r="C20" s="48" t="inlineStr">
        <is>
          <t>화학물질 및 알코올 사용 시 피부 및 호흡기 건조 유발</t>
        </is>
      </c>
      <c r="D20" s="48" t="inlineStr">
        <is>
          <t>알코올이나 화학물질과의 직접적인 접촉으로 인해</t>
        </is>
      </c>
      <c r="E20" s="48" t="n">
        <v>1</v>
      </c>
      <c r="F20" s="48" t="n">
        <v>1</v>
      </c>
      <c r="G20" s="48">
        <f>E20*F20</f>
        <v/>
      </c>
      <c r="H20" s="48">
        <f>IF(G20&lt;=5,"A",IF(AND(G20&gt;6,G20&lt;=10),"B","C"))</f>
        <v/>
      </c>
      <c r="I20" s="16" t="inlineStr">
        <is>
          <t>작업 시에는 장갑, 마스크, 정전기 방지복을 착용해야 합니다.</t>
        </is>
      </c>
      <c r="J20" s="48" t="n">
        <v>1</v>
      </c>
      <c r="K20" s="48" t="n">
        <v>0</v>
      </c>
      <c r="L20" s="48">
        <f>J20*K20</f>
        <v/>
      </c>
      <c r="M20" s="48">
        <f>IF(L20&lt;=5,"A",IF(AND(L20&gt;6,L20&lt;=10),"B","C"))</f>
        <v/>
      </c>
    </row>
    <row r="21" ht="37.5" customHeight="1" s="157">
      <c r="A21" s="47" t="n">
        <v>17</v>
      </c>
      <c r="B21" s="46" t="inlineStr">
        <is>
          <t>생산 워크샵</t>
        </is>
      </c>
      <c r="C21" s="48" t="inlineStr">
        <is>
          <t>날카로운 물건을 밟으면 발에 상처가 납니다.</t>
        </is>
      </c>
      <c r="D21" s="48" t="inlineStr">
        <is>
          <t>3D5S 제작부가 별로라서요</t>
        </is>
      </c>
      <c r="E21" s="48" t="n">
        <v>2</v>
      </c>
      <c r="F21" s="48" t="n">
        <v>2</v>
      </c>
      <c r="G21" s="48">
        <f>E21*F21</f>
        <v/>
      </c>
      <c r="H21" s="48">
        <f>IF(G21&lt;=5,"A",IF(AND(G21&gt;6,G21&lt;=10),"B","C"))</f>
        <v/>
      </c>
      <c r="I21" s="16" t="inlineStr">
        <is>
          <t>3D5S 청결을 준수하도록 부서에 교육하고 상기시킵니다.</t>
        </is>
      </c>
      <c r="J21" s="48" t="n">
        <v>1</v>
      </c>
      <c r="K21" s="48" t="n">
        <v>0</v>
      </c>
      <c r="L21" s="48">
        <f>J21*K21</f>
        <v/>
      </c>
      <c r="M21" s="48">
        <f>IF(L21&lt;=5,"A",IF(AND(L21&gt;6,L21&lt;=10),"B","C"))</f>
        <v/>
      </c>
    </row>
    <row r="22" ht="40.5" customHeight="1" s="157">
      <c r="A22" s="45" t="n">
        <v>18</v>
      </c>
      <c r="B22" s="48" t="inlineStr">
        <is>
          <t>엑스레이 기계를 사용하세요</t>
        </is>
      </c>
      <c r="C22" s="47" t="inlineStr">
        <is>
          <t>방사선 누출</t>
        </is>
      </c>
      <c r="D22" s="48" t="inlineStr">
        <is>
          <t>X-Ray 기계에 노출되면 건강에 영향을 미칩니다</t>
        </is>
      </c>
      <c r="E22" s="48" t="n">
        <v>2</v>
      </c>
      <c r="F22" s="48" t="n">
        <v>4</v>
      </c>
      <c r="G22" s="48">
        <f>E22*F22</f>
        <v/>
      </c>
      <c r="H22" s="48">
        <f>IF(G22&lt;=5,"A",IF(AND(G22&gt;6,G22&lt;=10),"B","C"))</f>
        <v/>
      </c>
      <c r="I22" s="16" t="inlineStr">
        <is>
          <t>개인선량계를 사용하고
 주기적으로 점검받으세요</t>
        </is>
      </c>
      <c r="J22" s="48" t="n">
        <v>1</v>
      </c>
      <c r="K22" s="48" t="n">
        <v>0</v>
      </c>
      <c r="L22" s="48">
        <f>J22*K22</f>
        <v/>
      </c>
      <c r="M22" s="48">
        <f>IF(L22&lt;=5,"A",IF(AND(L22&gt;6,L22&lt;=10),"B","C"))</f>
        <v/>
      </c>
    </row>
    <row r="23" ht="50.45" customHeight="1" s="157">
      <c r="A23" s="47" t="n">
        <v>19</v>
      </c>
      <c r="B23" s="48" t="inlineStr">
        <is>
          <t>온도 게이지</t>
        </is>
      </c>
      <c r="C23" s="47" t="inlineStr">
        <is>
          <t>열충격</t>
        </is>
      </c>
      <c r="D23" s="47" t="inlineStr">
        <is>
          <t>온습도 측정기에서 물품을 꺼낼 때의 위험</t>
        </is>
      </c>
      <c r="E23" s="48" t="n">
        <v>2</v>
      </c>
      <c r="F23" s="48" t="n">
        <v>4</v>
      </c>
      <c r="G23" s="48">
        <f>E23*F23</f>
        <v/>
      </c>
      <c r="H23" s="48">
        <f>IF(G23&lt;=5,"A",IF(AND(G23&gt;6,G23&lt;=10),"B","C"))</f>
        <v/>
      </c>
      <c r="I23" s="16" t="inlineStr">
        <is>
          <t>실내 온도를 측정했는지 확인하세요. 
그리고 작업 영역이 너무 높지 않습니다</t>
        </is>
      </c>
      <c r="J23" s="48" t="n">
        <v>1</v>
      </c>
      <c r="K23" s="48" t="n">
        <v>0</v>
      </c>
      <c r="L23" s="48">
        <f>J23*K23</f>
        <v/>
      </c>
      <c r="M23" s="48">
        <f>IF(L23&lt;=5,"A",IF(AND(L23&gt;6,L23&lt;=10),"B","C"))</f>
        <v/>
      </c>
    </row>
    <row r="24" ht="72" customHeight="1" s="157">
      <c r="A24" s="45" t="n">
        <v>20</v>
      </c>
      <c r="B24" s="48" t="inlineStr">
        <is>
          <t>화학제품</t>
        </is>
      </c>
      <c r="C24" s="48" t="inlineStr">
        <is>
          <t>화재 및 폭발</t>
        </is>
      </c>
      <c r="D24" s="48" t="inlineStr">
        <is>
          <t>화학물질의 혼동으로 인해</t>
        </is>
      </c>
      <c r="E24" s="47" t="n">
        <v>5</v>
      </c>
      <c r="F24" s="47" t="n">
        <v>1</v>
      </c>
      <c r="G24" s="47">
        <f>E24*F24</f>
        <v/>
      </c>
      <c r="H24" s="48" t="inlineStr">
        <is>
          <t>A</t>
        </is>
      </c>
      <c r="I24" s="16" t="inlineStr">
        <is>
          <t>함께 제공되는 MSDS 목록을 사용하여 각 화학물질에 대한 레이아웃 영역을 설정합니다. 화학물질 안전 규정을 준수합니다. 생산 구역에는 완전한 소방 장비가 설치되어 있습니다.</t>
        </is>
      </c>
      <c r="J24" s="48" t="n">
        <v>1</v>
      </c>
      <c r="K24" s="48" t="n">
        <v>0</v>
      </c>
      <c r="L24" s="48">
        <f>J24*K24</f>
        <v/>
      </c>
      <c r="M24" s="48" t="inlineStr">
        <is>
          <t>A</t>
        </is>
      </c>
    </row>
    <row r="25" ht="84.59999999999999" customFormat="1" customHeight="1" s="165">
      <c r="A25" s="46" t="n"/>
      <c r="B25" s="48" t="inlineStr">
        <is>
          <t>제품 판단</t>
        </is>
      </c>
      <c r="C25" s="48" t="inlineStr">
        <is>
          <t>잘못된 결과를 판단</t>
        </is>
      </c>
      <c r="D25" s="48" t="inlineStr">
        <is>
          <t>개인이 훈련 내용을 숙지하지 않았기 때문에 오류 샘플이 제한됩니다.</t>
        </is>
      </c>
      <c r="E25" s="47" t="n">
        <v>5</v>
      </c>
      <c r="F25" s="47" t="n">
        <v>1</v>
      </c>
      <c r="G25" s="47">
        <f>E25*F25</f>
        <v/>
      </c>
      <c r="H25" s="48" t="inlineStr">
        <is>
          <t>A</t>
        </is>
      </c>
      <c r="I25" s="16" t="inlineStr">
        <is>
          <t>입사 전 신입사원 교육을 실시합니다.
매년 훈련 프로그램 개발 및 역량강화 훈련 실시
새로운 모델이 출시되고 오류가 발생하는 즉시 교육을 실시합니다.</t>
        </is>
      </c>
      <c r="J25" s="48" t="n">
        <v>1</v>
      </c>
      <c r="K25" s="48" t="n">
        <v>0</v>
      </c>
      <c r="L25" s="48">
        <f>J25*K25</f>
        <v/>
      </c>
      <c r="M25" s="48" t="inlineStr">
        <is>
          <t>A</t>
        </is>
      </c>
    </row>
    <row r="26" ht="84.59999999999999" customHeight="1" s="157">
      <c r="A26" s="45" t="n"/>
      <c r="B26" s="419" t="inlineStr">
        <is>
          <t>기계</t>
        </is>
      </c>
      <c r="C26" s="419" t="inlineStr">
        <is>
          <t>기계가 고장나서 테스트할 수 없습니다/측정할 수 없습니다</t>
        </is>
      </c>
      <c r="D26" s="419" t="inlineStr">
        <is>
          <t>정기적으로 현황을 확인하고 유지보수 계획을 세우지 않아 시험기가 고장났습니다.</t>
        </is>
      </c>
      <c r="E26" s="47" t="n">
        <v>5</v>
      </c>
      <c r="F26" s="47" t="n">
        <v>1</v>
      </c>
      <c r="G26" s="47">
        <f>E26*F26</f>
        <v/>
      </c>
      <c r="H26" s="48" t="inlineStr">
        <is>
          <t>A</t>
        </is>
      </c>
      <c r="I26" s="16" t="inlineStr">
        <is>
          <t>양호한 작동 상태를 보장하기 위해 정기적으로 기계를 점검하십시오.
정기적인 유지관리로 예상치 못한 고장을 방지합니다.</t>
        </is>
      </c>
      <c r="J26" s="48" t="n">
        <v>1</v>
      </c>
      <c r="K26" s="48" t="n">
        <v>0</v>
      </c>
      <c r="L26" s="48">
        <f>J26*K26</f>
        <v/>
      </c>
      <c r="M26" s="48" t="inlineStr">
        <is>
          <t>A</t>
        </is>
      </c>
    </row>
    <row r="27" ht="17.25" customFormat="1" customHeight="1" s="200">
      <c r="A27" s="612" t="inlineStr">
        <is>
          <t>아르헨티나는 다음 공식을 사용하여 측정됩니다: R = F x S, 여기서:</t>
        </is>
      </c>
      <c r="B27" s="155" t="n"/>
      <c r="C27" s="155" t="n"/>
      <c r="D27" s="155" t="n"/>
      <c r="E27" s="155" t="n"/>
      <c r="F27" s="155" t="n"/>
      <c r="G27" s="155" t="n"/>
      <c r="H27" s="155" t="n"/>
      <c r="I27" s="155" t="n"/>
      <c r="J27" s="155" t="n"/>
      <c r="K27" s="155" t="n"/>
      <c r="L27" s="155" t="n"/>
      <c r="M27" s="155" t="n"/>
    </row>
    <row r="28" ht="17.25" customFormat="1" customHeight="1" s="200">
      <c r="A28" s="615" t="inlineStr">
        <is>
          <t>R': 리스크.</t>
        </is>
      </c>
    </row>
    <row r="29" ht="17.25" customFormat="1" customHeight="1" s="200">
      <c r="A29" s="603" t="inlineStr">
        <is>
          <t>여: 가능성.</t>
        </is>
      </c>
    </row>
    <row r="30" ht="17.25" customFormat="1" customHeight="1" s="200">
      <c r="A30" s="606" t="inlineStr">
        <is>
          <t>S: 그런 일이 발생하면 어떤 결과가 따르나요?</t>
        </is>
      </c>
      <c r="B30" s="159" t="n"/>
      <c r="C30" s="159" t="n"/>
      <c r="D30" s="159" t="n"/>
      <c r="E30" s="159" t="n"/>
      <c r="F30" s="159" t="n"/>
      <c r="G30" s="159" t="n"/>
      <c r="H30" s="159" t="n"/>
      <c r="I30" s="159" t="n"/>
      <c r="J30" s="159" t="n"/>
      <c r="K30" s="159" t="n"/>
      <c r="L30" s="159" t="n"/>
      <c r="M30" s="159" t="n"/>
    </row>
    <row r="31" ht="15.75" customFormat="1" customHeight="1" s="208">
      <c r="A31" s="265" t="n"/>
      <c r="B31" s="268" t="inlineStr">
        <is>
          <t>No</t>
        </is>
      </c>
      <c r="C31" s="253" t="inlineStr">
        <is>
          <t>문서번호</t>
        </is>
      </c>
      <c r="D31" s="253" t="inlineStr">
        <is>
          <t>발행일</t>
        </is>
      </c>
      <c r="E31" s="492" t="inlineStr">
        <is>
          <t>개정</t>
        </is>
      </c>
      <c r="F31" s="814" t="n"/>
      <c r="G31" s="592" t="inlineStr">
        <is>
          <t xml:space="preserve">내용 </t>
        </is>
      </c>
      <c r="H31" s="814" t="n"/>
      <c r="I31" s="814" t="n"/>
      <c r="J31" s="814" t="n"/>
      <c r="K31" s="815" t="n"/>
      <c r="L31" s="501" t="inlineStr">
        <is>
          <t>작성자</t>
        </is>
      </c>
      <c r="M31" s="815" t="n"/>
    </row>
    <row r="32" ht="15.75" customFormat="1" customHeight="1" s="208">
      <c r="A32" s="265" t="n"/>
      <c r="B32" s="268" t="n">
        <v>0</v>
      </c>
      <c r="C32" s="253" t="inlineStr">
        <is>
          <t>ISO.04.01.03</t>
        </is>
      </c>
      <c r="D32" s="253" t="inlineStr">
        <is>
          <t>03.01.2020</t>
        </is>
      </c>
      <c r="E32" s="496" t="inlineStr">
        <is>
          <t>0</t>
        </is>
      </c>
      <c r="F32" s="814" t="n"/>
      <c r="G32" s="592" t="inlineStr">
        <is>
          <t>신규 작성</t>
        </is>
      </c>
      <c r="H32" s="814" t="n"/>
      <c r="I32" s="814" t="n"/>
      <c r="J32" s="814" t="n"/>
      <c r="K32" s="815" t="n"/>
      <c r="L32" s="501" t="inlineStr">
        <is>
          <t>하우 부인</t>
        </is>
      </c>
      <c r="M32" s="815" t="n"/>
    </row>
    <row r="33" ht="15.75" customFormat="1" customHeight="1" s="208">
      <c r="A33" s="256" t="n"/>
      <c r="B33" s="268" t="n">
        <v>0</v>
      </c>
      <c r="C33" s="253" t="inlineStr">
        <is>
          <t>ISO.04.01.03</t>
        </is>
      </c>
      <c r="D33" s="253" t="inlineStr">
        <is>
          <t>25.05.2022</t>
        </is>
      </c>
      <c r="E33" s="496" t="inlineStr">
        <is>
          <t>1</t>
        </is>
      </c>
      <c r="F33" s="814" t="n"/>
      <c r="G33" s="592" t="inlineStr">
        <is>
          <t>기계가 손상되어 측정할 수 없다는 내용을 추가합니다.</t>
        </is>
      </c>
      <c r="H33" s="814" t="n"/>
      <c r="I33" s="814" t="n"/>
      <c r="J33" s="814" t="n"/>
      <c r="K33" s="815" t="n"/>
      <c r="L33" s="501" t="inlineStr">
        <is>
          <t>하 부인</t>
        </is>
      </c>
      <c r="M33" s="815" t="n"/>
    </row>
  </sheetData>
  <mergeCells count="25">
    <mergeCell ref="E1:M1"/>
    <mergeCell ref="L32:M32"/>
    <mergeCell ref="E33:F33"/>
    <mergeCell ref="B3:B4"/>
    <mergeCell ref="J3:M3"/>
    <mergeCell ref="A29:M29"/>
    <mergeCell ref="A28:M28"/>
    <mergeCell ref="I6:I8"/>
    <mergeCell ref="C2:H2"/>
    <mergeCell ref="E3:H3"/>
    <mergeCell ref="A3:A4"/>
    <mergeCell ref="I3:I4"/>
    <mergeCell ref="L33:M33"/>
    <mergeCell ref="D3:D4"/>
    <mergeCell ref="A30:M30"/>
    <mergeCell ref="E31:F31"/>
    <mergeCell ref="G33:K33"/>
    <mergeCell ref="L31:M31"/>
    <mergeCell ref="B5:B8"/>
    <mergeCell ref="E32:F32"/>
    <mergeCell ref="A27:M27"/>
    <mergeCell ref="C3:C4"/>
    <mergeCell ref="B9:B20"/>
    <mergeCell ref="G32:K32"/>
    <mergeCell ref="G31:K31"/>
  </mergeCells>
  <pageMargins left="0.44" right="0.16" top="0.74" bottom="0.16" header="0.36" footer="0.23"/>
  <pageSetup orientation="landscape" scale="58" fitToHeight="0" useFirstPageNumber="1"/>
  <rowBreaks count="1" manualBreakCount="1">
    <brk id="11" min="0" max="12" man="1"/>
  </rowBreaks>
  <drawing xmlns:r="http://schemas.openxmlformats.org/officeDocument/2006/relationships" r:id="rId1"/>
</worksheet>
</file>

<file path=xl/worksheets/sheet9.xml><?xml version="1.0" encoding="utf-8"?>
<worksheet xmlns="http://schemas.openxmlformats.org/spreadsheetml/2006/main">
  <sheetPr>
    <tabColor rgb="FF92D050"/>
    <outlinePr summaryBelow="1" summaryRight="1"/>
    <pageSetUpPr/>
  </sheetPr>
  <dimension ref="A1:O19"/>
  <sheetViews>
    <sheetView showGridLines="0" topLeftCell="A7" zoomScale="71" zoomScaleNormal="71" workbookViewId="0">
      <selection activeCell="I8" sqref="I8:K8"/>
    </sheetView>
  </sheetViews>
  <sheetFormatPr baseColWidth="8" defaultRowHeight="18.75"/>
  <cols>
    <col width="9.140625" customWidth="1" style="157" min="1" max="1"/>
    <col width="12.140625" customWidth="1" style="157" min="2" max="2"/>
    <col width="20.42578125" customWidth="1" style="157" min="3" max="3"/>
    <col width="38.85546875" customWidth="1" style="157" min="4" max="4"/>
    <col width="8.7109375" customWidth="1" style="157" min="5" max="8"/>
    <col width="11.5703125" customWidth="1" style="157" min="9" max="9"/>
    <col width="11.85546875" customWidth="1" style="157" min="10" max="10"/>
    <col width="53.5703125" customWidth="1" style="157" min="11" max="11"/>
    <col width="8.42578125" customWidth="1" style="709" min="12" max="15"/>
    <col width="9.140625" customWidth="1" style="157" min="16" max="16384"/>
  </cols>
  <sheetData>
    <row r="1" ht="12.75" customHeight="1" s="157">
      <c r="B1" s="154" t="n"/>
      <c r="C1" s="155" t="n"/>
      <c r="D1" s="155" t="n"/>
      <c r="E1" s="155" t="n"/>
      <c r="F1" s="155" t="n"/>
      <c r="G1" s="155" t="n"/>
      <c r="H1" s="155" t="n"/>
      <c r="I1" s="155" t="n"/>
      <c r="J1" s="155" t="n"/>
      <c r="K1" s="155" t="n"/>
      <c r="L1" s="155" t="n"/>
      <c r="M1" s="155" t="n"/>
      <c r="N1" s="155" t="n"/>
      <c r="O1" s="156" t="n"/>
    </row>
    <row r="2" ht="22.5" customHeight="1" s="157">
      <c r="B2" s="254" t="n"/>
      <c r="C2" s="251" t="n"/>
      <c r="D2" s="251" t="n"/>
      <c r="E2" s="251" t="n"/>
      <c r="F2" s="251" t="n"/>
      <c r="G2" s="251" t="n"/>
      <c r="H2" s="251" t="n"/>
      <c r="I2" s="251" t="n"/>
      <c r="J2" s="251" t="n"/>
      <c r="K2" s="251" t="n"/>
      <c r="L2" s="251" t="n"/>
      <c r="M2" s="252" t="n"/>
      <c r="N2" s="252" t="n"/>
      <c r="O2" s="255" t="n"/>
    </row>
    <row r="3" ht="45" customHeight="1" s="157">
      <c r="B3" s="254" t="n"/>
      <c r="C3" s="251" t="n"/>
      <c r="D3" s="679" t="inlineStr">
        <is>
          <t>영업부서의 위험에 대한 설명</t>
        </is>
      </c>
      <c r="L3" s="251" t="n"/>
      <c r="O3" s="158" t="n"/>
    </row>
    <row r="4" ht="15.75" customHeight="1" s="157">
      <c r="B4" s="256" t="n"/>
      <c r="C4" s="159" t="n"/>
      <c r="D4" s="159" t="n"/>
      <c r="E4" s="159" t="n"/>
      <c r="F4" s="159" t="n"/>
      <c r="G4" s="159" t="n"/>
      <c r="H4" s="159" t="n"/>
      <c r="I4" s="159" t="n"/>
      <c r="J4" s="159" t="n"/>
      <c r="K4" s="159" t="n"/>
      <c r="L4" s="257" t="n"/>
      <c r="M4" s="248" t="n"/>
      <c r="N4" s="248" t="n"/>
      <c r="O4" s="258" t="n"/>
    </row>
    <row r="5" ht="44.25" customHeight="1" s="157">
      <c r="B5" s="680" t="inlineStr">
        <is>
          <t>프로세스</t>
        </is>
      </c>
      <c r="C5" s="156" t="n"/>
      <c r="D5" s="680" t="inlineStr">
        <is>
          <t>가능한 위험</t>
        </is>
      </c>
      <c r="E5" s="844" t="inlineStr">
        <is>
          <t>평가수준</t>
        </is>
      </c>
      <c r="F5" s="814" t="n"/>
      <c r="G5" s="814" t="n"/>
      <c r="H5" s="815" t="n"/>
      <c r="I5" s="680" t="inlineStr">
        <is>
          <t>예방/시정 조치</t>
        </is>
      </c>
      <c r="J5" s="155" t="n"/>
      <c r="K5" s="156" t="n"/>
      <c r="L5" s="680" t="inlineStr">
        <is>
          <t>평가
조치를 취한 후</t>
        </is>
      </c>
      <c r="M5" s="814" t="n"/>
      <c r="N5" s="814" t="n"/>
      <c r="O5" s="815" t="n"/>
    </row>
    <row r="6" ht="50.25" customHeight="1" s="157">
      <c r="B6" s="256" t="n"/>
      <c r="C6" s="290" t="n"/>
      <c r="D6" s="818" t="n"/>
      <c r="E6" s="269" t="inlineStr">
        <is>
          <t>가능성</t>
        </is>
      </c>
      <c r="F6" s="269" t="inlineStr">
        <is>
          <t>영향</t>
        </is>
      </c>
      <c r="G6" s="269" t="inlineStr">
        <is>
          <t>총점</t>
        </is>
      </c>
      <c r="H6" s="269" t="inlineStr">
        <is>
          <t>위험 분류</t>
        </is>
      </c>
      <c r="I6" s="256" t="n"/>
      <c r="J6" s="159" t="n"/>
      <c r="K6" s="290" t="n"/>
      <c r="L6" s="680" t="inlineStr">
        <is>
          <t>S</t>
        </is>
      </c>
      <c r="M6" s="681" t="inlineStr">
        <is>
          <t>F</t>
        </is>
      </c>
      <c r="N6" s="681" t="inlineStr">
        <is>
          <t>S*F</t>
        </is>
      </c>
      <c r="O6" s="680" t="inlineStr">
        <is>
          <t>분류
 위험</t>
        </is>
      </c>
    </row>
    <row r="7" ht="129.75" customHeight="1" s="157">
      <c r="B7" s="114" t="n">
        <v>1</v>
      </c>
      <c r="C7" s="673" t="inlineStr">
        <is>
          <t>고객과 정보를 교환하는 과정
고객과 정보를 교환하는 과정</t>
        </is>
      </c>
      <c r="D7" s="673" t="inlineStr">
        <is>
          <t>품목 NG 비율이 높아 배송상태에 영향을 미침
출하상태에 영향을 미치는 NG제품의 비율이 높음</t>
        </is>
      </c>
      <c r="E7" s="170" t="n">
        <v>3</v>
      </c>
      <c r="F7" s="170" t="n">
        <v>3</v>
      </c>
      <c r="G7" s="170" t="n">
        <v>9</v>
      </c>
      <c r="H7" s="170" t="inlineStr">
        <is>
          <t>B</t>
        </is>
      </c>
      <c r="I7" s="674" t="inlineStr">
        <is>
          <t>부서가 단계에서 상품을 통제하도록 요구합니다. 
일정 기간 동안 배송 계획을 연기하도록 고객과 소통
현장에서 물품관리부서에 요청
특정 시간에 배송 계획을 지연시키도록 고객과 소통(Sales Daily 보고서)</t>
        </is>
      </c>
      <c r="J7" s="814" t="n"/>
      <c r="K7" s="815" t="n"/>
      <c r="L7" s="259" t="n">
        <v>1</v>
      </c>
      <c r="M7" s="259" t="n">
        <v>2</v>
      </c>
      <c r="N7" s="259">
        <f>M7*L7</f>
        <v/>
      </c>
      <c r="O7" s="260" t="inlineStr">
        <is>
          <t>A</t>
        </is>
      </c>
    </row>
    <row r="8" ht="102.75" customHeight="1" s="157">
      <c r="B8" s="114" t="n">
        <v>2</v>
      </c>
      <c r="C8" s="820" t="n"/>
      <c r="D8" s="673" t="inlineStr">
        <is>
          <t>고객에게 배송하는 동안 구성 요소 혼합
고객에게 배송하는 동안 구성 요소가 혼합됨</t>
        </is>
      </c>
      <c r="E8" s="170" t="n">
        <v>3</v>
      </c>
      <c r="F8" s="170" t="n">
        <v>3</v>
      </c>
      <c r="G8" s="170" t="n">
        <v>9</v>
      </c>
      <c r="H8" s="170" t="inlineStr">
        <is>
          <t>B</t>
        </is>
      </c>
      <c r="I8" s="674" t="inlineStr">
        <is>
          <t>고객에게 부품이 섞이지 않도록 향후 배송을 위해 생산 부품에 투명 레이벨트를 요구합니다.
고객과 부품이 섞이는 것을 방지하기 위해 생산 단위에 다음 화물에 대한 명확한 레이벨을 갖도록 요청하십시오.
 (판매일보/판매일보)</t>
        </is>
      </c>
      <c r="J8" s="814" t="n"/>
      <c r="K8" s="815" t="n"/>
      <c r="L8" s="259" t="n">
        <v>1</v>
      </c>
      <c r="M8" s="259" t="n">
        <v>2</v>
      </c>
      <c r="N8" s="259">
        <f>M8*L8</f>
        <v/>
      </c>
      <c r="O8" s="260" t="inlineStr">
        <is>
          <t>A</t>
        </is>
      </c>
    </row>
    <row r="9" ht="111" customHeight="1" s="157">
      <c r="B9" s="114" t="n">
        <v>3</v>
      </c>
      <c r="C9" s="818" t="n"/>
      <c r="D9" s="673" t="inlineStr">
        <is>
          <t>고객에게 다가가는 NG품
고객에게 다가가는 NG상품</t>
        </is>
      </c>
      <c r="E9" s="170" t="n">
        <v>3</v>
      </c>
      <c r="F9" s="170" t="n">
        <v>3</v>
      </c>
      <c r="G9" s="170" t="n">
        <v>9</v>
      </c>
      <c r="H9" s="170" t="inlineStr">
        <is>
          <t>B</t>
        </is>
      </c>
      <c r="I9" s="674" t="inlineStr">
        <is>
          <t>부서에서 고객에게 개선 계획 및 대책을 보내도록 요구합니다.
고객에게 전달할 개선방안 및 대책을 부서에 요청</t>
        </is>
      </c>
      <c r="J9" s="814" t="n"/>
      <c r="K9" s="815" t="n"/>
      <c r="L9" s="259" t="n">
        <v>1</v>
      </c>
      <c r="M9" s="259" t="n">
        <v>2</v>
      </c>
      <c r="N9" s="259">
        <f>M9*L9</f>
        <v/>
      </c>
      <c r="O9" s="260" t="inlineStr">
        <is>
          <t>A</t>
        </is>
      </c>
    </row>
    <row r="10" ht="113.25" customHeight="1" s="157">
      <c r="B10" s="114" t="n">
        <v>4</v>
      </c>
      <c r="C10" s="673" t="inlineStr">
        <is>
          <t>매일매일 재고 관리
일일 재고관리</t>
        </is>
      </c>
      <c r="D10" s="673" t="inlineStr">
        <is>
          <t>잘못된 재고 보고로 인해 배송 계획이 무응답 상태가 됨 
잘못된 재고 보고서로 인해 배송 계획이 무응답 상태가 됨</t>
        </is>
      </c>
      <c r="E10" s="170" t="n">
        <v>2</v>
      </c>
      <c r="F10" s="170" t="n">
        <v>3</v>
      </c>
      <c r="G10" s="170" t="n">
        <v>5</v>
      </c>
      <c r="H10" s="170" t="inlineStr">
        <is>
          <t>A</t>
        </is>
      </c>
      <c r="I10" s="674" t="inlineStr">
        <is>
          <t>배송 계획을 위해 창고 및 단계에서 물리적 검사 및 재고 확인을 수행합니다.
배송 계획을 위해 창고 및 단계에서 실제 검사 및 재고 확인을 수행합니다. 
(판매일보/판매일보)</t>
        </is>
      </c>
      <c r="J10" s="814" t="n"/>
      <c r="K10" s="815" t="n"/>
      <c r="L10" s="259" t="n">
        <v>1</v>
      </c>
      <c r="M10" s="259" t="n">
        <v>2</v>
      </c>
      <c r="N10" s="259">
        <f>M10*L10</f>
        <v/>
      </c>
      <c r="O10" s="260" t="inlineStr">
        <is>
          <t>A</t>
        </is>
      </c>
    </row>
    <row r="11" ht="146.25" customHeight="1" s="157">
      <c r="B11" s="261" t="n">
        <v>5</v>
      </c>
      <c r="C11" s="262" t="inlineStr">
        <is>
          <t>ERP 시스템 가져오기 프로세스
ERP 시스템을 가져오는 과정</t>
        </is>
      </c>
      <c r="D11" s="262" t="inlineStr">
        <is>
          <t>잘못된 코드, 제품 이름 또는 제품 코드를 설정하면 잘못된 시스템 출력이 발생합니다.
잘못된 코드, 제품명, 품목 코드가 배치되어 잘못된 시스템 출력이 발생함</t>
        </is>
      </c>
      <c r="E11" s="700" t="n">
        <v>1</v>
      </c>
      <c r="F11" s="700" t="n">
        <v>1</v>
      </c>
      <c r="G11" s="700" t="n">
        <v>2</v>
      </c>
      <c r="H11" s="700" t="inlineStr">
        <is>
          <t>A</t>
        </is>
      </c>
      <c r="I11" s="675" t="inlineStr">
        <is>
          <t>시스템을 구축하기 전 해당 상품의 코드, 상품명, 상품코드, 가격 등을 확인해야 합니다.
가져오기 후 시스템을 다시 확인해야 함
시스템을 구현하기 전, 제품코드, 제품명, 품목코드 및 크로스 확인이 필요합니다.
가져온 후 시스템을 다시 확인해야 함
 (판매일보/판매일보)</t>
        </is>
      </c>
      <c r="J11" s="155" t="n"/>
      <c r="K11" s="156" t="n"/>
      <c r="L11" s="263" t="n">
        <v>1</v>
      </c>
      <c r="M11" s="263" t="n">
        <v>0</v>
      </c>
      <c r="N11" s="263">
        <f>M11*L11</f>
        <v/>
      </c>
      <c r="O11" s="264" t="inlineStr">
        <is>
          <t>A</t>
        </is>
      </c>
    </row>
    <row r="12" ht="15" customHeight="1" s="157">
      <c r="B12" s="154" t="n"/>
      <c r="C12" s="155" t="n"/>
      <c r="D12" s="155" t="n"/>
      <c r="E12" s="155" t="n"/>
      <c r="F12" s="155" t="n"/>
      <c r="G12" s="155" t="n"/>
      <c r="H12" s="155" t="n"/>
      <c r="I12" s="155" t="n"/>
      <c r="J12" s="155" t="n"/>
      <c r="K12" s="155" t="n"/>
      <c r="L12" s="732" t="n"/>
      <c r="M12" s="732" t="n"/>
      <c r="N12" s="732" t="n"/>
      <c r="O12" s="733" t="n"/>
    </row>
    <row r="13" ht="12.75" customHeight="1" s="157">
      <c r="B13" s="265" t="inlineStr">
        <is>
          <t>아르헨티나는 다음 공식을 사용하여 측정됩니다: R = F x S, 여기서:</t>
        </is>
      </c>
      <c r="O13" s="266" t="n"/>
    </row>
    <row r="14" ht="12.75" customHeight="1" s="157">
      <c r="B14" s="265" t="inlineStr">
        <is>
          <t>R': 리스크.</t>
        </is>
      </c>
      <c r="O14" s="266" t="n"/>
    </row>
    <row r="15" ht="12.75" customHeight="1" s="157">
      <c r="B15" s="265" t="inlineStr">
        <is>
          <t>여: 가능성.</t>
        </is>
      </c>
      <c r="O15" s="266" t="n"/>
    </row>
    <row r="16" ht="12.75" customHeight="1" s="157">
      <c r="B16" s="256" t="inlineStr">
        <is>
          <t>S: 그런 일이 발생하면 어떤 결과가 따르나요?</t>
        </is>
      </c>
      <c r="C16" s="159" t="n"/>
      <c r="D16" s="159" t="n"/>
      <c r="E16" s="159" t="n"/>
      <c r="F16" s="159" t="n"/>
      <c r="G16" s="159" t="n"/>
      <c r="H16" s="159" t="n"/>
      <c r="I16" s="159" t="n"/>
      <c r="J16" s="159" t="n"/>
      <c r="K16" s="159" t="n"/>
      <c r="L16" s="723" t="n"/>
      <c r="M16" s="723" t="n"/>
      <c r="N16" s="723" t="n"/>
      <c r="O16" s="267" t="n"/>
    </row>
    <row r="17" ht="28.5" customFormat="1" customHeight="1" s="208">
      <c r="B17" s="268" t="inlineStr">
        <is>
          <t>No</t>
        </is>
      </c>
      <c r="C17" s="253" t="inlineStr">
        <is>
          <t>문서번호</t>
        </is>
      </c>
      <c r="D17" s="253" t="inlineStr">
        <is>
          <t>수정된 시간</t>
        </is>
      </c>
      <c r="E17" s="253" t="inlineStr">
        <is>
          <t xml:space="preserve">발행일 </t>
        </is>
      </c>
      <c r="F17" s="814" t="n"/>
      <c r="G17" s="815" t="n"/>
      <c r="H17" s="253" t="inlineStr">
        <is>
          <t xml:space="preserve">내용 </t>
        </is>
      </c>
      <c r="I17" s="814" t="n"/>
      <c r="J17" s="814" t="n"/>
      <c r="K17" s="814" t="n"/>
      <c r="L17" s="815" t="n"/>
      <c r="M17" s="268" t="inlineStr">
        <is>
          <t>작성자</t>
        </is>
      </c>
      <c r="N17" s="814" t="n"/>
      <c r="O17" s="815" t="n"/>
    </row>
    <row r="18" ht="28.5" customFormat="1" customHeight="1" s="208">
      <c r="B18" s="268" t="n">
        <v>0</v>
      </c>
      <c r="C18" s="253" t="inlineStr">
        <is>
          <t>SAL.03.00.04</t>
        </is>
      </c>
      <c r="D18" s="253" t="n">
        <v>0</v>
      </c>
      <c r="E18" s="845" t="n">
        <v>43952</v>
      </c>
      <c r="F18" s="814" t="n"/>
      <c r="G18" s="815" t="n"/>
      <c r="H18" s="253" t="inlineStr">
        <is>
          <t>신규 작성</t>
        </is>
      </c>
      <c r="I18" s="814" t="n"/>
      <c r="J18" s="814" t="n"/>
      <c r="K18" s="814" t="n"/>
      <c r="L18" s="815" t="n"/>
      <c r="M18" s="268" t="inlineStr">
        <is>
          <t>푸엉 씨</t>
        </is>
      </c>
      <c r="N18" s="814" t="n"/>
      <c r="O18" s="815" t="n"/>
    </row>
    <row r="19" ht="28.5" customFormat="1" customHeight="1" s="208">
      <c r="B19" s="212" t="n"/>
      <c r="C19" s="253" t="n"/>
      <c r="D19" s="253" t="n"/>
      <c r="E19" s="253" t="n"/>
      <c r="F19" s="814" t="n"/>
      <c r="G19" s="815" t="n"/>
      <c r="H19" s="253" t="n"/>
      <c r="I19" s="814" t="n"/>
      <c r="J19" s="814" t="n"/>
      <c r="K19" s="814" t="n"/>
      <c r="L19" s="815" t="n"/>
      <c r="M19" s="268" t="n"/>
      <c r="N19" s="814" t="n"/>
      <c r="O19" s="815" t="n"/>
    </row>
  </sheetData>
  <mergeCells count="21">
    <mergeCell ref="E19:G19"/>
    <mergeCell ref="C7:C9"/>
    <mergeCell ref="M18:O18"/>
    <mergeCell ref="B5:C6"/>
    <mergeCell ref="I8:K8"/>
    <mergeCell ref="M17:O17"/>
    <mergeCell ref="E5:H5"/>
    <mergeCell ref="H17:L17"/>
    <mergeCell ref="I10:K10"/>
    <mergeCell ref="M19:O19"/>
    <mergeCell ref="I9:K9"/>
    <mergeCell ref="E18:G18"/>
    <mergeCell ref="H19:L19"/>
    <mergeCell ref="D5:D6"/>
    <mergeCell ref="L5:O5"/>
    <mergeCell ref="I11:K11"/>
    <mergeCell ref="D3:K3"/>
    <mergeCell ref="I5:K6"/>
    <mergeCell ref="H18:L18"/>
    <mergeCell ref="E17:G17"/>
    <mergeCell ref="I7:K7"/>
  </mergeCells>
  <pageMargins left="0.7" right="0.7" top="0.75" bottom="0.75" header="0.3" footer="0.3"/>
  <pageSetup orientation="portrait" paperSize="8"/>
  <drawing xmlns:r="http://schemas.openxmlformats.org/officeDocument/2006/relationships" r:id="rId1"/>
</worksheet>
</file>

<file path=xl/worksheets/sheet10.xml><?xml version="1.0" encoding="utf-8"?>
<worksheet xmlns="http://schemas.openxmlformats.org/spreadsheetml/2006/main">
  <sheetPr>
    <tabColor rgb="FF92D050"/>
    <outlinePr summaryBelow="1" summaryRight="1"/>
    <pageSetUpPr/>
  </sheetPr>
  <dimension ref="A1:M41"/>
  <sheetViews>
    <sheetView showGridLines="0" topLeftCell="A4" zoomScale="89" zoomScaleNormal="89" zoomScaleSheetLayoutView="82" workbookViewId="0">
      <selection activeCell="A12" sqref="A12:M12"/>
    </sheetView>
  </sheetViews>
  <sheetFormatPr baseColWidth="8" defaultColWidth="11.5703125" defaultRowHeight="18.75"/>
  <cols>
    <col width="4.85546875" customWidth="1" style="709" min="1" max="1"/>
    <col width="15.28515625" customWidth="1" style="105" min="2" max="2"/>
    <col width="31.5703125" customWidth="1" style="739" min="3" max="3"/>
    <col width="45.28515625" customWidth="1" style="739" min="4" max="4"/>
    <col width="4.5703125" customWidth="1" style="709" min="5" max="5"/>
    <col width="5" customWidth="1" style="709" min="6" max="6"/>
    <col width="6.85546875" customWidth="1" style="709" min="7" max="7"/>
    <col width="11.7109375" customWidth="1" style="709" min="8" max="8"/>
    <col width="39.5703125" customWidth="1" style="105" min="9" max="9"/>
    <col width="4.7109375" customWidth="1" style="709" min="10" max="10"/>
    <col width="4.85546875" customWidth="1" style="709" min="11" max="11"/>
    <col width="6.5703125" customWidth="1" style="709" min="12" max="12"/>
    <col width="11.42578125" customWidth="1" style="709" min="13" max="13"/>
    <col width="11.5703125" customWidth="1" style="252" min="14" max="16384"/>
  </cols>
  <sheetData>
    <row r="1" ht="22.9" customHeight="1" s="157">
      <c r="A1" s="739" t="n"/>
      <c r="B1" s="739" t="n"/>
      <c r="E1" s="739" t="inlineStr">
        <is>
          <t>TRI.04.01.03 Ngày ban hành 03/01/2020</t>
        </is>
      </c>
    </row>
    <row r="2" ht="164.45" customHeight="1" s="157">
      <c r="A2" s="695" t="inlineStr">
        <is>
          <t>위험 식별 및 위험 분석  
휴게실</t>
        </is>
      </c>
      <c r="B2" s="814" t="n"/>
      <c r="C2" s="814" t="n"/>
      <c r="D2" s="814" t="n"/>
      <c r="E2" s="698" t="n"/>
      <c r="F2" s="814" t="n"/>
      <c r="G2" s="814" t="n"/>
      <c r="H2" s="814" t="n"/>
      <c r="I2" s="814" t="n"/>
      <c r="J2" s="814" t="n"/>
      <c r="K2" s="814" t="n"/>
      <c r="L2" s="814" t="n"/>
      <c r="M2" s="815" t="n"/>
    </row>
    <row r="3" ht="63.75" customFormat="1" customHeight="1" s="146">
      <c r="A3" s="693" t="inlineStr">
        <is>
          <t>번호</t>
        </is>
      </c>
      <c r="B3" s="692" t="inlineStr">
        <is>
          <t>프로세스/진행상황</t>
        </is>
      </c>
      <c r="C3" s="692" t="inlineStr">
        <is>
          <t>잠재력</t>
        </is>
      </c>
      <c r="D3" s="693" t="inlineStr">
        <is>
          <t>원인/설명</t>
        </is>
      </c>
      <c r="E3" s="693" t="inlineStr">
        <is>
          <t>리스크 평가</t>
        </is>
      </c>
      <c r="F3" s="159" t="n"/>
      <c r="G3" s="159" t="n"/>
      <c r="H3" s="290" t="n"/>
      <c r="I3" s="692" t="inlineStr">
        <is>
          <t>예방/시정 조치</t>
        </is>
      </c>
      <c r="J3" s="692" t="inlineStr">
        <is>
          <t>외부 평가
예방 조치를 취한 후</t>
        </is>
      </c>
      <c r="K3" s="159" t="n"/>
      <c r="L3" s="159" t="n"/>
      <c r="M3" s="290" t="n"/>
    </row>
    <row r="4" ht="62.25" customFormat="1" customHeight="1" s="146">
      <c r="A4" s="818" t="n"/>
      <c r="B4" s="818" t="n"/>
      <c r="C4" s="818" t="n"/>
      <c r="D4" s="818" t="n"/>
      <c r="E4" s="573" t="inlineStr">
        <is>
          <t>S</t>
        </is>
      </c>
      <c r="F4" s="573" t="inlineStr">
        <is>
          <t>F</t>
        </is>
      </c>
      <c r="G4" s="573" t="inlineStr">
        <is>
          <t>S*F</t>
        </is>
      </c>
      <c r="H4" s="725" t="inlineStr">
        <is>
          <t>위험 분류</t>
        </is>
      </c>
      <c r="I4" s="818" t="n"/>
      <c r="J4" s="542" t="inlineStr">
        <is>
          <t>S</t>
        </is>
      </c>
      <c r="K4" s="573" t="inlineStr">
        <is>
          <t>F</t>
        </is>
      </c>
      <c r="L4" s="573" t="inlineStr">
        <is>
          <t>S*F</t>
        </is>
      </c>
      <c r="M4" s="542" t="inlineStr">
        <is>
          <t>분류
 위험</t>
        </is>
      </c>
    </row>
    <row r="5" ht="84" customFormat="1" customHeight="1" s="739">
      <c r="A5" s="711" t="n">
        <v>1</v>
      </c>
      <c r="B5" s="710" t="inlineStr">
        <is>
          <t>트리밍 머신 운영</t>
        </is>
      </c>
      <c r="C5" s="711" t="inlineStr">
        <is>
          <t>전기 화재</t>
        </is>
      </c>
      <c r="D5" s="710" t="inlineStr">
        <is>
          <t>전선 끝이 제대로 접촉되지 않아 위상이 단락됩니다. 화재나 폭발은 위험합니다</t>
        </is>
      </c>
      <c r="E5" s="711" t="n">
        <v>5</v>
      </c>
      <c r="F5" s="711" t="n">
        <v>2</v>
      </c>
      <c r="G5" s="711">
        <f>E5*F5</f>
        <v/>
      </c>
      <c r="H5" s="710" t="inlineStr">
        <is>
          <t>B</t>
        </is>
      </c>
      <c r="I5" s="710" t="inlineStr">
        <is>
          <t>각 상은 브리지로 연결되며 전선은 보호선으로 덮여 있습니다. 정기점검, 기계 비상정지 버튼</t>
        </is>
      </c>
      <c r="J5" s="710" t="n">
        <v>5</v>
      </c>
      <c r="K5" s="711" t="n">
        <v>0</v>
      </c>
      <c r="L5" s="711" t="n">
        <v>0</v>
      </c>
      <c r="M5" s="710" t="inlineStr">
        <is>
          <t>B</t>
        </is>
      </c>
    </row>
    <row r="6" ht="54" customFormat="1" customHeight="1" s="252">
      <c r="A6" s="711" t="n">
        <v>2</v>
      </c>
      <c r="B6" s="820" t="n"/>
      <c r="C6" s="710" t="inlineStr">
        <is>
          <t>다이 암을 고정합니다.</t>
        </is>
      </c>
      <c r="D6" s="710" t="inlineStr">
        <is>
          <t>잘못된 작동, 센서를 안전하지 않은 위치에 두거나 장치 손상</t>
        </is>
      </c>
      <c r="E6" s="711" t="n">
        <v>5</v>
      </c>
      <c r="F6" s="711" t="n">
        <v>2</v>
      </c>
      <c r="G6" s="711">
        <f>E6*F6</f>
        <v/>
      </c>
      <c r="H6" s="711" t="inlineStr">
        <is>
          <t>B</t>
        </is>
      </c>
      <c r="I6" s="710" t="inlineStr">
        <is>
          <t>작동하기 전에 스탬핑 위치와 장비 주변에 쉴드를 만드십시오.</t>
        </is>
      </c>
      <c r="J6" s="711" t="n">
        <v>5</v>
      </c>
      <c r="K6" s="711" t="n">
        <v>0</v>
      </c>
      <c r="L6" s="711" t="n">
        <v>0</v>
      </c>
      <c r="M6" s="711" t="inlineStr">
        <is>
          <t>B</t>
        </is>
      </c>
    </row>
    <row r="7" ht="30.75" customFormat="1" customHeight="1" s="252">
      <c r="A7" s="711" t="n">
        <v>3</v>
      </c>
      <c r="B7" s="820" t="n"/>
      <c r="C7" s="170" t="inlineStr">
        <is>
          <t>눈을 버르</t>
        </is>
      </c>
      <c r="D7" s="710" t="inlineStr">
        <is>
          <t>에어를 뿌리면 버(Burr)가 튀게 됩니다.</t>
        </is>
      </c>
      <c r="E7" s="711" t="n">
        <v>5</v>
      </c>
      <c r="F7" s="711" t="n">
        <v>5</v>
      </c>
      <c r="G7" s="711" t="n">
        <v>25</v>
      </c>
      <c r="H7" s="711" t="inlineStr">
        <is>
          <t>C</t>
        </is>
      </c>
      <c r="I7" s="663" t="inlineStr">
        <is>
          <t>장비 작동 시 노동 보호 장치와 필요한 할당량, 마스크, 안경 등을 완벽하게 갖추고 있습니다.</t>
        </is>
      </c>
      <c r="J7" s="711" t="n">
        <v>5</v>
      </c>
      <c r="K7" s="711" t="n">
        <v>0</v>
      </c>
      <c r="L7" s="711" t="n">
        <v>0</v>
      </c>
      <c r="M7" s="711" t="inlineStr">
        <is>
          <t>C</t>
        </is>
      </c>
    </row>
    <row r="8" ht="33.75" customFormat="1" customHeight="1" s="252">
      <c r="A8" s="711" t="n">
        <v>4</v>
      </c>
      <c r="B8" s="820" t="n"/>
      <c r="C8" s="170" t="inlineStr">
        <is>
          <t>가스, 금속분진, 기름 흡입</t>
        </is>
      </c>
      <c r="D8" s="710" t="inlineStr">
        <is>
          <t>오일이 풍부한 공기가 금형을 미스트 형태로 분리하여 버와 금속 분진을 생성합니다.</t>
        </is>
      </c>
      <c r="E8" s="711" t="n">
        <v>2</v>
      </c>
      <c r="F8" s="711" t="n">
        <v>5</v>
      </c>
      <c r="G8" s="711">
        <f>E8*F8</f>
        <v/>
      </c>
      <c r="H8" s="711" t="inlineStr">
        <is>
          <t>B</t>
        </is>
      </c>
      <c r="I8" s="820" t="n"/>
      <c r="J8" s="711" t="n">
        <v>2</v>
      </c>
      <c r="K8" s="711" t="n">
        <v>0</v>
      </c>
      <c r="L8" s="711" t="n">
        <v>0</v>
      </c>
      <c r="M8" s="711" t="inlineStr">
        <is>
          <t>B</t>
        </is>
      </c>
    </row>
    <row r="9" ht="63.6" customFormat="1" customHeight="1" s="252">
      <c r="A9" s="711" t="n">
        <v>5</v>
      </c>
      <c r="B9" s="818" t="n"/>
      <c r="C9" s="170" t="inlineStr">
        <is>
          <t>이명</t>
        </is>
      </c>
      <c r="D9" s="710" t="inlineStr">
        <is>
          <t>기계 및 송풍으로 인한 소음</t>
        </is>
      </c>
      <c r="E9" s="711" t="n">
        <v>3</v>
      </c>
      <c r="F9" s="711" t="n">
        <v>5</v>
      </c>
      <c r="G9" s="711">
        <f>E9*F9</f>
        <v/>
      </c>
      <c r="H9" s="711" t="inlineStr">
        <is>
          <t>C</t>
        </is>
      </c>
      <c r="I9" s="710" t="inlineStr">
        <is>
          <t>소음 제거 귀마개를 착용하고 유지 관리 계획에 따라 기계를 정기적으로 유지 관리하고 교정하십시오.</t>
        </is>
      </c>
      <c r="J9" s="711" t="n">
        <v>3</v>
      </c>
      <c r="K9" s="711" t="n">
        <v>0</v>
      </c>
      <c r="L9" s="711" t="n">
        <v>0</v>
      </c>
      <c r="M9" s="711" t="inlineStr">
        <is>
          <t>C</t>
        </is>
      </c>
    </row>
    <row r="10" ht="27" customFormat="1" customHeight="1" s="252">
      <c r="A10" s="711" t="n">
        <v>6</v>
      </c>
      <c r="B10" s="170" t="inlineStr">
        <is>
          <t>Mài tay</t>
        </is>
      </c>
      <c r="C10" s="170" t="inlineStr">
        <is>
          <t xml:space="preserve">Bụi </t>
        </is>
      </c>
      <c r="D10" s="170" t="inlineStr">
        <is>
          <t>금속 먼지가 눈에 튀었습니다.</t>
        </is>
      </c>
      <c r="E10" s="711" t="n">
        <v>2</v>
      </c>
      <c r="F10" s="711" t="n">
        <v>5</v>
      </c>
      <c r="G10" s="711">
        <f>E10*F10</f>
        <v/>
      </c>
      <c r="H10" s="711" t="inlineStr">
        <is>
          <t>B</t>
        </is>
      </c>
      <c r="I10" s="170" t="inlineStr">
        <is>
          <t>작업할 때 안경을 사용하세요</t>
        </is>
      </c>
      <c r="J10" s="170" t="n">
        <v>2</v>
      </c>
      <c r="K10" s="170" t="n">
        <v>0</v>
      </c>
      <c r="L10" s="170" t="n">
        <v>0</v>
      </c>
      <c r="M10" s="711" t="inlineStr">
        <is>
          <t>B</t>
        </is>
      </c>
    </row>
    <row r="11" ht="61.5" customFormat="1" customHeight="1" s="252">
      <c r="A11" s="711" t="n">
        <v>7</v>
      </c>
      <c r="B11" s="818" t="n"/>
      <c r="C11" s="711" t="inlineStr">
        <is>
          <t>그라인더로 인해 손에 긁힘이 발생함</t>
        </is>
      </c>
      <c r="D11" s="710" t="inlineStr">
        <is>
          <t>연삭 과정에서 도구를 사용하지 않는 경우
 보호하면 손에 흠집이 생길 수 있습니다.</t>
        </is>
      </c>
      <c r="E11" s="711" t="n">
        <v>2</v>
      </c>
      <c r="F11" s="711" t="n">
        <v>5</v>
      </c>
      <c r="G11" s="711">
        <f>E11*F11</f>
        <v/>
      </c>
      <c r="H11" s="711" t="inlineStr">
        <is>
          <t>B</t>
        </is>
      </c>
      <c r="I11" s="711" t="inlineStr">
        <is>
          <t>회색 장갑을 사용하세요</t>
        </is>
      </c>
      <c r="J11" s="711" t="n">
        <v>2</v>
      </c>
      <c r="K11" s="711" t="n">
        <v>0</v>
      </c>
      <c r="L11" s="711" t="n">
        <v>0</v>
      </c>
      <c r="M11" s="711" t="inlineStr">
        <is>
          <t>B</t>
        </is>
      </c>
    </row>
    <row r="12" ht="15" customFormat="1" customHeight="1" s="200">
      <c r="A12" s="825" t="inlineStr">
        <is>
          <t>아르헨티나는 다음 공식을 사용하여 측정됩니다: R = F x S, 여기서:</t>
        </is>
      </c>
      <c r="B12" s="155" t="n"/>
      <c r="C12" s="155" t="n"/>
      <c r="D12" s="155" t="n"/>
      <c r="E12" s="155" t="n"/>
      <c r="F12" s="155" t="n"/>
      <c r="G12" s="155" t="n"/>
      <c r="H12" s="155" t="n"/>
      <c r="I12" s="155" t="n"/>
      <c r="J12" s="155" t="n"/>
      <c r="K12" s="155" t="n"/>
      <c r="L12" s="155" t="n"/>
      <c r="M12" s="156" t="n"/>
    </row>
    <row r="13" ht="15" customFormat="1" customHeight="1" s="200">
      <c r="A13" s="826" t="inlineStr">
        <is>
          <t>R': 리스크.</t>
        </is>
      </c>
      <c r="M13" s="158" t="n"/>
    </row>
    <row r="14" ht="15" customFormat="1" customHeight="1" s="200">
      <c r="A14" s="827" t="inlineStr">
        <is>
          <t>여: 가능성.</t>
        </is>
      </c>
      <c r="M14" s="158" t="n"/>
    </row>
    <row r="15" ht="15" customFormat="1" customHeight="1" s="200">
      <c r="A15" s="828" t="inlineStr">
        <is>
          <t>S: 그런 일이 발생하면 어떤 결과가 따르나요?</t>
        </is>
      </c>
      <c r="B15" s="159" t="n"/>
      <c r="C15" s="159" t="n"/>
      <c r="D15" s="159" t="n"/>
      <c r="E15" s="159" t="n"/>
      <c r="F15" s="159" t="n"/>
      <c r="G15" s="159" t="n"/>
      <c r="H15" s="159" t="n"/>
      <c r="I15" s="159" t="n"/>
      <c r="J15" s="159" t="n"/>
      <c r="K15" s="159" t="n"/>
      <c r="L15" s="159" t="n"/>
      <c r="M15" s="290" t="n"/>
    </row>
    <row r="16" ht="15.75" customFormat="1" customHeight="1" s="208">
      <c r="A16" s="265" t="n"/>
      <c r="B16" s="268" t="inlineStr">
        <is>
          <t>No</t>
        </is>
      </c>
      <c r="C16" s="253" t="inlineStr">
        <is>
          <t>문서번호</t>
        </is>
      </c>
      <c r="D16" s="253" t="inlineStr">
        <is>
          <t>발행일</t>
        </is>
      </c>
      <c r="E16" s="492" t="inlineStr">
        <is>
          <t>개정</t>
        </is>
      </c>
      <c r="F16" s="814" t="n"/>
      <c r="G16" s="592" t="inlineStr">
        <is>
          <t xml:space="preserve">내용 </t>
        </is>
      </c>
      <c r="H16" s="814" t="n"/>
      <c r="I16" s="814" t="n"/>
      <c r="J16" s="814" t="n"/>
      <c r="K16" s="815" t="n"/>
      <c r="L16" s="501" t="inlineStr">
        <is>
          <t>작성자</t>
        </is>
      </c>
      <c r="M16" s="815" t="n"/>
    </row>
    <row r="17" ht="15.75" customFormat="1" customHeight="1" s="208">
      <c r="A17" s="265" t="n"/>
      <c r="B17" s="268" t="n">
        <v>0</v>
      </c>
      <c r="C17" s="253" t="inlineStr">
        <is>
          <t>TRI.04.01.03</t>
        </is>
      </c>
      <c r="D17" s="253" t="inlineStr">
        <is>
          <t>03.01.2020</t>
        </is>
      </c>
      <c r="E17" s="496" t="inlineStr">
        <is>
          <t>0</t>
        </is>
      </c>
      <c r="F17" s="814" t="n"/>
      <c r="G17" s="592" t="inlineStr">
        <is>
          <t>신규 작성</t>
        </is>
      </c>
      <c r="H17" s="814" t="n"/>
      <c r="I17" s="814" t="n"/>
      <c r="J17" s="814" t="n"/>
      <c r="K17" s="815" t="n"/>
      <c r="L17" s="501" t="inlineStr">
        <is>
          <t>만 씨</t>
        </is>
      </c>
      <c r="M17" s="815" t="n"/>
    </row>
    <row r="18" ht="15.75" customFormat="1" customHeight="1" s="208">
      <c r="A18" s="256" t="n"/>
      <c r="B18" s="212" t="n"/>
      <c r="C18" s="253" t="n"/>
      <c r="D18" s="253" t="n"/>
      <c r="E18" s="499" t="n"/>
      <c r="F18" s="814" t="n"/>
      <c r="G18" s="592" t="n"/>
      <c r="H18" s="814" t="n"/>
      <c r="I18" s="814" t="n"/>
      <c r="J18" s="814" t="n"/>
      <c r="K18" s="815" t="n"/>
      <c r="L18" s="501" t="n"/>
      <c r="M18" s="815" t="n"/>
    </row>
    <row r="19" customFormat="1" s="252">
      <c r="A19" s="709" t="n"/>
      <c r="B19" s="105" t="n"/>
      <c r="C19" s="111" t="n"/>
      <c r="D19" s="739" t="n"/>
      <c r="E19" s="709" t="n"/>
      <c r="F19" s="709" t="n"/>
      <c r="G19" s="709" t="n"/>
      <c r="H19" s="709" t="n"/>
      <c r="I19" s="105" t="n"/>
      <c r="J19" s="709" t="n"/>
      <c r="K19" s="709" t="n"/>
      <c r="L19" s="709" t="n"/>
      <c r="M19" s="709" t="n"/>
    </row>
    <row r="20" customFormat="1" s="252">
      <c r="A20" s="709" t="n"/>
      <c r="B20" s="105" t="n"/>
      <c r="C20" s="111" t="n"/>
      <c r="D20" s="739" t="n"/>
      <c r="E20" s="709" t="n"/>
      <c r="F20" s="709" t="n"/>
      <c r="G20" s="709" t="n"/>
      <c r="H20" s="709" t="n"/>
      <c r="I20" s="105" t="n"/>
      <c r="J20" s="709" t="n"/>
      <c r="K20" s="709" t="n"/>
      <c r="L20" s="709" t="n"/>
      <c r="M20" s="709" t="n"/>
    </row>
    <row r="21" customFormat="1" s="252">
      <c r="A21" s="709" t="n"/>
      <c r="B21" s="105" t="n"/>
      <c r="C21" s="111" t="n"/>
      <c r="D21" s="739" t="n"/>
      <c r="E21" s="709" t="n"/>
      <c r="F21" s="709" t="n"/>
      <c r="G21" s="709" t="n"/>
      <c r="H21" s="709" t="n"/>
      <c r="I21" s="105" t="n"/>
      <c r="J21" s="709" t="n"/>
      <c r="K21" s="709" t="n"/>
      <c r="L21" s="709" t="n"/>
      <c r="M21" s="709" t="n"/>
    </row>
    <row r="22" customFormat="1" s="252">
      <c r="A22" s="709" t="n"/>
      <c r="B22" s="105" t="n"/>
      <c r="C22" s="111" t="n"/>
      <c r="D22" s="739" t="n"/>
      <c r="E22" s="709" t="n"/>
      <c r="F22" s="709" t="n"/>
      <c r="G22" s="709" t="n"/>
      <c r="H22" s="709" t="n"/>
      <c r="I22" s="105" t="n"/>
      <c r="J22" s="709" t="n"/>
      <c r="K22" s="709" t="n"/>
      <c r="L22" s="709" t="n"/>
      <c r="M22" s="709" t="n"/>
    </row>
    <row r="23" customFormat="1" s="252">
      <c r="A23" s="709" t="n"/>
      <c r="B23" s="105" t="n"/>
      <c r="C23" s="111" t="n"/>
      <c r="D23" s="739" t="n"/>
      <c r="E23" s="709" t="n"/>
      <c r="F23" s="709" t="n"/>
      <c r="G23" s="709" t="n"/>
      <c r="H23" s="709" t="n"/>
      <c r="I23" s="105" t="n"/>
      <c r="J23" s="709" t="n"/>
      <c r="K23" s="709" t="n"/>
      <c r="L23" s="709" t="n"/>
      <c r="M23" s="709" t="n"/>
    </row>
    <row r="24" customFormat="1" s="252">
      <c r="A24" s="709" t="n"/>
    </row>
    <row r="25" customFormat="1" s="252">
      <c r="A25" s="709" t="n"/>
      <c r="B25" s="105" t="n"/>
      <c r="C25" s="111" t="n"/>
      <c r="D25" s="739" t="n"/>
      <c r="E25" s="709" t="n"/>
      <c r="F25" s="709" t="n"/>
      <c r="G25" s="709" t="n"/>
      <c r="H25" s="709" t="n"/>
      <c r="I25" s="105" t="n"/>
      <c r="J25" s="709" t="n"/>
      <c r="K25" s="709" t="n"/>
      <c r="L25" s="709" t="n"/>
      <c r="M25" s="709" t="n"/>
    </row>
    <row r="26" customFormat="1" s="252">
      <c r="A26" s="709" t="n"/>
      <c r="B26" s="105" t="n"/>
      <c r="C26" s="739" t="n"/>
      <c r="D26" s="739" t="n"/>
      <c r="E26" s="709" t="n"/>
      <c r="F26" s="709" t="n"/>
      <c r="G26" s="709" t="n"/>
      <c r="H26" s="709" t="n"/>
      <c r="I26" s="105" t="n"/>
      <c r="J26" s="709" t="n"/>
      <c r="K26" s="709" t="n"/>
      <c r="L26" s="709" t="n"/>
      <c r="M26" s="709" t="n"/>
    </row>
    <row r="27" customFormat="1" s="252">
      <c r="A27" s="709" t="n"/>
      <c r="B27" s="105" t="n"/>
      <c r="C27" s="739" t="n"/>
      <c r="D27" s="739" t="n"/>
      <c r="E27" s="709" t="n"/>
      <c r="F27" s="709" t="n"/>
      <c r="G27" s="709" t="n"/>
      <c r="H27" s="709" t="n"/>
      <c r="I27" s="105" t="n"/>
      <c r="J27" s="709" t="n"/>
      <c r="K27" s="709" t="n"/>
      <c r="L27" s="709" t="n"/>
      <c r="M27" s="709" t="n"/>
    </row>
    <row r="28" customFormat="1" s="252">
      <c r="A28" s="709" t="n"/>
      <c r="B28" s="105" t="n"/>
      <c r="C28" s="739" t="n"/>
      <c r="D28" s="739" t="n"/>
      <c r="E28" s="709" t="n"/>
      <c r="F28" s="709" t="n"/>
      <c r="G28" s="709" t="n"/>
      <c r="H28" s="709" t="n"/>
      <c r="I28" s="105" t="n"/>
      <c r="J28" s="709" t="n"/>
      <c r="K28" s="709" t="n"/>
      <c r="L28" s="709" t="n"/>
      <c r="M28" s="709" t="n"/>
    </row>
    <row r="29">
      <c r="G29" s="709" t="n"/>
    </row>
    <row r="30">
      <c r="C30" s="111" t="n"/>
      <c r="G30" s="709" t="n"/>
    </row>
    <row r="31">
      <c r="C31" s="111" t="n"/>
      <c r="G31" s="709" t="n"/>
    </row>
    <row r="32">
      <c r="C32" s="111" t="n"/>
      <c r="G32" s="709" t="n"/>
    </row>
    <row r="33">
      <c r="C33" s="111" t="n"/>
      <c r="G33" s="709" t="n"/>
    </row>
    <row r="34">
      <c r="C34" s="111" t="n"/>
      <c r="G34" s="709" t="n"/>
    </row>
    <row r="35">
      <c r="G35" s="709" t="n"/>
    </row>
    <row r="36" customFormat="1" s="252">
      <c r="A36" s="709" t="n"/>
    </row>
    <row r="37">
      <c r="C37" s="111" t="n"/>
      <c r="G37" s="709" t="n"/>
    </row>
    <row r="38">
      <c r="G38" s="709" t="n"/>
    </row>
    <row r="39">
      <c r="G39" s="709" t="n"/>
    </row>
    <row r="40">
      <c r="G40" s="709" t="n"/>
    </row>
    <row r="41">
      <c r="G41" s="709" t="n"/>
    </row>
  </sheetData>
  <mergeCells count="28">
    <mergeCell ref="L17:M17"/>
    <mergeCell ref="A14:M14"/>
    <mergeCell ref="E1:M1"/>
    <mergeCell ref="L16:M16"/>
    <mergeCell ref="B3:B4"/>
    <mergeCell ref="J3:M3"/>
    <mergeCell ref="I7:I8"/>
    <mergeCell ref="E17:F17"/>
    <mergeCell ref="B5:B9"/>
    <mergeCell ref="G17:K17"/>
    <mergeCell ref="A13:M13"/>
    <mergeCell ref="E2:M2"/>
    <mergeCell ref="E3:H3"/>
    <mergeCell ref="A3:A4"/>
    <mergeCell ref="I3:I4"/>
    <mergeCell ref="L18:M18"/>
    <mergeCell ref="D3:D4"/>
    <mergeCell ref="A15:M15"/>
    <mergeCell ref="B10:B11"/>
    <mergeCell ref="A24:M24"/>
    <mergeCell ref="G18:K18"/>
    <mergeCell ref="A36:M36"/>
    <mergeCell ref="E16:F16"/>
    <mergeCell ref="C3:C4"/>
    <mergeCell ref="G16:K16"/>
    <mergeCell ref="A12:M12"/>
    <mergeCell ref="A2:D2"/>
    <mergeCell ref="E18:F18"/>
  </mergeCells>
  <pageMargins left="0.44" right="0.16" top="0.74" bottom="0.16" header="0.36" footer="0.23"/>
  <pageSetup orientation="landscape" scale="68" fitToHeight="0" useFirstPageNumber="1" horizontalDpi="300" verticalDpi="300"/>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I8"/>
  <sheetViews>
    <sheetView zoomScale="80" zoomScaleNormal="80" workbookViewId="0">
      <selection activeCell="D4" sqref="D4"/>
    </sheetView>
  </sheetViews>
  <sheetFormatPr baseColWidth="8" defaultRowHeight="12.75"/>
  <cols>
    <col width="1.7109375" customWidth="1" style="1" min="1" max="1"/>
    <col width="10.5703125" customWidth="1" style="11" min="2" max="2"/>
    <col width="11.5703125" customWidth="1" style="11" min="3" max="3"/>
    <col width="46.5703125" customWidth="1" style="4" min="4" max="4"/>
    <col width="2.42578125" customWidth="1" style="1" min="5" max="5"/>
    <col width="9.140625" customWidth="1" style="11" min="6" max="6"/>
    <col width="11.140625" customWidth="1" style="11" min="7" max="7"/>
    <col width="39.28515625" customWidth="1" style="1" min="8" max="8"/>
    <col width="20.28515625" customWidth="1" style="11" min="9" max="9"/>
    <col width="9.140625" customWidth="1" style="1" min="10" max="16384"/>
  </cols>
  <sheetData>
    <row r="1"/>
    <row r="2" ht="18.75" customHeight="1" s="157">
      <c r="B2" s="702" t="inlineStr">
        <is>
          <t>SEVERITY (S) 严중수평/严중도</t>
        </is>
      </c>
      <c r="C2" s="159" t="n"/>
      <c r="D2" s="159" t="n"/>
      <c r="F2" s="703" t="inlineStr">
        <is>
          <t>정규성 수준 (F) 频率島</t>
        </is>
      </c>
    </row>
    <row r="3" ht="67.5" customHeight="1" s="157">
      <c r="B3" s="2" t="inlineStr">
        <is>
          <t>포인트 분할</t>
        </is>
      </c>
      <c r="C3" s="2" t="inlineStr">
        <is>
          <t>심각성</t>
        </is>
      </c>
      <c r="D3" s="5" t="inlineStr">
        <is>
          <t>평가 표준 评估标准</t>
        </is>
      </c>
      <c r="F3" s="2" t="inlineStr">
        <is>
          <t>포인트 분할</t>
        </is>
      </c>
      <c r="G3" s="2" t="inlineStr">
        <is>
          <t>TẦN SUẤT 频率</t>
        </is>
      </c>
      <c r="H3" s="2" t="inlineStr">
        <is>
          <t>평가 표준 评估标准</t>
        </is>
      </c>
      <c r="I3" s="2" t="inlineStr">
        <is>
          <t>확률 概率</t>
        </is>
      </c>
    </row>
    <row r="4" ht="114" customHeight="1" s="157">
      <c r="B4" s="7" t="n">
        <v>5</v>
      </c>
      <c r="C4" s="7" t="inlineStr">
        <is>
          <t>위험(매우 높음)
危险</t>
        </is>
      </c>
      <c r="D4" s="6" t="inlineStr">
        <is>
          <t>- 회사에 $10,000 이상의 손실을 초래한 경우 
공사损失超过10,000원
  - 고객의 생산 시간을 방해합니다.
打断客户的生产时间
- 고객을 잃는다
失去客户</t>
        </is>
      </c>
      <c r="F4" s="7" t="n">
        <v>5</v>
      </c>
      <c r="G4" s="7" t="inlineStr">
        <is>
          <t>매우 자주
더 많은</t>
        </is>
      </c>
      <c r="H4" s="8" t="inlineStr">
        <is>
          <t>총 롤(빈) 수(작업 수행 횟수)의 5% 이상 반복적으로 발생 
超过总产품(工作次数)의 5%</t>
        </is>
      </c>
      <c r="I4" s="7" t="inlineStr">
        <is>
          <t>하루에 한 번 발생 
1일/1천</t>
        </is>
      </c>
    </row>
    <row r="5" ht="99" customHeight="1" s="157">
      <c r="B5" s="7" t="n">
        <v>4</v>
      </c>
      <c r="C5" s="7" t="inlineStr">
        <is>
          <t>Cao</t>
        </is>
      </c>
      <c r="D5" s="9" t="inlineStr">
        <is>
          <t>'-회사에 $5,000 - $10,000 이상의 손실을 입혔습니다.
 회사의 损失超过5,000원, 10,000원
 - 1일간 생산 중단 
打断生产1천
- 주문 금액의 100%를 반품해 달라는 고객 요청
客户要求退货100%</t>
        </is>
      </c>
      <c r="F5" s="7" t="n">
        <v>4</v>
      </c>
      <c r="G5" s="7" t="inlineStr">
        <is>
          <t>자주
经常</t>
        </is>
      </c>
      <c r="H5" s="8" t="inlineStr">
        <is>
          <t>전체 롤(빈)의 3%에서 반복적으로 발생(작업이 수행된 횟수)
超过总产품(工작품次数)의 3%</t>
        </is>
      </c>
      <c r="I5" s="7" t="inlineStr">
        <is>
          <t>일주일에 한 번 발생
1次/1周</t>
        </is>
      </c>
    </row>
    <row r="6" ht="101.25" customHeight="1" s="157">
      <c r="B6" s="7" t="n">
        <v>3</v>
      </c>
      <c r="C6" s="7" t="inlineStr">
        <is>
          <t>보통
平常</t>
        </is>
      </c>
      <c r="D6" s="10" t="inlineStr">
        <is>
          <t>- 회사에 $2,500 -5,000 이상의 손실을 초래함   
公主损失超过2500-5000미국원
 - 2시간~1일 동안 제작 중단
打断生产时间2시간 - 1천 
- 불량품 교환 요청  
客户要求交换货</t>
        </is>
      </c>
      <c r="F6" s="7" t="n">
        <v>3</v>
      </c>
      <c r="G6" s="7" t="inlineStr">
        <is>
          <t>보통 平常</t>
        </is>
      </c>
      <c r="H6" s="8" t="inlineStr">
        <is>
          <t>전체 롤(빈)의 1% 이상 반복적으로 발생(작업이 수행된 횟수)
超过总产품(工作次数)의 1%</t>
        </is>
      </c>
      <c r="I6" s="7" t="inlineStr">
        <is>
          <t>한 달에 한 번 발생
1次/1月</t>
        </is>
      </c>
    </row>
    <row r="7" ht="117" customHeight="1" s="157">
      <c r="B7" s="7" t="n">
        <v>2</v>
      </c>
      <c r="C7" s="7" t="inlineStr">
        <is>
          <t>낮음
低</t>
        </is>
      </c>
      <c r="D7" s="6" t="inlineStr">
        <is>
          <t>- 회사에 $500-2500 이상의 손실을 초래함
 회사의 损失超过500미원至2,500미원
 - 하루 1시간~2시간 이상 생산 중단
打断生产时间 1시간-2시간 / 1천  
- 고객이 품질에 대한 피드백을 요청하며 반품을 요구하지 않습니다.
客户质weight反馈，不需要退货</t>
        </is>
      </c>
      <c r="F7" s="7" t="n">
        <v>2</v>
      </c>
      <c r="G7" s="7" t="inlineStr">
        <is>
          <t>조금
少</t>
        </is>
      </c>
      <c r="H7" s="8" t="inlineStr">
        <is>
          <t>전체 롤(빈)의 0.1%에서 반복적으로 발생(작업이 수행된 횟수)
超过总产품(工作次数)의 0.1%</t>
        </is>
      </c>
      <c r="I7" s="7" t="inlineStr">
        <is>
          <t>분기에 한 번 발생
1월/3월</t>
        </is>
      </c>
    </row>
    <row r="8" ht="114" customHeight="1" s="157">
      <c r="B8" s="7" t="n">
        <v>1</v>
      </c>
      <c r="C8" s="7" t="inlineStr">
        <is>
          <t>매우 낮음</t>
        </is>
      </c>
      <c r="D8" s="6" t="inlineStr">
        <is>
          <t>회사에 $500의 손실을 초래함
회사의 损失500 美 元以下
생산시간 중단은 하루 1시간 이내 
打断生产时间小于1시간/일천
귀하가 댓글을 달았지만 문서를 승인하지 않았습니다. 
客户没有正式的反馈</t>
        </is>
      </c>
      <c r="F8" s="7" t="n">
        <v>1</v>
      </c>
      <c r="G8" s="7" t="inlineStr">
        <is>
          <t>아주 조금
很少</t>
        </is>
      </c>
      <c r="H8" s="8" t="inlineStr">
        <is>
          <t>전체 롤(빈)의 0.05% 미만에서 반복적으로 발생합니다(작업이 수행된 횟수).
超过总产품(工작품次数)의 0.05%</t>
        </is>
      </c>
      <c r="I8" s="7" t="inlineStr">
        <is>
          <t>1년에 한 번 일어난다
1년/1년</t>
        </is>
      </c>
    </row>
  </sheetData>
  <mergeCells count="2">
    <mergeCell ref="B2:D2"/>
    <mergeCell ref="F2:I2"/>
  </mergeCells>
  <pageMargins left="0.16" right="0.16" top="0.16" bottom="0.25" header="0.16" footer="0.16"/>
  <pageSetup orientation="landscape" scale="90"/>
</worksheet>
</file>

<file path=xl/worksheets/sheet12.xml><?xml version="1.0" encoding="utf-8"?>
<worksheet xmlns="http://schemas.openxmlformats.org/spreadsheetml/2006/main">
  <sheetPr>
    <tabColor rgb="FF92D050"/>
    <outlinePr summaryBelow="1" summaryRight="1"/>
    <pageSetUpPr/>
  </sheetPr>
  <dimension ref="A1:M62"/>
  <sheetViews>
    <sheetView view="pageBreakPreview" topLeftCell="C1" zoomScale="82" zoomScaleNormal="89" zoomScaleSheetLayoutView="82" workbookViewId="0">
      <selection activeCell="L6" sqref="L6"/>
    </sheetView>
  </sheetViews>
  <sheetFormatPr baseColWidth="8" defaultColWidth="11.5703125" defaultRowHeight="18.75"/>
  <cols>
    <col width="4.85546875" customWidth="1" style="252" min="1" max="1"/>
    <col width="15.28515625" customWidth="1" style="35" min="2" max="2"/>
    <col width="43" customWidth="1" style="36" min="3" max="3"/>
    <col width="61.42578125" customWidth="1" style="37" min="4" max="4"/>
    <col width="7.28515625" customWidth="1" style="252" min="5" max="6"/>
    <col width="6.85546875" customWidth="1" style="252" min="7" max="7"/>
    <col width="11.7109375" customWidth="1" style="252" min="8" max="8"/>
    <col width="45.85546875" customWidth="1" style="709" min="9" max="9"/>
    <col width="6.42578125" customWidth="1" style="709" min="10" max="10"/>
    <col width="5.7109375" customWidth="1" style="709" min="11" max="11"/>
    <col width="6.28515625" customWidth="1" style="709" min="12" max="12"/>
    <col width="16.85546875" customWidth="1" style="252" min="13" max="13"/>
    <col width="11.5703125" customWidth="1" style="252" min="14" max="16384"/>
  </cols>
  <sheetData>
    <row r="1" ht="46.5" customHeight="1" s="157">
      <c r="A1" s="709" t="n"/>
      <c r="B1" s="35" t="n"/>
      <c r="C1" s="706" t="inlineStr">
        <is>
          <t>생산 위험 분석(팀 연마,핫피스,크로메이트)</t>
        </is>
      </c>
      <c r="I1" s="166" t="n"/>
      <c r="J1" s="739" t="n"/>
      <c r="M1" s="739" t="n"/>
    </row>
    <row r="2" ht="63" customHeight="1" s="157">
      <c r="A2" s="167" t="n"/>
      <c r="B2" s="167" t="n"/>
      <c r="C2" s="256" t="n"/>
      <c r="D2" s="159" t="n"/>
      <c r="E2" s="159" t="n"/>
      <c r="F2" s="159" t="n"/>
      <c r="G2" s="159" t="n"/>
      <c r="H2" s="159" t="n"/>
      <c r="I2" s="166" t="n"/>
      <c r="J2" s="709" t="n"/>
      <c r="M2" s="709" t="n"/>
    </row>
    <row r="3" ht="63.75" customFormat="1" customHeight="1" s="739">
      <c r="A3" s="711" t="inlineStr">
        <is>
          <t>번호</t>
        </is>
      </c>
      <c r="B3" s="710" t="inlineStr">
        <is>
          <t>프로세스/진행상황</t>
        </is>
      </c>
      <c r="C3" s="710" t="inlineStr">
        <is>
          <t>잠재력</t>
        </is>
      </c>
      <c r="D3" s="711" t="inlineStr">
        <is>
          <t>원인/설명</t>
        </is>
      </c>
      <c r="E3" s="711" t="inlineStr">
        <is>
          <t>리스크 평가</t>
        </is>
      </c>
      <c r="F3" s="814" t="n"/>
      <c r="G3" s="814" t="n"/>
      <c r="H3" s="815" t="n"/>
      <c r="I3" s="710" t="inlineStr">
        <is>
          <t>예방/시정 조치</t>
        </is>
      </c>
      <c r="J3" s="710" t="inlineStr">
        <is>
          <t>외부 평가
예방 조치를 취한 후</t>
        </is>
      </c>
      <c r="K3" s="814" t="n"/>
      <c r="L3" s="814" t="n"/>
      <c r="M3" s="815" t="n"/>
    </row>
    <row r="4" ht="45.75" customFormat="1" customHeight="1" s="739">
      <c r="A4" s="818" t="n"/>
      <c r="B4" s="818" t="n"/>
      <c r="C4" s="818" t="n"/>
      <c r="D4" s="818" t="n"/>
      <c r="E4" s="711" t="inlineStr">
        <is>
          <t>S</t>
        </is>
      </c>
      <c r="F4" s="711" t="inlineStr">
        <is>
          <t>F</t>
        </is>
      </c>
      <c r="G4" s="711" t="inlineStr">
        <is>
          <t>S*F</t>
        </is>
      </c>
      <c r="H4" s="168" t="inlineStr">
        <is>
          <t>위험 분류</t>
        </is>
      </c>
      <c r="I4" s="818" t="n"/>
      <c r="J4" s="710" t="inlineStr">
        <is>
          <t>S</t>
        </is>
      </c>
      <c r="K4" s="711" t="inlineStr">
        <is>
          <t>F</t>
        </is>
      </c>
      <c r="L4" s="711" t="inlineStr">
        <is>
          <t>S*F</t>
        </is>
      </c>
      <c r="M4" s="710" t="inlineStr">
        <is>
          <t>분류
 위험</t>
        </is>
      </c>
    </row>
    <row r="5" ht="93" customFormat="1" customHeight="1" s="739">
      <c r="A5" s="711" t="n">
        <v>1</v>
      </c>
      <c r="B5" s="710" t="inlineStr">
        <is>
          <t>생산 장비 및 부품 준비</t>
        </is>
      </c>
      <c r="C5" s="73" t="inlineStr">
        <is>
          <t>생산을 위한 원자재 부족</t>
        </is>
      </c>
      <c r="D5" s="71" t="inlineStr">
        <is>
          <t>생산 과정에서 재고나 안전 재고에 주의를 기울이지 않습니다.</t>
        </is>
      </c>
      <c r="E5" s="711" t="n">
        <v>2</v>
      </c>
      <c r="F5" s="711" t="n">
        <v>1</v>
      </c>
      <c r="G5" s="711">
        <f>E5*F5</f>
        <v/>
      </c>
      <c r="H5" s="710" t="inlineStr">
        <is>
          <t>A</t>
        </is>
      </c>
      <c r="I5" s="699" t="inlineStr">
        <is>
          <t>생산을 위한 원자재의 일일 재고부터 계획 주문까지</t>
        </is>
      </c>
      <c r="J5" s="699" t="n">
        <v>2</v>
      </c>
      <c r="K5" s="714" t="n">
        <v>0</v>
      </c>
      <c r="L5" s="714" t="n">
        <v>0</v>
      </c>
      <c r="M5" s="710" t="inlineStr">
        <is>
          <t>A</t>
        </is>
      </c>
    </row>
    <row r="6" ht="83.25" customFormat="1" customHeight="1" s="739">
      <c r="A6" s="818" t="n"/>
      <c r="B6" s="818" t="n"/>
      <c r="C6" s="73" t="n">
        <v>2</v>
      </c>
      <c r="D6" s="72" t="inlineStr">
        <is>
          <t>기계를 정기적으로 유지 관리하지 않음</t>
        </is>
      </c>
      <c r="E6" s="711" t="n">
        <v>4</v>
      </c>
      <c r="F6" s="711" t="n">
        <v>2</v>
      </c>
      <c r="G6" s="711">
        <f>E6*F6</f>
        <v/>
      </c>
      <c r="H6" s="710" t="inlineStr">
        <is>
          <t>B</t>
        </is>
      </c>
      <c r="I6" s="710" t="inlineStr">
        <is>
          <t>적시에 기계 유지 보수 및 검사를 계획하고 유지 관리합니다. 검사 일일 기계류에는 모든 수준의 전체 검사를 확인하는 기록이 있습니다.</t>
        </is>
      </c>
      <c r="J6" s="710" t="n">
        <v>4</v>
      </c>
      <c r="K6" s="711" t="n">
        <v>0</v>
      </c>
      <c r="L6" s="711" t="n">
        <v>0</v>
      </c>
      <c r="M6" s="710" t="inlineStr">
        <is>
          <t>B</t>
        </is>
      </c>
    </row>
    <row r="7" ht="116.25" customFormat="1" customHeight="1" s="739">
      <c r="A7" s="711" t="n">
        <v>2</v>
      </c>
      <c r="B7" s="73" t="inlineStr">
        <is>
          <t>생산으로 진행</t>
        </is>
      </c>
      <c r="C7" s="73" t="inlineStr">
        <is>
          <t>진행 중 NG 오류가 발생합니다.</t>
        </is>
      </c>
      <c r="D7" s="72" t="inlineStr">
        <is>
          <t>제작과정에서 단계적으로 NG에러가 발생할 수 있습니다.</t>
        </is>
      </c>
      <c r="E7" s="711" t="n">
        <v>4</v>
      </c>
      <c r="F7" s="711" t="n">
        <v>2</v>
      </c>
      <c r="G7" s="711">
        <f>E7*F7</f>
        <v/>
      </c>
      <c r="H7" s="710" t="inlineStr">
        <is>
          <t>B</t>
        </is>
      </c>
      <c r="I7" s="710" t="inlineStr">
        <is>
          <t>기준에 맞지 않는 NG, 분리, 필터 제품의 원인을 명확하게 조사합니다. 분석부서와 결합하여 개선방안 모색</t>
        </is>
      </c>
      <c r="J7" s="710" t="n">
        <v>4</v>
      </c>
      <c r="K7" s="711" t="n">
        <v>0</v>
      </c>
      <c r="L7" s="711" t="n">
        <v>0</v>
      </c>
      <c r="M7" s="710" t="inlineStr">
        <is>
          <t>B</t>
        </is>
      </c>
    </row>
    <row r="8" ht="18.75" customFormat="1" customHeight="1" s="200">
      <c r="A8" s="825" t="inlineStr">
        <is>
          <t>아르헨티나는 다음 공식을 사용하여 측정됩니다: R = F x S, 여기서:</t>
        </is>
      </c>
      <c r="B8" s="155" t="n"/>
      <c r="C8" s="155" t="n"/>
      <c r="D8" s="155" t="n"/>
      <c r="E8" s="155" t="n"/>
      <c r="F8" s="155" t="n"/>
      <c r="G8" s="155" t="n"/>
      <c r="H8" s="155" t="n"/>
      <c r="I8" s="155" t="n"/>
      <c r="J8" s="155" t="n"/>
      <c r="K8" s="155" t="n"/>
      <c r="L8" s="155" t="n"/>
      <c r="M8" s="156" t="n"/>
    </row>
    <row r="9" ht="18.75" customFormat="1" customHeight="1" s="200">
      <c r="A9" s="826" t="inlineStr">
        <is>
          <t>R': 리스크.</t>
        </is>
      </c>
      <c r="M9" s="158" t="n"/>
    </row>
    <row r="10" ht="18.75" customFormat="1" customHeight="1" s="200">
      <c r="A10" s="827" t="inlineStr">
        <is>
          <t>여: 가능성.</t>
        </is>
      </c>
      <c r="M10" s="158" t="n"/>
    </row>
    <row r="11" ht="18.75" customFormat="1" customHeight="1" s="200">
      <c r="A11" s="828" t="inlineStr">
        <is>
          <t>S: 그런 일이 발생하면 어떤 결과가 따르나요?</t>
        </is>
      </c>
      <c r="B11" s="159" t="n"/>
      <c r="C11" s="159" t="n"/>
      <c r="D11" s="159" t="n"/>
      <c r="E11" s="159" t="n"/>
      <c r="F11" s="159" t="n"/>
      <c r="G11" s="159" t="n"/>
      <c r="H11" s="159" t="n"/>
      <c r="I11" s="159" t="n"/>
      <c r="J11" s="159" t="n"/>
      <c r="K11" s="159" t="n"/>
      <c r="L11" s="159" t="n"/>
      <c r="M11" s="290" t="n"/>
    </row>
    <row r="12" ht="15.75" customFormat="1" customHeight="1" s="208">
      <c r="A12" s="265" t="n"/>
      <c r="B12" s="268" t="inlineStr">
        <is>
          <t>No</t>
        </is>
      </c>
      <c r="C12" s="253" t="inlineStr">
        <is>
          <t>문서번호</t>
        </is>
      </c>
      <c r="D12" s="253" t="inlineStr">
        <is>
          <t>발행일</t>
        </is>
      </c>
      <c r="E12" s="492" t="inlineStr">
        <is>
          <t>개정</t>
        </is>
      </c>
      <c r="F12" s="814" t="n"/>
      <c r="G12" s="592" t="inlineStr">
        <is>
          <t xml:space="preserve">내용 </t>
        </is>
      </c>
      <c r="H12" s="814" t="n"/>
      <c r="I12" s="814" t="n"/>
      <c r="J12" s="814" t="n"/>
      <c r="K12" s="815" t="n"/>
      <c r="L12" s="501" t="inlineStr">
        <is>
          <t>작성자</t>
        </is>
      </c>
      <c r="M12" s="815" t="n"/>
    </row>
    <row r="13" ht="15.75" customFormat="1" customHeight="1" s="208">
      <c r="A13" s="265" t="n"/>
      <c r="B13" s="268" t="n">
        <v>0</v>
      </c>
      <c r="C13" s="253" t="inlineStr">
        <is>
          <t>PCH.04.01.05</t>
        </is>
      </c>
      <c r="D13" s="253" t="inlineStr">
        <is>
          <t>01.01.2021</t>
        </is>
      </c>
      <c r="E13" s="496" t="inlineStr">
        <is>
          <t>0</t>
        </is>
      </c>
      <c r="F13" s="814" t="n"/>
      <c r="G13" s="592" t="inlineStr">
        <is>
          <t>신규 작성</t>
        </is>
      </c>
      <c r="H13" s="814" t="n"/>
      <c r="I13" s="814" t="n"/>
      <c r="J13" s="814" t="n"/>
      <c r="K13" s="815" t="n"/>
      <c r="L13" s="501" t="inlineStr">
        <is>
          <t>Mr 합격</t>
        </is>
      </c>
      <c r="M13" s="815" t="n"/>
    </row>
    <row r="14" ht="15.75" customFormat="1" customHeight="1" s="208">
      <c r="A14" s="256" t="n"/>
      <c r="B14" s="212" t="n"/>
      <c r="C14" s="253" t="n"/>
      <c r="D14" s="253" t="n"/>
      <c r="E14" s="499" t="n"/>
      <c r="F14" s="814" t="n"/>
      <c r="G14" s="592" t="n"/>
      <c r="H14" s="814" t="n"/>
      <c r="I14" s="814" t="n"/>
      <c r="J14" s="814" t="n"/>
      <c r="K14" s="815" t="n"/>
      <c r="L14" s="501" t="n"/>
      <c r="M14" s="815" t="n"/>
    </row>
    <row r="15" ht="58.5" customFormat="1" customHeight="1" s="252">
      <c r="A15" s="709" t="n"/>
      <c r="B15" s="35" t="n"/>
      <c r="C15" s="464" t="n"/>
      <c r="D15" s="21" t="n"/>
      <c r="E15" s="709" t="n"/>
      <c r="F15" s="709" t="n"/>
      <c r="G15" s="709" t="n"/>
      <c r="H15" s="709" t="n"/>
      <c r="I15" s="105" t="n"/>
      <c r="J15" s="709" t="n"/>
      <c r="K15" s="709" t="n"/>
      <c r="L15" s="709" t="n"/>
      <c r="M15" s="709" t="n"/>
    </row>
    <row r="16" hidden="1" customFormat="1" s="252">
      <c r="A16" s="53" t="n"/>
      <c r="B16" s="22" t="n"/>
      <c r="C16" s="23" t="n"/>
      <c r="D16" s="24" t="n"/>
      <c r="E16" s="54" t="n"/>
      <c r="F16" s="54" t="n"/>
      <c r="G16" s="53" t="n"/>
      <c r="H16" s="54" t="n"/>
      <c r="I16" s="54" t="n"/>
      <c r="J16" s="54" t="n"/>
      <c r="K16" s="54" t="n"/>
      <c r="L16" s="54" t="n"/>
      <c r="M16" s="54" t="n"/>
    </row>
    <row r="17" hidden="1" customFormat="1" s="252">
      <c r="A17" s="53" t="n"/>
      <c r="B17" s="22" t="n"/>
      <c r="C17" s="23" t="n"/>
      <c r="D17" s="24" t="n"/>
      <c r="E17" s="54" t="n"/>
      <c r="F17" s="54" t="n"/>
      <c r="G17" s="53" t="n"/>
      <c r="H17" s="54" t="n"/>
      <c r="I17" s="54" t="n"/>
      <c r="J17" s="54" t="n"/>
      <c r="K17" s="54" t="n"/>
      <c r="L17" s="54" t="n"/>
      <c r="M17" s="54" t="n"/>
    </row>
    <row r="18" hidden="1" customFormat="1" s="252">
      <c r="A18" s="53" t="n"/>
      <c r="B18" s="22" t="n"/>
      <c r="C18" s="23" t="n"/>
      <c r="D18" s="24" t="n"/>
      <c r="E18" s="54" t="n"/>
      <c r="F18" s="54" t="n"/>
      <c r="G18" s="53" t="n"/>
      <c r="H18" s="54" t="n"/>
      <c r="I18" s="54" t="n"/>
      <c r="J18" s="54" t="n"/>
      <c r="K18" s="54" t="n"/>
      <c r="L18" s="54" t="n"/>
      <c r="M18" s="54" t="n"/>
    </row>
    <row r="19" hidden="1" customFormat="1" s="252">
      <c r="A19" s="53" t="n"/>
      <c r="B19" s="22" t="n"/>
      <c r="C19" s="23" t="n"/>
      <c r="D19" s="24" t="n"/>
      <c r="E19" s="54" t="n"/>
      <c r="F19" s="54" t="n"/>
      <c r="G19" s="53" t="n"/>
      <c r="H19" s="54" t="n"/>
      <c r="I19" s="54" t="n"/>
      <c r="J19" s="54" t="n"/>
      <c r="K19" s="54" t="n"/>
      <c r="L19" s="54" t="n"/>
      <c r="M19" s="54" t="n"/>
    </row>
    <row r="20" hidden="1" customFormat="1" s="252">
      <c r="A20" s="53" t="n"/>
      <c r="B20" s="22" t="n"/>
      <c r="C20" s="23" t="n"/>
      <c r="D20" s="24" t="n"/>
      <c r="E20" s="54" t="n"/>
      <c r="F20" s="54" t="n"/>
      <c r="G20" s="53" t="n"/>
      <c r="H20" s="54" t="n"/>
      <c r="I20" s="54" t="n"/>
      <c r="J20" s="54" t="n"/>
      <c r="K20" s="54" t="n"/>
      <c r="L20" s="54" t="n"/>
      <c r="M20" s="54" t="n"/>
    </row>
    <row r="21" hidden="1" customFormat="1" s="252">
      <c r="A21" s="53" t="n"/>
      <c r="B21" s="22" t="n"/>
      <c r="C21" s="23" t="n"/>
      <c r="D21" s="24" t="n"/>
      <c r="E21" s="54" t="n"/>
      <c r="F21" s="54" t="n"/>
      <c r="G21" s="53" t="n"/>
      <c r="H21" s="54" t="n"/>
      <c r="I21" s="54" t="n"/>
      <c r="J21" s="54" t="n"/>
      <c r="K21" s="54" t="n"/>
      <c r="L21" s="54" t="n"/>
      <c r="M21" s="54" t="n"/>
    </row>
    <row r="22" hidden="1" customFormat="1" s="252">
      <c r="A22" s="53" t="n"/>
      <c r="B22" s="22" t="n"/>
      <c r="C22" s="23" t="n"/>
      <c r="D22" s="24" t="n"/>
      <c r="E22" s="54" t="n"/>
      <c r="F22" s="54" t="n"/>
      <c r="G22" s="53" t="n"/>
      <c r="H22" s="54" t="n"/>
      <c r="I22" s="54" t="n"/>
      <c r="J22" s="54" t="n"/>
      <c r="K22" s="54" t="n"/>
      <c r="L22" s="54" t="n"/>
      <c r="M22" s="54" t="n"/>
    </row>
    <row r="23" hidden="1" customFormat="1" s="252">
      <c r="A23" s="53" t="n"/>
      <c r="B23" s="22" t="n"/>
      <c r="C23" s="23" t="n"/>
      <c r="D23" s="24" t="n"/>
      <c r="E23" s="54" t="n"/>
      <c r="F23" s="54" t="n"/>
      <c r="G23" s="53" t="n"/>
      <c r="H23" s="54" t="n"/>
      <c r="I23" s="54" t="n"/>
      <c r="J23" s="54" t="n"/>
      <c r="K23" s="54" t="n"/>
      <c r="L23" s="54" t="n"/>
      <c r="M23" s="54" t="n"/>
    </row>
    <row r="24" hidden="1" customFormat="1" s="252">
      <c r="A24" s="53" t="n"/>
      <c r="B24" s="22" t="n"/>
      <c r="C24" s="23" t="n"/>
      <c r="D24" s="24" t="n"/>
      <c r="E24" s="54" t="n"/>
      <c r="F24" s="54" t="n"/>
      <c r="G24" s="53" t="n"/>
      <c r="H24" s="54" t="n"/>
      <c r="I24" s="54" t="n"/>
      <c r="J24" s="54" t="n"/>
      <c r="K24" s="54" t="n"/>
      <c r="L24" s="54" t="n"/>
      <c r="M24" s="54" t="n"/>
    </row>
    <row r="25" hidden="1" customFormat="1" s="252">
      <c r="A25" s="53" t="n"/>
      <c r="B25" s="22" t="n"/>
      <c r="C25" s="23" t="n"/>
      <c r="D25" s="24" t="n"/>
      <c r="E25" s="54" t="n"/>
      <c r="F25" s="54" t="n"/>
      <c r="G25" s="53" t="n"/>
      <c r="H25" s="54" t="n"/>
      <c r="I25" s="54" t="n"/>
      <c r="J25" s="54" t="n"/>
      <c r="K25" s="54" t="n"/>
      <c r="L25" s="54" t="n"/>
      <c r="M25" s="54" t="n"/>
    </row>
    <row r="26" hidden="1" customFormat="1" s="252">
      <c r="A26" s="53" t="n"/>
      <c r="B26" s="22" t="n"/>
      <c r="C26" s="25" t="n"/>
      <c r="D26" s="26" t="n"/>
      <c r="E26" s="54" t="n"/>
      <c r="F26" s="54" t="n"/>
      <c r="G26" s="53" t="n"/>
      <c r="H26" s="54" t="n"/>
      <c r="I26" s="54" t="n"/>
      <c r="J26" s="54" t="n"/>
      <c r="K26" s="54" t="n"/>
      <c r="L26" s="54" t="n"/>
      <c r="M26" s="54" t="n"/>
    </row>
    <row r="27" hidden="1" customFormat="1" s="252">
      <c r="A27" s="53" t="n"/>
      <c r="B27" s="22" t="n"/>
      <c r="C27" s="25" t="n"/>
      <c r="D27" s="26" t="n"/>
      <c r="E27" s="54" t="n"/>
      <c r="F27" s="54" t="n"/>
      <c r="G27" s="53" t="n"/>
      <c r="H27" s="54" t="n"/>
      <c r="I27" s="54" t="n"/>
      <c r="J27" s="54" t="n"/>
      <c r="K27" s="54" t="n"/>
      <c r="L27" s="54" t="n"/>
      <c r="M27" s="54" t="n"/>
    </row>
    <row r="28" hidden="1" customFormat="1" s="252">
      <c r="A28" s="53" t="n"/>
      <c r="B28" s="22" t="n"/>
      <c r="C28" s="25" t="n"/>
      <c r="D28" s="26" t="n"/>
      <c r="E28" s="54" t="n"/>
      <c r="F28" s="54" t="n"/>
      <c r="G28" s="53" t="n"/>
      <c r="H28" s="54" t="n"/>
      <c r="I28" s="54" t="n"/>
      <c r="J28" s="54" t="n"/>
      <c r="K28" s="54" t="n"/>
      <c r="L28" s="54" t="n"/>
      <c r="M28" s="54" t="n"/>
    </row>
    <row r="29" hidden="1" customFormat="1" s="252">
      <c r="A29" s="53" t="n"/>
      <c r="B29" s="22" t="n"/>
      <c r="C29" s="25" t="n"/>
      <c r="D29" s="26" t="n"/>
      <c r="E29" s="54" t="n"/>
      <c r="F29" s="54" t="n"/>
      <c r="G29" s="53" t="n"/>
      <c r="H29" s="54" t="n"/>
      <c r="I29" s="54" t="n"/>
      <c r="J29" s="54" t="n"/>
      <c r="K29" s="54" t="n"/>
      <c r="L29" s="54" t="n"/>
      <c r="M29" s="54" t="n"/>
    </row>
    <row r="30" hidden="1" customFormat="1" s="252">
      <c r="A30" s="53" t="n"/>
      <c r="B30" s="22" t="n"/>
      <c r="C30" s="25" t="n"/>
      <c r="D30" s="26" t="n"/>
      <c r="E30" s="54" t="n"/>
      <c r="F30" s="54" t="n"/>
      <c r="G30" s="53" t="n"/>
      <c r="H30" s="54" t="n"/>
      <c r="I30" s="54" t="n"/>
      <c r="J30" s="54" t="n"/>
      <c r="K30" s="54" t="n"/>
      <c r="L30" s="54" t="n"/>
      <c r="M30" s="54" t="n"/>
    </row>
    <row r="31" hidden="1" customFormat="1" s="252">
      <c r="A31" s="56" t="n"/>
      <c r="B31" s="27" t="n"/>
      <c r="C31" s="28" t="n"/>
      <c r="D31" s="29" t="n"/>
      <c r="E31" s="57" t="n"/>
      <c r="F31" s="57" t="n"/>
      <c r="G31" s="53" t="n"/>
      <c r="H31" s="57" t="n"/>
      <c r="I31" s="57" t="n"/>
      <c r="J31" s="57" t="n"/>
      <c r="K31" s="57" t="n"/>
      <c r="L31" s="57" t="n"/>
      <c r="M31" s="57" t="n"/>
    </row>
    <row r="32" customFormat="1" s="252">
      <c r="A32" s="709" t="n"/>
    </row>
    <row r="33" customFormat="1" s="252">
      <c r="A33" s="709" t="n"/>
      <c r="B33" s="35" t="n"/>
      <c r="C33" s="464" t="n"/>
      <c r="D33" s="37" t="n"/>
      <c r="E33" s="709" t="n"/>
      <c r="F33" s="709" t="n"/>
      <c r="G33" s="709" t="n"/>
      <c r="H33" s="709" t="n"/>
      <c r="I33" s="709" t="n"/>
      <c r="J33" s="709" t="n"/>
      <c r="K33" s="709" t="n"/>
      <c r="L33" s="709" t="n"/>
      <c r="M33" s="709" t="n"/>
    </row>
    <row r="34" customFormat="1" s="252">
      <c r="B34" s="35" t="n"/>
      <c r="C34" s="464" t="n"/>
      <c r="D34" s="76" t="n"/>
      <c r="G34" s="709" t="n"/>
      <c r="I34" s="105" t="n"/>
      <c r="J34" s="709" t="n"/>
      <c r="K34" s="709" t="n"/>
      <c r="L34" s="709" t="n"/>
    </row>
    <row r="35" customFormat="1" s="252">
      <c r="B35" s="35" t="n"/>
      <c r="C35" s="36" t="n"/>
      <c r="D35" s="37" t="n"/>
      <c r="G35" s="709" t="n"/>
      <c r="I35" s="709" t="n"/>
      <c r="J35" s="709" t="n"/>
      <c r="K35" s="709" t="n"/>
      <c r="L35" s="709" t="n"/>
    </row>
    <row r="36" customFormat="1" s="252">
      <c r="B36" s="35" t="n"/>
      <c r="C36" s="36" t="n"/>
      <c r="D36" s="37" t="n"/>
      <c r="G36" s="709" t="n"/>
      <c r="I36" s="709" t="n"/>
      <c r="J36" s="709" t="n"/>
      <c r="K36" s="709" t="n"/>
      <c r="L36" s="709" t="n"/>
    </row>
    <row r="37" customFormat="1" s="252">
      <c r="B37" s="35" t="n"/>
      <c r="C37" s="36" t="n"/>
      <c r="D37" s="37" t="n"/>
      <c r="G37" s="709" t="n"/>
      <c r="I37" s="709" t="n"/>
      <c r="J37" s="709" t="n"/>
      <c r="K37" s="709" t="n"/>
      <c r="L37" s="709" t="n"/>
    </row>
    <row r="38" customFormat="1" s="252">
      <c r="B38" s="35" t="n"/>
      <c r="C38" s="36" t="n"/>
      <c r="D38" s="37" t="n"/>
      <c r="G38" s="709" t="n"/>
      <c r="I38" s="709" t="n"/>
      <c r="J38" s="709" t="n"/>
      <c r="K38" s="709" t="n"/>
      <c r="L38" s="709" t="n"/>
    </row>
    <row r="39" customFormat="1" s="252">
      <c r="B39" s="35" t="n"/>
      <c r="C39" s="36" t="n"/>
      <c r="D39" s="37" t="n"/>
      <c r="G39" s="709" t="n"/>
      <c r="I39" s="105" t="n"/>
      <c r="J39" s="709" t="n"/>
      <c r="K39" s="709" t="n"/>
      <c r="L39" s="709" t="n"/>
    </row>
    <row r="40" customFormat="1" s="252">
      <c r="B40" s="35" t="n"/>
      <c r="C40" s="464" t="n"/>
      <c r="D40" s="37" t="n"/>
      <c r="G40" s="709" t="n"/>
      <c r="I40" s="105" t="n"/>
      <c r="J40" s="709" t="n"/>
      <c r="K40" s="709" t="n"/>
      <c r="L40" s="709" t="n"/>
    </row>
    <row r="41" customFormat="1" s="252">
      <c r="B41" s="35" t="n"/>
      <c r="C41" s="464" t="n"/>
      <c r="D41" s="37" t="n"/>
      <c r="G41" s="709" t="n"/>
      <c r="I41" s="105" t="n"/>
      <c r="J41" s="709" t="n"/>
      <c r="K41" s="709" t="n"/>
      <c r="L41" s="709" t="n"/>
    </row>
    <row r="42" customFormat="1" s="252">
      <c r="B42" s="35" t="n"/>
      <c r="C42" s="464" t="n"/>
      <c r="D42" s="37" t="n"/>
      <c r="G42" s="709" t="n"/>
      <c r="I42" s="709" t="n"/>
      <c r="J42" s="709" t="n"/>
      <c r="K42" s="709" t="n"/>
      <c r="L42" s="709" t="n"/>
    </row>
    <row r="43" customFormat="1" s="252">
      <c r="B43" s="35" t="n"/>
      <c r="C43" s="464" t="n"/>
      <c r="D43" s="37" t="n"/>
      <c r="G43" s="709" t="n"/>
      <c r="I43" s="709" t="n"/>
      <c r="J43" s="709" t="n"/>
      <c r="K43" s="709" t="n"/>
      <c r="L43" s="709" t="n"/>
    </row>
    <row r="44" customFormat="1" s="252">
      <c r="B44" s="35" t="n"/>
      <c r="C44" s="464" t="n"/>
      <c r="D44" s="37" t="n"/>
      <c r="G44" s="709" t="n"/>
      <c r="I44" s="105" t="n"/>
      <c r="J44" s="709" t="n"/>
      <c r="K44" s="709" t="n"/>
      <c r="L44" s="709" t="n"/>
    </row>
    <row r="45" customFormat="1" s="252">
      <c r="A45" s="709" t="n"/>
    </row>
    <row r="46" customFormat="1" s="252">
      <c r="B46" s="35" t="n"/>
      <c r="C46" s="464" t="n"/>
      <c r="D46" s="37" t="n"/>
      <c r="G46" s="709" t="n"/>
      <c r="I46" s="709" t="n"/>
      <c r="J46" s="709" t="n"/>
      <c r="K46" s="709" t="n"/>
      <c r="L46" s="709" t="n"/>
    </row>
    <row r="47" customFormat="1" s="252">
      <c r="B47" s="35" t="n"/>
      <c r="C47" s="36" t="n"/>
      <c r="D47" s="37" t="n"/>
      <c r="G47" s="709" t="n"/>
      <c r="I47" s="709" t="n"/>
      <c r="J47" s="709" t="n"/>
      <c r="K47" s="709" t="n"/>
      <c r="L47" s="709" t="n"/>
    </row>
    <row r="48" customFormat="1" s="252">
      <c r="B48" s="35" t="n"/>
      <c r="C48" s="36" t="n"/>
      <c r="D48" s="37" t="n"/>
      <c r="G48" s="709" t="n"/>
      <c r="I48" s="709" t="n"/>
      <c r="J48" s="709" t="n"/>
      <c r="K48" s="709" t="n"/>
      <c r="L48" s="709" t="n"/>
    </row>
    <row r="49" customFormat="1" s="252">
      <c r="B49" s="35" t="n"/>
      <c r="C49" s="36" t="n"/>
      <c r="D49" s="37" t="n"/>
      <c r="G49" s="709" t="n"/>
      <c r="I49" s="709" t="n"/>
      <c r="J49" s="709" t="n"/>
      <c r="K49" s="709" t="n"/>
      <c r="L49" s="709" t="n"/>
    </row>
    <row r="50">
      <c r="G50" s="709" t="n"/>
    </row>
    <row r="51">
      <c r="C51" s="464" t="n"/>
      <c r="G51" s="709" t="n"/>
    </row>
    <row r="52">
      <c r="C52" s="464" t="n"/>
      <c r="G52" s="709" t="n"/>
    </row>
    <row r="53">
      <c r="C53" s="464" t="n"/>
      <c r="G53" s="709" t="n"/>
    </row>
    <row r="54">
      <c r="C54" s="464" t="n"/>
      <c r="G54" s="709" t="n"/>
      <c r="I54" s="105" t="n"/>
    </row>
    <row r="55">
      <c r="C55" s="464" t="n"/>
      <c r="G55" s="709" t="n"/>
      <c r="I55" s="105" t="n"/>
    </row>
    <row r="56">
      <c r="G56" s="709" t="n"/>
    </row>
    <row r="57" customFormat="1" s="252">
      <c r="A57" s="709" t="n"/>
    </row>
    <row r="58">
      <c r="C58" s="464" t="n"/>
      <c r="G58" s="709" t="n"/>
    </row>
    <row r="59">
      <c r="G59" s="709" t="n"/>
    </row>
    <row r="60">
      <c r="G60" s="709" t="n"/>
    </row>
    <row r="61">
      <c r="G61" s="709" t="n"/>
    </row>
    <row r="62">
      <c r="G62" s="709" t="n"/>
    </row>
  </sheetData>
  <mergeCells count="28">
    <mergeCell ref="E12:F12"/>
    <mergeCell ref="A32:M32"/>
    <mergeCell ref="G12:K12"/>
    <mergeCell ref="A8:M8"/>
    <mergeCell ref="B3:B4"/>
    <mergeCell ref="J3:M3"/>
    <mergeCell ref="E14:F14"/>
    <mergeCell ref="L13:M13"/>
    <mergeCell ref="A10:M10"/>
    <mergeCell ref="L12:M12"/>
    <mergeCell ref="E3:H3"/>
    <mergeCell ref="A3:A4"/>
    <mergeCell ref="A9:M9"/>
    <mergeCell ref="I3:I4"/>
    <mergeCell ref="D3:D4"/>
    <mergeCell ref="E13:F13"/>
    <mergeCell ref="G13:K13"/>
    <mergeCell ref="L14:M14"/>
    <mergeCell ref="A11:M11"/>
    <mergeCell ref="A5:A6"/>
    <mergeCell ref="C1:H2"/>
    <mergeCell ref="J2:L2"/>
    <mergeCell ref="A45:M45"/>
    <mergeCell ref="G14:K14"/>
    <mergeCell ref="B5:B6"/>
    <mergeCell ref="J1:L1"/>
    <mergeCell ref="C3:C4"/>
    <mergeCell ref="A57:M57"/>
  </mergeCells>
  <printOptions horizontalCentered="1"/>
  <pageMargins left="0.44" right="0.16" top="0.74" bottom="0.16" header="0.36" footer="0.23"/>
  <pageSetup orientation="landscape" paperSize="9" scale="52" fitToHeight="0" useFirstPageNumber="1"/>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N20"/>
  <sheetViews>
    <sheetView showGridLines="0" view="pageBreakPreview" zoomScale="82" zoomScaleNormal="89" zoomScaleSheetLayoutView="82" workbookViewId="0">
      <selection activeCell="O7" sqref="O7"/>
    </sheetView>
  </sheetViews>
  <sheetFormatPr baseColWidth="8" defaultColWidth="11.5703125" defaultRowHeight="18.75"/>
  <cols>
    <col width="4.85546875" customWidth="1" style="709" min="1" max="1"/>
    <col hidden="1" width="4.85546875" customWidth="1" style="709" min="2" max="2"/>
    <col width="15.28515625" customWidth="1" style="105" min="3" max="3"/>
    <col width="31.5703125" customWidth="1" style="739" min="4" max="4"/>
    <col width="45.28515625" customWidth="1" style="739" min="5" max="5"/>
    <col width="4.5703125" customWidth="1" style="709" min="6" max="6"/>
    <col width="5" customWidth="1" style="709" min="7" max="7"/>
    <col width="6.85546875" customWidth="1" style="709" min="8" max="8"/>
    <col width="11.7109375" customWidth="1" style="709" min="9" max="9"/>
    <col width="39.5703125" customWidth="1" style="709" min="10" max="10"/>
    <col width="4.7109375" customWidth="1" style="709" min="11" max="11"/>
    <col width="4.85546875" customWidth="1" style="709" min="12" max="12"/>
    <col width="6.5703125" customWidth="1" style="709" min="13" max="13"/>
    <col width="11.42578125" customWidth="1" style="709" min="14" max="14"/>
    <col width="11.5703125" customWidth="1" style="252" min="15" max="16384"/>
  </cols>
  <sheetData>
    <row r="1" ht="23.45" customFormat="1" customHeight="1" s="37">
      <c r="A1" s="739" t="n"/>
      <c r="B1" s="739" t="n"/>
      <c r="C1" s="111" t="n"/>
      <c r="D1" s="739" t="n"/>
      <c r="E1" s="739" t="n"/>
      <c r="F1" s="739" t="inlineStr">
        <is>
          <t>EHS.04.01.03 Ngày ban hành 03/01/2020</t>
        </is>
      </c>
    </row>
    <row r="2" ht="163.9" customHeight="1" s="157">
      <c r="A2" s="715" t="inlineStr">
        <is>
          <t>위험 식별 및 위험 분석
 플라스틱 주조실</t>
        </is>
      </c>
      <c r="B2" s="159" t="n"/>
      <c r="C2" s="159" t="n"/>
      <c r="D2" s="159" t="n"/>
      <c r="E2" s="159" t="n"/>
      <c r="F2" s="716" t="n"/>
      <c r="G2" s="159" t="n"/>
      <c r="H2" s="159" t="n"/>
      <c r="I2" s="159" t="n"/>
      <c r="J2" s="159" t="n"/>
      <c r="K2" s="159" t="n"/>
      <c r="L2" s="159" t="n"/>
      <c r="M2" s="159" t="n"/>
      <c r="N2" s="159" t="n"/>
    </row>
    <row r="3" ht="63.75" customFormat="1" customHeight="1" s="739">
      <c r="A3" s="573" t="inlineStr">
        <is>
          <t>번호</t>
        </is>
      </c>
      <c r="B3" s="573" t="inlineStr">
        <is>
          <t>번호</t>
        </is>
      </c>
      <c r="C3" s="542" t="inlineStr">
        <is>
          <t>프로세스/진행상황</t>
        </is>
      </c>
      <c r="D3" s="542" t="inlineStr">
        <is>
          <t>잠재력</t>
        </is>
      </c>
      <c r="E3" s="573" t="inlineStr">
        <is>
          <t>원인/설명</t>
        </is>
      </c>
      <c r="F3" s="573" t="inlineStr">
        <is>
          <t>리스크 평가</t>
        </is>
      </c>
      <c r="G3" s="814" t="n"/>
      <c r="H3" s="814" t="n"/>
      <c r="I3" s="815" t="n"/>
      <c r="J3" s="542" t="inlineStr">
        <is>
          <t>예방/시정 조치</t>
        </is>
      </c>
      <c r="K3" s="542" t="inlineStr">
        <is>
          <t>외부 평가
예방 조치를 취한 후</t>
        </is>
      </c>
      <c r="L3" s="814" t="n"/>
      <c r="M3" s="814" t="n"/>
      <c r="N3" s="815" t="n"/>
    </row>
    <row r="4" ht="45.75" customFormat="1" customHeight="1" s="739">
      <c r="A4" s="818" t="n"/>
      <c r="B4" s="818" t="n"/>
      <c r="C4" s="818" t="n"/>
      <c r="D4" s="818" t="n"/>
      <c r="E4" s="818" t="n"/>
      <c r="F4" s="573" t="inlineStr">
        <is>
          <t>S</t>
        </is>
      </c>
      <c r="G4" s="573" t="inlineStr">
        <is>
          <t>F</t>
        </is>
      </c>
      <c r="H4" s="573" t="inlineStr">
        <is>
          <t>S*F</t>
        </is>
      </c>
      <c r="I4" s="542" t="inlineStr">
        <is>
          <t>위험 분류</t>
        </is>
      </c>
      <c r="J4" s="818" t="n"/>
      <c r="K4" s="542" t="inlineStr">
        <is>
          <t>S</t>
        </is>
      </c>
      <c r="L4" s="573" t="inlineStr">
        <is>
          <t>F</t>
        </is>
      </c>
      <c r="M4" s="573" t="inlineStr">
        <is>
          <t>S*F</t>
        </is>
      </c>
      <c r="N4" s="542" t="inlineStr">
        <is>
          <t>분류
 위험</t>
        </is>
      </c>
    </row>
    <row r="5" ht="63" customFormat="1" customHeight="1" s="739">
      <c r="A5" s="45" t="n">
        <v>1</v>
      </c>
      <c r="B5" s="45" t="n">
        <v>1</v>
      </c>
      <c r="C5" s="46" t="inlineStr">
        <is>
          <t>가져오기 및 내보내기</t>
        </is>
      </c>
      <c r="D5" s="48" t="inlineStr">
        <is>
          <t>뼈와 관절 손상</t>
        </is>
      </c>
      <c r="E5" s="106" t="inlineStr">
        <is>
          <t>무거운 물건 운반</t>
        </is>
      </c>
      <c r="F5" s="45" t="n">
        <v>1</v>
      </c>
      <c r="G5" s="45" t="n">
        <v>5</v>
      </c>
      <c r="H5" s="45" t="n">
        <v>5</v>
      </c>
      <c r="I5" s="46" t="inlineStr">
        <is>
          <t>A</t>
        </is>
      </c>
      <c r="J5" s="46" t="inlineStr">
        <is>
          <t>운송시 화물차량을 이용하세요</t>
        </is>
      </c>
      <c r="K5" s="46" t="n"/>
      <c r="L5" s="45" t="n"/>
      <c r="M5" s="45" t="n"/>
      <c r="N5" s="46" t="n"/>
    </row>
    <row r="6" ht="63" customFormat="1" customHeight="1" s="739">
      <c r="A6" s="47" t="n">
        <v>2</v>
      </c>
      <c r="B6" s="47" t="n">
        <v>2</v>
      </c>
      <c r="C6" s="48" t="inlineStr">
        <is>
          <t>운영, 운영</t>
        </is>
      </c>
      <c r="D6" s="48" t="inlineStr">
        <is>
          <t>수갑을 차고 화상을 입을 수 있음</t>
        </is>
      </c>
      <c r="E6" s="48" t="inlineStr">
        <is>
          <t>작업자가 작업 및 조작에 집중하지 않기 때문에</t>
        </is>
      </c>
      <c r="F6" s="47" t="n">
        <v>1</v>
      </c>
      <c r="G6" s="47" t="n">
        <v>5</v>
      </c>
      <c r="H6" s="47" t="n">
        <v>5</v>
      </c>
      <c r="I6" s="48" t="inlineStr">
        <is>
          <t>A</t>
        </is>
      </c>
      <c r="J6" s="48" t="inlineStr">
        <is>
          <t>작업 전 근로자 교육, 완전한 노동 보호 준수</t>
        </is>
      </c>
      <c r="K6" s="48" t="n"/>
      <c r="L6" s="47" t="n"/>
      <c r="M6" s="47" t="n"/>
      <c r="N6" s="48" t="n"/>
    </row>
    <row r="7" ht="64.5" customFormat="1" customHeight="1" s="739">
      <c r="A7" s="45" t="n">
        <v>3</v>
      </c>
      <c r="B7" s="45" t="n">
        <v>3</v>
      </c>
      <c r="C7" s="48" t="inlineStr">
        <is>
          <t>가공</t>
        </is>
      </c>
      <c r="D7" s="48" t="inlineStr">
        <is>
          <t>손이 잘릴 수도 있음</t>
        </is>
      </c>
      <c r="E7" s="48" t="inlineStr">
        <is>
          <t>칼끝이 날카롭고 뾰족해서 손이 베거나 구멍이 나기 쉽습니다.</t>
        </is>
      </c>
      <c r="F7" s="47" t="n">
        <v>1</v>
      </c>
      <c r="G7" s="47" t="n">
        <v>5</v>
      </c>
      <c r="H7" s="47">
        <f>F7*G7</f>
        <v/>
      </c>
      <c r="I7" s="48" t="inlineStr">
        <is>
          <t>A</t>
        </is>
      </c>
      <c r="J7" s="48" t="inlineStr">
        <is>
          <t>가공 전에 작업자를 교육하고 작업 시 손가락 끝을 덮는 장갑을 착용하십시오.</t>
        </is>
      </c>
      <c r="K7" s="48" t="n"/>
      <c r="L7" s="47" t="n"/>
      <c r="M7" s="47" t="n"/>
      <c r="N7" s="48" t="n"/>
    </row>
    <row r="8" ht="84" customFormat="1" customHeight="1" s="739">
      <c r="A8" s="47" t="n">
        <v>4</v>
      </c>
      <c r="B8" s="45" t="n">
        <v>4</v>
      </c>
      <c r="C8" s="48" t="inlineStr">
        <is>
          <t>운송, 성형 및 성형 과정</t>
        </is>
      </c>
      <c r="D8" s="48" t="inlineStr">
        <is>
          <t>곰팡이가 발에 떨어질 수 있습니다.</t>
        </is>
      </c>
      <c r="E8" s="48" t="inlineStr">
        <is>
          <t>노동 안전 조치를 준수하지 않는 운송 과정으로 인해</t>
        </is>
      </c>
      <c r="F8" s="47" t="n">
        <v>5</v>
      </c>
      <c r="G8" s="47" t="n">
        <v>5</v>
      </c>
      <c r="H8" s="47" t="n">
        <v>25</v>
      </c>
      <c r="I8" s="48" t="inlineStr">
        <is>
          <t>C</t>
        </is>
      </c>
      <c r="J8" s="48" t="inlineStr">
        <is>
          <t>금형 터닝 전용 차량을 이용하고, 운반 시 보호 신발을 착용하십시오.</t>
        </is>
      </c>
      <c r="K8" s="48" t="n"/>
      <c r="L8" s="47" t="n"/>
      <c r="M8" s="47" t="n"/>
      <c r="N8" s="48" t="n"/>
    </row>
    <row r="9" ht="69.75" customFormat="1" customHeight="1" s="739">
      <c r="A9" s="45" t="n">
        <v>5</v>
      </c>
      <c r="B9" s="47" t="n">
        <v>5</v>
      </c>
      <c r="C9" s="48" t="inlineStr">
        <is>
          <t>온수기를 사용하세요</t>
        </is>
      </c>
      <c r="D9" s="48" t="inlineStr">
        <is>
          <t>뜨거운 물에 화상을 입을 수 있음</t>
        </is>
      </c>
      <c r="E9" s="48" t="inlineStr">
        <is>
          <t>기계, 뜨거운 물, 고온 표면에서 열이 방출됩니다.</t>
        </is>
      </c>
      <c r="F9" s="47" t="n">
        <v>3</v>
      </c>
      <c r="G9" s="47" t="n">
        <v>4</v>
      </c>
      <c r="H9" s="47">
        <f>F9*G9</f>
        <v/>
      </c>
      <c r="I9" s="48" t="inlineStr">
        <is>
          <t>C</t>
        </is>
      </c>
      <c r="J9" s="48" t="inlineStr">
        <is>
          <t>내열성 섬유 장갑을 착용하고 정기적인 배관 유지 관리 계획을 세우고 경고를 받습니다.</t>
        </is>
      </c>
      <c r="K9" s="48" t="n"/>
      <c r="L9" s="47" t="n"/>
      <c r="M9" s="47" t="n"/>
      <c r="N9" s="48" t="n"/>
    </row>
    <row r="10" ht="69.75" customFormat="1" customHeight="1" s="739">
      <c r="A10" s="47" t="n">
        <v>6</v>
      </c>
      <c r="B10" s="45" t="n">
        <v>6</v>
      </c>
      <c r="C10" s="48" t="inlineStr">
        <is>
          <t>기계 사용 및 작동</t>
        </is>
      </c>
      <c r="D10" s="48" t="inlineStr">
        <is>
          <t>시끄러운 환경은 신경계에 영향을 미칩니다</t>
        </is>
      </c>
      <c r="E10" s="48" t="inlineStr">
        <is>
          <t>기계는 소음을 내기 때문에</t>
        </is>
      </c>
      <c r="F10" s="47" t="n">
        <v>3</v>
      </c>
      <c r="G10" s="47" t="n">
        <v>5</v>
      </c>
      <c r="H10" s="47">
        <f>F10*G10</f>
        <v/>
      </c>
      <c r="I10" s="48" t="inlineStr">
        <is>
          <t>C</t>
        </is>
      </c>
      <c r="J10" s="48" t="inlineStr">
        <is>
          <t>소음 제거 귀마개를 착용하고 정기적으로 장비를 관리하십시오.</t>
        </is>
      </c>
      <c r="K10" s="48" t="n"/>
      <c r="L10" s="47" t="n"/>
      <c r="M10" s="47" t="n"/>
      <c r="N10" s="48" t="n"/>
    </row>
    <row r="11" ht="86.25" customFormat="1" customHeight="1" s="739">
      <c r="A11" s="45" t="n">
        <v>7</v>
      </c>
      <c r="B11" s="45" t="n">
        <v>7</v>
      </c>
      <c r="C11" s="48" t="inlineStr">
        <is>
          <t>플라스틱을 붓고 물품을 운반하는 과정</t>
        </is>
      </c>
      <c r="D11" s="48" t="inlineStr">
        <is>
          <t>작업 중 먼지 흡입</t>
        </is>
      </c>
      <c r="E11" s="48" t="inlineStr">
        <is>
          <t>원자재 및 물품 운송 중 먼지</t>
        </is>
      </c>
      <c r="F11" s="47" t="n">
        <v>2</v>
      </c>
      <c r="G11" s="47" t="n">
        <v>5</v>
      </c>
      <c r="H11" s="47">
        <f>F11*G11</f>
        <v/>
      </c>
      <c r="I11" s="48" t="inlineStr">
        <is>
          <t>B</t>
        </is>
      </c>
      <c r="J11" s="47" t="inlineStr">
        <is>
          <t>액티브 마스크를 착용하세요</t>
        </is>
      </c>
      <c r="K11" s="48" t="n"/>
      <c r="L11" s="47" t="n"/>
      <c r="M11" s="47" t="n"/>
      <c r="N11" s="48" t="n"/>
    </row>
    <row r="12" ht="58.15" customFormat="1" customHeight="1" s="739">
      <c r="A12" s="47" t="n">
        <v>8</v>
      </c>
      <c r="B12" s="47" t="n">
        <v>8</v>
      </c>
      <c r="C12" s="48" t="inlineStr">
        <is>
          <t>기계를 시작하세요</t>
        </is>
      </c>
      <c r="D12" s="48" t="inlineStr">
        <is>
          <t>유독한 냄새 흡입</t>
        </is>
      </c>
      <c r="E12" s="48" t="inlineStr">
        <is>
          <t>녹는 과정으로 인해 플라스틱에서 냄새가 발생합니다.</t>
        </is>
      </c>
      <c r="F12" s="47" t="n">
        <v>3</v>
      </c>
      <c r="G12" s="47" t="n">
        <v>5</v>
      </c>
      <c r="H12" s="47">
        <f>F12*G12</f>
        <v/>
      </c>
      <c r="I12" s="48" t="inlineStr">
        <is>
          <t>C</t>
        </is>
      </c>
      <c r="J12" s="47" t="inlineStr">
        <is>
          <t>액티브 마스크를 착용하세요</t>
        </is>
      </c>
      <c r="K12" s="48" t="n"/>
      <c r="L12" s="47" t="n"/>
      <c r="M12" s="47" t="n"/>
      <c r="N12" s="48" t="n"/>
    </row>
    <row r="13" ht="58.15" customHeight="1" s="157">
      <c r="A13" s="48" t="n">
        <v>9</v>
      </c>
      <c r="B13" s="48" t="n"/>
      <c r="C13" s="48" t="inlineStr">
        <is>
          <t>토치 사용
(긴급한 경우)</t>
        </is>
      </c>
      <c r="D13" s="739" t="inlineStr">
        <is>
          <t>화상을 일으키고 눈에 튀게 됨</t>
        </is>
      </c>
      <c r="E13" s="48" t="inlineStr">
        <is>
          <t>토칭 과정에서 표면이 가열되어 눈에 화상이나 폭발물이 발생할 수 있습니다.</t>
        </is>
      </c>
      <c r="F13" s="47" t="n">
        <v>2</v>
      </c>
      <c r="G13" s="47" t="n">
        <v>5</v>
      </c>
      <c r="H13" s="47">
        <f>F13*G13</f>
        <v/>
      </c>
      <c r="I13" s="48" t="inlineStr">
        <is>
          <t>B</t>
        </is>
      </c>
      <c r="J13" s="48" t="inlineStr">
        <is>
          <t>장갑과 고글을 사용하세요.</t>
        </is>
      </c>
      <c r="K13" s="48" t="n"/>
      <c r="L13" s="48" t="n"/>
      <c r="M13" s="48" t="n"/>
      <c r="N13" s="48" t="n"/>
    </row>
    <row r="14" ht="81.59999999999999" customHeight="1" s="157">
      <c r="A14" s="48" t="n">
        <v>10</v>
      </c>
      <c r="B14" s="48" t="n"/>
      <c r="C14" s="48" t="inlineStr">
        <is>
          <t>전기 단락</t>
        </is>
      </c>
      <c r="D14" s="711" t="inlineStr">
        <is>
          <t>전기 화재</t>
        </is>
      </c>
      <c r="E14" s="710" t="inlineStr">
        <is>
          <t>전선 끝이 제대로 접촉되지 않아 위상이 단락됩니다. 화재나 폭발은 위험합니다</t>
        </is>
      </c>
      <c r="F14" s="711" t="n">
        <v>5</v>
      </c>
      <c r="G14" s="711" t="n">
        <v>2</v>
      </c>
      <c r="H14" s="711">
        <f>F14*G14</f>
        <v/>
      </c>
      <c r="I14" s="710" t="inlineStr">
        <is>
          <t>B</t>
        </is>
      </c>
      <c r="J14" s="710" t="inlineStr">
        <is>
          <t>각 상은 브리지로 연결되며 전선은 보호선으로 덮여 있습니다. 검사 정기 유지보수, 기계에는 비상 정지 버튼이 있음</t>
        </is>
      </c>
      <c r="K14" s="710" t="n"/>
      <c r="L14" s="711" t="n"/>
      <c r="M14" s="711" t="n"/>
      <c r="N14" s="710" t="n"/>
    </row>
    <row r="15" ht="58.15" customHeight="1" s="157">
      <c r="A15" s="48" t="n">
        <v>11</v>
      </c>
      <c r="B15" s="48" t="n"/>
      <c r="C15" s="48" t="inlineStr">
        <is>
          <t>크레인</t>
        </is>
      </c>
      <c r="D15" s="73" t="inlineStr">
        <is>
          <t>깨진 크레인 케이블</t>
        </is>
      </c>
      <c r="E15" s="73" t="inlineStr">
        <is>
          <t>무거운 물건을 들어올려 과부하된 크레인, 부러진 케이블이 사람에게 떨어지다</t>
        </is>
      </c>
      <c r="F15" s="711" t="n">
        <v>5</v>
      </c>
      <c r="G15" s="711" t="n">
        <v>1</v>
      </c>
      <c r="H15" s="711">
        <f>F15*G15</f>
        <v/>
      </c>
      <c r="I15" s="710" t="inlineStr">
        <is>
          <t>A</t>
        </is>
      </c>
      <c r="J15" s="46" t="inlineStr">
        <is>
          <t>운전자는 크레인 운전 자격증을 가지고 있어야 합니다.</t>
        </is>
      </c>
      <c r="K15" s="48" t="n"/>
      <c r="L15" s="48" t="n"/>
      <c r="M15" s="48" t="n"/>
      <c r="N15" s="48" t="n"/>
    </row>
    <row r="16" ht="58.15" customHeight="1" s="157">
      <c r="A16" s="48" t="n">
        <v>12</v>
      </c>
      <c r="B16" s="48" t="n"/>
      <c r="C16" s="841" t="n"/>
      <c r="D16" s="73" t="inlineStr">
        <is>
          <t>충돌</t>
        </is>
      </c>
      <c r="E16" s="73" t="inlineStr">
        <is>
          <t>이동 시 다른 사람과 부딪칩니다(cnv 충돌).</t>
        </is>
      </c>
      <c r="F16" s="711" t="n">
        <v>5</v>
      </c>
      <c r="G16" s="711" t="n">
        <v>2</v>
      </c>
      <c r="H16" s="711">
        <f>F16*G16</f>
        <v/>
      </c>
      <c r="I16" s="710" t="inlineStr">
        <is>
          <t>A</t>
        </is>
      </c>
      <c r="J16" s="841" t="n"/>
      <c r="K16" s="48" t="n"/>
      <c r="L16" s="48" t="n"/>
      <c r="M16" s="48" t="n"/>
      <c r="N16" s="48" t="n"/>
    </row>
    <row r="17">
      <c r="H17" s="709" t="n"/>
    </row>
    <row r="18">
      <c r="H18" s="709" t="n"/>
    </row>
    <row r="19">
      <c r="H19" s="709" t="n"/>
    </row>
    <row r="20">
      <c r="H20" s="709" t="n"/>
    </row>
  </sheetData>
  <mergeCells count="13">
    <mergeCell ref="A2:E2"/>
    <mergeCell ref="K3:N3"/>
    <mergeCell ref="F3:I3"/>
    <mergeCell ref="A3:A4"/>
    <mergeCell ref="B3:B4"/>
    <mergeCell ref="C3:C4"/>
    <mergeCell ref="E3:E4"/>
    <mergeCell ref="D3:D4"/>
    <mergeCell ref="C15:C16"/>
    <mergeCell ref="J3:J4"/>
    <mergeCell ref="F1:N1"/>
    <mergeCell ref="J15:J16"/>
    <mergeCell ref="F2:N2"/>
  </mergeCells>
  <pageMargins left="0.25" right="0.25" top="0.75" bottom="0.75" header="0.3" footer="0.3"/>
  <pageSetup orientation="landscape" paperSize="9" scale="75" fitToHeight="0" useFirstPageNumber="1" horizontalDpi="300" verticalDpi="300"/>
  <drawing xmlns:r="http://schemas.openxmlformats.org/officeDocument/2006/relationships" r:id="rId1"/>
</worksheet>
</file>

<file path=xl/worksheets/sheet14.xml><?xml version="1.0" encoding="utf-8"?>
<worksheet xmlns="http://schemas.openxmlformats.org/spreadsheetml/2006/main">
  <sheetPr>
    <tabColor theme="0" tint="-0.3499862666707358"/>
    <outlinePr summaryBelow="1" summaryRight="1"/>
    <pageSetUpPr/>
  </sheetPr>
  <dimension ref="A1:M22"/>
  <sheetViews>
    <sheetView view="pageBreakPreview" topLeftCell="A7" zoomScale="82" zoomScaleNormal="89" zoomScaleSheetLayoutView="82" workbookViewId="0">
      <selection activeCell="G11" sqref="G11"/>
    </sheetView>
  </sheetViews>
  <sheetFormatPr baseColWidth="8" defaultColWidth="11.5703125" defaultRowHeight="15.75"/>
  <cols>
    <col width="4.85546875" customWidth="1" style="489" min="1" max="1"/>
    <col width="15.28515625" customWidth="1" style="218" min="2" max="2"/>
    <col width="31.5703125" customWidth="1" style="727" min="3" max="3"/>
    <col width="45.28515625" customWidth="1" style="727" min="4" max="4"/>
    <col width="4.5703125" customWidth="1" style="489" min="5" max="5"/>
    <col width="5" customWidth="1" style="489" min="6" max="6"/>
    <col width="6.85546875" customWidth="1" style="489" min="7" max="7"/>
    <col width="12" customWidth="1" style="489" min="8" max="8"/>
    <col width="51.28515625" customWidth="1" style="489" min="9" max="9"/>
    <col width="4.7109375" customWidth="1" style="489" min="10" max="10"/>
    <col width="4.85546875" customWidth="1" style="489" min="11" max="11"/>
    <col width="9.7109375" customWidth="1" style="489" min="12" max="12"/>
    <col width="10" customWidth="1" style="489" min="13" max="13"/>
    <col width="11.5703125" customWidth="1" style="489" min="14" max="16384"/>
  </cols>
  <sheetData>
    <row r="1" ht="22.15" customHeight="1" s="157">
      <c r="A1" s="719" t="n"/>
      <c r="B1" s="719" t="n"/>
      <c r="C1" s="719" t="n"/>
      <c r="D1" s="719" t="n"/>
      <c r="E1" s="719" t="inlineStr">
        <is>
          <t>EHS.04.01.03 Ngày ban hành 03/01/2020</t>
        </is>
      </c>
    </row>
    <row r="2" ht="163.9" customHeight="1" s="157">
      <c r="A2" s="715" t="inlineStr">
        <is>
          <t>위험 식별 및 위험 분석 
집회실</t>
        </is>
      </c>
      <c r="B2" s="159" t="n"/>
      <c r="C2" s="159" t="n"/>
      <c r="D2" s="159" t="n"/>
      <c r="E2" s="718" t="n"/>
      <c r="F2" s="159" t="n"/>
      <c r="G2" s="159" t="n"/>
      <c r="H2" s="159" t="n"/>
      <c r="I2" s="159" t="n"/>
      <c r="J2" s="159" t="n"/>
      <c r="K2" s="159" t="n"/>
      <c r="L2" s="159" t="n"/>
      <c r="M2" s="159" t="n"/>
    </row>
    <row r="3" ht="63.75" customFormat="1" customHeight="1" s="727">
      <c r="A3" s="720" t="inlineStr">
        <is>
          <t>번호</t>
        </is>
      </c>
      <c r="B3" s="721" t="inlineStr">
        <is>
          <t>프로세스/진행상황</t>
        </is>
      </c>
      <c r="C3" s="721" t="inlineStr">
        <is>
          <t>잠재력</t>
        </is>
      </c>
      <c r="D3" s="720" t="inlineStr">
        <is>
          <t>원인/설명</t>
        </is>
      </c>
      <c r="E3" s="720" t="inlineStr">
        <is>
          <t>리스크 평가</t>
        </is>
      </c>
      <c r="F3" s="159" t="n"/>
      <c r="G3" s="159" t="n"/>
      <c r="H3" s="290" t="n"/>
      <c r="I3" s="721" t="inlineStr">
        <is>
          <t>예방/시정 조치</t>
        </is>
      </c>
      <c r="J3" s="721" t="inlineStr">
        <is>
          <t>외부 평가
예방 조치를 취한 후</t>
        </is>
      </c>
      <c r="K3" s="159" t="n"/>
      <c r="L3" s="159" t="n"/>
      <c r="M3" s="290" t="n"/>
    </row>
    <row r="4" ht="59.25" customFormat="1" customHeight="1" s="727">
      <c r="A4" s="818" t="n"/>
      <c r="B4" s="818" t="n"/>
      <c r="C4" s="818" t="n"/>
      <c r="D4" s="818" t="n"/>
      <c r="E4" s="610" t="inlineStr">
        <is>
          <t>S</t>
        </is>
      </c>
      <c r="F4" s="610" t="inlineStr">
        <is>
          <t>F</t>
        </is>
      </c>
      <c r="G4" s="610" t="inlineStr">
        <is>
          <t>S*F</t>
        </is>
      </c>
      <c r="H4" s="609" t="inlineStr">
        <is>
          <t>위험 분류</t>
        </is>
      </c>
      <c r="I4" s="818" t="n"/>
      <c r="J4" s="609" t="inlineStr">
        <is>
          <t>S</t>
        </is>
      </c>
      <c r="K4" s="610" t="inlineStr">
        <is>
          <t>F</t>
        </is>
      </c>
      <c r="L4" s="610" t="inlineStr">
        <is>
          <t>S*F</t>
        </is>
      </c>
      <c r="M4" s="609" t="inlineStr">
        <is>
          <t>분류
 위험</t>
        </is>
      </c>
    </row>
    <row r="5" ht="90.75" customFormat="1" customHeight="1" s="727">
      <c r="A5" s="84" t="n">
        <v>1</v>
      </c>
      <c r="B5" s="85" t="inlineStr">
        <is>
          <t>상품 수입 및 수출</t>
        </is>
      </c>
      <c r="C5" s="87" t="inlineStr">
        <is>
          <t>무겁고 범퍼가 있는 물건을 운반하면 보관함을 접을 때 척추 부상과 손 긁힘이 발생할 수 있습니다.</t>
        </is>
      </c>
      <c r="D5" s="95" t="inlineStr">
        <is>
          <t>무거운 물건으로 인해 지지물이 없으며, 보관 트레이의 모서리가 날카롭습니다.</t>
        </is>
      </c>
      <c r="E5" s="84" t="n">
        <v>1</v>
      </c>
      <c r="F5" s="84" t="n">
        <v>5</v>
      </c>
      <c r="G5" s="84" t="n">
        <v>5</v>
      </c>
      <c r="H5" s="85" t="inlineStr">
        <is>
          <t>A</t>
        </is>
      </c>
      <c r="I5" s="85" t="inlineStr">
        <is>
          <t>물품을 운반할 때는 타워를 이용하고, 가방을 이용하세요 
물건을 운반할 때 손가락과 장갑</t>
        </is>
      </c>
      <c r="J5" s="85" t="n"/>
      <c r="K5" s="84" t="n"/>
      <c r="L5" s="84" t="n"/>
      <c r="M5" s="85" t="n"/>
    </row>
    <row r="6" ht="73.5" customFormat="1" customHeight="1" s="727">
      <c r="A6" s="86" t="n">
        <v>2</v>
      </c>
      <c r="B6" s="87" t="inlineStr">
        <is>
          <t>프레스 기계</t>
        </is>
      </c>
      <c r="C6" s="87" t="inlineStr">
        <is>
          <t>작업으로 인해 손이 화상을 입거나 부러지는 경우 손을 대는 것이 가능합니다.</t>
        </is>
      </c>
      <c r="D6" s="87" t="inlineStr">
        <is>
          <t>대형 기계의 압력으로 인해 잘못된 작동으로 인해 작업 사고가 발생함</t>
        </is>
      </c>
      <c r="E6" s="86" t="n">
        <v>5</v>
      </c>
      <c r="F6" s="86" t="n">
        <v>3</v>
      </c>
      <c r="G6" s="86" t="n">
        <v>15</v>
      </c>
      <c r="H6" s="87" t="inlineStr">
        <is>
          <t>C</t>
        </is>
      </c>
      <c r="I6" s="87" t="inlineStr">
        <is>
          <t>기계에 센서 설치
버튼이 2개 있는 기계를 사용하세요</t>
        </is>
      </c>
      <c r="J6" s="87" t="n"/>
      <c r="K6" s="86" t="n"/>
      <c r="L6" s="86" t="n"/>
      <c r="M6" s="87" t="n"/>
    </row>
    <row r="7" ht="61.5" customFormat="1" customHeight="1" s="727">
      <c r="A7" s="86" t="n">
        <v>3</v>
      </c>
      <c r="B7" s="87" t="inlineStr">
        <is>
          <t>QUẾT KEO PRE GLUE</t>
        </is>
      </c>
      <c r="C7" s="87" t="inlineStr">
        <is>
          <t>건조하지 않은 접착제의 냄새는 신경에 영향을 미칩니다</t>
        </is>
      </c>
      <c r="D7" s="87" t="inlineStr">
        <is>
          <t>접착제의 강한 냄새로 인해 냄새를 너무 많이 맡으면 두통을 유발할 수 있습니다.</t>
        </is>
      </c>
      <c r="E7" s="86" t="n">
        <v>3</v>
      </c>
      <c r="F7" s="86" t="n">
        <v>5</v>
      </c>
      <c r="G7" s="86">
        <f>E7*F7</f>
        <v/>
      </c>
      <c r="H7" s="87" t="inlineStr">
        <is>
          <t>C</t>
        </is>
      </c>
      <c r="I7" s="86" t="inlineStr">
        <is>
          <t>작동 위치에 대한 배기 시스템 설치</t>
        </is>
      </c>
      <c r="J7" s="87" t="n"/>
      <c r="K7" s="86" t="n"/>
      <c r="L7" s="86" t="n"/>
      <c r="M7" s="87" t="n"/>
    </row>
    <row r="8" ht="66" customFormat="1" customHeight="1" s="727">
      <c r="A8" s="86" t="n">
        <v>4</v>
      </c>
      <c r="B8" s="87" t="inlineStr">
        <is>
          <t>핫 프레싱 머신</t>
        </is>
      </c>
      <c r="C8" s="87" t="inlineStr">
        <is>
          <t>손 화상 유발</t>
        </is>
      </c>
      <c r="D8" s="87" t="inlineStr">
        <is>
          <t>픽업 작동 중 기계 온도가 높습니다.</t>
        </is>
      </c>
      <c r="E8" s="86" t="n">
        <v>1</v>
      </c>
      <c r="F8" s="86" t="n">
        <v>5</v>
      </c>
      <c r="G8" s="86">
        <f>E8*F8</f>
        <v/>
      </c>
      <c r="H8" s="85" t="inlineStr">
        <is>
          <t>A</t>
        </is>
      </c>
      <c r="I8" s="86" t="inlineStr">
        <is>
          <t>작업할 때 장갑을 착용하세요</t>
        </is>
      </c>
      <c r="J8" s="87" t="n"/>
      <c r="K8" s="86" t="n"/>
      <c r="L8" s="86" t="n"/>
      <c r="M8" s="87" t="n"/>
    </row>
    <row r="9" ht="75" customFormat="1" customHeight="1" s="727">
      <c r="A9" s="86" t="n">
        <v>5</v>
      </c>
      <c r="B9" s="87" t="inlineStr">
        <is>
          <t>작동을 위해 핀셋을 사용하십시오</t>
        </is>
      </c>
      <c r="C9" s="87" t="inlineStr">
        <is>
          <t>작동 시 긁힘이나 파손의 원인</t>
        </is>
      </c>
      <c r="D9" s="87" t="inlineStr">
        <is>
          <t>핀셋은 취급 시 손에 쉽게 손상을 줄 수 있는 날카로운 물체입니다.</t>
        </is>
      </c>
      <c r="E9" s="86" t="n">
        <v>2</v>
      </c>
      <c r="F9" s="86" t="n">
        <v>5</v>
      </c>
      <c r="G9" s="86">
        <f>E9*F9</f>
        <v/>
      </c>
      <c r="H9" s="87" t="inlineStr">
        <is>
          <t>B</t>
        </is>
      </c>
      <c r="I9" s="87" t="inlineStr">
        <is>
          <t>올바른 위치에 보관
가위, 날카로운 물체의 번호 매기기 및 관리에 대한 보호 기능 사용</t>
        </is>
      </c>
      <c r="J9" s="87" t="n"/>
      <c r="K9" s="86" t="n"/>
      <c r="L9" s="86" t="n"/>
      <c r="M9" s="87" t="n"/>
    </row>
    <row r="10" ht="75" customHeight="1" s="157">
      <c r="A10" s="87" t="n">
        <v>6</v>
      </c>
      <c r="B10" s="87" t="inlineStr">
        <is>
          <t>상자를 사용하세요</t>
        </is>
      </c>
      <c r="C10" s="87" t="inlineStr">
        <is>
          <t>다리를 클릭하세요</t>
        </is>
      </c>
      <c r="D10" s="87" t="inlineStr">
        <is>
          <t>차량을 이용해 상품을 반품하세요.</t>
        </is>
      </c>
      <c r="E10" s="86" t="n">
        <v>1</v>
      </c>
      <c r="F10" s="86" t="n">
        <v>5</v>
      </c>
      <c r="G10" s="86">
        <f>E10*F10</f>
        <v/>
      </c>
      <c r="H10" s="85" t="inlineStr">
        <is>
          <t>A</t>
        </is>
      </c>
      <c r="I10" s="87" t="inlineStr">
        <is>
          <t>부드럽게 움직여라</t>
        </is>
      </c>
      <c r="J10" s="87" t="n"/>
      <c r="K10" s="87" t="n"/>
      <c r="L10" s="87" t="n"/>
      <c r="M10" s="87" t="n"/>
    </row>
    <row r="11" ht="75" customHeight="1" s="157">
      <c r="A11" s="87" t="n">
        <v>7</v>
      </c>
      <c r="B11" s="87" t="inlineStr">
        <is>
          <t>전기</t>
        </is>
      </c>
      <c r="C11" s="87" t="inlineStr">
        <is>
          <t>전기 화재</t>
        </is>
      </c>
      <c r="D11" s="87" t="inlineStr">
        <is>
          <t>전선이 접촉이 잘 되지 않아 단락이 발생하고 위험한 화재 및 폭발이 발생할 수 있습니다.</t>
        </is>
      </c>
      <c r="E11" s="87" t="n">
        <v>5</v>
      </c>
      <c r="F11" s="87" t="n">
        <v>2</v>
      </c>
      <c r="G11" s="87">
        <f>E11*F11</f>
        <v/>
      </c>
      <c r="H11" s="87" t="inlineStr">
        <is>
          <t>B</t>
        </is>
      </c>
      <c r="I11" s="87" t="inlineStr">
        <is>
          <t>단계는 브리지로 연결되고, 와이어는 보호 유전자로 덮여 있으며, 정기적인 유지 관리가 점검되고, 비상 정지 버튼이 있습니다.</t>
        </is>
      </c>
      <c r="J11" s="87" t="n"/>
      <c r="K11" s="87" t="n"/>
      <c r="L11" s="87" t="n"/>
      <c r="M11" s="87" t="n"/>
    </row>
    <row r="12" ht="75" customHeight="1" s="157">
      <c r="A12" s="87" t="n">
        <v>8</v>
      </c>
      <c r="B12" s="87" t="inlineStr">
        <is>
          <t>대회 참석</t>
        </is>
      </c>
      <c r="C12" s="87" t="inlineStr">
        <is>
          <t>앉아 있으면 허리가 피로해지고 근육과 관절에 영향을 줍니다.</t>
        </is>
      </c>
      <c r="D12" s="87" t="inlineStr">
        <is>
          <t>오랫동안 앉아 있으면 근육과 관절에 영향을 미칩니다</t>
        </is>
      </c>
      <c r="E12" s="86" t="n">
        <v>2</v>
      </c>
      <c r="F12" s="86" t="n">
        <v>5</v>
      </c>
      <c r="G12" s="86">
        <f>E12*F12</f>
        <v/>
      </c>
      <c r="H12" s="87" t="inlineStr">
        <is>
          <t>B</t>
        </is>
      </c>
      <c r="I12" s="87" t="inlineStr">
        <is>
          <t>소프트 작업용 의자를 사용하세요</t>
        </is>
      </c>
      <c r="J12" s="87" t="n"/>
      <c r="K12" s="87" t="n"/>
      <c r="L12" s="87" t="n"/>
      <c r="M12" s="87" t="n"/>
    </row>
    <row r="13">
      <c r="C13" s="719" t="n"/>
      <c r="G13" s="489" t="n"/>
    </row>
    <row r="14">
      <c r="C14" s="719" t="n"/>
      <c r="G14" s="489" t="n"/>
      <c r="I14" s="218" t="n"/>
    </row>
    <row r="15">
      <c r="C15" s="719" t="n"/>
      <c r="G15" s="489" t="n"/>
      <c r="I15" s="218" t="n"/>
    </row>
    <row r="16">
      <c r="G16" s="489" t="n"/>
    </row>
    <row r="17" customFormat="1" s="489">
      <c r="A17" s="489" t="n"/>
    </row>
    <row r="18">
      <c r="C18" s="719" t="n"/>
      <c r="G18" s="489" t="n"/>
    </row>
    <row r="19">
      <c r="G19" s="489" t="n"/>
    </row>
    <row r="20">
      <c r="G20" s="489" t="n"/>
    </row>
    <row r="21">
      <c r="G21" s="489" t="n"/>
    </row>
    <row r="22">
      <c r="G22" s="489" t="n"/>
    </row>
  </sheetData>
  <mergeCells count="11">
    <mergeCell ref="E2:M2"/>
    <mergeCell ref="E1:M1"/>
    <mergeCell ref="E3:H3"/>
    <mergeCell ref="C3:C4"/>
    <mergeCell ref="A3:A4"/>
    <mergeCell ref="B3:B4"/>
    <mergeCell ref="A17:M17"/>
    <mergeCell ref="J3:M3"/>
    <mergeCell ref="I3:I4"/>
    <mergeCell ref="D3:D4"/>
    <mergeCell ref="A2:D2"/>
  </mergeCells>
  <pageMargins left="0.44" right="0.16" top="0.74" bottom="0.16" header="0.36" footer="0.23"/>
  <pageSetup orientation="landscape" scale="56" fitToHeight="0" useFirstPageNumber="1" horizontalDpi="300" verticalDpi="300"/>
  <drawing xmlns:r="http://schemas.openxmlformats.org/officeDocument/2006/relationships" r:id="rId1"/>
</worksheet>
</file>

<file path=xl/worksheets/sheet15.xml><?xml version="1.0" encoding="utf-8"?>
<worksheet xmlns="http://schemas.openxmlformats.org/spreadsheetml/2006/main">
  <sheetPr>
    <tabColor theme="0" tint="-0.499984740745262"/>
    <outlinePr summaryBelow="1" summaryRight="1"/>
    <pageSetUpPr/>
  </sheetPr>
  <dimension ref="A1:M20"/>
  <sheetViews>
    <sheetView zoomScale="89" zoomScaleNormal="89" zoomScaleSheetLayoutView="82" workbookViewId="0">
      <selection activeCell="H7" sqref="H7"/>
    </sheetView>
  </sheetViews>
  <sheetFormatPr baseColWidth="8" defaultColWidth="11.5703125" defaultRowHeight="18.75"/>
  <cols>
    <col width="4.85546875" customWidth="1" style="709" min="1" max="1"/>
    <col width="15.28515625" customWidth="1" style="111" min="2" max="2"/>
    <col width="31.5703125" customWidth="1" style="739" min="3" max="3"/>
    <col width="45.28515625" customWidth="1" style="739" min="4" max="4"/>
    <col width="4.5703125" customWidth="1" style="739" min="5" max="5"/>
    <col width="5" customWidth="1" style="739" min="6" max="6"/>
    <col width="6.85546875" customWidth="1" style="739" min="7" max="7"/>
    <col width="11.7109375" customWidth="1" style="739" min="8" max="8"/>
    <col width="39.5703125" customWidth="1" style="739" min="9" max="9"/>
    <col width="4.7109375" customWidth="1" style="739" min="10" max="10"/>
    <col width="4.85546875" customWidth="1" style="739" min="11" max="11"/>
    <col width="6.5703125" customWidth="1" style="739" min="12" max="12"/>
    <col width="11.42578125" customWidth="1" style="739" min="13" max="13"/>
    <col width="11.5703125" customWidth="1" style="252" min="14" max="16384"/>
  </cols>
  <sheetData>
    <row r="1" ht="20.45" customHeight="1" s="157">
      <c r="A1" s="709" t="n"/>
      <c r="B1" s="111" t="n"/>
      <c r="C1" s="739" t="n"/>
      <c r="D1" s="739" t="n"/>
      <c r="E1" s="739" t="inlineStr">
        <is>
          <t>EHS.04.01.03 Ngày ban hành 03/01/2020</t>
        </is>
      </c>
    </row>
    <row r="2" ht="163.9" customHeight="1" s="157">
      <c r="A2" s="715" t="inlineStr">
        <is>
          <t>위험 식별 및 위험 분석 
원자재 창고</t>
        </is>
      </c>
      <c r="B2" s="159" t="n"/>
      <c r="C2" s="159" t="n"/>
      <c r="D2" s="159" t="n"/>
      <c r="E2" s="722" t="n"/>
      <c r="F2" s="159" t="n"/>
      <c r="G2" s="159" t="n"/>
      <c r="H2" s="159" t="n"/>
      <c r="I2" s="159" t="n"/>
      <c r="J2" s="159" t="n"/>
      <c r="K2" s="159" t="n"/>
      <c r="L2" s="159" t="n"/>
      <c r="M2" s="159" t="n"/>
    </row>
    <row r="3" ht="63.75" customFormat="1" customHeight="1" s="739">
      <c r="A3" s="711" t="inlineStr">
        <is>
          <t>번호</t>
        </is>
      </c>
      <c r="B3" s="710" t="inlineStr">
        <is>
          <t>프로세스/진행상황</t>
        </is>
      </c>
      <c r="C3" s="710" t="inlineStr">
        <is>
          <t>잠재력</t>
        </is>
      </c>
      <c r="D3" s="711" t="inlineStr">
        <is>
          <t>원인/설명</t>
        </is>
      </c>
      <c r="E3" s="711" t="inlineStr">
        <is>
          <t>리스크 평가</t>
        </is>
      </c>
      <c r="F3" s="814" t="n"/>
      <c r="G3" s="814" t="n"/>
      <c r="H3" s="815" t="n"/>
      <c r="I3" s="710" t="inlineStr">
        <is>
          <t>예방/시정 조치</t>
        </is>
      </c>
      <c r="J3" s="710" t="inlineStr">
        <is>
          <t>외부 평가
예방 조치를 취한 후</t>
        </is>
      </c>
      <c r="K3" s="814" t="n"/>
      <c r="L3" s="814" t="n"/>
      <c r="M3" s="815" t="n"/>
    </row>
    <row r="4" ht="45.75" customFormat="1" customHeight="1" s="739">
      <c r="A4" s="818" t="n"/>
      <c r="B4" s="818" t="n"/>
      <c r="C4" s="818" t="n"/>
      <c r="D4" s="818" t="n"/>
      <c r="E4" s="711" t="inlineStr">
        <is>
          <t>S</t>
        </is>
      </c>
      <c r="F4" s="711" t="inlineStr">
        <is>
          <t>F</t>
        </is>
      </c>
      <c r="G4" s="711" t="inlineStr">
        <is>
          <t>S*F</t>
        </is>
      </c>
      <c r="H4" s="710" t="inlineStr">
        <is>
          <t>위험 분류</t>
        </is>
      </c>
      <c r="I4" s="818" t="n"/>
      <c r="J4" s="710" t="inlineStr">
        <is>
          <t>S</t>
        </is>
      </c>
      <c r="K4" s="711" t="inlineStr">
        <is>
          <t>F</t>
        </is>
      </c>
      <c r="L4" s="711" t="inlineStr">
        <is>
          <t>S*F</t>
        </is>
      </c>
      <c r="M4" s="710" t="inlineStr">
        <is>
          <t>분류
 위험</t>
        </is>
      </c>
    </row>
    <row r="5" ht="79.5" customFormat="1" customHeight="1" s="739">
      <c r="A5" s="45" t="n">
        <v>1</v>
      </c>
      <c r="B5" s="46" t="inlineStr">
        <is>
          <t>물품 수령 및 보존</t>
        </is>
      </c>
      <c r="C5" s="46" t="inlineStr">
        <is>
          <t>물건이 사람에게 떨어지다</t>
        </is>
      </c>
      <c r="D5" s="106" t="inlineStr">
        <is>
          <t>규정된 규격(&gt;3m)보다 큰 부피가 큰 물품을 적재하는 경우</t>
        </is>
      </c>
      <c r="E5" s="45" t="n">
        <v>1</v>
      </c>
      <c r="F5" s="45" t="n">
        <v>3</v>
      </c>
      <c r="G5" s="45">
        <f>E5*F5</f>
        <v/>
      </c>
      <c r="H5" s="46" t="inlineStr">
        <is>
          <t>A</t>
        </is>
      </c>
      <c r="I5" s="46" t="inlineStr">
        <is>
          <t>공급업체는 배송 전에 표준에 따라 제품을 준비하도록 요구합니다. 창고 내 상품 배열도 규정된 표준을 따라야 합니다.</t>
        </is>
      </c>
      <c r="J5" s="46" t="n"/>
      <c r="K5" s="45" t="n"/>
      <c r="L5" s="45" t="n"/>
      <c r="M5" s="46" t="n"/>
    </row>
    <row r="6" ht="84" customFormat="1" customHeight="1" s="739">
      <c r="A6" s="47" t="n">
        <v>2</v>
      </c>
      <c r="B6" s="48" t="inlineStr">
        <is>
          <t>물품 수령 및 보존</t>
        </is>
      </c>
      <c r="C6" s="48" t="inlineStr">
        <is>
          <t>지게차가 후진해 사람과 충돌했다</t>
        </is>
      </c>
      <c r="D6" s="48" t="inlineStr">
        <is>
          <t>빠르게 움직일 때 관찰력이 부족함</t>
        </is>
      </c>
      <c r="E6" s="47" t="n">
        <v>2</v>
      </c>
      <c r="F6" s="47" t="n">
        <v>2</v>
      </c>
      <c r="G6" s="47">
        <f>E6*F6</f>
        <v/>
      </c>
      <c r="H6" s="48" t="inlineStr">
        <is>
          <t>A</t>
        </is>
      </c>
      <c r="I6" s="48" t="inlineStr">
        <is>
          <t>충돌을 피하기 위해 세심한 주의를 기울이면서 적당한 속도로 이동하십시오. 작업자는 지게차 작업 시 보호 신발을 착용해야 합니다.</t>
        </is>
      </c>
      <c r="J6" s="48" t="n"/>
      <c r="K6" s="47" t="n"/>
      <c r="L6" s="47" t="n"/>
      <c r="M6" s="48" t="n"/>
    </row>
    <row r="7" ht="61.5" customFormat="1" customHeight="1" s="739">
      <c r="A7" s="47" t="n">
        <v>3</v>
      </c>
      <c r="B7" s="48" t="inlineStr">
        <is>
          <t>물품 수령 및 보존</t>
        </is>
      </c>
      <c r="C7" s="48" t="inlineStr">
        <is>
          <t>부러진 팔</t>
        </is>
      </c>
      <c r="D7" s="48" t="inlineStr">
        <is>
          <t>날카로운 물건과의 충돌</t>
        </is>
      </c>
      <c r="E7" s="47" t="n">
        <v>1</v>
      </c>
      <c r="F7" s="47" t="n">
        <v>5</v>
      </c>
      <c r="G7" s="47">
        <f>E7*F7</f>
        <v/>
      </c>
      <c r="H7" s="48" t="inlineStr">
        <is>
          <t>A</t>
        </is>
      </c>
      <c r="I7" s="48" t="inlineStr">
        <is>
          <t>물건을 받거나 쌓을 때도 장갑을 착용하세요</t>
        </is>
      </c>
      <c r="J7" s="48" t="n"/>
      <c r="K7" s="47" t="n"/>
      <c r="L7" s="47" t="n"/>
      <c r="M7" s="48" t="n"/>
    </row>
    <row r="8" ht="93" customFormat="1" customHeight="1" s="739">
      <c r="A8" s="47" t="n">
        <v>4</v>
      </c>
      <c r="B8" s="48" t="inlineStr">
        <is>
          <t>물품 수령 및 보존</t>
        </is>
      </c>
      <c r="C8" s="48" t="inlineStr">
        <is>
          <t>중독, 먼지 및 연기 흡입</t>
        </is>
      </c>
      <c r="D8" s="48" t="inlineStr">
        <is>
          <t>물품은 건강에 영향을 미치는 먼지를 함유한 위험한 독입니다.</t>
        </is>
      </c>
      <c r="E8" s="47" t="n">
        <v>3</v>
      </c>
      <c r="F8" s="47" t="n">
        <v>3</v>
      </c>
      <c r="G8" s="47">
        <f>E8*F8</f>
        <v/>
      </c>
      <c r="H8" s="48" t="inlineStr">
        <is>
          <t>B</t>
        </is>
      </c>
      <c r="I8" s="48" t="inlineStr">
        <is>
          <t>페인트, 화학물질 등 특수한 성질을 지닌 물품을 접촉하기 전 인지교육을 받아야 합니다. 직접 접촉 시에는 장갑과 마스크를 착용하십시오.</t>
        </is>
      </c>
      <c r="J8" s="48" t="n"/>
      <c r="K8" s="47" t="n"/>
      <c r="L8" s="47" t="n"/>
      <c r="M8" s="48" t="n"/>
    </row>
    <row r="9" ht="40.5" customFormat="1" customHeight="1" s="739">
      <c r="A9" s="47" t="n">
        <v>5</v>
      </c>
      <c r="B9" s="48" t="inlineStr">
        <is>
          <t>물품 수령 및 보존</t>
        </is>
      </c>
      <c r="C9" s="48" t="inlineStr">
        <is>
          <t>허리, 팔, 어깨, 목 통증</t>
        </is>
      </c>
      <c r="D9" s="48" t="inlineStr">
        <is>
          <t>무거운 짐을 손으로 들고</t>
        </is>
      </c>
      <c r="E9" s="47" t="n">
        <v>1</v>
      </c>
      <c r="F9" s="47" t="n">
        <v>4</v>
      </c>
      <c r="G9" s="47">
        <f>E9*F9</f>
        <v/>
      </c>
      <c r="H9" s="48" t="inlineStr">
        <is>
          <t>A</t>
        </is>
      </c>
      <c r="I9" s="48" t="inlineStr">
        <is>
          <t>지게차와 특수 카트를 사용하여 물품을 당기고 이동하세요.</t>
        </is>
      </c>
      <c r="J9" s="48" t="n"/>
      <c r="K9" s="47" t="n"/>
      <c r="L9" s="47" t="n"/>
      <c r="M9" s="48" t="n"/>
    </row>
    <row r="10" ht="81.75" customFormat="1" customHeight="1" s="739">
      <c r="A10" s="47" t="n">
        <v>6</v>
      </c>
      <c r="B10" s="48" t="inlineStr">
        <is>
          <t>물품 정리</t>
        </is>
      </c>
      <c r="C10" s="48" t="inlineStr">
        <is>
          <t>감전</t>
        </is>
      </c>
      <c r="D10" s="48" t="inlineStr">
        <is>
          <t>개방/단락 전선</t>
        </is>
      </c>
      <c r="E10" s="47" t="n">
        <v>5</v>
      </c>
      <c r="F10" s="47" t="n">
        <v>1</v>
      </c>
      <c r="G10" s="47">
        <f>E10*F10</f>
        <v/>
      </c>
      <c r="H10" s="48" t="inlineStr">
        <is>
          <t>A</t>
        </is>
      </c>
      <c r="I10" s="48" t="inlineStr">
        <is>
          <t>전기기계부서에 연락하여 전선이 찢어지거나 노출되었는지 확인하고, 전기 콘센트에 경고문을 게시하고, 전선을 단단히 감아주세요.</t>
        </is>
      </c>
      <c r="J10" s="48" t="n"/>
      <c r="K10" s="47" t="n"/>
      <c r="L10" s="47" t="n"/>
      <c r="M10" s="48" t="n"/>
    </row>
    <row r="11" ht="88.5" customFormat="1" customHeight="1" s="739">
      <c r="A11" s="47" t="n">
        <v>7</v>
      </c>
      <c r="B11" s="48" t="inlineStr">
        <is>
          <t>물품 정리</t>
        </is>
      </c>
      <c r="C11" s="48" t="inlineStr">
        <is>
          <t>불</t>
        </is>
      </c>
      <c r="D11" s="48" t="inlineStr">
        <is>
          <t>전기 합선이나 인화성 물질로 인해 화재가 발생할 수 있습니다.</t>
        </is>
      </c>
      <c r="E11" s="47" t="n">
        <v>5</v>
      </c>
      <c r="F11" s="47" t="n">
        <v>1</v>
      </c>
      <c r="G11" s="47">
        <f>E11*F11</f>
        <v/>
      </c>
      <c r="H11" s="48" t="inlineStr">
        <is>
          <t>A</t>
        </is>
      </c>
      <c r="I11" s="48" t="inlineStr">
        <is>
          <t>1. 화재예방 및 물품배치에 관한 기초지식 교육 
2. 신속한 대응을 위해 현장에 소방장비를 배치한다.</t>
        </is>
      </c>
      <c r="J11" s="48" t="n"/>
      <c r="K11" s="47" t="n"/>
      <c r="L11" s="47" t="n"/>
      <c r="M11" s="48" t="n"/>
    </row>
    <row r="12" ht="69" customFormat="1" customHeight="1" s="739">
      <c r="A12" s="47" t="n">
        <v>8</v>
      </c>
      <c r="B12" s="48" t="inlineStr">
        <is>
          <t>물품 정리</t>
        </is>
      </c>
      <c r="C12" s="48" t="inlineStr">
        <is>
          <t>못을 밟았다</t>
        </is>
      </c>
      <c r="D12" s="48" t="inlineStr">
        <is>
          <t>나무 팔레트가 손상되고 못이 튀어나와 다리를 관통할 가능성이 있음</t>
        </is>
      </c>
      <c r="E12" s="47" t="n">
        <v>1</v>
      </c>
      <c r="F12" s="47" t="n">
        <v>3</v>
      </c>
      <c r="G12" s="47">
        <f>E12*F12</f>
        <v/>
      </c>
      <c r="H12" s="48" t="inlineStr">
        <is>
          <t>A</t>
        </is>
      </c>
      <c r="I12" s="48" t="inlineStr">
        <is>
          <t>오래되고 손상된 목재 팔레트를 제거하고 교체하십시오. 물품 운반 시 보호작업화를 착용하세요.</t>
        </is>
      </c>
      <c r="J12" s="48" t="n"/>
      <c r="K12" s="47" t="n"/>
      <c r="L12" s="47" t="n"/>
      <c r="M12" s="48" t="n"/>
    </row>
    <row r="13" ht="40.5" customFormat="1" customHeight="1" s="739">
      <c r="A13" s="47" t="n">
        <v>9</v>
      </c>
      <c r="B13" s="48" t="inlineStr">
        <is>
          <t>물품 정리</t>
        </is>
      </c>
      <c r="C13" s="48" t="inlineStr">
        <is>
          <t>미끄러운</t>
        </is>
      </c>
      <c r="D13" s="48" t="inlineStr">
        <is>
          <t>바닥에 물이 흘렀어요</t>
        </is>
      </c>
      <c r="E13" s="47" t="n">
        <v>1</v>
      </c>
      <c r="F13" s="47" t="n">
        <v>3</v>
      </c>
      <c r="G13" s="47">
        <f>E13*F13</f>
        <v/>
      </c>
      <c r="H13" s="48" t="inlineStr">
        <is>
          <t>A</t>
        </is>
      </c>
      <c r="I13" s="48" t="inlineStr">
        <is>
          <t>유출/물 유출 후 즉시 바닥을 청소하십시오.</t>
        </is>
      </c>
      <c r="J13" s="48" t="n"/>
      <c r="K13" s="47" t="n"/>
      <c r="L13" s="47" t="n"/>
      <c r="M13" s="48" t="n"/>
    </row>
    <row r="14" ht="63" customFormat="1" customHeight="1" s="739">
      <c r="A14" s="47" t="n">
        <v>10</v>
      </c>
      <c r="B14" s="48" t="inlineStr">
        <is>
          <t>물품 정리</t>
        </is>
      </c>
      <c r="C14" s="48" t="inlineStr">
        <is>
          <t>액체 화학물질이 눈에 튀어 피부에 손상을 입힐 수 있습니다.</t>
        </is>
      </c>
      <c r="D14" s="48" t="inlineStr">
        <is>
          <t>화학물질을 운반 및 추출할 때</t>
        </is>
      </c>
      <c r="E14" s="47" t="n">
        <v>5</v>
      </c>
      <c r="F14" s="47" t="n">
        <v>5</v>
      </c>
      <c r="G14" s="47">
        <f>E14*F14</f>
        <v/>
      </c>
      <c r="H14" s="48" t="inlineStr">
        <is>
          <t>C</t>
        </is>
      </c>
      <c r="I14" s="48" t="inlineStr">
        <is>
          <t>위험 경고 라벨을 부착하고, 눈 세척 장치를 갖추고, 노동 보호를 제공하십시오.</t>
        </is>
      </c>
      <c r="J14" s="48" t="n"/>
      <c r="K14" s="47" t="n"/>
      <c r="L14" s="47" t="n"/>
      <c r="M14" s="48" t="n"/>
    </row>
    <row r="15" ht="61.15" customFormat="1" customHeight="1" s="252">
      <c r="A15" s="48" t="n">
        <v>11</v>
      </c>
      <c r="B15" s="48" t="inlineStr">
        <is>
          <t>전기 단락</t>
        </is>
      </c>
      <c r="C15" s="711" t="inlineStr">
        <is>
          <t>전기 화재</t>
        </is>
      </c>
      <c r="D15" s="710" t="inlineStr">
        <is>
          <t>컴퓨터, 프린터 및 기타 장치의 전원입니다. 전원 코드 끝 부분의 접촉 불량으로 인해 단락이 발생합니다. 화재나 폭발은 위험합니다</t>
        </is>
      </c>
      <c r="E15" s="711" t="n">
        <v>5</v>
      </c>
      <c r="F15" s="711" t="n">
        <v>2</v>
      </c>
      <c r="G15" s="711">
        <f>E15*F15</f>
        <v/>
      </c>
      <c r="H15" s="710" t="inlineStr">
        <is>
          <t>B</t>
        </is>
      </c>
      <c r="I15" s="710" t="inlineStr">
        <is>
          <t>전기 배선을 정기적으로 점검하고 깔끔하게 정리하십시오.</t>
        </is>
      </c>
      <c r="J15" s="711" t="n"/>
      <c r="K15" s="711" t="n"/>
      <c r="L15" s="711" t="n"/>
      <c r="M15" s="711" t="n"/>
    </row>
    <row r="16">
      <c r="C16" s="111" t="n"/>
      <c r="G16" s="739" t="n"/>
    </row>
    <row r="17">
      <c r="G17" s="739" t="n"/>
    </row>
    <row r="18">
      <c r="G18" s="739" t="n"/>
    </row>
    <row r="19">
      <c r="G19" s="739" t="n"/>
    </row>
    <row r="20">
      <c r="G20" s="739" t="n"/>
    </row>
  </sheetData>
  <mergeCells count="10">
    <mergeCell ref="E2:M2"/>
    <mergeCell ref="E1:M1"/>
    <mergeCell ref="E3:H3"/>
    <mergeCell ref="C3:C4"/>
    <mergeCell ref="B3:B4"/>
    <mergeCell ref="A3:A4"/>
    <mergeCell ref="J3:M3"/>
    <mergeCell ref="I3:I4"/>
    <mergeCell ref="D3:D4"/>
    <mergeCell ref="A2:D2"/>
  </mergeCells>
  <pageMargins left="0.44" right="0.16" top="0.74" bottom="0.16" header="0.36" footer="0.23"/>
  <pageSetup orientation="landscape" scale="68" fitToHeight="0" useFirstPageNumber="1" horizontalDpi="300" verticalDpi="300"/>
  <drawing xmlns:r="http://schemas.openxmlformats.org/officeDocument/2006/relationships" r:id="rId1"/>
</worksheet>
</file>

<file path=xl/worksheets/sheet16.xml><?xml version="1.0" encoding="utf-8"?>
<worksheet xmlns="http://schemas.openxmlformats.org/spreadsheetml/2006/main">
  <sheetPr>
    <tabColor theme="0" tint="-0.499984740745262"/>
    <outlinePr summaryBelow="1" summaryRight="1"/>
    <pageSetUpPr/>
  </sheetPr>
  <dimension ref="A1:M59"/>
  <sheetViews>
    <sheetView view="pageBreakPreview" zoomScale="82" zoomScaleNormal="89" zoomScaleSheetLayoutView="82" workbookViewId="0">
      <selection activeCell="H7" sqref="H7"/>
    </sheetView>
  </sheetViews>
  <sheetFormatPr baseColWidth="8" defaultColWidth="11.5703125" defaultRowHeight="18.75"/>
  <cols>
    <col width="4.85546875" customWidth="1" style="739" min="1" max="1"/>
    <col width="15.28515625" customWidth="1" style="105" min="2" max="2"/>
    <col width="31.5703125" customWidth="1" style="709" min="3" max="3"/>
    <col width="55.140625" bestFit="1" customWidth="1" style="709" min="4" max="4"/>
    <col width="5.28515625" customWidth="1" style="709" min="5" max="5"/>
    <col width="6.28515625" customWidth="1" style="709" min="6" max="6"/>
    <col width="6.85546875" customWidth="1" style="709" min="7" max="7"/>
    <col width="11.7109375" customWidth="1" style="709" min="8" max="8"/>
    <col width="39.5703125" customWidth="1" style="709" min="9" max="9"/>
    <col width="4.7109375" customWidth="1" style="709" min="10" max="10"/>
    <col width="4.85546875" customWidth="1" style="709" min="11" max="11"/>
    <col width="6.5703125" customWidth="1" style="709" min="12" max="12"/>
    <col width="11.42578125" customWidth="1" style="709" min="13" max="13"/>
    <col width="11.5703125" customWidth="1" style="252" min="14" max="16384"/>
  </cols>
  <sheetData>
    <row r="1" ht="30" customHeight="1" s="157">
      <c r="A1" s="739" t="n"/>
      <c r="B1" s="105" t="n"/>
      <c r="C1" s="709" t="n"/>
      <c r="D1" s="709" t="n"/>
      <c r="E1" s="739" t="inlineStr">
        <is>
          <t>EHS.04.01.03 Ngày ban hành 03/01/2020</t>
        </is>
      </c>
    </row>
    <row r="2" ht="164.45" customHeight="1" s="157">
      <c r="A2" s="715" t="inlineStr">
        <is>
          <t>위험 식별 및 위험 분석 
완제품 창고</t>
        </is>
      </c>
      <c r="B2" s="159" t="n"/>
      <c r="C2" s="159" t="n"/>
      <c r="D2" s="159" t="n"/>
      <c r="E2" s="723" t="n"/>
      <c r="F2" s="159" t="n"/>
      <c r="G2" s="159" t="n"/>
      <c r="H2" s="159" t="n"/>
      <c r="I2" s="159" t="n"/>
      <c r="J2" s="159" t="n"/>
      <c r="K2" s="159" t="n"/>
      <c r="L2" s="159" t="n"/>
      <c r="M2" s="159" t="n"/>
    </row>
    <row r="3" ht="63.75" customFormat="1" customHeight="1" s="739">
      <c r="A3" s="711" t="inlineStr">
        <is>
          <t>번호</t>
        </is>
      </c>
      <c r="B3" s="710" t="inlineStr">
        <is>
          <t>프로세스/진행상황</t>
        </is>
      </c>
      <c r="C3" s="710" t="inlineStr">
        <is>
          <t>잠재력</t>
        </is>
      </c>
      <c r="D3" s="711" t="inlineStr">
        <is>
          <t>원인/설명</t>
        </is>
      </c>
      <c r="E3" s="711" t="inlineStr">
        <is>
          <t>리스크 평가</t>
        </is>
      </c>
      <c r="F3" s="814" t="n"/>
      <c r="G3" s="814" t="n"/>
      <c r="H3" s="815" t="n"/>
      <c r="I3" s="710" t="inlineStr">
        <is>
          <t>예방/시정 조치</t>
        </is>
      </c>
      <c r="J3" s="710" t="inlineStr">
        <is>
          <t>외부 평가
예방 조치를 취한 후</t>
        </is>
      </c>
      <c r="K3" s="814" t="n"/>
      <c r="L3" s="814" t="n"/>
      <c r="M3" s="815" t="n"/>
    </row>
    <row r="4" ht="45.75" customFormat="1" customHeight="1" s="739">
      <c r="A4" s="818" t="n"/>
      <c r="B4" s="818" t="n"/>
      <c r="C4" s="818" t="n"/>
      <c r="D4" s="818" t="n"/>
      <c r="E4" s="711" t="inlineStr">
        <is>
          <t>S</t>
        </is>
      </c>
      <c r="F4" s="711" t="inlineStr">
        <is>
          <t>F</t>
        </is>
      </c>
      <c r="G4" s="711" t="inlineStr">
        <is>
          <t>S*F</t>
        </is>
      </c>
      <c r="H4" s="710" t="inlineStr">
        <is>
          <t>위험 분류</t>
        </is>
      </c>
      <c r="I4" s="818" t="n"/>
      <c r="J4" s="710" t="inlineStr">
        <is>
          <t>S</t>
        </is>
      </c>
      <c r="K4" s="711" t="inlineStr">
        <is>
          <t>F</t>
        </is>
      </c>
      <c r="L4" s="711" t="inlineStr">
        <is>
          <t>S*F</t>
        </is>
      </c>
      <c r="M4" s="710" t="inlineStr">
        <is>
          <t>분류
 위험</t>
        </is>
      </c>
    </row>
    <row r="5" ht="75.75" customFormat="1" customHeight="1" s="739">
      <c r="A5" s="45" t="n">
        <v>1</v>
      </c>
      <c r="B5" s="107" t="inlineStr">
        <is>
          <t>트럭에서 물건 내리기</t>
        </is>
      </c>
      <c r="C5" s="108" t="inlineStr">
        <is>
          <t>허리 통증</t>
        </is>
      </c>
      <c r="D5" s="109" t="inlineStr">
        <is>
          <t>창고 작업자는 창고에 물건을 싣고 내리며 창고에 물건을 싣는 경우가 많기 때문에</t>
        </is>
      </c>
      <c r="E5" s="80" t="n">
        <v>1</v>
      </c>
      <c r="F5" s="80" t="n">
        <v>4</v>
      </c>
      <c r="G5" s="80">
        <f>E5*F5</f>
        <v/>
      </c>
      <c r="H5" s="107" t="inlineStr">
        <is>
          <t>A</t>
        </is>
      </c>
      <c r="I5" s="107" t="inlineStr">
        <is>
          <t>작업자는 지원 기계(지게차)를 사용합니다. 창고에 많은 물품을 적재해야 할 때 창고 지원 직원을 위한 기타 부품</t>
        </is>
      </c>
      <c r="J5" s="107" t="n"/>
      <c r="K5" s="80" t="n"/>
      <c r="L5" s="80" t="n"/>
      <c r="M5" s="107" t="n"/>
    </row>
    <row r="6" ht="54" customFormat="1" customHeight="1" s="739">
      <c r="A6" s="47" t="n">
        <v>2</v>
      </c>
      <c r="B6" s="108" t="inlineStr">
        <is>
          <t>라인업</t>
        </is>
      </c>
      <c r="C6" s="108" t="inlineStr">
        <is>
          <t>사람들에게 물건을 붓는다</t>
        </is>
      </c>
      <c r="D6" s="108" t="inlineStr">
        <is>
          <t>TP 창고에는 높이 1m6의 선반이 있습니다. 선반에 물건을 싣을 때 지게차를 이용해 물건을 들어올려야 합니다.</t>
        </is>
      </c>
      <c r="E6" s="49" t="n">
        <v>2</v>
      </c>
      <c r="F6" s="49" t="n">
        <v>2</v>
      </c>
      <c r="G6" s="49">
        <f>E6*F6</f>
        <v/>
      </c>
      <c r="H6" s="107" t="inlineStr">
        <is>
          <t>A</t>
        </is>
      </c>
      <c r="I6" s="108" t="inlineStr">
        <is>
          <t>작업자는 물품을 접착 필름으로 단단히 감싸고 끈으로 묶어 선반에 올려 놓습니다.</t>
        </is>
      </c>
      <c r="J6" s="108" t="n"/>
      <c r="K6" s="49" t="n"/>
      <c r="L6" s="49" t="n"/>
      <c r="M6" s="107" t="n"/>
    </row>
    <row r="7" ht="86.25" customFormat="1" customHeight="1" s="739">
      <c r="A7" s="47" t="n">
        <v>3</v>
      </c>
      <c r="B7" s="48" t="inlineStr">
        <is>
          <t>이사물품</t>
        </is>
      </c>
      <c r="C7" s="48" t="inlineStr">
        <is>
          <t>작업자의 발이 고정될 수 있습니다.</t>
        </is>
      </c>
      <c r="D7" s="48" t="inlineStr">
        <is>
          <t>작업자가 화물 팔레트를 운반하기 위해 핸드 지게차를 사용할 때, 화물의 양이 많고, 화물을 끄는 사람이 팔레트 뒤에 서있는 다른 사람을 보지 못한 경우, 그 사람의 다리가 끼일 수 있습니다.</t>
        </is>
      </c>
      <c r="E7" s="47" t="n">
        <v>3</v>
      </c>
      <c r="F7" s="47" t="n">
        <v>2</v>
      </c>
      <c r="G7" s="47">
        <f>E7*F7</f>
        <v/>
      </c>
      <c r="H7" s="46" t="inlineStr">
        <is>
          <t>B</t>
        </is>
      </c>
      <c r="I7" s="47" t="inlineStr">
        <is>
          <t>근로자는 보호 신발을 착용합니다</t>
        </is>
      </c>
      <c r="J7" s="48" t="n"/>
      <c r="K7" s="47" t="n"/>
      <c r="L7" s="47" t="n"/>
      <c r="M7" s="46" t="n"/>
    </row>
    <row r="8" ht="57.75" customFormat="1" customHeight="1" s="739">
      <c r="A8" s="47" t="n">
        <v>4</v>
      </c>
      <c r="B8" s="108" t="inlineStr">
        <is>
          <t>물품 정리</t>
        </is>
      </c>
      <c r="C8" s="108" t="inlineStr">
        <is>
          <t>창고 작업자는 건강에 영향을 미치는 먼지에 노출됩니다.</t>
        </is>
      </c>
      <c r="D8" s="48" t="inlineStr">
        <is>
          <t>창고 내 먼지는 주로 상자 상자 이동으로 인해 발생합니다.</t>
        </is>
      </c>
      <c r="E8" s="49" t="n">
        <v>3</v>
      </c>
      <c r="F8" s="49" t="n">
        <v>4</v>
      </c>
      <c r="G8" s="49">
        <f>E8*F8</f>
        <v/>
      </c>
      <c r="H8" s="108" t="inlineStr">
        <is>
          <t>C</t>
        </is>
      </c>
      <c r="I8" s="108" t="inlineStr">
        <is>
          <t>창고 직원은 마스크를 착용하고 정기적으로 창고를 청소합니다.</t>
        </is>
      </c>
      <c r="J8" s="108" t="n"/>
      <c r="K8" s="49" t="n"/>
      <c r="L8" s="49" t="n"/>
      <c r="M8" s="108" t="n"/>
    </row>
    <row r="9" ht="66.75" customFormat="1" customHeight="1" s="252">
      <c r="A9" s="79" t="n">
        <v>5</v>
      </c>
      <c r="B9" s="79" t="inlineStr">
        <is>
          <t>전기 단락</t>
        </is>
      </c>
      <c r="C9" s="711" t="inlineStr">
        <is>
          <t>전기 화재</t>
        </is>
      </c>
      <c r="D9" s="710" t="inlineStr">
        <is>
          <t>컴퓨터, 프린터 및 기타 장치의 전원입니다. 전원 코드 끝 부분의 접촉 불량으로 인해 단락이 발생합니다. 화재나 폭발은 위험합니다</t>
        </is>
      </c>
      <c r="E9" s="711" t="n">
        <v>5</v>
      </c>
      <c r="F9" s="711" t="n">
        <v>2</v>
      </c>
      <c r="G9" s="711">
        <f>E9*F9</f>
        <v/>
      </c>
      <c r="H9" s="710" t="inlineStr">
        <is>
          <t>B</t>
        </is>
      </c>
      <c r="I9" s="710" t="inlineStr">
        <is>
          <t>전기 배선을 정기적으로 점검하고 깔끔하게 정리하십시오.</t>
        </is>
      </c>
      <c r="J9" s="711" t="n"/>
      <c r="K9" s="711" t="n"/>
      <c r="L9" s="711" t="n"/>
      <c r="M9" s="711" t="n"/>
    </row>
    <row r="10" ht="94.5" customFormat="1" customHeight="1" s="252">
      <c r="A10" s="739" t="n"/>
      <c r="B10" s="105" t="n"/>
      <c r="C10" s="105" t="n"/>
      <c r="D10" s="110" t="n"/>
      <c r="E10" s="709" t="n"/>
      <c r="F10" s="709" t="n"/>
      <c r="G10" s="709" t="n"/>
      <c r="H10" s="709" t="n"/>
      <c r="I10" s="105" t="n"/>
      <c r="J10" s="709" t="n"/>
      <c r="K10" s="709" t="n"/>
      <c r="L10" s="709" t="n"/>
      <c r="M10" s="709" t="n"/>
    </row>
    <row r="11" ht="92.25" customFormat="1" customHeight="1" s="252">
      <c r="A11" s="739" t="n"/>
      <c r="B11" s="105" t="n"/>
      <c r="C11" s="105" t="n"/>
      <c r="D11" s="110" t="n"/>
      <c r="E11" s="709" t="n"/>
      <c r="F11" s="709" t="n"/>
      <c r="G11" s="709" t="n"/>
      <c r="H11" s="709" t="n"/>
      <c r="I11" s="105" t="n"/>
      <c r="J11" s="709" t="n"/>
      <c r="K11" s="709" t="n"/>
      <c r="L11" s="709" t="n"/>
      <c r="M11" s="709" t="n"/>
    </row>
    <row r="12" ht="58.5" customFormat="1" customHeight="1" s="252">
      <c r="A12" s="739" t="n"/>
      <c r="B12" s="105" t="n"/>
      <c r="C12" s="105" t="n"/>
      <c r="D12" s="110" t="n"/>
      <c r="E12" s="709" t="n"/>
      <c r="F12" s="709" t="n"/>
      <c r="G12" s="709" t="n"/>
      <c r="H12" s="709" t="n"/>
      <c r="I12" s="105" t="n"/>
      <c r="J12" s="709" t="n"/>
      <c r="K12" s="709" t="n"/>
      <c r="L12" s="709" t="n"/>
      <c r="M12" s="709" t="n"/>
    </row>
    <row r="13" hidden="1" customFormat="1" s="252">
      <c r="A13" s="100" t="n"/>
      <c r="B13" s="67" t="n"/>
      <c r="C13" s="54" t="n"/>
      <c r="D13" s="54" t="n"/>
      <c r="E13" s="54" t="n"/>
      <c r="F13" s="54" t="n"/>
      <c r="G13" s="53" t="n"/>
      <c r="H13" s="54" t="n"/>
      <c r="I13" s="54" t="n"/>
      <c r="J13" s="54" t="n"/>
      <c r="K13" s="54" t="n"/>
      <c r="L13" s="54" t="n"/>
      <c r="M13" s="54" t="n"/>
    </row>
    <row r="14" hidden="1" customFormat="1" s="252">
      <c r="A14" s="100" t="n"/>
      <c r="B14" s="67" t="n"/>
      <c r="C14" s="54" t="n"/>
      <c r="D14" s="54" t="n"/>
      <c r="E14" s="54" t="n"/>
      <c r="F14" s="54" t="n"/>
      <c r="G14" s="53" t="n"/>
      <c r="H14" s="54" t="n"/>
      <c r="I14" s="54" t="n"/>
      <c r="J14" s="54" t="n"/>
      <c r="K14" s="54" t="n"/>
      <c r="L14" s="54" t="n"/>
      <c r="M14" s="54" t="n"/>
    </row>
    <row r="15" hidden="1" customFormat="1" s="252">
      <c r="A15" s="100" t="n"/>
      <c r="B15" s="67" t="n"/>
      <c r="C15" s="54" t="n"/>
      <c r="D15" s="54" t="n"/>
      <c r="E15" s="54" t="n"/>
      <c r="F15" s="54" t="n"/>
      <c r="G15" s="53" t="n"/>
      <c r="H15" s="54" t="n"/>
      <c r="I15" s="54" t="n"/>
      <c r="J15" s="54" t="n"/>
      <c r="K15" s="54" t="n"/>
      <c r="L15" s="54" t="n"/>
      <c r="M15" s="54" t="n"/>
    </row>
    <row r="16" hidden="1" customFormat="1" s="252">
      <c r="A16" s="100" t="n"/>
      <c r="B16" s="67" t="n"/>
      <c r="C16" s="54" t="n"/>
      <c r="D16" s="54" t="n"/>
      <c r="E16" s="54" t="n"/>
      <c r="F16" s="54" t="n"/>
      <c r="G16" s="53" t="n"/>
      <c r="H16" s="54" t="n"/>
      <c r="I16" s="54" t="n"/>
      <c r="J16" s="54" t="n"/>
      <c r="K16" s="54" t="n"/>
      <c r="L16" s="54" t="n"/>
      <c r="M16" s="54" t="n"/>
    </row>
    <row r="17" hidden="1" customFormat="1" s="252">
      <c r="A17" s="100" t="n"/>
      <c r="B17" s="67" t="n"/>
      <c r="C17" s="54" t="n"/>
      <c r="D17" s="54" t="n"/>
      <c r="E17" s="54" t="n"/>
      <c r="F17" s="54" t="n"/>
      <c r="G17" s="53" t="n"/>
      <c r="H17" s="54" t="n"/>
      <c r="I17" s="54" t="n"/>
      <c r="J17" s="54" t="n"/>
      <c r="K17" s="54" t="n"/>
      <c r="L17" s="54" t="n"/>
      <c r="M17" s="54" t="n"/>
    </row>
    <row r="18" hidden="1" customFormat="1" s="252">
      <c r="A18" s="100" t="n"/>
      <c r="B18" s="67" t="n"/>
      <c r="C18" s="54" t="n"/>
      <c r="D18" s="54" t="n"/>
      <c r="E18" s="54" t="n"/>
      <c r="F18" s="54" t="n"/>
      <c r="G18" s="53" t="n"/>
      <c r="H18" s="54" t="n"/>
      <c r="I18" s="54" t="n"/>
      <c r="J18" s="54" t="n"/>
      <c r="K18" s="54" t="n"/>
      <c r="L18" s="54" t="n"/>
      <c r="M18" s="54" t="n"/>
    </row>
    <row r="19" hidden="1" customFormat="1" s="252">
      <c r="A19" s="100" t="n"/>
      <c r="B19" s="67" t="n"/>
      <c r="C19" s="54" t="n"/>
      <c r="D19" s="54" t="n"/>
      <c r="E19" s="54" t="n"/>
      <c r="F19" s="54" t="n"/>
      <c r="G19" s="53" t="n"/>
      <c r="H19" s="54" t="n"/>
      <c r="I19" s="54" t="n"/>
      <c r="J19" s="54" t="n"/>
      <c r="K19" s="54" t="n"/>
      <c r="L19" s="54" t="n"/>
      <c r="M19" s="54" t="n"/>
    </row>
    <row r="20" hidden="1" customFormat="1" s="252">
      <c r="A20" s="100" t="n"/>
      <c r="B20" s="67" t="n"/>
      <c r="C20" s="54" t="n"/>
      <c r="D20" s="54" t="n"/>
      <c r="E20" s="54" t="n"/>
      <c r="F20" s="54" t="n"/>
      <c r="G20" s="53" t="n"/>
      <c r="H20" s="54" t="n"/>
      <c r="I20" s="54" t="n"/>
      <c r="J20" s="54" t="n"/>
      <c r="K20" s="54" t="n"/>
      <c r="L20" s="54" t="n"/>
      <c r="M20" s="54" t="n"/>
    </row>
    <row r="21" hidden="1" customFormat="1" s="252">
      <c r="A21" s="100" t="n"/>
      <c r="B21" s="67" t="n"/>
      <c r="C21" s="54" t="n"/>
      <c r="D21" s="54" t="n"/>
      <c r="E21" s="54" t="n"/>
      <c r="F21" s="54" t="n"/>
      <c r="G21" s="53" t="n"/>
      <c r="H21" s="54" t="n"/>
      <c r="I21" s="54" t="n"/>
      <c r="J21" s="54" t="n"/>
      <c r="K21" s="54" t="n"/>
      <c r="L21" s="54" t="n"/>
      <c r="M21" s="54" t="n"/>
    </row>
    <row r="22" hidden="1" customFormat="1" s="252">
      <c r="A22" s="100" t="n"/>
      <c r="B22" s="67" t="n"/>
      <c r="C22" s="54" t="n"/>
      <c r="D22" s="54" t="n"/>
      <c r="E22" s="54" t="n"/>
      <c r="F22" s="54" t="n"/>
      <c r="G22" s="53" t="n"/>
      <c r="H22" s="54" t="n"/>
      <c r="I22" s="54" t="n"/>
      <c r="J22" s="54" t="n"/>
      <c r="K22" s="54" t="n"/>
      <c r="L22" s="54" t="n"/>
      <c r="M22" s="54" t="n"/>
    </row>
    <row r="23" hidden="1" customFormat="1" s="252">
      <c r="A23" s="100" t="n"/>
      <c r="B23" s="67" t="n"/>
      <c r="C23" s="53" t="n"/>
      <c r="D23" s="53" t="n"/>
      <c r="E23" s="54" t="n"/>
      <c r="F23" s="54" t="n"/>
      <c r="G23" s="53" t="n"/>
      <c r="H23" s="54" t="n"/>
      <c r="I23" s="54" t="n"/>
      <c r="J23" s="54" t="n"/>
      <c r="K23" s="54" t="n"/>
      <c r="L23" s="54" t="n"/>
      <c r="M23" s="54" t="n"/>
    </row>
    <row r="24" hidden="1" customFormat="1" s="252">
      <c r="A24" s="100" t="n"/>
      <c r="B24" s="67" t="n"/>
      <c r="C24" s="53" t="n"/>
      <c r="D24" s="53" t="n"/>
      <c r="E24" s="54" t="n"/>
      <c r="F24" s="54" t="n"/>
      <c r="G24" s="53" t="n"/>
      <c r="H24" s="54" t="n"/>
      <c r="I24" s="54" t="n"/>
      <c r="J24" s="54" t="n"/>
      <c r="K24" s="54" t="n"/>
      <c r="L24" s="54" t="n"/>
      <c r="M24" s="54" t="n"/>
    </row>
    <row r="25" hidden="1" customFormat="1" s="252">
      <c r="A25" s="100" t="n"/>
      <c r="B25" s="67" t="n"/>
      <c r="C25" s="53" t="n"/>
      <c r="D25" s="53" t="n"/>
      <c r="E25" s="54" t="n"/>
      <c r="F25" s="54" t="n"/>
      <c r="G25" s="53" t="n"/>
      <c r="H25" s="54" t="n"/>
      <c r="I25" s="54" t="n"/>
      <c r="J25" s="54" t="n"/>
      <c r="K25" s="54" t="n"/>
      <c r="L25" s="54" t="n"/>
      <c r="M25" s="54" t="n"/>
    </row>
    <row r="26" hidden="1" customFormat="1" s="252">
      <c r="A26" s="100" t="n"/>
      <c r="B26" s="67" t="n"/>
      <c r="C26" s="53" t="n"/>
      <c r="D26" s="53" t="n"/>
      <c r="E26" s="54" t="n"/>
      <c r="F26" s="54" t="n"/>
      <c r="G26" s="53" t="n"/>
      <c r="H26" s="54" t="n"/>
      <c r="I26" s="54" t="n"/>
      <c r="J26" s="54" t="n"/>
      <c r="K26" s="54" t="n"/>
      <c r="L26" s="54" t="n"/>
      <c r="M26" s="54" t="n"/>
    </row>
    <row r="27" hidden="1" customFormat="1" s="252">
      <c r="A27" s="100" t="n"/>
      <c r="B27" s="67" t="n"/>
      <c r="C27" s="53" t="n"/>
      <c r="D27" s="53" t="n"/>
      <c r="E27" s="54" t="n"/>
      <c r="F27" s="54" t="n"/>
      <c r="G27" s="53" t="n"/>
      <c r="H27" s="54" t="n"/>
      <c r="I27" s="54" t="n"/>
      <c r="J27" s="54" t="n"/>
      <c r="K27" s="54" t="n"/>
      <c r="L27" s="54" t="n"/>
      <c r="M27" s="54" t="n"/>
    </row>
    <row r="28" hidden="1" customFormat="1" s="252">
      <c r="A28" s="101" t="n"/>
      <c r="B28" s="68" t="n"/>
      <c r="C28" s="56" t="n"/>
      <c r="D28" s="56" t="n"/>
      <c r="E28" s="57" t="n"/>
      <c r="F28" s="57" t="n"/>
      <c r="G28" s="53" t="n"/>
      <c r="H28" s="57" t="n"/>
      <c r="I28" s="57" t="n"/>
      <c r="J28" s="57" t="n"/>
      <c r="K28" s="57" t="n"/>
      <c r="L28" s="57" t="n"/>
      <c r="M28" s="57" t="n"/>
    </row>
    <row r="29" customFormat="1" s="252">
      <c r="A29" s="709" t="n"/>
    </row>
    <row r="30" customFormat="1" s="252">
      <c r="A30" s="739" t="n"/>
      <c r="B30" s="105" t="n"/>
      <c r="C30" s="105" t="n"/>
      <c r="D30" s="709" t="n"/>
      <c r="E30" s="709" t="n"/>
      <c r="F30" s="709" t="n"/>
      <c r="G30" s="709" t="n"/>
      <c r="H30" s="709" t="n"/>
      <c r="I30" s="709" t="n"/>
      <c r="J30" s="709" t="n"/>
      <c r="K30" s="709" t="n"/>
      <c r="L30" s="709" t="n"/>
      <c r="M30" s="709" t="n"/>
    </row>
    <row r="31" customFormat="1" s="252">
      <c r="A31" s="739" t="n"/>
      <c r="B31" s="105" t="n"/>
      <c r="C31" s="105" t="n"/>
      <c r="D31" s="105" t="n"/>
      <c r="E31" s="709" t="n"/>
      <c r="F31" s="709" t="n"/>
      <c r="G31" s="709" t="n"/>
      <c r="H31" s="709" t="n"/>
      <c r="I31" s="105" t="n"/>
      <c r="J31" s="709" t="n"/>
      <c r="K31" s="709" t="n"/>
      <c r="L31" s="709" t="n"/>
      <c r="M31" s="709" t="n"/>
    </row>
    <row r="32" customFormat="1" s="252">
      <c r="A32" s="739" t="n"/>
      <c r="B32" s="105" t="n"/>
      <c r="C32" s="709" t="n"/>
      <c r="D32" s="709" t="n"/>
      <c r="E32" s="709" t="n"/>
      <c r="F32" s="709" t="n"/>
      <c r="G32" s="709" t="n"/>
      <c r="H32" s="709" t="n"/>
      <c r="I32" s="709" t="n"/>
      <c r="J32" s="709" t="n"/>
      <c r="K32" s="709" t="n"/>
      <c r="L32" s="709" t="n"/>
      <c r="M32" s="709" t="n"/>
    </row>
    <row r="33" customFormat="1" s="252">
      <c r="A33" s="739" t="n"/>
      <c r="B33" s="105" t="n"/>
      <c r="C33" s="709" t="n"/>
      <c r="D33" s="709" t="n"/>
      <c r="E33" s="709" t="n"/>
      <c r="F33" s="709" t="n"/>
      <c r="G33" s="709" t="n"/>
      <c r="H33" s="709" t="n"/>
      <c r="I33" s="709" t="n"/>
      <c r="J33" s="709" t="n"/>
      <c r="K33" s="709" t="n"/>
      <c r="L33" s="709" t="n"/>
      <c r="M33" s="709" t="n"/>
    </row>
    <row r="34" customFormat="1" s="252">
      <c r="A34" s="739" t="n"/>
      <c r="B34" s="105" t="n"/>
      <c r="C34" s="709" t="n"/>
      <c r="D34" s="709" t="n"/>
      <c r="E34" s="709" t="n"/>
      <c r="F34" s="709" t="n"/>
      <c r="G34" s="709" t="n"/>
      <c r="H34" s="709" t="n"/>
      <c r="I34" s="709" t="n"/>
      <c r="J34" s="709" t="n"/>
      <c r="K34" s="709" t="n"/>
      <c r="L34" s="709" t="n"/>
      <c r="M34" s="709" t="n"/>
    </row>
    <row r="35" customFormat="1" s="252">
      <c r="A35" s="739" t="n"/>
      <c r="B35" s="105" t="n"/>
      <c r="C35" s="709" t="n"/>
      <c r="D35" s="709" t="n"/>
      <c r="E35" s="709" t="n"/>
      <c r="F35" s="709" t="n"/>
      <c r="G35" s="709" t="n"/>
      <c r="H35" s="709" t="n"/>
      <c r="I35" s="709" t="n"/>
      <c r="J35" s="709" t="n"/>
      <c r="K35" s="709" t="n"/>
      <c r="L35" s="709" t="n"/>
      <c r="M35" s="709" t="n"/>
    </row>
    <row r="36" customFormat="1" s="252">
      <c r="A36" s="739" t="n"/>
      <c r="B36" s="105" t="n"/>
      <c r="C36" s="709" t="n"/>
      <c r="D36" s="709" t="n"/>
      <c r="E36" s="709" t="n"/>
      <c r="F36" s="709" t="n"/>
      <c r="G36" s="709" t="n"/>
      <c r="H36" s="709" t="n"/>
      <c r="I36" s="105" t="n"/>
      <c r="J36" s="709" t="n"/>
      <c r="K36" s="709" t="n"/>
      <c r="L36" s="709" t="n"/>
      <c r="M36" s="709" t="n"/>
    </row>
    <row r="37" customFormat="1" s="252">
      <c r="A37" s="739" t="n"/>
      <c r="B37" s="105" t="n"/>
      <c r="C37" s="105" t="n"/>
      <c r="D37" s="709" t="n"/>
      <c r="E37" s="709" t="n"/>
      <c r="F37" s="709" t="n"/>
      <c r="G37" s="709" t="n"/>
      <c r="H37" s="709" t="n"/>
      <c r="I37" s="105" t="n"/>
      <c r="J37" s="709" t="n"/>
      <c r="K37" s="709" t="n"/>
      <c r="L37" s="709" t="n"/>
      <c r="M37" s="709" t="n"/>
    </row>
    <row r="38" customFormat="1" s="252">
      <c r="A38" s="739" t="n"/>
      <c r="B38" s="105" t="n"/>
      <c r="C38" s="105" t="n"/>
      <c r="D38" s="709" t="n"/>
      <c r="E38" s="709" t="n"/>
      <c r="F38" s="709" t="n"/>
      <c r="G38" s="709" t="n"/>
      <c r="H38" s="709" t="n"/>
      <c r="I38" s="105" t="n"/>
      <c r="J38" s="709" t="n"/>
      <c r="K38" s="709" t="n"/>
      <c r="L38" s="709" t="n"/>
      <c r="M38" s="709" t="n"/>
    </row>
    <row r="39" customFormat="1" s="252">
      <c r="A39" s="739" t="n"/>
      <c r="B39" s="105" t="n"/>
      <c r="C39" s="105" t="n"/>
      <c r="D39" s="709" t="n"/>
      <c r="E39" s="709" t="n"/>
      <c r="F39" s="709" t="n"/>
      <c r="G39" s="709" t="n"/>
      <c r="H39" s="709" t="n"/>
      <c r="I39" s="709" t="n"/>
      <c r="J39" s="709" t="n"/>
      <c r="K39" s="709" t="n"/>
      <c r="L39" s="709" t="n"/>
      <c r="M39" s="709" t="n"/>
    </row>
    <row r="40" customFormat="1" s="252">
      <c r="A40" s="739" t="n"/>
      <c r="B40" s="105" t="n"/>
      <c r="C40" s="105" t="n"/>
      <c r="D40" s="709" t="n"/>
      <c r="E40" s="709" t="n"/>
      <c r="F40" s="709" t="n"/>
      <c r="G40" s="709" t="n"/>
      <c r="H40" s="709" t="n"/>
      <c r="I40" s="709" t="n"/>
      <c r="J40" s="709" t="n"/>
      <c r="K40" s="709" t="n"/>
      <c r="L40" s="709" t="n"/>
      <c r="M40" s="709" t="n"/>
    </row>
    <row r="41" customFormat="1" s="252">
      <c r="A41" s="739" t="n"/>
      <c r="B41" s="105" t="n"/>
      <c r="C41" s="105" t="n"/>
      <c r="D41" s="709" t="n"/>
      <c r="E41" s="709" t="n"/>
      <c r="F41" s="709" t="n"/>
      <c r="G41" s="709" t="n"/>
      <c r="H41" s="709" t="n"/>
      <c r="I41" s="105" t="n"/>
      <c r="J41" s="709" t="n"/>
      <c r="K41" s="709" t="n"/>
      <c r="L41" s="709" t="n"/>
      <c r="M41" s="709" t="n"/>
    </row>
    <row r="42" customFormat="1" s="252">
      <c r="A42" s="709" t="n"/>
    </row>
    <row r="43" customFormat="1" s="252">
      <c r="A43" s="739" t="n"/>
      <c r="B43" s="105" t="n"/>
      <c r="C43" s="105" t="n"/>
      <c r="D43" s="709" t="n"/>
      <c r="E43" s="709" t="n"/>
      <c r="F43" s="709" t="n"/>
      <c r="G43" s="709" t="n"/>
      <c r="H43" s="709" t="n"/>
      <c r="I43" s="709" t="n"/>
      <c r="J43" s="709" t="n"/>
      <c r="K43" s="709" t="n"/>
      <c r="L43" s="709" t="n"/>
      <c r="M43" s="709" t="n"/>
    </row>
    <row r="44" customFormat="1" s="252">
      <c r="A44" s="739" t="n"/>
      <c r="B44" s="105" t="n"/>
      <c r="C44" s="709" t="n"/>
      <c r="D44" s="709" t="n"/>
      <c r="E44" s="709" t="n"/>
      <c r="F44" s="709" t="n"/>
      <c r="G44" s="709" t="n"/>
      <c r="H44" s="709" t="n"/>
      <c r="I44" s="709" t="n"/>
      <c r="J44" s="709" t="n"/>
      <c r="K44" s="709" t="n"/>
      <c r="L44" s="709" t="n"/>
      <c r="M44" s="709" t="n"/>
    </row>
    <row r="45" customFormat="1" s="252">
      <c r="A45" s="739" t="n"/>
      <c r="B45" s="105" t="n"/>
      <c r="C45" s="709" t="n"/>
      <c r="D45" s="709" t="n"/>
      <c r="E45" s="709" t="n"/>
      <c r="F45" s="709" t="n"/>
      <c r="G45" s="709" t="n"/>
      <c r="H45" s="709" t="n"/>
      <c r="I45" s="709" t="n"/>
      <c r="J45" s="709" t="n"/>
      <c r="K45" s="709" t="n"/>
      <c r="L45" s="709" t="n"/>
      <c r="M45" s="709" t="n"/>
    </row>
    <row r="46" customFormat="1" s="252">
      <c r="A46" s="739" t="n"/>
      <c r="B46" s="105" t="n"/>
      <c r="C46" s="709" t="n"/>
      <c r="D46" s="709" t="n"/>
      <c r="E46" s="709" t="n"/>
      <c r="F46" s="709" t="n"/>
      <c r="G46" s="709" t="n"/>
      <c r="H46" s="709" t="n"/>
      <c r="I46" s="709" t="n"/>
      <c r="J46" s="709" t="n"/>
      <c r="K46" s="709" t="n"/>
      <c r="L46" s="709" t="n"/>
      <c r="M46" s="709" t="n"/>
    </row>
    <row r="47">
      <c r="G47" s="709" t="n"/>
    </row>
    <row r="48">
      <c r="C48" s="105" t="n"/>
      <c r="G48" s="709" t="n"/>
    </row>
    <row r="49">
      <c r="C49" s="105" t="n"/>
      <c r="G49" s="709" t="n"/>
    </row>
    <row r="50">
      <c r="C50" s="105" t="n"/>
      <c r="G50" s="709" t="n"/>
    </row>
    <row r="51">
      <c r="C51" s="105" t="n"/>
      <c r="G51" s="709" t="n"/>
      <c r="I51" s="105" t="n"/>
    </row>
    <row r="52">
      <c r="C52" s="105" t="n"/>
      <c r="G52" s="709" t="n"/>
      <c r="I52" s="105" t="n"/>
    </row>
    <row r="53">
      <c r="G53" s="709" t="n"/>
    </row>
    <row r="54" customFormat="1" s="252">
      <c r="A54" s="709" t="n"/>
    </row>
    <row r="55">
      <c r="C55" s="105" t="n"/>
      <c r="G55" s="709" t="n"/>
    </row>
    <row r="56">
      <c r="G56" s="709" t="n"/>
    </row>
    <row r="57">
      <c r="G57" s="709" t="n"/>
    </row>
    <row r="58">
      <c r="G58" s="709" t="n"/>
    </row>
    <row r="59">
      <c r="G59" s="709" t="n"/>
    </row>
  </sheetData>
  <mergeCells count="13">
    <mergeCell ref="E2:M2"/>
    <mergeCell ref="E1:M1"/>
    <mergeCell ref="E3:H3"/>
    <mergeCell ref="C3:C4"/>
    <mergeCell ref="A3:A4"/>
    <mergeCell ref="J3:M3"/>
    <mergeCell ref="B3:B4"/>
    <mergeCell ref="I3:I4"/>
    <mergeCell ref="D3:D4"/>
    <mergeCell ref="A2:D2"/>
    <mergeCell ref="A29:M29"/>
    <mergeCell ref="A54:M54"/>
    <mergeCell ref="A42:M42"/>
  </mergeCells>
  <pageMargins left="0.44" right="0.16" top="0.74" bottom="0.16" header="0.36" footer="0.23"/>
  <pageSetup orientation="landscape" scale="61" fitToHeight="0" useFirstPageNumber="1" horizontalDpi="300" verticalDpi="300"/>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M16"/>
  <sheetViews>
    <sheetView showGridLines="0" view="pageBreakPreview" zoomScale="82" zoomScaleNormal="89" zoomScaleSheetLayoutView="82" workbookViewId="0">
      <selection activeCell="O7" sqref="O7"/>
    </sheetView>
  </sheetViews>
  <sheetFormatPr baseColWidth="8" defaultColWidth="11.5703125" defaultRowHeight="18.75"/>
  <cols>
    <col width="4.85546875" customWidth="1" style="709" min="1" max="1"/>
    <col width="15.28515625" customWidth="1" style="35" min="2" max="2"/>
    <col width="31.5703125" customWidth="1" style="36" min="3" max="3"/>
    <col width="45.28515625" customWidth="1" style="37" min="4" max="4"/>
    <col width="4.5703125" customWidth="1" style="252" min="5" max="5"/>
    <col width="5" customWidth="1" style="252" min="6" max="6"/>
    <col width="6.85546875" customWidth="1" style="252" min="7" max="7"/>
    <col width="11.7109375" customWidth="1" style="252" min="8" max="8"/>
    <col width="39.5703125" customWidth="1" style="709" min="9" max="9"/>
    <col width="4.7109375" customWidth="1" style="709" min="10" max="10"/>
    <col width="4.85546875" customWidth="1" style="709" min="11" max="11"/>
    <col width="6.5703125" customWidth="1" style="709" min="12" max="12"/>
    <col width="11.42578125" customWidth="1" style="252" min="13" max="13"/>
    <col width="11.5703125" customWidth="1" style="252" min="14" max="16384"/>
  </cols>
  <sheetData>
    <row r="1" ht="28.9" customHeight="1" s="157">
      <c r="A1" s="709" t="n"/>
      <c r="B1" s="35" t="n"/>
      <c r="C1" s="36" t="n"/>
      <c r="D1" s="37" t="n"/>
      <c r="E1" s="739" t="inlineStr">
        <is>
          <t>EHS.04.01.03 Ngày ban hành 03/01/2020</t>
        </is>
      </c>
    </row>
    <row r="2" ht="162" customHeight="1" s="157">
      <c r="A2" s="715" t="inlineStr">
        <is>
          <t>위험 식별 및 위험 분석 
네일룸</t>
        </is>
      </c>
      <c r="B2" s="159" t="n"/>
      <c r="C2" s="159" t="n"/>
      <c r="D2" s="159" t="n"/>
      <c r="E2" s="723" t="n"/>
      <c r="F2" s="159" t="n"/>
      <c r="G2" s="159" t="n"/>
      <c r="H2" s="159" t="n"/>
      <c r="I2" s="159" t="n"/>
      <c r="J2" s="159" t="n"/>
      <c r="K2" s="159" t="n"/>
      <c r="L2" s="159" t="n"/>
      <c r="M2" s="159" t="n"/>
    </row>
    <row r="3" ht="63.75" customFormat="1" customHeight="1" s="739">
      <c r="A3" s="573" t="inlineStr">
        <is>
          <t>번호</t>
        </is>
      </c>
      <c r="B3" s="542" t="inlineStr">
        <is>
          <t>프로세스/진행상황</t>
        </is>
      </c>
      <c r="C3" s="542" t="inlineStr">
        <is>
          <t>잠재력</t>
        </is>
      </c>
      <c r="D3" s="573" t="inlineStr">
        <is>
          <t>원인/설명</t>
        </is>
      </c>
      <c r="E3" s="573" t="inlineStr">
        <is>
          <t>리스크 평가</t>
        </is>
      </c>
      <c r="F3" s="814" t="n"/>
      <c r="G3" s="814" t="n"/>
      <c r="H3" s="815" t="n"/>
      <c r="I3" s="542" t="inlineStr">
        <is>
          <t>예방/시정 조치</t>
        </is>
      </c>
      <c r="J3" s="542" t="inlineStr">
        <is>
          <t>외부 평가
예방 조치를 취한 후</t>
        </is>
      </c>
      <c r="K3" s="814" t="n"/>
      <c r="L3" s="814" t="n"/>
      <c r="M3" s="815" t="n"/>
    </row>
    <row r="4" ht="45.75" customFormat="1" customHeight="1" s="739">
      <c r="A4" s="818" t="n"/>
      <c r="B4" s="818" t="n"/>
      <c r="C4" s="818" t="n"/>
      <c r="D4" s="818" t="n"/>
      <c r="E4" s="573" t="inlineStr">
        <is>
          <t>S</t>
        </is>
      </c>
      <c r="F4" s="573" t="inlineStr">
        <is>
          <t>F</t>
        </is>
      </c>
      <c r="G4" s="573" t="inlineStr">
        <is>
          <t>S*F</t>
        </is>
      </c>
      <c r="H4" s="542" t="inlineStr">
        <is>
          <t>위험 분류</t>
        </is>
      </c>
      <c r="I4" s="818" t="n"/>
      <c r="J4" s="542" t="inlineStr">
        <is>
          <t>S</t>
        </is>
      </c>
      <c r="K4" s="573" t="inlineStr">
        <is>
          <t>F</t>
        </is>
      </c>
      <c r="L4" s="573" t="inlineStr">
        <is>
          <t>S*F</t>
        </is>
      </c>
      <c r="M4" s="542" t="inlineStr">
        <is>
          <t>분류
 위험</t>
        </is>
      </c>
    </row>
    <row r="5" ht="63" customFormat="1" customHeight="1" s="739">
      <c r="A5" s="45" t="n">
        <v>1</v>
      </c>
      <c r="B5" s="74" t="inlineStr">
        <is>
          <t>일부 인패드 운영</t>
        </is>
      </c>
      <c r="C5" s="16" t="inlineStr">
        <is>
          <t>손을 탭하세요</t>
        </is>
      </c>
      <c r="D5" s="75" t="inlineStr">
        <is>
          <t>HDTT를 준수하지 않아 기계에 안전 장비가 부족합니다.</t>
        </is>
      </c>
      <c r="E5" s="47" t="n">
        <v>2</v>
      </c>
      <c r="F5" s="47" t="n">
        <v>5</v>
      </c>
      <c r="G5" s="47" t="n">
        <v>10</v>
      </c>
      <c r="H5" s="48" t="inlineStr">
        <is>
          <t>B</t>
        </is>
      </c>
      <c r="I5" s="15" t="inlineStr">
        <is>
          <t>준수 안전 규정, 기계 안전 도어 시스템 설치</t>
        </is>
      </c>
      <c r="J5" s="46" t="n"/>
      <c r="K5" s="45" t="n"/>
      <c r="L5" s="45" t="n"/>
      <c r="M5" s="15" t="n"/>
    </row>
    <row r="6" ht="57" customFormat="1" customHeight="1" s="739">
      <c r="A6" s="47" t="n">
        <v>2</v>
      </c>
      <c r="B6" s="16" t="inlineStr">
        <is>
          <t>화학물질을 혼합하세요</t>
        </is>
      </c>
      <c r="C6" s="16" t="inlineStr">
        <is>
          <t>체내로 흡입되면 피부가 건조해짐</t>
        </is>
      </c>
      <c r="D6" s="17" t="inlineStr">
        <is>
          <t>마스크 미착용, 장갑 미착용, 공장 환기 불량으로 인해</t>
        </is>
      </c>
      <c r="E6" s="47" t="n">
        <v>2</v>
      </c>
      <c r="F6" s="47" t="n">
        <v>5</v>
      </c>
      <c r="G6" s="47" t="n">
        <v>10</v>
      </c>
      <c r="H6" s="48" t="inlineStr">
        <is>
          <t>B</t>
        </is>
      </c>
      <c r="I6" s="17" t="inlineStr">
        <is>
          <t>공장 환기 재설계 규정에 따라 노동 보호복을 착용하십시오.</t>
        </is>
      </c>
      <c r="J6" s="48" t="n"/>
      <c r="K6" s="47" t="n"/>
      <c r="L6" s="47" t="n"/>
      <c r="M6" s="17" t="n"/>
    </row>
    <row r="7" ht="61.5" customFormat="1" customHeight="1" s="739">
      <c r="A7" s="45" t="n">
        <v>3</v>
      </c>
      <c r="B7" s="16" t="inlineStr">
        <is>
          <t>글리터 사용</t>
        </is>
      </c>
      <c r="C7" s="16" t="inlineStr">
        <is>
          <t>체내로 흡입되거나 손에 묻거나 알레르기를 일으키는 사람에게 달라붙음</t>
        </is>
      </c>
      <c r="D7" s="17" t="inlineStr">
        <is>
          <t>마스크도 안 끼고, 장갑도 안 끼고, 정전기 방지 옷도 안 입었으니까.</t>
        </is>
      </c>
      <c r="E7" s="47" t="n">
        <v>1</v>
      </c>
      <c r="F7" s="47" t="n">
        <v>5</v>
      </c>
      <c r="G7" s="47" t="n">
        <v>5</v>
      </c>
      <c r="H7" s="48" t="inlineStr">
        <is>
          <t>A</t>
        </is>
      </c>
      <c r="I7" s="17" t="inlineStr">
        <is>
          <t>파이는 장갑, 마스크를 착용하고 착용합니다 
정전기 의류, 작동용 유리 캐비닛 제작</t>
        </is>
      </c>
      <c r="J7" s="48" t="n"/>
      <c r="K7" s="47" t="n"/>
      <c r="L7" s="47" t="n"/>
      <c r="M7" s="17" t="n"/>
    </row>
    <row r="8" ht="59.45" customFormat="1" customHeight="1" s="739">
      <c r="A8" s="47" t="n">
        <v>4</v>
      </c>
      <c r="B8" s="16" t="inlineStr">
        <is>
          <t>매니큐어</t>
        </is>
      </c>
      <c r="C8" s="16" t="inlineStr">
        <is>
          <t>매니큐어 냄새가 몸에 흡입되고, 페인트가 손에 달라붙는다</t>
        </is>
      </c>
      <c r="D8" s="17" t="inlineStr">
        <is>
          <t>마스크, 장갑, 정전기 방지 의류를 착용하지 마십시오.</t>
        </is>
      </c>
      <c r="E8" s="47" t="n">
        <v>2</v>
      </c>
      <c r="F8" s="47" t="n">
        <v>5</v>
      </c>
      <c r="G8" s="47" t="n">
        <v>10</v>
      </c>
      <c r="H8" s="48" t="inlineStr">
        <is>
          <t>B</t>
        </is>
      </c>
      <c r="I8" s="17" t="inlineStr">
        <is>
          <t>장갑, 보호마스크, 정전기 방지복을 반드시 착용해야 합니다.</t>
        </is>
      </c>
      <c r="J8" s="48" t="n"/>
      <c r="K8" s="47" t="n"/>
      <c r="L8" s="47" t="n"/>
      <c r="M8" s="17" t="n"/>
    </row>
    <row r="9" ht="59.45" customHeight="1" s="157">
      <c r="A9" s="48" t="n">
        <v>5</v>
      </c>
      <c r="B9" s="16" t="inlineStr">
        <is>
          <t>금형 교체</t>
        </is>
      </c>
      <c r="C9" s="16" t="inlineStr">
        <is>
          <t>곰팡이가 발에 떨어지다</t>
        </is>
      </c>
      <c r="D9" s="16" t="inlineStr">
        <is>
          <t>몰드의 무게가 무거워서 발에 떨어져 부상을 입힐 수 있음</t>
        </is>
      </c>
      <c r="E9" s="47" t="n">
        <v>2</v>
      </c>
      <c r="F9" s="47" t="n">
        <v>5</v>
      </c>
      <c r="G9" s="47" t="n">
        <v>10</v>
      </c>
      <c r="H9" s="48" t="inlineStr">
        <is>
          <t>B</t>
        </is>
      </c>
      <c r="I9" s="16" t="inlineStr">
        <is>
          <t>금형을 교체할 때는 주의 깊게 작업하십시오.</t>
        </is>
      </c>
      <c r="J9" s="16" t="n"/>
      <c r="K9" s="16" t="n"/>
      <c r="L9" s="16" t="n"/>
      <c r="M9" s="16" t="n"/>
    </row>
    <row r="10" ht="56.25" customHeight="1" s="157">
      <c r="A10" s="79" t="n">
        <v>6</v>
      </c>
      <c r="B10" s="79" t="inlineStr">
        <is>
          <t>전기 단락</t>
        </is>
      </c>
      <c r="C10" s="16" t="inlineStr">
        <is>
          <t>전기 화재</t>
        </is>
      </c>
      <c r="D10" s="73" t="inlineStr">
        <is>
          <t>컴퓨터, 프린터 및 기타 장치의 전원입니다. 전원 코드 끝 부분의 접촉 불량으로 인해 단락이 발생합니다. 화재나 폭발은 위험합니다</t>
        </is>
      </c>
      <c r="E10" s="711" t="n">
        <v>5</v>
      </c>
      <c r="F10" s="711" t="n">
        <v>2</v>
      </c>
      <c r="G10" s="711">
        <f>E10*F10</f>
        <v/>
      </c>
      <c r="H10" s="710" t="inlineStr">
        <is>
          <t>B</t>
        </is>
      </c>
      <c r="I10" s="710" t="inlineStr">
        <is>
          <t>전기 배선을 정기적으로 점검하고 깔끔하게 정리하십시오.</t>
        </is>
      </c>
      <c r="J10" s="711" t="n"/>
      <c r="K10" s="711" t="n"/>
      <c r="L10" s="711" t="n"/>
      <c r="M10" s="711" t="n"/>
    </row>
    <row r="11" customFormat="1" s="252">
      <c r="A11" s="709" t="n"/>
    </row>
    <row r="12">
      <c r="C12" s="464" t="n"/>
      <c r="G12" s="709" t="n"/>
    </row>
    <row r="13">
      <c r="G13" s="709" t="n"/>
    </row>
    <row r="14">
      <c r="G14" s="709" t="n"/>
    </row>
    <row r="15">
      <c r="G15" s="709" t="n"/>
    </row>
    <row r="16">
      <c r="G16" s="709" t="n"/>
    </row>
  </sheetData>
  <mergeCells count="11">
    <mergeCell ref="E2:M2"/>
    <mergeCell ref="E1:M1"/>
    <mergeCell ref="E3:H3"/>
    <mergeCell ref="C3:C4"/>
    <mergeCell ref="B3:B4"/>
    <mergeCell ref="A3:A4"/>
    <mergeCell ref="J3:M3"/>
    <mergeCell ref="I3:I4"/>
    <mergeCell ref="D3:D4"/>
    <mergeCell ref="A2:D2"/>
    <mergeCell ref="A11:M11"/>
  </mergeCells>
  <pageMargins left="0.44" right="0.16" top="0.74" bottom="0.16" header="0.36" footer="0.23"/>
  <pageSetup orientation="landscape" scale="68" fitToHeight="0" useFirstPageNumber="1" horizontalDpi="300" verticalDpi="300"/>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M33"/>
  <sheetViews>
    <sheetView showGridLines="0" view="pageBreakPreview" topLeftCell="A4" zoomScale="82" zoomScaleNormal="89" zoomScaleSheetLayoutView="82" workbookViewId="0">
      <selection activeCell="O7" sqref="O7"/>
    </sheetView>
  </sheetViews>
  <sheetFormatPr baseColWidth="8" defaultColWidth="11.5703125" defaultRowHeight="15.75"/>
  <cols>
    <col width="4.85546875" customWidth="1" style="489" min="1" max="1"/>
    <col width="15.28515625" customWidth="1" style="218" min="2" max="2"/>
    <col width="31.5703125" customWidth="1" style="727" min="3" max="3"/>
    <col width="45.28515625" customWidth="1" style="727" min="4" max="4"/>
    <col width="4.5703125" customWidth="1" style="489" min="5" max="5"/>
    <col width="5" customWidth="1" style="489" min="6" max="6"/>
    <col width="6.85546875" customWidth="1" style="489" min="7" max="7"/>
    <col width="12" customWidth="1" style="489" min="8" max="8"/>
    <col width="51.28515625" customWidth="1" style="489" min="9" max="9"/>
    <col width="4.7109375" customWidth="1" style="489" min="10" max="10"/>
    <col width="4.85546875" customWidth="1" style="489" min="11" max="11"/>
    <col width="9.7109375" customWidth="1" style="489" min="12" max="12"/>
    <col width="10" customWidth="1" style="489" min="13" max="13"/>
    <col width="11.5703125" customWidth="1" style="489" min="14" max="16384"/>
  </cols>
  <sheetData>
    <row r="1" ht="33.6" customHeight="1" s="157">
      <c r="A1" s="489" t="n"/>
      <c r="B1" s="218" t="n"/>
      <c r="C1" s="727" t="n"/>
      <c r="D1" s="727" t="n"/>
      <c r="E1" s="727" t="inlineStr">
        <is>
          <t>EHS.04.01.03 Ngày ban hành 03/01/2020</t>
        </is>
      </c>
    </row>
    <row r="2" ht="164.45" customHeight="1" s="157">
      <c r="A2" s="715" t="inlineStr">
        <is>
          <t>위험 식별 및 위험 분석 
가짜 속눈썹 방</t>
        </is>
      </c>
      <c r="B2" s="159" t="n"/>
      <c r="C2" s="159" t="n"/>
      <c r="D2" s="159" t="n"/>
      <c r="E2" s="726" t="n"/>
      <c r="F2" s="159" t="n"/>
      <c r="G2" s="159" t="n"/>
      <c r="H2" s="159" t="n"/>
      <c r="I2" s="159" t="n"/>
      <c r="J2" s="159" t="n"/>
      <c r="K2" s="159" t="n"/>
      <c r="L2" s="159" t="n"/>
      <c r="M2" s="159" t="n"/>
    </row>
    <row r="3" ht="63.75" customFormat="1" customHeight="1" s="727">
      <c r="A3" s="724" t="inlineStr">
        <is>
          <t>번호</t>
        </is>
      </c>
      <c r="B3" s="725" t="inlineStr">
        <is>
          <t>프로세스/진행상황</t>
        </is>
      </c>
      <c r="C3" s="725" t="inlineStr">
        <is>
          <t>잠재력</t>
        </is>
      </c>
      <c r="D3" s="724" t="inlineStr">
        <is>
          <t>원인/설명</t>
        </is>
      </c>
      <c r="E3" s="724" t="inlineStr">
        <is>
          <t>리스크 평가</t>
        </is>
      </c>
      <c r="F3" s="814" t="n"/>
      <c r="G3" s="814" t="n"/>
      <c r="H3" s="815" t="n"/>
      <c r="I3" s="725" t="inlineStr">
        <is>
          <t>예방/시정 조치</t>
        </is>
      </c>
      <c r="J3" s="725" t="inlineStr">
        <is>
          <t>외부 평가
예방 조치를 취한 후</t>
        </is>
      </c>
      <c r="K3" s="814" t="n"/>
      <c r="L3" s="814" t="n"/>
      <c r="M3" s="815" t="n"/>
    </row>
    <row r="4" ht="59.25" customFormat="1" customHeight="1" s="727">
      <c r="A4" s="818" t="n"/>
      <c r="B4" s="818" t="n"/>
      <c r="C4" s="818" t="n"/>
      <c r="D4" s="818" t="n"/>
      <c r="E4" s="724" t="inlineStr">
        <is>
          <t>S</t>
        </is>
      </c>
      <c r="F4" s="724" t="inlineStr">
        <is>
          <t>F</t>
        </is>
      </c>
      <c r="G4" s="724" t="inlineStr">
        <is>
          <t>S*F</t>
        </is>
      </c>
      <c r="H4" s="725" t="inlineStr">
        <is>
          <t>위험 분류</t>
        </is>
      </c>
      <c r="I4" s="818" t="n"/>
      <c r="J4" s="725" t="inlineStr">
        <is>
          <t>S</t>
        </is>
      </c>
      <c r="K4" s="724" t="inlineStr">
        <is>
          <t>F</t>
        </is>
      </c>
      <c r="L4" s="724" t="inlineStr">
        <is>
          <t>S*F</t>
        </is>
      </c>
      <c r="M4" s="725" t="inlineStr">
        <is>
          <t>분류
 위험</t>
        </is>
      </c>
    </row>
    <row r="5" ht="90.75" customFormat="1" customHeight="1" s="727">
      <c r="A5" s="84" t="n">
        <v>1</v>
      </c>
      <c r="B5" s="85" t="inlineStr">
        <is>
          <t>품목을 확인하세요</t>
        </is>
      </c>
      <c r="C5" s="87" t="inlineStr">
        <is>
          <t>눈의 피로를 유발합니다</t>
        </is>
      </c>
      <c r="D5" s="95" t="inlineStr">
        <is>
          <t>작은 모발 섬유로 인해 장시간 물품을 확인하면 눈이 피로해집니다.</t>
        </is>
      </c>
      <c r="E5" s="84" t="n">
        <v>1</v>
      </c>
      <c r="F5" s="84" t="n">
        <v>5</v>
      </c>
      <c r="G5" s="84" t="n">
        <v>5</v>
      </c>
      <c r="H5" s="85" t="inlineStr">
        <is>
          <t>A</t>
        </is>
      </c>
      <c r="I5" s="85" t="inlineStr">
        <is>
          <t>근로자에게 합리적인 휴식 시간을 제공하고, 다른 직업을 바꾸고, 지루한 독주를 피하십시오.</t>
        </is>
      </c>
      <c r="J5" s="85" t="n"/>
      <c r="K5" s="84" t="n"/>
      <c r="L5" s="84" t="n"/>
      <c r="M5" s="85" t="n"/>
    </row>
    <row r="6" ht="73.5" customFormat="1" customHeight="1" s="727">
      <c r="A6" s="86" t="n">
        <v>2</v>
      </c>
      <c r="B6" s="87" t="inlineStr">
        <is>
          <t>튜브 롤링 공정</t>
        </is>
      </c>
      <c r="C6" s="87" t="inlineStr">
        <is>
          <t>손이 찢어지고 모래가 눈에 맞았습니다.</t>
        </is>
      </c>
      <c r="D6" s="87" t="inlineStr">
        <is>
          <t>잘못된 작동으로 인해 손을 쥐게 됨</t>
        </is>
      </c>
      <c r="E6" s="86" t="n">
        <v>1</v>
      </c>
      <c r="F6" s="86" t="n">
        <v>5</v>
      </c>
      <c r="G6" s="86" t="n">
        <v>5</v>
      </c>
      <c r="H6" s="85" t="inlineStr">
        <is>
          <t>A</t>
        </is>
      </c>
      <c r="I6" s="87" t="inlineStr">
        <is>
          <t>작업 전 직원 교육</t>
        </is>
      </c>
      <c r="J6" s="87" t="n"/>
      <c r="K6" s="86" t="n"/>
      <c r="L6" s="86" t="n"/>
      <c r="M6" s="87" t="n"/>
    </row>
    <row r="7" ht="61.5" customFormat="1" customHeight="1" s="727">
      <c r="A7" s="86" t="n">
        <v>3</v>
      </c>
      <c r="B7" s="87" t="inlineStr">
        <is>
          <t>연삭 공정</t>
        </is>
      </c>
      <c r="C7" s="87" t="inlineStr">
        <is>
          <t>직접 갈기</t>
        </is>
      </c>
      <c r="D7" s="87" t="inlineStr">
        <is>
          <t>부적절한 작동으로 인해 손이 긁히는 경우</t>
        </is>
      </c>
      <c r="E7" s="86" t="n">
        <v>1</v>
      </c>
      <c r="F7" s="86" t="n">
        <v>5</v>
      </c>
      <c r="G7" s="86">
        <f>E7*F7</f>
        <v/>
      </c>
      <c r="H7" s="85" t="inlineStr">
        <is>
          <t>A</t>
        </is>
      </c>
      <c r="I7" s="87" t="inlineStr">
        <is>
          <t>작업 전 직원 교육</t>
        </is>
      </c>
      <c r="J7" s="87" t="n"/>
      <c r="K7" s="86" t="n"/>
      <c r="L7" s="86" t="n"/>
      <c r="M7" s="87" t="n"/>
    </row>
    <row r="8" ht="66" customFormat="1" customHeight="1" s="727">
      <c r="A8" s="86" t="n">
        <v>4</v>
      </c>
      <c r="B8" s="87" t="inlineStr">
        <is>
          <t>건조용품</t>
        </is>
      </c>
      <c r="C8" s="87" t="inlineStr">
        <is>
          <t>과실은 벽에 닿을 것입니다
건조기로 인해 손에 화상을 입을 수 있음</t>
        </is>
      </c>
      <c r="D8" s="87" t="inlineStr">
        <is>
          <t>픽업 작동 중 기계 온도가 높습니다.</t>
        </is>
      </c>
      <c r="E8" s="86" t="n">
        <v>1</v>
      </c>
      <c r="F8" s="86" t="n">
        <v>5</v>
      </c>
      <c r="G8" s="86">
        <f>E8*F8</f>
        <v/>
      </c>
      <c r="H8" s="85" t="inlineStr">
        <is>
          <t>A</t>
        </is>
      </c>
      <c r="I8" s="86" t="inlineStr">
        <is>
          <t>작업할 때 장갑을 착용하세요</t>
        </is>
      </c>
      <c r="J8" s="87" t="n"/>
      <c r="K8" s="86" t="n"/>
      <c r="L8" s="86" t="n"/>
      <c r="M8" s="87" t="n"/>
    </row>
    <row r="9" ht="72.59999999999999" customFormat="1" customHeight="1" s="727">
      <c r="A9" s="86" t="n">
        <v>5</v>
      </c>
      <c r="B9" s="87" t="inlineStr">
        <is>
          <t>작동을 위해 핀셋을 사용하십시오</t>
        </is>
      </c>
      <c r="C9" s="87" t="inlineStr">
        <is>
          <t>작동 시 긁힘이나 부러짐 유발, 화학 증기 흡입, 허리 피로, 어깨 및 목 통증, 손 다림질</t>
        </is>
      </c>
      <c r="D9" s="87" t="inlineStr">
        <is>
          <t>핀셋은 취급 시 손에 쉽게 손상을 줄 수 있는 날카로운 물체입니다.</t>
        </is>
      </c>
      <c r="E9" s="86" t="n">
        <v>1</v>
      </c>
      <c r="F9" s="86" t="n">
        <v>5</v>
      </c>
      <c r="G9" s="86">
        <f>E9*F9</f>
        <v/>
      </c>
      <c r="H9" s="85" t="inlineStr">
        <is>
          <t>A</t>
        </is>
      </c>
      <c r="I9" s="87" t="inlineStr">
        <is>
          <t>올바른 위치에 보관
가위 핀셋 보호 장치 사용</t>
        </is>
      </c>
      <c r="J9" s="87" t="n"/>
      <c r="K9" s="86" t="n"/>
      <c r="L9" s="86" t="n"/>
      <c r="M9" s="87" t="n"/>
    </row>
    <row r="10" ht="72.59999999999999" customFormat="1" customHeight="1" s="489">
      <c r="A10" s="79" t="n">
        <v>6</v>
      </c>
      <c r="B10" s="79" t="inlineStr">
        <is>
          <t>전기 단락</t>
        </is>
      </c>
      <c r="C10" s="113" t="inlineStr">
        <is>
          <t>전기 화재</t>
        </is>
      </c>
      <c r="D10" s="73" t="inlineStr">
        <is>
          <t>컴퓨터, 프린터 및 기타 장치의 전원입니다. 전원 코드 끝 부분의 접촉 불량으로 인해 단락이 발생합니다. 화재나 폭발은 위험합니다</t>
        </is>
      </c>
      <c r="E10" s="711" t="n">
        <v>5</v>
      </c>
      <c r="F10" s="711" t="n">
        <v>2</v>
      </c>
      <c r="G10" s="711">
        <f>E10*F10</f>
        <v/>
      </c>
      <c r="H10" s="710" t="inlineStr">
        <is>
          <t>B</t>
        </is>
      </c>
      <c r="I10" s="710" t="inlineStr">
        <is>
          <t>전기 배선을 정기적으로 점검하고 깔끔하게 정리하십시오.</t>
        </is>
      </c>
      <c r="J10" s="711" t="n"/>
      <c r="K10" s="711" t="n"/>
      <c r="L10" s="711" t="n"/>
      <c r="M10" s="711" t="n"/>
    </row>
    <row r="11" customFormat="1" s="489">
      <c r="B11" s="218" t="n"/>
      <c r="C11" s="719" t="n"/>
      <c r="D11" s="727" t="n"/>
      <c r="G11" s="489" t="n"/>
      <c r="I11" s="218" t="n"/>
    </row>
    <row r="12" customFormat="1" s="489">
      <c r="B12" s="218" t="n"/>
      <c r="C12" s="719" t="n"/>
      <c r="D12" s="727" t="n"/>
      <c r="G12" s="489" t="n"/>
      <c r="I12" s="218" t="n"/>
    </row>
    <row r="13" customFormat="1" s="489">
      <c r="B13" s="218" t="n"/>
      <c r="C13" s="719" t="n"/>
      <c r="D13" s="727" t="n"/>
      <c r="G13" s="489" t="n"/>
    </row>
    <row r="14" customFormat="1" s="489">
      <c r="B14" s="218" t="n"/>
      <c r="C14" s="719" t="n"/>
      <c r="D14" s="727" t="n"/>
      <c r="G14" s="489" t="n"/>
    </row>
    <row r="15" customFormat="1" s="489">
      <c r="B15" s="218" t="n"/>
      <c r="C15" s="719" t="n"/>
      <c r="D15" s="727" t="n"/>
      <c r="G15" s="489" t="n"/>
      <c r="I15" s="218" t="n"/>
    </row>
    <row r="16" customFormat="1" s="489">
      <c r="A16" s="489" t="n"/>
    </row>
    <row r="17" customFormat="1" s="489">
      <c r="B17" s="218" t="n"/>
      <c r="C17" s="719" t="n"/>
      <c r="D17" s="727" t="n"/>
      <c r="G17" s="489" t="n"/>
    </row>
    <row r="18" customFormat="1" s="489">
      <c r="B18" s="218" t="n"/>
      <c r="C18" s="727" t="n"/>
      <c r="D18" s="727" t="n"/>
      <c r="G18" s="489" t="n"/>
    </row>
    <row r="19" customFormat="1" s="489">
      <c r="B19" s="218" t="n"/>
      <c r="C19" s="727" t="n"/>
      <c r="D19" s="727" t="n"/>
      <c r="G19" s="489" t="n"/>
    </row>
    <row r="20" customFormat="1" s="489">
      <c r="B20" s="218" t="n"/>
      <c r="C20" s="727" t="n"/>
      <c r="D20" s="727" t="n"/>
      <c r="G20" s="489" t="n"/>
    </row>
    <row r="21">
      <c r="G21" s="489" t="n"/>
    </row>
    <row r="22">
      <c r="C22" s="719" t="n"/>
      <c r="G22" s="489" t="n"/>
    </row>
    <row r="23">
      <c r="C23" s="719" t="n"/>
      <c r="G23" s="489" t="n"/>
    </row>
    <row r="24">
      <c r="C24" s="719" t="n"/>
      <c r="G24" s="489" t="n"/>
    </row>
    <row r="25">
      <c r="C25" s="719" t="n"/>
      <c r="G25" s="489" t="n"/>
      <c r="I25" s="218" t="n"/>
    </row>
    <row r="26">
      <c r="C26" s="719" t="n"/>
      <c r="G26" s="489" t="n"/>
      <c r="I26" s="218" t="n"/>
    </row>
    <row r="27">
      <c r="G27" s="489" t="n"/>
    </row>
    <row r="28" customFormat="1" s="489">
      <c r="A28" s="489" t="n"/>
    </row>
    <row r="29">
      <c r="C29" s="719" t="n"/>
      <c r="G29" s="489" t="n"/>
    </row>
    <row r="30">
      <c r="G30" s="489" t="n"/>
    </row>
    <row r="31">
      <c r="G31" s="489" t="n"/>
    </row>
    <row r="32">
      <c r="G32" s="489" t="n"/>
    </row>
    <row r="33">
      <c r="G33" s="489" t="n"/>
    </row>
  </sheetData>
  <mergeCells count="12">
    <mergeCell ref="E2:M2"/>
    <mergeCell ref="E1:M1"/>
    <mergeCell ref="E3:H3"/>
    <mergeCell ref="C3:C4"/>
    <mergeCell ref="A3:A4"/>
    <mergeCell ref="J3:M3"/>
    <mergeCell ref="B3:B4"/>
    <mergeCell ref="I3:I4"/>
    <mergeCell ref="D3:D4"/>
    <mergeCell ref="A2:D2"/>
    <mergeCell ref="A16:M16"/>
    <mergeCell ref="A28:M28"/>
  </mergeCells>
  <pageMargins left="0.44" right="0.16" top="0.74" bottom="0.16" header="0.36" footer="0.23"/>
  <pageSetup orientation="landscape" scale="65" fitToHeight="0" useFirstPageNumber="1" horizontalDpi="300" verticalDpi="300"/>
  <drawing xmlns:r="http://schemas.openxmlformats.org/officeDocument/2006/relationships" r:id="rId1"/>
</worksheet>
</file>

<file path=xl/worksheets/sheet19.xml><?xml version="1.0" encoding="utf-8"?>
<worksheet xmlns="http://schemas.openxmlformats.org/spreadsheetml/2006/main">
  <sheetPr>
    <tabColor rgb="FF92D050"/>
    <outlinePr summaryBelow="1" summaryRight="1"/>
    <pageSetUpPr/>
  </sheetPr>
  <dimension ref="A1:M34"/>
  <sheetViews>
    <sheetView showGridLines="0" topLeftCell="A9" zoomScale="85" zoomScaleNormal="85" workbookViewId="0">
      <selection activeCell="A13" sqref="A13:M13"/>
    </sheetView>
  </sheetViews>
  <sheetFormatPr baseColWidth="8" defaultColWidth="11.5703125" defaultRowHeight="18.75"/>
  <cols>
    <col width="4.85546875" customWidth="1" style="252" min="1" max="1"/>
    <col width="15.28515625" customWidth="1" style="35" min="2" max="2"/>
    <col width="31.5703125" customWidth="1" style="36" min="3" max="3"/>
    <col width="40.5703125" customWidth="1" style="37" min="4" max="4"/>
    <col width="4.5703125" customWidth="1" style="252" min="5" max="5"/>
    <col width="5" customWidth="1" style="252" min="6" max="6"/>
    <col width="6.85546875" customWidth="1" style="252" min="7" max="7"/>
    <col width="11.7109375" customWidth="1" style="252" min="8" max="8"/>
    <col width="39.5703125" customWidth="1" style="709" min="9" max="9"/>
    <col width="4.7109375" customWidth="1" style="709" min="10" max="10"/>
    <col width="4.85546875" customWidth="1" style="709" min="11" max="11"/>
    <col width="6.5703125" customWidth="1" style="709" min="12" max="12"/>
    <col width="11.42578125" customWidth="1" style="252" min="13" max="13"/>
    <col width="11.5703125" customWidth="1" style="252" min="14" max="16384"/>
  </cols>
  <sheetData>
    <row r="1" ht="27.6" customHeight="1" s="157">
      <c r="A1" s="150" t="n"/>
      <c r="B1" s="151" t="n"/>
      <c r="C1" s="152" t="n"/>
      <c r="D1" s="153" t="n"/>
      <c r="E1" s="733" t="inlineStr">
        <is>
          <t>EHS.04.01.03 Ngày ban hành 03/01/2020</t>
        </is>
      </c>
      <c r="F1" s="155" t="n"/>
      <c r="G1" s="155" t="n"/>
      <c r="H1" s="155" t="n"/>
      <c r="I1" s="155" t="n"/>
      <c r="J1" s="155" t="n"/>
      <c r="K1" s="155" t="n"/>
      <c r="L1" s="155" t="n"/>
      <c r="M1" s="156" t="n"/>
    </row>
    <row r="2" ht="146.25" customHeight="1" s="157">
      <c r="A2" s="730" t="inlineStr">
        <is>
          <t>위험 식별 및 위험 분석
 기계 및 전기 부서</t>
        </is>
      </c>
      <c r="B2" s="159" t="n"/>
      <c r="C2" s="159" t="n"/>
      <c r="D2" s="159" t="n"/>
      <c r="E2" s="731" t="n"/>
      <c r="F2" s="159" t="n"/>
      <c r="G2" s="159" t="n"/>
      <c r="H2" s="159" t="n"/>
      <c r="I2" s="159" t="n"/>
      <c r="J2" s="159" t="n"/>
      <c r="K2" s="159" t="n"/>
      <c r="L2" s="159" t="n"/>
      <c r="M2" s="290" t="n"/>
    </row>
    <row r="3" ht="63.75" customFormat="1" customHeight="1" s="739">
      <c r="A3" s="734" t="inlineStr">
        <is>
          <t>번호</t>
        </is>
      </c>
      <c r="B3" s="692" t="inlineStr">
        <is>
          <t>4M의 요소</t>
        </is>
      </c>
      <c r="C3" s="692" t="inlineStr">
        <is>
          <t>잠재력</t>
        </is>
      </c>
      <c r="D3" s="693" t="inlineStr">
        <is>
          <t>원인/설명</t>
        </is>
      </c>
      <c r="E3" s="693" t="inlineStr">
        <is>
          <t>리스크 평가</t>
        </is>
      </c>
      <c r="F3" s="159" t="n"/>
      <c r="G3" s="159" t="n"/>
      <c r="H3" s="290" t="n"/>
      <c r="I3" s="692" t="inlineStr">
        <is>
          <t>예방/시정 조치</t>
        </is>
      </c>
      <c r="J3" s="692" t="inlineStr">
        <is>
          <t>외부 평가
예방 조치를 취한 후</t>
        </is>
      </c>
      <c r="K3" s="159" t="n"/>
      <c r="L3" s="159" t="n"/>
      <c r="M3" s="290" t="n"/>
    </row>
    <row r="4" ht="45.75" customFormat="1" customHeight="1" s="739">
      <c r="A4" s="817" t="n"/>
      <c r="B4" s="818" t="n"/>
      <c r="C4" s="818" t="n"/>
      <c r="D4" s="818" t="n"/>
      <c r="E4" s="573" t="inlineStr">
        <is>
          <t>S</t>
        </is>
      </c>
      <c r="F4" s="573" t="inlineStr">
        <is>
          <t>F</t>
        </is>
      </c>
      <c r="G4" s="573" t="inlineStr">
        <is>
          <t>S*F</t>
        </is>
      </c>
      <c r="H4" s="542" t="inlineStr">
        <is>
          <t>위험 분류</t>
        </is>
      </c>
      <c r="I4" s="818" t="n"/>
      <c r="J4" s="542" t="inlineStr">
        <is>
          <t>S</t>
        </is>
      </c>
      <c r="K4" s="573" t="inlineStr">
        <is>
          <t>F</t>
        </is>
      </c>
      <c r="L4" s="573" t="inlineStr">
        <is>
          <t>S*F</t>
        </is>
      </c>
      <c r="M4" s="145" t="inlineStr">
        <is>
          <t>분류
 위험</t>
        </is>
      </c>
    </row>
    <row r="5" ht="74.25" customFormat="1" customHeight="1" s="739">
      <c r="A5" s="711" t="n">
        <v>1</v>
      </c>
      <c r="B5" s="710" t="inlineStr">
        <is>
          <t>인간</t>
        </is>
      </c>
      <c r="C5" s="73" t="inlineStr">
        <is>
          <t>직무 요구 사항에 비해 업계 지식이 없습니다.</t>
        </is>
      </c>
      <c r="D5" s="70" t="inlineStr">
        <is>
          <t>학교에서의 훈련과정이나 결과가 직업에 비해 만족스럽지 못하거나, 전문성이 있거나, 직업이 직업에 맞지 않는 경우</t>
        </is>
      </c>
      <c r="E5" s="711" t="n">
        <v>2</v>
      </c>
      <c r="F5" s="711" t="n">
        <v>5</v>
      </c>
      <c r="G5" s="711" t="n">
        <v>10</v>
      </c>
      <c r="H5" s="710" t="inlineStr">
        <is>
          <t>B</t>
        </is>
      </c>
      <c r="I5" s="710" t="inlineStr">
        <is>
          <t>전문 지식, 지식 및 직업 기술에 대한 추가 교육</t>
        </is>
      </c>
      <c r="J5" s="710" t="n">
        <v>2</v>
      </c>
      <c r="K5" s="711" t="n">
        <v>0</v>
      </c>
      <c r="L5" s="711" t="n">
        <v>0</v>
      </c>
      <c r="M5" s="710" t="inlineStr">
        <is>
          <t>B</t>
        </is>
      </c>
    </row>
    <row r="6" ht="74.25" customFormat="1" customHeight="1" s="739">
      <c r="A6" s="818" t="n"/>
      <c r="B6" s="818" t="n"/>
      <c r="C6" s="73" t="inlineStr">
        <is>
          <t>건강과 사고력 유지</t>
        </is>
      </c>
      <c r="D6" s="72" t="inlineStr">
        <is>
          <t>건강이 좋지 않고 기술이 좋지 않아 자해 사고가 발생합니다.</t>
        </is>
      </c>
      <c r="E6" s="711" t="n">
        <v>1</v>
      </c>
      <c r="F6" s="711" t="n">
        <v>5</v>
      </c>
      <c r="G6" s="711">
        <f>+E6*F6</f>
        <v/>
      </c>
      <c r="H6" s="710" t="inlineStr">
        <is>
          <t>A</t>
        </is>
      </c>
      <c r="I6" s="73" t="inlineStr">
        <is>
          <t>법에 따라 정시에 일하고 휴식하며, 수락하기 전에 자격을 갖춘 사람을 모집합니다.</t>
        </is>
      </c>
      <c r="J6" s="710" t="n">
        <v>1</v>
      </c>
      <c r="K6" s="711" t="n">
        <v>0</v>
      </c>
      <c r="L6" s="711" t="n">
        <v>0</v>
      </c>
      <c r="M6" s="710" t="inlineStr">
        <is>
          <t>A</t>
        </is>
      </c>
    </row>
    <row r="7" ht="74.25" customFormat="1" customHeight="1" s="739">
      <c r="A7" s="711" t="n">
        <v>2</v>
      </c>
      <c r="B7" s="710" t="inlineStr">
        <is>
          <t>기계 및 장비</t>
        </is>
      </c>
      <c r="C7" s="73" t="inlineStr">
        <is>
          <t>만료되었거나 표준을 충족하지 못한 기계로 작업하기</t>
        </is>
      </c>
      <c r="D7" s="72" t="inlineStr">
        <is>
          <t>제조사가 허용한 사용시간 및 사용기준을 초과하여 기계를 사용하고 있습니다.</t>
        </is>
      </c>
      <c r="E7" s="711" t="n">
        <v>2</v>
      </c>
      <c r="F7" s="711" t="n">
        <v>5</v>
      </c>
      <c r="G7" s="711">
        <f>+E7*F7</f>
        <v/>
      </c>
      <c r="H7" s="710" t="inlineStr">
        <is>
          <t>B</t>
        </is>
      </c>
      <c r="I7" s="73" t="inlineStr">
        <is>
          <t>기기를 다시 보정하고 유효기간 내에만 사용하세요.</t>
        </is>
      </c>
      <c r="J7" s="710" t="n">
        <v>2</v>
      </c>
      <c r="K7" s="711" t="n">
        <v>0</v>
      </c>
      <c r="L7" s="711" t="n">
        <v>0</v>
      </c>
      <c r="M7" s="710" t="inlineStr">
        <is>
          <t>B</t>
        </is>
      </c>
    </row>
    <row r="8" ht="74.25" customFormat="1" customHeight="1" s="739">
      <c r="A8" s="818" t="n"/>
      <c r="B8" s="818" t="n"/>
      <c r="C8" s="73" t="inlineStr">
        <is>
          <t>기계가 사람에게 위험하거나 정기적으로 검사 및 유지보수되지 않습니다.</t>
        </is>
      </c>
      <c r="D8" s="72" t="inlineStr">
        <is>
          <t>기계는 사용하기에 위험하며 많은 장치가 파손되었으나 유지 관리되지 않습니다.</t>
        </is>
      </c>
      <c r="E8" s="711" t="n">
        <v>2</v>
      </c>
      <c r="F8" s="711" t="n">
        <v>5</v>
      </c>
      <c r="G8" s="711">
        <f>+E8*F8</f>
        <v/>
      </c>
      <c r="H8" s="710" t="inlineStr">
        <is>
          <t>B</t>
        </is>
      </c>
      <c r="I8" s="73" t="inlineStr">
        <is>
          <t>위험한 장소의 로봇 교체, 정기적인 장비 유지보수</t>
        </is>
      </c>
      <c r="J8" s="710" t="n">
        <v>2</v>
      </c>
      <c r="K8" s="711" t="n">
        <v>0</v>
      </c>
      <c r="L8" s="711" t="n">
        <v>0</v>
      </c>
      <c r="M8" s="710" t="inlineStr">
        <is>
          <t>B</t>
        </is>
      </c>
    </row>
    <row r="9" ht="74.25" customFormat="1" customHeight="1" s="739">
      <c r="A9" s="846" t="n">
        <v>3</v>
      </c>
      <c r="B9" s="710" t="inlineStr">
        <is>
          <t>방법</t>
        </is>
      </c>
      <c r="C9" s="73" t="inlineStr">
        <is>
          <t>각각의 특정 직무에 비해 잘못된 프로세스에서 일함</t>
        </is>
      </c>
      <c r="D9" s="71" t="inlineStr">
        <is>
          <t>교육받은 안전기준에 따라 잘못 조작, 작업한 경우</t>
        </is>
      </c>
      <c r="E9" s="711" t="n">
        <v>3</v>
      </c>
      <c r="F9" s="711" t="n">
        <v>5</v>
      </c>
      <c r="G9" s="711">
        <f>+E9*F9</f>
        <v/>
      </c>
      <c r="H9" s="710" t="inlineStr">
        <is>
          <t>C</t>
        </is>
      </c>
      <c r="I9" s="73" t="inlineStr">
        <is>
          <t>각 특정 작업에 대한 자세한 운영 지침 및 교육 단계가 있습니다.</t>
        </is>
      </c>
      <c r="J9" s="710" t="n">
        <v>3</v>
      </c>
      <c r="K9" s="711" t="n">
        <v>0</v>
      </c>
      <c r="L9" s="711" t="n">
        <v>0</v>
      </c>
      <c r="M9" s="710" t="inlineStr">
        <is>
          <t>C</t>
        </is>
      </c>
    </row>
    <row r="10" ht="74.25" customFormat="1" customHeight="1" s="739">
      <c r="A10" s="817" t="n"/>
      <c r="B10" s="818" t="n"/>
      <c r="C10" s="73" t="inlineStr">
        <is>
          <t>비동기식 그룹으로 작업</t>
        </is>
      </c>
      <c r="D10" s="72" t="inlineStr">
        <is>
          <t>문제를 오해하고 모순된 작업을 처리하면 기계의 충격으로 인해 위험이 발생합니다.</t>
        </is>
      </c>
      <c r="E10" s="711" t="n">
        <v>1</v>
      </c>
      <c r="F10" s="711" t="n">
        <v>5</v>
      </c>
      <c r="G10" s="711">
        <f>+E10*F10</f>
        <v/>
      </c>
      <c r="H10" s="710" t="inlineStr">
        <is>
          <t>A</t>
        </is>
      </c>
      <c r="I10" s="73" t="inlineStr">
        <is>
          <t>각 개인의 업무와 강점에 적합한 그룹을 구성합니다.</t>
        </is>
      </c>
      <c r="J10" s="710" t="n">
        <v>1</v>
      </c>
      <c r="K10" s="711" t="n">
        <v>0</v>
      </c>
      <c r="L10" s="711" t="n">
        <v>0</v>
      </c>
      <c r="M10" s="710" t="inlineStr">
        <is>
          <t>A</t>
        </is>
      </c>
    </row>
    <row r="11" ht="74.25" customFormat="1" customHeight="1" s="739">
      <c r="A11" s="711" t="n">
        <v>4</v>
      </c>
      <c r="B11" s="710" t="inlineStr">
        <is>
          <t>재료</t>
        </is>
      </c>
      <c r="C11" s="73" t="inlineStr">
        <is>
          <t>수리 자재 및 장비는 품질을 보장하지 않습니다.</t>
        </is>
      </c>
      <c r="D11" s="72" t="inlineStr">
        <is>
          <t>오래되거나 품질이 낮은 재료와 장비는 교체 및 수리 과정에서 안전을 위협합니다.</t>
        </is>
      </c>
      <c r="E11" s="711" t="n">
        <v>1</v>
      </c>
      <c r="F11" s="711" t="n">
        <v>5</v>
      </c>
      <c r="G11" s="711">
        <f>+E11*F11</f>
        <v/>
      </c>
      <c r="H11" s="710" t="inlineStr">
        <is>
          <t>A</t>
        </is>
      </c>
      <c r="I11" s="73" t="inlineStr">
        <is>
          <t>사용하기 전에 장비 및 재료를 주의 깊게 검사하십시오.</t>
        </is>
      </c>
      <c r="J11" s="710" t="n">
        <v>1</v>
      </c>
      <c r="K11" s="711" t="n">
        <v>0</v>
      </c>
      <c r="L11" s="711" t="n">
        <v>0</v>
      </c>
      <c r="M11" s="710" t="inlineStr">
        <is>
          <t>A</t>
        </is>
      </c>
    </row>
    <row r="12" ht="75" customFormat="1" customHeight="1" s="252">
      <c r="A12" s="79" t="n">
        <v>5</v>
      </c>
      <c r="B12" s="79" t="inlineStr">
        <is>
          <t>전기 단락</t>
        </is>
      </c>
      <c r="C12" s="113" t="inlineStr">
        <is>
          <t>전기 화재</t>
        </is>
      </c>
      <c r="D12" s="73" t="inlineStr">
        <is>
          <t>전기 캐비닛, 프린터 및 장비는 전선 사이의 접촉이 불량하여 단락이 발생합니다. 화재나 폭발은 위험합니다</t>
        </is>
      </c>
      <c r="E12" s="711" t="n">
        <v>5</v>
      </c>
      <c r="F12" s="711" t="n">
        <v>2</v>
      </c>
      <c r="G12" s="711">
        <f>E12*F12</f>
        <v/>
      </c>
      <c r="H12" s="710" t="inlineStr">
        <is>
          <t>B</t>
        </is>
      </c>
      <c r="I12" s="710" t="inlineStr">
        <is>
          <t>전기 배선을 정기적으로 점검하고 깔끔하게 정리하십시오.</t>
        </is>
      </c>
      <c r="J12" s="711" t="n">
        <v>5</v>
      </c>
      <c r="K12" s="711" t="n">
        <v>0</v>
      </c>
      <c r="L12" s="711" t="n">
        <v>0</v>
      </c>
      <c r="M12" s="710" t="inlineStr">
        <is>
          <t>B</t>
        </is>
      </c>
    </row>
    <row r="13" ht="24" customFormat="1" customHeight="1" s="200">
      <c r="A13" s="825" t="inlineStr">
        <is>
          <t>아르헨티나는 다음 공식을 사용하여 측정됩니다: R = F x S, 여기서:</t>
        </is>
      </c>
      <c r="B13" s="155" t="n"/>
      <c r="C13" s="155" t="n"/>
      <c r="D13" s="155" t="n"/>
      <c r="E13" s="155" t="n"/>
      <c r="F13" s="155" t="n"/>
      <c r="G13" s="155" t="n"/>
      <c r="H13" s="155" t="n"/>
      <c r="I13" s="155" t="n"/>
      <c r="J13" s="155" t="n"/>
      <c r="K13" s="155" t="n"/>
      <c r="L13" s="155" t="n"/>
      <c r="M13" s="156" t="n"/>
    </row>
    <row r="14" ht="24" customFormat="1" customHeight="1" s="200">
      <c r="A14" s="826" t="inlineStr">
        <is>
          <t>R': 리스크.</t>
        </is>
      </c>
      <c r="M14" s="158" t="n"/>
    </row>
    <row r="15" ht="24" customFormat="1" customHeight="1" s="200">
      <c r="A15" s="827" t="inlineStr">
        <is>
          <t>여: 가능성.</t>
        </is>
      </c>
      <c r="M15" s="158" t="n"/>
    </row>
    <row r="16" ht="24" customFormat="1" customHeight="1" s="200">
      <c r="A16" s="828" t="inlineStr">
        <is>
          <t>S: 그런 일이 발생하면 어떤 결과가 따르나요?</t>
        </is>
      </c>
      <c r="B16" s="159" t="n"/>
      <c r="C16" s="159" t="n"/>
      <c r="D16" s="159" t="n"/>
      <c r="E16" s="159" t="n"/>
      <c r="F16" s="159" t="n"/>
      <c r="G16" s="159" t="n"/>
      <c r="H16" s="159" t="n"/>
      <c r="I16" s="159" t="n"/>
      <c r="J16" s="159" t="n"/>
      <c r="K16" s="159" t="n"/>
      <c r="L16" s="159" t="n"/>
      <c r="M16" s="290" t="n"/>
    </row>
    <row r="17" ht="15.75" customFormat="1" customHeight="1" s="208">
      <c r="A17" s="265" t="n"/>
      <c r="B17" s="268" t="inlineStr">
        <is>
          <t>No</t>
        </is>
      </c>
      <c r="C17" s="253" t="inlineStr">
        <is>
          <t>문서번호</t>
        </is>
      </c>
      <c r="D17" s="253" t="inlineStr">
        <is>
          <t>발행일</t>
        </is>
      </c>
      <c r="E17" s="492" t="inlineStr">
        <is>
          <t>개정</t>
        </is>
      </c>
      <c r="F17" s="814" t="n"/>
      <c r="G17" s="592" t="inlineStr">
        <is>
          <t xml:space="preserve">내용 </t>
        </is>
      </c>
      <c r="H17" s="814" t="n"/>
      <c r="I17" s="814" t="n"/>
      <c r="J17" s="814" t="n"/>
      <c r="K17" s="815" t="n"/>
      <c r="L17" s="501" t="inlineStr">
        <is>
          <t>작성자</t>
        </is>
      </c>
      <c r="M17" s="815" t="n"/>
    </row>
    <row r="18" ht="15.75" customFormat="1" customHeight="1" s="208">
      <c r="A18" s="265" t="n"/>
      <c r="B18" s="268" t="n">
        <v>0</v>
      </c>
      <c r="C18" s="253" t="inlineStr">
        <is>
          <t>EHS.04.01.03</t>
        </is>
      </c>
      <c r="D18" s="253" t="inlineStr">
        <is>
          <t>03.01.2020</t>
        </is>
      </c>
      <c r="E18" s="496" t="inlineStr">
        <is>
          <t>0</t>
        </is>
      </c>
      <c r="F18" s="814" t="n"/>
      <c r="G18" s="592" t="inlineStr">
        <is>
          <t>신규 작성</t>
        </is>
      </c>
      <c r="H18" s="814" t="n"/>
      <c r="I18" s="814" t="n"/>
      <c r="J18" s="814" t="n"/>
      <c r="K18" s="815" t="n"/>
      <c r="L18" s="501" t="inlineStr">
        <is>
          <t>호안 씨</t>
        </is>
      </c>
      <c r="M18" s="815" t="n"/>
    </row>
    <row r="19" ht="15.75" customFormat="1" customHeight="1" s="208">
      <c r="A19" s="256" t="n"/>
      <c r="B19" s="212" t="n"/>
      <c r="C19" s="253" t="n"/>
      <c r="D19" s="253" t="n"/>
      <c r="E19" s="499" t="n"/>
      <c r="F19" s="814" t="n"/>
      <c r="G19" s="592" t="n"/>
      <c r="H19" s="814" t="n"/>
      <c r="I19" s="814" t="n"/>
      <c r="J19" s="814" t="n"/>
      <c r="K19" s="815" t="n"/>
      <c r="L19" s="501" t="n"/>
      <c r="M19" s="815" t="n"/>
    </row>
    <row r="20" customFormat="1" s="252">
      <c r="B20" s="35" t="n"/>
      <c r="C20" s="36" t="n"/>
      <c r="D20" s="37" t="n"/>
      <c r="G20" s="709" t="n"/>
      <c r="I20" s="709" t="n"/>
      <c r="J20" s="709" t="n"/>
      <c r="K20" s="709" t="n"/>
      <c r="L20" s="709" t="n"/>
    </row>
    <row r="21" customFormat="1" s="252">
      <c r="B21" s="35" t="n"/>
      <c r="C21" s="36" t="n"/>
      <c r="D21" s="37" t="n"/>
      <c r="G21" s="709" t="n"/>
      <c r="I21" s="709" t="n"/>
      <c r="J21" s="709" t="n"/>
      <c r="K21" s="709" t="n"/>
      <c r="L21" s="709" t="n"/>
    </row>
    <row r="22">
      <c r="G22" s="709" t="n"/>
    </row>
    <row r="23">
      <c r="C23" s="464" t="n"/>
      <c r="G23" s="709" t="n"/>
    </row>
    <row r="24">
      <c r="C24" s="464" t="n"/>
      <c r="G24" s="709" t="n"/>
    </row>
    <row r="25">
      <c r="C25" s="464" t="n"/>
      <c r="G25" s="709" t="n"/>
    </row>
    <row r="26">
      <c r="C26" s="464" t="n"/>
      <c r="G26" s="709" t="n"/>
      <c r="I26" s="105" t="n"/>
    </row>
    <row r="27">
      <c r="C27" s="464" t="n"/>
      <c r="G27" s="709" t="n"/>
      <c r="I27" s="105" t="n"/>
    </row>
    <row r="28">
      <c r="G28" s="709" t="n"/>
    </row>
    <row r="29" customFormat="1" s="252">
      <c r="A29" s="709" t="n"/>
    </row>
    <row r="30">
      <c r="C30" s="464" t="n"/>
      <c r="G30" s="709" t="n"/>
    </row>
    <row r="31">
      <c r="G31" s="709" t="n"/>
    </row>
    <row r="32">
      <c r="G32" s="709" t="n"/>
    </row>
    <row r="33">
      <c r="G33" s="709" t="n"/>
    </row>
    <row r="34">
      <c r="G34" s="709" t="n"/>
    </row>
  </sheetData>
  <mergeCells count="30">
    <mergeCell ref="L17:M17"/>
    <mergeCell ref="A14:M14"/>
    <mergeCell ref="E1:M1"/>
    <mergeCell ref="B3:B4"/>
    <mergeCell ref="J3:M3"/>
    <mergeCell ref="A7:A8"/>
    <mergeCell ref="L19:M19"/>
    <mergeCell ref="A29:M29"/>
    <mergeCell ref="E17:F17"/>
    <mergeCell ref="G17:K17"/>
    <mergeCell ref="A13:M13"/>
    <mergeCell ref="E2:M2"/>
    <mergeCell ref="E3:H3"/>
    <mergeCell ref="A3:A4"/>
    <mergeCell ref="E19:F19"/>
    <mergeCell ref="I3:I4"/>
    <mergeCell ref="L18:M18"/>
    <mergeCell ref="D3:D4"/>
    <mergeCell ref="G19:K19"/>
    <mergeCell ref="A15:M15"/>
    <mergeCell ref="G18:K18"/>
    <mergeCell ref="A5:A6"/>
    <mergeCell ref="B9:B10"/>
    <mergeCell ref="A16:M16"/>
    <mergeCell ref="B5:B6"/>
    <mergeCell ref="A9:A10"/>
    <mergeCell ref="C3:C4"/>
    <mergeCell ref="B7:B8"/>
    <mergeCell ref="A2:D2"/>
    <mergeCell ref="E18:F18"/>
  </mergeCells>
  <pageMargins left="0.7" right="0.7" top="0.75" bottom="0.75" header="0.3" footer="0.3"/>
  <pageSetup orientation="landscape" paperSize="9" scale="70"/>
  <drawing xmlns:r="http://schemas.openxmlformats.org/officeDocument/2006/relationships" r:id="rId1"/>
</worksheet>
</file>

<file path=xl/worksheets/sheet20.xml><?xml version="1.0" encoding="utf-8"?>
<worksheet xmlns="http://schemas.openxmlformats.org/spreadsheetml/2006/main">
  <sheetPr>
    <tabColor rgb="FF92D050"/>
    <outlinePr summaryBelow="1" summaryRight="1"/>
    <pageSetUpPr/>
  </sheetPr>
  <dimension ref="A1:N39"/>
  <sheetViews>
    <sheetView showGridLines="0" topLeftCell="A19" zoomScale="70" zoomScaleNormal="70" workbookViewId="0">
      <selection activeCell="J15" sqref="J15"/>
    </sheetView>
  </sheetViews>
  <sheetFormatPr baseColWidth="8" defaultColWidth="11.5703125" defaultRowHeight="18.75"/>
  <cols>
    <col width="5" customWidth="1" style="37" min="1" max="1"/>
    <col width="7.5703125" customWidth="1" style="37" min="2" max="2"/>
    <col width="29" customWidth="1" style="464" min="3" max="3"/>
    <col width="45.28515625" customWidth="1" style="36" min="4" max="4"/>
    <col width="49" customWidth="1" style="37" min="5" max="5"/>
    <col width="4.5703125" customWidth="1" style="37" min="6" max="6"/>
    <col width="5" customWidth="1" style="37" min="7" max="7"/>
    <col width="6.85546875" customWidth="1" style="37" min="8" max="8"/>
    <col width="11.7109375" customWidth="1" style="37" min="9" max="9"/>
    <col width="60.85546875" customWidth="1" style="739" min="10" max="10"/>
    <col width="4.7109375" customWidth="1" style="739" min="11" max="11"/>
    <col width="4.85546875" customWidth="1" style="739" min="12" max="12"/>
    <col width="6.5703125" customWidth="1" style="739" min="13" max="13"/>
    <col width="11.42578125" customWidth="1" style="37" min="14" max="14"/>
    <col width="11.5703125" customWidth="1" style="37" min="15" max="257"/>
    <col width="7.5703125" customWidth="1" style="37" min="258" max="258"/>
    <col width="29" customWidth="1" style="37" min="259" max="259"/>
    <col width="45.28515625" customWidth="1" style="37" min="260" max="260"/>
    <col width="49" customWidth="1" style="37" min="261" max="261"/>
    <col width="4.5703125" customWidth="1" style="37" min="262" max="262"/>
    <col width="5" customWidth="1" style="37" min="263" max="263"/>
    <col width="6.85546875" customWidth="1" style="37" min="264" max="264"/>
    <col width="11.7109375" customWidth="1" style="37" min="265" max="265"/>
    <col width="60.85546875" customWidth="1" style="37" min="266" max="266"/>
    <col width="4.7109375" customWidth="1" style="37" min="267" max="267"/>
    <col width="4.85546875" customWidth="1" style="37" min="268" max="268"/>
    <col width="6.5703125" customWidth="1" style="37" min="269" max="269"/>
    <col width="11.42578125" customWidth="1" style="37" min="270" max="270"/>
    <col width="11.5703125" customWidth="1" style="37" min="271" max="513"/>
    <col width="7.5703125" customWidth="1" style="37" min="514" max="514"/>
    <col width="29" customWidth="1" style="37" min="515" max="515"/>
    <col width="45.28515625" customWidth="1" style="37" min="516" max="516"/>
    <col width="49" customWidth="1" style="37" min="517" max="517"/>
    <col width="4.5703125" customWidth="1" style="37" min="518" max="518"/>
    <col width="5" customWidth="1" style="37" min="519" max="519"/>
    <col width="6.85546875" customWidth="1" style="37" min="520" max="520"/>
    <col width="11.7109375" customWidth="1" style="37" min="521" max="521"/>
    <col width="60.85546875" customWidth="1" style="37" min="522" max="522"/>
    <col width="4.7109375" customWidth="1" style="37" min="523" max="523"/>
    <col width="4.85546875" customWidth="1" style="37" min="524" max="524"/>
    <col width="6.5703125" customWidth="1" style="37" min="525" max="525"/>
    <col width="11.42578125" customWidth="1" style="37" min="526" max="526"/>
    <col width="11.5703125" customWidth="1" style="37" min="527" max="769"/>
    <col width="7.5703125" customWidth="1" style="37" min="770" max="770"/>
    <col width="29" customWidth="1" style="37" min="771" max="771"/>
    <col width="45.28515625" customWidth="1" style="37" min="772" max="772"/>
    <col width="49" customWidth="1" style="37" min="773" max="773"/>
    <col width="4.5703125" customWidth="1" style="37" min="774" max="774"/>
    <col width="5" customWidth="1" style="37" min="775" max="775"/>
    <col width="6.85546875" customWidth="1" style="37" min="776" max="776"/>
    <col width="11.7109375" customWidth="1" style="37" min="777" max="777"/>
    <col width="60.85546875" customWidth="1" style="37" min="778" max="778"/>
    <col width="4.7109375" customWidth="1" style="37" min="779" max="779"/>
    <col width="4.85546875" customWidth="1" style="37" min="780" max="780"/>
    <col width="6.5703125" customWidth="1" style="37" min="781" max="781"/>
    <col width="11.42578125" customWidth="1" style="37" min="782" max="782"/>
    <col width="11.5703125" customWidth="1" style="37" min="783" max="1025"/>
    <col width="7.5703125" customWidth="1" style="37" min="1026" max="1026"/>
    <col width="29" customWidth="1" style="37" min="1027" max="1027"/>
    <col width="45.28515625" customWidth="1" style="37" min="1028" max="1028"/>
    <col width="49" customWidth="1" style="37" min="1029" max="1029"/>
    <col width="4.5703125" customWidth="1" style="37" min="1030" max="1030"/>
    <col width="5" customWidth="1" style="37" min="1031" max="1031"/>
    <col width="6.85546875" customWidth="1" style="37" min="1032" max="1032"/>
    <col width="11.7109375" customWidth="1" style="37" min="1033" max="1033"/>
    <col width="60.85546875" customWidth="1" style="37" min="1034" max="1034"/>
    <col width="4.7109375" customWidth="1" style="37" min="1035" max="1035"/>
    <col width="4.85546875" customWidth="1" style="37" min="1036" max="1036"/>
    <col width="6.5703125" customWidth="1" style="37" min="1037" max="1037"/>
    <col width="11.42578125" customWidth="1" style="37" min="1038" max="1038"/>
    <col width="11.5703125" customWidth="1" style="37" min="1039" max="1281"/>
    <col width="7.5703125" customWidth="1" style="37" min="1282" max="1282"/>
    <col width="29" customWidth="1" style="37" min="1283" max="1283"/>
    <col width="45.28515625" customWidth="1" style="37" min="1284" max="1284"/>
    <col width="49" customWidth="1" style="37" min="1285" max="1285"/>
    <col width="4.5703125" customWidth="1" style="37" min="1286" max="1286"/>
    <col width="5" customWidth="1" style="37" min="1287" max="1287"/>
    <col width="6.85546875" customWidth="1" style="37" min="1288" max="1288"/>
    <col width="11.7109375" customWidth="1" style="37" min="1289" max="1289"/>
    <col width="60.85546875" customWidth="1" style="37" min="1290" max="1290"/>
    <col width="4.7109375" customWidth="1" style="37" min="1291" max="1291"/>
    <col width="4.85546875" customWidth="1" style="37" min="1292" max="1292"/>
    <col width="6.5703125" customWidth="1" style="37" min="1293" max="1293"/>
    <col width="11.42578125" customWidth="1" style="37" min="1294" max="1294"/>
    <col width="11.5703125" customWidth="1" style="37" min="1295" max="1537"/>
    <col width="7.5703125" customWidth="1" style="37" min="1538" max="1538"/>
    <col width="29" customWidth="1" style="37" min="1539" max="1539"/>
    <col width="45.28515625" customWidth="1" style="37" min="1540" max="1540"/>
    <col width="49" customWidth="1" style="37" min="1541" max="1541"/>
    <col width="4.5703125" customWidth="1" style="37" min="1542" max="1542"/>
    <col width="5" customWidth="1" style="37" min="1543" max="1543"/>
    <col width="6.85546875" customWidth="1" style="37" min="1544" max="1544"/>
    <col width="11.7109375" customWidth="1" style="37" min="1545" max="1545"/>
    <col width="60.85546875" customWidth="1" style="37" min="1546" max="1546"/>
    <col width="4.7109375" customWidth="1" style="37" min="1547" max="1547"/>
    <col width="4.85546875" customWidth="1" style="37" min="1548" max="1548"/>
    <col width="6.5703125" customWidth="1" style="37" min="1549" max="1549"/>
    <col width="11.42578125" customWidth="1" style="37" min="1550" max="1550"/>
    <col width="11.5703125" customWidth="1" style="37" min="1551" max="1793"/>
    <col width="7.5703125" customWidth="1" style="37" min="1794" max="1794"/>
    <col width="29" customWidth="1" style="37" min="1795" max="1795"/>
    <col width="45.28515625" customWidth="1" style="37" min="1796" max="1796"/>
    <col width="49" customWidth="1" style="37" min="1797" max="1797"/>
    <col width="4.5703125" customWidth="1" style="37" min="1798" max="1798"/>
    <col width="5" customWidth="1" style="37" min="1799" max="1799"/>
    <col width="6.85546875" customWidth="1" style="37" min="1800" max="1800"/>
    <col width="11.7109375" customWidth="1" style="37" min="1801" max="1801"/>
    <col width="60.85546875" customWidth="1" style="37" min="1802" max="1802"/>
    <col width="4.7109375" customWidth="1" style="37" min="1803" max="1803"/>
    <col width="4.85546875" customWidth="1" style="37" min="1804" max="1804"/>
    <col width="6.5703125" customWidth="1" style="37" min="1805" max="1805"/>
    <col width="11.42578125" customWidth="1" style="37" min="1806" max="1806"/>
    <col width="11.5703125" customWidth="1" style="37" min="1807" max="2049"/>
    <col width="7.5703125" customWidth="1" style="37" min="2050" max="2050"/>
    <col width="29" customWidth="1" style="37" min="2051" max="2051"/>
    <col width="45.28515625" customWidth="1" style="37" min="2052" max="2052"/>
    <col width="49" customWidth="1" style="37" min="2053" max="2053"/>
    <col width="4.5703125" customWidth="1" style="37" min="2054" max="2054"/>
    <col width="5" customWidth="1" style="37" min="2055" max="2055"/>
    <col width="6.85546875" customWidth="1" style="37" min="2056" max="2056"/>
    <col width="11.7109375" customWidth="1" style="37" min="2057" max="2057"/>
    <col width="60.85546875" customWidth="1" style="37" min="2058" max="2058"/>
    <col width="4.7109375" customWidth="1" style="37" min="2059" max="2059"/>
    <col width="4.85546875" customWidth="1" style="37" min="2060" max="2060"/>
    <col width="6.5703125" customWidth="1" style="37" min="2061" max="2061"/>
    <col width="11.42578125" customWidth="1" style="37" min="2062" max="2062"/>
    <col width="11.5703125" customWidth="1" style="37" min="2063" max="2305"/>
    <col width="7.5703125" customWidth="1" style="37" min="2306" max="2306"/>
    <col width="29" customWidth="1" style="37" min="2307" max="2307"/>
    <col width="45.28515625" customWidth="1" style="37" min="2308" max="2308"/>
    <col width="49" customWidth="1" style="37" min="2309" max="2309"/>
    <col width="4.5703125" customWidth="1" style="37" min="2310" max="2310"/>
    <col width="5" customWidth="1" style="37" min="2311" max="2311"/>
    <col width="6.85546875" customWidth="1" style="37" min="2312" max="2312"/>
    <col width="11.7109375" customWidth="1" style="37" min="2313" max="2313"/>
    <col width="60.85546875" customWidth="1" style="37" min="2314" max="2314"/>
    <col width="4.7109375" customWidth="1" style="37" min="2315" max="2315"/>
    <col width="4.85546875" customWidth="1" style="37" min="2316" max="2316"/>
    <col width="6.5703125" customWidth="1" style="37" min="2317" max="2317"/>
    <col width="11.42578125" customWidth="1" style="37" min="2318" max="2318"/>
    <col width="11.5703125" customWidth="1" style="37" min="2319" max="2561"/>
    <col width="7.5703125" customWidth="1" style="37" min="2562" max="2562"/>
    <col width="29" customWidth="1" style="37" min="2563" max="2563"/>
    <col width="45.28515625" customWidth="1" style="37" min="2564" max="2564"/>
    <col width="49" customWidth="1" style="37" min="2565" max="2565"/>
    <col width="4.5703125" customWidth="1" style="37" min="2566" max="2566"/>
    <col width="5" customWidth="1" style="37" min="2567" max="2567"/>
    <col width="6.85546875" customWidth="1" style="37" min="2568" max="2568"/>
    <col width="11.7109375" customWidth="1" style="37" min="2569" max="2569"/>
    <col width="60.85546875" customWidth="1" style="37" min="2570" max="2570"/>
    <col width="4.7109375" customWidth="1" style="37" min="2571" max="2571"/>
    <col width="4.85546875" customWidth="1" style="37" min="2572" max="2572"/>
    <col width="6.5703125" customWidth="1" style="37" min="2573" max="2573"/>
    <col width="11.42578125" customWidth="1" style="37" min="2574" max="2574"/>
    <col width="11.5703125" customWidth="1" style="37" min="2575" max="2817"/>
    <col width="7.5703125" customWidth="1" style="37" min="2818" max="2818"/>
    <col width="29" customWidth="1" style="37" min="2819" max="2819"/>
    <col width="45.28515625" customWidth="1" style="37" min="2820" max="2820"/>
    <col width="49" customWidth="1" style="37" min="2821" max="2821"/>
    <col width="4.5703125" customWidth="1" style="37" min="2822" max="2822"/>
    <col width="5" customWidth="1" style="37" min="2823" max="2823"/>
    <col width="6.85546875" customWidth="1" style="37" min="2824" max="2824"/>
    <col width="11.7109375" customWidth="1" style="37" min="2825" max="2825"/>
    <col width="60.85546875" customWidth="1" style="37" min="2826" max="2826"/>
    <col width="4.7109375" customWidth="1" style="37" min="2827" max="2827"/>
    <col width="4.85546875" customWidth="1" style="37" min="2828" max="2828"/>
    <col width="6.5703125" customWidth="1" style="37" min="2829" max="2829"/>
    <col width="11.42578125" customWidth="1" style="37" min="2830" max="2830"/>
    <col width="11.5703125" customWidth="1" style="37" min="2831" max="3073"/>
    <col width="7.5703125" customWidth="1" style="37" min="3074" max="3074"/>
    <col width="29" customWidth="1" style="37" min="3075" max="3075"/>
    <col width="45.28515625" customWidth="1" style="37" min="3076" max="3076"/>
    <col width="49" customWidth="1" style="37" min="3077" max="3077"/>
    <col width="4.5703125" customWidth="1" style="37" min="3078" max="3078"/>
    <col width="5" customWidth="1" style="37" min="3079" max="3079"/>
    <col width="6.85546875" customWidth="1" style="37" min="3080" max="3080"/>
    <col width="11.7109375" customWidth="1" style="37" min="3081" max="3081"/>
    <col width="60.85546875" customWidth="1" style="37" min="3082" max="3082"/>
    <col width="4.7109375" customWidth="1" style="37" min="3083" max="3083"/>
    <col width="4.85546875" customWidth="1" style="37" min="3084" max="3084"/>
    <col width="6.5703125" customWidth="1" style="37" min="3085" max="3085"/>
    <col width="11.42578125" customWidth="1" style="37" min="3086" max="3086"/>
    <col width="11.5703125" customWidth="1" style="37" min="3087" max="3329"/>
    <col width="7.5703125" customWidth="1" style="37" min="3330" max="3330"/>
    <col width="29" customWidth="1" style="37" min="3331" max="3331"/>
    <col width="45.28515625" customWidth="1" style="37" min="3332" max="3332"/>
    <col width="49" customWidth="1" style="37" min="3333" max="3333"/>
    <col width="4.5703125" customWidth="1" style="37" min="3334" max="3334"/>
    <col width="5" customWidth="1" style="37" min="3335" max="3335"/>
    <col width="6.85546875" customWidth="1" style="37" min="3336" max="3336"/>
    <col width="11.7109375" customWidth="1" style="37" min="3337" max="3337"/>
    <col width="60.85546875" customWidth="1" style="37" min="3338" max="3338"/>
    <col width="4.7109375" customWidth="1" style="37" min="3339" max="3339"/>
    <col width="4.85546875" customWidth="1" style="37" min="3340" max="3340"/>
    <col width="6.5703125" customWidth="1" style="37" min="3341" max="3341"/>
    <col width="11.42578125" customWidth="1" style="37" min="3342" max="3342"/>
    <col width="11.5703125" customWidth="1" style="37" min="3343" max="3585"/>
    <col width="7.5703125" customWidth="1" style="37" min="3586" max="3586"/>
    <col width="29" customWidth="1" style="37" min="3587" max="3587"/>
    <col width="45.28515625" customWidth="1" style="37" min="3588" max="3588"/>
    <col width="49" customWidth="1" style="37" min="3589" max="3589"/>
    <col width="4.5703125" customWidth="1" style="37" min="3590" max="3590"/>
    <col width="5" customWidth="1" style="37" min="3591" max="3591"/>
    <col width="6.85546875" customWidth="1" style="37" min="3592" max="3592"/>
    <col width="11.7109375" customWidth="1" style="37" min="3593" max="3593"/>
    <col width="60.85546875" customWidth="1" style="37" min="3594" max="3594"/>
    <col width="4.7109375" customWidth="1" style="37" min="3595" max="3595"/>
    <col width="4.85546875" customWidth="1" style="37" min="3596" max="3596"/>
    <col width="6.5703125" customWidth="1" style="37" min="3597" max="3597"/>
    <col width="11.42578125" customWidth="1" style="37" min="3598" max="3598"/>
    <col width="11.5703125" customWidth="1" style="37" min="3599" max="3841"/>
    <col width="7.5703125" customWidth="1" style="37" min="3842" max="3842"/>
    <col width="29" customWidth="1" style="37" min="3843" max="3843"/>
    <col width="45.28515625" customWidth="1" style="37" min="3844" max="3844"/>
    <col width="49" customWidth="1" style="37" min="3845" max="3845"/>
    <col width="4.5703125" customWidth="1" style="37" min="3846" max="3846"/>
    <col width="5" customWidth="1" style="37" min="3847" max="3847"/>
    <col width="6.85546875" customWidth="1" style="37" min="3848" max="3848"/>
    <col width="11.7109375" customWidth="1" style="37" min="3849" max="3849"/>
    <col width="60.85546875" customWidth="1" style="37" min="3850" max="3850"/>
    <col width="4.7109375" customWidth="1" style="37" min="3851" max="3851"/>
    <col width="4.85546875" customWidth="1" style="37" min="3852" max="3852"/>
    <col width="6.5703125" customWidth="1" style="37" min="3853" max="3853"/>
    <col width="11.42578125" customWidth="1" style="37" min="3854" max="3854"/>
    <col width="11.5703125" customWidth="1" style="37" min="3855" max="4097"/>
    <col width="7.5703125" customWidth="1" style="37" min="4098" max="4098"/>
    <col width="29" customWidth="1" style="37" min="4099" max="4099"/>
    <col width="45.28515625" customWidth="1" style="37" min="4100" max="4100"/>
    <col width="49" customWidth="1" style="37" min="4101" max="4101"/>
    <col width="4.5703125" customWidth="1" style="37" min="4102" max="4102"/>
    <col width="5" customWidth="1" style="37" min="4103" max="4103"/>
    <col width="6.85546875" customWidth="1" style="37" min="4104" max="4104"/>
    <col width="11.7109375" customWidth="1" style="37" min="4105" max="4105"/>
    <col width="60.85546875" customWidth="1" style="37" min="4106" max="4106"/>
    <col width="4.7109375" customWidth="1" style="37" min="4107" max="4107"/>
    <col width="4.85546875" customWidth="1" style="37" min="4108" max="4108"/>
    <col width="6.5703125" customWidth="1" style="37" min="4109" max="4109"/>
    <col width="11.42578125" customWidth="1" style="37" min="4110" max="4110"/>
    <col width="11.5703125" customWidth="1" style="37" min="4111" max="4353"/>
    <col width="7.5703125" customWidth="1" style="37" min="4354" max="4354"/>
    <col width="29" customWidth="1" style="37" min="4355" max="4355"/>
    <col width="45.28515625" customWidth="1" style="37" min="4356" max="4356"/>
    <col width="49" customWidth="1" style="37" min="4357" max="4357"/>
    <col width="4.5703125" customWidth="1" style="37" min="4358" max="4358"/>
    <col width="5" customWidth="1" style="37" min="4359" max="4359"/>
    <col width="6.85546875" customWidth="1" style="37" min="4360" max="4360"/>
    <col width="11.7109375" customWidth="1" style="37" min="4361" max="4361"/>
    <col width="60.85546875" customWidth="1" style="37" min="4362" max="4362"/>
    <col width="4.7109375" customWidth="1" style="37" min="4363" max="4363"/>
    <col width="4.85546875" customWidth="1" style="37" min="4364" max="4364"/>
    <col width="6.5703125" customWidth="1" style="37" min="4365" max="4365"/>
    <col width="11.42578125" customWidth="1" style="37" min="4366" max="4366"/>
    <col width="11.5703125" customWidth="1" style="37" min="4367" max="4609"/>
    <col width="7.5703125" customWidth="1" style="37" min="4610" max="4610"/>
    <col width="29" customWidth="1" style="37" min="4611" max="4611"/>
    <col width="45.28515625" customWidth="1" style="37" min="4612" max="4612"/>
    <col width="49" customWidth="1" style="37" min="4613" max="4613"/>
    <col width="4.5703125" customWidth="1" style="37" min="4614" max="4614"/>
    <col width="5" customWidth="1" style="37" min="4615" max="4615"/>
    <col width="6.85546875" customWidth="1" style="37" min="4616" max="4616"/>
    <col width="11.7109375" customWidth="1" style="37" min="4617" max="4617"/>
    <col width="60.85546875" customWidth="1" style="37" min="4618" max="4618"/>
    <col width="4.7109375" customWidth="1" style="37" min="4619" max="4619"/>
    <col width="4.85546875" customWidth="1" style="37" min="4620" max="4620"/>
    <col width="6.5703125" customWidth="1" style="37" min="4621" max="4621"/>
    <col width="11.42578125" customWidth="1" style="37" min="4622" max="4622"/>
    <col width="11.5703125" customWidth="1" style="37" min="4623" max="4865"/>
    <col width="7.5703125" customWidth="1" style="37" min="4866" max="4866"/>
    <col width="29" customWidth="1" style="37" min="4867" max="4867"/>
    <col width="45.28515625" customWidth="1" style="37" min="4868" max="4868"/>
    <col width="49" customWidth="1" style="37" min="4869" max="4869"/>
    <col width="4.5703125" customWidth="1" style="37" min="4870" max="4870"/>
    <col width="5" customWidth="1" style="37" min="4871" max="4871"/>
    <col width="6.85546875" customWidth="1" style="37" min="4872" max="4872"/>
    <col width="11.7109375" customWidth="1" style="37" min="4873" max="4873"/>
    <col width="60.85546875" customWidth="1" style="37" min="4874" max="4874"/>
    <col width="4.7109375" customWidth="1" style="37" min="4875" max="4875"/>
    <col width="4.85546875" customWidth="1" style="37" min="4876" max="4876"/>
    <col width="6.5703125" customWidth="1" style="37" min="4877" max="4877"/>
    <col width="11.42578125" customWidth="1" style="37" min="4878" max="4878"/>
    <col width="11.5703125" customWidth="1" style="37" min="4879" max="5121"/>
    <col width="7.5703125" customWidth="1" style="37" min="5122" max="5122"/>
    <col width="29" customWidth="1" style="37" min="5123" max="5123"/>
    <col width="45.28515625" customWidth="1" style="37" min="5124" max="5124"/>
    <col width="49" customWidth="1" style="37" min="5125" max="5125"/>
    <col width="4.5703125" customWidth="1" style="37" min="5126" max="5126"/>
    <col width="5" customWidth="1" style="37" min="5127" max="5127"/>
    <col width="6.85546875" customWidth="1" style="37" min="5128" max="5128"/>
    <col width="11.7109375" customWidth="1" style="37" min="5129" max="5129"/>
    <col width="60.85546875" customWidth="1" style="37" min="5130" max="5130"/>
    <col width="4.7109375" customWidth="1" style="37" min="5131" max="5131"/>
    <col width="4.85546875" customWidth="1" style="37" min="5132" max="5132"/>
    <col width="6.5703125" customWidth="1" style="37" min="5133" max="5133"/>
    <col width="11.42578125" customWidth="1" style="37" min="5134" max="5134"/>
    <col width="11.5703125" customWidth="1" style="37" min="5135" max="5377"/>
    <col width="7.5703125" customWidth="1" style="37" min="5378" max="5378"/>
    <col width="29" customWidth="1" style="37" min="5379" max="5379"/>
    <col width="45.28515625" customWidth="1" style="37" min="5380" max="5380"/>
    <col width="49" customWidth="1" style="37" min="5381" max="5381"/>
    <col width="4.5703125" customWidth="1" style="37" min="5382" max="5382"/>
    <col width="5" customWidth="1" style="37" min="5383" max="5383"/>
    <col width="6.85546875" customWidth="1" style="37" min="5384" max="5384"/>
    <col width="11.7109375" customWidth="1" style="37" min="5385" max="5385"/>
    <col width="60.85546875" customWidth="1" style="37" min="5386" max="5386"/>
    <col width="4.7109375" customWidth="1" style="37" min="5387" max="5387"/>
    <col width="4.85546875" customWidth="1" style="37" min="5388" max="5388"/>
    <col width="6.5703125" customWidth="1" style="37" min="5389" max="5389"/>
    <col width="11.42578125" customWidth="1" style="37" min="5390" max="5390"/>
    <col width="11.5703125" customWidth="1" style="37" min="5391" max="5633"/>
    <col width="7.5703125" customWidth="1" style="37" min="5634" max="5634"/>
    <col width="29" customWidth="1" style="37" min="5635" max="5635"/>
    <col width="45.28515625" customWidth="1" style="37" min="5636" max="5636"/>
    <col width="49" customWidth="1" style="37" min="5637" max="5637"/>
    <col width="4.5703125" customWidth="1" style="37" min="5638" max="5638"/>
    <col width="5" customWidth="1" style="37" min="5639" max="5639"/>
    <col width="6.85546875" customWidth="1" style="37" min="5640" max="5640"/>
    <col width="11.7109375" customWidth="1" style="37" min="5641" max="5641"/>
    <col width="60.85546875" customWidth="1" style="37" min="5642" max="5642"/>
    <col width="4.7109375" customWidth="1" style="37" min="5643" max="5643"/>
    <col width="4.85546875" customWidth="1" style="37" min="5644" max="5644"/>
    <col width="6.5703125" customWidth="1" style="37" min="5645" max="5645"/>
    <col width="11.42578125" customWidth="1" style="37" min="5646" max="5646"/>
    <col width="11.5703125" customWidth="1" style="37" min="5647" max="5889"/>
    <col width="7.5703125" customWidth="1" style="37" min="5890" max="5890"/>
    <col width="29" customWidth="1" style="37" min="5891" max="5891"/>
    <col width="45.28515625" customWidth="1" style="37" min="5892" max="5892"/>
    <col width="49" customWidth="1" style="37" min="5893" max="5893"/>
    <col width="4.5703125" customWidth="1" style="37" min="5894" max="5894"/>
    <col width="5" customWidth="1" style="37" min="5895" max="5895"/>
    <col width="6.85546875" customWidth="1" style="37" min="5896" max="5896"/>
    <col width="11.7109375" customWidth="1" style="37" min="5897" max="5897"/>
    <col width="60.85546875" customWidth="1" style="37" min="5898" max="5898"/>
    <col width="4.7109375" customWidth="1" style="37" min="5899" max="5899"/>
    <col width="4.85546875" customWidth="1" style="37" min="5900" max="5900"/>
    <col width="6.5703125" customWidth="1" style="37" min="5901" max="5901"/>
    <col width="11.42578125" customWidth="1" style="37" min="5902" max="5902"/>
    <col width="11.5703125" customWidth="1" style="37" min="5903" max="6145"/>
    <col width="7.5703125" customWidth="1" style="37" min="6146" max="6146"/>
    <col width="29" customWidth="1" style="37" min="6147" max="6147"/>
    <col width="45.28515625" customWidth="1" style="37" min="6148" max="6148"/>
    <col width="49" customWidth="1" style="37" min="6149" max="6149"/>
    <col width="4.5703125" customWidth="1" style="37" min="6150" max="6150"/>
    <col width="5" customWidth="1" style="37" min="6151" max="6151"/>
    <col width="6.85546875" customWidth="1" style="37" min="6152" max="6152"/>
    <col width="11.7109375" customWidth="1" style="37" min="6153" max="6153"/>
    <col width="60.85546875" customWidth="1" style="37" min="6154" max="6154"/>
    <col width="4.7109375" customWidth="1" style="37" min="6155" max="6155"/>
    <col width="4.85546875" customWidth="1" style="37" min="6156" max="6156"/>
    <col width="6.5703125" customWidth="1" style="37" min="6157" max="6157"/>
    <col width="11.42578125" customWidth="1" style="37" min="6158" max="6158"/>
    <col width="11.5703125" customWidth="1" style="37" min="6159" max="6401"/>
    <col width="7.5703125" customWidth="1" style="37" min="6402" max="6402"/>
    <col width="29" customWidth="1" style="37" min="6403" max="6403"/>
    <col width="45.28515625" customWidth="1" style="37" min="6404" max="6404"/>
    <col width="49" customWidth="1" style="37" min="6405" max="6405"/>
    <col width="4.5703125" customWidth="1" style="37" min="6406" max="6406"/>
    <col width="5" customWidth="1" style="37" min="6407" max="6407"/>
    <col width="6.85546875" customWidth="1" style="37" min="6408" max="6408"/>
    <col width="11.7109375" customWidth="1" style="37" min="6409" max="6409"/>
    <col width="60.85546875" customWidth="1" style="37" min="6410" max="6410"/>
    <col width="4.7109375" customWidth="1" style="37" min="6411" max="6411"/>
    <col width="4.85546875" customWidth="1" style="37" min="6412" max="6412"/>
    <col width="6.5703125" customWidth="1" style="37" min="6413" max="6413"/>
    <col width="11.42578125" customWidth="1" style="37" min="6414" max="6414"/>
    <col width="11.5703125" customWidth="1" style="37" min="6415" max="6657"/>
    <col width="7.5703125" customWidth="1" style="37" min="6658" max="6658"/>
    <col width="29" customWidth="1" style="37" min="6659" max="6659"/>
    <col width="45.28515625" customWidth="1" style="37" min="6660" max="6660"/>
    <col width="49" customWidth="1" style="37" min="6661" max="6661"/>
    <col width="4.5703125" customWidth="1" style="37" min="6662" max="6662"/>
    <col width="5" customWidth="1" style="37" min="6663" max="6663"/>
    <col width="6.85546875" customWidth="1" style="37" min="6664" max="6664"/>
    <col width="11.7109375" customWidth="1" style="37" min="6665" max="6665"/>
    <col width="60.85546875" customWidth="1" style="37" min="6666" max="6666"/>
    <col width="4.7109375" customWidth="1" style="37" min="6667" max="6667"/>
    <col width="4.85546875" customWidth="1" style="37" min="6668" max="6668"/>
    <col width="6.5703125" customWidth="1" style="37" min="6669" max="6669"/>
    <col width="11.42578125" customWidth="1" style="37" min="6670" max="6670"/>
    <col width="11.5703125" customWidth="1" style="37" min="6671" max="6913"/>
    <col width="7.5703125" customWidth="1" style="37" min="6914" max="6914"/>
    <col width="29" customWidth="1" style="37" min="6915" max="6915"/>
    <col width="45.28515625" customWidth="1" style="37" min="6916" max="6916"/>
    <col width="49" customWidth="1" style="37" min="6917" max="6917"/>
    <col width="4.5703125" customWidth="1" style="37" min="6918" max="6918"/>
    <col width="5" customWidth="1" style="37" min="6919" max="6919"/>
    <col width="6.85546875" customWidth="1" style="37" min="6920" max="6920"/>
    <col width="11.7109375" customWidth="1" style="37" min="6921" max="6921"/>
    <col width="60.85546875" customWidth="1" style="37" min="6922" max="6922"/>
    <col width="4.7109375" customWidth="1" style="37" min="6923" max="6923"/>
    <col width="4.85546875" customWidth="1" style="37" min="6924" max="6924"/>
    <col width="6.5703125" customWidth="1" style="37" min="6925" max="6925"/>
    <col width="11.42578125" customWidth="1" style="37" min="6926" max="6926"/>
    <col width="11.5703125" customWidth="1" style="37" min="6927" max="7169"/>
    <col width="7.5703125" customWidth="1" style="37" min="7170" max="7170"/>
    <col width="29" customWidth="1" style="37" min="7171" max="7171"/>
    <col width="45.28515625" customWidth="1" style="37" min="7172" max="7172"/>
    <col width="49" customWidth="1" style="37" min="7173" max="7173"/>
    <col width="4.5703125" customWidth="1" style="37" min="7174" max="7174"/>
    <col width="5" customWidth="1" style="37" min="7175" max="7175"/>
    <col width="6.85546875" customWidth="1" style="37" min="7176" max="7176"/>
    <col width="11.7109375" customWidth="1" style="37" min="7177" max="7177"/>
    <col width="60.85546875" customWidth="1" style="37" min="7178" max="7178"/>
    <col width="4.7109375" customWidth="1" style="37" min="7179" max="7179"/>
    <col width="4.85546875" customWidth="1" style="37" min="7180" max="7180"/>
    <col width="6.5703125" customWidth="1" style="37" min="7181" max="7181"/>
    <col width="11.42578125" customWidth="1" style="37" min="7182" max="7182"/>
    <col width="11.5703125" customWidth="1" style="37" min="7183" max="7425"/>
    <col width="7.5703125" customWidth="1" style="37" min="7426" max="7426"/>
    <col width="29" customWidth="1" style="37" min="7427" max="7427"/>
    <col width="45.28515625" customWidth="1" style="37" min="7428" max="7428"/>
    <col width="49" customWidth="1" style="37" min="7429" max="7429"/>
    <col width="4.5703125" customWidth="1" style="37" min="7430" max="7430"/>
    <col width="5" customWidth="1" style="37" min="7431" max="7431"/>
    <col width="6.85546875" customWidth="1" style="37" min="7432" max="7432"/>
    <col width="11.7109375" customWidth="1" style="37" min="7433" max="7433"/>
    <col width="60.85546875" customWidth="1" style="37" min="7434" max="7434"/>
    <col width="4.7109375" customWidth="1" style="37" min="7435" max="7435"/>
    <col width="4.85546875" customWidth="1" style="37" min="7436" max="7436"/>
    <col width="6.5703125" customWidth="1" style="37" min="7437" max="7437"/>
    <col width="11.42578125" customWidth="1" style="37" min="7438" max="7438"/>
    <col width="11.5703125" customWidth="1" style="37" min="7439" max="7681"/>
    <col width="7.5703125" customWidth="1" style="37" min="7682" max="7682"/>
    <col width="29" customWidth="1" style="37" min="7683" max="7683"/>
    <col width="45.28515625" customWidth="1" style="37" min="7684" max="7684"/>
    <col width="49" customWidth="1" style="37" min="7685" max="7685"/>
    <col width="4.5703125" customWidth="1" style="37" min="7686" max="7686"/>
    <col width="5" customWidth="1" style="37" min="7687" max="7687"/>
    <col width="6.85546875" customWidth="1" style="37" min="7688" max="7688"/>
    <col width="11.7109375" customWidth="1" style="37" min="7689" max="7689"/>
    <col width="60.85546875" customWidth="1" style="37" min="7690" max="7690"/>
    <col width="4.7109375" customWidth="1" style="37" min="7691" max="7691"/>
    <col width="4.85546875" customWidth="1" style="37" min="7692" max="7692"/>
    <col width="6.5703125" customWidth="1" style="37" min="7693" max="7693"/>
    <col width="11.42578125" customWidth="1" style="37" min="7694" max="7694"/>
    <col width="11.5703125" customWidth="1" style="37" min="7695" max="7937"/>
    <col width="7.5703125" customWidth="1" style="37" min="7938" max="7938"/>
    <col width="29" customWidth="1" style="37" min="7939" max="7939"/>
    <col width="45.28515625" customWidth="1" style="37" min="7940" max="7940"/>
    <col width="49" customWidth="1" style="37" min="7941" max="7941"/>
    <col width="4.5703125" customWidth="1" style="37" min="7942" max="7942"/>
    <col width="5" customWidth="1" style="37" min="7943" max="7943"/>
    <col width="6.85546875" customWidth="1" style="37" min="7944" max="7944"/>
    <col width="11.7109375" customWidth="1" style="37" min="7945" max="7945"/>
    <col width="60.85546875" customWidth="1" style="37" min="7946" max="7946"/>
    <col width="4.7109375" customWidth="1" style="37" min="7947" max="7947"/>
    <col width="4.85546875" customWidth="1" style="37" min="7948" max="7948"/>
    <col width="6.5703125" customWidth="1" style="37" min="7949" max="7949"/>
    <col width="11.42578125" customWidth="1" style="37" min="7950" max="7950"/>
    <col width="11.5703125" customWidth="1" style="37" min="7951" max="8193"/>
    <col width="7.5703125" customWidth="1" style="37" min="8194" max="8194"/>
    <col width="29" customWidth="1" style="37" min="8195" max="8195"/>
    <col width="45.28515625" customWidth="1" style="37" min="8196" max="8196"/>
    <col width="49" customWidth="1" style="37" min="8197" max="8197"/>
    <col width="4.5703125" customWidth="1" style="37" min="8198" max="8198"/>
    <col width="5" customWidth="1" style="37" min="8199" max="8199"/>
    <col width="6.85546875" customWidth="1" style="37" min="8200" max="8200"/>
    <col width="11.7109375" customWidth="1" style="37" min="8201" max="8201"/>
    <col width="60.85546875" customWidth="1" style="37" min="8202" max="8202"/>
    <col width="4.7109375" customWidth="1" style="37" min="8203" max="8203"/>
    <col width="4.85546875" customWidth="1" style="37" min="8204" max="8204"/>
    <col width="6.5703125" customWidth="1" style="37" min="8205" max="8205"/>
    <col width="11.42578125" customWidth="1" style="37" min="8206" max="8206"/>
    <col width="11.5703125" customWidth="1" style="37" min="8207" max="8449"/>
    <col width="7.5703125" customWidth="1" style="37" min="8450" max="8450"/>
    <col width="29" customWidth="1" style="37" min="8451" max="8451"/>
    <col width="45.28515625" customWidth="1" style="37" min="8452" max="8452"/>
    <col width="49" customWidth="1" style="37" min="8453" max="8453"/>
    <col width="4.5703125" customWidth="1" style="37" min="8454" max="8454"/>
    <col width="5" customWidth="1" style="37" min="8455" max="8455"/>
    <col width="6.85546875" customWidth="1" style="37" min="8456" max="8456"/>
    <col width="11.7109375" customWidth="1" style="37" min="8457" max="8457"/>
    <col width="60.85546875" customWidth="1" style="37" min="8458" max="8458"/>
    <col width="4.7109375" customWidth="1" style="37" min="8459" max="8459"/>
    <col width="4.85546875" customWidth="1" style="37" min="8460" max="8460"/>
    <col width="6.5703125" customWidth="1" style="37" min="8461" max="8461"/>
    <col width="11.42578125" customWidth="1" style="37" min="8462" max="8462"/>
    <col width="11.5703125" customWidth="1" style="37" min="8463" max="8705"/>
    <col width="7.5703125" customWidth="1" style="37" min="8706" max="8706"/>
    <col width="29" customWidth="1" style="37" min="8707" max="8707"/>
    <col width="45.28515625" customWidth="1" style="37" min="8708" max="8708"/>
    <col width="49" customWidth="1" style="37" min="8709" max="8709"/>
    <col width="4.5703125" customWidth="1" style="37" min="8710" max="8710"/>
    <col width="5" customWidth="1" style="37" min="8711" max="8711"/>
    <col width="6.85546875" customWidth="1" style="37" min="8712" max="8712"/>
    <col width="11.7109375" customWidth="1" style="37" min="8713" max="8713"/>
    <col width="60.85546875" customWidth="1" style="37" min="8714" max="8714"/>
    <col width="4.7109375" customWidth="1" style="37" min="8715" max="8715"/>
    <col width="4.85546875" customWidth="1" style="37" min="8716" max="8716"/>
    <col width="6.5703125" customWidth="1" style="37" min="8717" max="8717"/>
    <col width="11.42578125" customWidth="1" style="37" min="8718" max="8718"/>
    <col width="11.5703125" customWidth="1" style="37" min="8719" max="8961"/>
    <col width="7.5703125" customWidth="1" style="37" min="8962" max="8962"/>
    <col width="29" customWidth="1" style="37" min="8963" max="8963"/>
    <col width="45.28515625" customWidth="1" style="37" min="8964" max="8964"/>
    <col width="49" customWidth="1" style="37" min="8965" max="8965"/>
    <col width="4.5703125" customWidth="1" style="37" min="8966" max="8966"/>
    <col width="5" customWidth="1" style="37" min="8967" max="8967"/>
    <col width="6.85546875" customWidth="1" style="37" min="8968" max="8968"/>
    <col width="11.7109375" customWidth="1" style="37" min="8969" max="8969"/>
    <col width="60.85546875" customWidth="1" style="37" min="8970" max="8970"/>
    <col width="4.7109375" customWidth="1" style="37" min="8971" max="8971"/>
    <col width="4.85546875" customWidth="1" style="37" min="8972" max="8972"/>
    <col width="6.5703125" customWidth="1" style="37" min="8973" max="8973"/>
    <col width="11.42578125" customWidth="1" style="37" min="8974" max="8974"/>
    <col width="11.5703125" customWidth="1" style="37" min="8975" max="9217"/>
    <col width="7.5703125" customWidth="1" style="37" min="9218" max="9218"/>
    <col width="29" customWidth="1" style="37" min="9219" max="9219"/>
    <col width="45.28515625" customWidth="1" style="37" min="9220" max="9220"/>
    <col width="49" customWidth="1" style="37" min="9221" max="9221"/>
    <col width="4.5703125" customWidth="1" style="37" min="9222" max="9222"/>
    <col width="5" customWidth="1" style="37" min="9223" max="9223"/>
    <col width="6.85546875" customWidth="1" style="37" min="9224" max="9224"/>
    <col width="11.7109375" customWidth="1" style="37" min="9225" max="9225"/>
    <col width="60.85546875" customWidth="1" style="37" min="9226" max="9226"/>
    <col width="4.7109375" customWidth="1" style="37" min="9227" max="9227"/>
    <col width="4.85546875" customWidth="1" style="37" min="9228" max="9228"/>
    <col width="6.5703125" customWidth="1" style="37" min="9229" max="9229"/>
    <col width="11.42578125" customWidth="1" style="37" min="9230" max="9230"/>
    <col width="11.5703125" customWidth="1" style="37" min="9231" max="9473"/>
    <col width="7.5703125" customWidth="1" style="37" min="9474" max="9474"/>
    <col width="29" customWidth="1" style="37" min="9475" max="9475"/>
    <col width="45.28515625" customWidth="1" style="37" min="9476" max="9476"/>
    <col width="49" customWidth="1" style="37" min="9477" max="9477"/>
    <col width="4.5703125" customWidth="1" style="37" min="9478" max="9478"/>
    <col width="5" customWidth="1" style="37" min="9479" max="9479"/>
    <col width="6.85546875" customWidth="1" style="37" min="9480" max="9480"/>
    <col width="11.7109375" customWidth="1" style="37" min="9481" max="9481"/>
    <col width="60.85546875" customWidth="1" style="37" min="9482" max="9482"/>
    <col width="4.7109375" customWidth="1" style="37" min="9483" max="9483"/>
    <col width="4.85546875" customWidth="1" style="37" min="9484" max="9484"/>
    <col width="6.5703125" customWidth="1" style="37" min="9485" max="9485"/>
    <col width="11.42578125" customWidth="1" style="37" min="9486" max="9486"/>
    <col width="11.5703125" customWidth="1" style="37" min="9487" max="9729"/>
    <col width="7.5703125" customWidth="1" style="37" min="9730" max="9730"/>
    <col width="29" customWidth="1" style="37" min="9731" max="9731"/>
    <col width="45.28515625" customWidth="1" style="37" min="9732" max="9732"/>
    <col width="49" customWidth="1" style="37" min="9733" max="9733"/>
    <col width="4.5703125" customWidth="1" style="37" min="9734" max="9734"/>
    <col width="5" customWidth="1" style="37" min="9735" max="9735"/>
    <col width="6.85546875" customWidth="1" style="37" min="9736" max="9736"/>
    <col width="11.7109375" customWidth="1" style="37" min="9737" max="9737"/>
    <col width="60.85546875" customWidth="1" style="37" min="9738" max="9738"/>
    <col width="4.7109375" customWidth="1" style="37" min="9739" max="9739"/>
    <col width="4.85546875" customWidth="1" style="37" min="9740" max="9740"/>
    <col width="6.5703125" customWidth="1" style="37" min="9741" max="9741"/>
    <col width="11.42578125" customWidth="1" style="37" min="9742" max="9742"/>
    <col width="11.5703125" customWidth="1" style="37" min="9743" max="9985"/>
    <col width="7.5703125" customWidth="1" style="37" min="9986" max="9986"/>
    <col width="29" customWidth="1" style="37" min="9987" max="9987"/>
    <col width="45.28515625" customWidth="1" style="37" min="9988" max="9988"/>
    <col width="49" customWidth="1" style="37" min="9989" max="9989"/>
    <col width="4.5703125" customWidth="1" style="37" min="9990" max="9990"/>
    <col width="5" customWidth="1" style="37" min="9991" max="9991"/>
    <col width="6.85546875" customWidth="1" style="37" min="9992" max="9992"/>
    <col width="11.7109375" customWidth="1" style="37" min="9993" max="9993"/>
    <col width="60.85546875" customWidth="1" style="37" min="9994" max="9994"/>
    <col width="4.7109375" customWidth="1" style="37" min="9995" max="9995"/>
    <col width="4.85546875" customWidth="1" style="37" min="9996" max="9996"/>
    <col width="6.5703125" customWidth="1" style="37" min="9997" max="9997"/>
    <col width="11.42578125" customWidth="1" style="37" min="9998" max="9998"/>
    <col width="11.5703125" customWidth="1" style="37" min="9999" max="10241"/>
    <col width="7.5703125" customWidth="1" style="37" min="10242" max="10242"/>
    <col width="29" customWidth="1" style="37" min="10243" max="10243"/>
    <col width="45.28515625" customWidth="1" style="37" min="10244" max="10244"/>
    <col width="49" customWidth="1" style="37" min="10245" max="10245"/>
    <col width="4.5703125" customWidth="1" style="37" min="10246" max="10246"/>
    <col width="5" customWidth="1" style="37" min="10247" max="10247"/>
    <col width="6.85546875" customWidth="1" style="37" min="10248" max="10248"/>
    <col width="11.7109375" customWidth="1" style="37" min="10249" max="10249"/>
    <col width="60.85546875" customWidth="1" style="37" min="10250" max="10250"/>
    <col width="4.7109375" customWidth="1" style="37" min="10251" max="10251"/>
    <col width="4.85546875" customWidth="1" style="37" min="10252" max="10252"/>
    <col width="6.5703125" customWidth="1" style="37" min="10253" max="10253"/>
    <col width="11.42578125" customWidth="1" style="37" min="10254" max="10254"/>
    <col width="11.5703125" customWidth="1" style="37" min="10255" max="10497"/>
    <col width="7.5703125" customWidth="1" style="37" min="10498" max="10498"/>
    <col width="29" customWidth="1" style="37" min="10499" max="10499"/>
    <col width="45.28515625" customWidth="1" style="37" min="10500" max="10500"/>
    <col width="49" customWidth="1" style="37" min="10501" max="10501"/>
    <col width="4.5703125" customWidth="1" style="37" min="10502" max="10502"/>
    <col width="5" customWidth="1" style="37" min="10503" max="10503"/>
    <col width="6.85546875" customWidth="1" style="37" min="10504" max="10504"/>
    <col width="11.7109375" customWidth="1" style="37" min="10505" max="10505"/>
    <col width="60.85546875" customWidth="1" style="37" min="10506" max="10506"/>
    <col width="4.7109375" customWidth="1" style="37" min="10507" max="10507"/>
    <col width="4.85546875" customWidth="1" style="37" min="10508" max="10508"/>
    <col width="6.5703125" customWidth="1" style="37" min="10509" max="10509"/>
    <col width="11.42578125" customWidth="1" style="37" min="10510" max="10510"/>
    <col width="11.5703125" customWidth="1" style="37" min="10511" max="10753"/>
    <col width="7.5703125" customWidth="1" style="37" min="10754" max="10754"/>
    <col width="29" customWidth="1" style="37" min="10755" max="10755"/>
    <col width="45.28515625" customWidth="1" style="37" min="10756" max="10756"/>
    <col width="49" customWidth="1" style="37" min="10757" max="10757"/>
    <col width="4.5703125" customWidth="1" style="37" min="10758" max="10758"/>
    <col width="5" customWidth="1" style="37" min="10759" max="10759"/>
    <col width="6.85546875" customWidth="1" style="37" min="10760" max="10760"/>
    <col width="11.7109375" customWidth="1" style="37" min="10761" max="10761"/>
    <col width="60.85546875" customWidth="1" style="37" min="10762" max="10762"/>
    <col width="4.7109375" customWidth="1" style="37" min="10763" max="10763"/>
    <col width="4.85546875" customWidth="1" style="37" min="10764" max="10764"/>
    <col width="6.5703125" customWidth="1" style="37" min="10765" max="10765"/>
    <col width="11.42578125" customWidth="1" style="37" min="10766" max="10766"/>
    <col width="11.5703125" customWidth="1" style="37" min="10767" max="11009"/>
    <col width="7.5703125" customWidth="1" style="37" min="11010" max="11010"/>
    <col width="29" customWidth="1" style="37" min="11011" max="11011"/>
    <col width="45.28515625" customWidth="1" style="37" min="11012" max="11012"/>
    <col width="49" customWidth="1" style="37" min="11013" max="11013"/>
    <col width="4.5703125" customWidth="1" style="37" min="11014" max="11014"/>
    <col width="5" customWidth="1" style="37" min="11015" max="11015"/>
    <col width="6.85546875" customWidth="1" style="37" min="11016" max="11016"/>
    <col width="11.7109375" customWidth="1" style="37" min="11017" max="11017"/>
    <col width="60.85546875" customWidth="1" style="37" min="11018" max="11018"/>
    <col width="4.7109375" customWidth="1" style="37" min="11019" max="11019"/>
    <col width="4.85546875" customWidth="1" style="37" min="11020" max="11020"/>
    <col width="6.5703125" customWidth="1" style="37" min="11021" max="11021"/>
    <col width="11.42578125" customWidth="1" style="37" min="11022" max="11022"/>
    <col width="11.5703125" customWidth="1" style="37" min="11023" max="11265"/>
    <col width="7.5703125" customWidth="1" style="37" min="11266" max="11266"/>
    <col width="29" customWidth="1" style="37" min="11267" max="11267"/>
    <col width="45.28515625" customWidth="1" style="37" min="11268" max="11268"/>
    <col width="49" customWidth="1" style="37" min="11269" max="11269"/>
    <col width="4.5703125" customWidth="1" style="37" min="11270" max="11270"/>
    <col width="5" customWidth="1" style="37" min="11271" max="11271"/>
    <col width="6.85546875" customWidth="1" style="37" min="11272" max="11272"/>
    <col width="11.7109375" customWidth="1" style="37" min="11273" max="11273"/>
    <col width="60.85546875" customWidth="1" style="37" min="11274" max="11274"/>
    <col width="4.7109375" customWidth="1" style="37" min="11275" max="11275"/>
    <col width="4.85546875" customWidth="1" style="37" min="11276" max="11276"/>
    <col width="6.5703125" customWidth="1" style="37" min="11277" max="11277"/>
    <col width="11.42578125" customWidth="1" style="37" min="11278" max="11278"/>
    <col width="11.5703125" customWidth="1" style="37" min="11279" max="11521"/>
    <col width="7.5703125" customWidth="1" style="37" min="11522" max="11522"/>
    <col width="29" customWidth="1" style="37" min="11523" max="11523"/>
    <col width="45.28515625" customWidth="1" style="37" min="11524" max="11524"/>
    <col width="49" customWidth="1" style="37" min="11525" max="11525"/>
    <col width="4.5703125" customWidth="1" style="37" min="11526" max="11526"/>
    <col width="5" customWidth="1" style="37" min="11527" max="11527"/>
    <col width="6.85546875" customWidth="1" style="37" min="11528" max="11528"/>
    <col width="11.7109375" customWidth="1" style="37" min="11529" max="11529"/>
    <col width="60.85546875" customWidth="1" style="37" min="11530" max="11530"/>
    <col width="4.7109375" customWidth="1" style="37" min="11531" max="11531"/>
    <col width="4.85546875" customWidth="1" style="37" min="11532" max="11532"/>
    <col width="6.5703125" customWidth="1" style="37" min="11533" max="11533"/>
    <col width="11.42578125" customWidth="1" style="37" min="11534" max="11534"/>
    <col width="11.5703125" customWidth="1" style="37" min="11535" max="11777"/>
    <col width="7.5703125" customWidth="1" style="37" min="11778" max="11778"/>
    <col width="29" customWidth="1" style="37" min="11779" max="11779"/>
    <col width="45.28515625" customWidth="1" style="37" min="11780" max="11780"/>
    <col width="49" customWidth="1" style="37" min="11781" max="11781"/>
    <col width="4.5703125" customWidth="1" style="37" min="11782" max="11782"/>
    <col width="5" customWidth="1" style="37" min="11783" max="11783"/>
    <col width="6.85546875" customWidth="1" style="37" min="11784" max="11784"/>
    <col width="11.7109375" customWidth="1" style="37" min="11785" max="11785"/>
    <col width="60.85546875" customWidth="1" style="37" min="11786" max="11786"/>
    <col width="4.7109375" customWidth="1" style="37" min="11787" max="11787"/>
    <col width="4.85546875" customWidth="1" style="37" min="11788" max="11788"/>
    <col width="6.5703125" customWidth="1" style="37" min="11789" max="11789"/>
    <col width="11.42578125" customWidth="1" style="37" min="11790" max="11790"/>
    <col width="11.5703125" customWidth="1" style="37" min="11791" max="12033"/>
    <col width="7.5703125" customWidth="1" style="37" min="12034" max="12034"/>
    <col width="29" customWidth="1" style="37" min="12035" max="12035"/>
    <col width="45.28515625" customWidth="1" style="37" min="12036" max="12036"/>
    <col width="49" customWidth="1" style="37" min="12037" max="12037"/>
    <col width="4.5703125" customWidth="1" style="37" min="12038" max="12038"/>
    <col width="5" customWidth="1" style="37" min="12039" max="12039"/>
    <col width="6.85546875" customWidth="1" style="37" min="12040" max="12040"/>
    <col width="11.7109375" customWidth="1" style="37" min="12041" max="12041"/>
    <col width="60.85546875" customWidth="1" style="37" min="12042" max="12042"/>
    <col width="4.7109375" customWidth="1" style="37" min="12043" max="12043"/>
    <col width="4.85546875" customWidth="1" style="37" min="12044" max="12044"/>
    <col width="6.5703125" customWidth="1" style="37" min="12045" max="12045"/>
    <col width="11.42578125" customWidth="1" style="37" min="12046" max="12046"/>
    <col width="11.5703125" customWidth="1" style="37" min="12047" max="12289"/>
    <col width="7.5703125" customWidth="1" style="37" min="12290" max="12290"/>
    <col width="29" customWidth="1" style="37" min="12291" max="12291"/>
    <col width="45.28515625" customWidth="1" style="37" min="12292" max="12292"/>
    <col width="49" customWidth="1" style="37" min="12293" max="12293"/>
    <col width="4.5703125" customWidth="1" style="37" min="12294" max="12294"/>
    <col width="5" customWidth="1" style="37" min="12295" max="12295"/>
    <col width="6.85546875" customWidth="1" style="37" min="12296" max="12296"/>
    <col width="11.7109375" customWidth="1" style="37" min="12297" max="12297"/>
    <col width="60.85546875" customWidth="1" style="37" min="12298" max="12298"/>
    <col width="4.7109375" customWidth="1" style="37" min="12299" max="12299"/>
    <col width="4.85546875" customWidth="1" style="37" min="12300" max="12300"/>
    <col width="6.5703125" customWidth="1" style="37" min="12301" max="12301"/>
    <col width="11.42578125" customWidth="1" style="37" min="12302" max="12302"/>
    <col width="11.5703125" customWidth="1" style="37" min="12303" max="12545"/>
    <col width="7.5703125" customWidth="1" style="37" min="12546" max="12546"/>
    <col width="29" customWidth="1" style="37" min="12547" max="12547"/>
    <col width="45.28515625" customWidth="1" style="37" min="12548" max="12548"/>
    <col width="49" customWidth="1" style="37" min="12549" max="12549"/>
    <col width="4.5703125" customWidth="1" style="37" min="12550" max="12550"/>
    <col width="5" customWidth="1" style="37" min="12551" max="12551"/>
    <col width="6.85546875" customWidth="1" style="37" min="12552" max="12552"/>
    <col width="11.7109375" customWidth="1" style="37" min="12553" max="12553"/>
    <col width="60.85546875" customWidth="1" style="37" min="12554" max="12554"/>
    <col width="4.7109375" customWidth="1" style="37" min="12555" max="12555"/>
    <col width="4.85546875" customWidth="1" style="37" min="12556" max="12556"/>
    <col width="6.5703125" customWidth="1" style="37" min="12557" max="12557"/>
    <col width="11.42578125" customWidth="1" style="37" min="12558" max="12558"/>
    <col width="11.5703125" customWidth="1" style="37" min="12559" max="12801"/>
    <col width="7.5703125" customWidth="1" style="37" min="12802" max="12802"/>
    <col width="29" customWidth="1" style="37" min="12803" max="12803"/>
    <col width="45.28515625" customWidth="1" style="37" min="12804" max="12804"/>
    <col width="49" customWidth="1" style="37" min="12805" max="12805"/>
    <col width="4.5703125" customWidth="1" style="37" min="12806" max="12806"/>
    <col width="5" customWidth="1" style="37" min="12807" max="12807"/>
    <col width="6.85546875" customWidth="1" style="37" min="12808" max="12808"/>
    <col width="11.7109375" customWidth="1" style="37" min="12809" max="12809"/>
    <col width="60.85546875" customWidth="1" style="37" min="12810" max="12810"/>
    <col width="4.7109375" customWidth="1" style="37" min="12811" max="12811"/>
    <col width="4.85546875" customWidth="1" style="37" min="12812" max="12812"/>
    <col width="6.5703125" customWidth="1" style="37" min="12813" max="12813"/>
    <col width="11.42578125" customWidth="1" style="37" min="12814" max="12814"/>
    <col width="11.5703125" customWidth="1" style="37" min="12815" max="13057"/>
    <col width="7.5703125" customWidth="1" style="37" min="13058" max="13058"/>
    <col width="29" customWidth="1" style="37" min="13059" max="13059"/>
    <col width="45.28515625" customWidth="1" style="37" min="13060" max="13060"/>
    <col width="49" customWidth="1" style="37" min="13061" max="13061"/>
    <col width="4.5703125" customWidth="1" style="37" min="13062" max="13062"/>
    <col width="5" customWidth="1" style="37" min="13063" max="13063"/>
    <col width="6.85546875" customWidth="1" style="37" min="13064" max="13064"/>
    <col width="11.7109375" customWidth="1" style="37" min="13065" max="13065"/>
    <col width="60.85546875" customWidth="1" style="37" min="13066" max="13066"/>
    <col width="4.7109375" customWidth="1" style="37" min="13067" max="13067"/>
    <col width="4.85546875" customWidth="1" style="37" min="13068" max="13068"/>
    <col width="6.5703125" customWidth="1" style="37" min="13069" max="13069"/>
    <col width="11.42578125" customWidth="1" style="37" min="13070" max="13070"/>
    <col width="11.5703125" customWidth="1" style="37" min="13071" max="13313"/>
    <col width="7.5703125" customWidth="1" style="37" min="13314" max="13314"/>
    <col width="29" customWidth="1" style="37" min="13315" max="13315"/>
    <col width="45.28515625" customWidth="1" style="37" min="13316" max="13316"/>
    <col width="49" customWidth="1" style="37" min="13317" max="13317"/>
    <col width="4.5703125" customWidth="1" style="37" min="13318" max="13318"/>
    <col width="5" customWidth="1" style="37" min="13319" max="13319"/>
    <col width="6.85546875" customWidth="1" style="37" min="13320" max="13320"/>
    <col width="11.7109375" customWidth="1" style="37" min="13321" max="13321"/>
    <col width="60.85546875" customWidth="1" style="37" min="13322" max="13322"/>
    <col width="4.7109375" customWidth="1" style="37" min="13323" max="13323"/>
    <col width="4.85546875" customWidth="1" style="37" min="13324" max="13324"/>
    <col width="6.5703125" customWidth="1" style="37" min="13325" max="13325"/>
    <col width="11.42578125" customWidth="1" style="37" min="13326" max="13326"/>
    <col width="11.5703125" customWidth="1" style="37" min="13327" max="13569"/>
    <col width="7.5703125" customWidth="1" style="37" min="13570" max="13570"/>
    <col width="29" customWidth="1" style="37" min="13571" max="13571"/>
    <col width="45.28515625" customWidth="1" style="37" min="13572" max="13572"/>
    <col width="49" customWidth="1" style="37" min="13573" max="13573"/>
    <col width="4.5703125" customWidth="1" style="37" min="13574" max="13574"/>
    <col width="5" customWidth="1" style="37" min="13575" max="13575"/>
    <col width="6.85546875" customWidth="1" style="37" min="13576" max="13576"/>
    <col width="11.7109375" customWidth="1" style="37" min="13577" max="13577"/>
    <col width="60.85546875" customWidth="1" style="37" min="13578" max="13578"/>
    <col width="4.7109375" customWidth="1" style="37" min="13579" max="13579"/>
    <col width="4.85546875" customWidth="1" style="37" min="13580" max="13580"/>
    <col width="6.5703125" customWidth="1" style="37" min="13581" max="13581"/>
    <col width="11.42578125" customWidth="1" style="37" min="13582" max="13582"/>
    <col width="11.5703125" customWidth="1" style="37" min="13583" max="13825"/>
    <col width="7.5703125" customWidth="1" style="37" min="13826" max="13826"/>
    <col width="29" customWidth="1" style="37" min="13827" max="13827"/>
    <col width="45.28515625" customWidth="1" style="37" min="13828" max="13828"/>
    <col width="49" customWidth="1" style="37" min="13829" max="13829"/>
    <col width="4.5703125" customWidth="1" style="37" min="13830" max="13830"/>
    <col width="5" customWidth="1" style="37" min="13831" max="13831"/>
    <col width="6.85546875" customWidth="1" style="37" min="13832" max="13832"/>
    <col width="11.7109375" customWidth="1" style="37" min="13833" max="13833"/>
    <col width="60.85546875" customWidth="1" style="37" min="13834" max="13834"/>
    <col width="4.7109375" customWidth="1" style="37" min="13835" max="13835"/>
    <col width="4.85546875" customWidth="1" style="37" min="13836" max="13836"/>
    <col width="6.5703125" customWidth="1" style="37" min="13837" max="13837"/>
    <col width="11.42578125" customWidth="1" style="37" min="13838" max="13838"/>
    <col width="11.5703125" customWidth="1" style="37" min="13839" max="14081"/>
    <col width="7.5703125" customWidth="1" style="37" min="14082" max="14082"/>
    <col width="29" customWidth="1" style="37" min="14083" max="14083"/>
    <col width="45.28515625" customWidth="1" style="37" min="14084" max="14084"/>
    <col width="49" customWidth="1" style="37" min="14085" max="14085"/>
    <col width="4.5703125" customWidth="1" style="37" min="14086" max="14086"/>
    <col width="5" customWidth="1" style="37" min="14087" max="14087"/>
    <col width="6.85546875" customWidth="1" style="37" min="14088" max="14088"/>
    <col width="11.7109375" customWidth="1" style="37" min="14089" max="14089"/>
    <col width="60.85546875" customWidth="1" style="37" min="14090" max="14090"/>
    <col width="4.7109375" customWidth="1" style="37" min="14091" max="14091"/>
    <col width="4.85546875" customWidth="1" style="37" min="14092" max="14092"/>
    <col width="6.5703125" customWidth="1" style="37" min="14093" max="14093"/>
    <col width="11.42578125" customWidth="1" style="37" min="14094" max="14094"/>
    <col width="11.5703125" customWidth="1" style="37" min="14095" max="14337"/>
    <col width="7.5703125" customWidth="1" style="37" min="14338" max="14338"/>
    <col width="29" customWidth="1" style="37" min="14339" max="14339"/>
    <col width="45.28515625" customWidth="1" style="37" min="14340" max="14340"/>
    <col width="49" customWidth="1" style="37" min="14341" max="14341"/>
    <col width="4.5703125" customWidth="1" style="37" min="14342" max="14342"/>
    <col width="5" customWidth="1" style="37" min="14343" max="14343"/>
    <col width="6.85546875" customWidth="1" style="37" min="14344" max="14344"/>
    <col width="11.7109375" customWidth="1" style="37" min="14345" max="14345"/>
    <col width="60.85546875" customWidth="1" style="37" min="14346" max="14346"/>
    <col width="4.7109375" customWidth="1" style="37" min="14347" max="14347"/>
    <col width="4.85546875" customWidth="1" style="37" min="14348" max="14348"/>
    <col width="6.5703125" customWidth="1" style="37" min="14349" max="14349"/>
    <col width="11.42578125" customWidth="1" style="37" min="14350" max="14350"/>
    <col width="11.5703125" customWidth="1" style="37" min="14351" max="14593"/>
    <col width="7.5703125" customWidth="1" style="37" min="14594" max="14594"/>
    <col width="29" customWidth="1" style="37" min="14595" max="14595"/>
    <col width="45.28515625" customWidth="1" style="37" min="14596" max="14596"/>
    <col width="49" customWidth="1" style="37" min="14597" max="14597"/>
    <col width="4.5703125" customWidth="1" style="37" min="14598" max="14598"/>
    <col width="5" customWidth="1" style="37" min="14599" max="14599"/>
    <col width="6.85546875" customWidth="1" style="37" min="14600" max="14600"/>
    <col width="11.7109375" customWidth="1" style="37" min="14601" max="14601"/>
    <col width="60.85546875" customWidth="1" style="37" min="14602" max="14602"/>
    <col width="4.7109375" customWidth="1" style="37" min="14603" max="14603"/>
    <col width="4.85546875" customWidth="1" style="37" min="14604" max="14604"/>
    <col width="6.5703125" customWidth="1" style="37" min="14605" max="14605"/>
    <col width="11.42578125" customWidth="1" style="37" min="14606" max="14606"/>
    <col width="11.5703125" customWidth="1" style="37" min="14607" max="14849"/>
    <col width="7.5703125" customWidth="1" style="37" min="14850" max="14850"/>
    <col width="29" customWidth="1" style="37" min="14851" max="14851"/>
    <col width="45.28515625" customWidth="1" style="37" min="14852" max="14852"/>
    <col width="49" customWidth="1" style="37" min="14853" max="14853"/>
    <col width="4.5703125" customWidth="1" style="37" min="14854" max="14854"/>
    <col width="5" customWidth="1" style="37" min="14855" max="14855"/>
    <col width="6.85546875" customWidth="1" style="37" min="14856" max="14856"/>
    <col width="11.7109375" customWidth="1" style="37" min="14857" max="14857"/>
    <col width="60.85546875" customWidth="1" style="37" min="14858" max="14858"/>
    <col width="4.7109375" customWidth="1" style="37" min="14859" max="14859"/>
    <col width="4.85546875" customWidth="1" style="37" min="14860" max="14860"/>
    <col width="6.5703125" customWidth="1" style="37" min="14861" max="14861"/>
    <col width="11.42578125" customWidth="1" style="37" min="14862" max="14862"/>
    <col width="11.5703125" customWidth="1" style="37" min="14863" max="15105"/>
    <col width="7.5703125" customWidth="1" style="37" min="15106" max="15106"/>
    <col width="29" customWidth="1" style="37" min="15107" max="15107"/>
    <col width="45.28515625" customWidth="1" style="37" min="15108" max="15108"/>
    <col width="49" customWidth="1" style="37" min="15109" max="15109"/>
    <col width="4.5703125" customWidth="1" style="37" min="15110" max="15110"/>
    <col width="5" customWidth="1" style="37" min="15111" max="15111"/>
    <col width="6.85546875" customWidth="1" style="37" min="15112" max="15112"/>
    <col width="11.7109375" customWidth="1" style="37" min="15113" max="15113"/>
    <col width="60.85546875" customWidth="1" style="37" min="15114" max="15114"/>
    <col width="4.7109375" customWidth="1" style="37" min="15115" max="15115"/>
    <col width="4.85546875" customWidth="1" style="37" min="15116" max="15116"/>
    <col width="6.5703125" customWidth="1" style="37" min="15117" max="15117"/>
    <col width="11.42578125" customWidth="1" style="37" min="15118" max="15118"/>
    <col width="11.5703125" customWidth="1" style="37" min="15119" max="15361"/>
    <col width="7.5703125" customWidth="1" style="37" min="15362" max="15362"/>
    <col width="29" customWidth="1" style="37" min="15363" max="15363"/>
    <col width="45.28515625" customWidth="1" style="37" min="15364" max="15364"/>
    <col width="49" customWidth="1" style="37" min="15365" max="15365"/>
    <col width="4.5703125" customWidth="1" style="37" min="15366" max="15366"/>
    <col width="5" customWidth="1" style="37" min="15367" max="15367"/>
    <col width="6.85546875" customWidth="1" style="37" min="15368" max="15368"/>
    <col width="11.7109375" customWidth="1" style="37" min="15369" max="15369"/>
    <col width="60.85546875" customWidth="1" style="37" min="15370" max="15370"/>
    <col width="4.7109375" customWidth="1" style="37" min="15371" max="15371"/>
    <col width="4.85546875" customWidth="1" style="37" min="15372" max="15372"/>
    <col width="6.5703125" customWidth="1" style="37" min="15373" max="15373"/>
    <col width="11.42578125" customWidth="1" style="37" min="15374" max="15374"/>
    <col width="11.5703125" customWidth="1" style="37" min="15375" max="15617"/>
    <col width="7.5703125" customWidth="1" style="37" min="15618" max="15618"/>
    <col width="29" customWidth="1" style="37" min="15619" max="15619"/>
    <col width="45.28515625" customWidth="1" style="37" min="15620" max="15620"/>
    <col width="49" customWidth="1" style="37" min="15621" max="15621"/>
    <col width="4.5703125" customWidth="1" style="37" min="15622" max="15622"/>
    <col width="5" customWidth="1" style="37" min="15623" max="15623"/>
    <col width="6.85546875" customWidth="1" style="37" min="15624" max="15624"/>
    <col width="11.7109375" customWidth="1" style="37" min="15625" max="15625"/>
    <col width="60.85546875" customWidth="1" style="37" min="15626" max="15626"/>
    <col width="4.7109375" customWidth="1" style="37" min="15627" max="15627"/>
    <col width="4.85546875" customWidth="1" style="37" min="15628" max="15628"/>
    <col width="6.5703125" customWidth="1" style="37" min="15629" max="15629"/>
    <col width="11.42578125" customWidth="1" style="37" min="15630" max="15630"/>
    <col width="11.5703125" customWidth="1" style="37" min="15631" max="15873"/>
    <col width="7.5703125" customWidth="1" style="37" min="15874" max="15874"/>
    <col width="29" customWidth="1" style="37" min="15875" max="15875"/>
    <col width="45.28515625" customWidth="1" style="37" min="15876" max="15876"/>
    <col width="49" customWidth="1" style="37" min="15877" max="15877"/>
    <col width="4.5703125" customWidth="1" style="37" min="15878" max="15878"/>
    <col width="5" customWidth="1" style="37" min="15879" max="15879"/>
    <col width="6.85546875" customWidth="1" style="37" min="15880" max="15880"/>
    <col width="11.7109375" customWidth="1" style="37" min="15881" max="15881"/>
    <col width="60.85546875" customWidth="1" style="37" min="15882" max="15882"/>
    <col width="4.7109375" customWidth="1" style="37" min="15883" max="15883"/>
    <col width="4.85546875" customWidth="1" style="37" min="15884" max="15884"/>
    <col width="6.5703125" customWidth="1" style="37" min="15885" max="15885"/>
    <col width="11.42578125" customWidth="1" style="37" min="15886" max="15886"/>
    <col width="11.5703125" customWidth="1" style="37" min="15887" max="16129"/>
    <col width="7.5703125" customWidth="1" style="37" min="16130" max="16130"/>
    <col width="29" customWidth="1" style="37" min="16131" max="16131"/>
    <col width="45.28515625" customWidth="1" style="37" min="16132" max="16132"/>
    <col width="49" customWidth="1" style="37" min="16133" max="16133"/>
    <col width="4.5703125" customWidth="1" style="37" min="16134" max="16134"/>
    <col width="5" customWidth="1" style="37" min="16135" max="16135"/>
    <col width="6.85546875" customWidth="1" style="37" min="16136" max="16136"/>
    <col width="11.7109375" customWidth="1" style="37" min="16137" max="16137"/>
    <col width="60.85546875" customWidth="1" style="37" min="16138" max="16138"/>
    <col width="4.7109375" customWidth="1" style="37" min="16139" max="16139"/>
    <col width="4.85546875" customWidth="1" style="37" min="16140" max="16140"/>
    <col width="6.5703125" customWidth="1" style="37" min="16141" max="16141"/>
    <col width="11.42578125" customWidth="1" style="37" min="16142" max="16142"/>
    <col width="11.5703125" customWidth="1" style="37" min="16143" max="16384"/>
  </cols>
  <sheetData>
    <row r="1" ht="28.5" customHeight="1" s="157">
      <c r="B1" s="37" t="n"/>
      <c r="C1" s="464" t="n"/>
      <c r="D1" s="36" t="n"/>
      <c r="E1" s="37" t="n"/>
      <c r="F1" s="736" t="n"/>
    </row>
    <row r="2" ht="147.75" customHeight="1" s="157" thickBot="1">
      <c r="B2" s="847" t="inlineStr">
        <is>
          <t>위험 식별 및 위험 분석
 EHS 룸</t>
        </is>
      </c>
      <c r="C2" s="848" t="n"/>
      <c r="D2" s="848" t="n"/>
      <c r="E2" s="848" t="n"/>
      <c r="F2" s="848" t="n"/>
      <c r="G2" s="848" t="n"/>
      <c r="H2" s="848" t="n"/>
      <c r="I2" s="848" t="n"/>
      <c r="J2" s="848" t="n"/>
      <c r="K2" s="848" t="n"/>
      <c r="L2" s="848" t="n"/>
      <c r="M2" s="848" t="n"/>
      <c r="N2" s="849" t="n"/>
    </row>
    <row r="3" customFormat="1" s="739">
      <c r="A3" s="739" t="n"/>
      <c r="B3" s="737" t="inlineStr">
        <is>
          <t>번호</t>
        </is>
      </c>
      <c r="C3" s="738" t="inlineStr">
        <is>
          <t>프로세스/진행상황</t>
        </is>
      </c>
      <c r="D3" s="738" t="inlineStr">
        <is>
          <t>잠재력</t>
        </is>
      </c>
      <c r="E3" s="737" t="inlineStr">
        <is>
          <t>원인/설명</t>
        </is>
      </c>
      <c r="F3" s="737" t="inlineStr">
        <is>
          <t>리스크 평가</t>
        </is>
      </c>
      <c r="G3" s="813" t="n"/>
      <c r="H3" s="813" t="n"/>
      <c r="I3" s="834" t="n"/>
      <c r="J3" s="738" t="inlineStr">
        <is>
          <t>예방/시정 조치</t>
        </is>
      </c>
      <c r="K3" s="738" t="inlineStr">
        <is>
          <t>외부 평가
예방 조치를 취한 후</t>
        </is>
      </c>
      <c r="L3" s="813" t="n"/>
      <c r="M3" s="813" t="n"/>
      <c r="N3" s="834" t="n"/>
    </row>
    <row r="4" ht="37.5" customFormat="1" customHeight="1" s="739">
      <c r="A4" s="739" t="n"/>
      <c r="B4" s="818" t="n"/>
      <c r="C4" s="818" t="n"/>
      <c r="D4" s="818" t="n"/>
      <c r="E4" s="818" t="n"/>
      <c r="F4" s="711" t="inlineStr">
        <is>
          <t>S</t>
        </is>
      </c>
      <c r="G4" s="711" t="inlineStr">
        <is>
          <t>F</t>
        </is>
      </c>
      <c r="H4" s="711" t="inlineStr">
        <is>
          <t>S*F</t>
        </is>
      </c>
      <c r="I4" s="710" t="inlineStr">
        <is>
          <t>위험 분류</t>
        </is>
      </c>
      <c r="J4" s="818" t="n"/>
      <c r="K4" s="710" t="inlineStr">
        <is>
          <t>S</t>
        </is>
      </c>
      <c r="L4" s="711" t="inlineStr">
        <is>
          <t>F</t>
        </is>
      </c>
      <c r="M4" s="711" t="inlineStr">
        <is>
          <t>S*F</t>
        </is>
      </c>
      <c r="N4" s="710" t="inlineStr">
        <is>
          <t>분류
 위험</t>
        </is>
      </c>
    </row>
    <row r="5" ht="89.25" customFormat="1" customHeight="1" s="739">
      <c r="A5" s="739" t="n"/>
      <c r="B5" s="711" t="n">
        <v>1</v>
      </c>
      <c r="C5" s="710" t="inlineStr">
        <is>
          <t>인간</t>
        </is>
      </c>
      <c r="D5" s="73" t="inlineStr">
        <is>
          <t>직무 요구 사항에 비해 업계 지식이 없습니다.</t>
        </is>
      </c>
      <c r="E5" s="70" t="inlineStr">
        <is>
          <t>직업의 특성에 비해 훈련 과정이나 결과가 만족스럽지 못하거나, 전문성이나 직무 배치가 전문성에 부합하지 않습니다.</t>
        </is>
      </c>
      <c r="F5" s="711" t="n">
        <v>2</v>
      </c>
      <c r="G5" s="711" t="n">
        <v>3</v>
      </c>
      <c r="H5" s="711" t="n">
        <v>6</v>
      </c>
      <c r="I5" s="710" t="inlineStr">
        <is>
          <t>B</t>
        </is>
      </c>
      <c r="J5" s="73" t="inlineStr">
        <is>
          <t>전문성, 지식 및 전문 기술에 대한 추가 교육</t>
        </is>
      </c>
      <c r="K5" s="710" t="n">
        <v>1</v>
      </c>
      <c r="L5" s="711" t="n">
        <v>1</v>
      </c>
      <c r="M5" s="711">
        <f>K5*L5</f>
        <v/>
      </c>
      <c r="N5" s="710" t="inlineStr">
        <is>
          <t>A</t>
        </is>
      </c>
    </row>
    <row r="6" ht="89.25" customFormat="1" customHeight="1" s="739">
      <c r="A6" s="739" t="n"/>
      <c r="B6" s="818" t="n"/>
      <c r="C6" s="818" t="n"/>
      <c r="D6" s="73" t="inlineStr">
        <is>
          <t>건강과 사고력 유지</t>
        </is>
      </c>
      <c r="E6" s="72" t="inlineStr">
        <is>
          <t>건강이 좋지 않고 기술이 좋지 않아 자해 사고가 발생합니다.</t>
        </is>
      </c>
      <c r="F6" s="711" t="n">
        <v>1</v>
      </c>
      <c r="G6" s="711" t="n">
        <v>4</v>
      </c>
      <c r="H6" s="711">
        <f>+F6*G6</f>
        <v/>
      </c>
      <c r="I6" s="710" t="inlineStr">
        <is>
          <t>A</t>
        </is>
      </c>
      <c r="J6" s="70" t="inlineStr">
        <is>
          <t>- 법에 따라 정해진 시간에 일하고 휴식을 취하십시오.
- 내부적으로 전문 기술 향상 세션을 정기적으로 개최</t>
        </is>
      </c>
      <c r="K6" s="710" t="n">
        <v>1</v>
      </c>
      <c r="L6" s="711" t="n">
        <v>2</v>
      </c>
      <c r="M6" s="711">
        <f>K6*L6</f>
        <v/>
      </c>
      <c r="N6" s="710" t="inlineStr">
        <is>
          <t>A</t>
        </is>
      </c>
    </row>
    <row r="7" ht="97.5" customFormat="1" customHeight="1" s="739">
      <c r="A7" s="739" t="n"/>
      <c r="B7" s="711" t="n">
        <v>2</v>
      </c>
      <c r="C7" s="710" t="inlineStr">
        <is>
          <t>기계 및 장비</t>
        </is>
      </c>
      <c r="D7" s="73" t="inlineStr">
        <is>
          <t>만료되었거나 표준을 충족하지 못한 기계로 작업하기</t>
        </is>
      </c>
      <c r="E7" s="72" t="inlineStr">
        <is>
          <t>제조사에서 허용한 사용시간 및 사용기준을 초과하여 기계를 사용하고 있습니다.</t>
        </is>
      </c>
      <c r="F7" s="711" t="n">
        <v>3</v>
      </c>
      <c r="G7" s="711" t="n">
        <v>5</v>
      </c>
      <c r="H7" s="711">
        <f>+F7*G7</f>
        <v/>
      </c>
      <c r="I7" s="710" t="inlineStr">
        <is>
          <t>C</t>
        </is>
      </c>
      <c r="J7" s="73" t="inlineStr">
        <is>
          <t>장치를 다시 교정하고 유효 기간 내에만 사용하십시오. 기계가 손상되면 수리해야 합니다. 수리 후에는 기계를 다시 사용하기 전에 안전한지 재평가하는 것이 필요합니다.</t>
        </is>
      </c>
      <c r="K7" s="710" t="n">
        <v>2</v>
      </c>
      <c r="L7" s="711" t="n">
        <v>1</v>
      </c>
      <c r="M7" s="711">
        <f>K7*L7</f>
        <v/>
      </c>
      <c r="N7" s="710" t="inlineStr">
        <is>
          <t>A</t>
        </is>
      </c>
    </row>
    <row r="8" ht="111" customFormat="1" customHeight="1" s="739">
      <c r="A8" s="739" t="n"/>
      <c r="B8" s="818" t="n"/>
      <c r="C8" s="818" t="n"/>
      <c r="D8" s="73" t="inlineStr">
        <is>
          <t>기계를 정기적으로 점검하고 유지 관리하지 않으면 위험한 사고가 발생합니다.</t>
        </is>
      </c>
      <c r="E8" s="72" t="inlineStr">
        <is>
          <t>기계는 사용하기에 위험하며 많은 장치가 파손되었으나 유지 관리되지 않습니다.</t>
        </is>
      </c>
      <c r="F8" s="711" t="n">
        <v>2</v>
      </c>
      <c r="G8" s="711" t="n">
        <v>5</v>
      </c>
      <c r="H8" s="711">
        <f>+F8*G8</f>
        <v/>
      </c>
      <c r="I8" s="710" t="inlineStr">
        <is>
          <t>B</t>
        </is>
      </c>
      <c r="J8" s="70" t="inlineStr">
        <is>
          <t>- 기계를 매일, 매월, 매년 확인합니다.
- 사용 중 위험을 최소화하기 위해 기계 및 장비의 유지보수 및 유지관리를 계획합니다.</t>
        </is>
      </c>
      <c r="K8" s="710" t="n">
        <v>1</v>
      </c>
      <c r="L8" s="711" t="n">
        <v>2</v>
      </c>
      <c r="M8" s="711">
        <f>K8*L8</f>
        <v/>
      </c>
      <c r="N8" s="710" t="inlineStr">
        <is>
          <t>A</t>
        </is>
      </c>
    </row>
    <row r="9" ht="134.25" customFormat="1" customHeight="1" s="739">
      <c r="A9" s="739" t="n"/>
      <c r="B9" s="711" t="n">
        <v>3</v>
      </c>
      <c r="C9" s="710" t="inlineStr">
        <is>
          <t>높은 곳에서 작업</t>
        </is>
      </c>
      <c r="D9" s="73" t="inlineStr">
        <is>
          <t>작업 중 높은 곳에서 떨어지거나 떨어지는 경우</t>
        </is>
      </c>
      <c r="E9" s="71" t="inlineStr">
        <is>
          <t>- 미준수 고소작업 시 안전기준.
- 작업 시 노동 보호 장비가 완벽하게 갖추어져 있지 않습니다.
- 작업을 수행하기 전에 장비를 점검하고 위험을 평가하지 않음</t>
        </is>
      </c>
      <c r="F9" s="711" t="n">
        <v>3</v>
      </c>
      <c r="G9" s="711" t="n">
        <v>5</v>
      </c>
      <c r="H9" s="711">
        <f>+F9*G9</f>
        <v/>
      </c>
      <c r="I9" s="710" t="inlineStr">
        <is>
          <t>C</t>
        </is>
      </c>
      <c r="J9" s="70" t="inlineStr">
        <is>
          <t>- 고소작업 시 안전기준을 준수합니다.
- 고소 작업 시 보호 장비를 완벽하게 갖추고 있어야 합니다.
- 작업 시작 전 장비 및 위험 평가를 검사합니다.</t>
        </is>
      </c>
      <c r="K9" s="710" t="n">
        <v>2</v>
      </c>
      <c r="L9" s="711" t="n">
        <v>1</v>
      </c>
      <c r="M9" s="711">
        <f>K9*L9</f>
        <v/>
      </c>
      <c r="N9" s="710" t="inlineStr">
        <is>
          <t>A</t>
        </is>
      </c>
    </row>
    <row r="10" ht="109.5" customFormat="1" customHeight="1" s="739">
      <c r="A10" s="739" t="n"/>
      <c r="B10" s="711" t="n">
        <v>4</v>
      </c>
      <c r="C10" s="710" t="inlineStr">
        <is>
          <t>유해 폐기물 관리</t>
        </is>
      </c>
      <c r="D10" s="73" t="inlineStr">
        <is>
          <t>독소 및 질병을 유발하는 미생물에 대한 노출</t>
        </is>
      </c>
      <c r="E10" s="71" t="inlineStr">
        <is>
          <t>- 미준수는 유해 폐기물에 노출되었을 때 노동 보호 장비의 사용을 규제합니다.
- 위험 폐기물 보관 장소의 경고 표시 및 지시 표시에 주의를 기울이지 마십시오.</t>
        </is>
      </c>
      <c r="F10" s="711" t="n">
        <v>2</v>
      </c>
      <c r="G10" s="711" t="n">
        <v>4</v>
      </c>
      <c r="H10" s="711">
        <f>+F10*G10</f>
        <v/>
      </c>
      <c r="I10" s="710" t="inlineStr">
        <is>
          <t>B</t>
        </is>
      </c>
      <c r="J10" s="70" t="inlineStr">
        <is>
          <t>- 준수사항은 유해 폐기물에 노출되었을 때 노동 보호를 규제합니다.
- 경고 표시와 지시 표시에 주의하세요.
- 화학물질 안전 지식 및 화학사고 대응에 대한 정기적인 교육을 실시합니다.</t>
        </is>
      </c>
      <c r="K10" s="710" t="n">
        <v>1</v>
      </c>
      <c r="L10" s="711" t="n">
        <v>2</v>
      </c>
      <c r="M10" s="711">
        <f>K10*L10</f>
        <v/>
      </c>
      <c r="N10" s="710" t="inlineStr">
        <is>
          <t>A</t>
        </is>
      </c>
    </row>
    <row r="11" ht="148.5" customFormat="1" customHeight="1" s="739">
      <c r="A11" s="739" t="n"/>
      <c r="B11" s="711" t="n">
        <v>5</v>
      </c>
      <c r="C11" s="710" t="inlineStr">
        <is>
          <t>화학제품</t>
        </is>
      </c>
      <c r="D11" s="73" t="inlineStr">
        <is>
          <t>화학물질에 노출되면 안전하지 않음</t>
        </is>
      </c>
      <c r="E11" s="71" t="inlineStr">
        <is>
          <t>- 화학물질에 노출될 경우 노동 보호 장치가 완벽하게 갖춰져 있지 않습니다.
- MSDS, GHS 경고도 등 화학물질 종류별 규정을 주의하고 준수하지 않은 경우</t>
        </is>
      </c>
      <c r="F11" s="711" t="n">
        <v>2</v>
      </c>
      <c r="G11" s="711" t="n">
        <v>5</v>
      </c>
      <c r="H11" s="711">
        <f>+F11*G11</f>
        <v/>
      </c>
      <c r="I11" s="710" t="inlineStr">
        <is>
          <t>B</t>
        </is>
      </c>
      <c r="J11" s="70" t="inlineStr">
        <is>
          <t>- 준수사항은 유해 폐기물에 노출되었을 때 노동 보호를 규제합니다.
- 경고 표시와 지시 표시에 주의하세요.
- 화학사고 대응장비 완비
- 비상 샤워 및 눈 세척 장비 준비
- 화학물질 안전 지식 및 화학사고 대응에 대한 정기적인 교육을 실시합니다.</t>
        </is>
      </c>
      <c r="K11" s="710" t="n">
        <v>1</v>
      </c>
      <c r="L11" s="711" t="n">
        <v>2</v>
      </c>
      <c r="M11" s="711">
        <f>K11*L11</f>
        <v/>
      </c>
      <c r="N11" s="710" t="inlineStr">
        <is>
          <t>A</t>
        </is>
      </c>
    </row>
    <row r="12" ht="171.75" customFormat="1" customHeight="1" s="739">
      <c r="A12" s="739" t="n"/>
      <c r="B12" s="711" t="n">
        <v>6</v>
      </c>
      <c r="C12" s="710" t="inlineStr">
        <is>
          <t>용접, 절단</t>
        </is>
      </c>
      <c r="D12" s="70" t="inlineStr">
        <is>
          <t>- 폭발
- 스플래시, 절단 물체 쏘기
- 감전
- 손을 자르세요</t>
        </is>
      </c>
      <c r="E12" s="71" t="inlineStr">
        <is>
          <t>- 안전한 장비 작동 절차를 이해하지 못합니다.
- 작업 시 노동 보호 장비가 완벽하게 갖추어져 있지 않습니다.
- 작업시 현장에서 소방장비를 갖추지 마십시오.
- 뚜껑이 없어 안전성이 보장되지 않습니다.</t>
        </is>
      </c>
      <c r="F12" s="711" t="n">
        <v>3</v>
      </c>
      <c r="G12" s="711" t="n">
        <v>3</v>
      </c>
      <c r="H12" s="711">
        <f>+F12*G12</f>
        <v/>
      </c>
      <c r="I12" s="710" t="inlineStr">
        <is>
          <t>B</t>
        </is>
      </c>
      <c r="J12" s="70" t="inlineStr">
        <is>
          <t>- 기계 및 장비를 작동하기 전에 안전한지 확인하십시오.
- 작업시 노동 보호 장비를 완벽하게 갖추고 있습니다.
- 작업 시 현장 소방 장비를 완벽하게 갖추고 있습니다.</t>
        </is>
      </c>
      <c r="K12" s="710" t="n">
        <v>2</v>
      </c>
      <c r="L12" s="711" t="n">
        <v>2</v>
      </c>
      <c r="M12" s="711">
        <f>K12*L12</f>
        <v/>
      </c>
      <c r="N12" s="710" t="inlineStr">
        <is>
          <t>A</t>
        </is>
      </c>
    </row>
    <row r="13" ht="192" customFormat="1" customHeight="1" s="739">
      <c r="A13" s="739" t="n"/>
      <c r="B13" s="711" t="n">
        <v>7</v>
      </c>
      <c r="C13" s="710" t="inlineStr">
        <is>
          <t>소방</t>
        </is>
      </c>
      <c r="D13" s="70" t="inlineStr">
        <is>
          <t>- 화상, 연기 흡입
- 소방 중 사고</t>
        </is>
      </c>
      <c r="E13" s="71" t="inlineStr">
        <is>
          <t>- 소방참여 시 보호장비를 완벽하게 갖추고 있지 않습니다.
- 소방 및 구조 활동 참여 시 안전에 대한 지식이 부족합니다.</t>
        </is>
      </c>
      <c r="F13" s="711" t="n">
        <v>2</v>
      </c>
      <c r="G13" s="711" t="n">
        <v>5</v>
      </c>
      <c r="H13" s="711">
        <f>+F13*G13</f>
        <v/>
      </c>
      <c r="I13" s="710" t="inlineStr">
        <is>
          <t>B</t>
        </is>
      </c>
      <c r="J13" s="70" t="inlineStr">
        <is>
          <t>- 소방참여 시 보호장비를 완벽하게 갖추고 있어야 합니다.
- 인화성 물질을 검사하고 적절한 소화수단을 사용한다.
- 정기적으로 훈련, 내부 화재 예방 및 구조 훈련을 조직하고 화재 예방 및 구조 경찰과 협력하여 참여합니다.
- 화재 및 폭발 위험이 높은 지역에는 소방 장비 및 비상 대응 장비를 완벽하게 갖추고 있습니다.</t>
        </is>
      </c>
      <c r="K13" s="710" t="n">
        <v>1</v>
      </c>
      <c r="L13" s="711" t="n">
        <v>2</v>
      </c>
      <c r="M13" s="711">
        <f>K13*L13</f>
        <v/>
      </c>
      <c r="N13" s="710" t="inlineStr">
        <is>
          <t>A</t>
        </is>
      </c>
    </row>
    <row r="14" ht="54.75" customFormat="1" customHeight="1" s="739">
      <c r="A14" s="739" t="n"/>
      <c r="B14" s="711" t="n">
        <v>8</v>
      </c>
      <c r="C14" s="710" t="inlineStr">
        <is>
          <t>방법</t>
        </is>
      </c>
      <c r="D14" s="73" t="inlineStr">
        <is>
          <t>각각의 특정 직무에 비해 잘못된 프로세스에서 일함</t>
        </is>
      </c>
      <c r="E14" s="71" t="inlineStr">
        <is>
          <t>교육받은 안전기준에 따라 잘못 조작, 작업한 경우</t>
        </is>
      </c>
      <c r="F14" s="711" t="n">
        <v>3</v>
      </c>
      <c r="G14" s="711" t="n">
        <v>5</v>
      </c>
      <c r="H14" s="711">
        <f>+F14*G14</f>
        <v/>
      </c>
      <c r="I14" s="710" t="inlineStr">
        <is>
          <t>C</t>
        </is>
      </c>
      <c r="J14" s="73" t="inlineStr">
        <is>
          <t>각 특정 작업에 대한 자세한 운영 지침 및 교육 단계가 있습니다.</t>
        </is>
      </c>
      <c r="K14" s="710" t="n">
        <v>1</v>
      </c>
      <c r="L14" s="711" t="n">
        <v>2</v>
      </c>
      <c r="M14" s="711">
        <f>K14*L14</f>
        <v/>
      </c>
      <c r="N14" s="710" t="inlineStr">
        <is>
          <t>A</t>
        </is>
      </c>
    </row>
    <row r="15" ht="56.25" customFormat="1" customHeight="1" s="739">
      <c r="A15" s="739" t="n"/>
      <c r="B15" s="818" t="n"/>
      <c r="C15" s="818" t="n"/>
      <c r="D15" s="73" t="inlineStr">
        <is>
          <t>비동기식 그룹으로 작업</t>
        </is>
      </c>
      <c r="E15" s="72" t="inlineStr">
        <is>
          <t>문제를 오해하고 모순된 작업을 처리하면 기계의 충격으로 인해 위험이 발생합니다.</t>
        </is>
      </c>
      <c r="F15" s="711" t="n">
        <v>1</v>
      </c>
      <c r="G15" s="711" t="n">
        <v>5</v>
      </c>
      <c r="H15" s="711">
        <f>+F15*G15</f>
        <v/>
      </c>
      <c r="I15" s="710" t="inlineStr">
        <is>
          <t>A</t>
        </is>
      </c>
      <c r="J15" s="73" t="inlineStr">
        <is>
          <t>각 개인의 업무와 강점에 적합한 그룹을 구성합니다.</t>
        </is>
      </c>
      <c r="K15" s="710" t="n">
        <v>1</v>
      </c>
      <c r="L15" s="711" t="n">
        <v>2</v>
      </c>
      <c r="M15" s="711">
        <f>K15*L15</f>
        <v/>
      </c>
      <c r="N15" s="710" t="inlineStr">
        <is>
          <t>A</t>
        </is>
      </c>
    </row>
    <row r="16" ht="66" customFormat="1" customHeight="1" s="739">
      <c r="A16" s="739" t="n"/>
      <c r="B16" s="713" t="n">
        <v>9</v>
      </c>
      <c r="C16" s="663" t="inlineStr">
        <is>
          <t>인프라</t>
        </is>
      </c>
      <c r="D16" s="458" t="inlineStr">
        <is>
          <t>저하된 기술 구조</t>
        </is>
      </c>
      <c r="E16" s="459" t="inlineStr">
        <is>
          <t>공장 인프라의 기술 구조가 저하되었지만 적시에 유지 관리되지 않았습니다.</t>
        </is>
      </c>
      <c r="F16" s="713" t="n">
        <v>3</v>
      </c>
      <c r="G16" s="713" t="n">
        <v>5</v>
      </c>
      <c r="H16" s="713">
        <f>+F16*G16</f>
        <v/>
      </c>
      <c r="I16" s="663" t="inlineStr">
        <is>
          <t>C</t>
        </is>
      </c>
      <c r="J16" s="460" t="inlineStr">
        <is>
          <t>- 기둥, 벽체, 기초, 지붕 등 기반시설의 상태를 정기적으로 점검합니다.
- 시정은 문제가 생기면 바로 특이하다.</t>
        </is>
      </c>
      <c r="K16" s="663" t="n">
        <v>2</v>
      </c>
      <c r="L16" s="713" t="n">
        <v>3</v>
      </c>
      <c r="M16" s="713">
        <f>K16*L16</f>
        <v/>
      </c>
      <c r="N16" s="663" t="inlineStr">
        <is>
          <t>B</t>
        </is>
      </c>
    </row>
    <row r="17" ht="95.25" customFormat="1" customHeight="1" s="739" thickBot="1">
      <c r="A17" s="739" t="n"/>
      <c r="B17" s="411" t="n">
        <v>10</v>
      </c>
      <c r="C17" s="413" t="inlineStr">
        <is>
          <t>질병</t>
        </is>
      </c>
      <c r="D17" s="461" t="inlineStr">
        <is>
          <t>업무 중 많은 사람들과 접촉</t>
        </is>
      </c>
      <c r="E17" s="462" t="inlineStr">
        <is>
          <t>- 미준수 전염병 예방 규정</t>
        </is>
      </c>
      <c r="F17" s="411" t="n">
        <v>3</v>
      </c>
      <c r="G17" s="411" t="n">
        <v>3</v>
      </c>
      <c r="H17" s="411">
        <f>+F17*G17</f>
        <v/>
      </c>
      <c r="I17" s="413" t="inlineStr">
        <is>
          <t>B</t>
        </is>
      </c>
      <c r="J17" s="463" t="inlineStr">
        <is>
          <t>- 방역수칙 준수 (소독, 마스크 착용 등)
- 계절성 전염병에 대한 정보를 정기적으로 업데이트합니다.</t>
        </is>
      </c>
      <c r="K17" s="413" t="n">
        <v>1</v>
      </c>
      <c r="L17" s="411" t="n">
        <v>1</v>
      </c>
      <c r="M17" s="411">
        <f>K17*L17</f>
        <v/>
      </c>
      <c r="N17" s="413" t="inlineStr">
        <is>
          <t>A</t>
        </is>
      </c>
    </row>
    <row r="18" ht="24" customFormat="1" customHeight="1" s="235">
      <c r="B18" s="199" t="inlineStr">
        <is>
          <t>아르헨티나는 다음 공식을 사용하여 측정됩니다: R = F x S, 여기서:</t>
        </is>
      </c>
      <c r="C18" s="155" t="n"/>
      <c r="D18" s="155" t="n"/>
      <c r="E18" s="155" t="n"/>
      <c r="F18" s="155" t="n"/>
      <c r="G18" s="155" t="n"/>
      <c r="H18" s="155" t="n"/>
      <c r="I18" s="155" t="n"/>
      <c r="J18" s="155" t="n"/>
      <c r="K18" s="155" t="n"/>
      <c r="L18" s="155" t="n"/>
      <c r="M18" s="155" t="n"/>
      <c r="N18" s="156" t="n"/>
    </row>
    <row r="19" ht="24" customFormat="1" customHeight="1" s="235">
      <c r="B19" s="850" t="inlineStr">
        <is>
          <t>R': 리스크.</t>
        </is>
      </c>
      <c r="N19" s="158" t="n"/>
    </row>
    <row r="20" ht="24" customFormat="1" customHeight="1" s="235">
      <c r="B20" s="851" t="inlineStr">
        <is>
          <t>여: 가능성.</t>
        </is>
      </c>
      <c r="N20" s="158" t="n"/>
    </row>
    <row r="21" ht="24" customFormat="1" customHeight="1" s="235">
      <c r="B21" s="852" t="inlineStr">
        <is>
          <t>S: 그런 일이 발생하면 어떤 결과가 따르나요?</t>
        </is>
      </c>
      <c r="C21" s="159" t="n"/>
      <c r="D21" s="159" t="n"/>
      <c r="E21" s="159" t="n"/>
      <c r="F21" s="159" t="n"/>
      <c r="G21" s="159" t="n"/>
      <c r="H21" s="159" t="n"/>
      <c r="I21" s="159" t="n"/>
      <c r="J21" s="159" t="n"/>
      <c r="K21" s="159" t="n"/>
      <c r="L21" s="159" t="n"/>
      <c r="M21" s="159" t="n"/>
      <c r="N21" s="290" t="n"/>
    </row>
    <row r="22" ht="15.75" customFormat="1" customHeight="1" s="236">
      <c r="B22" s="465" t="n"/>
      <c r="C22" s="212" t="inlineStr">
        <is>
          <t>No</t>
        </is>
      </c>
      <c r="D22" s="466" t="inlineStr">
        <is>
          <t>문서번호</t>
        </is>
      </c>
      <c r="E22" s="466" t="inlineStr">
        <is>
          <t>발행일</t>
        </is>
      </c>
      <c r="F22" s="756" t="inlineStr">
        <is>
          <t>개정</t>
        </is>
      </c>
      <c r="G22" s="814" t="n"/>
      <c r="H22" s="610" t="inlineStr">
        <is>
          <t xml:space="preserve">내용 </t>
        </is>
      </c>
      <c r="I22" s="814" t="n"/>
      <c r="J22" s="814" t="n"/>
      <c r="K22" s="814" t="n"/>
      <c r="L22" s="815" t="n"/>
      <c r="M22" s="609" t="inlineStr">
        <is>
          <t>작성자</t>
        </is>
      </c>
      <c r="N22" s="815" t="n"/>
    </row>
    <row r="23" ht="15.75" customFormat="1" customHeight="1" s="236">
      <c r="B23" s="465" t="n"/>
      <c r="C23" s="212" t="n">
        <v>0</v>
      </c>
      <c r="D23" s="466" t="inlineStr">
        <is>
          <t>EHS.04.01.03</t>
        </is>
      </c>
      <c r="E23" s="466" t="inlineStr">
        <is>
          <t>03.01.2020</t>
        </is>
      </c>
      <c r="F23" s="760" t="inlineStr">
        <is>
          <t>0</t>
        </is>
      </c>
      <c r="G23" s="814" t="n"/>
      <c r="H23" s="610" t="inlineStr">
        <is>
          <t>신규 작성</t>
        </is>
      </c>
      <c r="I23" s="814" t="n"/>
      <c r="J23" s="814" t="n"/>
      <c r="K23" s="814" t="n"/>
      <c r="L23" s="815" t="n"/>
      <c r="M23" s="609" t="inlineStr">
        <is>
          <t>Mr Hung</t>
        </is>
      </c>
      <c r="N23" s="815" t="n"/>
    </row>
    <row r="24" ht="15.75" customFormat="1" customHeight="1" s="236">
      <c r="B24" s="467" t="n"/>
      <c r="C24" s="212" t="n"/>
      <c r="D24" s="466" t="n"/>
      <c r="E24" s="466" t="n"/>
      <c r="F24" s="763" t="n"/>
      <c r="G24" s="814" t="n"/>
      <c r="H24" s="610" t="n"/>
      <c r="I24" s="814" t="n"/>
      <c r="J24" s="814" t="n"/>
      <c r="K24" s="814" t="n"/>
      <c r="L24" s="815" t="n"/>
      <c r="M24" s="609" t="n"/>
      <c r="N24" s="815" t="n"/>
    </row>
    <row r="25" customFormat="1" s="37">
      <c r="C25" s="464" t="n"/>
      <c r="D25" s="36" t="n"/>
      <c r="H25" s="739" t="n"/>
      <c r="J25" s="739" t="n"/>
      <c r="K25" s="739" t="n"/>
      <c r="L25" s="739" t="n"/>
      <c r="M25" s="739" t="n"/>
    </row>
    <row r="26" customFormat="1" s="37">
      <c r="C26" s="464" t="n"/>
      <c r="D26" s="36" t="n"/>
      <c r="H26" s="739" t="n"/>
      <c r="J26" s="739" t="n"/>
      <c r="K26" s="739" t="n"/>
      <c r="L26" s="739" t="n"/>
      <c r="M26" s="739" t="n"/>
    </row>
    <row r="27">
      <c r="H27" s="739" t="n"/>
    </row>
    <row r="28">
      <c r="D28" s="464" t="n"/>
      <c r="H28" s="739" t="n"/>
    </row>
    <row r="29">
      <c r="D29" s="464" t="n"/>
      <c r="H29" s="739" t="n"/>
    </row>
    <row r="30">
      <c r="D30" s="464" t="n"/>
      <c r="H30" s="739" t="n"/>
    </row>
    <row r="31">
      <c r="D31" s="464" t="n"/>
      <c r="H31" s="739" t="n"/>
      <c r="J31" s="111" t="n"/>
    </row>
    <row r="32">
      <c r="D32" s="464" t="n"/>
      <c r="H32" s="739" t="n"/>
      <c r="J32" s="111" t="n"/>
    </row>
    <row r="33">
      <c r="H33" s="739" t="n"/>
    </row>
    <row r="34" customFormat="1" s="37">
      <c r="B34" s="739" t="n"/>
    </row>
    <row r="35">
      <c r="D35" s="464" t="n"/>
      <c r="H35" s="739" t="n"/>
    </row>
    <row r="36">
      <c r="H36" s="739" t="n"/>
    </row>
    <row r="37">
      <c r="H37" s="739" t="n"/>
    </row>
    <row r="38">
      <c r="H38" s="739" t="n"/>
    </row>
    <row r="39">
      <c r="H39" s="739" t="n"/>
    </row>
  </sheetData>
  <mergeCells count="29">
    <mergeCell ref="B3:B4"/>
    <mergeCell ref="B20:N20"/>
    <mergeCell ref="B14:B15"/>
    <mergeCell ref="F24:G24"/>
    <mergeCell ref="K3:N3"/>
    <mergeCell ref="D3:D4"/>
    <mergeCell ref="M22:N22"/>
    <mergeCell ref="F3:I3"/>
    <mergeCell ref="F23:G23"/>
    <mergeCell ref="B18:N18"/>
    <mergeCell ref="C7:C8"/>
    <mergeCell ref="B21:N21"/>
    <mergeCell ref="F22:G22"/>
    <mergeCell ref="F1:N1"/>
    <mergeCell ref="J3:J4"/>
    <mergeCell ref="B34:N34"/>
    <mergeCell ref="B2:N2"/>
    <mergeCell ref="B5:B6"/>
    <mergeCell ref="H22:L22"/>
    <mergeCell ref="M24:N24"/>
    <mergeCell ref="M23:N23"/>
    <mergeCell ref="C3:C4"/>
    <mergeCell ref="E3:E4"/>
    <mergeCell ref="H24:L24"/>
    <mergeCell ref="B7:B8"/>
    <mergeCell ref="H23:L23"/>
    <mergeCell ref="B19:N19"/>
    <mergeCell ref="C14:C15"/>
    <mergeCell ref="C5:C6"/>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tabColor rgb="FF92D050"/>
    <outlinePr summaryBelow="1" summaryRight="1"/>
    <pageSetUpPr/>
  </sheetPr>
  <dimension ref="A1:S34"/>
  <sheetViews>
    <sheetView showGridLines="0" tabSelected="1" topLeftCell="B3" workbookViewId="0">
      <selection activeCell="P13" sqref="P13"/>
    </sheetView>
  </sheetViews>
  <sheetFormatPr baseColWidth="8" defaultColWidth="11.5703125" defaultRowHeight="12.75"/>
  <cols>
    <col width="4.85546875" customWidth="1" style="445" min="1" max="1"/>
    <col width="17.140625" customWidth="1" style="369" min="2" max="2"/>
    <col width="24.140625" customWidth="1" style="370" min="3" max="3"/>
    <col width="45.28515625" customWidth="1" style="370" min="4" max="4"/>
    <col width="4.5703125" customWidth="1" style="370" min="5" max="5"/>
    <col width="5" customWidth="1" style="370" min="6" max="6"/>
    <col width="6.85546875" customWidth="1" style="370" min="7" max="7"/>
    <col width="8.42578125" customWidth="1" style="370" min="8" max="8"/>
    <col width="47.7109375" customWidth="1" style="374" min="9" max="9"/>
    <col width="4.7109375" customWidth="1" style="807" min="10" max="10"/>
    <col width="4.85546875" customWidth="1" style="807" min="11" max="11"/>
    <col width="6.5703125" customWidth="1" style="807" min="12" max="12"/>
    <col width="8" customWidth="1" style="445" min="13" max="13"/>
    <col width="11.5703125" customWidth="1" style="445" min="14" max="15"/>
    <col width="20" customWidth="1" style="445" min="16" max="16"/>
    <col width="15.42578125" customWidth="1" style="445" min="17" max="17"/>
    <col width="11.5703125" customWidth="1" style="445" min="18" max="16384"/>
  </cols>
  <sheetData>
    <row r="1" ht="20.25" customHeight="1" s="157">
      <c r="A1" s="765" t="n"/>
      <c r="B1" s="765" t="n"/>
      <c r="C1" s="765" t="n"/>
      <c r="D1" s="765" t="n"/>
      <c r="E1" s="765" t="inlineStr">
        <is>
          <t>ISO.03.02.03 Ngày ban hành 03/01/2022</t>
        </is>
      </c>
    </row>
    <row r="2" ht="102" customHeight="1" s="157">
      <c r="A2" s="602" t="inlineStr">
        <is>
          <t>위험 식별 및 위험 분석 
R&amp;D 부서 및 사무실 블록</t>
        </is>
      </c>
      <c r="B2" s="159" t="n"/>
      <c r="C2" s="159" t="n"/>
      <c r="D2" s="159" t="n"/>
      <c r="E2" s="766" t="n"/>
      <c r="F2" s="159" t="n"/>
      <c r="G2" s="159" t="n"/>
      <c r="H2" s="159" t="n"/>
      <c r="I2" s="159" t="n"/>
      <c r="J2" s="159" t="n"/>
      <c r="K2" s="159" t="n"/>
      <c r="L2" s="159" t="n"/>
      <c r="M2" s="159" t="n"/>
    </row>
    <row r="3" ht="23.25" customFormat="1" customHeight="1" s="765">
      <c r="A3" s="780" t="inlineStr">
        <is>
          <t>번호</t>
        </is>
      </c>
      <c r="B3" s="768" t="inlineStr">
        <is>
          <t>프로세스/진행상황</t>
        </is>
      </c>
      <c r="C3" s="768" t="inlineStr">
        <is>
          <t>잠재력</t>
        </is>
      </c>
      <c r="D3" s="769" t="inlineStr">
        <is>
          <t>원인/설명</t>
        </is>
      </c>
      <c r="E3" s="769" t="inlineStr">
        <is>
          <t>리스크 평가</t>
        </is>
      </c>
      <c r="F3" s="814" t="n"/>
      <c r="G3" s="814" t="n"/>
      <c r="H3" s="815" t="n"/>
      <c r="I3" s="771" t="inlineStr">
        <is>
          <t>예방/시정 조치</t>
        </is>
      </c>
      <c r="J3" s="779" t="inlineStr">
        <is>
          <t>외부 평가
예방 조치를 취한 후</t>
        </is>
      </c>
      <c r="K3" s="814" t="n"/>
      <c r="L3" s="814" t="n"/>
      <c r="M3" s="815" t="n"/>
    </row>
    <row r="4" ht="33" customFormat="1" customHeight="1" s="765">
      <c r="A4" s="818" t="n"/>
      <c r="B4" s="818" t="n"/>
      <c r="C4" s="818" t="n"/>
      <c r="D4" s="818" t="n"/>
      <c r="E4" s="769" t="inlineStr">
        <is>
          <t>S</t>
        </is>
      </c>
      <c r="F4" s="769" t="inlineStr">
        <is>
          <t>F</t>
        </is>
      </c>
      <c r="G4" s="769" t="inlineStr">
        <is>
          <t>S*F</t>
        </is>
      </c>
      <c r="H4" s="768" t="inlineStr">
        <is>
          <t>위험 분류</t>
        </is>
      </c>
      <c r="I4" s="818" t="n"/>
      <c r="J4" s="779" t="inlineStr">
        <is>
          <t>S</t>
        </is>
      </c>
      <c r="K4" s="780" t="inlineStr">
        <is>
          <t>F</t>
        </is>
      </c>
      <c r="L4" s="780" t="inlineStr">
        <is>
          <t>S*F</t>
        </is>
      </c>
      <c r="M4" s="779" t="inlineStr">
        <is>
          <t>분류
 위험</t>
        </is>
      </c>
      <c r="O4" s="811" t="inlineStr">
        <is>
          <t>번호</t>
        </is>
      </c>
      <c r="P4" s="811" t="inlineStr">
        <is>
          <t>위험 유형</t>
        </is>
      </c>
      <c r="Q4" s="811" t="inlineStr">
        <is>
          <t>원인</t>
        </is>
      </c>
      <c r="R4" s="811" t="inlineStr">
        <is>
          <t>결과</t>
        </is>
      </c>
      <c r="S4" s="811" t="inlineStr">
        <is>
          <t>완화 조치</t>
        </is>
      </c>
    </row>
    <row r="5" ht="63" customFormat="1" customHeight="1" s="765">
      <c r="A5" s="367" t="n">
        <v>1</v>
      </c>
      <c r="B5" s="368" t="inlineStr">
        <is>
          <t>고객 요구 사항</t>
        </is>
      </c>
      <c r="C5" s="368" t="inlineStr">
        <is>
          <t>고객 요구 사항이 불분명하거나 적절하게 충족되지 않음</t>
        </is>
      </c>
      <c r="D5" s="368" t="inlineStr">
        <is>
          <t>회사의 평판과 계약에 영향을 미칩니다.</t>
        </is>
      </c>
      <c r="E5" s="368" t="n">
        <v>1</v>
      </c>
      <c r="F5" s="368" t="n">
        <v>5</v>
      </c>
      <c r="G5" s="368">
        <f>E5*F5</f>
        <v/>
      </c>
      <c r="H5" s="765" t="inlineStr">
        <is>
          <t>A</t>
        </is>
      </c>
      <c r="I5" s="372" t="inlineStr">
        <is>
          <t>- 제품 개발 프로세스 구축
- 고객과 함께 기한 및 품질 요구 사항을 계획하고 준수합니다.</t>
        </is>
      </c>
      <c r="J5" s="368" t="n">
        <v>1</v>
      </c>
      <c r="K5" s="368" t="n">
        <v>2</v>
      </c>
      <c r="L5" s="368" t="n">
        <v>2</v>
      </c>
      <c r="M5" s="368" t="inlineStr">
        <is>
          <t>A</t>
        </is>
      </c>
      <c r="O5" s="812" t="n">
        <v>1</v>
      </c>
      <c r="P5" s="812" t="inlineStr">
        <is>
          <t>시장에 대해</t>
        </is>
      </c>
      <c r="Q5" s="812" t="inlineStr">
        <is>
          <t>부정확한 시장 조사, 잘못된 고객 요구</t>
        </is>
      </c>
      <c r="R5" s="812" t="inlineStr">
        <is>
          <t>제품을 판매할 수 없어 자원 낭비</t>
        </is>
      </c>
      <c r="S5" s="812" t="inlineStr">
        <is>
          <t>철저한 조사를 수행하고 MVP는 대규모 개발에 투자하기 전에 시장을 테스트합니다.</t>
        </is>
      </c>
    </row>
    <row r="6" ht="56.25" customFormat="1" customHeight="1" s="765">
      <c r="A6" s="367" t="n">
        <v>2</v>
      </c>
      <c r="B6" s="368" t="inlineStr">
        <is>
          <t>인적자원</t>
        </is>
      </c>
      <c r="C6" s="368" t="inlineStr">
        <is>
          <t>직원이 변동하거나 직무 요구 사항을 충족하지 않습니다.</t>
        </is>
      </c>
      <c r="D6" s="368" t="inlineStr">
        <is>
          <t>작업 품질에 영향을 미칩니다
인적 자원 교육 자원 손실
제품 승인 진행이 계획보다 느리다</t>
        </is>
      </c>
      <c r="E6" s="368" t="n">
        <v>3</v>
      </c>
      <c r="F6" s="368" t="n">
        <v>3</v>
      </c>
      <c r="G6" s="368">
        <f>E6*F6</f>
        <v/>
      </c>
      <c r="H6" s="368" t="inlineStr">
        <is>
          <t>B</t>
        </is>
      </c>
      <c r="I6" s="372" t="inlineStr">
        <is>
          <t>- 장기적인 인적자원 계획을 가지고 계신 분
- 근로자 혜택 증대
- 직원 역량 향상을 위한 교육 계획 수립</t>
        </is>
      </c>
      <c r="J6" s="368" t="n">
        <v>1</v>
      </c>
      <c r="K6" s="368" t="n">
        <v>2</v>
      </c>
      <c r="L6" s="368" t="n">
        <v>2</v>
      </c>
      <c r="M6" s="368" t="inlineStr">
        <is>
          <t>A</t>
        </is>
      </c>
      <c r="O6" s="812" t="n">
        <v>2</v>
      </c>
      <c r="P6" s="812" t="inlineStr">
        <is>
          <t>기술에 대해</t>
        </is>
      </c>
      <c r="Q6" s="812" t="inlineStr">
        <is>
          <t>부적절한 기술, 부족한 기술 역량</t>
        </is>
      </c>
      <c r="R6" s="812" t="inlineStr">
        <is>
          <t>진행지연, 제품오류, 구현불가</t>
        </is>
      </c>
      <c r="S6" s="812" t="inlineStr">
        <is>
          <t>명확한 기술 계획을 세우고, 적합한 인력을 고용하고, 전문가와 상담하세요.</t>
        </is>
      </c>
    </row>
    <row r="7" ht="59.25" customFormat="1" customHeight="1" s="765">
      <c r="A7" s="367" t="n">
        <v>3</v>
      </c>
      <c r="B7" s="368" t="inlineStr">
        <is>
          <t>언어</t>
        </is>
      </c>
      <c r="C7" s="368" t="inlineStr">
        <is>
          <t>언어 차이</t>
        </is>
      </c>
      <c r="D7" s="368" t="inlineStr">
        <is>
          <t>정보 전달의 어려움</t>
        </is>
      </c>
      <c r="E7" s="368" t="n">
        <v>3</v>
      </c>
      <c r="F7" s="368" t="n">
        <v>3</v>
      </c>
      <c r="G7" s="368">
        <f>E7*F7</f>
        <v/>
      </c>
      <c r="H7" s="368" t="inlineStr">
        <is>
          <t>B</t>
        </is>
      </c>
      <c r="I7" s="372" t="inlineStr">
        <is>
          <t>.- 영어로 의사소통이 가능한 스태프를 모집합니다.
- 각 학과마다 한국어 통역사 1명이 있습니다.
- 홈페이지 관리자에게 교육</t>
        </is>
      </c>
      <c r="J7" s="368" t="n">
        <v>1</v>
      </c>
      <c r="K7" s="368" t="n">
        <v>2</v>
      </c>
      <c r="L7" s="368" t="n">
        <v>2</v>
      </c>
      <c r="M7" s="368" t="inlineStr">
        <is>
          <t>A</t>
        </is>
      </c>
      <c r="O7" s="812" t="n">
        <v>3</v>
      </c>
      <c r="P7" s="812" t="inlineStr">
        <is>
          <t>진행 상황에 대해</t>
        </is>
      </c>
      <c r="Q7" s="812" t="inlineStr">
        <is>
          <t>잘못된 시간 추정, 열악한 프로젝트 관리, 리소스 부족</t>
        </is>
      </c>
      <c r="R7" s="812" t="inlineStr">
        <is>
          <t>마감일을 놓치면 파트너와 고객의 평판에 영향을 미칩니다</t>
        </is>
      </c>
      <c r="S7" s="812" t="inlineStr">
        <is>
          <t>프로젝트 관리 도구를 사용하고, 진행 상황을 면밀히 모니터링하고, 정기적으로 업데이트하세요.</t>
        </is>
      </c>
    </row>
    <row r="8" ht="59.25" customFormat="1" customHeight="1" s="765">
      <c r="A8" s="367" t="n">
        <v>4</v>
      </c>
      <c r="B8" s="368" t="inlineStr">
        <is>
          <t>컴퓨터와 장비가 고장나다</t>
        </is>
      </c>
      <c r="C8" s="368" t="inlineStr">
        <is>
          <t>종류, 소프트웨어가 부족하고 기대에 미치지 못함</t>
        </is>
      </c>
      <c r="D8" s="368" t="inlineStr">
        <is>
          <t>금형, 지그, 측정제품 연구, 설계의 어려움</t>
        </is>
      </c>
      <c r="E8" s="368" t="n">
        <v>1</v>
      </c>
      <c r="F8" s="368" t="n">
        <v>3</v>
      </c>
      <c r="G8" s="368">
        <f>E8*F8</f>
        <v/>
      </c>
      <c r="H8" s="368" t="inlineStr">
        <is>
          <t>B</t>
        </is>
      </c>
      <c r="I8" s="373" t="inlineStr">
        <is>
          <t>- 객실의 장비 및 기계류에 대한 유지 관리 계획을 수립합니다.
- 소프트웨어 저작권 구매, 최신 버전으로 업데이트</t>
        </is>
      </c>
      <c r="J8" s="368" t="n">
        <v>1</v>
      </c>
      <c r="K8" s="368" t="n">
        <v>2</v>
      </c>
      <c r="L8" s="368" t="n">
        <v>2</v>
      </c>
      <c r="M8" s="368" t="inlineStr">
        <is>
          <t>A</t>
        </is>
      </c>
      <c r="O8" s="812" t="n">
        <v>4</v>
      </c>
      <c r="P8" s="812" t="inlineStr">
        <is>
          <t>예산에 대해</t>
        </is>
      </c>
      <c r="Q8" s="812" t="inlineStr">
        <is>
          <t>비용 초과, 끊임없이 변화하는 요구 사항</t>
        </is>
      </c>
      <c r="R8" s="812" t="inlineStr">
        <is>
          <t>자본 부족으로 도중에 중단되어 회사 재정에 영향을 미침</t>
        </is>
      </c>
      <c r="S8" s="812" t="inlineStr">
        <is>
          <t>예산 추정치 +20-30%, 엄격한 요구 사항 변경 관리</t>
        </is>
      </c>
    </row>
    <row r="9" ht="59.25" customFormat="1" customHeight="1" s="765">
      <c r="A9" s="367" t="n">
        <v>5</v>
      </c>
      <c r="B9" s="368" t="inlineStr">
        <is>
          <t>외부 공급 중단</t>
        </is>
      </c>
      <c r="C9" s="368" t="inlineStr">
        <is>
          <t>일정에 맞춰 고객에게 샘플을 배송하지 못함</t>
        </is>
      </c>
      <c r="D9" s="368" t="inlineStr">
        <is>
          <t>공급업체의 원자재 부족, 기계 고장 등으로 인해</t>
        </is>
      </c>
      <c r="E9" s="368" t="n">
        <v>3</v>
      </c>
      <c r="F9" s="368" t="n">
        <v>3</v>
      </c>
      <c r="G9" s="368" t="n">
        <v>9</v>
      </c>
      <c r="H9" s="368" t="inlineStr">
        <is>
          <t>B</t>
        </is>
      </c>
      <c r="I9" s="373" t="inlineStr">
        <is>
          <t>- 공급업체와 협상, 교체 자재 및 기계 견적
- 조기 출하 계획 수립
- 인적 자원 백업 계획을 가지고 있습니다.</t>
        </is>
      </c>
      <c r="J9" s="368" t="n">
        <v>2</v>
      </c>
      <c r="K9" s="368" t="n">
        <v>2</v>
      </c>
      <c r="L9" s="368" t="n">
        <v>4</v>
      </c>
      <c r="M9" s="368" t="inlineStr">
        <is>
          <t>C</t>
        </is>
      </c>
      <c r="O9" s="812" t="n">
        <v>5</v>
      </c>
      <c r="P9" s="812" t="inlineStr">
        <is>
          <t>법적으로</t>
        </is>
      </c>
      <c r="Q9" s="812" t="inlineStr">
        <is>
          <t>미준수 규정 (저작권, 보안, 제품 표준...)</t>
        </is>
      </c>
      <c r="R9" s="812" t="inlineStr">
        <is>
          <t>벌금, 소송, 제품 단종</t>
        </is>
      </c>
      <c r="S9" s="812" t="inlineStr">
        <is>
          <t>개발 과정에는 항상 법적 확인과 변호사 상담이 있습니다.</t>
        </is>
      </c>
    </row>
    <row r="10" ht="59.25" customFormat="1" customHeight="1" s="765">
      <c r="A10" s="367" t="n">
        <v>6</v>
      </c>
      <c r="B10" s="368" t="inlineStr">
        <is>
          <t>인프라 손상</t>
        </is>
      </c>
      <c r="C10" s="368" t="inlineStr">
        <is>
          <t>작업 환경에 영향을 미칩니다</t>
        </is>
      </c>
      <c r="D10" s="368" t="inlineStr">
        <is>
          <t>전구와 팬이 타버렸습니다. 천장이 새네요</t>
        </is>
      </c>
      <c r="E10" s="368" t="n">
        <v>1</v>
      </c>
      <c r="F10" s="368" t="n">
        <v>2</v>
      </c>
      <c r="G10" s="368" t="n">
        <v>2</v>
      </c>
      <c r="H10" s="368" t="inlineStr">
        <is>
          <t>C</t>
        </is>
      </c>
      <c r="I10" s="373" t="inlineStr">
        <is>
          <t>- 장비 및 인프라에 대한 유지 관리 계획 수립</t>
        </is>
      </c>
      <c r="J10" s="368" t="n">
        <v>1</v>
      </c>
      <c r="K10" s="368" t="n">
        <v>1</v>
      </c>
      <c r="L10" s="368" t="n">
        <v>1</v>
      </c>
      <c r="M10" s="368" t="inlineStr">
        <is>
          <t>C</t>
        </is>
      </c>
      <c r="O10" s="812" t="n">
        <v>6</v>
      </c>
      <c r="P10" s="812" t="inlineStr">
        <is>
          <t>인적 자원</t>
        </is>
      </c>
      <c r="Q10" s="812" t="inlineStr">
        <is>
          <t>직원이 갑자기 그만 두어 품질 인력이 부족합니다.</t>
        </is>
      </c>
      <c r="R10" s="812" t="inlineStr">
        <is>
          <t>진행 차질, 제품 품질 저하</t>
        </is>
      </c>
      <c r="S10" s="812" t="inlineStr">
        <is>
          <t>백업 팀을 구성하고 작업을 명확하게 할당</t>
        </is>
      </c>
    </row>
    <row r="11" ht="54.75" customFormat="1" customHeight="1" s="765">
      <c r="A11" s="367" t="n">
        <v>7</v>
      </c>
      <c r="B11" s="368" t="inlineStr">
        <is>
          <t>사이버 공격</t>
        </is>
      </c>
      <c r="C11" s="368" t="inlineStr">
        <is>
          <t>중요한 부서 데이터가 손실됩니다.</t>
        </is>
      </c>
      <c r="D11" s="368" t="inlineStr">
        <is>
          <t>바이러스 및 사이버 해커로 인해</t>
        </is>
      </c>
      <c r="E11" s="368" t="n">
        <v>3</v>
      </c>
      <c r="F11" s="368" t="n">
        <v>2</v>
      </c>
      <c r="G11" s="368" t="n">
        <v>6</v>
      </c>
      <c r="H11" s="368" t="inlineStr">
        <is>
          <t>B</t>
        </is>
      </c>
      <c r="I11" s="373" t="inlineStr">
        <is>
          <t>-오토카드, Nx 등과 같은 중요한 소프트웨어에 대한 라이센스를 구매하세요.
-업무와 관련되지 않은 웹사이트를 차단하여 바이러스 차단</t>
        </is>
      </c>
      <c r="J11" s="368" t="n">
        <v>2</v>
      </c>
      <c r="K11" s="368" t="n">
        <v>2</v>
      </c>
      <c r="L11" s="368" t="n">
        <v>4</v>
      </c>
      <c r="M11" s="368" t="inlineStr">
        <is>
          <t>C</t>
        </is>
      </c>
      <c r="O11" s="812" t="n">
        <v>7</v>
      </c>
      <c r="P11" s="812" t="inlineStr">
        <is>
          <t>파트너로부터</t>
        </is>
      </c>
      <c r="Q11" s="812" t="inlineStr">
        <is>
          <t>파트너 지연, 협력 조건 변경, 신뢰 부족</t>
        </is>
      </c>
      <c r="R11" s="812" t="inlineStr">
        <is>
          <t>공급망에 영향, 고객 신뢰 상실</t>
        </is>
      </c>
      <c r="S11" s="812" t="inlineStr">
        <is>
          <t>검사는 평판이 좋은 파트너이며 명확한 계약을 맺고 있으며 항상 대체 계획을 가지고 있습니다.</t>
        </is>
      </c>
    </row>
    <row r="12" ht="15" customFormat="1" customHeight="1" s="200">
      <c r="A12" s="825" t="inlineStr">
        <is>
          <t>아르헨티나는 다음 공식을 사용하여 측정됩니다: R = F x S, 여기서:</t>
        </is>
      </c>
      <c r="B12" s="155" t="n"/>
      <c r="C12" s="155" t="n"/>
      <c r="D12" s="155" t="n"/>
      <c r="E12" s="155" t="n"/>
      <c r="F12" s="155" t="n"/>
      <c r="G12" s="155" t="n"/>
      <c r="H12" s="155" t="n"/>
      <c r="I12" s="155" t="n"/>
      <c r="J12" s="155" t="n"/>
      <c r="K12" s="155" t="n"/>
      <c r="L12" s="155" t="n"/>
      <c r="M12" s="156" t="n"/>
      <c r="O12" s="812" t="n">
        <v>8</v>
      </c>
      <c r="P12" s="812" t="inlineStr">
        <is>
          <t>보안 및 데이터</t>
        </is>
      </c>
      <c r="Q12" s="812" t="inlineStr">
        <is>
          <t>고객정보 유출, 데이터 손실</t>
        </is>
      </c>
      <c r="R12" s="812" t="inlineStr">
        <is>
          <t>명예 실추, 금전적 손실, 법적 위험</t>
        </is>
      </c>
      <c r="S12" s="812" t="inlineStr">
        <is>
          <t>데이터 암호화, 주기적인 백업, 엄격한 시스템 보안</t>
        </is>
      </c>
    </row>
    <row r="13" ht="15" customFormat="1" customHeight="1" s="200">
      <c r="A13" s="826" t="inlineStr">
        <is>
          <t>R': 리스크.</t>
        </is>
      </c>
      <c r="M13" s="158" t="n"/>
      <c r="O13" s="812" t="n">
        <v>9</v>
      </c>
      <c r="P13" s="812" t="inlineStr">
        <is>
          <t>사용자 경험(UX/UI)에 대해</t>
        </is>
      </c>
      <c r="Q13" s="812" t="inlineStr">
        <is>
          <t>설계가 사용하기 어렵고 직관적이지 않으며 사용자 행동과 일치하지 않습니다.</t>
        </is>
      </c>
      <c r="R13" s="812" t="inlineStr">
        <is>
          <t>제품이 도달하기 어렵고 유지율이 낮습니다.</t>
        </is>
      </c>
      <c r="S13" s="812" t="inlineStr">
        <is>
          <t>인터페이스를 조기에 테스트하고 실제 사용자 피드백을 지속적으로 얻으세요.</t>
        </is>
      </c>
    </row>
    <row r="14" ht="15" customFormat="1" customHeight="1" s="200">
      <c r="A14" s="827" t="inlineStr">
        <is>
          <t>여: 가능성.</t>
        </is>
      </c>
      <c r="M14" s="158" t="n"/>
      <c r="O14" s="812" t="n">
        <v>10</v>
      </c>
      <c r="P14" s="812" t="inlineStr">
        <is>
          <t>시장 변화에 대해</t>
        </is>
      </c>
      <c r="Q14" s="812" t="inlineStr">
        <is>
          <t>트렌드는 빠르게 변하고, 새로운 기술이 이를 대체합니다.</t>
        </is>
      </c>
      <c r="R14" s="812" t="inlineStr">
        <is>
          <t>제품은 빠르게 구식이 되어 시장 점유율을 잃습니다.</t>
        </is>
      </c>
      <c r="S14" s="812" t="inlineStr">
        <is>
          <t>정기적으로 트렌드를 업데이트하고 제품을 유연하게 조정</t>
        </is>
      </c>
    </row>
    <row r="15" ht="15" customFormat="1" customHeight="1" s="200">
      <c r="A15" s="828" t="inlineStr">
        <is>
          <t>S: 그런 일이 발생하면 어떤 결과가 따르나요?</t>
        </is>
      </c>
      <c r="B15" s="159" t="n"/>
      <c r="C15" s="159" t="n"/>
      <c r="D15" s="159" t="n"/>
      <c r="E15" s="159" t="n"/>
      <c r="F15" s="159" t="n"/>
      <c r="G15" s="159" t="n"/>
      <c r="H15" s="159" t="n"/>
      <c r="I15" s="159" t="n"/>
      <c r="J15" s="159" t="n"/>
      <c r="K15" s="159" t="n"/>
      <c r="L15" s="159" t="n"/>
      <c r="M15" s="290" t="n"/>
    </row>
    <row r="16" ht="15.75" customFormat="1" customHeight="1" s="208">
      <c r="A16" s="265" t="n"/>
      <c r="B16" s="268" t="inlineStr">
        <is>
          <t>No</t>
        </is>
      </c>
      <c r="C16" s="253" t="inlineStr">
        <is>
          <t>문서번호</t>
        </is>
      </c>
      <c r="D16" s="253" t="inlineStr">
        <is>
          <t>발행일</t>
        </is>
      </c>
      <c r="E16" s="492" t="inlineStr">
        <is>
          <t>개정</t>
        </is>
      </c>
      <c r="F16" s="814" t="n"/>
      <c r="G16" s="592" t="inlineStr">
        <is>
          <t xml:space="preserve">내용 </t>
        </is>
      </c>
      <c r="H16" s="814" t="n"/>
      <c r="I16" s="814" t="n"/>
      <c r="J16" s="814" t="n"/>
      <c r="K16" s="815" t="n"/>
      <c r="L16" s="501" t="inlineStr">
        <is>
          <t>작성자</t>
        </is>
      </c>
      <c r="M16" s="815" t="n"/>
    </row>
    <row r="17" ht="15.75" customFormat="1" customHeight="1" s="208">
      <c r="A17" s="265" t="n"/>
      <c r="B17" s="268" t="n">
        <v>0</v>
      </c>
      <c r="C17" s="253" t="inlineStr">
        <is>
          <t>RnD.03.02.03</t>
        </is>
      </c>
      <c r="D17" s="253" t="inlineStr">
        <is>
          <t>03.01.2022</t>
        </is>
      </c>
      <c r="E17" s="496" t="inlineStr">
        <is>
          <t>0</t>
        </is>
      </c>
      <c r="F17" s="814" t="n"/>
      <c r="G17" s="592" t="inlineStr">
        <is>
          <t>신규 작성</t>
        </is>
      </c>
      <c r="H17" s="814" t="n"/>
      <c r="I17" s="814" t="n"/>
      <c r="J17" s="814" t="n"/>
      <c r="K17" s="815" t="n"/>
      <c r="L17" s="501" t="inlineStr">
        <is>
          <t>Mr Long</t>
        </is>
      </c>
      <c r="M17" s="815" t="n"/>
    </row>
    <row r="18" ht="15.75" customFormat="1" customHeight="1" s="208">
      <c r="A18" s="256" t="n"/>
      <c r="B18" s="212" t="n"/>
      <c r="C18" s="253" t="n"/>
      <c r="D18" s="253" t="n"/>
      <c r="E18" s="499" t="n"/>
      <c r="F18" s="814" t="n"/>
      <c r="G18" s="592" t="n"/>
      <c r="H18" s="814" t="n"/>
      <c r="I18" s="814" t="n"/>
      <c r="J18" s="814" t="n"/>
      <c r="K18" s="815" t="n"/>
      <c r="L18" s="501" t="n"/>
      <c r="M18" s="815" t="n"/>
    </row>
    <row r="19"/>
    <row r="20"/>
    <row r="21"/>
    <row r="22"/>
    <row r="23"/>
    <row r="24">
      <c r="A24" s="811" t="n"/>
      <c r="B24" s="811" t="n"/>
      <c r="C24" s="811" t="n"/>
      <c r="D24" s="811" t="n"/>
      <c r="E24" s="811" t="n"/>
    </row>
    <row r="25">
      <c r="A25" s="812" t="n"/>
      <c r="B25" s="812" t="n"/>
      <c r="C25" s="812" t="n"/>
      <c r="D25" s="812" t="n"/>
      <c r="E25" s="812" t="n"/>
    </row>
    <row r="26">
      <c r="A26" s="812" t="n"/>
      <c r="B26" s="812" t="n"/>
      <c r="C26" s="812" t="n"/>
      <c r="D26" s="812" t="n"/>
      <c r="E26" s="812" t="n"/>
    </row>
    <row r="27">
      <c r="A27" s="812" t="n"/>
      <c r="B27" s="812" t="n"/>
      <c r="C27" s="812" t="n"/>
      <c r="D27" s="812" t="n"/>
      <c r="E27" s="812" t="n"/>
    </row>
    <row r="28">
      <c r="A28" s="812" t="n"/>
      <c r="B28" s="812" t="n"/>
      <c r="C28" s="812" t="n"/>
      <c r="D28" s="812" t="n"/>
      <c r="E28" s="812" t="n"/>
    </row>
    <row r="29">
      <c r="A29" s="812" t="n"/>
      <c r="B29" s="812" t="n"/>
      <c r="C29" s="812" t="n"/>
      <c r="D29" s="812" t="n"/>
      <c r="E29" s="812" t="n"/>
    </row>
    <row r="30">
      <c r="A30" s="812" t="n"/>
      <c r="B30" s="812" t="n"/>
      <c r="C30" s="812" t="n"/>
      <c r="D30" s="812" t="n"/>
      <c r="E30" s="812" t="n"/>
    </row>
    <row r="31">
      <c r="A31" s="812" t="n"/>
      <c r="B31" s="812" t="n"/>
      <c r="C31" s="812" t="n"/>
      <c r="D31" s="812" t="n"/>
      <c r="E31" s="812" t="n"/>
    </row>
    <row r="32">
      <c r="A32" s="812" t="n"/>
      <c r="B32" s="812" t="n"/>
      <c r="C32" s="812" t="n"/>
      <c r="D32" s="812" t="n"/>
      <c r="E32" s="812" t="n"/>
    </row>
    <row r="33">
      <c r="A33" s="812" t="n"/>
      <c r="B33" s="812" t="n"/>
      <c r="C33" s="812" t="n"/>
      <c r="D33" s="812" t="n"/>
      <c r="E33" s="812" t="n"/>
    </row>
    <row r="34">
      <c r="A34" s="812" t="n"/>
      <c r="B34" s="812" t="n"/>
      <c r="C34" s="812" t="n"/>
      <c r="D34" s="812" t="n"/>
      <c r="E34" s="812" t="n"/>
    </row>
  </sheetData>
  <mergeCells count="23">
    <mergeCell ref="L17:M17"/>
    <mergeCell ref="A14:M14"/>
    <mergeCell ref="E1:M1"/>
    <mergeCell ref="L16:M16"/>
    <mergeCell ref="B3:B4"/>
    <mergeCell ref="J3:M3"/>
    <mergeCell ref="E17:F17"/>
    <mergeCell ref="G17:K17"/>
    <mergeCell ref="A13:M13"/>
    <mergeCell ref="E2:M2"/>
    <mergeCell ref="E3:H3"/>
    <mergeCell ref="A3:A4"/>
    <mergeCell ref="I3:I4"/>
    <mergeCell ref="L18:M18"/>
    <mergeCell ref="D3:D4"/>
    <mergeCell ref="A15:M15"/>
    <mergeCell ref="G18:K18"/>
    <mergeCell ref="E16:F16"/>
    <mergeCell ref="C3:C4"/>
    <mergeCell ref="G16:K16"/>
    <mergeCell ref="A12:M12"/>
    <mergeCell ref="A2:D2"/>
    <mergeCell ref="E18:F18"/>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tabColor rgb="FF92D050"/>
    <outlinePr summaryBelow="1" summaryRight="1"/>
    <pageSetUpPr/>
  </sheetPr>
  <dimension ref="A1:M32"/>
  <sheetViews>
    <sheetView showGridLines="0" topLeftCell="A4" zoomScale="68" zoomScaleNormal="68" workbookViewId="0">
      <selection activeCell="M6" sqref="M6"/>
    </sheetView>
  </sheetViews>
  <sheetFormatPr baseColWidth="8" defaultColWidth="11.5703125" defaultRowHeight="18.75"/>
  <cols>
    <col width="4.85546875" customWidth="1" style="252" min="1" max="1"/>
    <col width="42" customWidth="1" style="35" min="2" max="2"/>
    <col width="28.140625" customWidth="1" style="36" min="3" max="3"/>
    <col width="34.28515625" customWidth="1" style="37" min="4" max="4"/>
    <col width="4.5703125" customWidth="1" style="252" min="5" max="5"/>
    <col width="5" customWidth="1" style="252" min="6" max="6"/>
    <col width="6.85546875" customWidth="1" style="252" min="7" max="7"/>
    <col width="19.5703125" customWidth="1" style="252" min="8" max="8"/>
    <col width="69" customWidth="1" style="709" min="9" max="9"/>
    <col width="5.42578125" customWidth="1" style="709" min="10" max="11"/>
    <col width="7.42578125" customWidth="1" style="709" min="12" max="12"/>
    <col width="20.42578125" customWidth="1" style="252" min="13" max="13"/>
    <col width="11.5703125" customWidth="1" style="252" min="14" max="16384"/>
  </cols>
  <sheetData>
    <row r="1" ht="9.75" customHeight="1" s="157" thickBot="1">
      <c r="A1" s="376" t="n"/>
      <c r="B1" s="377" t="n"/>
      <c r="C1" s="378" t="n"/>
      <c r="D1" s="379" t="n"/>
      <c r="E1" s="119" t="n"/>
      <c r="F1" s="119" t="n"/>
      <c r="G1" s="119" t="n"/>
      <c r="H1" s="119" t="n"/>
      <c r="I1" s="119" t="n"/>
      <c r="J1" s="119" t="n"/>
      <c r="K1" s="119" t="n"/>
      <c r="L1" s="119" t="n"/>
      <c r="M1" s="380" t="n"/>
    </row>
    <row r="2" ht="93.75" customHeight="1" s="157">
      <c r="A2" s="381" t="n"/>
      <c r="B2" s="382" t="n"/>
      <c r="C2" s="502" t="inlineStr">
        <is>
          <t>위험 분석 - 정보 기술 부서
위험 분석 - IT 부서</t>
        </is>
      </c>
      <c r="D2" s="813" t="n"/>
      <c r="E2" s="813" t="n"/>
      <c r="F2" s="813" t="n"/>
      <c r="G2" s="813" t="n"/>
      <c r="H2" s="813" t="n"/>
      <c r="I2" s="119" t="n"/>
      <c r="J2" s="119" t="n"/>
      <c r="K2" s="119" t="n"/>
      <c r="L2" s="119" t="n"/>
      <c r="M2" s="120" t="n"/>
    </row>
    <row r="3" ht="45" customFormat="1" customHeight="1" s="739">
      <c r="A3" s="776" t="inlineStr">
        <is>
          <t>번호</t>
        </is>
      </c>
      <c r="B3" s="725" t="inlineStr">
        <is>
          <t>프로세스/진행상황
프로세스/진행상황</t>
        </is>
      </c>
      <c r="C3" s="725" t="inlineStr">
        <is>
          <t>잠재적 위험</t>
        </is>
      </c>
      <c r="D3" s="725" t="inlineStr">
        <is>
          <t>원인/설명
원인/설명</t>
        </is>
      </c>
      <c r="E3" s="725" t="inlineStr">
        <is>
          <t>리스크 평가
Risk assessment</t>
        </is>
      </c>
      <c r="F3" s="814" t="n"/>
      <c r="G3" s="814" t="n"/>
      <c r="H3" s="815" t="n"/>
      <c r="I3" s="725" t="inlineStr">
        <is>
          <t>예방/시정 조치
예방/시정 조치</t>
        </is>
      </c>
      <c r="J3" s="149" t="inlineStr">
        <is>
          <t>외부 평가
예방 조치를 취한 후
위험 평가
예방 조치를 취한 후</t>
        </is>
      </c>
      <c r="K3" s="814" t="n"/>
      <c r="L3" s="814" t="n"/>
      <c r="M3" s="816" t="n"/>
    </row>
    <row r="4" ht="57.75" customFormat="1" customHeight="1" s="739">
      <c r="A4" s="817" t="n"/>
      <c r="B4" s="818" t="n"/>
      <c r="C4" s="818" t="n"/>
      <c r="D4" s="818" t="n"/>
      <c r="E4" s="724" t="inlineStr">
        <is>
          <t>S</t>
        </is>
      </c>
      <c r="F4" s="724" t="inlineStr">
        <is>
          <t>F</t>
        </is>
      </c>
      <c r="G4" s="724" t="inlineStr">
        <is>
          <t>S*F</t>
        </is>
      </c>
      <c r="H4" s="725" t="inlineStr">
        <is>
          <t>위험 분류
위험 분류</t>
        </is>
      </c>
      <c r="I4" s="818" t="n"/>
      <c r="J4" s="725" t="inlineStr">
        <is>
          <t>S</t>
        </is>
      </c>
      <c r="K4" s="724" t="inlineStr">
        <is>
          <t>F</t>
        </is>
      </c>
      <c r="L4" s="724" t="inlineStr">
        <is>
          <t>S*F</t>
        </is>
      </c>
      <c r="M4" s="149" t="inlineStr">
        <is>
          <t>위험 분류
위험 분류</t>
        </is>
      </c>
    </row>
    <row r="5" ht="266.25" customFormat="1" customHeight="1" s="739">
      <c r="A5" s="383" t="n">
        <v>1</v>
      </c>
      <c r="B5" s="74" t="inlineStr">
        <is>
          <t>네트워크 보안, 컴퓨터 - 해킹 및 바이러스, 트로이목마, 웜, 악성코드./ IT 보안 - 해킹 및 바이러스, 트로이목마, 웜, 랜섬웨어</t>
        </is>
      </c>
      <c r="C5" s="16" t="inlineStr">
        <is>
          <t>데이터 손실. /데이터 손실</t>
        </is>
      </c>
      <c r="D5" s="75" t="inlineStr">
        <is>
          <t>바이러스에 감염된 컴퓨터, 네트워크 시스템, 해커의 공격 / 컴퓨터, 네트워크 시스템 효과 바이러스, 트로이 목마, 해킹</t>
        </is>
      </c>
      <c r="E5" s="45" t="n">
        <v>5</v>
      </c>
      <c r="F5" s="45" t="n">
        <v>1</v>
      </c>
      <c r="G5" s="45">
        <f>E5*F5</f>
        <v/>
      </c>
      <c r="H5" s="46" t="inlineStr">
        <is>
          <t>A</t>
        </is>
      </c>
      <c r="I5" s="384" t="inlineStr">
        <is>
          <t>특이:
부서 IT: 하드웨어, 소프트웨어, 서버 시스템을 관리하고 방화벽, 분산화, 바이러스 백신과 같은 네트워크 보안 시스템을 구축합니다. 항상 정기적으로 데이터를 백업하세요.
책임자: 회사 정책 규정을 준수합니다..
예방:
IT 부서: 항상 하드웨어, 소프트웨어, 서버, 시스템을 확인하세요. 방화벽, 액세스 권한, 바이러스 백신, 소프트웨어 업데이트와 같은 보안 시스템 구축.
중요한 데이터는 항상 백업하세요: 파일 공유, ERP
사용자: IT 부서의 규칙, 정책을 따릅니다.
시정:
IT 부서 : 항상 로그 데이터를 확인하고, 기기 영향 바이러스, 해킹을 격리합니다. 상태를 확인하고 수정하세요. 데이터 복원</t>
        </is>
      </c>
      <c r="J5" s="46" t="n">
        <v>5</v>
      </c>
      <c r="K5" s="45" t="n">
        <v>0</v>
      </c>
      <c r="L5" s="45" t="n">
        <v>0</v>
      </c>
      <c r="M5" s="46" t="inlineStr">
        <is>
          <t>A</t>
        </is>
      </c>
    </row>
    <row r="6" ht="92.25" customFormat="1" customHeight="1" s="739">
      <c r="A6" s="386" t="n">
        <v>2</v>
      </c>
      <c r="B6" s="16" t="inlineStr">
        <is>
          <t>데이터를 백업하고 복원합니다. / 데이터 백업 및 복원</t>
        </is>
      </c>
      <c r="C6" s="16" t="inlineStr">
        <is>
          <t>데이터 손실 또는 손상 / 데이터 손실 또는 손상</t>
        </is>
      </c>
      <c r="D6" s="17" t="inlineStr">
        <is>
          <t>바이러스 감염 또는 하드 드라이브 오류/영향 바이러스, 하드 드라이브 손상, 데이터 손상으로 인해</t>
        </is>
      </c>
      <c r="E6" s="47" t="n">
        <v>5</v>
      </c>
      <c r="F6" s="47" t="n">
        <v>1</v>
      </c>
      <c r="G6" s="45" t="n">
        <v>5</v>
      </c>
      <c r="H6" s="48" t="inlineStr">
        <is>
          <t>A</t>
        </is>
      </c>
      <c r="I6" s="16" t="inlineStr">
        <is>
          <t>외장 하드 드라이브를 통해 정기적으로 데이터 백업 / HDD 휴대용 드라이브에 매일 백업</t>
        </is>
      </c>
      <c r="J6" s="46" t="n">
        <v>5</v>
      </c>
      <c r="K6" s="45" t="n">
        <v>0</v>
      </c>
      <c r="L6" s="45" t="n">
        <v>0</v>
      </c>
      <c r="M6" s="46" t="inlineStr">
        <is>
          <t>A</t>
        </is>
      </c>
    </row>
    <row r="7" ht="141.75" customFormat="1" customHeight="1" s="252">
      <c r="A7" s="387" t="n">
        <v>3</v>
      </c>
      <c r="B7" s="662" t="inlineStr">
        <is>
          <t>장치가 파손될 위험이 있습니다. 장치가 파손될 위험이 있습니다.</t>
        </is>
      </c>
      <c r="C7" s="16" t="inlineStr">
        <is>
          <t>데이터 손실 또는 손상 / 데이터 손실 또는 손상</t>
        </is>
      </c>
      <c r="D7" s="388" t="inlineStr">
        <is>
          <t>화재로 인한 기기 손상.. /하드 드라이브 파손, 데이터 손상</t>
        </is>
      </c>
      <c r="E7" s="389" t="n">
        <v>5</v>
      </c>
      <c r="F7" s="389" t="n">
        <v>1</v>
      </c>
      <c r="G7" s="45" t="n">
        <v>5</v>
      </c>
      <c r="H7" s="665" t="inlineStr">
        <is>
          <t>A</t>
        </is>
      </c>
      <c r="I7" s="390" t="inlineStr">
        <is>
          <t>하드웨어 : 백업장치 1개(자사 또는 공급업체) 있음 / 하드웨어 : 백업장치 1개 있음
소프트웨어: 구성 백업 있음/ 소프트웨어: 데이터 백업, 구성 
데이터: 일일 백업/백업 데이터 포함</t>
        </is>
      </c>
      <c r="J7" s="46" t="n">
        <v>5</v>
      </c>
      <c r="K7" s="45" t="n">
        <v>0</v>
      </c>
      <c r="L7" s="45" t="n">
        <v>0</v>
      </c>
      <c r="M7" s="46" t="inlineStr">
        <is>
          <t>A</t>
        </is>
      </c>
    </row>
    <row r="8" ht="16.5" customFormat="1" customHeight="1" s="200">
      <c r="A8" s="825" t="inlineStr">
        <is>
          <t>아르헨티나는 다음 공식을 사용하여 측정됩니다: R = F x S, 여기서:</t>
        </is>
      </c>
      <c r="B8" s="155" t="n"/>
      <c r="C8" s="155" t="n"/>
      <c r="D8" s="155" t="n"/>
      <c r="E8" s="155" t="n"/>
      <c r="F8" s="155" t="n"/>
      <c r="G8" s="155" t="n"/>
      <c r="H8" s="155" t="n"/>
      <c r="I8" s="155" t="n"/>
      <c r="J8" s="155" t="n"/>
      <c r="K8" s="155" t="n"/>
      <c r="L8" s="155" t="n"/>
      <c r="M8" s="156" t="n"/>
    </row>
    <row r="9" ht="16.5" customFormat="1" customHeight="1" s="200">
      <c r="A9" s="826" t="inlineStr">
        <is>
          <t>R': 리스크.</t>
        </is>
      </c>
      <c r="M9" s="158" t="n"/>
    </row>
    <row r="10" ht="16.5" customFormat="1" customHeight="1" s="200">
      <c r="A10" s="827" t="inlineStr">
        <is>
          <t>여: 가능성.</t>
        </is>
      </c>
      <c r="M10" s="158" t="n"/>
    </row>
    <row r="11" ht="16.5" customFormat="1" customHeight="1" s="200">
      <c r="A11" s="828" t="inlineStr">
        <is>
          <t>S: 그런 일이 발생하면 어떤 결과가 따르나요?</t>
        </is>
      </c>
      <c r="B11" s="159" t="n"/>
      <c r="C11" s="159" t="n"/>
      <c r="D11" s="159" t="n"/>
      <c r="E11" s="159" t="n"/>
      <c r="F11" s="159" t="n"/>
      <c r="G11" s="159" t="n"/>
      <c r="H11" s="159" t="n"/>
      <c r="I11" s="159" t="n"/>
      <c r="J11" s="159" t="n"/>
      <c r="K11" s="159" t="n"/>
      <c r="L11" s="159" t="n"/>
      <c r="M11" s="290" t="n"/>
    </row>
    <row r="12" ht="15.75" customFormat="1" customHeight="1" s="208">
      <c r="A12" s="265" t="n"/>
      <c r="B12" s="268" t="inlineStr">
        <is>
          <t>No</t>
        </is>
      </c>
      <c r="C12" s="253" t="inlineStr">
        <is>
          <t>문서번호</t>
        </is>
      </c>
      <c r="D12" s="253" t="inlineStr">
        <is>
          <t>발행일</t>
        </is>
      </c>
      <c r="E12" s="492" t="inlineStr">
        <is>
          <t>개정</t>
        </is>
      </c>
      <c r="F12" s="814" t="n"/>
      <c r="G12" s="592" t="inlineStr">
        <is>
          <t xml:space="preserve">내용 </t>
        </is>
      </c>
      <c r="H12" s="814" t="n"/>
      <c r="I12" s="814" t="n"/>
      <c r="J12" s="814" t="n"/>
      <c r="K12" s="815" t="n"/>
      <c r="L12" s="501" t="inlineStr">
        <is>
          <t>작성자</t>
        </is>
      </c>
      <c r="M12" s="815" t="n"/>
    </row>
    <row r="13" ht="15.75" customFormat="1" customHeight="1" s="208">
      <c r="A13" s="265" t="n"/>
      <c r="B13" s="268" t="n">
        <v>0</v>
      </c>
      <c r="C13" s="253" t="inlineStr">
        <is>
          <t>IT.05.05.2022</t>
        </is>
      </c>
      <c r="D13" s="253" t="inlineStr">
        <is>
          <t>03.01.2022</t>
        </is>
      </c>
      <c r="E13" s="496" t="inlineStr">
        <is>
          <t>0</t>
        </is>
      </c>
      <c r="F13" s="814" t="n"/>
      <c r="G13" s="592" t="inlineStr">
        <is>
          <t>신규 작성</t>
        </is>
      </c>
      <c r="H13" s="814" t="n"/>
      <c r="I13" s="814" t="n"/>
      <c r="J13" s="814" t="n"/>
      <c r="K13" s="815" t="n"/>
      <c r="L13" s="501" t="inlineStr">
        <is>
          <t>Mr Hung</t>
        </is>
      </c>
      <c r="M13" s="815" t="n"/>
    </row>
    <row r="14" ht="15.75" customFormat="1" customHeight="1" s="208">
      <c r="A14" s="256" t="n"/>
      <c r="B14" s="212" t="n"/>
      <c r="C14" s="253" t="n"/>
      <c r="D14" s="253" t="n"/>
      <c r="E14" s="499" t="n"/>
      <c r="F14" s="814" t="n"/>
      <c r="G14" s="592" t="n"/>
      <c r="H14" s="814" t="n"/>
      <c r="I14" s="814" t="n"/>
      <c r="J14" s="814" t="n"/>
      <c r="K14" s="815" t="n"/>
      <c r="L14" s="501" t="n"/>
      <c r="M14" s="815" t="n"/>
    </row>
    <row r="15" customFormat="1" s="252">
      <c r="A15" s="709" t="n"/>
    </row>
    <row r="16" customFormat="1" s="252">
      <c r="B16" s="35" t="n"/>
      <c r="C16" s="464" t="n"/>
      <c r="D16" s="37" t="n"/>
      <c r="G16" s="709" t="n"/>
      <c r="I16" s="709" t="n"/>
      <c r="J16" s="709" t="n"/>
      <c r="K16" s="709" t="n"/>
      <c r="L16" s="709" t="n"/>
    </row>
    <row r="17" customFormat="1" s="252">
      <c r="B17" s="35" t="n"/>
      <c r="C17" s="36" t="n"/>
      <c r="D17" s="37" t="n"/>
      <c r="G17" s="709" t="n"/>
      <c r="I17" s="709" t="n"/>
      <c r="J17" s="709" t="n"/>
      <c r="K17" s="709" t="n"/>
      <c r="L17" s="709" t="n"/>
    </row>
    <row r="18">
      <c r="A18" s="252" t="n"/>
      <c r="B18" s="35" t="n"/>
      <c r="C18" s="36" t="n"/>
      <c r="D18" s="37" t="n"/>
      <c r="E18" s="252" t="n"/>
      <c r="F18" s="252" t="n"/>
      <c r="G18" s="709" t="n"/>
      <c r="H18" s="252" t="n"/>
      <c r="I18" s="709" t="n"/>
      <c r="J18" s="709" t="n"/>
      <c r="K18" s="709" t="n"/>
      <c r="L18" s="709" t="n"/>
      <c r="M18" s="252" t="n"/>
    </row>
    <row r="19">
      <c r="A19" s="252" t="n"/>
      <c r="B19" s="35" t="n"/>
      <c r="C19" s="36" t="n"/>
      <c r="D19" s="37" t="n"/>
      <c r="E19" s="252" t="n"/>
      <c r="F19" s="252" t="n"/>
      <c r="G19" s="709" t="n"/>
      <c r="H19" s="252" t="n"/>
      <c r="I19" s="709" t="n"/>
      <c r="J19" s="709" t="n"/>
      <c r="K19" s="709" t="n"/>
      <c r="L19" s="709" t="n"/>
      <c r="M19" s="252" t="n"/>
    </row>
    <row r="20">
      <c r="G20" s="709" t="n"/>
    </row>
    <row r="21">
      <c r="C21" s="464" t="n"/>
      <c r="G21" s="709" t="n"/>
    </row>
    <row r="22">
      <c r="C22" s="464" t="n"/>
      <c r="G22" s="709" t="n"/>
    </row>
    <row r="23">
      <c r="C23" s="464" t="n"/>
      <c r="G23" s="709" t="n"/>
    </row>
    <row r="24">
      <c r="C24" s="464" t="n"/>
      <c r="G24" s="709" t="n"/>
      <c r="I24" s="105" t="n"/>
    </row>
    <row r="25" customFormat="1" s="252">
      <c r="A25" s="252" t="n"/>
      <c r="B25" s="35" t="n"/>
      <c r="C25" s="464" t="n"/>
      <c r="D25" s="37" t="n"/>
      <c r="E25" s="252" t="n"/>
      <c r="F25" s="252" t="n"/>
      <c r="G25" s="709" t="n"/>
      <c r="H25" s="252" t="n"/>
      <c r="I25" s="105" t="n"/>
      <c r="J25" s="709" t="n"/>
      <c r="K25" s="709" t="n"/>
      <c r="L25" s="709" t="n"/>
      <c r="M25" s="252" t="n"/>
    </row>
    <row r="26">
      <c r="G26" s="709" t="n"/>
    </row>
    <row r="27">
      <c r="A27" s="709" t="n"/>
    </row>
    <row r="28">
      <c r="C28" s="464" t="n"/>
      <c r="G28" s="709" t="n"/>
    </row>
    <row r="29">
      <c r="G29" s="709" t="n"/>
    </row>
    <row r="30">
      <c r="G30" s="709" t="n"/>
    </row>
    <row r="31">
      <c r="G31" s="709" t="n"/>
    </row>
    <row r="32">
      <c r="G32" s="709" t="n"/>
    </row>
  </sheetData>
  <mergeCells count="23">
    <mergeCell ref="E12:F12"/>
    <mergeCell ref="G12:K12"/>
    <mergeCell ref="A8:M8"/>
    <mergeCell ref="B3:B4"/>
    <mergeCell ref="J3:M3"/>
    <mergeCell ref="E14:F14"/>
    <mergeCell ref="L13:M13"/>
    <mergeCell ref="A10:M10"/>
    <mergeCell ref="C2:H2"/>
    <mergeCell ref="L12:M12"/>
    <mergeCell ref="E3:H3"/>
    <mergeCell ref="A3:A4"/>
    <mergeCell ref="A9:M9"/>
    <mergeCell ref="I3:I4"/>
    <mergeCell ref="D3:D4"/>
    <mergeCell ref="E13:F13"/>
    <mergeCell ref="G13:K13"/>
    <mergeCell ref="A15:M15"/>
    <mergeCell ref="L14:M14"/>
    <mergeCell ref="A11:M11"/>
    <mergeCell ref="G14:K14"/>
    <mergeCell ref="A27:M27"/>
    <mergeCell ref="C3:C4"/>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tabColor rgb="FF92D050"/>
    <outlinePr summaryBelow="1" summaryRight="1"/>
    <pageSetUpPr/>
  </sheetPr>
  <dimension ref="A1:N40"/>
  <sheetViews>
    <sheetView showGridLines="0" zoomScale="70" zoomScaleNormal="70" workbookViewId="0">
      <selection activeCell="J7" sqref="J7"/>
    </sheetView>
  </sheetViews>
  <sheetFormatPr baseColWidth="8" defaultColWidth="11.5703125" defaultRowHeight="12.75"/>
  <cols>
    <col width="5" customWidth="1" style="445" min="1" max="1"/>
    <col width="4.85546875" customWidth="1" style="445" min="2" max="2"/>
    <col width="38.140625" customWidth="1" style="446" min="3" max="3"/>
    <col width="13.5703125" customWidth="1" style="446" min="4" max="4"/>
    <col width="43.28515625" customWidth="1" style="447" min="5" max="5"/>
    <col width="7.85546875" customWidth="1" style="445" min="6" max="8"/>
    <col width="11.7109375" customWidth="1" style="445" min="9" max="9"/>
    <col width="78.85546875" customWidth="1" style="798" min="10" max="10"/>
    <col width="7.140625" customWidth="1" style="765" min="11" max="13"/>
    <col width="11.42578125" customWidth="1" style="807" min="14" max="14"/>
    <col width="11.5703125" customWidth="1" style="445" min="15" max="16384"/>
  </cols>
  <sheetData>
    <row r="1" ht="30.75" customHeight="1" s="157">
      <c r="B1" s="426" t="n"/>
      <c r="C1" s="427" t="n"/>
      <c r="D1" s="427" t="n"/>
      <c r="E1" s="427" t="n"/>
      <c r="F1" s="427" t="n"/>
      <c r="G1" s="427" t="n"/>
      <c r="H1" s="427" t="n"/>
      <c r="I1" s="427" t="n"/>
      <c r="J1" s="427" t="n"/>
      <c r="K1" s="427" t="n"/>
      <c r="L1" s="427" t="n"/>
      <c r="M1" s="427" t="n"/>
      <c r="N1" s="428" t="n"/>
    </row>
    <row r="2" ht="78.75" customFormat="1" customHeight="1" s="422">
      <c r="B2" s="423" t="n"/>
      <c r="C2" s="424" t="n"/>
      <c r="D2" s="424" t="inlineStr">
        <is>
          <t>위험 통제 및 기회 평가 인적자원부</t>
        </is>
      </c>
      <c r="E2" s="424" t="n"/>
      <c r="F2" s="424" t="n"/>
      <c r="G2" s="424" t="n"/>
      <c r="H2" s="424" t="n"/>
      <c r="I2" s="424" t="n"/>
      <c r="J2" s="424" t="n"/>
      <c r="K2" s="424" t="n"/>
      <c r="L2" s="424" t="n"/>
      <c r="M2" s="424" t="n"/>
      <c r="N2" s="425" t="n"/>
    </row>
    <row r="3" ht="38.25" customFormat="1" customHeight="1" s="765">
      <c r="B3" s="780" t="inlineStr">
        <is>
          <t>번호</t>
        </is>
      </c>
      <c r="C3" s="802" t="inlineStr">
        <is>
          <t>문제</t>
        </is>
      </c>
      <c r="D3" s="781" t="inlineStr">
        <is>
          <t>원인/설명</t>
        </is>
      </c>
      <c r="E3" s="156" t="n"/>
      <c r="F3" s="780" t="inlineStr">
        <is>
          <t>리스크 평가</t>
        </is>
      </c>
      <c r="G3" s="814" t="n"/>
      <c r="H3" s="814" t="n"/>
      <c r="I3" s="815" t="n"/>
      <c r="J3" s="779" t="inlineStr">
        <is>
          <t>예방/시정 조치</t>
        </is>
      </c>
      <c r="K3" s="779" t="inlineStr">
        <is>
          <t>외부 평가
예방 조치를 취한 후</t>
        </is>
      </c>
      <c r="L3" s="814" t="n"/>
      <c r="M3" s="814" t="n"/>
      <c r="N3" s="815" t="n"/>
    </row>
    <row r="4" ht="26.25" customFormat="1" customHeight="1" s="765">
      <c r="B4" s="818" t="n"/>
      <c r="C4" s="818" t="n"/>
      <c r="D4" s="256" t="n"/>
      <c r="E4" s="290" t="n"/>
      <c r="F4" s="779" t="inlineStr">
        <is>
          <t>F</t>
        </is>
      </c>
      <c r="G4" s="779" t="inlineStr">
        <is>
          <t>S</t>
        </is>
      </c>
      <c r="H4" s="780" t="inlineStr">
        <is>
          <t>R</t>
        </is>
      </c>
      <c r="I4" s="779" t="inlineStr">
        <is>
          <t>위험 분류</t>
        </is>
      </c>
      <c r="J4" s="818" t="n"/>
      <c r="K4" s="779" t="inlineStr">
        <is>
          <t>F</t>
        </is>
      </c>
      <c r="L4" s="779" t="inlineStr">
        <is>
          <t>S</t>
        </is>
      </c>
      <c r="M4" s="780" t="inlineStr">
        <is>
          <t>R</t>
        </is>
      </c>
      <c r="N4" s="779" t="inlineStr">
        <is>
          <t>분류
 위험</t>
        </is>
      </c>
    </row>
    <row r="5" ht="159" customFormat="1" customHeight="1" s="765">
      <c r="B5" s="433" t="n">
        <v>1</v>
      </c>
      <c r="C5" s="435" t="inlineStr">
        <is>
          <t>- 인적 자원의 변동이 심하고 회사와 장기적으로 협력하지 않습니다. 특히 베트남의 전통 명절인 설(Tet)과 같은 주요 명절 이후에는 더욱 그렇습니다. 변화무쌍한 인적 자원, 특히 베트남의 전통 구정 연휴 이후 회사에서 오랫동안 일하지 않음</t>
        </is>
      </c>
      <c r="D5" s="853" t="inlineStr">
        <is>
          <t>구정 연휴 이후에는 모두가 1년 간의 업무를 마치고 이전 회사의 모든 혜택을 충분히 누렸기 때문에 인력이 부족한 경우가 많습니다. 그들은 종종 집 근처에서 더 나은 급여, 혜택 및 적합한 일자리를 제공하는 다른 회사를 찾기 위해 회사를 바꾸고 싶어합니다. 이로 인해 생산 및 경영 상황은 물론 근로자의 기술 품질과 제품 및 상품의 품질에도 큰 영향을 미치게 됩니다.</t>
        </is>
      </c>
      <c r="E5" s="815" t="n"/>
      <c r="F5" s="433" t="n">
        <v>3</v>
      </c>
      <c r="G5" s="433" t="n">
        <v>3</v>
      </c>
      <c r="H5" s="433" t="n">
        <v>9</v>
      </c>
      <c r="I5" s="435" t="inlineStr">
        <is>
          <t>B</t>
        </is>
      </c>
      <c r="J5" s="436" t="inlineStr">
        <is>
          <t>장기적인 인적 자원 계획을 가지고 있습니다
- 직원의 급여, 상여금, 복지 제도를 강화하고, 연말 상여금과 회사에서의 장기 근무 경험을 늘립니다.
- 인력공급업체와 계약을 체결하여 단기간에 정식채용 시 일시적인 인력부족을 해결합니다.
장기인적자원 마련
직원을 위한 급여, 수당 및 기타 복지 제도를 강화하고, 특히 연공 근무 시간에 따라 연말에 보너스를 더 추가합니다.
기업이 인력을 충분히 확보하지 못한 상황에서 인력공급업체와 단기간 인력공급 계약을 체결</t>
        </is>
      </c>
      <c r="K5" s="435" t="n">
        <v>2</v>
      </c>
      <c r="L5" s="433" t="n">
        <v>2</v>
      </c>
      <c r="M5" s="433" t="n">
        <v>4</v>
      </c>
      <c r="N5" s="435" t="inlineStr">
        <is>
          <t>A</t>
        </is>
      </c>
    </row>
    <row r="6" ht="137.25" customFormat="1" customHeight="1" s="765">
      <c r="B6" s="433" t="n">
        <v>2</v>
      </c>
      <c r="C6" s="435" t="inlineStr">
        <is>
          <t>지역 내 다른 기업과 기술인력 및 고급인력 확보 경쟁
인근 기업과 기술인력 및 숙련도가 높은 인력을 보유할 것</t>
        </is>
      </c>
      <c r="D6" s="853" t="inlineStr">
        <is>
          <t>숙련된 기술인력은 보수, 급여, 상여금, 환경, 승진기회 등의 문제로 치열한 경쟁을 벌이며 동종업계 기업에 취업 기회가 많은 경우가 많습니다.</t>
        </is>
      </c>
      <c r="E6" s="815" t="n"/>
      <c r="F6" s="433" t="n">
        <v>3</v>
      </c>
      <c r="G6" s="433" t="n">
        <v>3</v>
      </c>
      <c r="H6" s="433" t="n">
        <v>9</v>
      </c>
      <c r="I6" s="435" t="inlineStr">
        <is>
          <t>B</t>
        </is>
      </c>
      <c r="J6" s="436" t="inlineStr">
        <is>
          <t>누군가가 그만둬도 다음 팀이 수동적이지 않도록 훈련하세요.
일을 그만둔 사람에게 보상할 수 있도록 새로운 직원을 교육합니다.
- 적절한 급여 및 보너스 제도를 조사하고 개발하여 근로자의 생활 수준을 보장합니다.
직원의 생활 수준에 적합한 C&amp;B를 조사하고 설치합니다.</t>
        </is>
      </c>
      <c r="K6" s="435" t="n">
        <v>1</v>
      </c>
      <c r="L6" s="433" t="n">
        <v>3</v>
      </c>
      <c r="M6" s="433" t="n">
        <v>3</v>
      </c>
      <c r="N6" s="435" t="inlineStr">
        <is>
          <t>A</t>
        </is>
      </c>
    </row>
    <row r="7" ht="123.75" customFormat="1" customHeight="1" s="765">
      <c r="B7" s="433" t="n">
        <v>3</v>
      </c>
      <c r="C7" s="435" t="inlineStr">
        <is>
          <t>언어와 문화의 차이가 있습니다
언어와 문화의 차이</t>
        </is>
      </c>
      <c r="D7" s="853" t="inlineStr">
        <is>
          <t>의사소통과 정보 전달의 어려움으로 인해 직원들은 이사회의 요청을 이해하고 준수하기 위해 종종 통역사를 거쳐야 합니다.
베트남 근로자들은 일반적으로 교육과 의사소통 능력이 좋지 않습니다.</t>
        </is>
      </c>
      <c r="E7" s="815" t="n"/>
      <c r="F7" s="433" t="n">
        <v>3</v>
      </c>
      <c r="G7" s="433" t="n">
        <v>1</v>
      </c>
      <c r="H7" s="433" t="n">
        <v>3</v>
      </c>
      <c r="I7" s="435" t="inlineStr">
        <is>
          <t>A</t>
        </is>
      </c>
      <c r="J7" s="436" t="inlineStr">
        <is>
          <t>영어, 한국어, 중국어로 의사소통이 가능한 유능한 인재를 모집합니다.
영어, 한국어, 중국어가 가능한 인력 채용
- 각 학과마다 한국어 통역사 1명이 있습니다.
각 부서마다 01명의 한국어 번역가가 있습니다.
- 홈페이지 관리자에게 교육
한국인 전문가를 위한 베트남어 교육</t>
        </is>
      </c>
      <c r="K7" s="435" t="n">
        <v>2</v>
      </c>
      <c r="L7" s="433" t="n">
        <v>1</v>
      </c>
      <c r="M7" s="433" t="n">
        <v>2</v>
      </c>
      <c r="N7" s="435" t="inlineStr">
        <is>
          <t>A</t>
        </is>
      </c>
    </row>
    <row r="8" ht="161.25" customFormat="1" customHeight="1" s="765">
      <c r="B8" s="433" t="n">
        <v>4</v>
      </c>
      <c r="C8" s="437" t="inlineStr">
        <is>
          <t>질병과 자연재해
자연재해, 전염병</t>
        </is>
      </c>
      <c r="D8" s="854" t="inlineStr">
        <is>
          <t>오염된 생활환경, 폐수원, 배기가스... 기후변화로 인해 혹독한 날씨로 인해 원치 않는 전염병, 자연재해가 발생하게 됩니다.... 따라서 전염병, 자연재해 또는 불가항력이 발생하면 막대한 피해가 발생하게 됩니다. 특히 회사가 기계 대신 대규모 노동력을 사용해야 하는 경우 인적 자원은 생산 및 비즈니스 요구 사항을 충족하기에 충분하지 않습니다. 
예를 들어, 글로벌 코로나 팬데믹은 사람, 기계, 재료 등 생산 및 공급망의 모든 요소에 영향을 미쳤습니다.</t>
        </is>
      </c>
      <c r="E8" s="815" t="n"/>
      <c r="F8" s="438" t="n">
        <v>1</v>
      </c>
      <c r="G8" s="438" t="n">
        <v>3</v>
      </c>
      <c r="H8" s="438" t="n">
        <v>3</v>
      </c>
      <c r="I8" s="437" t="inlineStr">
        <is>
          <t>A</t>
        </is>
      </c>
      <c r="J8" s="439" t="inlineStr">
        <is>
          <t>전염병이나 자연재해가 갑작스럽고 예기치 않게 발생하는 경우 영향을 줄이고 상황을 극복할 수 있는 인력 제공자를 늘려 생산에 미치는 영향을 최소화합니다.
나쁜 영향을 줄이기 위해 HR 공급업체를 더 찾아보세요.</t>
        </is>
      </c>
      <c r="K8" s="435" t="n">
        <v>1</v>
      </c>
      <c r="L8" s="433" t="n">
        <v>2</v>
      </c>
      <c r="M8" s="433" t="n">
        <v>2</v>
      </c>
      <c r="N8" s="435" t="inlineStr">
        <is>
          <t>A</t>
        </is>
      </c>
    </row>
    <row r="9" ht="18.75" customFormat="1" customHeight="1" s="440">
      <c r="B9" s="855" t="inlineStr">
        <is>
          <t>아르헨티나는 다음 공식을 사용하여 측정됩니다: R = F x S, 여기서:</t>
        </is>
      </c>
      <c r="C9" s="155" t="n"/>
      <c r="D9" s="155" t="n"/>
      <c r="E9" s="155" t="n"/>
      <c r="F9" s="155" t="n"/>
      <c r="G9" s="155" t="n"/>
      <c r="H9" s="155" t="n"/>
      <c r="I9" s="155" t="n"/>
      <c r="J9" s="155" t="n"/>
      <c r="K9" s="155" t="n"/>
      <c r="L9" s="155" t="n"/>
      <c r="M9" s="155" t="n"/>
      <c r="N9" s="156" t="n"/>
    </row>
    <row r="10" ht="18.75" customFormat="1" customHeight="1" s="440">
      <c r="B10" s="856" t="inlineStr">
        <is>
          <t>R': 리스크.</t>
        </is>
      </c>
      <c r="N10" s="158" t="n"/>
    </row>
    <row r="11" ht="18.75" customFormat="1" customHeight="1" s="440">
      <c r="B11" s="857" t="inlineStr">
        <is>
          <t>여: 가능성.</t>
        </is>
      </c>
      <c r="N11" s="158" t="n"/>
    </row>
    <row r="12" ht="18.75" customFormat="1" customHeight="1" s="440">
      <c r="B12" s="858" t="inlineStr">
        <is>
          <t>S: 그런 일이 발생하면 어떤 결과가 따르나요?</t>
        </is>
      </c>
      <c r="C12" s="159" t="n"/>
      <c r="D12" s="159" t="n"/>
      <c r="E12" s="159" t="n"/>
      <c r="F12" s="159" t="n"/>
      <c r="G12" s="159" t="n"/>
      <c r="H12" s="159" t="n"/>
      <c r="I12" s="159" t="n"/>
      <c r="J12" s="159" t="n"/>
      <c r="K12" s="159" t="n"/>
      <c r="L12" s="159" t="n"/>
      <c r="M12" s="159" t="n"/>
      <c r="N12" s="290" t="n"/>
    </row>
    <row r="13" ht="24" customFormat="1" customHeight="1" s="445">
      <c r="B13" s="435" t="inlineStr">
        <is>
          <t>No</t>
        </is>
      </c>
      <c r="C13" s="784" t="inlineStr">
        <is>
          <t>텍스트 코드</t>
        </is>
      </c>
      <c r="D13" s="442" t="inlineStr">
        <is>
          <t>개정 번호</t>
        </is>
      </c>
      <c r="E13" s="784" t="inlineStr">
        <is>
          <t xml:space="preserve">발행일 </t>
        </is>
      </c>
      <c r="F13" s="815" t="n"/>
      <c r="G13" s="443" t="inlineStr">
        <is>
          <t>수정된 시간</t>
        </is>
      </c>
      <c r="H13" s="784" t="n"/>
      <c r="I13" s="784" t="inlineStr">
        <is>
          <t xml:space="preserve">내용 </t>
        </is>
      </c>
      <c r="J13" s="814" t="n"/>
      <c r="K13" s="815" t="n"/>
      <c r="L13" s="859" t="inlineStr">
        <is>
          <t>작성자</t>
        </is>
      </c>
      <c r="M13" s="814" t="n"/>
      <c r="N13" s="815" t="n"/>
    </row>
    <row r="14" ht="20.25" customFormat="1" customHeight="1" s="445">
      <c r="B14" s="435" t="n">
        <v>1</v>
      </c>
      <c r="C14" s="784" t="inlineStr">
        <is>
          <t>HR.04.03.03</t>
        </is>
      </c>
      <c r="D14" s="442" t="n">
        <v>0</v>
      </c>
      <c r="E14" s="808" t="n">
        <v>43191</v>
      </c>
      <c r="F14" s="815" t="n"/>
      <c r="G14" s="860" t="n">
        <v>0</v>
      </c>
      <c r="H14" s="815" t="n"/>
      <c r="I14" s="784" t="inlineStr">
        <is>
          <t>신규 작성</t>
        </is>
      </c>
      <c r="J14" s="814" t="n"/>
      <c r="K14" s="815" t="n"/>
      <c r="L14" s="859" t="inlineStr">
        <is>
          <t>항 씨</t>
        </is>
      </c>
      <c r="M14" s="814" t="n"/>
      <c r="N14" s="815" t="n"/>
    </row>
    <row r="15" ht="20.25" customFormat="1" customHeight="1" s="445">
      <c r="B15" s="435" t="n"/>
      <c r="C15" s="784" t="inlineStr">
        <is>
          <t>HR.04.03.03</t>
        </is>
      </c>
      <c r="D15" s="442" t="n">
        <v>1</v>
      </c>
      <c r="E15" s="808" t="n">
        <v>44657</v>
      </c>
      <c r="F15" s="815" t="n"/>
      <c r="G15" s="860" t="n">
        <v>1</v>
      </c>
      <c r="H15" s="815" t="n"/>
      <c r="I15" s="784" t="inlineStr">
        <is>
          <t>전염병 및 자연재해 카테고리 추가</t>
        </is>
      </c>
      <c r="J15" s="814" t="n"/>
      <c r="K15" s="815" t="n"/>
      <c r="L15" s="859" t="inlineStr">
        <is>
          <t>항 씨</t>
        </is>
      </c>
      <c r="M15" s="814" t="n"/>
      <c r="N15" s="815" t="n"/>
    </row>
    <row r="16">
      <c r="H16" s="807" t="n"/>
    </row>
    <row r="17">
      <c r="H17" s="807" t="n"/>
    </row>
    <row r="18">
      <c r="C18" s="451" t="n"/>
      <c r="D18" s="451" t="n"/>
      <c r="H18" s="807" t="n"/>
    </row>
    <row r="19">
      <c r="C19" s="451" t="n"/>
      <c r="D19" s="451" t="n"/>
      <c r="H19" s="807" t="n"/>
    </row>
    <row r="20">
      <c r="C20" s="451" t="n"/>
      <c r="D20" s="451" t="n"/>
      <c r="H20" s="807" t="n"/>
    </row>
    <row r="21">
      <c r="C21" s="451" t="n"/>
      <c r="D21" s="451" t="n"/>
      <c r="H21" s="807" t="n"/>
    </row>
    <row r="22">
      <c r="C22" s="451" t="n"/>
      <c r="D22" s="451" t="n"/>
      <c r="H22" s="807" t="n"/>
    </row>
    <row r="23">
      <c r="B23" s="807" t="n"/>
    </row>
    <row r="24">
      <c r="C24" s="451" t="n"/>
      <c r="D24" s="451" t="n"/>
      <c r="H24" s="807" t="n"/>
    </row>
    <row r="25">
      <c r="H25" s="807" t="n"/>
    </row>
    <row r="26">
      <c r="H26" s="807" t="n"/>
    </row>
    <row r="27">
      <c r="H27" s="807" t="n"/>
    </row>
    <row r="28">
      <c r="H28" s="807" t="n"/>
    </row>
    <row r="29">
      <c r="C29" s="451" t="n"/>
      <c r="D29" s="451" t="n"/>
      <c r="H29" s="807" t="n"/>
    </row>
    <row r="30">
      <c r="C30" s="451" t="n"/>
      <c r="D30" s="451" t="n"/>
      <c r="H30" s="807" t="n"/>
    </row>
    <row r="31">
      <c r="C31" s="451" t="n"/>
      <c r="D31" s="451" t="n"/>
      <c r="H31" s="807" t="n"/>
    </row>
    <row r="32">
      <c r="C32" s="451" t="n"/>
      <c r="D32" s="451" t="n"/>
      <c r="H32" s="807" t="n"/>
    </row>
    <row r="33">
      <c r="C33" s="451" t="n"/>
      <c r="D33" s="451" t="n"/>
      <c r="H33" s="807" t="n"/>
    </row>
    <row r="34">
      <c r="H34" s="807" t="n"/>
    </row>
    <row r="35">
      <c r="B35" s="807" t="n"/>
    </row>
    <row r="36">
      <c r="C36" s="451" t="n"/>
      <c r="D36" s="451" t="n"/>
      <c r="H36" s="807" t="n"/>
    </row>
    <row r="37">
      <c r="H37" s="807" t="n"/>
    </row>
    <row r="38">
      <c r="H38" s="807" t="n"/>
    </row>
    <row r="39">
      <c r="H39" s="807" t="n"/>
    </row>
    <row r="40">
      <c r="H40" s="807" t="n"/>
    </row>
  </sheetData>
  <mergeCells count="27">
    <mergeCell ref="L15:N15"/>
    <mergeCell ref="B9:N9"/>
    <mergeCell ref="L14:N14"/>
    <mergeCell ref="B3:B4"/>
    <mergeCell ref="D3:E4"/>
    <mergeCell ref="E14:F14"/>
    <mergeCell ref="D6:E6"/>
    <mergeCell ref="I14:K14"/>
    <mergeCell ref="K3:N3"/>
    <mergeCell ref="B35:N35"/>
    <mergeCell ref="E13:F13"/>
    <mergeCell ref="D7:E7"/>
    <mergeCell ref="E15:F15"/>
    <mergeCell ref="I13:K13"/>
    <mergeCell ref="G15:H15"/>
    <mergeCell ref="F3:I3"/>
    <mergeCell ref="B12:N12"/>
    <mergeCell ref="J3:J4"/>
    <mergeCell ref="G14:H14"/>
    <mergeCell ref="B11:N11"/>
    <mergeCell ref="I15:K15"/>
    <mergeCell ref="D8:E8"/>
    <mergeCell ref="B23:N23"/>
    <mergeCell ref="C3:C4"/>
    <mergeCell ref="L13:N13"/>
    <mergeCell ref="D5:E5"/>
    <mergeCell ref="B10:N10"/>
  </mergeCells>
  <pageMargins left="0.7" right="0.7" top="0.75" bottom="0.75" header="0.3" footer="0.3"/>
  <pageSetup orientation="landscape" paperSize="9" scale="7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manh nguyen quy</dc:creator>
  <dcterms:created xmlns:dcterms="http://purl.org/dc/terms/" xmlns:xsi="http://www.w3.org/2001/XMLSchema-instance" xsi:type="dcterms:W3CDTF">2005-03-19T04:16:11Z</dcterms:created>
  <dcterms:modified xmlns:dcterms="http://purl.org/dc/terms/" xmlns:xsi="http://www.w3.org/2001/XMLSchema-instance" xsi:type="dcterms:W3CDTF">2026-04-10T11:04:39Z</dcterms:modified>
  <cp:lastModifiedBy>DPC</cp:lastModifiedBy>
  <cp:revision>15</cp:revision>
  <cp:lastPrinted>2020-09-28T12:33:04Z</cp:lastPrinted>
</cp:coreProperties>
</file>